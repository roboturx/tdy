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52C9FF3-A711-4F1E-8BD1-A3EDE7A50315}" xr6:coauthVersionLast="47" xr6:coauthVersionMax="47" xr10:uidLastSave="{00000000-0000-0000-0000-000000000000}"/>
  <bookViews>
    <workbookView xWindow="-120" yWindow="-120" windowWidth="29040" windowHeight="15720" tabRatio="912" activeTab="4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0" i="17" l="1"/>
  <c r="C66" i="17"/>
  <c r="C68" i="17" l="1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D69" i="17" l="1"/>
  <c r="D71" i="17" s="1"/>
  <c r="D76" i="17" s="1"/>
  <c r="E22" i="6" l="1"/>
  <c r="E23" i="6" s="1"/>
  <c r="E10" i="6"/>
  <c r="G9" i="6"/>
  <c r="A41" i="6"/>
  <c r="G64" i="6"/>
  <c r="G65" i="6" s="1"/>
  <c r="G66" i="6" s="1"/>
  <c r="G67" i="6" s="1"/>
  <c r="G68" i="6" s="1"/>
  <c r="G69" i="6" s="1"/>
  <c r="G70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6" i="5" s="1"/>
  <c r="E25" i="6" l="1"/>
  <c r="G10" i="6"/>
  <c r="E11" i="6"/>
  <c r="E12" i="6" s="1"/>
  <c r="E13" i="6" s="1"/>
  <c r="D90" i="5"/>
  <c r="D91" i="5" s="1"/>
  <c r="D92" i="5" s="1"/>
  <c r="D97" i="5" s="1"/>
  <c r="G32" i="15"/>
  <c r="G33" i="15"/>
  <c r="G34" i="15"/>
  <c r="G35" i="15"/>
  <c r="G36" i="15" s="1"/>
  <c r="G37" i="15" s="1"/>
  <c r="G38" i="1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G11" i="6" l="1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14" i="6" l="1"/>
  <c r="E15" i="6"/>
  <c r="G15" i="6" s="1"/>
  <c r="F30" i="1"/>
  <c r="E25" i="1"/>
  <c r="E27" i="1"/>
  <c r="C30" i="1"/>
  <c r="D28" i="1"/>
  <c r="D30" i="1" s="1"/>
  <c r="D42" i="16"/>
  <c r="E44" i="16"/>
  <c r="E42" i="16"/>
  <c r="D44" i="16" s="1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E16" i="6" l="1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E17" i="6" l="1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5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0" i="6"/>
  <c r="F131" i="6" s="1"/>
  <c r="F132" i="6" s="1"/>
  <c r="F133" i="6" s="1"/>
  <c r="F134" i="6" s="1"/>
  <c r="F135" i="6" s="1"/>
  <c r="F136" i="6" s="1"/>
  <c r="F118" i="6"/>
  <c r="F119" i="6" s="1"/>
  <c r="F120" i="6" s="1"/>
  <c r="F121" i="6" s="1"/>
  <c r="F122" i="6" s="1"/>
  <c r="F123" i="6" s="1"/>
  <c r="F124" i="6" s="1"/>
  <c r="F125" i="6" s="1"/>
  <c r="F126" i="6" s="1"/>
  <c r="G103" i="6"/>
  <c r="G104" i="6" s="1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F94" i="6"/>
  <c r="G94" i="6" s="1"/>
  <c r="G58" i="6"/>
  <c r="E5" i="6" s="1"/>
  <c r="G43" i="6"/>
  <c r="G44" i="6" s="1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F4" i="6"/>
  <c r="D12" i="1" s="1"/>
  <c r="F60" i="5"/>
  <c r="F61" i="5" s="1"/>
  <c r="F62" i="5" s="1"/>
  <c r="F63" i="5" s="1"/>
  <c r="F64" i="5" s="1"/>
  <c r="F65" i="5" s="1"/>
  <c r="F66" i="5" s="1"/>
  <c r="F67" i="5" s="1"/>
  <c r="F68" i="5" s="1"/>
  <c r="F69" i="5" s="1"/>
  <c r="F59" i="5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E19" i="6" l="1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20" i="6" l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39" i="15" s="1"/>
  <c r="G40" i="15" s="1"/>
  <c r="G41" i="15" s="1"/>
  <c r="G42" i="15" s="1"/>
  <c r="G43" i="15" s="1"/>
  <c r="G44" i="15" s="1"/>
  <c r="G45" i="15" s="1"/>
  <c r="G46" i="15" s="1"/>
  <c r="G4" i="6"/>
  <c r="E4" i="6"/>
  <c r="C12" i="1" s="1"/>
  <c r="E12" i="1" l="1"/>
  <c r="E16" i="1" s="1"/>
  <c r="C16" i="1"/>
  <c r="D23" i="16"/>
  <c r="E43" i="16" s="1"/>
  <c r="E45" i="16" s="1"/>
  <c r="D43" i="16" l="1"/>
  <c r="D45" i="16" s="1"/>
  <c r="C43" i="16"/>
  <c r="C45" i="16" s="1"/>
</calcChain>
</file>

<file path=xl/sharedStrings.xml><?xml version="1.0" encoding="utf-8"?>
<sst xmlns="http://schemas.openxmlformats.org/spreadsheetml/2006/main" count="735" uniqueCount="404">
  <si>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</si>
  <si>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</si>
  <si>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</si>
  <si>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</si>
  <si>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</si>
  <si>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</si>
  <si>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</si>
  <si>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</si>
  <si>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</si>
  <si>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</si>
  <si>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</si>
  <si>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</si>
  <si>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</si>
  <si>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</si>
  <si>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</si>
  <si>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</si>
  <si>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</si>
  <si>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</si>
  <si>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</si>
  <si>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</si>
  <si>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</si>
  <si>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</si>
  <si>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</si>
  <si>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</si>
  <si>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</si>
  <si>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</si>
  <si>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</si>
  <si>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</si>
  <si>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</si>
  <si>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</si>
  <si>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</si>
  <si>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</si>
  <si>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</si>
  <si>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</si>
  <si>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</si>
  <si>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</si>
  <si>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</si>
  <si>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</si>
  <si>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</si>
  <si>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</si>
  <si>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</si>
  <si>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</si>
  <si>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</si>
  <si>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</si>
  <si>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</si>
  <si>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</si>
  <si>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</si>
  <si>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</si>
  <si>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</si>
  <si>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</si>
  <si>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</si>
  <si>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</si>
  <si>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</si>
  <si>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</si>
  <si>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</si>
  <si>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</si>
  <si>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</si>
  <si>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</si>
  <si>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</si>
  <si>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</si>
  <si>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</si>
  <si>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</si>
  <si>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</si>
  <si>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</si>
  <si>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</si>
  <si>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</si>
  <si>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</si>
  <si>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</si>
  <si>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</si>
  <si>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</si>
  <si>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</si>
  <si>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</si>
  <si>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</si>
  <si>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</si>
  <si>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</si>
  <si>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</si>
  <si>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</si>
  <si>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</si>
  <si>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</si>
  <si>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</si>
  <si>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</si>
  <si>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</si>
  <si>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</si>
  <si>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</si>
  <si>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</si>
  <si>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</si>
  <si>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</si>
  <si>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</si>
  <si>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</si>
  <si>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</si>
  <si>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</si>
  <si>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</si>
  <si>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</si>
  <si>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</si>
  <si>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</si>
  <si>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</si>
  <si>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</si>
  <si>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</si>
  <si>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</si>
  <si>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</si>
  <si>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</si>
  <si>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</si>
  <si>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</si>
  <si>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</si>
  <si>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</si>
  <si>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</si>
  <si>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</si>
  <si>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</si>
  <si>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</si>
  <si>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</si>
  <si>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</si>
  <si>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</si>
  <si>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</si>
  <si>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</si>
  <si>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</si>
  <si>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</si>
  <si>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</si>
  <si>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</si>
  <si>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</si>
  <si>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</si>
  <si>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</si>
  <si>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</si>
  <si>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</si>
  <si>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</si>
  <si>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</si>
  <si>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</si>
  <si>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</si>
  <si>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</si>
  <si>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</si>
  <si>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</si>
  <si>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</si>
  <si>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</si>
  <si>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</si>
  <si>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</si>
  <si>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</si>
  <si>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</si>
  <si>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</si>
  <si>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</si>
  <si>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</si>
  <si>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</si>
  <si>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</si>
  <si>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</si>
  <si>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</si>
  <si>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</si>
  <si>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</si>
  <si>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</si>
  <si>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</si>
  <si>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</si>
  <si>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</si>
  <si>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</si>
  <si>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</si>
  <si>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</si>
  <si>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</si>
  <si>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</si>
  <si>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</si>
  <si>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</si>
  <si>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</si>
  <si>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</si>
  <si>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</si>
  <si>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</si>
  <si>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</si>
  <si>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</si>
  <si>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</si>
  <si>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</si>
  <si>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</si>
  <si>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</si>
  <si>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</si>
  <si>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</si>
  <si>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</si>
  <si>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</si>
  <si>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</si>
  <si>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</si>
  <si>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</si>
  <si>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</si>
  <si>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</si>
  <si>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</si>
  <si>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</si>
  <si>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</si>
  <si>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</si>
  <si>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</si>
  <si>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</si>
  <si>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</si>
  <si>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</si>
  <si>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</si>
  <si>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</si>
  <si>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</si>
  <si>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</si>
  <si>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</si>
  <si>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</si>
  <si>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</si>
  <si>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</si>
  <si>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</si>
  <si>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</si>
  <si>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</si>
  <si>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</si>
  <si>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</si>
  <si>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</si>
  <si>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</si>
  <si>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</si>
  <si>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</si>
  <si>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</si>
  <si>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</si>
  <si>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</si>
  <si>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</si>
  <si>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</si>
  <si>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</si>
  <si>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</si>
  <si>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</si>
  <si>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</si>
  <si>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</si>
  <si>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</si>
  <si>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</si>
  <si>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</si>
  <si>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</si>
  <si>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</si>
  <si>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</si>
  <si>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</si>
  <si>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</si>
  <si>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</si>
  <si>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</si>
  <si>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</si>
  <si>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</si>
  <si>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</si>
  <si>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</si>
  <si>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</si>
  <si>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</si>
  <si>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</si>
  <si>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</si>
  <si>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</si>
  <si>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</si>
  <si>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</si>
  <si>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</si>
  <si>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</si>
  <si>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</si>
  <si>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</si>
  <si>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</si>
  <si>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</si>
  <si>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</si>
  <si>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</si>
  <si>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</si>
  <si>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</si>
  <si>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</si>
  <si>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</si>
  <si>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</si>
  <si>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</si>
  <si>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</si>
  <si>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</si>
  <si>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</si>
  <si>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</si>
  <si>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</si>
  <si>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</si>
  <si>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</si>
  <si>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</si>
  <si>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</si>
  <si>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</si>
  <si>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</si>
  <si>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</si>
  <si>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</si>
  <si>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</si>
  <si>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</si>
  <si>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</si>
  <si>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</si>
  <si>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</si>
  <si>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</si>
  <si>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</si>
  <si>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</si>
  <si>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</si>
  <si>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</si>
  <si>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</si>
  <si>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</si>
  <si>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</si>
  <si>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</si>
  <si>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</si>
  <si>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</si>
  <si>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</si>
  <si>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</si>
  <si>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</si>
  <si>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</si>
  <si>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</si>
  <si>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</si>
  <si>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</si>
  <si>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</si>
  <si>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</si>
  <si>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</si>
  <si>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</si>
  <si>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</si>
  <si>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</si>
  <si>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</si>
  <si>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</si>
  <si>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</si>
  <si>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</si>
  <si>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</si>
  <si>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</si>
  <si>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</si>
  <si>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</si>
  <si>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</si>
  <si>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</si>
  <si>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</si>
  <si>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</si>
  <si>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</si>
  <si>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</si>
  <si>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</si>
  <si>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</si>
  <si>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</si>
  <si>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</si>
  <si>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</si>
  <si>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</si>
  <si>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</si>
  <si>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</si>
  <si>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</si>
  <si>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</si>
  <si>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</si>
  <si>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</si>
  <si>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</si>
  <si>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</si>
  <si>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30-8-2024-31-12-2024 Bedeli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</si>
  <si>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</si>
  <si>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</si>
  <si>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</si>
  <si>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</si>
  <si>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</si>
  <si>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</si>
  <si>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</si>
  <si>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</si>
  <si>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</si>
  <si>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</si>
  <si>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</si>
  <si>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</si>
  <si>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</si>
  <si>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</si>
  <si>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</si>
  <si>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</si>
  <si>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</si>
  <si>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</si>
  <si>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</si>
  <si>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</si>
  <si>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</si>
  <si>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</si>
  <si>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</si>
  <si>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</si>
  <si>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</si>
  <si>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</si>
  <si>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bankadan umuta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</si>
  <si>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</si>
  <si>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</si>
  <si>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</si>
  <si>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</si>
  <si>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</si>
  <si>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</si>
  <si>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</si>
  <si>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</si>
  <si>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</si>
  <si>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</si>
  <si>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</si>
  <si>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</si>
  <si>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Nakit</t>
  </si>
  <si>
    <t>snyE Nakit</t>
  </si>
  <si>
    <t>snyE İADE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</si>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</sst>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9" formatCode="dd/mm/yy;@"/>
  </numFmts>
  <fonts count="45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</fonts>
  <fills count="2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87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40" fontId="0" fillId="16" borderId="0" xfId="0" applyNumberFormat="1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40" fontId="36" fillId="23" borderId="0" xfId="0" applyNumberFormat="1" applyFon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9" fontId="0" fillId="0" borderId="0" xfId="0" applyNumberFormat="1" applyAlignment="1">
      <alignment horizontal="center"/>
    </xf>
    <xf numFmtId="179" fontId="17" fillId="0" borderId="2" xfId="0" applyNumberFormat="1" applyFont="1" applyBorder="1" applyAlignment="1">
      <alignment horizontal="center"/>
    </xf>
    <xf numFmtId="179" fontId="17" fillId="0" borderId="0" xfId="0" applyNumberFormat="1" applyFont="1" applyAlignment="1">
      <alignment horizontal="center"/>
    </xf>
    <xf numFmtId="179" fontId="17" fillId="0" borderId="4" xfId="0" applyNumberFormat="1" applyFont="1" applyBorder="1" applyAlignment="1">
      <alignment horizontal="center"/>
    </xf>
    <xf numFmtId="179" fontId="17" fillId="0" borderId="3" xfId="0" applyNumberFormat="1" applyFont="1" applyBorder="1" applyAlignment="1">
      <alignment horizontal="center"/>
    </xf>
    <xf numFmtId="179" fontId="28" fillId="0" borderId="4" xfId="0" applyNumberFormat="1" applyFont="1" applyBorder="1" applyAlignment="1">
      <alignment horizontal="center"/>
    </xf>
    <xf numFmtId="179" fontId="0" fillId="0" borderId="0" xfId="0" applyNumberFormat="1"/>
    <xf numFmtId="179" fontId="0" fillId="0" borderId="0" xfId="0" applyNumberFormat="1" applyAlignment="1">
      <alignment horizontal="right"/>
    </xf>
    <xf numFmtId="179" fontId="44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right"/>
    </xf>
    <xf numFmtId="179" fontId="2" fillId="0" borderId="0" xfId="0" applyNumberFormat="1" applyFont="1" applyAlignment="1">
      <alignment horizontal="right"/>
    </xf>
    <xf numFmtId="179" fontId="2" fillId="0" borderId="0" xfId="0" applyNumberFormat="1" applyFont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51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75000</v>
      </c>
      <c r="D11" s="3">
        <f>'SnyE502-22'!E4</f>
        <v>0</v>
      </c>
      <c r="E11" s="4">
        <f t="shared" si="0"/>
        <v>75000</v>
      </c>
      <c r="F11" s="4">
        <f>'SnyE502-22'!D6</f>
        <v>-850</v>
      </c>
    </row>
    <row r="12" spans="1:6">
      <c r="A12" t="s">
        <v>14</v>
      </c>
      <c r="B12" t="s">
        <v>15</v>
      </c>
      <c r="C12" s="3">
        <f>'SnyF601-22'!E4</f>
        <v>374001.70146702649</v>
      </c>
      <c r="D12" s="3">
        <f>'SnyF601-22'!F4</f>
        <v>184917.52</v>
      </c>
      <c r="E12" s="4">
        <f t="shared" si="0"/>
        <v>189084.1814670265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874924.61146702652</v>
      </c>
      <c r="D16" s="6">
        <f>SUM(D8:D14)</f>
        <v>489840.43</v>
      </c>
      <c r="E16" s="6">
        <f>SUM(E8:E14)</f>
        <v>385084.18146702647</v>
      </c>
      <c r="F16" s="6">
        <f>SUM(F8:F14)</f>
        <v>-10179.700000000001</v>
      </c>
    </row>
    <row r="18" spans="1:6">
      <c r="D18" s="98"/>
    </row>
    <row r="19" spans="1:6" ht="15.75">
      <c r="A19" s="151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346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345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316</v>
      </c>
      <c r="E9" s="28">
        <v>45000</v>
      </c>
      <c r="F9" s="29"/>
      <c r="G9" s="27">
        <f>E9-F9</f>
        <v>45000</v>
      </c>
    </row>
    <row r="10" spans="1:7">
      <c r="B10" s="14" t="s">
        <v>317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318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319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350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320</v>
      </c>
      <c r="E28" s="35"/>
      <c r="F28" s="35"/>
      <c r="G28" s="35">
        <f t="shared" si="1"/>
        <v>0</v>
      </c>
    </row>
    <row r="29" spans="1:7">
      <c r="A29" s="30" t="s">
        <v>321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322</v>
      </c>
      <c r="D9" s="28"/>
      <c r="E9" s="29"/>
      <c r="F9" s="27">
        <f>D9-E9</f>
        <v>0</v>
      </c>
      <c r="G9" s="26"/>
    </row>
    <row r="10" spans="1:8">
      <c r="B10" s="14" t="s">
        <v>323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324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325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326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327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327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328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329</v>
      </c>
      <c r="C46" s="3"/>
      <c r="D46" s="8"/>
      <c r="F46" s="51"/>
    </row>
    <row r="47" spans="1:8">
      <c r="B47" t="s">
        <v>331</v>
      </c>
      <c r="C47" s="3"/>
      <c r="D47" s="8"/>
      <c r="F47" s="8"/>
      <c r="G47" s="52"/>
      <c r="H47" s="57"/>
    </row>
    <row r="48" spans="1:8">
      <c r="B48" s="124" t="s">
        <v>330</v>
      </c>
      <c r="C48" s="124"/>
      <c r="D48" s="124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352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332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3"/>
      <c r="C10" s="52"/>
      <c r="D10" s="3">
        <f>C10*E9</f>
        <v>0</v>
      </c>
      <c r="E10" s="152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353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3">
        <v>45292</v>
      </c>
      <c r="C13" s="52"/>
      <c r="D13" s="3">
        <f>C13*E11</f>
        <v>0</v>
      </c>
      <c r="E13" s="152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2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2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320</v>
      </c>
      <c r="C16" s="52"/>
      <c r="D16" s="3">
        <f t="shared" si="1"/>
        <v>0</v>
      </c>
      <c r="E16" s="152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321</v>
      </c>
      <c r="C17" s="52"/>
      <c r="D17" s="3">
        <f t="shared" si="1"/>
        <v>0</v>
      </c>
      <c r="E17" s="152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2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2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6" t="s">
        <v>333</v>
      </c>
      <c r="C46" s="126"/>
      <c r="D46" s="125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tabSelected="1" topLeftCell="A46" zoomScale="145" zoomScaleNormal="145" workbookViewId="0">
      <selection activeCell="A53" sqref="A53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395</v>
      </c>
      <c r="C9"/>
      <c r="D9" s="28">
        <v>204024</v>
      </c>
      <c r="E9" s="29"/>
      <c r="F9" s="27">
        <f>D9-E9</f>
        <v>204024</v>
      </c>
    </row>
    <row r="10" spans="1:6">
      <c r="B10" s="14" t="s">
        <v>397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397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396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398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397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348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399</v>
      </c>
      <c r="C43"/>
    </row>
    <row r="44" spans="1:6">
      <c r="B44" t="s">
        <v>400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401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9">
        <v>45402</v>
      </c>
      <c r="B52" t="s">
        <v>399</v>
      </c>
      <c r="C52" s="161"/>
      <c r="D52" s="162"/>
      <c r="E52" s="162"/>
      <c r="F52" s="162"/>
      <c r="G52"/>
      <c r="H52"/>
    </row>
    <row r="53" spans="1:8">
      <c r="A53" s="161"/>
      <c r="B53" s="160" t="s">
        <v>368</v>
      </c>
      <c r="C53" s="161"/>
      <c r="D53" s="162"/>
      <c r="E53" s="162"/>
      <c r="F53" s="162"/>
      <c r="G53"/>
      <c r="H53"/>
    </row>
    <row r="54" spans="1:8">
      <c r="A54" s="161"/>
      <c r="B54" s="161"/>
      <c r="C54" s="161"/>
      <c r="D54" s="162" t="s">
        <v>2</v>
      </c>
      <c r="E54" s="162" t="s">
        <v>3</v>
      </c>
      <c r="F54" s="162" t="s">
        <v>369</v>
      </c>
      <c r="G54"/>
      <c r="H54"/>
    </row>
    <row r="55" spans="1:8">
      <c r="A55" s="159"/>
      <c r="B55" s="161" t="s">
        <v>403</v>
      </c>
      <c r="C55" s="161"/>
      <c r="D55" s="162">
        <v>204024</v>
      </c>
      <c r="E55" s="162"/>
      <c r="F55" s="162">
        <f>D55-E55</f>
        <v>204024</v>
      </c>
      <c r="G55"/>
      <c r="H55"/>
    </row>
    <row r="56" spans="1:8">
      <c r="A56" s="159"/>
      <c r="B56" s="161"/>
      <c r="C56" s="161"/>
      <c r="D56" s="162"/>
      <c r="E56" s="162"/>
      <c r="F56" s="162">
        <f t="shared" ref="F56:F63" si="2">F55+D56-E56</f>
        <v>204024</v>
      </c>
      <c r="G56"/>
      <c r="H56"/>
    </row>
    <row r="57" spans="1:8">
      <c r="A57" s="159">
        <v>45402</v>
      </c>
      <c r="B57" s="161" t="s">
        <v>370</v>
      </c>
      <c r="C57" s="161"/>
      <c r="D57" s="162"/>
      <c r="E57" s="162"/>
      <c r="F57" s="162">
        <f t="shared" si="2"/>
        <v>204024</v>
      </c>
      <c r="G57"/>
      <c r="H57"/>
    </row>
    <row r="58" spans="1:8">
      <c r="A58" s="159">
        <v>45813</v>
      </c>
      <c r="B58" s="161" t="s">
        <v>371</v>
      </c>
      <c r="C58" s="161"/>
      <c r="E58"/>
      <c r="F58" s="162">
        <f t="shared" si="2"/>
        <v>204024</v>
      </c>
      <c r="G58"/>
      <c r="H58"/>
    </row>
    <row r="59" spans="1:8">
      <c r="A59" s="159">
        <v>45170</v>
      </c>
      <c r="B59" s="161" t="s">
        <v>402</v>
      </c>
      <c r="C59" s="161"/>
      <c r="E59">
        <v>1000</v>
      </c>
      <c r="F59" s="162">
        <f t="shared" si="2"/>
        <v>203024</v>
      </c>
      <c r="G59"/>
      <c r="H59"/>
    </row>
    <row r="60" spans="1:8">
      <c r="A60" s="159">
        <v>45199</v>
      </c>
      <c r="B60" s="161" t="s">
        <v>402</v>
      </c>
      <c r="C60" s="161"/>
      <c r="E60">
        <v>50000</v>
      </c>
      <c r="F60" s="162">
        <f t="shared" si="2"/>
        <v>153024</v>
      </c>
      <c r="G60" s="52"/>
      <c r="H60" s="57"/>
    </row>
    <row r="61" spans="1:8">
      <c r="A61" s="159">
        <v>45229</v>
      </c>
      <c r="B61" s="161" t="s">
        <v>402</v>
      </c>
      <c r="C61" s="161"/>
      <c r="E61">
        <v>33000</v>
      </c>
      <c r="F61" s="162">
        <f t="shared" si="2"/>
        <v>120024</v>
      </c>
      <c r="G61" s="52"/>
      <c r="H61" s="57"/>
    </row>
    <row r="62" spans="1:8">
      <c r="A62" s="159">
        <v>45260</v>
      </c>
      <c r="B62" s="161" t="s">
        <v>402</v>
      </c>
      <c r="C62" s="161"/>
      <c r="E62">
        <v>120000</v>
      </c>
      <c r="F62" s="162">
        <f t="shared" si="2"/>
        <v>24</v>
      </c>
      <c r="G62" s="52"/>
      <c r="H62" s="57"/>
    </row>
    <row r="63" spans="1:8">
      <c r="A63" s="159"/>
      <c r="B63" s="161" t="s">
        <v>398</v>
      </c>
      <c r="C63" s="161"/>
      <c r="E63">
        <v>24</v>
      </c>
      <c r="F63" s="162">
        <f t="shared" si="2"/>
        <v>0</v>
      </c>
      <c r="G63" s="52"/>
      <c r="H63" s="57"/>
    </row>
    <row r="64" spans="1:8">
      <c r="A64" s="159"/>
      <c r="B64" s="161"/>
      <c r="C64" s="161"/>
      <c r="E64"/>
      <c r="F64" s="162"/>
    </row>
    <row r="65" spans="1:6" ht="15">
      <c r="A65" s="159"/>
      <c r="B65" s="161" t="s">
        <v>379</v>
      </c>
      <c r="C65" s="164">
        <f>A58-A57</f>
        <v>411</v>
      </c>
      <c r="E65"/>
      <c r="F65" s="162"/>
    </row>
    <row r="66" spans="1:6">
      <c r="A66" s="159"/>
      <c r="B66" s="161" t="s">
        <v>380</v>
      </c>
      <c r="C66" s="160">
        <f>(D55-24)/C65</f>
        <v>496.35036496350364</v>
      </c>
      <c r="E66"/>
      <c r="F66" s="162"/>
    </row>
    <row r="67" spans="1:6" ht="15.75" thickBot="1">
      <c r="A67" s="165">
        <v>45813</v>
      </c>
      <c r="B67" s="166" t="s">
        <v>381</v>
      </c>
      <c r="C67" s="167"/>
      <c r="D67" s="168"/>
      <c r="E67"/>
      <c r="F67" s="162"/>
    </row>
    <row r="68" spans="1:6" ht="13.5" thickTop="1">
      <c r="A68"/>
      <c r="B68" s="161" t="s">
        <v>382</v>
      </c>
      <c r="C68" s="160">
        <f>A67-A57</f>
        <v>411</v>
      </c>
      <c r="D68"/>
      <c r="E68"/>
      <c r="F68" s="162"/>
    </row>
    <row r="69" spans="1:6">
      <c r="A69" s="159"/>
      <c r="B69" s="161" t="s">
        <v>383</v>
      </c>
      <c r="C69" s="161"/>
      <c r="D69" s="3">
        <f>C68*C66</f>
        <v>204000</v>
      </c>
      <c r="E69"/>
      <c r="F69" s="162"/>
    </row>
    <row r="70" spans="1:6">
      <c r="A70" s="159"/>
      <c r="B70" s="161" t="s">
        <v>384</v>
      </c>
      <c r="C70" s="161"/>
      <c r="D70" s="3">
        <f>D55-24-D69</f>
        <v>0</v>
      </c>
      <c r="E70"/>
      <c r="F70" s="162"/>
    </row>
    <row r="71" spans="1:6" ht="15.75" thickBot="1">
      <c r="A71" s="159"/>
      <c r="B71" s="169" t="s">
        <v>385</v>
      </c>
      <c r="C71" s="169" t="s">
        <v>386</v>
      </c>
      <c r="D71" s="170">
        <f>SUM(D70:D70)</f>
        <v>0</v>
      </c>
      <c r="E71"/>
      <c r="F71" s="162"/>
    </row>
    <row r="72" spans="1:6" ht="13.5" thickTop="1">
      <c r="A72" s="159"/>
      <c r="B72" s="161" t="s">
        <v>387</v>
      </c>
      <c r="C72" s="161" t="s">
        <v>386</v>
      </c>
      <c r="E72"/>
      <c r="F72" s="162"/>
    </row>
    <row r="73" spans="1:6">
      <c r="A73" s="159"/>
      <c r="B73" s="161" t="s">
        <v>388</v>
      </c>
      <c r="C73" s="161" t="s">
        <v>389</v>
      </c>
      <c r="E73"/>
      <c r="F73" s="162"/>
    </row>
    <row r="74" spans="1:6">
      <c r="A74" s="159"/>
      <c r="B74" s="161" t="s">
        <v>390</v>
      </c>
      <c r="C74" s="161" t="s">
        <v>389</v>
      </c>
      <c r="E74"/>
      <c r="F74" s="162"/>
    </row>
    <row r="75" spans="1:6" ht="13.5" thickBot="1">
      <c r="A75" s="159"/>
      <c r="B75" s="171"/>
      <c r="C75" s="161"/>
      <c r="E75"/>
      <c r="F75" s="162"/>
    </row>
    <row r="76" spans="1:6" s="3" customFormat="1" ht="16.5" thickTop="1" thickBot="1">
      <c r="A76" s="161"/>
      <c r="B76" s="172" t="s">
        <v>392</v>
      </c>
      <c r="C76" s="173" t="s">
        <v>386</v>
      </c>
      <c r="D76" s="170">
        <f>SUM(D71:D75)</f>
        <v>0</v>
      </c>
      <c r="E76" s="162"/>
      <c r="F76" s="162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8"/>
  <sheetViews>
    <sheetView zoomScale="145" zoomScaleNormal="145" workbookViewId="0">
      <selection activeCell="F79" sqref="F7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75000</v>
      </c>
      <c r="E4" s="16">
        <f>SUM(E9:E20)</f>
        <v>0</v>
      </c>
      <c r="F4" s="17">
        <f>F20</f>
        <v>75000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-850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315</v>
      </c>
      <c r="C9"/>
      <c r="D9" s="28">
        <v>68000</v>
      </c>
      <c r="E9" s="29"/>
      <c r="F9" s="27">
        <f>D9-E9</f>
        <v>68000</v>
      </c>
    </row>
    <row r="10" spans="1:6">
      <c r="B10" s="14"/>
      <c r="C10"/>
      <c r="D10" s="28"/>
      <c r="E10" s="29"/>
      <c r="F10" s="27">
        <f t="shared" ref="F10:F20" si="0">D10-E10+F9</f>
        <v>68000</v>
      </c>
    </row>
    <row r="11" spans="1:6">
      <c r="B11"/>
      <c r="C11"/>
      <c r="D11" s="28"/>
      <c r="E11" s="29"/>
      <c r="F11" s="27">
        <f t="shared" si="0"/>
        <v>68000</v>
      </c>
    </row>
    <row r="12" spans="1:6">
      <c r="B12"/>
      <c r="C12" s="100"/>
      <c r="D12" s="28"/>
      <c r="E12" s="29"/>
      <c r="F12" s="27">
        <f t="shared" si="0"/>
        <v>68000</v>
      </c>
    </row>
    <row r="13" spans="1:6">
      <c r="B13"/>
      <c r="C13" s="100"/>
      <c r="D13" s="28"/>
      <c r="E13" s="29"/>
      <c r="F13" s="27">
        <f t="shared" si="0"/>
        <v>68000</v>
      </c>
    </row>
    <row r="14" spans="1:6">
      <c r="B14"/>
      <c r="C14" s="100"/>
      <c r="D14" s="31"/>
      <c r="E14" s="32"/>
      <c r="F14" s="27">
        <f t="shared" si="0"/>
        <v>68000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75000</v>
      </c>
    </row>
    <row r="16" spans="1:6">
      <c r="A16" s="30"/>
      <c r="B16"/>
      <c r="C16"/>
      <c r="D16" s="31"/>
      <c r="E16" s="32"/>
      <c r="F16" s="27">
        <f t="shared" si="0"/>
        <v>75000</v>
      </c>
    </row>
    <row r="17" spans="1:6">
      <c r="A17" s="30"/>
      <c r="B17"/>
      <c r="C17"/>
      <c r="D17" s="31"/>
      <c r="E17" s="32"/>
      <c r="F17" s="27">
        <f t="shared" si="0"/>
        <v>75000</v>
      </c>
    </row>
    <row r="18" spans="1:6">
      <c r="A18" s="30"/>
      <c r="B18"/>
      <c r="C18"/>
      <c r="D18" s="31"/>
      <c r="E18" s="32"/>
      <c r="F18" s="27">
        <f t="shared" si="0"/>
        <v>75000</v>
      </c>
    </row>
    <row r="19" spans="1:6">
      <c r="A19" s="30"/>
      <c r="B19"/>
      <c r="C19"/>
      <c r="D19" s="31"/>
      <c r="E19" s="32"/>
      <c r="F19" s="27">
        <f t="shared" si="0"/>
        <v>75000</v>
      </c>
    </row>
    <row r="20" spans="1:6">
      <c r="A20" s="30"/>
      <c r="B20"/>
      <c r="C20"/>
      <c r="D20" s="31"/>
      <c r="E20" s="32"/>
      <c r="F20" s="33">
        <f t="shared" si="0"/>
        <v>75000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348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/>
      <c r="E27" s="35"/>
      <c r="F27" s="35">
        <f t="shared" si="1"/>
        <v>-850</v>
      </c>
    </row>
    <row r="28" spans="1:6">
      <c r="A28" s="30"/>
      <c r="B28" t="s">
        <v>38</v>
      </c>
      <c r="C28"/>
      <c r="D28" s="35"/>
      <c r="E28" s="35"/>
      <c r="F28" s="35">
        <f t="shared" si="1"/>
        <v>-850</v>
      </c>
    </row>
    <row r="29" spans="1:6">
      <c r="A29" s="30"/>
      <c r="B29" t="s">
        <v>39</v>
      </c>
      <c r="C29"/>
      <c r="D29" s="35"/>
      <c r="E29" s="35"/>
      <c r="F29" s="35">
        <f t="shared" si="1"/>
        <v>-850</v>
      </c>
    </row>
    <row r="30" spans="1:6">
      <c r="A30" s="30"/>
      <c r="B30" t="s">
        <v>89</v>
      </c>
      <c r="C30"/>
      <c r="D30" s="35"/>
      <c r="E30" s="35"/>
      <c r="F30" s="35">
        <f t="shared" si="1"/>
        <v>-850</v>
      </c>
    </row>
    <row r="31" spans="1:6">
      <c r="A31" s="30"/>
      <c r="B31" t="s">
        <v>90</v>
      </c>
      <c r="C31"/>
      <c r="D31" s="35"/>
      <c r="E31" s="35"/>
      <c r="F31" s="35">
        <f t="shared" si="1"/>
        <v>-850</v>
      </c>
    </row>
    <row r="32" spans="1:6">
      <c r="A32" s="30"/>
      <c r="B32" t="s">
        <v>91</v>
      </c>
      <c r="C32"/>
      <c r="D32" s="35"/>
      <c r="E32" s="35"/>
      <c r="F32" s="35">
        <f t="shared" si="1"/>
        <v>-850</v>
      </c>
    </row>
    <row r="33" spans="1:6">
      <c r="A33" s="30"/>
      <c r="B33" t="s">
        <v>92</v>
      </c>
      <c r="C33"/>
      <c r="D33" s="34"/>
      <c r="E33" s="35"/>
      <c r="F33" s="35">
        <f t="shared" si="1"/>
        <v>-850</v>
      </c>
    </row>
    <row r="34" spans="1:6">
      <c r="A34" s="30"/>
      <c r="B34" t="s">
        <v>40</v>
      </c>
      <c r="C34"/>
      <c r="D34" s="34"/>
      <c r="E34" s="35"/>
      <c r="F34" s="35">
        <f t="shared" si="1"/>
        <v>-850</v>
      </c>
    </row>
    <row r="35" spans="1:6">
      <c r="A35" s="30"/>
      <c r="B35" t="s">
        <v>41</v>
      </c>
      <c r="C35"/>
      <c r="D35" s="34"/>
      <c r="E35" s="35"/>
      <c r="F35" s="35">
        <f t="shared" si="1"/>
        <v>-850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-850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-850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9">
        <v>45139</v>
      </c>
      <c r="B72" s="160" t="s">
        <v>147</v>
      </c>
      <c r="C72" s="161"/>
      <c r="D72" s="162"/>
      <c r="E72" s="162"/>
      <c r="F72" s="162"/>
      <c r="G72"/>
      <c r="H72"/>
    </row>
    <row r="73" spans="1:8">
      <c r="A73" s="161"/>
      <c r="B73" s="160" t="s">
        <v>368</v>
      </c>
      <c r="C73" s="161"/>
      <c r="D73" s="162"/>
      <c r="E73" s="162"/>
      <c r="F73" s="162"/>
      <c r="G73"/>
      <c r="H73"/>
    </row>
    <row r="74" spans="1:8">
      <c r="A74" s="161"/>
      <c r="B74" s="161"/>
      <c r="C74" s="161"/>
      <c r="D74" s="162" t="s">
        <v>2</v>
      </c>
      <c r="E74" s="162" t="s">
        <v>3</v>
      </c>
      <c r="F74" s="162" t="s">
        <v>369</v>
      </c>
      <c r="G74"/>
      <c r="H74"/>
    </row>
    <row r="75" spans="1:8">
      <c r="A75" s="159"/>
      <c r="B75" s="161"/>
      <c r="C75" s="161"/>
      <c r="D75" s="162">
        <v>96000</v>
      </c>
      <c r="E75" s="162"/>
      <c r="F75" s="162">
        <f>D75-E75</f>
        <v>96000</v>
      </c>
      <c r="G75"/>
      <c r="H75"/>
    </row>
    <row r="76" spans="1:8">
      <c r="A76" s="159"/>
      <c r="B76" s="161"/>
      <c r="C76" s="161"/>
      <c r="D76" s="162"/>
      <c r="E76" s="162"/>
      <c r="F76" s="162">
        <f t="shared" ref="F76:F84" si="3">F75+D76-E76</f>
        <v>96000</v>
      </c>
      <c r="G76"/>
      <c r="H76"/>
    </row>
    <row r="77" spans="1:8">
      <c r="A77" s="159">
        <v>45168</v>
      </c>
      <c r="B77" s="161" t="s">
        <v>370</v>
      </c>
      <c r="C77" s="161"/>
      <c r="D77" s="162"/>
      <c r="E77" s="162"/>
      <c r="F77" s="162">
        <f t="shared" si="3"/>
        <v>96000</v>
      </c>
      <c r="G77"/>
      <c r="H77"/>
    </row>
    <row r="78" spans="1:8">
      <c r="A78" s="159">
        <v>45533</v>
      </c>
      <c r="B78" s="161" t="s">
        <v>371</v>
      </c>
      <c r="C78" s="161"/>
      <c r="E78"/>
      <c r="F78" s="162">
        <f t="shared" si="3"/>
        <v>96000</v>
      </c>
      <c r="G78"/>
      <c r="H78"/>
    </row>
    <row r="79" spans="1:8">
      <c r="A79" s="159">
        <v>45170</v>
      </c>
      <c r="B79" s="161" t="s">
        <v>372</v>
      </c>
      <c r="C79" s="161"/>
      <c r="E79">
        <v>65000</v>
      </c>
      <c r="F79" s="162">
        <f t="shared" si="3"/>
        <v>31000</v>
      </c>
      <c r="G79"/>
      <c r="H79"/>
    </row>
    <row r="80" spans="1:8">
      <c r="A80" s="159">
        <v>45199</v>
      </c>
      <c r="B80" s="161" t="s">
        <v>373</v>
      </c>
      <c r="C80" s="161"/>
      <c r="E80">
        <v>6000</v>
      </c>
      <c r="F80" s="162">
        <f t="shared" si="3"/>
        <v>25000</v>
      </c>
      <c r="G80" s="52"/>
      <c r="H80" s="57"/>
    </row>
    <row r="81" spans="1:8">
      <c r="A81" s="159">
        <v>45229</v>
      </c>
      <c r="B81" s="161" t="s">
        <v>374</v>
      </c>
      <c r="C81" s="161"/>
      <c r="E81">
        <v>6000</v>
      </c>
      <c r="F81" s="162">
        <f t="shared" si="3"/>
        <v>19000</v>
      </c>
      <c r="G81" s="52"/>
      <c r="H81" s="57"/>
    </row>
    <row r="82" spans="1:8">
      <c r="A82" s="159">
        <v>45260</v>
      </c>
      <c r="B82" s="161" t="s">
        <v>375</v>
      </c>
      <c r="C82" s="161"/>
      <c r="E82">
        <v>6000</v>
      </c>
      <c r="F82" s="162">
        <f t="shared" si="3"/>
        <v>13000</v>
      </c>
      <c r="G82" s="52"/>
      <c r="H82" s="57"/>
    </row>
    <row r="83" spans="1:8">
      <c r="A83" s="159">
        <v>45290</v>
      </c>
      <c r="B83" s="161" t="s">
        <v>376</v>
      </c>
      <c r="C83" s="161"/>
      <c r="E83">
        <v>6000</v>
      </c>
      <c r="F83" s="162">
        <f t="shared" si="3"/>
        <v>7000</v>
      </c>
      <c r="G83" s="52"/>
      <c r="H83" s="57"/>
    </row>
    <row r="84" spans="1:8" ht="13.5" thickBot="1">
      <c r="A84" s="159">
        <v>45321</v>
      </c>
      <c r="B84" s="161" t="s">
        <v>377</v>
      </c>
      <c r="C84" s="163" t="s">
        <v>378</v>
      </c>
      <c r="E84"/>
      <c r="F84" s="162">
        <f t="shared" si="3"/>
        <v>7000</v>
      </c>
      <c r="G84" s="52"/>
      <c r="H84" s="57"/>
    </row>
    <row r="85" spans="1:8" ht="13.5" thickTop="1">
      <c r="A85" s="159"/>
      <c r="B85" s="161"/>
      <c r="C85" s="161"/>
      <c r="E85"/>
      <c r="F85" s="162"/>
    </row>
    <row r="86" spans="1:8" ht="15">
      <c r="A86" s="159"/>
      <c r="B86" s="161" t="s">
        <v>379</v>
      </c>
      <c r="C86" s="164">
        <f>A78-A77</f>
        <v>365</v>
      </c>
      <c r="E86"/>
      <c r="F86" s="162"/>
    </row>
    <row r="87" spans="1:8">
      <c r="A87" s="159"/>
      <c r="B87" s="161" t="s">
        <v>380</v>
      </c>
      <c r="C87" s="160">
        <f>D75/C86</f>
        <v>263.01369863013701</v>
      </c>
      <c r="E87"/>
      <c r="F87" s="162"/>
    </row>
    <row r="88" spans="1:8" ht="15.75" thickBot="1">
      <c r="A88" s="165">
        <v>45412</v>
      </c>
      <c r="B88" s="166" t="s">
        <v>381</v>
      </c>
      <c r="C88" s="167"/>
      <c r="D88" s="168"/>
      <c r="E88"/>
      <c r="F88" s="162"/>
    </row>
    <row r="89" spans="1:8" ht="13.5" thickTop="1">
      <c r="A89"/>
      <c r="B89" s="161" t="s">
        <v>382</v>
      </c>
      <c r="C89" s="160">
        <f>A88-A77</f>
        <v>244</v>
      </c>
      <c r="D89"/>
      <c r="E89"/>
      <c r="F89" s="162"/>
    </row>
    <row r="90" spans="1:8">
      <c r="A90" s="159"/>
      <c r="B90" s="161" t="s">
        <v>383</v>
      </c>
      <c r="C90" s="161"/>
      <c r="D90" s="3">
        <f>C89*C87</f>
        <v>64175.342465753434</v>
      </c>
      <c r="E90"/>
      <c r="F90" s="162"/>
    </row>
    <row r="91" spans="1:8">
      <c r="A91" s="159"/>
      <c r="B91" s="161" t="s">
        <v>384</v>
      </c>
      <c r="C91" s="161"/>
      <c r="D91" s="3">
        <f>D75-D90</f>
        <v>31824.657534246566</v>
      </c>
      <c r="E91"/>
      <c r="F91" s="162"/>
    </row>
    <row r="92" spans="1:8" ht="15.75" thickBot="1">
      <c r="A92" s="159"/>
      <c r="B92" s="169" t="s">
        <v>385</v>
      </c>
      <c r="C92" s="169" t="s">
        <v>386</v>
      </c>
      <c r="D92" s="170">
        <f>SUM(D91:D91)</f>
        <v>31824.657534246566</v>
      </c>
      <c r="E92"/>
      <c r="F92" s="162"/>
    </row>
    <row r="93" spans="1:8" ht="13.5" thickTop="1">
      <c r="A93" s="159"/>
      <c r="B93" s="161" t="s">
        <v>387</v>
      </c>
      <c r="C93" s="161" t="s">
        <v>386</v>
      </c>
      <c r="D93" s="3">
        <v>850</v>
      </c>
      <c r="E93"/>
      <c r="F93" s="162"/>
    </row>
    <row r="94" spans="1:8">
      <c r="A94" s="159"/>
      <c r="B94" s="161" t="s">
        <v>388</v>
      </c>
      <c r="C94" s="161" t="s">
        <v>389</v>
      </c>
      <c r="D94" s="3">
        <v>-200</v>
      </c>
      <c r="E94"/>
      <c r="F94" s="162"/>
    </row>
    <row r="95" spans="1:8">
      <c r="A95" s="159"/>
      <c r="B95" s="161" t="s">
        <v>390</v>
      </c>
      <c r="C95" s="161" t="s">
        <v>389</v>
      </c>
      <c r="E95"/>
      <c r="F95" s="162"/>
    </row>
    <row r="96" spans="1:8" ht="13.5" thickBot="1">
      <c r="A96" s="159"/>
      <c r="B96" s="171" t="s">
        <v>391</v>
      </c>
      <c r="C96" s="161" t="s">
        <v>389</v>
      </c>
      <c r="D96" s="3">
        <f>F84*-1</f>
        <v>-7000</v>
      </c>
      <c r="E96"/>
      <c r="F96" s="162"/>
    </row>
    <row r="97" spans="1:6" ht="16.5" thickTop="1" thickBot="1">
      <c r="A97" s="161"/>
      <c r="B97" s="172" t="s">
        <v>392</v>
      </c>
      <c r="C97" s="173" t="s">
        <v>386</v>
      </c>
      <c r="D97" s="170">
        <f>SUM(D92:D96)</f>
        <v>25474.657534246566</v>
      </c>
      <c r="E97" s="162"/>
      <c r="F97" s="162"/>
    </row>
    <row r="98" spans="1:6" ht="13.5" thickTop="1"/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0"/>
  <sheetViews>
    <sheetView topLeftCell="A16" zoomScale="145" zoomScaleNormal="145" workbookViewId="0">
      <selection activeCell="E20" sqref="E20"/>
    </sheetView>
  </sheetViews>
  <sheetFormatPr defaultRowHeight="12.75"/>
  <cols>
    <col min="1" max="1" width="9.140625" style="182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5"/>
      <c r="B1" s="8" t="s">
        <v>167</v>
      </c>
      <c r="C1" s="8"/>
      <c r="D1" s="8"/>
      <c r="G1" s="9" t="s">
        <v>143</v>
      </c>
    </row>
    <row r="2" spans="1:7">
      <c r="A2" s="175"/>
      <c r="B2" s="8"/>
      <c r="C2" s="8"/>
      <c r="D2" s="8"/>
    </row>
    <row r="3" spans="1:7" ht="13.5" thickBot="1">
      <c r="A3" s="176" t="s">
        <v>23</v>
      </c>
      <c r="B3" s="11" t="s">
        <v>24</v>
      </c>
      <c r="C3" s="11"/>
      <c r="D3" s="11" t="s">
        <v>347</v>
      </c>
      <c r="E3" s="12" t="s">
        <v>2</v>
      </c>
      <c r="F3" s="12" t="s">
        <v>3</v>
      </c>
      <c r="G3" s="12" t="s">
        <v>26</v>
      </c>
    </row>
    <row r="4" spans="1:7">
      <c r="A4" s="175"/>
      <c r="B4" s="13" t="s">
        <v>20</v>
      </c>
      <c r="C4" s="14"/>
      <c r="D4" s="14"/>
      <c r="E4" s="15">
        <f>SUM(E9:E38)</f>
        <v>374001.70146702649</v>
      </c>
      <c r="F4" s="16">
        <f>SUM(F9:F38)</f>
        <v>184917.52</v>
      </c>
      <c r="G4" s="17" t="e">
        <f>#REF!</f>
        <v>#REF!</v>
      </c>
    </row>
    <row r="5" spans="1:7">
      <c r="A5" s="175"/>
      <c r="B5" s="14" t="s">
        <v>27</v>
      </c>
      <c r="C5" s="14"/>
      <c r="D5" s="14"/>
      <c r="E5" s="18">
        <f>G58</f>
        <v>0</v>
      </c>
      <c r="G5"/>
    </row>
    <row r="6" spans="1:7">
      <c r="A6" s="175"/>
      <c r="B6" s="19" t="s">
        <v>5</v>
      </c>
      <c r="C6"/>
      <c r="D6"/>
      <c r="E6" s="20">
        <f>G55</f>
        <v>-2824.5300000000007</v>
      </c>
      <c r="F6" s="19"/>
      <c r="G6" s="21"/>
    </row>
    <row r="7" spans="1:7">
      <c r="A7" s="178" t="s">
        <v>393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5"/>
      <c r="B8" s="14" t="s">
        <v>29</v>
      </c>
      <c r="C8"/>
      <c r="D8"/>
      <c r="E8" s="26"/>
      <c r="F8" s="27"/>
      <c r="G8" s="27"/>
    </row>
    <row r="9" spans="1:7">
      <c r="A9" s="181">
        <v>44957</v>
      </c>
      <c r="B9" s="155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81"/>
      <c r="B10" s="155" t="s">
        <v>275</v>
      </c>
      <c r="C10">
        <v>3.15</v>
      </c>
      <c r="E10" s="66">
        <f>E9+(E9*C9/100)</f>
        <v>7380.18</v>
      </c>
      <c r="F10" s="29"/>
      <c r="G10" s="27">
        <f t="shared" ref="G10:G38" si="0">E10-F10+G9</f>
        <v>7380.18</v>
      </c>
    </row>
    <row r="11" spans="1:7">
      <c r="A11" s="181"/>
      <c r="B11" s="155" t="s">
        <v>276</v>
      </c>
      <c r="C11">
        <v>2.29</v>
      </c>
      <c r="E11" s="66">
        <f>E10+(E10*C10/100)</f>
        <v>7612.6556700000001</v>
      </c>
      <c r="F11" s="29"/>
      <c r="G11" s="27">
        <f t="shared" si="0"/>
        <v>14992.83567</v>
      </c>
    </row>
    <row r="12" spans="1:7">
      <c r="A12" s="181"/>
      <c r="B12" s="155" t="s">
        <v>278</v>
      </c>
      <c r="C12">
        <v>2.39</v>
      </c>
      <c r="E12" s="66">
        <f>E11+(E11*C11/100)</f>
        <v>7786.9854848430004</v>
      </c>
      <c r="F12" s="29">
        <v>8425.4599999999991</v>
      </c>
      <c r="G12" s="27">
        <f t="shared" si="0"/>
        <v>14354.361154843002</v>
      </c>
    </row>
    <row r="13" spans="1:7">
      <c r="A13" s="181"/>
      <c r="B13" s="155" t="s">
        <v>277</v>
      </c>
      <c r="C13">
        <v>0.04</v>
      </c>
      <c r="E13" s="66">
        <f>E12+(E12*C12/100)</f>
        <v>7973.0944379307484</v>
      </c>
      <c r="F13" s="29">
        <v>28080</v>
      </c>
      <c r="G13" s="27">
        <f t="shared" si="0"/>
        <v>-5752.5444072262508</v>
      </c>
    </row>
    <row r="14" spans="1:7">
      <c r="A14" s="181"/>
      <c r="B14" s="155" t="s">
        <v>279</v>
      </c>
      <c r="C14">
        <v>3.92</v>
      </c>
      <c r="E14" s="66">
        <f>E13+(E13*C13/100)</f>
        <v>7976.2836757059204</v>
      </c>
      <c r="F14" s="32"/>
      <c r="G14" s="27">
        <f t="shared" si="0"/>
        <v>2223.7392684796696</v>
      </c>
    </row>
    <row r="15" spans="1:7">
      <c r="A15" s="181"/>
      <c r="B15" s="155" t="s">
        <v>280</v>
      </c>
      <c r="C15">
        <v>9.49</v>
      </c>
      <c r="E15" s="66">
        <f>E14+(E14*C14/100)</f>
        <v>8288.9539957935922</v>
      </c>
      <c r="F15" s="32">
        <v>50000</v>
      </c>
      <c r="G15" s="27">
        <f t="shared" si="0"/>
        <v>-39487.306735726735</v>
      </c>
    </row>
    <row r="16" spans="1:7">
      <c r="A16" s="181"/>
      <c r="B16" s="155" t="s">
        <v>281</v>
      </c>
      <c r="C16">
        <v>9.09</v>
      </c>
      <c r="E16" s="66">
        <f>E15+(E15*C15/100)</f>
        <v>9075.5757299944034</v>
      </c>
      <c r="F16" s="32"/>
      <c r="G16" s="27">
        <f t="shared" si="0"/>
        <v>-30411.731005732334</v>
      </c>
    </row>
    <row r="17" spans="1:7">
      <c r="A17" s="181"/>
      <c r="B17" s="155" t="s">
        <v>282</v>
      </c>
      <c r="C17">
        <v>4.75</v>
      </c>
      <c r="E17" s="66">
        <f>E16+(E16*C16/100)</f>
        <v>9900.5455638508938</v>
      </c>
      <c r="F17" s="32"/>
      <c r="G17" s="27">
        <f t="shared" si="0"/>
        <v>-20511.18544188144</v>
      </c>
    </row>
    <row r="18" spans="1:7">
      <c r="A18" s="181"/>
      <c r="B18" s="155" t="s">
        <v>263</v>
      </c>
      <c r="C18">
        <v>3.43</v>
      </c>
      <c r="E18" s="66">
        <f>E17+(E17*C17/100)</f>
        <v>10370.821478133812</v>
      </c>
      <c r="F18" s="32"/>
      <c r="G18" s="27">
        <f t="shared" si="0"/>
        <v>-10140.363963747628</v>
      </c>
    </row>
    <row r="19" spans="1:7">
      <c r="A19" s="181">
        <v>45260</v>
      </c>
      <c r="B19" s="155" t="s">
        <v>394</v>
      </c>
      <c r="C19">
        <v>42.645099999999999</v>
      </c>
      <c r="E19" s="66">
        <f>E18+(E18*C18/100)</f>
        <v>10726.540654833801</v>
      </c>
      <c r="F19" s="32">
        <v>15887.06</v>
      </c>
      <c r="G19" s="27">
        <f t="shared" si="0"/>
        <v>-15300.883308913826</v>
      </c>
    </row>
    <row r="20" spans="1:7">
      <c r="A20" s="181">
        <v>45291</v>
      </c>
      <c r="B20" s="155" t="s">
        <v>265</v>
      </c>
      <c r="C20">
        <v>2.93</v>
      </c>
      <c r="E20" s="66">
        <f>E19+(E19*C19/100)</f>
        <v>15300.884643628331</v>
      </c>
      <c r="F20" s="32"/>
      <c r="G20" s="33">
        <f t="shared" si="0"/>
        <v>1.3347145049920073E-3</v>
      </c>
    </row>
    <row r="21" spans="1:7">
      <c r="A21" s="181">
        <v>45322</v>
      </c>
      <c r="B21" s="156" t="s">
        <v>274</v>
      </c>
      <c r="C21">
        <v>6.71</v>
      </c>
      <c r="E21" s="66">
        <v>14000</v>
      </c>
      <c r="F21" s="32"/>
      <c r="G21" s="33">
        <f t="shared" si="0"/>
        <v>14000.001334714505</v>
      </c>
    </row>
    <row r="22" spans="1:7">
      <c r="A22" s="181"/>
      <c r="B22" s="156" t="s">
        <v>275</v>
      </c>
      <c r="C22">
        <v>4.53</v>
      </c>
      <c r="E22" s="66">
        <f>E21+(E21*C21/100)</f>
        <v>14939.4</v>
      </c>
      <c r="F22" s="32"/>
      <c r="G22" s="33">
        <f t="shared" si="0"/>
        <v>28939.401334714505</v>
      </c>
    </row>
    <row r="23" spans="1:7">
      <c r="A23" s="181"/>
      <c r="B23" s="156" t="s">
        <v>276</v>
      </c>
      <c r="C23">
        <v>3.16</v>
      </c>
      <c r="E23" s="66">
        <f>E22+(E22*C22/100)</f>
        <v>15616.15482</v>
      </c>
      <c r="F23" s="32"/>
      <c r="G23" s="33">
        <f t="shared" si="0"/>
        <v>44555.556154714504</v>
      </c>
    </row>
    <row r="24" spans="1:7">
      <c r="A24" s="181"/>
      <c r="B24" s="158" t="s">
        <v>351</v>
      </c>
      <c r="C24"/>
      <c r="E24" s="66"/>
      <c r="F24" s="32">
        <v>-3795</v>
      </c>
      <c r="G24" s="33">
        <f t="shared" si="0"/>
        <v>48350.556154714504</v>
      </c>
    </row>
    <row r="25" spans="1:7">
      <c r="A25" s="181"/>
      <c r="B25" s="156" t="s">
        <v>365</v>
      </c>
      <c r="C25">
        <v>3.16</v>
      </c>
      <c r="E25" s="66">
        <f>E23+(E23*C23/100)</f>
        <v>16109.625312312</v>
      </c>
      <c r="F25" s="32">
        <v>85000</v>
      </c>
      <c r="G25" s="33">
        <f t="shared" si="0"/>
        <v>-20539.818532973499</v>
      </c>
    </row>
    <row r="26" spans="1:7">
      <c r="A26" s="181"/>
      <c r="B26" s="158" t="s">
        <v>208</v>
      </c>
      <c r="C26"/>
      <c r="E26" s="66"/>
      <c r="F26" s="32">
        <v>-5600</v>
      </c>
      <c r="G26" s="33">
        <f t="shared" si="0"/>
        <v>-14939.818532973499</v>
      </c>
    </row>
    <row r="27" spans="1:7">
      <c r="A27" s="181"/>
      <c r="B27" s="157" t="s">
        <v>366</v>
      </c>
      <c r="C27"/>
      <c r="E27" s="66">
        <v>17002</v>
      </c>
      <c r="F27" s="32"/>
      <c r="G27" s="33">
        <f t="shared" si="0"/>
        <v>2062.1814670265012</v>
      </c>
    </row>
    <row r="28" spans="1:7">
      <c r="A28" s="181"/>
      <c r="B28" s="157" t="s">
        <v>279</v>
      </c>
      <c r="C28"/>
      <c r="E28" s="66">
        <v>17002</v>
      </c>
      <c r="F28"/>
      <c r="G28" s="33">
        <f t="shared" si="0"/>
        <v>19064.181467026501</v>
      </c>
    </row>
    <row r="29" spans="1:7">
      <c r="A29" s="181"/>
      <c r="B29" s="157" t="s">
        <v>280</v>
      </c>
      <c r="C29"/>
      <c r="E29" s="66">
        <v>17002</v>
      </c>
      <c r="F29"/>
      <c r="G29" s="33">
        <f t="shared" si="0"/>
        <v>36066.181467026501</v>
      </c>
    </row>
    <row r="30" spans="1:7">
      <c r="A30" s="181"/>
      <c r="B30" s="157" t="s">
        <v>281</v>
      </c>
      <c r="C30"/>
      <c r="E30" s="66">
        <v>17002</v>
      </c>
      <c r="F30"/>
      <c r="G30" s="33">
        <f t="shared" si="0"/>
        <v>53068.181467026501</v>
      </c>
    </row>
    <row r="31" spans="1:7">
      <c r="A31" s="181"/>
      <c r="B31" s="157" t="s">
        <v>367</v>
      </c>
      <c r="C31"/>
      <c r="E31" s="66">
        <v>17002</v>
      </c>
      <c r="F31"/>
      <c r="G31" s="33">
        <f t="shared" si="0"/>
        <v>70070.181467026501</v>
      </c>
    </row>
    <row r="32" spans="1:7">
      <c r="A32" s="181"/>
      <c r="B32" s="157" t="s">
        <v>263</v>
      </c>
      <c r="C32"/>
      <c r="E32" s="66">
        <v>17002</v>
      </c>
      <c r="F32"/>
      <c r="G32" s="33">
        <f t="shared" si="0"/>
        <v>87072.181467026501</v>
      </c>
    </row>
    <row r="33" spans="1:13">
      <c r="A33" s="181"/>
      <c r="B33" s="157" t="s">
        <v>264</v>
      </c>
      <c r="C33"/>
      <c r="E33" s="66">
        <v>17002</v>
      </c>
      <c r="F33"/>
      <c r="G33" s="33">
        <f t="shared" si="0"/>
        <v>104074.1814670265</v>
      </c>
    </row>
    <row r="34" spans="1:13">
      <c r="A34" s="181"/>
      <c r="B34" s="157" t="s">
        <v>265</v>
      </c>
      <c r="C34"/>
      <c r="E34" s="66">
        <v>17002</v>
      </c>
      <c r="F34"/>
      <c r="G34" s="33">
        <f t="shared" si="0"/>
        <v>121076.1814670265</v>
      </c>
    </row>
    <row r="35" spans="1:13">
      <c r="A35" s="181"/>
      <c r="B35" s="157" t="s">
        <v>274</v>
      </c>
      <c r="C35"/>
      <c r="E35" s="66">
        <v>17002</v>
      </c>
      <c r="F35"/>
      <c r="G35" s="33">
        <f t="shared" si="0"/>
        <v>138078.1814670265</v>
      </c>
    </row>
    <row r="36" spans="1:13">
      <c r="A36" s="181"/>
      <c r="B36" s="157" t="s">
        <v>275</v>
      </c>
      <c r="C36"/>
      <c r="E36" s="66">
        <v>17002</v>
      </c>
      <c r="F36"/>
      <c r="G36" s="33">
        <f t="shared" si="0"/>
        <v>155080.1814670265</v>
      </c>
    </row>
    <row r="37" spans="1:13">
      <c r="A37" s="181"/>
      <c r="B37" s="157" t="s">
        <v>276</v>
      </c>
      <c r="C37"/>
      <c r="E37" s="66">
        <v>17002</v>
      </c>
      <c r="F37"/>
      <c r="G37" s="33">
        <f t="shared" si="0"/>
        <v>172082.1814670265</v>
      </c>
    </row>
    <row r="38" spans="1:13">
      <c r="A38" s="181"/>
      <c r="B38" s="157" t="s">
        <v>365</v>
      </c>
      <c r="C38"/>
      <c r="E38" s="66">
        <v>17002</v>
      </c>
      <c r="F38"/>
      <c r="G38" s="33">
        <f t="shared" si="0"/>
        <v>189084.1814670265</v>
      </c>
    </row>
    <row r="39" spans="1:13">
      <c r="A39" s="177"/>
      <c r="B39"/>
      <c r="C39"/>
      <c r="D39"/>
      <c r="E39" s="34"/>
      <c r="F39" s="35"/>
      <c r="G39" s="35"/>
    </row>
    <row r="40" spans="1:13">
      <c r="A40" s="177"/>
      <c r="B40"/>
      <c r="C40"/>
      <c r="D40"/>
      <c r="E40" s="34"/>
      <c r="F40" s="35"/>
      <c r="G40" s="35"/>
    </row>
    <row r="41" spans="1:13">
      <c r="A41" s="178" t="str">
        <f>A7</f>
        <v xml:space="preserve"> - 2024 -</v>
      </c>
      <c r="B41" s="23" t="s">
        <v>32</v>
      </c>
      <c r="C41" s="23" t="s">
        <v>33</v>
      </c>
      <c r="D41" s="23"/>
      <c r="E41" s="37" t="s">
        <v>34</v>
      </c>
      <c r="F41" s="38"/>
      <c r="G41" s="38" t="s">
        <v>349</v>
      </c>
    </row>
    <row r="42" spans="1:13">
      <c r="A42" s="177"/>
      <c r="B42" t="s">
        <v>35</v>
      </c>
      <c r="C42"/>
      <c r="D42"/>
      <c r="E42" s="34"/>
      <c r="F42" s="35"/>
      <c r="G42" s="35">
        <v>-2510.63</v>
      </c>
      <c r="I42" s="1"/>
      <c r="J42" s="1"/>
      <c r="K42" s="57"/>
      <c r="L42" s="57"/>
      <c r="M42" s="57"/>
    </row>
    <row r="43" spans="1:13">
      <c r="A43" s="177"/>
      <c r="B43" t="s">
        <v>88</v>
      </c>
      <c r="C43">
        <v>0</v>
      </c>
      <c r="D43"/>
      <c r="E43" s="3">
        <v>781.86</v>
      </c>
      <c r="F43" s="3">
        <v>891.32</v>
      </c>
      <c r="G43" s="35">
        <f t="shared" ref="G43:G54" si="1">E43-F43+G42</f>
        <v>-2620.09</v>
      </c>
      <c r="K43" s="3"/>
      <c r="L43" s="3"/>
      <c r="M43" s="3"/>
    </row>
    <row r="44" spans="1:13">
      <c r="A44" s="177"/>
      <c r="B44" t="s">
        <v>36</v>
      </c>
      <c r="C44">
        <v>0</v>
      </c>
      <c r="D44"/>
      <c r="E44" s="3">
        <v>2044.36</v>
      </c>
      <c r="F44" s="3">
        <v>2248.8000000000002</v>
      </c>
      <c r="G44" s="35">
        <f t="shared" si="1"/>
        <v>-2824.5300000000007</v>
      </c>
      <c r="J44" s="1"/>
      <c r="K44" s="3"/>
      <c r="L44" s="3"/>
      <c r="M44" s="3"/>
    </row>
    <row r="45" spans="1:13">
      <c r="A45" s="177"/>
      <c r="B45" t="s">
        <v>37</v>
      </c>
      <c r="C45"/>
      <c r="D45"/>
      <c r="G45" s="35">
        <f t="shared" si="1"/>
        <v>-2824.5300000000007</v>
      </c>
      <c r="J45" s="1"/>
      <c r="K45" s="3"/>
      <c r="L45" s="3"/>
      <c r="M45" s="3"/>
    </row>
    <row r="46" spans="1:13">
      <c r="A46" s="177"/>
      <c r="B46" t="s">
        <v>38</v>
      </c>
      <c r="C46"/>
      <c r="D46"/>
      <c r="G46" s="35">
        <f t="shared" si="1"/>
        <v>-2824.5300000000007</v>
      </c>
      <c r="J46" s="1"/>
      <c r="K46" s="3"/>
      <c r="L46" s="3"/>
      <c r="M46" s="27"/>
    </row>
    <row r="47" spans="1:13">
      <c r="A47" s="177"/>
      <c r="B47" t="s">
        <v>39</v>
      </c>
      <c r="C47"/>
      <c r="D47"/>
      <c r="G47" s="35">
        <f t="shared" si="1"/>
        <v>-2824.5300000000007</v>
      </c>
      <c r="J47" s="1"/>
      <c r="K47" s="3"/>
      <c r="L47" s="3"/>
      <c r="M47" s="27"/>
    </row>
    <row r="48" spans="1:13">
      <c r="A48" s="177"/>
      <c r="B48" t="s">
        <v>89</v>
      </c>
      <c r="C48"/>
      <c r="D48"/>
      <c r="G48" s="35">
        <f t="shared" si="1"/>
        <v>-2824.5300000000007</v>
      </c>
      <c r="J48" s="1"/>
      <c r="K48" s="3"/>
      <c r="L48" s="3"/>
      <c r="M48" s="27"/>
    </row>
    <row r="49" spans="1:13">
      <c r="A49" s="177"/>
      <c r="B49" t="s">
        <v>90</v>
      </c>
      <c r="C49"/>
      <c r="D49"/>
      <c r="G49" s="35">
        <f t="shared" si="1"/>
        <v>-2824.5300000000007</v>
      </c>
      <c r="J49" s="1"/>
      <c r="K49" s="3"/>
      <c r="L49" s="3"/>
      <c r="M49" s="27"/>
    </row>
    <row r="50" spans="1:13">
      <c r="A50" s="177"/>
      <c r="B50" t="s">
        <v>91</v>
      </c>
      <c r="C50"/>
      <c r="D50"/>
      <c r="G50" s="35">
        <f t="shared" si="1"/>
        <v>-2824.5300000000007</v>
      </c>
      <c r="J50" s="1"/>
      <c r="K50" s="3"/>
      <c r="L50" s="3"/>
      <c r="M50" s="27"/>
    </row>
    <row r="51" spans="1:13">
      <c r="A51" s="177"/>
      <c r="B51" t="s">
        <v>92</v>
      </c>
      <c r="C51"/>
      <c r="D51"/>
      <c r="G51" s="35">
        <f t="shared" si="1"/>
        <v>-2824.5300000000007</v>
      </c>
      <c r="J51" s="1"/>
      <c r="K51" s="3"/>
      <c r="L51" s="3"/>
      <c r="M51" s="27"/>
    </row>
    <row r="52" spans="1:13">
      <c r="A52" s="177"/>
      <c r="B52" t="s">
        <v>40</v>
      </c>
      <c r="C52"/>
      <c r="D52"/>
      <c r="E52" s="57"/>
      <c r="F52" s="57"/>
      <c r="G52" s="35">
        <f t="shared" si="1"/>
        <v>-2824.5300000000007</v>
      </c>
      <c r="J52" s="1"/>
      <c r="K52" s="3"/>
      <c r="L52" s="3"/>
      <c r="M52" s="27"/>
    </row>
    <row r="53" spans="1:13">
      <c r="A53" s="177"/>
      <c r="B53" t="s">
        <v>41</v>
      </c>
      <c r="C53"/>
      <c r="D53"/>
      <c r="E53" s="34"/>
      <c r="F53" s="35"/>
      <c r="G53" s="35">
        <f t="shared" si="1"/>
        <v>-2824.5300000000007</v>
      </c>
      <c r="I53" s="1"/>
      <c r="J53" s="1"/>
      <c r="K53" s="3"/>
      <c r="L53" s="57"/>
      <c r="M53" s="27"/>
    </row>
    <row r="54" spans="1:13">
      <c r="A54" s="178"/>
      <c r="B54" s="23" t="s">
        <v>42</v>
      </c>
      <c r="C54" s="23"/>
      <c r="D54" s="23"/>
      <c r="E54" s="37"/>
      <c r="F54" s="38"/>
      <c r="G54" s="39">
        <f t="shared" si="1"/>
        <v>-2824.5300000000007</v>
      </c>
      <c r="I54" s="1"/>
      <c r="K54" s="67"/>
      <c r="L54" s="3"/>
      <c r="M54" s="27"/>
    </row>
    <row r="55" spans="1:13">
      <c r="A55" s="179">
        <v>45657</v>
      </c>
      <c r="B55" s="41" t="s">
        <v>35</v>
      </c>
      <c r="C55" s="42">
        <f>SUM(C43:C54)</f>
        <v>0</v>
      </c>
      <c r="D55" s="42"/>
      <c r="E55" s="43"/>
      <c r="F55" s="44"/>
      <c r="G55" s="45">
        <f>E55-F55+G54</f>
        <v>-2824.5300000000007</v>
      </c>
      <c r="I55" s="1"/>
      <c r="K55" s="67"/>
      <c r="L55" s="3"/>
      <c r="M55" s="27"/>
    </row>
    <row r="56" spans="1:13">
      <c r="A56" s="177"/>
      <c r="B56"/>
      <c r="C56"/>
      <c r="D56"/>
      <c r="E56" s="34"/>
      <c r="F56" s="34"/>
      <c r="G56" s="38"/>
      <c r="I56"/>
      <c r="K56" s="67"/>
      <c r="L56" s="3"/>
      <c r="M56" s="27"/>
    </row>
    <row r="57" spans="1:13">
      <c r="A57" s="175"/>
      <c r="B57"/>
      <c r="C57"/>
      <c r="D57"/>
      <c r="J57" s="3"/>
      <c r="K57" s="3"/>
      <c r="L57" s="3"/>
      <c r="M57" s="27"/>
    </row>
    <row r="58" spans="1:13">
      <c r="A58" s="180" t="s">
        <v>254</v>
      </c>
      <c r="B58" s="46" t="s">
        <v>168</v>
      </c>
      <c r="C58" s="46"/>
      <c r="D58" s="46"/>
      <c r="E58" s="47"/>
      <c r="F58" s="48"/>
      <c r="G58" s="49">
        <f>SUM(F59:F59)</f>
        <v>0</v>
      </c>
      <c r="J58" s="3"/>
      <c r="K58" s="3"/>
      <c r="L58" s="3"/>
      <c r="M58" s="27"/>
    </row>
    <row r="59" spans="1:13">
      <c r="A59" s="175"/>
      <c r="B59" s="8"/>
      <c r="C59" s="8"/>
      <c r="D59" s="8"/>
      <c r="E59"/>
      <c r="F59"/>
      <c r="G59"/>
    </row>
    <row r="60" spans="1:13">
      <c r="A60" s="175"/>
      <c r="B60" s="8"/>
      <c r="C60" s="8"/>
      <c r="D60" s="8"/>
      <c r="E60"/>
      <c r="F60"/>
      <c r="G60"/>
    </row>
    <row r="61" spans="1:13">
      <c r="A61" s="175"/>
      <c r="B61" s="8"/>
      <c r="C61" s="8"/>
      <c r="D61" s="8"/>
      <c r="E61"/>
      <c r="F61"/>
      <c r="G61"/>
    </row>
    <row r="62" spans="1:13">
      <c r="A62" s="181"/>
      <c r="B62" t="s">
        <v>359</v>
      </c>
      <c r="C62"/>
      <c r="D62"/>
      <c r="E62"/>
      <c r="F62"/>
      <c r="G62"/>
    </row>
    <row r="63" spans="1:13">
      <c r="A63" s="181"/>
      <c r="B63"/>
      <c r="C63"/>
      <c r="D63"/>
      <c r="E63"/>
      <c r="F63"/>
      <c r="G63"/>
    </row>
    <row r="64" spans="1:13">
      <c r="A64" s="181"/>
      <c r="B64" t="s">
        <v>285</v>
      </c>
      <c r="C64"/>
      <c r="E64" s="3">
        <v>48000</v>
      </c>
      <c r="G64" s="3">
        <f>G62+E64-F64</f>
        <v>48000</v>
      </c>
    </row>
    <row r="65" spans="1:7">
      <c r="A65" s="181">
        <v>44651</v>
      </c>
      <c r="B65" t="s">
        <v>286</v>
      </c>
      <c r="C65"/>
      <c r="F65">
        <v>28000</v>
      </c>
      <c r="G65" s="3">
        <f t="shared" ref="G65:G70" si="2">G64+E65-F65</f>
        <v>20000</v>
      </c>
    </row>
    <row r="66" spans="1:7">
      <c r="A66" s="181">
        <v>44681</v>
      </c>
      <c r="B66" t="s">
        <v>283</v>
      </c>
      <c r="C66"/>
      <c r="F66">
        <v>4000</v>
      </c>
      <c r="G66" s="3">
        <f t="shared" si="2"/>
        <v>16000</v>
      </c>
    </row>
    <row r="67" spans="1:7">
      <c r="A67" s="181">
        <v>44711</v>
      </c>
      <c r="B67" t="s">
        <v>284</v>
      </c>
      <c r="C67"/>
      <c r="F67">
        <v>4000</v>
      </c>
      <c r="G67" s="3">
        <f t="shared" si="2"/>
        <v>12000</v>
      </c>
    </row>
    <row r="68" spans="1:7">
      <c r="A68" s="181">
        <v>44742</v>
      </c>
      <c r="B68" t="s">
        <v>360</v>
      </c>
      <c r="C68"/>
      <c r="F68"/>
      <c r="G68" s="3">
        <f t="shared" si="2"/>
        <v>12000</v>
      </c>
    </row>
    <row r="69" spans="1:7">
      <c r="A69" s="181">
        <v>44772</v>
      </c>
      <c r="B69" t="s">
        <v>361</v>
      </c>
      <c r="C69"/>
      <c r="F69"/>
      <c r="G69" s="3">
        <f t="shared" si="2"/>
        <v>12000</v>
      </c>
    </row>
    <row r="70" spans="1:7">
      <c r="A70" s="181">
        <v>44803</v>
      </c>
      <c r="B70" t="s">
        <v>362</v>
      </c>
      <c r="C70"/>
      <c r="F70"/>
      <c r="G70" s="3">
        <f t="shared" si="2"/>
        <v>12000</v>
      </c>
    </row>
    <row r="71" spans="1:7">
      <c r="A71" s="181"/>
      <c r="B71"/>
      <c r="C71"/>
      <c r="D71"/>
      <c r="E71"/>
      <c r="F71"/>
      <c r="G71"/>
    </row>
    <row r="72" spans="1:7">
      <c r="B72" t="s">
        <v>364</v>
      </c>
      <c r="C72"/>
      <c r="D72"/>
      <c r="E72"/>
      <c r="F72"/>
      <c r="G72"/>
    </row>
    <row r="73" spans="1:7">
      <c r="B73" t="s">
        <v>363</v>
      </c>
      <c r="C73"/>
      <c r="D73"/>
      <c r="E73"/>
      <c r="F73"/>
      <c r="G73"/>
    </row>
    <row r="74" spans="1:7">
      <c r="A74" s="181"/>
      <c r="B74"/>
      <c r="C74"/>
      <c r="D74"/>
      <c r="E74"/>
      <c r="F74"/>
      <c r="G74"/>
    </row>
    <row r="75" spans="1:7">
      <c r="A75" s="175"/>
      <c r="B75" s="8"/>
      <c r="C75" s="8"/>
      <c r="D75" s="8"/>
      <c r="E75"/>
      <c r="F75"/>
      <c r="G75"/>
    </row>
    <row r="76" spans="1:7">
      <c r="A76" s="175"/>
      <c r="B76" s="8"/>
      <c r="C76" s="8"/>
      <c r="D76" s="8"/>
      <c r="E76"/>
      <c r="F76"/>
      <c r="G76"/>
    </row>
    <row r="77" spans="1:7">
      <c r="A77" s="175"/>
      <c r="B77" s="8"/>
      <c r="C77" s="8"/>
      <c r="D77" s="8"/>
      <c r="E77"/>
      <c r="F77"/>
      <c r="G77"/>
    </row>
    <row r="78" spans="1:7">
      <c r="A78" s="175"/>
      <c r="B78" s="8"/>
      <c r="C78" s="8"/>
      <c r="D78" s="8"/>
      <c r="E78"/>
      <c r="F78"/>
      <c r="G78"/>
    </row>
    <row r="79" spans="1:7">
      <c r="A79" s="175"/>
      <c r="B79" s="8"/>
      <c r="C79" s="8"/>
      <c r="D79" s="8"/>
      <c r="E79"/>
      <c r="F79"/>
      <c r="G79"/>
    </row>
    <row r="80" spans="1:7" ht="20.25">
      <c r="B80" s="174">
        <v>2023</v>
      </c>
      <c r="C80" s="8"/>
      <c r="D80" s="8"/>
      <c r="E80"/>
      <c r="F80"/>
      <c r="G80"/>
    </row>
    <row r="81" spans="1:7">
      <c r="A81" s="175"/>
      <c r="B81" s="8"/>
      <c r="C81" s="8"/>
      <c r="D81" s="8"/>
      <c r="E81"/>
      <c r="F81"/>
      <c r="G81"/>
    </row>
    <row r="82" spans="1:7">
      <c r="A82" s="175">
        <v>45315</v>
      </c>
      <c r="B82" s="8" t="s">
        <v>334</v>
      </c>
      <c r="C82" s="8"/>
      <c r="D82" s="8"/>
      <c r="E82"/>
      <c r="F82"/>
      <c r="G82"/>
    </row>
    <row r="83" spans="1:7">
      <c r="A83" s="182">
        <v>45236</v>
      </c>
      <c r="B83" t="s">
        <v>169</v>
      </c>
      <c r="C83"/>
      <c r="D83"/>
      <c r="E83" s="67"/>
    </row>
    <row r="84" spans="1:7">
      <c r="A84" s="182">
        <v>45236</v>
      </c>
      <c r="B84" s="1" t="s">
        <v>170</v>
      </c>
      <c r="C84"/>
      <c r="D84"/>
      <c r="E84" s="67"/>
    </row>
    <row r="85" spans="1:7">
      <c r="A85" s="184"/>
      <c r="B85"/>
      <c r="C85" s="68"/>
      <c r="D85" s="68"/>
      <c r="E85" s="63"/>
      <c r="F85" s="63"/>
    </row>
    <row r="86" spans="1:7">
      <c r="A86" s="182">
        <v>45236</v>
      </c>
      <c r="B86" t="s">
        <v>171</v>
      </c>
      <c r="C86"/>
      <c r="D86"/>
      <c r="E86" s="67"/>
    </row>
    <row r="87" spans="1:7">
      <c r="B87" t="s">
        <v>172</v>
      </c>
      <c r="C87"/>
      <c r="D87"/>
      <c r="E87" s="67"/>
    </row>
    <row r="88" spans="1:7">
      <c r="B88" t="s">
        <v>173</v>
      </c>
      <c r="C88"/>
      <c r="D88"/>
      <c r="E88" s="67"/>
    </row>
    <row r="89" spans="1:7">
      <c r="B89" s="3" t="s">
        <v>174</v>
      </c>
      <c r="C89"/>
      <c r="D89"/>
      <c r="E89"/>
    </row>
    <row r="90" spans="1:7">
      <c r="B90" t="s">
        <v>175</v>
      </c>
      <c r="C90"/>
      <c r="D90"/>
      <c r="E90"/>
    </row>
    <row r="91" spans="1:7">
      <c r="B91" s="3" t="s">
        <v>176</v>
      </c>
      <c r="C91"/>
      <c r="D91"/>
      <c r="E91"/>
    </row>
    <row r="92" spans="1:7">
      <c r="C92"/>
      <c r="D92"/>
      <c r="E92"/>
    </row>
    <row r="93" spans="1:7">
      <c r="B93"/>
      <c r="C93"/>
      <c r="D93"/>
      <c r="E93" t="s">
        <v>177</v>
      </c>
      <c r="F93" s="3" t="s">
        <v>178</v>
      </c>
    </row>
    <row r="94" spans="1:7">
      <c r="A94" s="182">
        <v>45236</v>
      </c>
      <c r="B94" s="3" t="s">
        <v>179</v>
      </c>
      <c r="C94">
        <v>0.65</v>
      </c>
      <c r="D94"/>
      <c r="E94" s="3">
        <v>84000</v>
      </c>
      <c r="F94" s="3">
        <f>E94*C94</f>
        <v>54600</v>
      </c>
      <c r="G94" s="3">
        <f>F94+E94</f>
        <v>138600</v>
      </c>
    </row>
    <row r="95" spans="1:7">
      <c r="B95"/>
    </row>
    <row r="96" spans="1:7">
      <c r="B96"/>
    </row>
    <row r="97" spans="1:11" ht="114.75">
      <c r="A97" s="182">
        <v>45236</v>
      </c>
      <c r="B97"/>
      <c r="E97" s="69" t="s">
        <v>180</v>
      </c>
      <c r="F97" s="69" t="s">
        <v>181</v>
      </c>
      <c r="G97" s="69" t="s">
        <v>182</v>
      </c>
    </row>
    <row r="98" spans="1:11" ht="25.5">
      <c r="B98" s="69" t="s">
        <v>183</v>
      </c>
      <c r="C98" s="3">
        <v>11.5</v>
      </c>
      <c r="E98" s="3">
        <v>138000</v>
      </c>
    </row>
    <row r="99" spans="1:11" ht="38.25">
      <c r="B99" s="70" t="s">
        <v>184</v>
      </c>
      <c r="C99" s="3">
        <v>12</v>
      </c>
      <c r="E99">
        <v>84000</v>
      </c>
      <c r="F99" s="3">
        <v>12000</v>
      </c>
      <c r="G99" s="3">
        <v>144000</v>
      </c>
    </row>
    <row r="100" spans="1:11" ht="37.5" customHeight="1">
      <c r="B100" s="69" t="s">
        <v>185</v>
      </c>
      <c r="C100" s="3">
        <v>14</v>
      </c>
      <c r="E100">
        <v>98000</v>
      </c>
      <c r="F100" s="3">
        <v>14000</v>
      </c>
      <c r="G100" s="3">
        <v>168000</v>
      </c>
    </row>
    <row r="101" spans="1:11">
      <c r="A101" s="185"/>
      <c r="B101"/>
      <c r="C101" s="1"/>
      <c r="D101" s="1"/>
      <c r="E101" s="57"/>
      <c r="F101" s="57"/>
    </row>
    <row r="102" spans="1:11">
      <c r="B102"/>
      <c r="C102"/>
      <c r="D102"/>
      <c r="J102" s="3"/>
    </row>
    <row r="103" spans="1:11">
      <c r="B103" s="3" t="s">
        <v>186</v>
      </c>
      <c r="G103" s="3">
        <f t="shared" ref="G103:G114" si="3">G102+E103-F103</f>
        <v>0</v>
      </c>
      <c r="J103" s="3"/>
    </row>
    <row r="104" spans="1:11">
      <c r="B104" t="s">
        <v>187</v>
      </c>
      <c r="C104"/>
      <c r="D104"/>
      <c r="F104" s="3">
        <v>20.95</v>
      </c>
      <c r="G104" s="3">
        <f t="shared" si="3"/>
        <v>-20.95</v>
      </c>
      <c r="J104" s="3"/>
    </row>
    <row r="105" spans="1:11">
      <c r="B105" t="s">
        <v>188</v>
      </c>
      <c r="C105"/>
      <c r="D105"/>
      <c r="F105" s="3">
        <v>11.93</v>
      </c>
      <c r="G105" s="3">
        <f t="shared" si="3"/>
        <v>-32.879999999999995</v>
      </c>
      <c r="J105" s="3"/>
    </row>
    <row r="106" spans="1:11">
      <c r="A106" s="185"/>
      <c r="B106" t="s">
        <v>189</v>
      </c>
      <c r="C106"/>
      <c r="D106"/>
      <c r="F106" s="3">
        <v>0</v>
      </c>
      <c r="G106" s="3">
        <f t="shared" si="3"/>
        <v>-32.879999999999995</v>
      </c>
      <c r="J106" s="3"/>
    </row>
    <row r="107" spans="1:11">
      <c r="A107" s="185"/>
      <c r="B107" t="s">
        <v>190</v>
      </c>
      <c r="C107"/>
      <c r="D107"/>
      <c r="F107" s="3">
        <v>23.25</v>
      </c>
      <c r="G107" s="3">
        <f t="shared" si="3"/>
        <v>-56.129999999999995</v>
      </c>
      <c r="J107" s="3"/>
    </row>
    <row r="108" spans="1:11">
      <c r="A108" s="186"/>
      <c r="B108" t="s">
        <v>158</v>
      </c>
      <c r="C108"/>
      <c r="D108"/>
      <c r="F108" s="3">
        <v>42.14</v>
      </c>
      <c r="G108" s="3">
        <f t="shared" si="3"/>
        <v>-98.27</v>
      </c>
      <c r="J108" s="3"/>
    </row>
    <row r="109" spans="1:11">
      <c r="B109" t="s">
        <v>159</v>
      </c>
      <c r="C109"/>
      <c r="D109"/>
      <c r="F109" s="3">
        <v>39.369999999999997</v>
      </c>
      <c r="G109" s="3">
        <f t="shared" si="3"/>
        <v>-137.63999999999999</v>
      </c>
      <c r="J109" s="3"/>
      <c r="K109" s="3"/>
    </row>
    <row r="110" spans="1:11">
      <c r="B110" t="s">
        <v>160</v>
      </c>
      <c r="C110"/>
      <c r="D110"/>
      <c r="F110" s="3">
        <v>150.16</v>
      </c>
      <c r="G110" s="3">
        <f t="shared" si="3"/>
        <v>-287.79999999999995</v>
      </c>
      <c r="J110" s="3"/>
      <c r="K110" s="3"/>
    </row>
    <row r="111" spans="1:11">
      <c r="B111" t="s">
        <v>161</v>
      </c>
      <c r="C111"/>
      <c r="D111"/>
      <c r="F111" s="3">
        <v>216.76</v>
      </c>
      <c r="G111" s="3">
        <f t="shared" si="3"/>
        <v>-504.55999999999995</v>
      </c>
      <c r="J111" s="3"/>
      <c r="K111" s="3"/>
    </row>
    <row r="112" spans="1:11">
      <c r="B112" t="s">
        <v>191</v>
      </c>
      <c r="C112"/>
      <c r="D112"/>
      <c r="F112" s="3">
        <v>132.72</v>
      </c>
      <c r="G112" s="3">
        <f t="shared" si="3"/>
        <v>-637.28</v>
      </c>
      <c r="J112" s="3"/>
      <c r="K112" s="3"/>
    </row>
    <row r="113" spans="1:11">
      <c r="B113"/>
      <c r="C113"/>
      <c r="D113"/>
      <c r="E113" s="3">
        <v>404.76</v>
      </c>
      <c r="G113" s="3">
        <f t="shared" si="3"/>
        <v>-232.51999999999998</v>
      </c>
      <c r="J113" s="3"/>
      <c r="K113" s="3"/>
    </row>
    <row r="114" spans="1:11">
      <c r="B114" s="1" t="s">
        <v>192</v>
      </c>
      <c r="C114" s="1"/>
      <c r="D114" s="1"/>
      <c r="E114" s="57"/>
      <c r="F114" s="57"/>
      <c r="G114" s="57">
        <f t="shared" si="3"/>
        <v>-232.51999999999998</v>
      </c>
      <c r="J114" s="3"/>
      <c r="K114" s="3"/>
    </row>
    <row r="115" spans="1:11">
      <c r="B115"/>
      <c r="C115"/>
      <c r="D115"/>
      <c r="J115" s="3"/>
      <c r="K115" s="3"/>
    </row>
    <row r="116" spans="1:11" ht="13.5" thickBot="1">
      <c r="B116"/>
      <c r="C116"/>
      <c r="D116"/>
      <c r="E116"/>
    </row>
    <row r="117" spans="1:11">
      <c r="A117" s="181"/>
      <c r="B117" s="71" t="s">
        <v>193</v>
      </c>
      <c r="C117" s="72"/>
      <c r="D117" s="72"/>
      <c r="E117" s="73"/>
      <c r="F117" s="74"/>
    </row>
    <row r="118" spans="1:11">
      <c r="A118" s="181"/>
      <c r="B118" s="75" t="s">
        <v>194</v>
      </c>
      <c r="C118"/>
      <c r="D118"/>
      <c r="E118" s="76">
        <v>48000</v>
      </c>
      <c r="F118" s="77">
        <f>E118</f>
        <v>48000</v>
      </c>
      <c r="G118"/>
    </row>
    <row r="119" spans="1:11">
      <c r="A119" s="181"/>
      <c r="B119" s="78" t="s">
        <v>195</v>
      </c>
      <c r="C119" s="1"/>
      <c r="D119" s="1"/>
      <c r="E119" s="57">
        <v>6920</v>
      </c>
      <c r="F119" s="79">
        <f t="shared" ref="F119:F126" si="4">F118-E119</f>
        <v>41080</v>
      </c>
      <c r="G119"/>
    </row>
    <row r="120" spans="1:11">
      <c r="B120" s="80" t="s">
        <v>196</v>
      </c>
      <c r="C120" s="1"/>
      <c r="D120" s="1"/>
      <c r="E120" s="57">
        <v>13000</v>
      </c>
      <c r="F120" s="79">
        <f t="shared" si="4"/>
        <v>28080</v>
      </c>
      <c r="G120"/>
    </row>
    <row r="121" spans="1:11">
      <c r="B121" s="81" t="s">
        <v>197</v>
      </c>
      <c r="C121"/>
      <c r="D121"/>
      <c r="E121"/>
      <c r="F121" s="79">
        <f t="shared" si="4"/>
        <v>28080</v>
      </c>
    </row>
    <row r="122" spans="1:11">
      <c r="B122" s="81" t="s">
        <v>198</v>
      </c>
      <c r="C122"/>
      <c r="D122"/>
      <c r="E122"/>
      <c r="F122" s="79">
        <f t="shared" si="4"/>
        <v>28080</v>
      </c>
      <c r="G122"/>
    </row>
    <row r="123" spans="1:11">
      <c r="B123" s="81" t="s">
        <v>199</v>
      </c>
      <c r="C123"/>
      <c r="D123"/>
      <c r="E123"/>
      <c r="F123" s="79">
        <f t="shared" si="4"/>
        <v>28080</v>
      </c>
      <c r="G123" s="57"/>
    </row>
    <row r="124" spans="1:11">
      <c r="B124" s="82" t="s">
        <v>200</v>
      </c>
      <c r="C124"/>
      <c r="D124"/>
      <c r="E124"/>
      <c r="F124" s="79">
        <f t="shared" si="4"/>
        <v>28080</v>
      </c>
      <c r="G124" s="57"/>
    </row>
    <row r="125" spans="1:11">
      <c r="B125" s="81" t="s">
        <v>201</v>
      </c>
      <c r="C125"/>
      <c r="D125"/>
      <c r="E125"/>
      <c r="F125" s="79">
        <f t="shared" si="4"/>
        <v>28080</v>
      </c>
      <c r="G125" s="57"/>
    </row>
    <row r="126" spans="1:11">
      <c r="B126" s="78" t="s">
        <v>202</v>
      </c>
      <c r="C126" s="1"/>
      <c r="D126" s="1"/>
      <c r="E126" s="57">
        <v>28080</v>
      </c>
      <c r="F126" s="79">
        <f t="shared" si="4"/>
        <v>0</v>
      </c>
      <c r="G126" s="57"/>
    </row>
    <row r="127" spans="1:11">
      <c r="B127" s="81"/>
      <c r="C127"/>
      <c r="D127"/>
      <c r="E127"/>
      <c r="F127" s="79"/>
      <c r="G127" s="57"/>
    </row>
    <row r="128" spans="1:11">
      <c r="B128" s="81"/>
      <c r="C128"/>
      <c r="D128"/>
      <c r="E128"/>
      <c r="F128" s="79"/>
      <c r="G128" s="83"/>
    </row>
    <row r="129" spans="1:7">
      <c r="B129" s="84" t="s">
        <v>203</v>
      </c>
      <c r="C129"/>
      <c r="D129"/>
      <c r="E129" s="3">
        <v>83000</v>
      </c>
      <c r="F129" s="79">
        <v>83000</v>
      </c>
    </row>
    <row r="130" spans="1:7">
      <c r="B130" s="81" t="s">
        <v>198</v>
      </c>
      <c r="C130"/>
      <c r="D130"/>
      <c r="F130" s="79">
        <f t="shared" ref="F130:F136" si="5">F129-E130</f>
        <v>83000</v>
      </c>
      <c r="G130"/>
    </row>
    <row r="131" spans="1:7">
      <c r="B131" s="81" t="s">
        <v>199</v>
      </c>
      <c r="C131"/>
      <c r="D131"/>
      <c r="F131" s="79">
        <f t="shared" si="5"/>
        <v>83000</v>
      </c>
      <c r="G131" s="57"/>
    </row>
    <row r="132" spans="1:7">
      <c r="B132" s="85" t="s">
        <v>204</v>
      </c>
      <c r="C132"/>
      <c r="D132"/>
      <c r="F132" s="79">
        <f t="shared" si="5"/>
        <v>83000</v>
      </c>
      <c r="G132" s="57"/>
    </row>
    <row r="133" spans="1:7">
      <c r="B133" s="86" t="s">
        <v>201</v>
      </c>
      <c r="C133"/>
      <c r="D133"/>
      <c r="F133" s="79">
        <f t="shared" si="5"/>
        <v>83000</v>
      </c>
      <c r="G133" s="57"/>
    </row>
    <row r="134" spans="1:7">
      <c r="B134" s="86"/>
      <c r="C134"/>
      <c r="D134"/>
      <c r="E134"/>
      <c r="F134" s="79">
        <f t="shared" si="5"/>
        <v>83000</v>
      </c>
      <c r="G134" s="57"/>
    </row>
    <row r="135" spans="1:7">
      <c r="B135" s="87" t="s">
        <v>205</v>
      </c>
      <c r="C135"/>
      <c r="D135"/>
      <c r="E135" s="57">
        <v>50000</v>
      </c>
      <c r="F135" s="79">
        <f t="shared" si="5"/>
        <v>33000</v>
      </c>
      <c r="G135" s="57"/>
    </row>
    <row r="136" spans="1:7" ht="13.5" thickBot="1">
      <c r="B136" s="88" t="s">
        <v>206</v>
      </c>
      <c r="C136" s="89"/>
      <c r="D136" s="89"/>
      <c r="E136" s="89"/>
      <c r="F136" s="90">
        <f t="shared" si="5"/>
        <v>33000</v>
      </c>
      <c r="G136" s="57"/>
    </row>
    <row r="137" spans="1:7">
      <c r="B137" s="26"/>
      <c r="C137"/>
      <c r="D137"/>
      <c r="E137"/>
      <c r="G137" s="57"/>
    </row>
    <row r="138" spans="1:7">
      <c r="B138" s="1" t="s">
        <v>207</v>
      </c>
      <c r="F138" s="57"/>
      <c r="G138" s="57"/>
    </row>
    <row r="139" spans="1:7">
      <c r="B139" t="s">
        <v>208</v>
      </c>
      <c r="C139"/>
      <c r="D139"/>
      <c r="E139" s="3">
        <v>1252.54</v>
      </c>
      <c r="G139" s="57"/>
    </row>
    <row r="140" spans="1:7">
      <c r="B140" t="s">
        <v>209</v>
      </c>
      <c r="C140"/>
      <c r="D140"/>
      <c r="E140" s="3">
        <v>375</v>
      </c>
      <c r="G140" s="57"/>
    </row>
    <row r="141" spans="1:7">
      <c r="B141" t="s">
        <v>210</v>
      </c>
      <c r="C141"/>
      <c r="D141"/>
      <c r="E141" s="3">
        <v>1500</v>
      </c>
      <c r="G141" s="57"/>
    </row>
    <row r="142" spans="1:7">
      <c r="A142" s="182">
        <v>45015</v>
      </c>
      <c r="B142" t="s">
        <v>211</v>
      </c>
      <c r="C142"/>
      <c r="D142"/>
      <c r="E142" s="3">
        <v>1447</v>
      </c>
      <c r="G142" s="57"/>
    </row>
    <row r="143" spans="1:7">
      <c r="B143" t="s">
        <v>212</v>
      </c>
      <c r="C143" s="1"/>
      <c r="D143" s="1"/>
      <c r="F143" s="57">
        <v>4574.54</v>
      </c>
      <c r="G143" s="57"/>
    </row>
    <row r="144" spans="1:7">
      <c r="B144"/>
      <c r="C144"/>
      <c r="D144"/>
      <c r="E144"/>
      <c r="G144" s="57"/>
    </row>
    <row r="145" spans="1:7" ht="20.25">
      <c r="A145" s="183">
        <v>2021</v>
      </c>
      <c r="B145"/>
      <c r="C145"/>
      <c r="D145"/>
      <c r="E145"/>
      <c r="F145"/>
    </row>
    <row r="146" spans="1:7">
      <c r="B146" s="1"/>
      <c r="C146" s="1"/>
      <c r="D146" s="1"/>
      <c r="E146" s="3" t="s">
        <v>213</v>
      </c>
      <c r="F146" s="3" t="s">
        <v>214</v>
      </c>
    </row>
    <row r="147" spans="1:7">
      <c r="B147" t="s">
        <v>215</v>
      </c>
      <c r="C147"/>
      <c r="D147"/>
      <c r="E147" s="3">
        <v>36000</v>
      </c>
    </row>
    <row r="148" spans="1:7">
      <c r="B148" t="s">
        <v>216</v>
      </c>
      <c r="C148"/>
      <c r="D148"/>
      <c r="F148" s="57">
        <v>28000</v>
      </c>
    </row>
    <row r="149" spans="1:7">
      <c r="A149" s="181"/>
      <c r="B149" t="s">
        <v>217</v>
      </c>
      <c r="C149"/>
      <c r="D149"/>
      <c r="F149" s="57">
        <v>4000</v>
      </c>
      <c r="G149"/>
    </row>
    <row r="150" spans="1:7">
      <c r="A150" s="181"/>
      <c r="B150" t="s">
        <v>218</v>
      </c>
      <c r="C150"/>
      <c r="D150"/>
      <c r="F150" s="57">
        <v>4000</v>
      </c>
      <c r="G150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46"/>
  <sheetViews>
    <sheetView zoomScale="145" zoomScaleNormal="145" workbookViewId="0">
      <selection activeCell="G46" sqref="B4:G46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</cols>
  <sheetData>
    <row r="4" spans="2:9">
      <c r="C4" t="s">
        <v>359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360</v>
      </c>
      <c r="E10" s="3"/>
      <c r="G10" s="3">
        <f t="shared" si="0"/>
        <v>12000</v>
      </c>
    </row>
    <row r="11" spans="2:9">
      <c r="B11" s="60">
        <v>44772</v>
      </c>
      <c r="C11" t="s">
        <v>361</v>
      </c>
      <c r="E11" s="3"/>
      <c r="G11" s="3">
        <f t="shared" si="0"/>
        <v>12000</v>
      </c>
    </row>
    <row r="12" spans="2:9">
      <c r="B12" s="60">
        <v>44803</v>
      </c>
      <c r="C12" t="s">
        <v>362</v>
      </c>
      <c r="E12" s="3"/>
      <c r="G12" s="3">
        <f t="shared" si="0"/>
        <v>12000</v>
      </c>
    </row>
    <row r="13" spans="2:9">
      <c r="I13" s="3"/>
    </row>
    <row r="14" spans="2:9">
      <c r="B14" t="s">
        <v>364</v>
      </c>
      <c r="I14" s="3"/>
    </row>
    <row r="15" spans="2:9">
      <c r="B15" t="s">
        <v>363</v>
      </c>
      <c r="I15" s="3"/>
    </row>
    <row r="16" spans="2:9">
      <c r="I16" s="3"/>
    </row>
    <row r="17" spans="2:7">
      <c r="B17" s="60">
        <v>44957</v>
      </c>
      <c r="C17" s="155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5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6" si="2">E18-F18+G17</f>
        <v>7380.18</v>
      </c>
    </row>
    <row r="19" spans="2:7">
      <c r="C19" s="155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5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5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5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5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5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5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5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5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4">
        <v>45291</v>
      </c>
      <c r="C28" s="155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4">
        <v>45322</v>
      </c>
      <c r="C29" s="156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6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6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8" t="s">
        <v>351</v>
      </c>
      <c r="E32" s="66"/>
      <c r="F32" s="32">
        <v>-3795</v>
      </c>
      <c r="G32" s="33">
        <f t="shared" si="2"/>
        <v>44128.042699398524</v>
      </c>
    </row>
    <row r="33" spans="3:7">
      <c r="C33" s="156" t="s">
        <v>365</v>
      </c>
      <c r="D33">
        <v>3.16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3:7">
      <c r="C34" s="158" t="s">
        <v>208</v>
      </c>
      <c r="E34" s="66"/>
      <c r="F34" s="32">
        <v>-5600</v>
      </c>
      <c r="G34" s="33">
        <f t="shared" si="2"/>
        <v>-19162.331988289479</v>
      </c>
    </row>
    <row r="35" spans="3:7">
      <c r="C35" s="157" t="s">
        <v>366</v>
      </c>
      <c r="E35" s="66">
        <v>17002</v>
      </c>
      <c r="F35" s="32"/>
      <c r="G35" s="33">
        <f t="shared" si="2"/>
        <v>-2160.3319882894793</v>
      </c>
    </row>
    <row r="36" spans="3:7">
      <c r="C36" s="157" t="s">
        <v>279</v>
      </c>
      <c r="E36" s="66">
        <v>17002</v>
      </c>
      <c r="G36" s="33">
        <f t="shared" si="2"/>
        <v>14841.668011710521</v>
      </c>
    </row>
    <row r="37" spans="3:7">
      <c r="C37" s="157" t="s">
        <v>280</v>
      </c>
      <c r="E37" s="66">
        <v>17002</v>
      </c>
      <c r="G37" s="33">
        <f t="shared" si="2"/>
        <v>31843.668011710521</v>
      </c>
    </row>
    <row r="38" spans="3:7">
      <c r="C38" s="157" t="s">
        <v>281</v>
      </c>
      <c r="E38" s="66">
        <v>17002</v>
      </c>
      <c r="G38" s="33">
        <f t="shared" si="2"/>
        <v>48845.668011710521</v>
      </c>
    </row>
    <row r="39" spans="3:7">
      <c r="C39" s="157" t="s">
        <v>367</v>
      </c>
      <c r="E39" s="66">
        <v>17002</v>
      </c>
      <c r="G39" s="33">
        <f t="shared" si="2"/>
        <v>65847.668011710513</v>
      </c>
    </row>
    <row r="40" spans="3:7">
      <c r="C40" s="157" t="s">
        <v>263</v>
      </c>
      <c r="E40" s="66">
        <v>17002</v>
      </c>
      <c r="G40" s="33">
        <f t="shared" si="2"/>
        <v>82849.668011710513</v>
      </c>
    </row>
    <row r="41" spans="3:7">
      <c r="C41" s="157" t="s">
        <v>264</v>
      </c>
      <c r="E41" s="66">
        <v>17002</v>
      </c>
      <c r="G41" s="33">
        <f t="shared" si="2"/>
        <v>99851.668011710513</v>
      </c>
    </row>
    <row r="42" spans="3:7">
      <c r="C42" s="157" t="s">
        <v>265</v>
      </c>
      <c r="E42" s="66">
        <v>17002</v>
      </c>
      <c r="G42" s="33">
        <f t="shared" si="2"/>
        <v>116853.66801171051</v>
      </c>
    </row>
    <row r="43" spans="3:7">
      <c r="C43" s="157" t="s">
        <v>274</v>
      </c>
      <c r="E43" s="66">
        <v>17002</v>
      </c>
      <c r="G43" s="33">
        <f t="shared" si="2"/>
        <v>133855.66801171051</v>
      </c>
    </row>
    <row r="44" spans="3:7">
      <c r="C44" s="157" t="s">
        <v>275</v>
      </c>
      <c r="E44" s="66">
        <v>17002</v>
      </c>
      <c r="G44" s="33">
        <f t="shared" si="2"/>
        <v>150857.66801171051</v>
      </c>
    </row>
    <row r="45" spans="3:7">
      <c r="C45" s="157" t="s">
        <v>276</v>
      </c>
      <c r="E45" s="66">
        <v>17002</v>
      </c>
      <c r="G45" s="33">
        <f t="shared" si="2"/>
        <v>167859.66801171051</v>
      </c>
    </row>
    <row r="46" spans="3:7">
      <c r="C46" s="157" t="s">
        <v>365</v>
      </c>
      <c r="E46" s="66">
        <v>17002</v>
      </c>
      <c r="G46" s="33">
        <f t="shared" si="2"/>
        <v>184861.66801171051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335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3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26" zoomScale="175" zoomScaleNormal="175" workbookViewId="0">
      <selection activeCell="F45" sqref="F45"/>
    </sheetView>
  </sheetViews>
  <sheetFormatPr defaultRowHeight="12.75"/>
  <cols>
    <col min="1" max="1" width="10.5703125" bestFit="1" customWidth="1"/>
    <col min="2" max="2" width="11.28515625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344</v>
      </c>
    </row>
    <row r="3" spans="1:8">
      <c r="C3" s="5" t="s">
        <v>336</v>
      </c>
      <c r="D3" s="1" t="s">
        <v>337</v>
      </c>
      <c r="E3" s="5" t="s">
        <v>338</v>
      </c>
      <c r="F3" s="1"/>
      <c r="H3" s="5" t="s">
        <v>4</v>
      </c>
    </row>
    <row r="4" spans="1:8">
      <c r="C4" s="130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1" t="s">
        <v>339</v>
      </c>
      <c r="H5" s="132">
        <f>D5</f>
        <v>121030.76</v>
      </c>
    </row>
    <row r="6" spans="1:8" ht="14.25">
      <c r="D6" s="103"/>
      <c r="G6" s="2" t="s">
        <v>340</v>
      </c>
      <c r="H6" s="133">
        <f>H23*-1</f>
        <v>102076.79999999999</v>
      </c>
    </row>
    <row r="7" spans="1:8" ht="14.25">
      <c r="D7" s="103"/>
      <c r="H7" s="133">
        <f>H6+H5</f>
        <v>223107.56</v>
      </c>
    </row>
    <row r="8" spans="1:8">
      <c r="A8" s="134">
        <v>45295</v>
      </c>
      <c r="C8" s="102">
        <v>10000</v>
      </c>
      <c r="D8" s="98">
        <f>H7-C8</f>
        <v>213107.56</v>
      </c>
      <c r="E8" s="135">
        <v>10000</v>
      </c>
      <c r="F8" s="136"/>
      <c r="G8" s="136" t="s">
        <v>341</v>
      </c>
      <c r="H8" s="137">
        <f t="shared" ref="H8:H19" si="0">H7-E8</f>
        <v>213107.56</v>
      </c>
    </row>
    <row r="9" spans="1:8">
      <c r="A9" s="134">
        <v>45323</v>
      </c>
      <c r="C9" s="102">
        <v>10000</v>
      </c>
      <c r="D9" s="98">
        <f t="shared" ref="D9:D19" si="1">D8-C9</f>
        <v>203107.56</v>
      </c>
      <c r="E9" s="135">
        <v>10000</v>
      </c>
      <c r="F9" s="136"/>
      <c r="G9" s="136" t="s">
        <v>341</v>
      </c>
      <c r="H9" s="98">
        <f t="shared" si="0"/>
        <v>203107.56</v>
      </c>
    </row>
    <row r="10" spans="1:8">
      <c r="A10" s="134">
        <v>45352</v>
      </c>
      <c r="C10" s="102">
        <v>10000</v>
      </c>
      <c r="D10" s="98">
        <f t="shared" si="1"/>
        <v>193107.56</v>
      </c>
      <c r="E10" s="135">
        <v>10000</v>
      </c>
      <c r="F10" s="136"/>
      <c r="G10" s="136" t="s">
        <v>341</v>
      </c>
      <c r="H10" s="98">
        <f t="shared" si="0"/>
        <v>193107.56</v>
      </c>
    </row>
    <row r="11" spans="1:8">
      <c r="A11" s="134">
        <v>45383</v>
      </c>
      <c r="C11" s="102">
        <v>10000</v>
      </c>
      <c r="D11" s="98">
        <f t="shared" si="1"/>
        <v>183107.56</v>
      </c>
      <c r="E11" s="135">
        <v>10000</v>
      </c>
      <c r="F11" s="136"/>
      <c r="G11" s="136" t="s">
        <v>341</v>
      </c>
      <c r="H11" s="98">
        <f t="shared" si="0"/>
        <v>183107.56</v>
      </c>
    </row>
    <row r="12" spans="1:8">
      <c r="A12" s="134">
        <v>45413</v>
      </c>
      <c r="C12" s="102">
        <v>10000</v>
      </c>
      <c r="D12" s="98">
        <f t="shared" si="1"/>
        <v>173107.56</v>
      </c>
      <c r="H12" s="98">
        <f t="shared" si="0"/>
        <v>183107.56</v>
      </c>
    </row>
    <row r="13" spans="1:8">
      <c r="A13" s="134">
        <v>45444</v>
      </c>
      <c r="C13" s="102">
        <v>10000</v>
      </c>
      <c r="D13" s="98">
        <f t="shared" si="1"/>
        <v>163107.56</v>
      </c>
      <c r="H13" s="98">
        <f t="shared" si="0"/>
        <v>183107.56</v>
      </c>
    </row>
    <row r="14" spans="1:8">
      <c r="A14" s="134">
        <v>45474</v>
      </c>
      <c r="C14" s="102">
        <v>10000</v>
      </c>
      <c r="D14" s="98">
        <f t="shared" si="1"/>
        <v>153107.56</v>
      </c>
      <c r="H14" s="98">
        <f t="shared" si="0"/>
        <v>183107.56</v>
      </c>
    </row>
    <row r="15" spans="1:8">
      <c r="A15" s="134">
        <v>45505</v>
      </c>
      <c r="C15" s="102">
        <v>10000</v>
      </c>
      <c r="D15" s="98">
        <f t="shared" si="1"/>
        <v>143107.56</v>
      </c>
      <c r="H15" s="98">
        <f t="shared" si="0"/>
        <v>183107.56</v>
      </c>
    </row>
    <row r="16" spans="1:8">
      <c r="A16" s="134">
        <v>45536</v>
      </c>
      <c r="C16" s="102">
        <v>10000</v>
      </c>
      <c r="D16" s="98">
        <f t="shared" si="1"/>
        <v>133107.56</v>
      </c>
      <c r="H16" s="98">
        <f t="shared" si="0"/>
        <v>183107.56</v>
      </c>
    </row>
    <row r="17" spans="1:10">
      <c r="A17" s="134">
        <v>45566</v>
      </c>
      <c r="C17" s="102">
        <v>10000</v>
      </c>
      <c r="D17" s="98">
        <f t="shared" si="1"/>
        <v>123107.56</v>
      </c>
      <c r="H17" s="98">
        <f t="shared" si="0"/>
        <v>183107.56</v>
      </c>
    </row>
    <row r="18" spans="1:10">
      <c r="A18" s="134">
        <v>45597</v>
      </c>
      <c r="C18" s="102">
        <v>10000</v>
      </c>
      <c r="D18" s="98">
        <f t="shared" si="1"/>
        <v>113107.56</v>
      </c>
      <c r="H18" s="98">
        <f t="shared" si="0"/>
        <v>183107.56</v>
      </c>
    </row>
    <row r="19" spans="1:10">
      <c r="A19" s="134">
        <v>45627</v>
      </c>
      <c r="C19" s="102">
        <v>11030.76</v>
      </c>
      <c r="D19" s="98">
        <f t="shared" si="1"/>
        <v>102076.8</v>
      </c>
      <c r="H19" s="98">
        <f t="shared" si="0"/>
        <v>183107.56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8">
        <v>0.76480000000000004</v>
      </c>
      <c r="E21" s="138">
        <f>1-D21</f>
        <v>0.23519999999999996</v>
      </c>
      <c r="H21" s="103"/>
    </row>
    <row r="22" spans="1:10">
      <c r="A22" s="127" t="s">
        <v>23</v>
      </c>
      <c r="B22" s="127" t="s">
        <v>24</v>
      </c>
      <c r="C22" s="139" t="s">
        <v>288</v>
      </c>
      <c r="D22" s="140" t="s">
        <v>289</v>
      </c>
      <c r="E22" s="139" t="s">
        <v>290</v>
      </c>
      <c r="F22" s="141" t="s">
        <v>291</v>
      </c>
      <c r="G22" s="139" t="s">
        <v>292</v>
      </c>
      <c r="H22" s="142" t="s">
        <v>248</v>
      </c>
    </row>
    <row r="23" spans="1:10">
      <c r="A23" s="127"/>
      <c r="B23" s="128" t="s">
        <v>295</v>
      </c>
      <c r="C23" s="129">
        <f>SUBTOTAL(109,C24:C38)</f>
        <v>611000</v>
      </c>
      <c r="D23" s="129">
        <f>SUBTOTAL(109,D24:D38)</f>
        <v>434000</v>
      </c>
      <c r="E23" s="129">
        <f>SUM(E24:E38)</f>
        <v>-41630.399999999994</v>
      </c>
      <c r="F23" s="128"/>
      <c r="G23" s="129">
        <f>SUBTOTAL(109,$G$24:$G$38)</f>
        <v>-102076.79999999999</v>
      </c>
      <c r="H23" s="129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3"/>
      <c r="B25" s="144"/>
      <c r="C25" s="145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6"/>
      <c r="B26" s="147"/>
      <c r="C26" s="148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6"/>
      <c r="B27" s="147"/>
      <c r="C27" s="148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3"/>
      <c r="B28" s="144"/>
      <c r="C28" s="145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3">
        <v>45405</v>
      </c>
      <c r="B29" s="144" t="s">
        <v>358</v>
      </c>
      <c r="C29" s="145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3">
        <v>45405</v>
      </c>
      <c r="B30" s="144" t="s">
        <v>355</v>
      </c>
      <c r="C30" s="145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3">
        <v>45405</v>
      </c>
      <c r="B31" s="144" t="s">
        <v>357</v>
      </c>
      <c r="C31" s="145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3">
        <v>45397</v>
      </c>
      <c r="B32" s="144" t="s">
        <v>356</v>
      </c>
      <c r="C32" s="145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6">
        <v>45397</v>
      </c>
      <c r="B33" s="147" t="s">
        <v>354</v>
      </c>
      <c r="C33" s="148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13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6"/>
      <c r="B35" s="147" t="s">
        <v>342</v>
      </c>
      <c r="C35" s="148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6">
        <v>45296</v>
      </c>
      <c r="B36" s="147" t="s">
        <v>343</v>
      </c>
      <c r="C36" s="148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3">
        <v>45295</v>
      </c>
      <c r="B37" s="147" t="s">
        <v>343</v>
      </c>
      <c r="C37" s="145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46">
        <v>45292</v>
      </c>
      <c r="B38" s="147" t="s">
        <v>254</v>
      </c>
      <c r="C38" s="149">
        <v>170000</v>
      </c>
      <c r="D38" s="108">
        <f t="shared" si="2"/>
        <v>0</v>
      </c>
      <c r="E38" s="109">
        <f t="shared" si="3"/>
        <v>-39983.999999999993</v>
      </c>
      <c r="F38" s="114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5"/>
      <c r="H41" s="115"/>
      <c r="I41" s="116"/>
    </row>
    <row r="42" spans="1:10" ht="15.75">
      <c r="B42" t="s">
        <v>250</v>
      </c>
      <c r="C42" s="117">
        <v>1</v>
      </c>
      <c r="D42" s="150">
        <f>D21</f>
        <v>0.76480000000000004</v>
      </c>
      <c r="E42" s="150">
        <f>1-D42</f>
        <v>0.23519999999999996</v>
      </c>
      <c r="H42" s="103"/>
    </row>
    <row r="43" spans="1:10">
      <c r="B43" t="s">
        <v>298</v>
      </c>
      <c r="C43" s="118">
        <f>$D$23*C42</f>
        <v>434000</v>
      </c>
      <c r="D43" s="119">
        <f>$D$23*D42</f>
        <v>331923.20000000001</v>
      </c>
      <c r="E43" s="119">
        <f>$D$23*E42</f>
        <v>102076.79999999999</v>
      </c>
      <c r="H43" s="103"/>
    </row>
    <row r="44" spans="1:10">
      <c r="B44" t="s">
        <v>251</v>
      </c>
      <c r="C44" s="108">
        <f>D44+E44</f>
        <v>0</v>
      </c>
      <c r="D44" s="103">
        <f>E44/D42*E42</f>
        <v>0</v>
      </c>
      <c r="E44" s="103">
        <f>$I$23*-1</f>
        <v>0</v>
      </c>
      <c r="G44" s="120"/>
      <c r="H44" s="103"/>
      <c r="J44" s="103"/>
    </row>
    <row r="45" spans="1:10">
      <c r="B45" t="s">
        <v>299</v>
      </c>
      <c r="C45" s="108">
        <f>C43-C44</f>
        <v>434000</v>
      </c>
      <c r="D45" s="103">
        <f>D43-D44</f>
        <v>331923.20000000001</v>
      </c>
      <c r="E45" s="103">
        <f>E43-E44</f>
        <v>102076.79999999999</v>
      </c>
      <c r="G45" s="103"/>
      <c r="H45" s="103"/>
      <c r="J45" s="103"/>
    </row>
    <row r="46" spans="1:10" ht="13.5" thickBot="1">
      <c r="C46" s="121"/>
      <c r="D46" s="121"/>
      <c r="E46" s="121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2"/>
      <c r="E49" s="103"/>
      <c r="H49" s="103"/>
      <c r="J49" s="103"/>
    </row>
    <row r="50" spans="2:10">
      <c r="B50" s="103" t="s">
        <v>249</v>
      </c>
      <c r="C50" s="103">
        <f>D44</f>
        <v>0</v>
      </c>
      <c r="D50" s="52">
        <v>2.5000000000000001E-2</v>
      </c>
      <c r="E50" s="103">
        <f>C50*D50</f>
        <v>0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2024-04-22T13:58:31Z</dcterms:modified>
</cp:coreProperties>
</file>