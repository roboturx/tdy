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E39600F-B2D4-4468-8779-3FD909E46075}" xr6:coauthVersionLast="47" xr6:coauthVersionMax="47" xr10:uidLastSave="{00000000-0000-0000-0000-000000000000}"/>
  <bookViews>
    <workbookView xWindow="-120" yWindow="-120" windowWidth="29040" windowHeight="15720" tabRatio="912" activeTab="5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2-22" sheetId="5" r:id="rId5"/>
    <sheet name="SnyF601-22" sheetId="6" r:id="rId6"/>
    <sheet name="Sayfa1" sheetId="15" r:id="rId7"/>
    <sheet name="SnyG702-22" sheetId="7" r:id="rId8"/>
    <sheet name="SnH_yazıhane" sheetId="8" r:id="rId9"/>
    <sheet name="NAZAN" sheetId="16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4" l="1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D10" i="6"/>
  <c r="E10" i="6" s="1"/>
  <c r="D11" i="6" s="1"/>
  <c r="E11" i="6" s="1"/>
  <c r="E20" i="6"/>
  <c r="G13" i="4" l="1"/>
  <c r="G14" i="4" s="1"/>
  <c r="G15" i="4" s="1"/>
  <c r="G16" i="4" s="1"/>
  <c r="G17" i="4" s="1"/>
  <c r="G18" i="4" s="1"/>
  <c r="G19" i="4" s="1"/>
  <c r="G20" i="4" s="1"/>
  <c r="G21" i="4" s="1"/>
  <c r="E12" i="6"/>
  <c r="E24" i="1"/>
  <c r="E22" i="1"/>
  <c r="C28" i="1"/>
  <c r="F27" i="1"/>
  <c r="D27" i="1"/>
  <c r="F26" i="1"/>
  <c r="D26" i="1"/>
  <c r="E26" i="1"/>
  <c r="F25" i="1"/>
  <c r="D25" i="1"/>
  <c r="F23" i="1"/>
  <c r="D23" i="1"/>
  <c r="E23" i="1" s="1"/>
  <c r="F22" i="1"/>
  <c r="F21" i="1"/>
  <c r="E21" i="1"/>
  <c r="H5" i="16"/>
  <c r="F30" i="1" l="1"/>
  <c r="E25" i="1"/>
  <c r="E27" i="1"/>
  <c r="C30" i="1"/>
  <c r="D28" i="1"/>
  <c r="D30" i="1" s="1"/>
  <c r="D41" i="16"/>
  <c r="E43" i="16"/>
  <c r="E41" i="16"/>
  <c r="D43" i="16" s="1"/>
  <c r="G37" i="16"/>
  <c r="H37" i="16" s="1"/>
  <c r="D37" i="16"/>
  <c r="E36" i="16"/>
  <c r="E35" i="16"/>
  <c r="E34" i="16"/>
  <c r="G33" i="16"/>
  <c r="E33" i="16"/>
  <c r="D33" i="16"/>
  <c r="G32" i="16"/>
  <c r="D32" i="16"/>
  <c r="G31" i="16"/>
  <c r="D31" i="16"/>
  <c r="G30" i="16"/>
  <c r="E30" i="16"/>
  <c r="D30" i="16"/>
  <c r="G29" i="16"/>
  <c r="D29" i="16"/>
  <c r="G28" i="16"/>
  <c r="D28" i="16"/>
  <c r="G27" i="16"/>
  <c r="D27" i="16"/>
  <c r="G26" i="16"/>
  <c r="D26" i="16"/>
  <c r="G25" i="16"/>
  <c r="D25" i="16"/>
  <c r="G24" i="16"/>
  <c r="D24" i="16"/>
  <c r="C23" i="16"/>
  <c r="E21" i="16"/>
  <c r="G34" i="16" s="1"/>
  <c r="D13" i="3"/>
  <c r="D26" i="2"/>
  <c r="D25" i="2"/>
  <c r="E28" i="1" l="1"/>
  <c r="E30" i="1" s="1"/>
  <c r="E25" i="16"/>
  <c r="E31" i="16"/>
  <c r="E24" i="16"/>
  <c r="E32" i="16"/>
  <c r="G35" i="16"/>
  <c r="E26" i="16"/>
  <c r="E27" i="16"/>
  <c r="G36" i="16"/>
  <c r="E37" i="16"/>
  <c r="E28" i="16"/>
  <c r="H36" i="16"/>
  <c r="E29" i="16"/>
  <c r="C49" i="16"/>
  <c r="E49" i="16" s="1"/>
  <c r="C43" i="16"/>
  <c r="D23" i="16" l="1"/>
  <c r="E23" i="16"/>
  <c r="H35" i="16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H24" i="16" s="1"/>
  <c r="H23" i="16" s="1"/>
  <c r="H6" i="16" s="1"/>
  <c r="H7" i="16" s="1"/>
  <c r="G5" i="15"/>
  <c r="G6" i="15" s="1"/>
  <c r="G7" i="15" s="1"/>
  <c r="G8" i="15" s="1"/>
  <c r="G9" i="15" s="1"/>
  <c r="G10" i="15" s="1"/>
  <c r="G11" i="15" s="1"/>
  <c r="E14" i="15"/>
  <c r="E15" i="15" s="1"/>
  <c r="G13" i="15"/>
  <c r="D9" i="1"/>
  <c r="G40" i="2"/>
  <c r="E5" i="2" s="1"/>
  <c r="C37" i="7"/>
  <c r="C37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90" i="6"/>
  <c r="F91" i="6" s="1"/>
  <c r="F92" i="6" s="1"/>
  <c r="F93" i="6" s="1"/>
  <c r="F94" i="6" s="1"/>
  <c r="F95" i="6" s="1"/>
  <c r="F96" i="6" s="1"/>
  <c r="F78" i="6"/>
  <c r="F79" i="6" s="1"/>
  <c r="F80" i="6" s="1"/>
  <c r="F81" i="6" s="1"/>
  <c r="F82" i="6" s="1"/>
  <c r="F83" i="6" s="1"/>
  <c r="F84" i="6" s="1"/>
  <c r="F85" i="6" s="1"/>
  <c r="F86" i="6" s="1"/>
  <c r="G63" i="6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F54" i="6"/>
  <c r="G54" i="6" s="1"/>
  <c r="G40" i="6"/>
  <c r="E5" i="6" s="1"/>
  <c r="G25" i="6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9" i="6"/>
  <c r="F4" i="6"/>
  <c r="D12" i="1" s="1"/>
  <c r="F60" i="5"/>
  <c r="F61" i="5" s="1"/>
  <c r="F62" i="5" s="1"/>
  <c r="F63" i="5" s="1"/>
  <c r="F64" i="5" s="1"/>
  <c r="F65" i="5" s="1"/>
  <c r="F66" i="5" s="1"/>
  <c r="F67" i="5" s="1"/>
  <c r="F68" i="5" s="1"/>
  <c r="F69" i="5" s="1"/>
  <c r="F59" i="5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G23" i="16" l="1"/>
  <c r="D42" i="16"/>
  <c r="E42" i="16"/>
  <c r="C42" i="16"/>
  <c r="C44" i="16" s="1"/>
  <c r="D44" i="16"/>
  <c r="E44" i="16"/>
  <c r="D8" i="16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10" i="1"/>
  <c r="G2" i="8"/>
  <c r="E16" i="15"/>
  <c r="G14" i="15"/>
  <c r="G15" i="15" s="1"/>
  <c r="D6" i="3"/>
  <c r="F9" i="1" s="1"/>
  <c r="G7" i="6"/>
  <c r="G10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17" i="15" l="1"/>
  <c r="G16" i="15"/>
  <c r="D16" i="1"/>
  <c r="E8" i="1"/>
  <c r="G11" i="6"/>
  <c r="F16" i="1"/>
  <c r="E18" i="15" l="1"/>
  <c r="G17" i="15"/>
  <c r="G12" i="6"/>
  <c r="E19" i="15" l="1"/>
  <c r="G18" i="15"/>
  <c r="G13" i="6"/>
  <c r="E20" i="15" l="1"/>
  <c r="G19" i="15"/>
  <c r="G14" i="6"/>
  <c r="E21" i="15" l="1"/>
  <c r="G20" i="15"/>
  <c r="G15" i="6"/>
  <c r="G21" i="15" l="1"/>
  <c r="E22" i="15"/>
  <c r="G16" i="6"/>
  <c r="E23" i="15" l="1"/>
  <c r="G22" i="15"/>
  <c r="G17" i="6"/>
  <c r="E24" i="15" l="1"/>
  <c r="G23" i="15"/>
  <c r="G18" i="6"/>
  <c r="G24" i="15" l="1"/>
  <c r="G19" i="6"/>
  <c r="G20" i="6" l="1"/>
  <c r="G4" i="6" s="1"/>
  <c r="E4" i="6"/>
  <c r="C12" i="1" s="1"/>
  <c r="E12" i="1" l="1"/>
  <c r="E16" i="1" s="1"/>
  <c r="C16" i="1"/>
  <c r="D34" i="16"/>
  <c r="D36" i="16"/>
  <c r="D35" i="16"/>
</calcChain>
</file>

<file path=xl/sharedStrings.xml><?xml version="1.0" encoding="utf-8"?>
<sst xmlns="http://schemas.openxmlformats.org/spreadsheetml/2006/main" count="567" uniqueCount="357">
  <si>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</si>
  <si>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</si>
  <si>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</si>
  <si>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</si>
  <si>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</si>
  <si>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</si>
  <si>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</si>
  <si>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</si>
  <si>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</si>
  <si>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</si>
  <si>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</si>
  <si>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</si>
  <si>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</si>
  <si>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</si>
  <si>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</si>
  <si>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</si>
  <si>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</si>
  <si>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</si>
  <si>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</si>
  <si>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</si>
  <si>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</si>
  <si>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</si>
  <si>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</si>
  <si>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</si>
  <si>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</si>
  <si>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</si>
  <si>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</si>
  <si>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</si>
  <si>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</si>
  <si>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</si>
  <si>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</si>
  <si>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</si>
  <si>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</si>
  <si>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</si>
  <si>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</si>
  <si>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</si>
  <si>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</si>
  <si>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</si>
  <si>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</si>
  <si>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</si>
  <si>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</si>
  <si>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</si>
  <si>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</si>
  <si>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</si>
  <si>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</si>
  <si>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</si>
  <si>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</si>
  <si>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</si>
  <si>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</si>
  <si>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</si>
  <si>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</si>
  <si>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</si>
  <si>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</si>
  <si>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</si>
  <si>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</si>
  <si>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</si>
  <si>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</si>
  <si>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</si>
  <si>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</si>
  <si>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</si>
  <si>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</si>
  <si>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</si>
  <si>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</si>
  <si>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</si>
  <si>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</si>
  <si>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</si>
  <si>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</si>
  <si>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</si>
  <si>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</si>
  <si>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</si>
  <si>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</si>
  <si>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</si>
  <si>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</si>
  <si>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</si>
  <si>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</si>
  <si>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</si>
  <si>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</si>
  <si>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</si>
  <si>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</si>
  <si>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</si>
  <si>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</si>
  <si>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</si>
  <si>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</si>
  <si>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</si>
  <si>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</si>
  <si>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</si>
  <si>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</si>
  <si>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</si>
  <si>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</si>
  <si>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</si>
  <si>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</si>
  <si>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</si>
  <si>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</si>
  <si>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</si>
  <si>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</si>
  <si>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</si>
  <si>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</si>
  <si>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</si>
  <si>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</si>
  <si>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</si>
  <si>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</si>
  <si>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</si>
  <si>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</si>
  <si>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</si>
  <si>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</si>
  <si>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</si>
  <si>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</si>
  <si>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</si>
  <si>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</si>
  <si>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</si>
  <si>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</si>
  <si>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</si>
  <si>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</si>
  <si>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</si>
  <si>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</si>
  <si>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</si>
  <si>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</si>
  <si>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</si>
  <si>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</si>
  <si>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</si>
  <si>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</si>
  <si>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</si>
  <si>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</si>
  <si>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</si>
  <si>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</si>
  <si>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</si>
  <si>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</si>
  <si>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</si>
  <si>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</si>
  <si>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</si>
  <si>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</si>
  <si>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</si>
  <si>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</si>
  <si>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</si>
  <si>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</si>
  <si>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</si>
  <si>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</si>
  <si>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</si>
  <si>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</si>
  <si>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</si>
  <si>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</si>
  <si>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</si>
  <si>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</si>
  <si>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</si>
  <si>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</si>
  <si>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</si>
  <si>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</si>
  <si>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</si>
  <si>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</si>
  <si>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</si>
  <si>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</si>
  <si>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</si>
  <si>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</si>
  <si>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</si>
  <si>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</si>
  <si>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</si>
  <si>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</si>
  <si>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</si>
  <si>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</si>
  <si>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</si>
  <si>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</si>
  <si>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</si>
  <si>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</si>
  <si>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</si>
  <si>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</si>
  <si>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</si>
  <si>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</si>
  <si>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</si>
  <si>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</si>
  <si>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</si>
  <si>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</si>
  <si>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</si>
  <si>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</si>
  <si>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</si>
  <si>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</si>
  <si>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</si>
  <si>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</si>
  <si>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</si>
  <si>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</si>
  <si>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</si>
  <si>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</si>
  <si>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</si>
  <si>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</si>
  <si>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</si>
  <si>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</si>
  <si>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</si>
  <si>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</si>
  <si>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</si>
  <si>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</si>
  <si>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</si>
  <si>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</si>
  <si>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</si>
  <si>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</si>
  <si>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</si>
  <si>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</si>
  <si>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</si>
  <si>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</si>
  <si>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</si>
  <si>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</si>
  <si>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</si>
  <si>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</si>
  <si>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</si>
  <si>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</si>
  <si>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</si>
  <si>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</si>
  <si>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</si>
  <si>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</si>
  <si>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</si>
  <si>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</si>
  <si>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</si>
  <si>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</si>
  <si>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</si>
  <si>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</si>
  <si>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</si>
  <si>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</si>
  <si>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</si>
  <si>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</si>
  <si>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</si>
  <si>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</si>
  <si>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</si>
  <si>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</si>
  <si>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</si>
  <si>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</si>
  <si>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</si>
  <si>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</si>
  <si>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</si>
  <si>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</si>
  <si>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</si>
  <si>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</si>
  <si>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</si>
  <si>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</si>
  <si>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</si>
  <si>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</si>
  <si>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</si>
  <si>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</si>
  <si>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</si>
  <si>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</si>
  <si>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</si>
  <si>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</si>
  <si>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</si>
  <si>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</si>
  <si>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</si>
  <si>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</si>
  <si>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</si>
  <si>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</si>
  <si>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</si>
  <si>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</si>
  <si>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</si>
  <si>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</si>
  <si>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</si>
  <si>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</si>
  <si>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</si>
  <si>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</si>
  <si>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</si>
  <si>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</si>
  <si>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</si>
  <si>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</si>
  <si>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</si>
  <si>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</si>
  <si>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</si>
  <si>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</si>
  <si>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</si>
  <si>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</si>
  <si>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</si>
  <si>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</si>
  <si>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</si>
  <si>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</si>
  <si>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</si>
  <si>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</si>
  <si>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</si>
  <si>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</si>
  <si>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</si>
  <si>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</si>
  <si>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</si>
  <si>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</si>
  <si>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</si>
  <si>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</si>
  <si>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</si>
  <si>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</si>
  <si>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</si>
  <si>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</si>
  <si>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</si>
  <si>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</si>
  <si>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</si>
  <si>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</si>
  <si>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 xml:space="preserve"> Ödeme yapılmadı 4000</t>
  </si>
  <si>
    <t>31-3-2022 - 31-12-2022 9 aylık tutar</t>
  </si>
  <si>
    <t>Nakit Ödeme</t>
  </si>
  <si>
    <t>31-3-2022 Asgari ücret 4253 TL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</si>
  <si>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</si>
  <si>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</si>
  <si>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</si>
  <si>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</si>
  <si>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</si>
  <si>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</si>
  <si>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</si>
  <si>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</si>
  <si>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</si>
  <si>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</si>
  <si>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</si>
  <si>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</si>
  <si>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</si>
  <si>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</si>
  <si>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</si>
  <si>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</si>
  <si>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</si>
  <si>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</si>
  <si>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</si>
  <si>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</si>
  <si>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</si>
  <si>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</si>
  <si>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</si>
  <si>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</si>
  <si>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</si>
  <si>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</si>
  <si>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</si>
  <si>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</si>
  <si>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30-8-2024-31-12-2024 Bedeli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</si>
  <si>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</si>
  <si>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</si>
  <si>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</si>
  <si>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</si>
  <si>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</si>
  <si>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</si>
  <si>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</si>
  <si>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</si>
  <si>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</si>
  <si>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</si>
  <si>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</si>
  <si>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</si>
  <si>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</si>
  <si>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</si>
  <si>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</si>
  <si>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</si>
  <si>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</si>
  <si>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</si>
  <si>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4 aylık * 17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</si>
  <si>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</si>
  <si>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</si>
  <si>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</si>
  <si>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</si>
  <si>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</si>
  <si>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</si>
  <si>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</si>
  <si>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</si>
  <si>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bankadan umuta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</si>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</sst>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</numFmts>
  <fonts count="37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</fills>
  <borders count="1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160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164" fontId="16" fillId="0" borderId="0" xfId="0" applyNumberFormat="1" applyFont="1" applyAlignment="1">
      <alignment horizontal="center"/>
    </xf>
    <xf numFmtId="4" fontId="21" fillId="0" borderId="0" xfId="0" applyNumberFormat="1" applyFont="1"/>
    <xf numFmtId="164" fontId="0" fillId="0" borderId="0" xfId="0" applyNumberFormat="1" applyAlignment="1">
      <alignment horizontal="right"/>
    </xf>
    <xf numFmtId="164" fontId="15" fillId="0" borderId="0" xfId="0" applyNumberFormat="1" applyFont="1" applyAlignment="1">
      <alignment horizontal="right"/>
    </xf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40" fontId="0" fillId="16" borderId="0" xfId="0" applyNumberFormat="1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40" fontId="36" fillId="23" borderId="0" xfId="0" applyNumberFormat="1" applyFon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7" totalsRowShown="0">
  <autoFilter ref="A22:H37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topLeftCell="A4" zoomScale="145" zoomScaleNormal="145" workbookViewId="0">
      <selection activeCell="K22" sqref="K22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0.5703125" customWidth="1"/>
    <col min="7" max="7" width="9.140625" customWidth="1"/>
  </cols>
  <sheetData>
    <row r="6" spans="1:6" ht="15.75">
      <c r="A6" s="15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75000</v>
      </c>
      <c r="D11" s="3">
        <f>'SnyE502-22'!E4</f>
        <v>0</v>
      </c>
      <c r="E11" s="4">
        <f t="shared" si="0"/>
        <v>75000</v>
      </c>
      <c r="F11" s="4">
        <f>'SnyE502-22'!D6</f>
        <v>-850</v>
      </c>
    </row>
    <row r="12" spans="1:6">
      <c r="A12" t="s">
        <v>14</v>
      </c>
      <c r="B12" t="s">
        <v>15</v>
      </c>
      <c r="C12" s="3">
        <f>'SnyF601-22'!E4</f>
        <v>17333.018250000001</v>
      </c>
      <c r="D12" s="3">
        <f>'SnyF601-22'!F4</f>
        <v>0</v>
      </c>
      <c r="E12" s="4">
        <f t="shared" si="0"/>
        <v>17333.018250000001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518255.92825</v>
      </c>
      <c r="D16" s="6">
        <f>SUM(D8:D14)</f>
        <v>304922.90999999997</v>
      </c>
      <c r="E16" s="6">
        <f>SUM(E8:E14)</f>
        <v>213333.01824999999</v>
      </c>
      <c r="F16" s="6">
        <f>SUM(F8:F14)</f>
        <v>-10179.700000000001</v>
      </c>
    </row>
    <row r="18" spans="1:6">
      <c r="D18" s="104"/>
    </row>
    <row r="19" spans="1:6" ht="15.75">
      <c r="A19" s="15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349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348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>
        <f>'SnyF601-22'!E19</f>
        <v>0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>
        <f>SUM(F21:F28)</f>
        <v>0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03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318</v>
      </c>
      <c r="E9" s="28">
        <v>45000</v>
      </c>
      <c r="F9" s="29"/>
      <c r="G9" s="27">
        <f>E9-F9</f>
        <v>45000</v>
      </c>
    </row>
    <row r="10" spans="1:7">
      <c r="B10" s="14" t="s">
        <v>319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320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321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353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322</v>
      </c>
      <c r="E28" s="35"/>
      <c r="F28" s="35"/>
      <c r="G28" s="35">
        <f t="shared" si="1"/>
        <v>0</v>
      </c>
    </row>
    <row r="29" spans="1:7">
      <c r="A29" s="30" t="s">
        <v>323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102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324</v>
      </c>
      <c r="D9" s="28"/>
      <c r="E9" s="29"/>
      <c r="F9" s="27">
        <f>D9-E9</f>
        <v>0</v>
      </c>
      <c r="G9" s="26"/>
    </row>
    <row r="10" spans="1:8">
      <c r="B10" s="14" t="s">
        <v>325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326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105" t="s">
        <v>327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328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329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329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330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102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331</v>
      </c>
      <c r="C46" s="3"/>
      <c r="D46" s="8"/>
      <c r="F46" s="51"/>
    </row>
    <row r="47" spans="1:8">
      <c r="B47" t="s">
        <v>333</v>
      </c>
      <c r="C47" s="3"/>
      <c r="D47" s="8"/>
      <c r="F47" s="8"/>
      <c r="G47" s="52"/>
      <c r="H47" s="57"/>
    </row>
    <row r="48" spans="1:8">
      <c r="B48" s="130" t="s">
        <v>332</v>
      </c>
      <c r="C48" s="130"/>
      <c r="D48" s="130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zoomScale="115" zoomScaleNormal="115" workbookViewId="0">
      <selection activeCell="A18" sqref="A1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355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103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334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9"/>
      <c r="C10" s="52"/>
      <c r="D10" s="3">
        <f>C10*E9</f>
        <v>0</v>
      </c>
      <c r="E10" s="158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356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9">
        <v>45292</v>
      </c>
      <c r="C13" s="52"/>
      <c r="D13" s="3">
        <f>C13*E11</f>
        <v>0</v>
      </c>
      <c r="E13" s="158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8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8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322</v>
      </c>
      <c r="C16" s="52"/>
      <c r="D16" s="3">
        <f t="shared" si="1"/>
        <v>0</v>
      </c>
      <c r="E16" s="158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323</v>
      </c>
      <c r="C17" s="52"/>
      <c r="D17" s="3">
        <f t="shared" si="1"/>
        <v>0</v>
      </c>
      <c r="E17" s="158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8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8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102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32" t="s">
        <v>335</v>
      </c>
      <c r="C46" s="132"/>
      <c r="D46" s="131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4"/>
  <sheetViews>
    <sheetView topLeftCell="B1" zoomScale="145" zoomScaleNormal="145" workbookViewId="0">
      <selection activeCell="D27" sqref="D2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75000</v>
      </c>
      <c r="E4" s="16">
        <f>SUM(E9:E20)</f>
        <v>0</v>
      </c>
      <c r="F4" s="17">
        <f>F20</f>
        <v>75000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-850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317</v>
      </c>
      <c r="C9"/>
      <c r="D9" s="28">
        <v>68000</v>
      </c>
      <c r="E9" s="29"/>
      <c r="F9" s="27">
        <f>D9-E9</f>
        <v>68000</v>
      </c>
    </row>
    <row r="10" spans="1:6">
      <c r="B10" s="14" t="s">
        <v>336</v>
      </c>
      <c r="C10"/>
      <c r="D10" s="28"/>
      <c r="E10" s="29"/>
      <c r="F10" s="27">
        <f t="shared" ref="F10:F20" si="0">D10-E10+F9</f>
        <v>68000</v>
      </c>
    </row>
    <row r="11" spans="1:6">
      <c r="B11"/>
      <c r="C11"/>
      <c r="D11" s="28"/>
      <c r="E11" s="29"/>
      <c r="F11" s="27">
        <f t="shared" si="0"/>
        <v>68000</v>
      </c>
    </row>
    <row r="12" spans="1:6">
      <c r="B12"/>
      <c r="C12" s="106"/>
      <c r="D12" s="28"/>
      <c r="E12" s="29"/>
      <c r="F12" s="27">
        <f t="shared" si="0"/>
        <v>68000</v>
      </c>
    </row>
    <row r="13" spans="1:6">
      <c r="B13"/>
      <c r="C13" s="106"/>
      <c r="D13" s="28"/>
      <c r="E13" s="29"/>
      <c r="F13" s="27">
        <f t="shared" si="0"/>
        <v>68000</v>
      </c>
    </row>
    <row r="14" spans="1:6">
      <c r="B14"/>
      <c r="C14" s="106"/>
      <c r="D14" s="31"/>
      <c r="E14" s="32"/>
      <c r="F14" s="27">
        <f t="shared" si="0"/>
        <v>68000</v>
      </c>
    </row>
    <row r="15" spans="1:6">
      <c r="A15" s="7">
        <v>44956</v>
      </c>
      <c r="B15" t="s">
        <v>145</v>
      </c>
      <c r="C15" s="106">
        <v>45322</v>
      </c>
      <c r="D15" s="31">
        <v>7000</v>
      </c>
      <c r="E15" s="32"/>
      <c r="F15" s="27">
        <f t="shared" si="0"/>
        <v>75000</v>
      </c>
    </row>
    <row r="16" spans="1:6">
      <c r="A16" s="30"/>
      <c r="B16"/>
      <c r="C16"/>
      <c r="D16" s="31"/>
      <c r="E16" s="32"/>
      <c r="F16" s="27">
        <f t="shared" si="0"/>
        <v>75000</v>
      </c>
    </row>
    <row r="17" spans="1:6">
      <c r="A17" s="30"/>
      <c r="B17"/>
      <c r="C17"/>
      <c r="D17" s="31"/>
      <c r="E17" s="32"/>
      <c r="F17" s="27">
        <f t="shared" si="0"/>
        <v>75000</v>
      </c>
    </row>
    <row r="18" spans="1:6">
      <c r="A18" s="30"/>
      <c r="B18"/>
      <c r="C18"/>
      <c r="D18" s="31"/>
      <c r="E18" s="32"/>
      <c r="F18" s="27">
        <f t="shared" si="0"/>
        <v>75000</v>
      </c>
    </row>
    <row r="19" spans="1:6">
      <c r="A19" s="30"/>
      <c r="B19"/>
      <c r="C19"/>
      <c r="D19" s="31"/>
      <c r="E19" s="32"/>
      <c r="F19" s="27">
        <f t="shared" si="0"/>
        <v>75000</v>
      </c>
    </row>
    <row r="20" spans="1:6">
      <c r="A20" s="30"/>
      <c r="B20"/>
      <c r="C20"/>
      <c r="D20" s="31"/>
      <c r="E20" s="32"/>
      <c r="F20" s="33">
        <f t="shared" si="0"/>
        <v>75000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351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/>
      <c r="E27" s="35"/>
      <c r="F27" s="35">
        <f t="shared" si="1"/>
        <v>-850</v>
      </c>
    </row>
    <row r="28" spans="1:6">
      <c r="A28" s="30"/>
      <c r="B28" t="s">
        <v>38</v>
      </c>
      <c r="C28"/>
      <c r="D28" s="35"/>
      <c r="E28" s="35"/>
      <c r="F28" s="35">
        <f t="shared" si="1"/>
        <v>-850</v>
      </c>
    </row>
    <row r="29" spans="1:6">
      <c r="A29" s="30"/>
      <c r="B29" t="s">
        <v>39</v>
      </c>
      <c r="C29"/>
      <c r="D29" s="35"/>
      <c r="E29" s="35"/>
      <c r="F29" s="35">
        <f t="shared" si="1"/>
        <v>-850</v>
      </c>
    </row>
    <row r="30" spans="1:6">
      <c r="A30" s="30"/>
      <c r="B30" t="s">
        <v>89</v>
      </c>
      <c r="C30"/>
      <c r="D30" s="35"/>
      <c r="E30" s="35"/>
      <c r="F30" s="35">
        <f t="shared" si="1"/>
        <v>-850</v>
      </c>
    </row>
    <row r="31" spans="1:6">
      <c r="A31" s="30"/>
      <c r="B31" t="s">
        <v>90</v>
      </c>
      <c r="C31"/>
      <c r="D31" s="35"/>
      <c r="E31" s="35"/>
      <c r="F31" s="35">
        <f t="shared" si="1"/>
        <v>-850</v>
      </c>
    </row>
    <row r="32" spans="1:6">
      <c r="A32" s="30"/>
      <c r="B32" t="s">
        <v>91</v>
      </c>
      <c r="C32"/>
      <c r="D32" s="35"/>
      <c r="E32" s="35"/>
      <c r="F32" s="35">
        <f t="shared" si="1"/>
        <v>-850</v>
      </c>
    </row>
    <row r="33" spans="1:6">
      <c r="A33" s="30"/>
      <c r="B33" t="s">
        <v>92</v>
      </c>
      <c r="C33"/>
      <c r="D33" s="34"/>
      <c r="E33" s="35"/>
      <c r="F33" s="35">
        <f t="shared" si="1"/>
        <v>-850</v>
      </c>
    </row>
    <row r="34" spans="1:6">
      <c r="A34" s="30"/>
      <c r="B34" t="s">
        <v>40</v>
      </c>
      <c r="C34"/>
      <c r="D34" s="34"/>
      <c r="E34" s="35"/>
      <c r="F34" s="35">
        <f t="shared" si="1"/>
        <v>-850</v>
      </c>
    </row>
    <row r="35" spans="1:6">
      <c r="A35" s="30"/>
      <c r="B35" t="s">
        <v>41</v>
      </c>
      <c r="C35"/>
      <c r="D35" s="34"/>
      <c r="E35" s="35"/>
      <c r="F35" s="35">
        <f t="shared" si="1"/>
        <v>-850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-850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-850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102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2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2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2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2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2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2:8">
      <c r="B70"/>
      <c r="C70"/>
      <c r="D70"/>
      <c r="E70"/>
      <c r="G70"/>
      <c r="H70"/>
    </row>
    <row r="71" spans="2:8">
      <c r="E71" s="63"/>
      <c r="G71"/>
      <c r="H71"/>
    </row>
    <row r="72" spans="2:8">
      <c r="B72"/>
      <c r="C72"/>
      <c r="D72"/>
      <c r="E72"/>
      <c r="G72"/>
      <c r="H72"/>
    </row>
    <row r="73" spans="2:8">
      <c r="B73" s="1"/>
      <c r="C73" s="1"/>
      <c r="D73"/>
      <c r="E73" s="57"/>
      <c r="G73"/>
      <c r="H73"/>
    </row>
    <row r="74" spans="2:8">
      <c r="B74"/>
      <c r="C74"/>
      <c r="G74"/>
      <c r="H74"/>
    </row>
    <row r="75" spans="2:8">
      <c r="B75"/>
      <c r="C75"/>
      <c r="G75"/>
      <c r="H75"/>
    </row>
    <row r="76" spans="2:8">
      <c r="B76"/>
      <c r="C76"/>
      <c r="G76"/>
      <c r="H76"/>
    </row>
    <row r="77" spans="2:8">
      <c r="B77"/>
      <c r="C77"/>
      <c r="G77"/>
      <c r="H77"/>
    </row>
    <row r="78" spans="2:8">
      <c r="B78"/>
      <c r="C78"/>
      <c r="G78"/>
      <c r="H78"/>
    </row>
    <row r="79" spans="2:8">
      <c r="G79"/>
      <c r="H79"/>
    </row>
    <row r="80" spans="2:8">
      <c r="F80" s="1"/>
      <c r="G80" s="52"/>
      <c r="H80" s="57"/>
    </row>
    <row r="81" spans="6:8">
      <c r="F81" s="1"/>
      <c r="G81" s="52"/>
      <c r="H81" s="57"/>
    </row>
    <row r="82" spans="6:8">
      <c r="F82" s="1"/>
      <c r="G82" s="52"/>
      <c r="H82" s="57"/>
    </row>
    <row r="83" spans="6:8">
      <c r="F83" s="1"/>
      <c r="G83" s="52"/>
      <c r="H83" s="57"/>
    </row>
    <row r="84" spans="6:8">
      <c r="F84" s="1"/>
      <c r="G84" s="52"/>
      <c r="H84" s="5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10"/>
  <sheetViews>
    <sheetView tabSelected="1" zoomScale="145" zoomScaleNormal="145" workbookViewId="0">
      <selection activeCell="O6" sqref="O6"/>
    </sheetView>
  </sheetViews>
  <sheetFormatPr defaultRowHeight="12.75"/>
  <cols>
    <col min="1" max="1" width="8.85546875" style="69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7"/>
      <c r="B1" s="8" t="s">
        <v>167</v>
      </c>
      <c r="C1" s="8"/>
      <c r="D1" s="8"/>
      <c r="G1" s="9" t="s">
        <v>143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 t="s">
        <v>350</v>
      </c>
      <c r="E3" s="12" t="s">
        <v>2</v>
      </c>
      <c r="F3" s="12" t="s">
        <v>3</v>
      </c>
      <c r="G3" s="12" t="s">
        <v>26</v>
      </c>
    </row>
    <row r="4" spans="1:7">
      <c r="A4" s="7"/>
      <c r="B4" s="13" t="s">
        <v>20</v>
      </c>
      <c r="C4" s="14"/>
      <c r="D4" s="14"/>
      <c r="E4" s="15">
        <f>SUM(E9:E20)</f>
        <v>17333.018250000001</v>
      </c>
      <c r="F4" s="16">
        <f>SUM(F9:F20)</f>
        <v>0</v>
      </c>
      <c r="G4" s="17">
        <f>G20</f>
        <v>17333.018250000001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/>
      <c r="D6"/>
      <c r="E6" s="20">
        <f>G37</f>
        <v>-2824.5300000000007</v>
      </c>
      <c r="F6" s="19"/>
      <c r="G6" s="21"/>
    </row>
    <row r="7" spans="1:7">
      <c r="A7" s="22"/>
      <c r="B7" s="23"/>
      <c r="C7" s="24"/>
      <c r="D7" s="24"/>
      <c r="E7" s="23"/>
      <c r="F7" s="64" t="s">
        <v>28</v>
      </c>
      <c r="G7" s="65">
        <f>F4-E5</f>
        <v>0</v>
      </c>
    </row>
    <row r="8" spans="1:7">
      <c r="A8" s="7"/>
      <c r="B8" s="14" t="s">
        <v>29</v>
      </c>
      <c r="C8"/>
      <c r="D8"/>
      <c r="E8" s="26"/>
      <c r="F8" s="27"/>
      <c r="G8" s="27"/>
    </row>
    <row r="9" spans="1:7">
      <c r="A9" s="7"/>
      <c r="B9" t="s">
        <v>274</v>
      </c>
      <c r="C9"/>
      <c r="D9"/>
      <c r="E9" s="66">
        <v>14170</v>
      </c>
      <c r="F9" s="29"/>
      <c r="G9" s="27">
        <f>E9-F9</f>
        <v>14170</v>
      </c>
    </row>
    <row r="10" spans="1:7">
      <c r="A10" s="7"/>
      <c r="B10" s="3" t="s">
        <v>275</v>
      </c>
      <c r="C10" s="52">
        <v>6.5000000000000002E-2</v>
      </c>
      <c r="D10" s="3">
        <f>C10*E9</f>
        <v>921.05000000000007</v>
      </c>
      <c r="E10" s="158">
        <f>D10+E9</f>
        <v>15091.05</v>
      </c>
      <c r="F10" s="29"/>
      <c r="G10" s="27">
        <f t="shared" ref="G10:G20" si="0">E10-F10+G9</f>
        <v>29261.05</v>
      </c>
    </row>
    <row r="11" spans="1:7">
      <c r="A11" s="7"/>
      <c r="B11" s="3" t="s">
        <v>276</v>
      </c>
      <c r="C11" s="52">
        <v>6.5000000000000002E-2</v>
      </c>
      <c r="D11" s="3">
        <f>C11*E10</f>
        <v>980.91824999999994</v>
      </c>
      <c r="E11" s="158">
        <f>D11+E10</f>
        <v>16071.96825</v>
      </c>
      <c r="F11" s="29"/>
      <c r="G11" s="27">
        <f t="shared" si="0"/>
        <v>45333.018250000001</v>
      </c>
    </row>
    <row r="12" spans="1:7">
      <c r="A12" s="7"/>
      <c r="B12" s="3" t="s">
        <v>354</v>
      </c>
      <c r="C12"/>
      <c r="D12"/>
      <c r="E12" s="66">
        <f>D12</f>
        <v>0</v>
      </c>
      <c r="F12" s="29"/>
      <c r="G12" s="27">
        <f t="shared" si="0"/>
        <v>45333.018250000001</v>
      </c>
    </row>
    <row r="13" spans="1:7">
      <c r="A13" s="7"/>
      <c r="B13" s="3" t="s">
        <v>322</v>
      </c>
      <c r="C13"/>
      <c r="D13"/>
      <c r="E13" s="66"/>
      <c r="F13" s="29"/>
      <c r="G13" s="27">
        <f t="shared" si="0"/>
        <v>45333.018250000001</v>
      </c>
    </row>
    <row r="14" spans="1:7">
      <c r="A14" s="7"/>
      <c r="B14"/>
      <c r="C14"/>
      <c r="D14"/>
      <c r="E14" s="66"/>
      <c r="F14" s="32"/>
      <c r="G14" s="27">
        <f t="shared" si="0"/>
        <v>45333.018250000001</v>
      </c>
    </row>
    <row r="15" spans="1:7">
      <c r="A15" s="7"/>
      <c r="B15"/>
      <c r="C15"/>
      <c r="D15"/>
      <c r="E15" s="66"/>
      <c r="F15" s="32"/>
      <c r="G15" s="27">
        <f t="shared" si="0"/>
        <v>45333.018250000001</v>
      </c>
    </row>
    <row r="16" spans="1:7">
      <c r="A16" s="30"/>
      <c r="B16"/>
      <c r="C16"/>
      <c r="D16"/>
      <c r="E16" s="66"/>
      <c r="F16" s="32"/>
      <c r="G16" s="27">
        <f t="shared" si="0"/>
        <v>45333.018250000001</v>
      </c>
    </row>
    <row r="17" spans="1:13">
      <c r="A17" s="30"/>
      <c r="B17"/>
      <c r="C17"/>
      <c r="D17"/>
      <c r="E17" s="66"/>
      <c r="F17" s="32"/>
      <c r="G17" s="27">
        <f t="shared" si="0"/>
        <v>45333.018250000001</v>
      </c>
    </row>
    <row r="18" spans="1:13">
      <c r="A18" s="30"/>
      <c r="B18"/>
      <c r="C18"/>
      <c r="D18"/>
      <c r="E18" s="66"/>
      <c r="F18" s="32"/>
      <c r="G18" s="27">
        <f t="shared" si="0"/>
        <v>45333.018250000001</v>
      </c>
    </row>
    <row r="19" spans="1:13">
      <c r="A19" s="67"/>
      <c r="B19"/>
      <c r="C19"/>
      <c r="D19"/>
      <c r="E19" s="66"/>
      <c r="F19" s="32"/>
      <c r="G19" s="27">
        <f t="shared" si="0"/>
        <v>45333.018250000001</v>
      </c>
    </row>
    <row r="20" spans="1:13">
      <c r="A20" s="30"/>
      <c r="B20"/>
      <c r="C20">
        <v>-2</v>
      </c>
      <c r="D20">
        <v>14000</v>
      </c>
      <c r="E20" s="66">
        <f>D20*C20</f>
        <v>-28000</v>
      </c>
      <c r="F20" s="32"/>
      <c r="G20" s="33">
        <f t="shared" si="0"/>
        <v>17333.018250000001</v>
      </c>
    </row>
    <row r="21" spans="1:13">
      <c r="A21" s="30"/>
      <c r="B21"/>
      <c r="C21"/>
      <c r="D21"/>
      <c r="E21" s="34"/>
      <c r="F21" s="35"/>
      <c r="G21" s="35"/>
    </row>
    <row r="22" spans="1:13">
      <c r="A22" s="30"/>
      <c r="B22"/>
      <c r="C22"/>
      <c r="D22"/>
      <c r="E22" s="34"/>
      <c r="F22" s="35"/>
      <c r="G22" s="35"/>
    </row>
    <row r="23" spans="1:13">
      <c r="A23" s="36" t="s">
        <v>31</v>
      </c>
      <c r="B23" s="23" t="s">
        <v>32</v>
      </c>
      <c r="C23" s="23" t="s">
        <v>33</v>
      </c>
      <c r="D23" s="23"/>
      <c r="E23" s="37" t="s">
        <v>34</v>
      </c>
      <c r="F23" s="38"/>
      <c r="G23" s="38" t="s">
        <v>352</v>
      </c>
    </row>
    <row r="24" spans="1:13">
      <c r="A24" s="30"/>
      <c r="B24" t="s">
        <v>35</v>
      </c>
      <c r="C24"/>
      <c r="D24"/>
      <c r="E24" s="34"/>
      <c r="F24" s="35"/>
      <c r="G24" s="35">
        <v>-2510.63</v>
      </c>
      <c r="I24" s="1"/>
      <c r="J24" s="1"/>
      <c r="K24" s="57"/>
      <c r="L24" s="57"/>
      <c r="M24" s="57"/>
    </row>
    <row r="25" spans="1:13">
      <c r="A25" s="30"/>
      <c r="B25" t="s">
        <v>88</v>
      </c>
      <c r="C25">
        <v>0</v>
      </c>
      <c r="D25"/>
      <c r="E25" s="3">
        <v>781.86</v>
      </c>
      <c r="F25" s="3">
        <v>891.32</v>
      </c>
      <c r="G25" s="35">
        <f t="shared" ref="G25:G36" si="1">E25-F25+G24</f>
        <v>-2620.09</v>
      </c>
      <c r="K25" s="3"/>
      <c r="L25" s="3"/>
      <c r="M25" s="3"/>
    </row>
    <row r="26" spans="1:13">
      <c r="A26" s="30"/>
      <c r="B26" t="s">
        <v>36</v>
      </c>
      <c r="C26">
        <v>0</v>
      </c>
      <c r="D26"/>
      <c r="E26" s="3">
        <v>2044.36</v>
      </c>
      <c r="F26" s="3">
        <v>2248.8000000000002</v>
      </c>
      <c r="G26" s="35">
        <f t="shared" si="1"/>
        <v>-2824.5300000000007</v>
      </c>
      <c r="J26" s="1"/>
      <c r="K26" s="3"/>
      <c r="L26" s="3"/>
      <c r="M26" s="3"/>
    </row>
    <row r="27" spans="1:13">
      <c r="A27" s="30"/>
      <c r="B27" t="s">
        <v>37</v>
      </c>
      <c r="C27"/>
      <c r="D27"/>
      <c r="G27" s="35">
        <f t="shared" si="1"/>
        <v>-2824.5300000000007</v>
      </c>
      <c r="J27" s="1"/>
      <c r="K27" s="3"/>
      <c r="L27" s="3"/>
      <c r="M27" s="3"/>
    </row>
    <row r="28" spans="1:13">
      <c r="A28" s="30"/>
      <c r="B28" t="s">
        <v>38</v>
      </c>
      <c r="C28"/>
      <c r="D28"/>
      <c r="G28" s="35">
        <f t="shared" si="1"/>
        <v>-2824.5300000000007</v>
      </c>
      <c r="J28" s="1"/>
      <c r="K28" s="3"/>
      <c r="L28" s="3"/>
      <c r="M28" s="27"/>
    </row>
    <row r="29" spans="1:13">
      <c r="A29" s="30"/>
      <c r="B29" t="s">
        <v>39</v>
      </c>
      <c r="C29"/>
      <c r="D29"/>
      <c r="G29" s="35">
        <f t="shared" si="1"/>
        <v>-2824.5300000000007</v>
      </c>
      <c r="J29" s="1"/>
      <c r="K29" s="3"/>
      <c r="L29" s="3"/>
      <c r="M29" s="27"/>
    </row>
    <row r="30" spans="1:13">
      <c r="A30" s="30"/>
      <c r="B30" t="s">
        <v>89</v>
      </c>
      <c r="C30"/>
      <c r="D30"/>
      <c r="G30" s="35">
        <f t="shared" si="1"/>
        <v>-2824.5300000000007</v>
      </c>
      <c r="J30" s="1"/>
      <c r="K30" s="3"/>
      <c r="L30" s="3"/>
      <c r="M30" s="27"/>
    </row>
    <row r="31" spans="1:13">
      <c r="A31" s="30"/>
      <c r="B31" t="s">
        <v>90</v>
      </c>
      <c r="C31"/>
      <c r="D31"/>
      <c r="G31" s="35">
        <f t="shared" si="1"/>
        <v>-2824.5300000000007</v>
      </c>
      <c r="J31" s="1"/>
      <c r="K31" s="3"/>
      <c r="L31" s="3"/>
      <c r="M31" s="27"/>
    </row>
    <row r="32" spans="1:13">
      <c r="A32" s="30"/>
      <c r="B32" t="s">
        <v>91</v>
      </c>
      <c r="C32"/>
      <c r="D32"/>
      <c r="G32" s="35">
        <f t="shared" si="1"/>
        <v>-2824.5300000000007</v>
      </c>
      <c r="J32" s="1"/>
      <c r="K32" s="3"/>
      <c r="L32" s="3"/>
      <c r="M32" s="27"/>
    </row>
    <row r="33" spans="1:13">
      <c r="A33" s="30"/>
      <c r="B33" t="s">
        <v>92</v>
      </c>
      <c r="C33"/>
      <c r="D33"/>
      <c r="G33" s="35">
        <f t="shared" si="1"/>
        <v>-2824.5300000000007</v>
      </c>
      <c r="J33" s="1"/>
      <c r="K33" s="3"/>
      <c r="L33" s="3"/>
      <c r="M33" s="27"/>
    </row>
    <row r="34" spans="1:13">
      <c r="A34" s="30"/>
      <c r="B34" t="s">
        <v>40</v>
      </c>
      <c r="C34"/>
      <c r="D34"/>
      <c r="E34" s="57"/>
      <c r="F34" s="57"/>
      <c r="G34" s="35">
        <f t="shared" si="1"/>
        <v>-2824.5300000000007</v>
      </c>
      <c r="J34" s="1"/>
      <c r="K34" s="3"/>
      <c r="L34" s="3"/>
      <c r="M34" s="27"/>
    </row>
    <row r="35" spans="1:13">
      <c r="A35" s="30"/>
      <c r="B35" t="s">
        <v>41</v>
      </c>
      <c r="C35"/>
      <c r="D35"/>
      <c r="E35" s="34"/>
      <c r="F35" s="35"/>
      <c r="G35" s="35">
        <f t="shared" si="1"/>
        <v>-2824.5300000000007</v>
      </c>
      <c r="I35" s="1"/>
      <c r="J35" s="1"/>
      <c r="K35" s="3"/>
      <c r="L35" s="57"/>
      <c r="M35" s="27"/>
    </row>
    <row r="36" spans="1:13">
      <c r="A36" s="36"/>
      <c r="B36" s="23" t="s">
        <v>42</v>
      </c>
      <c r="C36" s="23"/>
      <c r="D36" s="23"/>
      <c r="E36" s="37"/>
      <c r="F36" s="38"/>
      <c r="G36" s="39">
        <f t="shared" si="1"/>
        <v>-2824.5300000000007</v>
      </c>
      <c r="I36" s="1"/>
      <c r="K36" s="68"/>
      <c r="L36" s="3"/>
      <c r="M36" s="27"/>
    </row>
    <row r="37" spans="1:13">
      <c r="A37" s="40">
        <v>45291</v>
      </c>
      <c r="B37" s="41" t="s">
        <v>35</v>
      </c>
      <c r="C37" s="42">
        <f>SUM(C25:C36)</f>
        <v>0</v>
      </c>
      <c r="D37" s="42"/>
      <c r="E37" s="43"/>
      <c r="F37" s="44"/>
      <c r="G37" s="45">
        <f>E37-F37+G36</f>
        <v>-2824.5300000000007</v>
      </c>
      <c r="I37" s="1"/>
      <c r="K37" s="68"/>
      <c r="L37" s="3"/>
      <c r="M37" s="27"/>
    </row>
    <row r="38" spans="1:13">
      <c r="A38" s="30"/>
      <c r="B38"/>
      <c r="C38"/>
      <c r="D38"/>
      <c r="E38" s="34"/>
      <c r="F38" s="34"/>
      <c r="G38" s="38"/>
      <c r="I38"/>
      <c r="K38" s="68"/>
      <c r="L38" s="3"/>
      <c r="M38" s="27"/>
    </row>
    <row r="39" spans="1:13">
      <c r="A39" s="7"/>
      <c r="B39"/>
      <c r="C39"/>
      <c r="D39"/>
      <c r="J39" s="3"/>
      <c r="K39" s="3"/>
      <c r="L39" s="3"/>
      <c r="M39" s="27"/>
    </row>
    <row r="40" spans="1:13">
      <c r="A40" s="102" t="s">
        <v>254</v>
      </c>
      <c r="B40" s="46" t="s">
        <v>168</v>
      </c>
      <c r="C40" s="46"/>
      <c r="D40" s="46"/>
      <c r="E40" s="47"/>
      <c r="F40" s="48"/>
      <c r="G40" s="49">
        <f>SUM(F41:F41)</f>
        <v>0</v>
      </c>
      <c r="J40" s="3"/>
      <c r="K40" s="3"/>
      <c r="L40" s="3"/>
      <c r="M40" s="27"/>
    </row>
    <row r="41" spans="1:13">
      <c r="A41" s="7"/>
      <c r="B41" s="8"/>
      <c r="C41" s="8"/>
      <c r="D41" s="8"/>
      <c r="E41"/>
      <c r="F41"/>
      <c r="G41"/>
    </row>
    <row r="42" spans="1:13">
      <c r="A42" s="7">
        <v>45315</v>
      </c>
      <c r="B42" s="8" t="s">
        <v>337</v>
      </c>
      <c r="C42" s="8"/>
      <c r="D42" s="8"/>
      <c r="E42"/>
      <c r="F42"/>
      <c r="G42"/>
    </row>
    <row r="43" spans="1:13">
      <c r="A43" s="69">
        <v>45236</v>
      </c>
      <c r="B43" t="s">
        <v>169</v>
      </c>
      <c r="C43"/>
      <c r="D43"/>
      <c r="E43" s="68"/>
    </row>
    <row r="44" spans="1:13">
      <c r="A44" s="69">
        <v>45236</v>
      </c>
      <c r="B44" s="1" t="s">
        <v>170</v>
      </c>
      <c r="C44"/>
      <c r="D44"/>
      <c r="E44" s="68"/>
    </row>
    <row r="45" spans="1:13">
      <c r="A45" s="70"/>
      <c r="B45"/>
      <c r="C45" s="71"/>
      <c r="D45" s="71"/>
      <c r="E45" s="63"/>
      <c r="F45" s="63"/>
    </row>
    <row r="46" spans="1:13">
      <c r="A46" s="69">
        <v>45236</v>
      </c>
      <c r="B46" t="s">
        <v>171</v>
      </c>
      <c r="C46"/>
      <c r="D46"/>
      <c r="E46" s="68"/>
    </row>
    <row r="47" spans="1:13">
      <c r="B47" t="s">
        <v>172</v>
      </c>
      <c r="C47"/>
      <c r="D47"/>
      <c r="E47" s="68"/>
    </row>
    <row r="48" spans="1:13">
      <c r="B48" t="s">
        <v>173</v>
      </c>
      <c r="C48"/>
      <c r="D48"/>
      <c r="E48" s="68"/>
    </row>
    <row r="49" spans="1:10">
      <c r="B49" s="3" t="s">
        <v>174</v>
      </c>
      <c r="C49"/>
      <c r="D49"/>
      <c r="E49"/>
    </row>
    <row r="50" spans="1:10">
      <c r="B50" t="s">
        <v>175</v>
      </c>
      <c r="C50"/>
      <c r="D50"/>
      <c r="E50"/>
    </row>
    <row r="51" spans="1:10">
      <c r="B51" s="3" t="s">
        <v>176</v>
      </c>
      <c r="C51"/>
      <c r="D51"/>
      <c r="E51"/>
    </row>
    <row r="52" spans="1:10">
      <c r="C52"/>
      <c r="D52"/>
      <c r="E52"/>
    </row>
    <row r="53" spans="1:10">
      <c r="B53"/>
      <c r="C53"/>
      <c r="D53"/>
      <c r="E53" t="s">
        <v>177</v>
      </c>
      <c r="F53" s="3" t="s">
        <v>178</v>
      </c>
    </row>
    <row r="54" spans="1:10">
      <c r="A54" s="69">
        <v>45236</v>
      </c>
      <c r="B54" s="3" t="s">
        <v>179</v>
      </c>
      <c r="C54">
        <v>0.65</v>
      </c>
      <c r="D54"/>
      <c r="E54" s="3">
        <v>84000</v>
      </c>
      <c r="F54" s="3">
        <f>E54*C54</f>
        <v>54600</v>
      </c>
      <c r="G54" s="3">
        <f>F54+E54</f>
        <v>138600</v>
      </c>
    </row>
    <row r="55" spans="1:10">
      <c r="B55"/>
    </row>
    <row r="56" spans="1:10">
      <c r="B56"/>
    </row>
    <row r="57" spans="1:10" ht="114.75">
      <c r="A57" s="69">
        <v>45236</v>
      </c>
      <c r="B57"/>
      <c r="E57" s="72" t="s">
        <v>180</v>
      </c>
      <c r="F57" s="72" t="s">
        <v>181</v>
      </c>
      <c r="G57" s="72" t="s">
        <v>182</v>
      </c>
    </row>
    <row r="58" spans="1:10" ht="25.5">
      <c r="B58" s="72" t="s">
        <v>183</v>
      </c>
      <c r="C58" s="3">
        <v>11.5</v>
      </c>
      <c r="E58" s="3">
        <v>138000</v>
      </c>
    </row>
    <row r="59" spans="1:10" ht="38.25">
      <c r="B59" s="73" t="s">
        <v>184</v>
      </c>
      <c r="C59" s="3">
        <v>12</v>
      </c>
      <c r="E59">
        <v>84000</v>
      </c>
      <c r="F59" s="3">
        <v>12000</v>
      </c>
      <c r="G59" s="3">
        <v>144000</v>
      </c>
    </row>
    <row r="60" spans="1:10" ht="37.5" customHeight="1">
      <c r="B60" s="72" t="s">
        <v>185</v>
      </c>
      <c r="C60" s="3">
        <v>14</v>
      </c>
      <c r="E60">
        <v>98000</v>
      </c>
      <c r="F60" s="3">
        <v>14000</v>
      </c>
      <c r="G60" s="3">
        <v>168000</v>
      </c>
    </row>
    <row r="61" spans="1:10">
      <c r="A61" s="74"/>
      <c r="B61"/>
      <c r="C61" s="1"/>
      <c r="D61" s="1"/>
      <c r="E61" s="57"/>
      <c r="F61" s="57"/>
    </row>
    <row r="62" spans="1:10">
      <c r="B62"/>
      <c r="C62"/>
      <c r="D62"/>
      <c r="J62" s="3"/>
    </row>
    <row r="63" spans="1:10">
      <c r="B63" s="3" t="s">
        <v>186</v>
      </c>
      <c r="G63" s="3">
        <f t="shared" ref="G63:G74" si="2">G62+E63-F63</f>
        <v>0</v>
      </c>
      <c r="J63" s="3"/>
    </row>
    <row r="64" spans="1:10">
      <c r="B64" t="s">
        <v>187</v>
      </c>
      <c r="C64"/>
      <c r="D64"/>
      <c r="F64" s="3">
        <v>20.95</v>
      </c>
      <c r="G64" s="3">
        <f t="shared" si="2"/>
        <v>-20.95</v>
      </c>
      <c r="J64" s="3"/>
    </row>
    <row r="65" spans="1:11">
      <c r="B65" t="s">
        <v>188</v>
      </c>
      <c r="C65"/>
      <c r="D65"/>
      <c r="F65" s="3">
        <v>11.93</v>
      </c>
      <c r="G65" s="3">
        <f t="shared" si="2"/>
        <v>-32.879999999999995</v>
      </c>
      <c r="J65" s="3"/>
    </row>
    <row r="66" spans="1:11">
      <c r="A66" s="74"/>
      <c r="B66" t="s">
        <v>189</v>
      </c>
      <c r="C66"/>
      <c r="D66"/>
      <c r="F66" s="3">
        <v>0</v>
      </c>
      <c r="G66" s="3">
        <f t="shared" si="2"/>
        <v>-32.879999999999995</v>
      </c>
      <c r="J66" s="3"/>
    </row>
    <row r="67" spans="1:11">
      <c r="A67" s="74"/>
      <c r="B67" t="s">
        <v>190</v>
      </c>
      <c r="C67"/>
      <c r="D67"/>
      <c r="F67" s="3">
        <v>23.25</v>
      </c>
      <c r="G67" s="3">
        <f t="shared" si="2"/>
        <v>-56.129999999999995</v>
      </c>
      <c r="J67" s="3"/>
    </row>
    <row r="68" spans="1:11">
      <c r="A68" s="75"/>
      <c r="B68" t="s">
        <v>158</v>
      </c>
      <c r="C68"/>
      <c r="D68"/>
      <c r="F68" s="3">
        <v>42.14</v>
      </c>
      <c r="G68" s="3">
        <f t="shared" si="2"/>
        <v>-98.27</v>
      </c>
      <c r="J68" s="3"/>
    </row>
    <row r="69" spans="1:11">
      <c r="B69" t="s">
        <v>159</v>
      </c>
      <c r="C69"/>
      <c r="D69"/>
      <c r="F69" s="3">
        <v>39.369999999999997</v>
      </c>
      <c r="G69" s="3">
        <f t="shared" si="2"/>
        <v>-137.63999999999999</v>
      </c>
      <c r="J69" s="3"/>
      <c r="K69" s="3"/>
    </row>
    <row r="70" spans="1:11">
      <c r="B70" t="s">
        <v>160</v>
      </c>
      <c r="C70"/>
      <c r="D70"/>
      <c r="F70" s="3">
        <v>150.16</v>
      </c>
      <c r="G70" s="3">
        <f t="shared" si="2"/>
        <v>-287.79999999999995</v>
      </c>
      <c r="J70" s="3"/>
      <c r="K70" s="3"/>
    </row>
    <row r="71" spans="1:11">
      <c r="B71" t="s">
        <v>161</v>
      </c>
      <c r="C71"/>
      <c r="D71"/>
      <c r="F71" s="3">
        <v>216.76</v>
      </c>
      <c r="G71" s="3">
        <f t="shared" si="2"/>
        <v>-504.55999999999995</v>
      </c>
      <c r="J71" s="3"/>
      <c r="K71" s="3"/>
    </row>
    <row r="72" spans="1:11">
      <c r="B72" t="s">
        <v>191</v>
      </c>
      <c r="C72"/>
      <c r="D72"/>
      <c r="F72" s="3">
        <v>132.72</v>
      </c>
      <c r="G72" s="3">
        <f t="shared" si="2"/>
        <v>-637.28</v>
      </c>
      <c r="J72" s="3"/>
      <c r="K72" s="3"/>
    </row>
    <row r="73" spans="1:11">
      <c r="B73"/>
      <c r="C73"/>
      <c r="D73"/>
      <c r="E73" s="3">
        <v>404.76</v>
      </c>
      <c r="G73" s="3">
        <f t="shared" si="2"/>
        <v>-232.51999999999998</v>
      </c>
      <c r="J73" s="3"/>
      <c r="K73" s="3"/>
    </row>
    <row r="74" spans="1:11">
      <c r="B74" s="1" t="s">
        <v>192</v>
      </c>
      <c r="C74" s="1"/>
      <c r="D74" s="1"/>
      <c r="E74" s="57"/>
      <c r="F74" s="57"/>
      <c r="G74" s="57">
        <f t="shared" si="2"/>
        <v>-232.51999999999998</v>
      </c>
      <c r="J74" s="3"/>
      <c r="K74" s="3"/>
    </row>
    <row r="75" spans="1:11">
      <c r="B75"/>
      <c r="C75"/>
      <c r="D75"/>
      <c r="J75" s="3"/>
      <c r="K75" s="3"/>
    </row>
    <row r="76" spans="1:11" ht="13.5" thickBot="1">
      <c r="B76"/>
      <c r="C76"/>
      <c r="D76"/>
      <c r="E76"/>
    </row>
    <row r="77" spans="1:11">
      <c r="A77" s="76"/>
      <c r="B77" s="77" t="s">
        <v>193</v>
      </c>
      <c r="C77" s="78"/>
      <c r="D77" s="78"/>
      <c r="E77" s="79"/>
      <c r="F77" s="80"/>
    </row>
    <row r="78" spans="1:11">
      <c r="A78" s="76"/>
      <c r="B78" s="81" t="s">
        <v>194</v>
      </c>
      <c r="C78"/>
      <c r="D78"/>
      <c r="E78" s="82">
        <v>48000</v>
      </c>
      <c r="F78" s="83">
        <f>E78</f>
        <v>48000</v>
      </c>
      <c r="G78"/>
    </row>
    <row r="79" spans="1:11">
      <c r="A79" s="76"/>
      <c r="B79" s="84" t="s">
        <v>195</v>
      </c>
      <c r="C79" s="1"/>
      <c r="D79" s="1"/>
      <c r="E79" s="57">
        <v>6920</v>
      </c>
      <c r="F79" s="85">
        <f t="shared" ref="F79:F86" si="3">F78-E79</f>
        <v>41080</v>
      </c>
      <c r="G79"/>
    </row>
    <row r="80" spans="1:11">
      <c r="B80" s="86" t="s">
        <v>196</v>
      </c>
      <c r="C80" s="1"/>
      <c r="D80" s="1"/>
      <c r="E80" s="57">
        <v>13000</v>
      </c>
      <c r="F80" s="85">
        <f t="shared" si="3"/>
        <v>28080</v>
      </c>
      <c r="G80"/>
    </row>
    <row r="81" spans="2:7">
      <c r="B81" s="87" t="s">
        <v>197</v>
      </c>
      <c r="C81"/>
      <c r="D81"/>
      <c r="E81"/>
      <c r="F81" s="85">
        <f t="shared" si="3"/>
        <v>28080</v>
      </c>
    </row>
    <row r="82" spans="2:7">
      <c r="B82" s="87" t="s">
        <v>198</v>
      </c>
      <c r="C82"/>
      <c r="D82"/>
      <c r="E82"/>
      <c r="F82" s="85">
        <f t="shared" si="3"/>
        <v>28080</v>
      </c>
      <c r="G82"/>
    </row>
    <row r="83" spans="2:7">
      <c r="B83" s="87" t="s">
        <v>199</v>
      </c>
      <c r="C83"/>
      <c r="D83"/>
      <c r="E83"/>
      <c r="F83" s="85">
        <f t="shared" si="3"/>
        <v>28080</v>
      </c>
      <c r="G83" s="57"/>
    </row>
    <row r="84" spans="2:7">
      <c r="B84" s="88" t="s">
        <v>200</v>
      </c>
      <c r="C84"/>
      <c r="D84"/>
      <c r="E84"/>
      <c r="F84" s="85">
        <f t="shared" si="3"/>
        <v>28080</v>
      </c>
      <c r="G84" s="57"/>
    </row>
    <row r="85" spans="2:7">
      <c r="B85" s="87" t="s">
        <v>201</v>
      </c>
      <c r="C85"/>
      <c r="D85"/>
      <c r="E85"/>
      <c r="F85" s="85">
        <f t="shared" si="3"/>
        <v>28080</v>
      </c>
      <c r="G85" s="57"/>
    </row>
    <row r="86" spans="2:7">
      <c r="B86" s="84" t="s">
        <v>202</v>
      </c>
      <c r="C86" s="1"/>
      <c r="D86" s="1"/>
      <c r="E86" s="57">
        <v>28080</v>
      </c>
      <c r="F86" s="85">
        <f t="shared" si="3"/>
        <v>0</v>
      </c>
      <c r="G86" s="57"/>
    </row>
    <row r="87" spans="2:7">
      <c r="B87" s="87"/>
      <c r="C87"/>
      <c r="D87"/>
      <c r="E87"/>
      <c r="F87" s="85"/>
      <c r="G87" s="57"/>
    </row>
    <row r="88" spans="2:7">
      <c r="B88" s="87"/>
      <c r="C88"/>
      <c r="D88"/>
      <c r="E88"/>
      <c r="F88" s="85"/>
      <c r="G88" s="89"/>
    </row>
    <row r="89" spans="2:7">
      <c r="B89" s="90" t="s">
        <v>203</v>
      </c>
      <c r="C89"/>
      <c r="D89"/>
      <c r="E89" s="3">
        <v>83000</v>
      </c>
      <c r="F89" s="85">
        <v>83000</v>
      </c>
    </row>
    <row r="90" spans="2:7">
      <c r="B90" s="87" t="s">
        <v>198</v>
      </c>
      <c r="C90"/>
      <c r="D90"/>
      <c r="F90" s="85">
        <f t="shared" ref="F90:F96" si="4">F89-E90</f>
        <v>83000</v>
      </c>
      <c r="G90"/>
    </row>
    <row r="91" spans="2:7">
      <c r="B91" s="87" t="s">
        <v>199</v>
      </c>
      <c r="C91"/>
      <c r="D91"/>
      <c r="F91" s="85">
        <f t="shared" si="4"/>
        <v>83000</v>
      </c>
      <c r="G91" s="57"/>
    </row>
    <row r="92" spans="2:7">
      <c r="B92" s="91" t="s">
        <v>204</v>
      </c>
      <c r="C92"/>
      <c r="D92"/>
      <c r="F92" s="85">
        <f t="shared" si="4"/>
        <v>83000</v>
      </c>
      <c r="G92" s="57"/>
    </row>
    <row r="93" spans="2:7">
      <c r="B93" s="92" t="s">
        <v>201</v>
      </c>
      <c r="C93"/>
      <c r="D93"/>
      <c r="F93" s="85">
        <f t="shared" si="4"/>
        <v>83000</v>
      </c>
      <c r="G93" s="57"/>
    </row>
    <row r="94" spans="2:7">
      <c r="B94" s="92"/>
      <c r="C94"/>
      <c r="D94"/>
      <c r="E94"/>
      <c r="F94" s="85">
        <f t="shared" si="4"/>
        <v>83000</v>
      </c>
      <c r="G94" s="57"/>
    </row>
    <row r="95" spans="2:7">
      <c r="B95" s="93" t="s">
        <v>205</v>
      </c>
      <c r="C95"/>
      <c r="D95"/>
      <c r="E95" s="57">
        <v>50000</v>
      </c>
      <c r="F95" s="85">
        <f t="shared" si="4"/>
        <v>33000</v>
      </c>
      <c r="G95" s="57"/>
    </row>
    <row r="96" spans="2:7" ht="13.5" thickBot="1">
      <c r="B96" s="94" t="s">
        <v>206</v>
      </c>
      <c r="C96" s="95"/>
      <c r="D96" s="95"/>
      <c r="E96" s="95"/>
      <c r="F96" s="96">
        <f t="shared" si="4"/>
        <v>33000</v>
      </c>
      <c r="G96" s="57"/>
    </row>
    <row r="97" spans="1:7">
      <c r="B97" s="26"/>
      <c r="C97"/>
      <c r="D97"/>
      <c r="E97"/>
      <c r="G97" s="57"/>
    </row>
    <row r="98" spans="1:7">
      <c r="B98" s="1" t="s">
        <v>207</v>
      </c>
      <c r="F98" s="57"/>
      <c r="G98" s="57"/>
    </row>
    <row r="99" spans="1:7">
      <c r="B99" t="s">
        <v>208</v>
      </c>
      <c r="C99"/>
      <c r="D99"/>
      <c r="E99" s="3">
        <v>1252.54</v>
      </c>
      <c r="G99" s="57"/>
    </row>
    <row r="100" spans="1:7">
      <c r="B100" t="s">
        <v>209</v>
      </c>
      <c r="C100"/>
      <c r="D100"/>
      <c r="E100" s="3">
        <v>375</v>
      </c>
      <c r="G100" s="57"/>
    </row>
    <row r="101" spans="1:7">
      <c r="B101" t="s">
        <v>210</v>
      </c>
      <c r="C101"/>
      <c r="D101"/>
      <c r="E101" s="3">
        <v>1500</v>
      </c>
      <c r="G101" s="57"/>
    </row>
    <row r="102" spans="1:7">
      <c r="A102" s="69">
        <v>45015</v>
      </c>
      <c r="B102" t="s">
        <v>211</v>
      </c>
      <c r="C102"/>
      <c r="D102"/>
      <c r="E102" s="3">
        <v>1447</v>
      </c>
      <c r="G102" s="57"/>
    </row>
    <row r="103" spans="1:7">
      <c r="B103" t="s">
        <v>212</v>
      </c>
      <c r="C103" s="1"/>
      <c r="D103" s="1"/>
      <c r="F103" s="57">
        <v>4574.54</v>
      </c>
      <c r="G103" s="57"/>
    </row>
    <row r="104" spans="1:7">
      <c r="B104"/>
      <c r="C104"/>
      <c r="D104"/>
      <c r="E104"/>
      <c r="G104" s="57"/>
    </row>
    <row r="105" spans="1:7">
      <c r="B105"/>
      <c r="C105"/>
      <c r="D105"/>
      <c r="E105"/>
      <c r="F105"/>
    </row>
    <row r="106" spans="1:7">
      <c r="B106" s="1"/>
      <c r="C106" s="1"/>
      <c r="D106" s="1"/>
      <c r="E106" s="3" t="s">
        <v>213</v>
      </c>
      <c r="F106" s="3" t="s">
        <v>214</v>
      </c>
    </row>
    <row r="107" spans="1:7">
      <c r="B107" t="s">
        <v>215</v>
      </c>
      <c r="C107"/>
      <c r="D107"/>
      <c r="E107" s="3">
        <v>36000</v>
      </c>
    </row>
    <row r="108" spans="1:7">
      <c r="B108" t="s">
        <v>216</v>
      </c>
      <c r="C108"/>
      <c r="D108"/>
      <c r="F108" s="57">
        <v>28000</v>
      </c>
    </row>
    <row r="109" spans="1:7">
      <c r="A109" s="76"/>
      <c r="B109" t="s">
        <v>217</v>
      </c>
      <c r="C109"/>
      <c r="D109"/>
      <c r="F109" s="57">
        <v>4000</v>
      </c>
      <c r="G109"/>
    </row>
    <row r="110" spans="1:7">
      <c r="A110" s="76"/>
      <c r="B110" t="s">
        <v>218</v>
      </c>
      <c r="C110"/>
      <c r="D110"/>
      <c r="F110" s="57">
        <v>4000</v>
      </c>
      <c r="G110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24"/>
  <sheetViews>
    <sheetView zoomScale="145" zoomScaleNormal="145" workbookViewId="0">
      <selection activeCell="B3" sqref="B3:H27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" bestFit="1" customWidth="1"/>
  </cols>
  <sheetData>
    <row r="4" spans="2:9">
      <c r="C4" t="s">
        <v>288</v>
      </c>
    </row>
    <row r="5" spans="2:9">
      <c r="C5" t="s">
        <v>286</v>
      </c>
      <c r="E5" s="3">
        <v>36000</v>
      </c>
      <c r="F5" s="3"/>
      <c r="G5" s="3">
        <f>H4+E5-F5</f>
        <v>36000</v>
      </c>
    </row>
    <row r="6" spans="2:9">
      <c r="B6" s="60">
        <v>44651</v>
      </c>
      <c r="C6" t="s">
        <v>287</v>
      </c>
      <c r="E6" s="3"/>
      <c r="F6">
        <v>28000</v>
      </c>
      <c r="G6" s="3">
        <f t="shared" ref="G6:G11" si="0">G5+E6-F6</f>
        <v>8000</v>
      </c>
    </row>
    <row r="7" spans="2:9">
      <c r="B7" s="60">
        <v>44681</v>
      </c>
      <c r="C7" t="s">
        <v>283</v>
      </c>
      <c r="E7" s="3"/>
      <c r="F7">
        <v>4000</v>
      </c>
      <c r="G7" s="3">
        <f t="shared" si="0"/>
        <v>4000</v>
      </c>
    </row>
    <row r="8" spans="2:9">
      <c r="B8" s="60">
        <v>44711</v>
      </c>
      <c r="C8" t="s">
        <v>284</v>
      </c>
      <c r="E8" s="3"/>
      <c r="F8">
        <v>4000</v>
      </c>
      <c r="G8" s="3">
        <f t="shared" si="0"/>
        <v>0</v>
      </c>
    </row>
    <row r="9" spans="2:9">
      <c r="B9" s="60">
        <v>44742</v>
      </c>
      <c r="C9" t="s">
        <v>285</v>
      </c>
      <c r="E9" s="3"/>
      <c r="G9" s="3">
        <f t="shared" si="0"/>
        <v>0</v>
      </c>
    </row>
    <row r="10" spans="2:9">
      <c r="B10" s="60">
        <v>44772</v>
      </c>
      <c r="C10" t="s">
        <v>285</v>
      </c>
      <c r="E10" s="3"/>
      <c r="G10" s="3">
        <f t="shared" si="0"/>
        <v>0</v>
      </c>
    </row>
    <row r="11" spans="2:9">
      <c r="B11" s="60">
        <v>44803</v>
      </c>
      <c r="C11" t="s">
        <v>285</v>
      </c>
      <c r="E11" s="3"/>
      <c r="G11" s="3">
        <f t="shared" si="0"/>
        <v>0</v>
      </c>
    </row>
    <row r="12" spans="2:9">
      <c r="I12" s="3"/>
    </row>
    <row r="13" spans="2:9">
      <c r="B13" s="60">
        <v>44957</v>
      </c>
      <c r="C13" t="s">
        <v>274</v>
      </c>
      <c r="D13">
        <v>6.65</v>
      </c>
      <c r="E13" s="66">
        <v>6920</v>
      </c>
      <c r="F13" s="29">
        <v>6920</v>
      </c>
      <c r="G13" s="27">
        <f>E13-F13</f>
        <v>0</v>
      </c>
    </row>
    <row r="14" spans="2:9">
      <c r="C14" t="s">
        <v>275</v>
      </c>
      <c r="D14">
        <v>3.15</v>
      </c>
      <c r="E14" s="66">
        <f t="shared" ref="E14:E24" si="1">E13+(E13*D13/100)</f>
        <v>7380.18</v>
      </c>
      <c r="F14" s="29"/>
      <c r="G14" s="27">
        <f t="shared" ref="G14:G24" si="2">E14-F14+G13</f>
        <v>7380.18</v>
      </c>
    </row>
    <row r="15" spans="2:9">
      <c r="C15" t="s">
        <v>276</v>
      </c>
      <c r="D15">
        <v>2.29</v>
      </c>
      <c r="E15" s="66">
        <f t="shared" si="1"/>
        <v>7612.6556700000001</v>
      </c>
      <c r="F15" s="29"/>
      <c r="G15" s="27">
        <f t="shared" si="2"/>
        <v>14992.83567</v>
      </c>
    </row>
    <row r="16" spans="2:9">
      <c r="C16" t="s">
        <v>278</v>
      </c>
      <c r="D16">
        <v>2.39</v>
      </c>
      <c r="E16" s="66">
        <f t="shared" si="1"/>
        <v>7786.9854848430004</v>
      </c>
      <c r="F16" s="29">
        <v>8425.4599999999991</v>
      </c>
      <c r="G16" s="27">
        <f t="shared" si="2"/>
        <v>14354.361154843002</v>
      </c>
    </row>
    <row r="17" spans="3:7">
      <c r="C17" t="s">
        <v>277</v>
      </c>
      <c r="D17">
        <v>5.32</v>
      </c>
      <c r="E17" s="66">
        <f t="shared" si="1"/>
        <v>7973.0944379307484</v>
      </c>
      <c r="F17" s="29">
        <v>28080</v>
      </c>
      <c r="G17" s="27">
        <f t="shared" si="2"/>
        <v>-5752.5444072262508</v>
      </c>
    </row>
    <row r="18" spans="3:7">
      <c r="C18" t="s">
        <v>279</v>
      </c>
      <c r="D18">
        <v>3.92</v>
      </c>
      <c r="E18" s="66">
        <f t="shared" si="1"/>
        <v>8397.2630620286636</v>
      </c>
      <c r="F18" s="32"/>
      <c r="G18" s="27">
        <f t="shared" si="2"/>
        <v>2644.7186548024129</v>
      </c>
    </row>
    <row r="19" spans="3:7">
      <c r="C19" t="s">
        <v>280</v>
      </c>
      <c r="D19">
        <v>9.49</v>
      </c>
      <c r="E19" s="66">
        <f t="shared" si="1"/>
        <v>8726.4357740601881</v>
      </c>
      <c r="F19" s="32">
        <v>50000</v>
      </c>
      <c r="G19" s="27">
        <f t="shared" si="2"/>
        <v>-38628.845571137404</v>
      </c>
    </row>
    <row r="20" spans="3:7">
      <c r="C20" t="s">
        <v>281</v>
      </c>
      <c r="D20">
        <v>9.09</v>
      </c>
      <c r="E20" s="66">
        <f t="shared" si="1"/>
        <v>9554.5745290185005</v>
      </c>
      <c r="F20" s="32"/>
      <c r="G20" s="27">
        <f t="shared" si="2"/>
        <v>-29074.271042118904</v>
      </c>
    </row>
    <row r="21" spans="3:7">
      <c r="C21" t="s">
        <v>282</v>
      </c>
      <c r="D21">
        <v>5.37</v>
      </c>
      <c r="E21" s="66">
        <f t="shared" si="1"/>
        <v>10423.085353706283</v>
      </c>
      <c r="F21" s="32"/>
      <c r="G21" s="27">
        <f t="shared" si="2"/>
        <v>-18651.185688412621</v>
      </c>
    </row>
    <row r="22" spans="3:7">
      <c r="C22" t="s">
        <v>263</v>
      </c>
      <c r="D22">
        <v>4.75</v>
      </c>
      <c r="E22" s="66">
        <f t="shared" si="1"/>
        <v>10982.805037200311</v>
      </c>
      <c r="F22" s="32"/>
      <c r="G22" s="27">
        <f t="shared" si="2"/>
        <v>-7668.3806512123101</v>
      </c>
    </row>
    <row r="23" spans="3:7">
      <c r="C23" t="s">
        <v>264</v>
      </c>
      <c r="D23">
        <v>4.75</v>
      </c>
      <c r="E23" s="66">
        <f t="shared" si="1"/>
        <v>11504.488276467326</v>
      </c>
      <c r="F23" s="32">
        <v>15887.06</v>
      </c>
      <c r="G23" s="27">
        <f t="shared" si="2"/>
        <v>-12050.952374744984</v>
      </c>
    </row>
    <row r="24" spans="3:7">
      <c r="C24" t="s">
        <v>265</v>
      </c>
      <c r="D24">
        <v>4.75</v>
      </c>
      <c r="E24" s="66">
        <f t="shared" si="1"/>
        <v>12050.951469599524</v>
      </c>
      <c r="F24" s="32"/>
      <c r="G24" s="33">
        <f t="shared" si="2"/>
        <v>-9.0514545991027262E-4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7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105" t="s">
        <v>338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6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102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8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9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9" t="s">
        <v>23</v>
      </c>
      <c r="B4" s="99" t="s">
        <v>24</v>
      </c>
      <c r="C4" s="100" t="s">
        <v>25</v>
      </c>
      <c r="D4" s="100" t="s">
        <v>3</v>
      </c>
      <c r="E4" s="100" t="s">
        <v>26</v>
      </c>
      <c r="F4" s="100" t="s">
        <v>27</v>
      </c>
      <c r="G4" s="100" t="s">
        <v>26</v>
      </c>
    </row>
    <row r="5" spans="1:7">
      <c r="F5" s="97"/>
      <c r="G5" s="57"/>
    </row>
    <row r="6" spans="1:7">
      <c r="A6" s="60">
        <v>44956</v>
      </c>
      <c r="B6" t="s">
        <v>305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316</v>
      </c>
      <c r="C7"/>
      <c r="D7"/>
      <c r="G7" s="3">
        <f t="shared" si="0"/>
        <v>-77.09</v>
      </c>
    </row>
    <row r="8" spans="1:7">
      <c r="A8" s="60">
        <v>45015</v>
      </c>
      <c r="B8" t="s">
        <v>306</v>
      </c>
      <c r="C8"/>
      <c r="D8"/>
      <c r="G8" s="3">
        <f t="shared" si="0"/>
        <v>-77.09</v>
      </c>
    </row>
    <row r="9" spans="1:7">
      <c r="A9" s="60">
        <v>45046</v>
      </c>
      <c r="B9" t="s">
        <v>307</v>
      </c>
      <c r="C9"/>
      <c r="D9"/>
      <c r="G9" s="3">
        <f t="shared" si="0"/>
        <v>-77.09</v>
      </c>
    </row>
    <row r="10" spans="1:7">
      <c r="A10" s="60">
        <v>45076</v>
      </c>
      <c r="B10" t="s">
        <v>308</v>
      </c>
      <c r="C10"/>
      <c r="D10"/>
      <c r="G10" s="3">
        <f t="shared" si="0"/>
        <v>-77.09</v>
      </c>
    </row>
    <row r="11" spans="1:7">
      <c r="A11" s="101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101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309</v>
      </c>
      <c r="C13"/>
      <c r="D13"/>
      <c r="G13" s="3">
        <f t="shared" si="0"/>
        <v>-77.09</v>
      </c>
    </row>
    <row r="14" spans="1:7">
      <c r="A14" s="60">
        <v>45137</v>
      </c>
      <c r="B14" t="s">
        <v>310</v>
      </c>
      <c r="C14"/>
      <c r="D14"/>
      <c r="G14" s="3">
        <f t="shared" si="0"/>
        <v>-77.09</v>
      </c>
    </row>
    <row r="15" spans="1:7">
      <c r="A15" s="60">
        <v>45168</v>
      </c>
      <c r="B15" t="s">
        <v>311</v>
      </c>
      <c r="C15"/>
      <c r="D15"/>
      <c r="G15" s="3">
        <f t="shared" si="0"/>
        <v>-77.09</v>
      </c>
    </row>
    <row r="16" spans="1:7">
      <c r="A16" s="60">
        <v>45199</v>
      </c>
      <c r="B16" t="s">
        <v>312</v>
      </c>
      <c r="C16"/>
      <c r="D16"/>
      <c r="G16" s="3">
        <f t="shared" si="0"/>
        <v>-77.09</v>
      </c>
    </row>
    <row r="17" spans="1:7">
      <c r="A17" s="60">
        <v>45229</v>
      </c>
      <c r="B17" t="s">
        <v>313</v>
      </c>
      <c r="C17"/>
      <c r="D17"/>
      <c r="G17" s="3">
        <f t="shared" si="0"/>
        <v>-77.09</v>
      </c>
    </row>
    <row r="18" spans="1:7">
      <c r="A18" s="101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101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314</v>
      </c>
      <c r="C20"/>
      <c r="D20"/>
      <c r="G20" s="3">
        <f t="shared" si="0"/>
        <v>-77.09</v>
      </c>
    </row>
    <row r="21" spans="1:7">
      <c r="A21" s="60">
        <v>45290</v>
      </c>
      <c r="B21" t="s">
        <v>315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0"/>
  <sheetViews>
    <sheetView topLeftCell="E8" zoomScale="130" zoomScaleNormal="130" workbookViewId="0">
      <selection activeCell="L17" sqref="L17"/>
    </sheetView>
  </sheetViews>
  <sheetFormatPr defaultRowHeight="12.75"/>
  <cols>
    <col min="1" max="1" width="10.5703125" bestFit="1" customWidth="1"/>
    <col min="2" max="2" width="11.28515625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7" t="s">
        <v>347</v>
      </c>
    </row>
    <row r="3" spans="1:8">
      <c r="C3" s="5" t="s">
        <v>339</v>
      </c>
      <c r="D3" s="1" t="s">
        <v>340</v>
      </c>
      <c r="E3" s="5" t="s">
        <v>341</v>
      </c>
      <c r="F3" s="1"/>
      <c r="H3" s="5" t="s">
        <v>4</v>
      </c>
    </row>
    <row r="4" spans="1:8">
      <c r="C4" s="136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7">
        <v>121030.76</v>
      </c>
      <c r="E5" s="116"/>
      <c r="F5" s="116"/>
      <c r="G5" s="137" t="s">
        <v>342</v>
      </c>
      <c r="H5" s="138">
        <f>D5</f>
        <v>121030.76</v>
      </c>
    </row>
    <row r="6" spans="1:8" ht="14.25">
      <c r="D6" s="109"/>
      <c r="G6" s="2" t="s">
        <v>343</v>
      </c>
      <c r="H6" s="139">
        <f>H23*-1</f>
        <v>39984</v>
      </c>
    </row>
    <row r="7" spans="1:8" ht="14.25">
      <c r="D7" s="109"/>
      <c r="H7" s="139">
        <f>H6+H5</f>
        <v>161014.76</v>
      </c>
    </row>
    <row r="8" spans="1:8">
      <c r="A8" s="140">
        <v>45295</v>
      </c>
      <c r="C8" s="108">
        <v>10000</v>
      </c>
      <c r="D8" s="104">
        <f>H7-C8</f>
        <v>151014.76</v>
      </c>
      <c r="E8" s="141">
        <v>10000</v>
      </c>
      <c r="F8" s="142"/>
      <c r="G8" s="142" t="s">
        <v>344</v>
      </c>
      <c r="H8" s="143">
        <f t="shared" ref="H8:H19" si="0">H7-E8</f>
        <v>151014.76</v>
      </c>
    </row>
    <row r="9" spans="1:8">
      <c r="A9" s="140">
        <v>45323</v>
      </c>
      <c r="C9" s="108">
        <v>10000</v>
      </c>
      <c r="D9" s="104">
        <f t="shared" ref="D9:D19" si="1">D8-C9</f>
        <v>141014.76</v>
      </c>
      <c r="E9" s="141">
        <v>10000</v>
      </c>
      <c r="F9" s="142"/>
      <c r="G9" s="142" t="s">
        <v>344</v>
      </c>
      <c r="H9" s="104">
        <f t="shared" si="0"/>
        <v>141014.76</v>
      </c>
    </row>
    <row r="10" spans="1:8">
      <c r="A10" s="140">
        <v>45352</v>
      </c>
      <c r="C10" s="108">
        <v>10000</v>
      </c>
      <c r="D10" s="104">
        <f t="shared" si="1"/>
        <v>131014.76000000001</v>
      </c>
      <c r="H10" s="104">
        <f t="shared" si="0"/>
        <v>141014.76</v>
      </c>
    </row>
    <row r="11" spans="1:8">
      <c r="A11" s="140">
        <v>45383</v>
      </c>
      <c r="C11" s="108">
        <v>10000</v>
      </c>
      <c r="D11" s="104">
        <f t="shared" si="1"/>
        <v>121014.76000000001</v>
      </c>
      <c r="H11" s="104">
        <f t="shared" si="0"/>
        <v>141014.76</v>
      </c>
    </row>
    <row r="12" spans="1:8">
      <c r="A12" s="140">
        <v>45413</v>
      </c>
      <c r="C12" s="108">
        <v>10000</v>
      </c>
      <c r="D12" s="104">
        <f t="shared" si="1"/>
        <v>111014.76000000001</v>
      </c>
      <c r="H12" s="104">
        <f t="shared" si="0"/>
        <v>141014.76</v>
      </c>
    </row>
    <row r="13" spans="1:8">
      <c r="A13" s="140">
        <v>45444</v>
      </c>
      <c r="C13" s="108">
        <v>10000</v>
      </c>
      <c r="D13" s="104">
        <f t="shared" si="1"/>
        <v>101014.76000000001</v>
      </c>
      <c r="H13" s="104">
        <f t="shared" si="0"/>
        <v>141014.76</v>
      </c>
    </row>
    <row r="14" spans="1:8">
      <c r="A14" s="140">
        <v>45474</v>
      </c>
      <c r="C14" s="108">
        <v>10000</v>
      </c>
      <c r="D14" s="104">
        <f t="shared" si="1"/>
        <v>91014.760000000009</v>
      </c>
      <c r="H14" s="104">
        <f t="shared" si="0"/>
        <v>141014.76</v>
      </c>
    </row>
    <row r="15" spans="1:8">
      <c r="A15" s="140">
        <v>45505</v>
      </c>
      <c r="C15" s="108">
        <v>10000</v>
      </c>
      <c r="D15" s="104">
        <f t="shared" si="1"/>
        <v>81014.760000000009</v>
      </c>
      <c r="H15" s="104">
        <f t="shared" si="0"/>
        <v>141014.76</v>
      </c>
    </row>
    <row r="16" spans="1:8">
      <c r="A16" s="140">
        <v>45536</v>
      </c>
      <c r="C16" s="108">
        <v>10000</v>
      </c>
      <c r="D16" s="104">
        <f t="shared" si="1"/>
        <v>71014.760000000009</v>
      </c>
      <c r="H16" s="104">
        <f t="shared" si="0"/>
        <v>141014.76</v>
      </c>
    </row>
    <row r="17" spans="1:10">
      <c r="A17" s="140">
        <v>45566</v>
      </c>
      <c r="C17" s="108">
        <v>10000</v>
      </c>
      <c r="D17" s="104">
        <f t="shared" si="1"/>
        <v>61014.760000000009</v>
      </c>
      <c r="H17" s="104">
        <f t="shared" si="0"/>
        <v>141014.76</v>
      </c>
    </row>
    <row r="18" spans="1:10">
      <c r="A18" s="140">
        <v>45597</v>
      </c>
      <c r="C18" s="108">
        <v>10000</v>
      </c>
      <c r="D18" s="104">
        <f t="shared" si="1"/>
        <v>51014.760000000009</v>
      </c>
      <c r="H18" s="104">
        <f t="shared" si="0"/>
        <v>141014.76</v>
      </c>
    </row>
    <row r="19" spans="1:10">
      <c r="A19" s="140">
        <v>45627</v>
      </c>
      <c r="C19" s="108">
        <v>11030.76</v>
      </c>
      <c r="D19" s="104">
        <f t="shared" si="1"/>
        <v>39984.000000000007</v>
      </c>
      <c r="H19" s="104">
        <f t="shared" si="0"/>
        <v>141014.76</v>
      </c>
    </row>
    <row r="20" spans="1:10">
      <c r="C20" s="108"/>
      <c r="D20" s="104"/>
      <c r="G20" s="104"/>
      <c r="H20" s="109"/>
    </row>
    <row r="21" spans="1:10" ht="15.75">
      <c r="B21" s="110" t="s">
        <v>289</v>
      </c>
      <c r="D21" s="144">
        <v>0.76480000000000004</v>
      </c>
      <c r="E21" s="144">
        <f>1-D21</f>
        <v>0.23519999999999996</v>
      </c>
      <c r="H21" s="109"/>
    </row>
    <row r="22" spans="1:10">
      <c r="A22" s="133" t="s">
        <v>23</v>
      </c>
      <c r="B22" s="133" t="s">
        <v>24</v>
      </c>
      <c r="C22" s="145" t="s">
        <v>290</v>
      </c>
      <c r="D22" s="146" t="s">
        <v>291</v>
      </c>
      <c r="E22" s="145" t="s">
        <v>292</v>
      </c>
      <c r="F22" s="147" t="s">
        <v>293</v>
      </c>
      <c r="G22" s="145" t="s">
        <v>294</v>
      </c>
      <c r="H22" s="148" t="s">
        <v>248</v>
      </c>
    </row>
    <row r="23" spans="1:10">
      <c r="A23" s="133"/>
      <c r="B23" s="134" t="s">
        <v>297</v>
      </c>
      <c r="C23" s="135">
        <f>SUBTOTAL(109,C24:C37)</f>
        <v>347000</v>
      </c>
      <c r="D23" s="135">
        <f>SUBTOTAL(109,$E$24:$E$37)</f>
        <v>-41630.399999999994</v>
      </c>
      <c r="E23" s="135">
        <f>SUM(E24:E37)</f>
        <v>-41630.399999999994</v>
      </c>
      <c r="F23" s="134"/>
      <c r="G23" s="135">
        <f>SUBTOTAL(109,$H$24:$H$37)</f>
        <v>-502387.20000000001</v>
      </c>
      <c r="H23" s="135">
        <f>H24</f>
        <v>-39984</v>
      </c>
      <c r="J23" s="112"/>
    </row>
    <row r="24" spans="1:10">
      <c r="A24" s="113">
        <v>45656</v>
      </c>
      <c r="B24" t="s">
        <v>295</v>
      </c>
      <c r="D24" s="114">
        <f t="shared" ref="D24:D37" si="2">IF(F24=1,$D24,0)</f>
        <v>0</v>
      </c>
      <c r="E24" s="115">
        <f t="shared" ref="E24:E37" si="3">IF(F24=0,C24*$E$21*-1,0)</f>
        <v>0</v>
      </c>
      <c r="F24" s="111">
        <v>0</v>
      </c>
      <c r="G24" s="114">
        <f t="shared" ref="G24:G37" si="4">IF(F24=1,C24*$E$21*-1,0)</f>
        <v>0</v>
      </c>
      <c r="H24" s="109">
        <f t="shared" ref="H24:H36" si="5">H25+G24</f>
        <v>-39984</v>
      </c>
      <c r="J24" s="112"/>
    </row>
    <row r="25" spans="1:10">
      <c r="A25" s="149"/>
      <c r="B25" s="150"/>
      <c r="C25" s="151"/>
      <c r="D25" s="114">
        <f t="shared" si="2"/>
        <v>0</v>
      </c>
      <c r="E25" s="115">
        <f t="shared" si="3"/>
        <v>0</v>
      </c>
      <c r="F25" s="111">
        <v>0</v>
      </c>
      <c r="G25" s="114">
        <f t="shared" si="4"/>
        <v>0</v>
      </c>
      <c r="H25" s="109">
        <f t="shared" si="5"/>
        <v>-39984</v>
      </c>
    </row>
    <row r="26" spans="1:10">
      <c r="A26" s="152"/>
      <c r="B26" s="153"/>
      <c r="C26" s="154"/>
      <c r="D26" s="114">
        <f t="shared" si="2"/>
        <v>0</v>
      </c>
      <c r="E26" s="115">
        <f t="shared" si="3"/>
        <v>0</v>
      </c>
      <c r="F26" s="111">
        <v>0</v>
      </c>
      <c r="G26" s="114">
        <f t="shared" si="4"/>
        <v>0</v>
      </c>
      <c r="H26" s="109">
        <f t="shared" si="5"/>
        <v>-39984</v>
      </c>
    </row>
    <row r="27" spans="1:10">
      <c r="A27" s="152"/>
      <c r="B27" s="153"/>
      <c r="C27" s="154"/>
      <c r="D27" s="114">
        <f t="shared" si="2"/>
        <v>0</v>
      </c>
      <c r="E27" s="115">
        <f t="shared" si="3"/>
        <v>0</v>
      </c>
      <c r="F27" s="111">
        <v>0</v>
      </c>
      <c r="G27" s="114">
        <f t="shared" si="4"/>
        <v>0</v>
      </c>
      <c r="H27" s="109">
        <f t="shared" si="5"/>
        <v>-39984</v>
      </c>
    </row>
    <row r="28" spans="1:10">
      <c r="A28" s="149"/>
      <c r="B28" s="150"/>
      <c r="C28" s="151"/>
      <c r="D28" s="114">
        <f t="shared" si="2"/>
        <v>0</v>
      </c>
      <c r="E28" s="115">
        <f t="shared" si="3"/>
        <v>0</v>
      </c>
      <c r="F28" s="111">
        <v>0</v>
      </c>
      <c r="G28" s="114">
        <f t="shared" si="4"/>
        <v>0</v>
      </c>
      <c r="H28" s="109">
        <f t="shared" si="5"/>
        <v>-39984</v>
      </c>
    </row>
    <row r="29" spans="1:10">
      <c r="A29" s="149"/>
      <c r="B29" s="150"/>
      <c r="C29" s="151"/>
      <c r="D29" s="114">
        <f t="shared" si="2"/>
        <v>0</v>
      </c>
      <c r="E29" s="115">
        <f t="shared" si="3"/>
        <v>0</v>
      </c>
      <c r="F29" s="111">
        <v>0</v>
      </c>
      <c r="G29" s="114">
        <f t="shared" si="4"/>
        <v>0</v>
      </c>
      <c r="H29" s="109">
        <f t="shared" si="5"/>
        <v>-39984</v>
      </c>
    </row>
    <row r="30" spans="1:10">
      <c r="A30" s="149"/>
      <c r="B30" s="150"/>
      <c r="C30" s="151"/>
      <c r="D30" s="114">
        <f t="shared" si="2"/>
        <v>0</v>
      </c>
      <c r="E30" s="115">
        <f t="shared" si="3"/>
        <v>0</v>
      </c>
      <c r="F30" s="111">
        <v>0</v>
      </c>
      <c r="G30" s="114">
        <f t="shared" si="4"/>
        <v>0</v>
      </c>
      <c r="H30" s="109">
        <f t="shared" si="5"/>
        <v>-39984</v>
      </c>
    </row>
    <row r="31" spans="1:10">
      <c r="A31" s="149"/>
      <c r="B31" s="150"/>
      <c r="C31" s="151"/>
      <c r="D31" s="114">
        <f t="shared" si="2"/>
        <v>0</v>
      </c>
      <c r="E31" s="115">
        <f t="shared" si="3"/>
        <v>0</v>
      </c>
      <c r="F31" s="111">
        <v>0</v>
      </c>
      <c r="G31" s="114">
        <f t="shared" si="4"/>
        <v>0</v>
      </c>
      <c r="H31" s="109">
        <f t="shared" si="5"/>
        <v>-39984</v>
      </c>
    </row>
    <row r="32" spans="1:10">
      <c r="A32" s="152"/>
      <c r="B32" s="153"/>
      <c r="C32" s="154"/>
      <c r="D32" s="114">
        <f t="shared" si="2"/>
        <v>0</v>
      </c>
      <c r="E32" s="115">
        <f t="shared" si="3"/>
        <v>0</v>
      </c>
      <c r="F32" s="111">
        <v>0</v>
      </c>
      <c r="G32" s="114">
        <f t="shared" si="4"/>
        <v>0</v>
      </c>
      <c r="H32" s="109">
        <f t="shared" si="5"/>
        <v>-39984</v>
      </c>
    </row>
    <row r="33" spans="1:10">
      <c r="A33" s="113">
        <v>45321</v>
      </c>
      <c r="B33" s="118" t="s">
        <v>296</v>
      </c>
      <c r="C33" s="119">
        <v>7000</v>
      </c>
      <c r="D33" s="114">
        <f t="shared" si="2"/>
        <v>0</v>
      </c>
      <c r="E33" s="115">
        <f t="shared" si="3"/>
        <v>-1646.3999999999999</v>
      </c>
      <c r="F33" s="111">
        <v>0</v>
      </c>
      <c r="G33" s="114">
        <f t="shared" si="4"/>
        <v>0</v>
      </c>
      <c r="H33" s="109">
        <f t="shared" si="5"/>
        <v>-39984</v>
      </c>
    </row>
    <row r="34" spans="1:10">
      <c r="A34" s="152"/>
      <c r="B34" s="153" t="s">
        <v>345</v>
      </c>
      <c r="C34" s="154">
        <v>24000</v>
      </c>
      <c r="D34" s="114">
        <f t="shared" ca="1" si="2"/>
        <v>24000</v>
      </c>
      <c r="E34" s="115">
        <f t="shared" si="3"/>
        <v>0</v>
      </c>
      <c r="F34" s="111">
        <v>1</v>
      </c>
      <c r="G34" s="114">
        <f t="shared" si="4"/>
        <v>-5644.7999999999993</v>
      </c>
      <c r="H34" s="109">
        <f t="shared" si="5"/>
        <v>-39984</v>
      </c>
    </row>
    <row r="35" spans="1:10">
      <c r="A35" s="152">
        <v>45296</v>
      </c>
      <c r="B35" s="153" t="s">
        <v>346</v>
      </c>
      <c r="C35" s="154">
        <v>26000</v>
      </c>
      <c r="D35" s="114">
        <f t="shared" ca="1" si="2"/>
        <v>26000</v>
      </c>
      <c r="E35" s="115">
        <f t="shared" si="3"/>
        <v>0</v>
      </c>
      <c r="F35" s="111">
        <v>1</v>
      </c>
      <c r="G35" s="114">
        <f t="shared" si="4"/>
        <v>-6115.1999999999989</v>
      </c>
      <c r="H35" s="109">
        <f t="shared" si="5"/>
        <v>-34339.199999999997</v>
      </c>
    </row>
    <row r="36" spans="1:10">
      <c r="A36" s="149">
        <v>45295</v>
      </c>
      <c r="B36" s="153" t="s">
        <v>346</v>
      </c>
      <c r="C36" s="151">
        <v>120000</v>
      </c>
      <c r="D36" s="114">
        <f t="shared" ca="1" si="2"/>
        <v>120000</v>
      </c>
      <c r="E36" s="115">
        <f t="shared" si="3"/>
        <v>0</v>
      </c>
      <c r="F36" s="111">
        <v>1</v>
      </c>
      <c r="G36" s="114">
        <f t="shared" si="4"/>
        <v>-28223.999999999996</v>
      </c>
      <c r="H36" s="109">
        <f t="shared" si="5"/>
        <v>-28223.999999999996</v>
      </c>
    </row>
    <row r="37" spans="1:10">
      <c r="A37" s="152">
        <v>45292</v>
      </c>
      <c r="B37" s="153" t="s">
        <v>254</v>
      </c>
      <c r="C37" s="155">
        <v>170000</v>
      </c>
      <c r="D37" s="114">
        <f t="shared" si="2"/>
        <v>0</v>
      </c>
      <c r="E37" s="115">
        <f t="shared" si="3"/>
        <v>-39983.999999999993</v>
      </c>
      <c r="F37" s="120">
        <v>0</v>
      </c>
      <c r="G37" s="114">
        <f t="shared" si="4"/>
        <v>0</v>
      </c>
      <c r="H37" s="109">
        <f>G37</f>
        <v>0</v>
      </c>
    </row>
    <row r="39" spans="1:10">
      <c r="C39" s="109"/>
      <c r="D39" s="109"/>
      <c r="E39" s="109"/>
      <c r="G39" s="109"/>
      <c r="H39" s="109"/>
    </row>
    <row r="40" spans="1:10">
      <c r="C40" s="114" t="s">
        <v>252</v>
      </c>
      <c r="D40" s="109" t="s">
        <v>298</v>
      </c>
      <c r="E40" s="109" t="s">
        <v>299</v>
      </c>
      <c r="G40" s="121"/>
      <c r="H40" s="121"/>
      <c r="I40" s="122"/>
    </row>
    <row r="41" spans="1:10" ht="15.75">
      <c r="B41" t="s">
        <v>250</v>
      </c>
      <c r="C41" s="123">
        <v>1</v>
      </c>
      <c r="D41" s="156">
        <f>D21</f>
        <v>0.76480000000000004</v>
      </c>
      <c r="E41" s="156">
        <f>1-D41</f>
        <v>0.23519999999999996</v>
      </c>
      <c r="H41" s="109"/>
    </row>
    <row r="42" spans="1:10">
      <c r="B42" t="s">
        <v>300</v>
      </c>
      <c r="C42" s="124">
        <f>$D$23*C41</f>
        <v>-41630.399999999994</v>
      </c>
      <c r="D42" s="125">
        <f>$D$23*D41</f>
        <v>-31838.929919999999</v>
      </c>
      <c r="E42" s="125">
        <f>$D$23*E41</f>
        <v>-9791.4700799999973</v>
      </c>
      <c r="H42" s="109"/>
    </row>
    <row r="43" spans="1:10">
      <c r="B43" t="s">
        <v>251</v>
      </c>
      <c r="C43" s="114">
        <f>D43+E43</f>
        <v>0</v>
      </c>
      <c r="D43" s="109">
        <f>E43/D41*E41</f>
        <v>0</v>
      </c>
      <c r="E43" s="109">
        <f>$I$23*-1</f>
        <v>0</v>
      </c>
      <c r="G43" s="126"/>
      <c r="H43" s="109"/>
      <c r="J43" s="109"/>
    </row>
    <row r="44" spans="1:10">
      <c r="B44" t="s">
        <v>301</v>
      </c>
      <c r="C44" s="114">
        <f>C42-C43</f>
        <v>-41630.399999999994</v>
      </c>
      <c r="D44" s="109">
        <f>D42-D43</f>
        <v>-31838.929919999999</v>
      </c>
      <c r="E44" s="109">
        <f>E42-E43</f>
        <v>-9791.4700799999973</v>
      </c>
      <c r="G44" s="109"/>
      <c r="H44" s="109"/>
      <c r="J44" s="109"/>
    </row>
    <row r="45" spans="1:10" ht="13.5" thickBot="1">
      <c r="C45" s="127"/>
      <c r="D45" s="127"/>
      <c r="E45" s="127"/>
      <c r="G45" s="109"/>
      <c r="H45" s="109"/>
      <c r="J45" s="109"/>
    </row>
    <row r="46" spans="1:10">
      <c r="H46" s="109"/>
      <c r="J46" s="109"/>
    </row>
    <row r="47" spans="1:10">
      <c r="C47" s="5" t="s">
        <v>302</v>
      </c>
      <c r="D47" s="5" t="s">
        <v>303</v>
      </c>
      <c r="E47" s="5" t="s">
        <v>304</v>
      </c>
      <c r="G47" s="109"/>
      <c r="H47" s="109"/>
      <c r="J47" s="109"/>
    </row>
    <row r="48" spans="1:10">
      <c r="C48" s="109"/>
      <c r="D48" s="128"/>
      <c r="E48" s="109"/>
      <c r="H48" s="109"/>
      <c r="J48" s="109"/>
    </row>
    <row r="49" spans="2:8">
      <c r="B49" s="109" t="s">
        <v>249</v>
      </c>
      <c r="C49" s="109">
        <f>D43</f>
        <v>0</v>
      </c>
      <c r="D49" s="52">
        <v>2.5000000000000001E-2</v>
      </c>
      <c r="E49" s="109">
        <f>C49*D49</f>
        <v>0</v>
      </c>
      <c r="H49" s="109"/>
    </row>
    <row r="50" spans="2:8">
      <c r="E50" s="109"/>
      <c r="G50" s="109"/>
      <c r="H50" s="10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10</vt:i4>
      </vt:variant>
    </vt:vector>
  </HeadingPairs>
  <TitlesOfParts>
    <vt:vector size="10" baseType="lpstr">
      <vt:lpstr>TPLM</vt:lpstr>
      <vt:lpstr>SnyA105-22</vt:lpstr>
      <vt:lpstr>SnyB202-22</vt:lpstr>
      <vt:lpstr>SnyC301-22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2024-04-15T16:58:36Z</dcterms:modified>
</cp:coreProperties>
</file>