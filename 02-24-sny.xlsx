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711F90B5-559B-4C7E-AC20-EF626362947A}" xr6:coauthVersionLast="47" xr6:coauthVersionMax="47" xr10:uidLastSave="{00000000-0000-0000-0000-000000000000}"/>
  <bookViews>
    <workbookView xWindow="-120" yWindow="-120" windowWidth="20730" windowHeight="11160" tabRatio="912" activeTab="2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ayfa1" sheetId="15" r:id="rId9"/>
    <sheet name="SnyG702-22" sheetId="7" r:id="rId10"/>
    <sheet name="SnH_yazıhane" sheetId="8" r:id="rId11"/>
    <sheet name="NAZAN" sheetId="16" r:id="rId12"/>
  </sheets>
  <calcPr calcId="181029"/>
</workbook>
</file>

<file path=xl/calcChain.xml><?xml version="1.0" encoding="utf-8"?>
<calcChain xmlns="http://schemas.openxmlformats.org/spreadsheetml/2006/main">
  <c r="H37" i="18" l="1"/>
  <c r="H36" i="18" s="1"/>
  <c r="H35" i="18" s="1"/>
  <c r="D8" i="18"/>
  <c r="D10" i="18"/>
  <c r="D12" i="18"/>
  <c r="D14" i="18"/>
  <c r="H39" i="18"/>
  <c r="H38" i="18" s="1"/>
  <c r="F37" i="18" s="1"/>
  <c r="D37" i="18"/>
  <c r="D34" i="18"/>
  <c r="D32" i="18"/>
  <c r="D30" i="18"/>
  <c r="D28" i="18"/>
  <c r="D26" i="18"/>
  <c r="D24" i="18"/>
  <c r="D22" i="18"/>
  <c r="D20" i="18"/>
  <c r="D18" i="18"/>
  <c r="D16" i="18"/>
  <c r="G3" i="18"/>
  <c r="G45" i="15"/>
  <c r="E46" i="15" l="1"/>
  <c r="D44" i="16"/>
  <c r="E44" i="16"/>
  <c r="E75" i="15"/>
  <c r="E63" i="15"/>
  <c r="G62" i="15"/>
  <c r="D117" i="5"/>
  <c r="D115" i="5"/>
  <c r="D116" i="5" s="1"/>
  <c r="D111" i="5"/>
  <c r="D70" i="17"/>
  <c r="C66" i="17"/>
  <c r="E47" i="15" l="1"/>
  <c r="G46" i="15"/>
  <c r="G63" i="15"/>
  <c r="E64" i="15"/>
  <c r="E76" i="15"/>
  <c r="C68" i="17"/>
  <c r="C65" i="17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36" i="18" l="1"/>
  <c r="G47" i="15"/>
  <c r="E78" i="15"/>
  <c r="E80" i="15" s="1"/>
  <c r="E65" i="15"/>
  <c r="G64" i="15"/>
  <c r="D69" i="17"/>
  <c r="D71" i="17" s="1"/>
  <c r="D76" i="17" s="1"/>
  <c r="F33" i="18" l="1"/>
  <c r="E66" i="15"/>
  <c r="G65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1" i="18" l="1"/>
  <c r="E81" i="15"/>
  <c r="E82" i="15" s="1"/>
  <c r="E83" i="15" s="1"/>
  <c r="E84" i="15" s="1"/>
  <c r="E85" i="15" s="1"/>
  <c r="E86" i="15" s="1"/>
  <c r="E87" i="15" s="1"/>
  <c r="E67" i="15"/>
  <c r="G66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E31" i="15" s="1"/>
  <c r="E36" i="15" s="1"/>
  <c r="H37" i="16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G32" i="16"/>
  <c r="E32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F34" i="18" l="1"/>
  <c r="H34" i="18" s="1"/>
  <c r="F29" i="18"/>
  <c r="D18" i="4"/>
  <c r="E18" i="4" s="1"/>
  <c r="D19" i="4" s="1"/>
  <c r="E19" i="4" s="1"/>
  <c r="E37" i="15"/>
  <c r="E68" i="15"/>
  <c r="E69" i="15" s="1"/>
  <c r="E70" i="15" s="1"/>
  <c r="E71" i="15" s="1"/>
  <c r="E72" i="15" s="1"/>
  <c r="E73" i="15" s="1"/>
  <c r="G67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H33" i="18" l="1"/>
  <c r="F27" i="18"/>
  <c r="E38" i="15"/>
  <c r="E39" i="15" s="1"/>
  <c r="G68" i="15"/>
  <c r="G14" i="6"/>
  <c r="E15" i="6"/>
  <c r="G15" i="6" s="1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9" i="16"/>
  <c r="G28" i="16"/>
  <c r="G27" i="16"/>
  <c r="G26" i="16"/>
  <c r="G25" i="16"/>
  <c r="G24" i="16"/>
  <c r="C23" i="16"/>
  <c r="E21" i="16"/>
  <c r="G35" i="16" s="1"/>
  <c r="D13" i="3"/>
  <c r="D26" i="2"/>
  <c r="D25" i="2"/>
  <c r="F32" i="18" l="1"/>
  <c r="H32" i="18" s="1"/>
  <c r="H31" i="18" s="1"/>
  <c r="F25" i="18"/>
  <c r="E40" i="15"/>
  <c r="E41" i="15" s="1"/>
  <c r="E42" i="15" s="1"/>
  <c r="E43" i="15" s="1"/>
  <c r="E44" i="15" s="1"/>
  <c r="G69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E38" i="16"/>
  <c r="E28" i="16"/>
  <c r="E29" i="16"/>
  <c r="C50" i="16"/>
  <c r="E50" i="16" s="1"/>
  <c r="C44" i="16"/>
  <c r="C45" i="16" s="1"/>
  <c r="F30" i="18" l="1"/>
  <c r="H30" i="18" s="1"/>
  <c r="H29" i="18" s="1"/>
  <c r="F28" i="18" s="1"/>
  <c r="F23" i="18"/>
  <c r="G70" i="15"/>
  <c r="E17" i="6"/>
  <c r="E18" i="6" s="1"/>
  <c r="E23" i="16"/>
  <c r="G6" i="15"/>
  <c r="G7" i="15" s="1"/>
  <c r="G8" i="15" s="1"/>
  <c r="G9" i="15" s="1"/>
  <c r="G10" i="15" s="1"/>
  <c r="G11" i="15" s="1"/>
  <c r="G12" i="15" s="1"/>
  <c r="E18" i="15"/>
  <c r="G17" i="15"/>
  <c r="D9" i="1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28" i="18" l="1"/>
  <c r="H27" i="18" s="1"/>
  <c r="F26" i="18" s="1"/>
  <c r="H26" i="18" s="1"/>
  <c r="H25" i="18" s="1"/>
  <c r="F21" i="18"/>
  <c r="F19" i="18" s="1"/>
  <c r="F17" i="18" s="1"/>
  <c r="F9" i="18" s="1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G18" i="15"/>
  <c r="G71" i="15"/>
  <c r="E19" i="6"/>
  <c r="E20" i="6" s="1"/>
  <c r="G17" i="6"/>
  <c r="G18" i="6" s="1"/>
  <c r="G19" i="6" s="1"/>
  <c r="H24" i="16"/>
  <c r="H23" i="16" s="1"/>
  <c r="H6" i="16" s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G2" i="8"/>
  <c r="E20" i="15"/>
  <c r="G19" i="15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F24" i="18" l="1"/>
  <c r="H24" i="18" s="1"/>
  <c r="H23" i="18" s="1"/>
  <c r="G72" i="15"/>
  <c r="G73" i="15" s="1"/>
  <c r="G74" i="15" s="1"/>
  <c r="G75" i="15" s="1"/>
  <c r="G76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G20" i="15"/>
  <c r="E8" i="1"/>
  <c r="F16" i="1"/>
  <c r="F22" i="18" l="1"/>
  <c r="H22" i="18" s="1"/>
  <c r="H21" i="18" s="1"/>
  <c r="G77" i="15"/>
  <c r="G78" i="15" s="1"/>
  <c r="G79" i="15" s="1"/>
  <c r="G80" i="15" s="1"/>
  <c r="G81" i="15" s="1"/>
  <c r="G82" i="15" s="1"/>
  <c r="G83" i="15" s="1"/>
  <c r="G84" i="15" s="1"/>
  <c r="G85" i="15" s="1"/>
  <c r="G86" i="15" s="1"/>
  <c r="G87" i="15" s="1"/>
  <c r="E22" i="15"/>
  <c r="G21" i="15"/>
  <c r="F20" i="18" l="1"/>
  <c r="H20" i="18" s="1"/>
  <c r="H19" i="18" s="1"/>
  <c r="F18" i="18" s="1"/>
  <c r="E23" i="15"/>
  <c r="G22" i="15"/>
  <c r="H18" i="18" l="1"/>
  <c r="H17" i="18" s="1"/>
  <c r="F16" i="18" s="1"/>
  <c r="H16" i="18" s="1"/>
  <c r="H15" i="18" s="1"/>
  <c r="E24" i="15"/>
  <c r="G23" i="15"/>
  <c r="G24" i="15" s="1"/>
  <c r="G25" i="15" s="1"/>
  <c r="G26" i="15" s="1"/>
  <c r="F14" i="18" l="1"/>
  <c r="H14" i="18"/>
  <c r="H13" i="18" s="1"/>
  <c r="F12" i="18" s="1"/>
  <c r="H12" i="18" s="1"/>
  <c r="H11" i="18" s="1"/>
  <c r="F10" i="18" s="1"/>
  <c r="H10" i="18" s="1"/>
  <c r="H9" i="18" s="1"/>
  <c r="F8" i="18" s="1"/>
  <c r="H8" i="18" s="1"/>
  <c r="E25" i="15"/>
  <c r="E26" i="15" l="1"/>
  <c r="F3" i="18" l="1"/>
  <c r="H3" i="18" s="1"/>
  <c r="E27" i="15"/>
  <c r="G27" i="15"/>
  <c r="G28" i="15" s="1"/>
  <c r="G29" i="15" s="1"/>
  <c r="H7" i="18" l="1"/>
  <c r="H6" i="18" s="1"/>
  <c r="F4" i="4"/>
  <c r="E28" i="15"/>
  <c r="D10" i="1" l="1"/>
  <c r="G7" i="4"/>
  <c r="G30" i="15"/>
  <c r="E10" i="1" l="1"/>
  <c r="D16" i="1"/>
  <c r="G31" i="15"/>
  <c r="G32" i="15" s="1"/>
  <c r="G33" i="15" s="1"/>
  <c r="G34" i="15" s="1"/>
  <c r="G35" i="15" s="1"/>
  <c r="G36" i="15" s="1"/>
  <c r="G37" i="15" s="1"/>
  <c r="G38" i="15" s="1"/>
  <c r="G39" i="15" s="1"/>
  <c r="G4" i="6"/>
  <c r="E4" i="6"/>
  <c r="C12" i="1" s="1"/>
  <c r="E12" i="1" l="1"/>
  <c r="E16" i="1" s="1"/>
  <c r="C16" i="1"/>
  <c r="D23" i="16"/>
  <c r="E43" i="16" s="1"/>
  <c r="E45" i="16" s="1"/>
  <c r="D43" i="16" l="1"/>
  <c r="D45" i="16" s="1"/>
  <c r="C43" i="16"/>
  <c r="G40" i="15" l="1"/>
  <c r="G41" i="15" s="1"/>
  <c r="G42" i="15" s="1"/>
  <c r="G43" i="15" s="1"/>
  <c r="G44" i="15" s="1"/>
</calcChain>
</file>

<file path=xl/sharedStrings.xml><?xml version="1.0" encoding="utf-8"?>
<sst xmlns="http://schemas.openxmlformats.org/spreadsheetml/2006/main" count="831" uniqueCount="458">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</sst>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4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/>
        <bgColor indexed="64"/>
      </patternFill>
    </fill>
    <fill>
      <patternFill patternType="solid">
        <fgColor theme="7"/>
        <bgColor rgb="FFFFF2CC"/>
      </patternFill>
    </fill>
    <fill>
      <patternFill patternType="solid">
        <fgColor theme="7" tint="0.79998168889431442"/>
        <bgColor rgb="FFFFF2CC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32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4" fontId="16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  <xf numFmtId="4" fontId="18" fillId="36" borderId="0" xfId="0" applyNumberFormat="1" applyFont="1" applyFill="1" applyAlignment="1">
      <alignment horizontal="right"/>
    </xf>
    <xf numFmtId="4" fontId="18" fillId="37" borderId="0" xfId="0" applyNumberFormat="1" applyFont="1" applyFill="1"/>
    <xf numFmtId="4" fontId="18" fillId="38" borderId="0" xfId="0" applyNumberFormat="1" applyFont="1" applyFill="1"/>
    <xf numFmtId="4" fontId="18" fillId="39" borderId="0" xfId="0" applyNumberFormat="1" applyFont="1" applyFill="1" applyAlignment="1">
      <alignment horizontal="right"/>
    </xf>
    <xf numFmtId="4" fontId="0" fillId="40" borderId="0" xfId="0" applyNumberFormat="1" applyFill="1"/>
    <xf numFmtId="4" fontId="18" fillId="41" borderId="0" xfId="0" applyNumberFormat="1" applyFont="1" applyFill="1" applyAlignment="1">
      <alignment horizontal="right"/>
    </xf>
    <xf numFmtId="4" fontId="18" fillId="42" borderId="0" xfId="0" applyNumberFormat="1" applyFont="1" applyFill="1" applyAlignment="1">
      <alignment horizontal="right"/>
    </xf>
    <xf numFmtId="0" fontId="19" fillId="27" borderId="0" xfId="0" applyFont="1" applyFill="1"/>
    <xf numFmtId="0" fontId="28" fillId="27" borderId="0" xfId="0" applyFont="1" applyFill="1"/>
    <xf numFmtId="0" fontId="2" fillId="27" borderId="0" xfId="0" applyFont="1" applyFill="1"/>
    <xf numFmtId="4" fontId="16" fillId="37" borderId="0" xfId="0" applyNumberFormat="1" applyFont="1" applyFill="1"/>
    <xf numFmtId="4" fontId="16" fillId="36" borderId="0" xfId="0" applyNumberFormat="1" applyFont="1" applyFill="1" applyAlignment="1">
      <alignment horizontal="right"/>
    </xf>
    <xf numFmtId="164" fontId="49" fillId="0" borderId="0" xfId="0" applyNumberFormat="1" applyFont="1" applyAlignment="1">
      <alignment vertical="center"/>
    </xf>
    <xf numFmtId="164" fontId="50" fillId="0" borderId="0" xfId="0" applyNumberFormat="1" applyFont="1" applyAlignment="1">
      <alignment vertical="center"/>
    </xf>
    <xf numFmtId="179" fontId="49" fillId="0" borderId="0" xfId="0" applyNumberFormat="1" applyFont="1" applyAlignment="1">
      <alignment vertical="center"/>
    </xf>
    <xf numFmtId="10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180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vertical="center"/>
    </xf>
    <xf numFmtId="164" fontId="49" fillId="0" borderId="4" xfId="0" applyNumberFormat="1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179" fontId="49" fillId="0" borderId="4" xfId="0" applyNumberFormat="1" applyFont="1" applyBorder="1" applyAlignment="1">
      <alignment vertical="center"/>
    </xf>
    <xf numFmtId="10" fontId="49" fillId="0" borderId="4" xfId="0" applyNumberFormat="1" applyFont="1" applyBorder="1" applyAlignment="1">
      <alignment vertical="center"/>
    </xf>
    <xf numFmtId="180" fontId="49" fillId="0" borderId="4" xfId="0" applyNumberFormat="1" applyFont="1" applyBorder="1" applyAlignment="1">
      <alignment vertical="center"/>
    </xf>
    <xf numFmtId="181" fontId="49" fillId="0" borderId="4" xfId="0" applyNumberFormat="1" applyFont="1" applyBorder="1" applyAlignment="1">
      <alignment vertical="center"/>
    </xf>
    <xf numFmtId="164" fontId="51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180" fontId="53" fillId="0" borderId="0" xfId="0" applyNumberFormat="1" applyFont="1" applyAlignment="1">
      <alignment vertical="center"/>
    </xf>
    <xf numFmtId="181" fontId="15" fillId="0" borderId="0" xfId="0" applyNumberFormat="1" applyFont="1" applyAlignment="1">
      <alignment vertical="center"/>
    </xf>
    <xf numFmtId="16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79" fontId="53" fillId="0" borderId="0" xfId="0" applyNumberFormat="1" applyFont="1" applyAlignment="1">
      <alignment vertical="center"/>
    </xf>
    <xf numFmtId="10" fontId="53" fillId="0" borderId="0" xfId="0" applyNumberFormat="1" applyFont="1" applyAlignment="1">
      <alignment vertical="center"/>
    </xf>
    <xf numFmtId="0" fontId="53" fillId="0" borderId="0" xfId="0" applyFont="1" applyAlignment="1">
      <alignment horizontal="right" vertical="center"/>
    </xf>
    <xf numFmtId="180" fontId="53" fillId="0" borderId="0" xfId="0" applyNumberFormat="1" applyFont="1" applyAlignment="1">
      <alignment horizontal="right" vertical="center"/>
    </xf>
    <xf numFmtId="181" fontId="53" fillId="0" borderId="0" xfId="0" applyNumberFormat="1" applyFont="1" applyAlignment="1">
      <alignment horizontal="right" vertical="center"/>
    </xf>
    <xf numFmtId="182" fontId="49" fillId="0" borderId="0" xfId="7" applyNumberFormat="1" applyFont="1"/>
    <xf numFmtId="4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horizontal="right" vertical="center"/>
    </xf>
    <xf numFmtId="179" fontId="49" fillId="32" borderId="0" xfId="0" applyNumberFormat="1" applyFont="1" applyFill="1" applyAlignment="1">
      <alignment vertical="center"/>
    </xf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tabSelected="1" topLeftCell="A10"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55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8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1"/>
  <sheetViews>
    <sheetView topLeftCell="A7" zoomScale="145" zoomScaleNormal="145" workbookViewId="0">
      <selection activeCell="F13" sqref="F13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1.140625" bestFit="1" customWidth="1"/>
  </cols>
  <sheetData>
    <row r="1" spans="1:8" ht="15">
      <c r="A1" s="204"/>
      <c r="B1" s="205" t="s">
        <v>421</v>
      </c>
      <c r="C1" s="206"/>
      <c r="D1" s="207"/>
      <c r="E1" s="208"/>
      <c r="F1" s="209"/>
      <c r="G1" s="210"/>
      <c r="H1" s="210"/>
    </row>
    <row r="2" spans="1:8">
      <c r="A2" s="211"/>
      <c r="B2" s="212"/>
      <c r="C2" s="213"/>
      <c r="D2" s="214"/>
      <c r="E2" s="212"/>
      <c r="F2" s="215"/>
      <c r="G2" s="216"/>
      <c r="H2" s="216"/>
    </row>
    <row r="3" spans="1:8" ht="18">
      <c r="A3" s="217" t="s">
        <v>437</v>
      </c>
      <c r="B3" s="208"/>
      <c r="C3" s="206"/>
      <c r="D3" s="207"/>
      <c r="E3" s="218"/>
      <c r="F3" s="219">
        <f>SUM(F8:F51)</f>
        <v>355853.14073210838</v>
      </c>
      <c r="G3" s="219">
        <f>SUM(G8:G51)</f>
        <v>135000</v>
      </c>
      <c r="H3" s="220">
        <f>F3-G3</f>
        <v>220853.14073210838</v>
      </c>
    </row>
    <row r="4" spans="1:8" ht="18">
      <c r="A4" s="217"/>
      <c r="B4" s="208"/>
      <c r="C4" s="206"/>
      <c r="D4" s="207"/>
      <c r="E4" s="208" t="s">
        <v>434</v>
      </c>
      <c r="F4" s="219"/>
      <c r="G4" s="219"/>
      <c r="H4" s="220"/>
    </row>
    <row r="5" spans="1:8">
      <c r="A5" s="221" t="s">
        <v>23</v>
      </c>
      <c r="B5" s="222" t="s">
        <v>24</v>
      </c>
      <c r="C5" s="223" t="s">
        <v>422</v>
      </c>
      <c r="D5" s="224" t="s">
        <v>350</v>
      </c>
      <c r="E5" s="225" t="s">
        <v>423</v>
      </c>
      <c r="F5" s="226" t="s">
        <v>213</v>
      </c>
      <c r="G5" s="227" t="s">
        <v>3</v>
      </c>
      <c r="H5" s="227" t="s">
        <v>26</v>
      </c>
    </row>
    <row r="6" spans="1:8">
      <c r="A6" s="204"/>
      <c r="B6" s="208"/>
      <c r="C6" s="206"/>
      <c r="D6" s="207"/>
      <c r="E6" s="208"/>
      <c r="F6" s="209"/>
      <c r="G6" s="210"/>
      <c r="H6" s="210">
        <f t="shared" ref="H6:H37" si="0">H7+F6-G6</f>
        <v>220853.14073210832</v>
      </c>
    </row>
    <row r="7" spans="1:8">
      <c r="A7" s="204"/>
      <c r="B7" s="228"/>
      <c r="C7" s="206"/>
      <c r="D7" s="207"/>
      <c r="E7" s="208"/>
      <c r="F7" s="209"/>
      <c r="G7" s="210"/>
      <c r="H7" s="210">
        <f t="shared" si="0"/>
        <v>220853.14073210832</v>
      </c>
    </row>
    <row r="8" spans="1:8">
      <c r="A8" s="204">
        <v>45687</v>
      </c>
      <c r="B8" s="228" t="s">
        <v>452</v>
      </c>
      <c r="C8" s="206">
        <v>3000</v>
      </c>
      <c r="D8" s="207">
        <f>(C8/C10)-1</f>
        <v>3.4482758620689724E-2</v>
      </c>
      <c r="E8" s="229"/>
      <c r="F8" s="209">
        <f>H9*D8</f>
        <v>7361.7713577369586</v>
      </c>
      <c r="G8" s="210"/>
      <c r="H8" s="210">
        <f t="shared" ref="H8:H9" si="1">H9+F8-G8</f>
        <v>220853.14073210832</v>
      </c>
    </row>
    <row r="9" spans="1:8">
      <c r="A9" s="204"/>
      <c r="B9" s="228" t="s">
        <v>456</v>
      </c>
      <c r="C9" s="206"/>
      <c r="D9" s="207"/>
      <c r="E9" s="208"/>
      <c r="F9" s="209">
        <f>F11+E10</f>
        <v>34000</v>
      </c>
      <c r="G9" s="210"/>
      <c r="H9" s="210">
        <f t="shared" si="1"/>
        <v>213491.36937437137</v>
      </c>
    </row>
    <row r="10" spans="1:8">
      <c r="A10" s="204">
        <v>45656</v>
      </c>
      <c r="B10" s="228" t="s">
        <v>453</v>
      </c>
      <c r="C10" s="206">
        <v>2900</v>
      </c>
      <c r="D10" s="207">
        <f>(C10/C12)-1</f>
        <v>3.5714285714285809E-2</v>
      </c>
      <c r="E10" s="229"/>
      <c r="F10" s="209">
        <f>H11*D10</f>
        <v>6189.3575646335112</v>
      </c>
      <c r="G10" s="210"/>
      <c r="H10" s="210">
        <f t="shared" ref="H10:H11" si="2">H11+F10-G10</f>
        <v>179491.36937437137</v>
      </c>
    </row>
    <row r="11" spans="1:8">
      <c r="A11" s="204"/>
      <c r="B11" s="228" t="s">
        <v>455</v>
      </c>
      <c r="C11" s="206"/>
      <c r="D11" s="207"/>
      <c r="E11" s="208"/>
      <c r="F11" s="209">
        <v>34000</v>
      </c>
      <c r="G11" s="210"/>
      <c r="H11" s="210">
        <f t="shared" si="2"/>
        <v>173302.01180973786</v>
      </c>
    </row>
    <row r="12" spans="1:8">
      <c r="A12" s="204">
        <v>45626</v>
      </c>
      <c r="B12" s="228" t="s">
        <v>454</v>
      </c>
      <c r="C12" s="206">
        <v>2800</v>
      </c>
      <c r="D12" s="207">
        <f>(C12/C14)-1</f>
        <v>3.7037037037036979E-2</v>
      </c>
      <c r="E12" s="229"/>
      <c r="F12" s="209">
        <f>H13*D12</f>
        <v>4975.0718503477738</v>
      </c>
      <c r="G12" s="210"/>
      <c r="H12" s="210">
        <f t="shared" ref="H12:H13" si="3">H13+F12-G12</f>
        <v>139302.01180973786</v>
      </c>
    </row>
    <row r="13" spans="1:8">
      <c r="A13" s="204"/>
      <c r="B13" s="228" t="s">
        <v>451</v>
      </c>
      <c r="C13" s="206"/>
      <c r="D13" s="207"/>
      <c r="E13" s="208"/>
      <c r="F13" s="209">
        <v>20000</v>
      </c>
      <c r="G13" s="210"/>
      <c r="H13" s="210">
        <f t="shared" si="3"/>
        <v>134326.93995939009</v>
      </c>
    </row>
    <row r="14" spans="1:8">
      <c r="A14" s="204">
        <v>45595</v>
      </c>
      <c r="B14" s="228" t="s">
        <v>449</v>
      </c>
      <c r="C14" s="206">
        <v>2700</v>
      </c>
      <c r="D14" s="207">
        <f>(C14/C16)-1</f>
        <v>3.8461538461538547E-2</v>
      </c>
      <c r="E14" s="229"/>
      <c r="F14" s="209">
        <f>H15*D14</f>
        <v>4234.3311096070502</v>
      </c>
      <c r="G14" s="210"/>
      <c r="H14" s="210">
        <f t="shared" ref="H14:H15" si="4">H15+F14-G14</f>
        <v>114326.9399593901</v>
      </c>
    </row>
    <row r="15" spans="1:8">
      <c r="A15" s="204"/>
      <c r="B15" s="228" t="s">
        <v>450</v>
      </c>
      <c r="C15" s="206"/>
      <c r="D15" s="207"/>
      <c r="E15" s="208"/>
      <c r="F15" s="209">
        <v>7080.3</v>
      </c>
      <c r="G15" s="210"/>
      <c r="H15" s="210">
        <f t="shared" si="4"/>
        <v>110092.60884978305</v>
      </c>
    </row>
    <row r="16" spans="1:8">
      <c r="A16" s="204">
        <v>45595</v>
      </c>
      <c r="B16" s="228" t="s">
        <v>424</v>
      </c>
      <c r="C16" s="206">
        <v>2600</v>
      </c>
      <c r="D16" s="207">
        <f>(C16/C18)-1</f>
        <v>2.923013585837797E-2</v>
      </c>
      <c r="E16" s="229"/>
      <c r="F16" s="209">
        <f>H17*D16</f>
        <v>2925.5495713338419</v>
      </c>
      <c r="G16" s="210"/>
      <c r="H16" s="210">
        <f t="shared" si="0"/>
        <v>103012.30884978305</v>
      </c>
    </row>
    <row r="17" spans="1:8">
      <c r="A17" s="204"/>
      <c r="B17" s="228" t="s">
        <v>448</v>
      </c>
      <c r="C17" s="206"/>
      <c r="D17" s="207"/>
      <c r="E17" s="208"/>
      <c r="F17" s="209">
        <f>F19+E18</f>
        <v>20000</v>
      </c>
      <c r="G17" s="210"/>
      <c r="H17" s="210">
        <f t="shared" si="0"/>
        <v>100086.7592784492</v>
      </c>
    </row>
    <row r="18" spans="1:8">
      <c r="A18" s="204">
        <v>45565</v>
      </c>
      <c r="B18" s="228" t="s">
        <v>425</v>
      </c>
      <c r="C18" s="231">
        <v>2526.16</v>
      </c>
      <c r="D18" s="207">
        <f>(C18/C20)-1</f>
        <v>2.9681984559824404E-2</v>
      </c>
      <c r="E18" s="229"/>
      <c r="F18" s="209">
        <f>IF(H19&lt;=0,,(H19*D18))</f>
        <v>2308.6098309911645</v>
      </c>
      <c r="G18" s="210"/>
      <c r="H18" s="210">
        <f t="shared" si="0"/>
        <v>80086.759278449201</v>
      </c>
    </row>
    <row r="19" spans="1:8">
      <c r="A19" s="204"/>
      <c r="B19" s="228" t="s">
        <v>447</v>
      </c>
      <c r="C19" s="206"/>
      <c r="D19" s="207"/>
      <c r="E19" s="208"/>
      <c r="F19" s="209">
        <f>F21+E20</f>
        <v>20000</v>
      </c>
      <c r="G19" s="210"/>
      <c r="H19" s="210">
        <f t="shared" si="0"/>
        <v>77778.14944745804</v>
      </c>
    </row>
    <row r="20" spans="1:8">
      <c r="A20" s="204">
        <v>45534</v>
      </c>
      <c r="B20" s="228" t="s">
        <v>426</v>
      </c>
      <c r="C20" s="206">
        <v>2453.34</v>
      </c>
      <c r="D20" s="207">
        <f>(C20/C22)-1</f>
        <v>2.4744162733386421E-2</v>
      </c>
      <c r="E20" s="229"/>
      <c r="F20" s="209">
        <f>IF(H21&lt;=0,,(H21*D20))</f>
        <v>1395.1501109782737</v>
      </c>
      <c r="G20" s="210"/>
      <c r="H20" s="210">
        <f t="shared" si="0"/>
        <v>57778.149447458032</v>
      </c>
    </row>
    <row r="21" spans="1:8">
      <c r="A21" s="204"/>
      <c r="B21" s="228" t="s">
        <v>446</v>
      </c>
      <c r="C21" s="206"/>
      <c r="D21" s="207"/>
      <c r="E21" s="208"/>
      <c r="F21" s="209">
        <f>F23+E22</f>
        <v>20000</v>
      </c>
      <c r="G21" s="210"/>
      <c r="H21" s="210">
        <f t="shared" si="0"/>
        <v>56382.999336479756</v>
      </c>
    </row>
    <row r="22" spans="1:8">
      <c r="A22" s="204">
        <v>45503</v>
      </c>
      <c r="B22" s="228" t="s">
        <v>427</v>
      </c>
      <c r="C22" s="206">
        <v>2394.1</v>
      </c>
      <c r="D22" s="207">
        <f>(C22/C24)-1</f>
        <v>3.2255560969089547E-2</v>
      </c>
      <c r="E22" s="229"/>
      <c r="F22" s="209">
        <f>IF(H23&lt;=0,,(H23*D22))</f>
        <v>1136.8832464650766</v>
      </c>
      <c r="G22" s="210"/>
      <c r="H22" s="210">
        <f t="shared" si="0"/>
        <v>36382.999336479756</v>
      </c>
    </row>
    <row r="23" spans="1:8">
      <c r="A23" s="204"/>
      <c r="B23" s="228" t="s">
        <v>445</v>
      </c>
      <c r="C23" s="206"/>
      <c r="D23" s="207"/>
      <c r="E23" s="208"/>
      <c r="F23" s="209">
        <f>F25+E24</f>
        <v>20000</v>
      </c>
      <c r="G23" s="210"/>
      <c r="H23" s="210">
        <f t="shared" si="0"/>
        <v>35246.116090014679</v>
      </c>
    </row>
    <row r="24" spans="1:8">
      <c r="A24" s="204">
        <v>45473</v>
      </c>
      <c r="B24" s="228" t="s">
        <v>428</v>
      </c>
      <c r="C24" s="206">
        <v>2319.29</v>
      </c>
      <c r="D24" s="207">
        <f>(C24/C26)-1</f>
        <v>1.6407739334312055E-2</v>
      </c>
      <c r="E24" s="229"/>
      <c r="F24" s="209">
        <f>IF(H25&lt;=0,,(H25*D24))</f>
        <v>246.11609001468082</v>
      </c>
      <c r="G24" s="210"/>
      <c r="H24" s="210">
        <f t="shared" si="0"/>
        <v>15246.116090014681</v>
      </c>
    </row>
    <row r="25" spans="1:8">
      <c r="A25" s="204"/>
      <c r="B25" s="228" t="s">
        <v>444</v>
      </c>
      <c r="C25" s="206"/>
      <c r="D25" s="207"/>
      <c r="E25" s="208"/>
      <c r="F25" s="209">
        <f>F27+E26</f>
        <v>20000</v>
      </c>
      <c r="G25" s="210"/>
      <c r="H25" s="210">
        <f t="shared" si="0"/>
        <v>15000</v>
      </c>
    </row>
    <row r="26" spans="1:8">
      <c r="A26" s="204">
        <v>45442</v>
      </c>
      <c r="B26" s="228" t="s">
        <v>429</v>
      </c>
      <c r="C26" s="206">
        <v>2281.85</v>
      </c>
      <c r="D26" s="207">
        <f>(C26/C28)-1</f>
        <v>3.3680634201585402E-2</v>
      </c>
      <c r="E26" s="229"/>
      <c r="F26" s="209">
        <f>IF(H27&lt;=0,,(H27*D26))</f>
        <v>0</v>
      </c>
      <c r="G26" s="210"/>
      <c r="H26" s="210">
        <f t="shared" si="0"/>
        <v>-5000</v>
      </c>
    </row>
    <row r="27" spans="1:8">
      <c r="A27" s="204"/>
      <c r="B27" s="228" t="s">
        <v>443</v>
      </c>
      <c r="C27" s="206"/>
      <c r="D27" s="207"/>
      <c r="E27" s="208"/>
      <c r="F27" s="209">
        <f>F29+E28</f>
        <v>20000</v>
      </c>
      <c r="G27" s="210"/>
      <c r="H27" s="210">
        <f t="shared" si="0"/>
        <v>-5000</v>
      </c>
    </row>
    <row r="28" spans="1:8">
      <c r="A28" s="204">
        <v>45412</v>
      </c>
      <c r="B28" s="228" t="s">
        <v>430</v>
      </c>
      <c r="C28" s="206">
        <v>2207.5</v>
      </c>
      <c r="D28" s="207">
        <f>(C28/C30)-1</f>
        <v>3.1797594731405532E-2</v>
      </c>
      <c r="E28" s="229"/>
      <c r="F28" s="209">
        <f>IF(H29&lt;=0,,(H29*D28))</f>
        <v>0</v>
      </c>
      <c r="G28" s="210"/>
      <c r="H28" s="210">
        <f t="shared" si="0"/>
        <v>-25000</v>
      </c>
    </row>
    <row r="29" spans="1:8">
      <c r="A29" s="204"/>
      <c r="B29" s="228" t="s">
        <v>442</v>
      </c>
      <c r="C29" s="206"/>
      <c r="D29" s="207"/>
      <c r="E29" s="208"/>
      <c r="F29" s="209">
        <f>F31+E30</f>
        <v>20000</v>
      </c>
      <c r="G29" s="210"/>
      <c r="H29" s="210">
        <f t="shared" si="0"/>
        <v>-25000</v>
      </c>
    </row>
    <row r="30" spans="1:8">
      <c r="A30" s="204">
        <v>45381</v>
      </c>
      <c r="B30" s="228" t="s">
        <v>431</v>
      </c>
      <c r="C30" s="206">
        <v>2139.4699999999998</v>
      </c>
      <c r="D30" s="207">
        <f>(C30/C32)-1</f>
        <v>3.1626709356375349E-2</v>
      </c>
      <c r="E30" s="229"/>
      <c r="F30" s="209">
        <f>IF(H31&lt;=0,,(H31*D30))</f>
        <v>0</v>
      </c>
      <c r="G30" s="210"/>
      <c r="H30" s="210">
        <f t="shared" si="0"/>
        <v>-45000</v>
      </c>
    </row>
    <row r="31" spans="1:8">
      <c r="A31" s="204"/>
      <c r="B31" s="228" t="s">
        <v>441</v>
      </c>
      <c r="C31" s="206"/>
      <c r="D31" s="207"/>
      <c r="E31" s="208"/>
      <c r="F31" s="209">
        <f>F33+E32</f>
        <v>20000</v>
      </c>
      <c r="G31" s="210"/>
      <c r="H31" s="210">
        <f t="shared" si="0"/>
        <v>-45000</v>
      </c>
    </row>
    <row r="32" spans="1:8">
      <c r="A32" s="204">
        <v>45351</v>
      </c>
      <c r="B32" s="228" t="s">
        <v>432</v>
      </c>
      <c r="C32" s="206">
        <v>2073.88</v>
      </c>
      <c r="D32" s="207">
        <f>(C32/C34)-1</f>
        <v>4.5291882138285056E-2</v>
      </c>
      <c r="E32" s="229"/>
      <c r="F32" s="209">
        <f>IF(H33&lt;=0,,(H33*D32))</f>
        <v>0</v>
      </c>
      <c r="G32" s="210"/>
      <c r="H32" s="210">
        <f t="shared" si="0"/>
        <v>-65000</v>
      </c>
    </row>
    <row r="33" spans="1:8">
      <c r="A33" s="204"/>
      <c r="B33" s="228" t="s">
        <v>440</v>
      </c>
      <c r="C33" s="206"/>
      <c r="D33" s="207"/>
      <c r="E33" s="208"/>
      <c r="F33" s="209">
        <f>F36+E34</f>
        <v>20000</v>
      </c>
      <c r="G33" s="210"/>
      <c r="H33" s="210">
        <f t="shared" si="0"/>
        <v>-65000</v>
      </c>
    </row>
    <row r="34" spans="1:8">
      <c r="A34" s="204">
        <v>45321</v>
      </c>
      <c r="B34" s="228" t="s">
        <v>433</v>
      </c>
      <c r="C34" s="206">
        <v>1984.02</v>
      </c>
      <c r="D34" s="207">
        <f>(C34/C37)-1</f>
        <v>6.7033097053856627E-2</v>
      </c>
      <c r="E34" s="229"/>
      <c r="F34" s="209">
        <f>IF(H35&lt;=0,,(H35*D34))</f>
        <v>0</v>
      </c>
      <c r="G34" s="210"/>
      <c r="H34" s="210">
        <f t="shared" si="0"/>
        <v>-85000</v>
      </c>
    </row>
    <row r="35" spans="1:8">
      <c r="A35" s="204"/>
      <c r="B35" s="228" t="s">
        <v>457</v>
      </c>
      <c r="C35" s="206"/>
      <c r="D35" s="207"/>
      <c r="E35" s="209"/>
      <c r="F35" s="209">
        <v>10000</v>
      </c>
      <c r="G35" s="210"/>
      <c r="H35" s="210">
        <f t="shared" si="0"/>
        <v>-85000</v>
      </c>
    </row>
    <row r="36" spans="1:8">
      <c r="A36" s="204"/>
      <c r="B36" s="228" t="s">
        <v>439</v>
      </c>
      <c r="C36" s="206"/>
      <c r="D36" s="207"/>
      <c r="F36" s="209">
        <f>F38+E37</f>
        <v>20000</v>
      </c>
      <c r="G36" s="210"/>
      <c r="H36" s="210">
        <f t="shared" si="0"/>
        <v>-95000</v>
      </c>
    </row>
    <row r="37" spans="1:8">
      <c r="A37" s="204">
        <v>45290</v>
      </c>
      <c r="B37" s="228" t="s">
        <v>435</v>
      </c>
      <c r="C37" s="206">
        <v>1859.38</v>
      </c>
      <c r="D37" s="207">
        <f>(C37/C40)-1</f>
        <v>2.9272073069471327E-2</v>
      </c>
      <c r="E37" s="229"/>
      <c r="F37" s="209">
        <f>IF(H38&lt;=0,,(H38*D37))</f>
        <v>0</v>
      </c>
      <c r="G37" s="210"/>
      <c r="H37" s="210">
        <f t="shared" si="0"/>
        <v>-115000</v>
      </c>
    </row>
    <row r="38" spans="1:8">
      <c r="A38" s="204"/>
      <c r="B38" s="228" t="s">
        <v>438</v>
      </c>
      <c r="C38" s="206"/>
      <c r="D38" s="207"/>
      <c r="E38" s="208"/>
      <c r="F38" s="209">
        <v>20000</v>
      </c>
      <c r="G38" s="210"/>
      <c r="H38" s="210">
        <f>H39+F38-G38</f>
        <v>-115000</v>
      </c>
    </row>
    <row r="39" spans="1:8">
      <c r="A39" s="204"/>
      <c r="B39" s="228"/>
      <c r="C39" s="206"/>
      <c r="D39" s="207"/>
      <c r="E39" s="208"/>
      <c r="F39" s="209"/>
      <c r="G39" s="210">
        <v>135000</v>
      </c>
      <c r="H39" s="210">
        <f>H41+F39-G39</f>
        <v>-135000</v>
      </c>
    </row>
    <row r="40" spans="1:8">
      <c r="A40" s="204">
        <v>45260</v>
      </c>
      <c r="B40" s="228" t="s">
        <v>436</v>
      </c>
      <c r="C40" s="206">
        <v>1806.5</v>
      </c>
      <c r="D40" s="207"/>
      <c r="E40" s="229"/>
      <c r="F40" s="209"/>
      <c r="G40" s="210"/>
      <c r="H40" s="210"/>
    </row>
    <row r="41" spans="1:8">
      <c r="A41" s="204"/>
      <c r="B41" s="228"/>
      <c r="C41" s="206"/>
      <c r="D41" s="207"/>
      <c r="E41" s="209"/>
      <c r="F41" s="209"/>
      <c r="G41" s="210"/>
      <c r="H41" s="210"/>
    </row>
    <row r="42" spans="1:8">
      <c r="A42" s="204"/>
      <c r="B42" s="210"/>
      <c r="C42" s="206"/>
      <c r="D42" s="207"/>
      <c r="E42" s="208"/>
      <c r="F42" s="209"/>
      <c r="G42" s="210"/>
      <c r="H42" s="210"/>
    </row>
    <row r="43" spans="1:8">
      <c r="A43" s="204"/>
      <c r="B43" s="228"/>
      <c r="C43" s="206"/>
      <c r="D43" s="207"/>
      <c r="E43" s="229"/>
      <c r="F43" s="209"/>
      <c r="G43" s="210"/>
      <c r="H43" s="210"/>
    </row>
    <row r="44" spans="1:8">
      <c r="A44" s="204"/>
      <c r="B44" s="228"/>
      <c r="C44" s="206"/>
      <c r="D44" s="207"/>
      <c r="E44" s="209"/>
      <c r="F44" s="209"/>
      <c r="G44" s="210"/>
      <c r="H44" s="210"/>
    </row>
    <row r="45" spans="1:8">
      <c r="A45" s="204"/>
      <c r="B45" s="228"/>
      <c r="C45" s="206"/>
      <c r="D45" s="207"/>
      <c r="E45" s="208"/>
      <c r="F45" s="209"/>
      <c r="G45" s="210"/>
      <c r="H45" s="210"/>
    </row>
    <row r="46" spans="1:8">
      <c r="A46" s="204"/>
      <c r="B46" s="228"/>
      <c r="C46" s="206"/>
      <c r="D46" s="207"/>
      <c r="E46" s="208"/>
      <c r="F46" s="209"/>
      <c r="G46" s="210"/>
      <c r="H46" s="210"/>
    </row>
    <row r="47" spans="1:8">
      <c r="A47" s="204"/>
      <c r="B47" s="228"/>
      <c r="C47" s="206"/>
      <c r="D47" s="207"/>
      <c r="E47" s="208"/>
      <c r="F47" s="209"/>
      <c r="G47" s="210"/>
      <c r="H47" s="210"/>
    </row>
    <row r="48" spans="1:8">
      <c r="A48" s="204"/>
      <c r="B48" s="210"/>
      <c r="C48" s="206"/>
      <c r="D48" s="207"/>
      <c r="E48" s="208"/>
      <c r="F48" s="209"/>
      <c r="G48" s="210"/>
      <c r="H48" s="210"/>
    </row>
    <row r="49" spans="1:8">
      <c r="A49" s="204"/>
      <c r="B49" s="228"/>
      <c r="C49" s="206"/>
      <c r="D49" s="207"/>
      <c r="E49" s="229"/>
      <c r="F49" s="209"/>
      <c r="G49" s="230"/>
      <c r="H49" s="210"/>
    </row>
    <row r="50" spans="1:8">
      <c r="A50" s="204"/>
      <c r="B50" s="228"/>
      <c r="C50" s="206"/>
      <c r="D50" s="207"/>
      <c r="E50" s="209"/>
      <c r="F50" s="209"/>
      <c r="G50" s="230"/>
      <c r="H50" s="210"/>
    </row>
    <row r="51" spans="1:8">
      <c r="A51" s="204"/>
      <c r="B51" s="210"/>
      <c r="C51" s="206"/>
      <c r="D51" s="207"/>
      <c r="E51" s="208"/>
      <c r="F51" s="209"/>
      <c r="G51" s="210"/>
      <c r="H51" s="2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3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I87"/>
  <sheetViews>
    <sheetView topLeftCell="A34" zoomScale="175" zoomScaleNormal="175" workbookViewId="0">
      <selection activeCell="E39" sqref="E39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6" width="9.42578125" bestFit="1" customWidth="1"/>
    <col min="7" max="7" width="10.5703125" bestFit="1" customWidth="1"/>
    <col min="9" max="9" width="10.5703125" bestFit="1" customWidth="1"/>
    <col min="10" max="10" width="23.7109375" bestFit="1" customWidth="1"/>
    <col min="11" max="11" width="5.28515625" bestFit="1" customWidth="1"/>
    <col min="12" max="13" width="9.5703125" bestFit="1" customWidth="1"/>
    <col min="14" max="14" width="10.5703125" bestFit="1" customWidth="1"/>
  </cols>
  <sheetData>
    <row r="4" spans="2:9">
      <c r="C4" t="s">
        <v>354</v>
      </c>
    </row>
    <row r="6" spans="2:9">
      <c r="C6" t="s">
        <v>285</v>
      </c>
      <c r="E6" s="3">
        <v>48000</v>
      </c>
      <c r="F6" s="3"/>
      <c r="G6" s="3">
        <f>H4+E6-F6</f>
        <v>48000</v>
      </c>
    </row>
    <row r="7" spans="2:9">
      <c r="B7" s="54">
        <v>44651</v>
      </c>
      <c r="C7" t="s">
        <v>286</v>
      </c>
      <c r="E7" s="3"/>
      <c r="F7">
        <v>28000</v>
      </c>
      <c r="G7" s="3">
        <f t="shared" ref="G7:G12" si="0">G6+E7-F7</f>
        <v>20000</v>
      </c>
    </row>
    <row r="8" spans="2:9">
      <c r="B8" s="54">
        <v>44681</v>
      </c>
      <c r="C8" t="s">
        <v>283</v>
      </c>
      <c r="E8" s="3"/>
      <c r="F8">
        <v>4000</v>
      </c>
      <c r="G8" s="3">
        <f t="shared" si="0"/>
        <v>16000</v>
      </c>
    </row>
    <row r="9" spans="2:9">
      <c r="B9" s="54">
        <v>44711</v>
      </c>
      <c r="C9" t="s">
        <v>284</v>
      </c>
      <c r="E9" s="3"/>
      <c r="F9">
        <v>4000</v>
      </c>
      <c r="G9" s="3">
        <f t="shared" si="0"/>
        <v>12000</v>
      </c>
    </row>
    <row r="10" spans="2:9">
      <c r="B10" s="54">
        <v>44742</v>
      </c>
      <c r="C10" t="s">
        <v>355</v>
      </c>
      <c r="E10" s="3"/>
      <c r="G10" s="3">
        <f t="shared" si="0"/>
        <v>12000</v>
      </c>
    </row>
    <row r="11" spans="2:9">
      <c r="B11" s="54">
        <v>44772</v>
      </c>
      <c r="C11" t="s">
        <v>356</v>
      </c>
      <c r="E11" s="3"/>
      <c r="G11" s="3">
        <f t="shared" si="0"/>
        <v>12000</v>
      </c>
    </row>
    <row r="12" spans="2:9">
      <c r="B12" s="54">
        <v>44803</v>
      </c>
      <c r="C12" t="s">
        <v>357</v>
      </c>
      <c r="E12" s="3"/>
      <c r="G12" s="3">
        <f t="shared" si="0"/>
        <v>12000</v>
      </c>
    </row>
    <row r="13" spans="2:9">
      <c r="I13" s="3"/>
    </row>
    <row r="14" spans="2:9">
      <c r="B14" t="s">
        <v>359</v>
      </c>
      <c r="I14" s="3"/>
    </row>
    <row r="15" spans="2:9">
      <c r="B15" t="s">
        <v>358</v>
      </c>
      <c r="I15" s="3"/>
    </row>
    <row r="16" spans="2:9">
      <c r="D16" s="191" t="s">
        <v>415</v>
      </c>
      <c r="E16" s="191" t="s">
        <v>416</v>
      </c>
      <c r="F16" s="191" t="s">
        <v>214</v>
      </c>
      <c r="G16" s="191" t="s">
        <v>417</v>
      </c>
      <c r="I16" s="3"/>
    </row>
    <row r="17" spans="2:7">
      <c r="B17" s="54">
        <v>44957</v>
      </c>
      <c r="C17" s="143" t="s">
        <v>274</v>
      </c>
      <c r="D17">
        <v>6.65</v>
      </c>
      <c r="E17" s="60">
        <v>6920</v>
      </c>
      <c r="F17" s="25">
        <v>6920</v>
      </c>
      <c r="G17" s="3">
        <f>E17-F17</f>
        <v>0</v>
      </c>
    </row>
    <row r="18" spans="2:7">
      <c r="C18" s="143" t="s">
        <v>275</v>
      </c>
      <c r="D18">
        <v>3.15</v>
      </c>
      <c r="E18" s="60">
        <f t="shared" ref="E18:E31" si="1">E17+(E17*D17/100)</f>
        <v>7380.18</v>
      </c>
      <c r="F18" s="25"/>
      <c r="G18" s="3">
        <f>E18-F18+G17</f>
        <v>7380.18</v>
      </c>
    </row>
    <row r="19" spans="2:7">
      <c r="C19" s="143" t="s">
        <v>276</v>
      </c>
      <c r="D19">
        <v>2.29</v>
      </c>
      <c r="E19" s="60">
        <f t="shared" si="1"/>
        <v>7612.6556700000001</v>
      </c>
      <c r="F19" s="25"/>
      <c r="G19" s="3">
        <f t="shared" ref="G19:G44" si="2">E19-F19+G18</f>
        <v>14992.83567</v>
      </c>
    </row>
    <row r="20" spans="2:7">
      <c r="C20" s="143" t="s">
        <v>278</v>
      </c>
      <c r="D20">
        <v>2.39</v>
      </c>
      <c r="E20" s="60">
        <f t="shared" si="1"/>
        <v>7786.9854848430004</v>
      </c>
      <c r="F20" s="25">
        <v>8425.4599999999991</v>
      </c>
      <c r="G20" s="3">
        <f t="shared" si="2"/>
        <v>14354.361154843002</v>
      </c>
    </row>
    <row r="21" spans="2:7">
      <c r="C21" s="143" t="s">
        <v>277</v>
      </c>
      <c r="D21">
        <v>0.04</v>
      </c>
      <c r="E21" s="60">
        <f t="shared" si="1"/>
        <v>7973.0944379307484</v>
      </c>
      <c r="F21" s="25">
        <v>28080</v>
      </c>
      <c r="G21" s="3">
        <f t="shared" si="2"/>
        <v>-5752.5444072262508</v>
      </c>
    </row>
    <row r="22" spans="2:7">
      <c r="C22" s="143" t="s">
        <v>279</v>
      </c>
      <c r="D22">
        <v>3.92</v>
      </c>
      <c r="E22" s="60">
        <f t="shared" si="1"/>
        <v>7976.2836757059204</v>
      </c>
      <c r="F22" s="28"/>
      <c r="G22" s="3">
        <f t="shared" si="2"/>
        <v>2223.7392684796696</v>
      </c>
    </row>
    <row r="23" spans="2:7">
      <c r="C23" s="143" t="s">
        <v>280</v>
      </c>
      <c r="D23">
        <v>9.49</v>
      </c>
      <c r="E23" s="194">
        <f t="shared" si="1"/>
        <v>8288.9539957935922</v>
      </c>
      <c r="F23" s="195">
        <v>50000</v>
      </c>
      <c r="G23" s="196">
        <f t="shared" si="2"/>
        <v>-39487.306735726735</v>
      </c>
    </row>
    <row r="24" spans="2:7">
      <c r="C24" s="143" t="s">
        <v>281</v>
      </c>
      <c r="D24">
        <v>9.09</v>
      </c>
      <c r="E24" s="60">
        <f t="shared" si="1"/>
        <v>9075.5757299944034</v>
      </c>
      <c r="F24" s="28"/>
      <c r="G24" s="196">
        <f>E23-F24+G23</f>
        <v>-31198.352739933143</v>
      </c>
    </row>
    <row r="25" spans="2:7">
      <c r="C25" s="143" t="s">
        <v>282</v>
      </c>
      <c r="D25">
        <v>4.75</v>
      </c>
      <c r="E25" s="60">
        <f t="shared" si="1"/>
        <v>9900.5455638508938</v>
      </c>
      <c r="F25" s="28"/>
      <c r="G25" s="196">
        <f>E23-F25+G24</f>
        <v>-22909.398744139551</v>
      </c>
    </row>
    <row r="26" spans="2:7">
      <c r="C26" s="143" t="s">
        <v>263</v>
      </c>
      <c r="D26">
        <v>3.43</v>
      </c>
      <c r="E26" s="60">
        <f t="shared" si="1"/>
        <v>10370.821478133812</v>
      </c>
      <c r="F26" s="28"/>
      <c r="G26" s="196">
        <f>E23-F26+G25</f>
        <v>-14620.444748345959</v>
      </c>
    </row>
    <row r="27" spans="2:7">
      <c r="C27" s="143" t="s">
        <v>264</v>
      </c>
      <c r="D27">
        <v>3.28</v>
      </c>
      <c r="E27" s="60">
        <f t="shared" si="1"/>
        <v>10726.540654833801</v>
      </c>
      <c r="F27" s="28">
        <v>15887.06</v>
      </c>
      <c r="G27" s="196">
        <f>E23-F27+G26</f>
        <v>-22218.550752552364</v>
      </c>
    </row>
    <row r="28" spans="2:7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28"/>
      <c r="G28" s="197">
        <f>E23-F28+G27</f>
        <v>-13929.596756758772</v>
      </c>
    </row>
    <row r="29" spans="2:7">
      <c r="B29" s="142">
        <v>45322</v>
      </c>
      <c r="C29" s="144" t="s">
        <v>418</v>
      </c>
      <c r="D29">
        <v>6.71</v>
      </c>
      <c r="E29" s="60">
        <v>14000</v>
      </c>
      <c r="F29" s="28"/>
      <c r="G29" s="197">
        <f>E23-F29+G28</f>
        <v>-5640.6427609651801</v>
      </c>
    </row>
    <row r="30" spans="2:7">
      <c r="C30" s="144" t="s">
        <v>275</v>
      </c>
      <c r="D30">
        <v>4.53</v>
      </c>
      <c r="E30" s="60">
        <f t="shared" si="1"/>
        <v>14939.4</v>
      </c>
      <c r="F30" s="28"/>
      <c r="G30" s="29">
        <f t="shared" si="2"/>
        <v>9298.7572390348196</v>
      </c>
    </row>
    <row r="31" spans="2:7">
      <c r="C31" s="144" t="s">
        <v>276</v>
      </c>
      <c r="D31">
        <v>3.16</v>
      </c>
      <c r="E31" s="60">
        <f t="shared" si="1"/>
        <v>15616.15482</v>
      </c>
      <c r="F31" s="28"/>
      <c r="G31" s="29">
        <f t="shared" si="2"/>
        <v>24914.912059034818</v>
      </c>
    </row>
    <row r="32" spans="2:7">
      <c r="C32" s="146" t="s">
        <v>349</v>
      </c>
      <c r="E32" s="60">
        <v>3795</v>
      </c>
      <c r="F32" s="28"/>
      <c r="G32" s="29">
        <f t="shared" si="2"/>
        <v>28709.912059034818</v>
      </c>
    </row>
    <row r="33" spans="2:7">
      <c r="C33" s="146" t="s">
        <v>208</v>
      </c>
      <c r="E33" s="60">
        <v>5600</v>
      </c>
      <c r="F33" s="28"/>
      <c r="G33" s="29">
        <f t="shared" si="2"/>
        <v>34309.912059034818</v>
      </c>
    </row>
    <row r="34" spans="2:7">
      <c r="C34" s="145" t="s">
        <v>413</v>
      </c>
      <c r="E34" s="60">
        <v>278.97000000000003</v>
      </c>
      <c r="F34" s="28"/>
      <c r="G34" s="29">
        <f t="shared" si="2"/>
        <v>34588.882059034819</v>
      </c>
    </row>
    <row r="35" spans="2:7">
      <c r="C35" s="145" t="s">
        <v>414</v>
      </c>
      <c r="E35" s="60">
        <v>3000</v>
      </c>
      <c r="F35" s="28"/>
      <c r="G35" s="29">
        <f t="shared" si="2"/>
        <v>37588.882059034819</v>
      </c>
    </row>
    <row r="36" spans="2:7">
      <c r="C36" s="144" t="s">
        <v>360</v>
      </c>
      <c r="D36">
        <v>3.18</v>
      </c>
      <c r="E36" s="194">
        <f>E31+(E31*D31/100)</f>
        <v>16109.625312312</v>
      </c>
      <c r="F36" s="195">
        <v>85000</v>
      </c>
      <c r="G36" s="197">
        <f t="shared" si="2"/>
        <v>-31301.492628653185</v>
      </c>
    </row>
    <row r="37" spans="2:7">
      <c r="C37" s="199" t="s">
        <v>361</v>
      </c>
      <c r="D37">
        <v>3.37</v>
      </c>
      <c r="E37" s="60">
        <f>E36+(E36*D36/100)</f>
        <v>16621.911397243523</v>
      </c>
      <c r="F37" s="28"/>
      <c r="G37" s="197">
        <f>E36-F37+G36</f>
        <v>-15191.867316341184</v>
      </c>
    </row>
    <row r="38" spans="2:7">
      <c r="C38" s="199" t="s">
        <v>279</v>
      </c>
      <c r="D38" s="145">
        <v>1.64</v>
      </c>
      <c r="E38" s="193">
        <f>E37+(E37*D37/100)</f>
        <v>17182.069811330628</v>
      </c>
      <c r="F38" s="145"/>
      <c r="G38" s="197">
        <f>E37-F38+G37</f>
        <v>1430.0440809023385</v>
      </c>
    </row>
    <row r="39" spans="2:7">
      <c r="C39" s="199" t="s">
        <v>280</v>
      </c>
      <c r="D39" s="145">
        <v>3.23</v>
      </c>
      <c r="E39" s="193">
        <f t="shared" ref="E39:E44" si="3">E38+(E38*D38/100)</f>
        <v>17463.855756236451</v>
      </c>
      <c r="F39" s="145"/>
      <c r="G39" s="198">
        <f t="shared" si="2"/>
        <v>18893.89983713879</v>
      </c>
    </row>
    <row r="40" spans="2:7">
      <c r="C40" s="199" t="s">
        <v>281</v>
      </c>
      <c r="D40" s="145">
        <v>2.4700000000000002</v>
      </c>
      <c r="E40" s="193">
        <f t="shared" si="3"/>
        <v>18027.938297162887</v>
      </c>
      <c r="F40" s="145"/>
      <c r="G40" s="192">
        <f t="shared" si="2"/>
        <v>36921.838134301681</v>
      </c>
    </row>
    <row r="41" spans="2:7">
      <c r="C41" s="199" t="s">
        <v>362</v>
      </c>
      <c r="D41" s="145">
        <v>2.97</v>
      </c>
      <c r="E41" s="193">
        <f t="shared" si="3"/>
        <v>18473.228373102811</v>
      </c>
      <c r="F41" s="145"/>
      <c r="G41" s="192">
        <f t="shared" si="2"/>
        <v>55395.066507404495</v>
      </c>
    </row>
    <row r="42" spans="2:7">
      <c r="C42" s="200" t="s">
        <v>263</v>
      </c>
      <c r="D42" s="201"/>
      <c r="E42" s="202">
        <f t="shared" si="3"/>
        <v>19021.883255783963</v>
      </c>
      <c r="F42" s="201"/>
      <c r="G42" s="203">
        <f t="shared" si="2"/>
        <v>74416.949763188459</v>
      </c>
    </row>
    <row r="43" spans="2:7">
      <c r="C43" s="145" t="s">
        <v>264</v>
      </c>
      <c r="E43" s="60">
        <f t="shared" si="3"/>
        <v>19021.883255783963</v>
      </c>
      <c r="G43" s="29">
        <f t="shared" si="2"/>
        <v>93438.833018972422</v>
      </c>
    </row>
    <row r="44" spans="2:7">
      <c r="C44" s="145" t="s">
        <v>265</v>
      </c>
      <c r="E44" s="60">
        <f t="shared" si="3"/>
        <v>19021.883255783963</v>
      </c>
      <c r="G44" s="29">
        <f t="shared" si="2"/>
        <v>112460.71627475639</v>
      </c>
    </row>
    <row r="45" spans="2:7">
      <c r="B45">
        <v>2025</v>
      </c>
      <c r="C45" s="144" t="s">
        <v>419</v>
      </c>
      <c r="E45" s="60">
        <v>22000</v>
      </c>
      <c r="G45" s="29">
        <f t="shared" ref="G45:G47" si="4">E45-F45+G44</f>
        <v>134460.71627475639</v>
      </c>
    </row>
    <row r="46" spans="2:7">
      <c r="C46" s="144" t="s">
        <v>275</v>
      </c>
      <c r="E46" s="60">
        <f t="shared" ref="E46:E47" si="5">E45+(E45*D45/100)</f>
        <v>22000</v>
      </c>
      <c r="G46" s="29">
        <f t="shared" si="4"/>
        <v>156460.71627475639</v>
      </c>
    </row>
    <row r="47" spans="2:7">
      <c r="C47" s="144" t="s">
        <v>276</v>
      </c>
      <c r="E47" s="60">
        <f t="shared" si="5"/>
        <v>22000</v>
      </c>
      <c r="G47" s="29">
        <f t="shared" si="4"/>
        <v>178460.71627475639</v>
      </c>
    </row>
    <row r="48" spans="2:7">
      <c r="C48" s="145"/>
      <c r="E48" s="60"/>
      <c r="G48" s="29"/>
    </row>
    <row r="49" spans="2:7">
      <c r="C49" s="145"/>
      <c r="E49" s="60"/>
      <c r="G49" s="29"/>
    </row>
    <row r="50" spans="2:7">
      <c r="C50" s="145"/>
      <c r="E50" s="60"/>
      <c r="G50" s="29"/>
    </row>
    <row r="55" spans="2:7">
      <c r="B55" s="92">
        <v>45421</v>
      </c>
      <c r="C55" t="s">
        <v>402</v>
      </c>
    </row>
    <row r="56" spans="2:7">
      <c r="B56" s="92"/>
      <c r="C56" t="s">
        <v>403</v>
      </c>
    </row>
    <row r="57" spans="2:7">
      <c r="B57" s="92"/>
      <c r="C57" t="s">
        <v>404</v>
      </c>
    </row>
    <row r="58" spans="2:7">
      <c r="B58" s="92"/>
      <c r="C58" t="s">
        <v>405</v>
      </c>
    </row>
    <row r="59" spans="2:7">
      <c r="B59" s="92"/>
    </row>
    <row r="60" spans="2:7">
      <c r="B60" s="92"/>
    </row>
    <row r="62" spans="2:7">
      <c r="B62" s="54">
        <v>44957</v>
      </c>
      <c r="C62" s="143" t="s">
        <v>274</v>
      </c>
      <c r="D62">
        <v>6.65</v>
      </c>
      <c r="E62" s="60">
        <v>6920</v>
      </c>
      <c r="F62" s="25">
        <v>6920</v>
      </c>
      <c r="G62" s="3">
        <f>E62-F62</f>
        <v>0</v>
      </c>
    </row>
    <row r="63" spans="2:7">
      <c r="C63" s="143" t="s">
        <v>275</v>
      </c>
      <c r="D63">
        <v>3.15</v>
      </c>
      <c r="E63" s="60">
        <f t="shared" ref="E63:E68" si="6">E62+(E62*D62/100)</f>
        <v>7380.18</v>
      </c>
      <c r="F63" s="25"/>
      <c r="G63" s="3">
        <f t="shared" ref="G63:G87" si="7">E63-F63+G62</f>
        <v>7380.18</v>
      </c>
    </row>
    <row r="64" spans="2:7">
      <c r="C64" s="143" t="s">
        <v>276</v>
      </c>
      <c r="D64">
        <v>2.29</v>
      </c>
      <c r="E64" s="60">
        <f t="shared" si="6"/>
        <v>7612.6556700000001</v>
      </c>
      <c r="F64" s="25"/>
      <c r="G64" s="3">
        <f t="shared" si="7"/>
        <v>14992.83567</v>
      </c>
    </row>
    <row r="65" spans="2:7">
      <c r="C65" s="143" t="s">
        <v>278</v>
      </c>
      <c r="D65">
        <v>2.39</v>
      </c>
      <c r="E65" s="60">
        <f t="shared" si="6"/>
        <v>7786.9854848430004</v>
      </c>
      <c r="F65" s="25">
        <v>8425.4599999999991</v>
      </c>
      <c r="G65" s="3">
        <f t="shared" si="7"/>
        <v>14354.361154843002</v>
      </c>
    </row>
    <row r="66" spans="2:7">
      <c r="C66" s="143" t="s">
        <v>277</v>
      </c>
      <c r="D66">
        <v>0.04</v>
      </c>
      <c r="E66" s="60">
        <f t="shared" si="6"/>
        <v>7973.0944379307484</v>
      </c>
      <c r="F66" s="25">
        <v>28080</v>
      </c>
      <c r="G66" s="3">
        <f t="shared" si="7"/>
        <v>-5752.5444072262508</v>
      </c>
    </row>
    <row r="67" spans="2:7">
      <c r="C67" s="143" t="s">
        <v>279</v>
      </c>
      <c r="D67">
        <v>3.92</v>
      </c>
      <c r="E67" s="60">
        <f t="shared" si="6"/>
        <v>7976.2836757059204</v>
      </c>
      <c r="F67" s="28"/>
      <c r="G67" s="3">
        <f t="shared" si="7"/>
        <v>2223.7392684796696</v>
      </c>
    </row>
    <row r="68" spans="2:7">
      <c r="C68" s="143" t="s">
        <v>280</v>
      </c>
      <c r="D68">
        <v>9.49</v>
      </c>
      <c r="E68" s="60">
        <f t="shared" si="6"/>
        <v>8288.9539957935922</v>
      </c>
      <c r="F68" s="28">
        <v>50000</v>
      </c>
      <c r="G68" s="3">
        <f t="shared" si="7"/>
        <v>-39487.306735726735</v>
      </c>
    </row>
    <row r="69" spans="2:7">
      <c r="C69" s="143" t="s">
        <v>281</v>
      </c>
      <c r="D69">
        <v>9.09</v>
      </c>
      <c r="E69" s="60">
        <f>E68</f>
        <v>8288.9539957935922</v>
      </c>
      <c r="F69" s="28"/>
      <c r="G69" s="3">
        <f t="shared" si="7"/>
        <v>-31198.352739933143</v>
      </c>
    </row>
    <row r="70" spans="2:7">
      <c r="C70" s="143" t="s">
        <v>282</v>
      </c>
      <c r="D70">
        <v>4.75</v>
      </c>
      <c r="E70" s="60">
        <f t="shared" ref="E70:E73" si="8">E69</f>
        <v>8288.9539957935922</v>
      </c>
      <c r="F70" s="28"/>
      <c r="G70" s="3">
        <f t="shared" si="7"/>
        <v>-22909.398744139551</v>
      </c>
    </row>
    <row r="71" spans="2:7">
      <c r="C71" s="143" t="s">
        <v>263</v>
      </c>
      <c r="D71">
        <v>3.43</v>
      </c>
      <c r="E71" s="60">
        <f t="shared" si="8"/>
        <v>8288.9539957935922</v>
      </c>
      <c r="F71" s="28"/>
      <c r="G71" s="3">
        <f t="shared" si="7"/>
        <v>-14620.444748345959</v>
      </c>
    </row>
    <row r="72" spans="2:7">
      <c r="C72" s="143" t="s">
        <v>264</v>
      </c>
      <c r="D72">
        <v>3.28</v>
      </c>
      <c r="E72" s="60">
        <f t="shared" si="8"/>
        <v>8288.9539957935922</v>
      </c>
      <c r="F72" s="28">
        <v>15887.06</v>
      </c>
      <c r="G72" s="3">
        <f t="shared" si="7"/>
        <v>-22218.550752552364</v>
      </c>
    </row>
    <row r="73" spans="2:7">
      <c r="B73" s="142">
        <v>45291</v>
      </c>
      <c r="C73" s="143" t="s">
        <v>265</v>
      </c>
      <c r="D73">
        <v>2.93</v>
      </c>
      <c r="E73" s="60">
        <f t="shared" si="8"/>
        <v>8288.9539957935922</v>
      </c>
      <c r="F73" s="28"/>
      <c r="G73" s="29">
        <f t="shared" si="7"/>
        <v>-13929.596756758772</v>
      </c>
    </row>
    <row r="74" spans="2:7">
      <c r="B74" s="142">
        <v>45322</v>
      </c>
      <c r="C74" s="144" t="s">
        <v>274</v>
      </c>
      <c r="D74">
        <v>6.71</v>
      </c>
      <c r="E74" s="60">
        <v>14000</v>
      </c>
      <c r="F74" s="28"/>
      <c r="G74" s="29">
        <f t="shared" si="7"/>
        <v>70.403243241227756</v>
      </c>
    </row>
    <row r="75" spans="2:7">
      <c r="C75" s="144" t="s">
        <v>275</v>
      </c>
      <c r="D75">
        <v>4.53</v>
      </c>
      <c r="E75" s="60">
        <f t="shared" ref="E75:E76" si="9">E74+(E74*D74/100)</f>
        <v>14939.4</v>
      </c>
      <c r="F75" s="28"/>
      <c r="G75" s="29">
        <f t="shared" si="7"/>
        <v>15009.803243241227</v>
      </c>
    </row>
    <row r="76" spans="2:7">
      <c r="C76" s="144" t="s">
        <v>276</v>
      </c>
      <c r="D76">
        <v>3.16</v>
      </c>
      <c r="E76" s="60">
        <f t="shared" si="9"/>
        <v>15616.15482</v>
      </c>
      <c r="F76" s="28"/>
      <c r="G76" s="29">
        <f t="shared" si="7"/>
        <v>30625.958063241225</v>
      </c>
    </row>
    <row r="77" spans="2:7">
      <c r="C77" s="146" t="s">
        <v>349</v>
      </c>
      <c r="E77" s="60"/>
      <c r="F77" s="28">
        <v>-3795</v>
      </c>
      <c r="G77" s="29">
        <f t="shared" si="7"/>
        <v>34420.958063241225</v>
      </c>
    </row>
    <row r="78" spans="2:7">
      <c r="C78" s="144" t="s">
        <v>360</v>
      </c>
      <c r="D78">
        <v>3.16</v>
      </c>
      <c r="E78" s="60">
        <f>E76+(E76*D76/100)</f>
        <v>16109.625312312</v>
      </c>
      <c r="F78" s="28">
        <v>85000</v>
      </c>
      <c r="G78" s="29">
        <f>E78-F78+G77</f>
        <v>-34469.416624446778</v>
      </c>
    </row>
    <row r="79" spans="2:7">
      <c r="C79" s="146" t="s">
        <v>208</v>
      </c>
      <c r="D79">
        <v>5.54</v>
      </c>
      <c r="E79" s="60"/>
      <c r="F79" s="28">
        <v>-5600</v>
      </c>
      <c r="G79" s="29">
        <f>E79-F79+G78</f>
        <v>-28869.416624446778</v>
      </c>
    </row>
    <row r="80" spans="2:7">
      <c r="C80" s="145" t="s">
        <v>361</v>
      </c>
      <c r="E80" s="60">
        <f>E78+(E78*D79/100)</f>
        <v>17002.098554614084</v>
      </c>
      <c r="F80" s="28"/>
      <c r="G80" s="29">
        <f>E80-F80+G79</f>
        <v>-11867.318069832694</v>
      </c>
    </row>
    <row r="81" spans="3:7">
      <c r="C81" s="145" t="s">
        <v>279</v>
      </c>
      <c r="E81" s="60">
        <f>E80+(E80*D80/100)</f>
        <v>17002.098554614084</v>
      </c>
      <c r="G81" s="29">
        <f t="shared" si="7"/>
        <v>5134.7804847813895</v>
      </c>
    </row>
    <row r="82" spans="3:7">
      <c r="C82" s="145" t="s">
        <v>280</v>
      </c>
      <c r="E82" s="60">
        <f t="shared" ref="E82:E87" si="10">E81+(E81*D81/100)</f>
        <v>17002.098554614084</v>
      </c>
      <c r="G82" s="29">
        <f t="shared" si="7"/>
        <v>22136.879039395473</v>
      </c>
    </row>
    <row r="83" spans="3:7">
      <c r="C83" s="145" t="s">
        <v>281</v>
      </c>
      <c r="E83" s="60">
        <f t="shared" si="10"/>
        <v>17002.098554614084</v>
      </c>
      <c r="G83" s="29">
        <f t="shared" si="7"/>
        <v>39138.977594009557</v>
      </c>
    </row>
    <row r="84" spans="3:7">
      <c r="C84" s="145" t="s">
        <v>362</v>
      </c>
      <c r="E84" s="60">
        <f t="shared" si="10"/>
        <v>17002.098554614084</v>
      </c>
      <c r="G84" s="29">
        <f t="shared" si="7"/>
        <v>56141.076148623644</v>
      </c>
    </row>
    <row r="85" spans="3:7">
      <c r="C85" s="145" t="s">
        <v>263</v>
      </c>
      <c r="E85" s="60">
        <f t="shared" si="10"/>
        <v>17002.098554614084</v>
      </c>
      <c r="G85" s="29">
        <f t="shared" si="7"/>
        <v>73143.174703237732</v>
      </c>
    </row>
    <row r="86" spans="3:7">
      <c r="C86" s="145" t="s">
        <v>264</v>
      </c>
      <c r="E86" s="60">
        <f t="shared" si="10"/>
        <v>17002.098554614084</v>
      </c>
      <c r="G86" s="29">
        <f t="shared" si="7"/>
        <v>90145.273257851819</v>
      </c>
    </row>
    <row r="87" spans="3:7">
      <c r="C87" s="145" t="s">
        <v>265</v>
      </c>
      <c r="E87" s="60">
        <f t="shared" si="10"/>
        <v>17002.098554614084</v>
      </c>
      <c r="G87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opLeftCell="A9" zoomScale="220" zoomScaleNormal="220" workbookViewId="0">
      <selection activeCell="H6" sqref="H6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102076.79999999999</v>
      </c>
    </row>
    <row r="7" spans="1:8" ht="14.25">
      <c r="D7" s="95"/>
      <c r="H7" s="122">
        <f>H6+H5</f>
        <v>223107.56</v>
      </c>
    </row>
    <row r="8" spans="1:8">
      <c r="A8" s="123">
        <v>45295</v>
      </c>
      <c r="C8" s="94">
        <v>10000</v>
      </c>
      <c r="D8" s="90">
        <f>H7-C8</f>
        <v>213107.56</v>
      </c>
      <c r="E8" s="124">
        <v>10000</v>
      </c>
      <c r="F8" s="125"/>
      <c r="G8" s="125" t="s">
        <v>340</v>
      </c>
      <c r="H8" s="126">
        <f t="shared" ref="H8:H19" si="0">H7-E8</f>
        <v>213107.56</v>
      </c>
    </row>
    <row r="9" spans="1:8">
      <c r="A9" s="123">
        <v>45323</v>
      </c>
      <c r="C9" s="94">
        <v>10000</v>
      </c>
      <c r="D9" s="90">
        <f t="shared" ref="D9:D19" si="1">D8-C9</f>
        <v>203107.56</v>
      </c>
      <c r="E9" s="124">
        <v>10000</v>
      </c>
      <c r="F9" s="125"/>
      <c r="G9" s="125" t="s">
        <v>340</v>
      </c>
      <c r="H9" s="90">
        <f t="shared" si="0"/>
        <v>203107.56</v>
      </c>
    </row>
    <row r="10" spans="1:8">
      <c r="A10" s="123">
        <v>45352</v>
      </c>
      <c r="C10" s="94">
        <v>10000</v>
      </c>
      <c r="D10" s="90">
        <f t="shared" si="1"/>
        <v>193107.56</v>
      </c>
      <c r="E10" s="124">
        <v>10000</v>
      </c>
      <c r="F10" s="125"/>
      <c r="G10" s="125" t="s">
        <v>340</v>
      </c>
      <c r="H10" s="90">
        <f t="shared" si="0"/>
        <v>193107.56</v>
      </c>
    </row>
    <row r="11" spans="1:8">
      <c r="A11" s="123">
        <v>45383</v>
      </c>
      <c r="C11" s="94">
        <v>10000</v>
      </c>
      <c r="D11" s="90">
        <f t="shared" si="1"/>
        <v>183107.56</v>
      </c>
      <c r="E11" s="124">
        <v>10000</v>
      </c>
      <c r="F11" s="125"/>
      <c r="G11" s="125" t="s">
        <v>340</v>
      </c>
      <c r="H11" s="90">
        <f t="shared" si="0"/>
        <v>183107.56</v>
      </c>
    </row>
    <row r="12" spans="1:8">
      <c r="A12" s="123">
        <v>45413</v>
      </c>
      <c r="C12" s="94">
        <v>10000</v>
      </c>
      <c r="D12" s="90">
        <f t="shared" si="1"/>
        <v>173107.56</v>
      </c>
      <c r="E12" s="124">
        <v>10000</v>
      </c>
      <c r="F12" s="125"/>
      <c r="G12" s="125" t="s">
        <v>340</v>
      </c>
      <c r="H12" s="90">
        <f t="shared" si="0"/>
        <v>173107.56</v>
      </c>
    </row>
    <row r="13" spans="1:8">
      <c r="A13" s="123">
        <v>45444</v>
      </c>
      <c r="C13" s="94">
        <v>10000</v>
      </c>
      <c r="D13" s="90">
        <f t="shared" si="1"/>
        <v>163107.56</v>
      </c>
      <c r="E13" s="124">
        <v>10000</v>
      </c>
      <c r="G13" s="125" t="s">
        <v>340</v>
      </c>
      <c r="H13" s="90">
        <f t="shared" si="0"/>
        <v>163107.56</v>
      </c>
    </row>
    <row r="14" spans="1:8">
      <c r="A14" s="123">
        <v>45474</v>
      </c>
      <c r="C14" s="94">
        <v>10000</v>
      </c>
      <c r="D14" s="90">
        <f t="shared" si="1"/>
        <v>153107.56</v>
      </c>
      <c r="E14" s="124">
        <v>10000</v>
      </c>
      <c r="G14" s="125" t="s">
        <v>340</v>
      </c>
      <c r="H14" s="90">
        <f t="shared" si="0"/>
        <v>153107.56</v>
      </c>
    </row>
    <row r="15" spans="1:8">
      <c r="A15" s="123">
        <v>45505</v>
      </c>
      <c r="C15" s="94">
        <v>10000</v>
      </c>
      <c r="D15" s="90">
        <f t="shared" si="1"/>
        <v>143107.56</v>
      </c>
      <c r="H15" s="90">
        <f t="shared" si="0"/>
        <v>153107.56</v>
      </c>
    </row>
    <row r="16" spans="1:8">
      <c r="A16" s="123">
        <v>45536</v>
      </c>
      <c r="C16" s="94">
        <v>10000</v>
      </c>
      <c r="D16" s="90">
        <f t="shared" si="1"/>
        <v>133107.56</v>
      </c>
      <c r="H16" s="90">
        <f t="shared" si="0"/>
        <v>153107.56</v>
      </c>
    </row>
    <row r="17" spans="1:10">
      <c r="A17" s="123">
        <v>45566</v>
      </c>
      <c r="C17" s="94">
        <v>10000</v>
      </c>
      <c r="D17" s="90">
        <f t="shared" si="1"/>
        <v>123107.56</v>
      </c>
      <c r="H17" s="90">
        <f t="shared" si="0"/>
        <v>153107.56</v>
      </c>
    </row>
    <row r="18" spans="1:10">
      <c r="A18" s="123">
        <v>45597</v>
      </c>
      <c r="C18" s="94">
        <v>10000</v>
      </c>
      <c r="D18" s="90">
        <f t="shared" si="1"/>
        <v>113107.56</v>
      </c>
      <c r="H18" s="90">
        <f t="shared" si="0"/>
        <v>153107.56</v>
      </c>
    </row>
    <row r="19" spans="1:10">
      <c r="A19" s="123">
        <v>45627</v>
      </c>
      <c r="C19" s="94">
        <v>11030.76</v>
      </c>
      <c r="D19" s="90">
        <f t="shared" si="1"/>
        <v>102076.8</v>
      </c>
      <c r="H19" s="90">
        <f t="shared" si="0"/>
        <v>153107.56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611000</v>
      </c>
      <c r="D23" s="118">
        <f>SUBTOTAL(109,D24:D38)</f>
        <v>434000</v>
      </c>
      <c r="E23" s="118">
        <f>SUM(E24:E38)</f>
        <v>-41630.399999999994</v>
      </c>
      <c r="F23" s="117"/>
      <c r="G23" s="118">
        <f>SUBTOTAL(109,$G$24:$G$38)</f>
        <v>-102076.79999999999</v>
      </c>
      <c r="H23" s="118">
        <f>H24</f>
        <v>-102076.79999999999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-102076.79999999999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-102076.79999999999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-102076.79999999999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-102076.79999999999</v>
      </c>
    </row>
    <row r="28" spans="1:10">
      <c r="A28" s="132"/>
      <c r="B28" s="133"/>
      <c r="C28" s="134"/>
      <c r="D28" s="100">
        <f t="shared" si="2"/>
        <v>0</v>
      </c>
      <c r="E28" s="101">
        <f t="shared" si="3"/>
        <v>0</v>
      </c>
      <c r="F28" s="97">
        <v>0</v>
      </c>
      <c r="G28" s="100">
        <f t="shared" si="4"/>
        <v>0</v>
      </c>
      <c r="H28" s="95">
        <f t="shared" si="5"/>
        <v>-102076.79999999999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36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>
        <v>170000</v>
      </c>
      <c r="D38" s="100">
        <f t="shared" si="2"/>
        <v>0</v>
      </c>
      <c r="E38" s="101">
        <f t="shared" si="3"/>
        <v>-39983.999999999993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434000</v>
      </c>
      <c r="D43" s="110">
        <f>$D$23*D42</f>
        <v>331923.20000000001</v>
      </c>
      <c r="E43" s="110">
        <f>$D$23*E42</f>
        <v>102076.79999999999</v>
      </c>
      <c r="H43" s="95"/>
    </row>
    <row r="44" spans="1:10">
      <c r="B44" t="s">
        <v>251</v>
      </c>
      <c r="C44" s="100">
        <f>D44+E44</f>
        <v>434000</v>
      </c>
      <c r="D44" s="95">
        <f>C43-E44</f>
        <v>331923.20000000001</v>
      </c>
      <c r="E44" s="95">
        <f>$H$23*-1</f>
        <v>102076.79999999999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331923.20000000001</v>
      </c>
      <c r="D50" s="46">
        <v>2.5000000000000001E-2</v>
      </c>
      <c r="E50" s="95">
        <f>C50*D50</f>
        <v>8298.08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Sayfa1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Ali</cp:lastModifiedBy>
  <cp:revision>322</cp:revision>
  <cp:lastPrinted>2024-01-22T10:23:13Z</cp:lastPrinted>
  <dcterms:created xsi:type="dcterms:W3CDTF">2019-12-25T12:06:09Z</dcterms:created>
  <dcterms:modified xsi:type="dcterms:W3CDTF">2024-10-08T13:51:23Z</dcterms:modified>
</cp:coreProperties>
</file>