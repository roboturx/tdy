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E0D57133-9704-4F4B-A356-1F055720478E}" xr6:coauthVersionLast="47" xr6:coauthVersionMax="47" xr10:uidLastSave="{00000000-0000-0000-0000-000000000000}"/>
  <bookViews>
    <workbookView xWindow="-120" yWindow="-120" windowWidth="29040" windowHeight="15720" tabRatio="912" firstSheet="1" activeTab="11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CD-HSP" sheetId="18" r:id="rId5"/>
    <sheet name="SnyE503-24" sheetId="17" r:id="rId6"/>
    <sheet name="SnyE502-22" sheetId="5" r:id="rId7"/>
    <sheet name="SnyF601-22" sheetId="6" r:id="rId8"/>
    <sheet name="snyF-HSP" sheetId="15" r:id="rId9"/>
    <sheet name="SnyG702-22" sheetId="7" r:id="rId10"/>
    <sheet name="SnH_yazıhane" sheetId="8" r:id="rId11"/>
    <sheet name="NAZAN_25" sheetId="19" r:id="rId12"/>
    <sheet name="NAZAN_24" sheetId="16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19" l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E20" i="16"/>
  <c r="D44" i="19"/>
  <c r="E44" i="19" s="1"/>
  <c r="D40" i="19"/>
  <c r="D39" i="19"/>
  <c r="D38" i="19"/>
  <c r="D37" i="19"/>
  <c r="G36" i="19"/>
  <c r="D36" i="19"/>
  <c r="G35" i="19"/>
  <c r="E35" i="19"/>
  <c r="D35" i="19"/>
  <c r="E34" i="19"/>
  <c r="D34" i="19"/>
  <c r="E33" i="19"/>
  <c r="D33" i="19"/>
  <c r="E32" i="19"/>
  <c r="D32" i="19"/>
  <c r="G31" i="19"/>
  <c r="D31" i="19"/>
  <c r="D30" i="19"/>
  <c r="G29" i="19"/>
  <c r="D29" i="19"/>
  <c r="G28" i="19"/>
  <c r="D28" i="19"/>
  <c r="G27" i="19"/>
  <c r="D27" i="19"/>
  <c r="G26" i="19"/>
  <c r="D26" i="19"/>
  <c r="C25" i="19"/>
  <c r="E23" i="19"/>
  <c r="G30" i="19" s="1"/>
  <c r="H5" i="19"/>
  <c r="H25" i="18"/>
  <c r="H24" i="18" s="1"/>
  <c r="D38" i="18"/>
  <c r="E38" i="18" s="1"/>
  <c r="F37" i="18" s="1"/>
  <c r="E8" i="18"/>
  <c r="E10" i="18"/>
  <c r="E13" i="18"/>
  <c r="E15" i="18"/>
  <c r="F50" i="15"/>
  <c r="F49" i="15"/>
  <c r="F47" i="15"/>
  <c r="E29" i="19" l="1"/>
  <c r="E38" i="19"/>
  <c r="E36" i="19"/>
  <c r="E39" i="19"/>
  <c r="E30" i="19"/>
  <c r="E37" i="19"/>
  <c r="G40" i="19"/>
  <c r="H40" i="19" s="1"/>
  <c r="E31" i="19"/>
  <c r="D25" i="19"/>
  <c r="E45" i="19" s="1"/>
  <c r="G37" i="19"/>
  <c r="E26" i="19"/>
  <c r="G32" i="19"/>
  <c r="G38" i="19"/>
  <c r="G33" i="19"/>
  <c r="E28" i="19"/>
  <c r="E40" i="19"/>
  <c r="E27" i="19"/>
  <c r="G39" i="19"/>
  <c r="H39" i="19" s="1"/>
  <c r="H38" i="19" s="1"/>
  <c r="H37" i="19" s="1"/>
  <c r="H36" i="19" s="1"/>
  <c r="H35" i="19" s="1"/>
  <c r="G34" i="19"/>
  <c r="F35" i="15"/>
  <c r="F34" i="15"/>
  <c r="F33" i="15"/>
  <c r="F32" i="15"/>
  <c r="D8" i="18"/>
  <c r="D10" i="18"/>
  <c r="D13" i="18"/>
  <c r="D15" i="18"/>
  <c r="H40" i="18"/>
  <c r="H39" i="18" s="1"/>
  <c r="F38" i="18" s="1"/>
  <c r="D35" i="18"/>
  <c r="E35" i="18" s="1"/>
  <c r="D33" i="18"/>
  <c r="D31" i="18"/>
  <c r="D29" i="18"/>
  <c r="D27" i="18"/>
  <c r="D25" i="18"/>
  <c r="D23" i="18"/>
  <c r="D21" i="18"/>
  <c r="D19" i="18"/>
  <c r="D17" i="18"/>
  <c r="G3" i="18"/>
  <c r="C45" i="19" l="1"/>
  <c r="D45" i="19"/>
  <c r="H34" i="19"/>
  <c r="H33" i="19" s="1"/>
  <c r="H32" i="19" s="1"/>
  <c r="H31" i="19" s="1"/>
  <c r="H30" i="19" s="1"/>
  <c r="H29" i="19" s="1"/>
  <c r="H28" i="19" s="1"/>
  <c r="H27" i="19" s="1"/>
  <c r="H26" i="19" s="1"/>
  <c r="H25" i="19" s="1"/>
  <c r="H6" i="19" s="1"/>
  <c r="H7" i="19" s="1"/>
  <c r="G25" i="19"/>
  <c r="E25" i="19"/>
  <c r="H38" i="18"/>
  <c r="E78" i="15"/>
  <c r="E66" i="15"/>
  <c r="H65" i="15"/>
  <c r="D117" i="5"/>
  <c r="D115" i="5"/>
  <c r="D116" i="5" s="1"/>
  <c r="D111" i="5"/>
  <c r="E46" i="19" l="1"/>
  <c r="D46" i="19" s="1"/>
  <c r="D47" i="19" s="1"/>
  <c r="D8" i="19"/>
  <c r="D9" i="19" s="1"/>
  <c r="D10" i="19" s="1"/>
  <c r="D11" i="19" s="1"/>
  <c r="D12" i="19" s="1"/>
  <c r="D13" i="19" s="1"/>
  <c r="D14" i="19" s="1"/>
  <c r="D15" i="19" s="1"/>
  <c r="D16" i="19" s="1"/>
  <c r="D17" i="19" s="1"/>
  <c r="D18" i="19" s="1"/>
  <c r="D19" i="19" s="1"/>
  <c r="H8" i="19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66" i="15"/>
  <c r="E67" i="15"/>
  <c r="E79" i="15"/>
  <c r="C68" i="17"/>
  <c r="C65" i="17"/>
  <c r="C66" i="17" s="1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C46" i="19" l="1"/>
  <c r="C47" i="19" s="1"/>
  <c r="C52" i="19"/>
  <c r="E52" i="19" s="1"/>
  <c r="E47" i="19"/>
  <c r="H37" i="18"/>
  <c r="H36" i="18" s="1"/>
  <c r="E81" i="15"/>
  <c r="E83" i="15" s="1"/>
  <c r="E68" i="15"/>
  <c r="H67" i="15"/>
  <c r="D69" i="17"/>
  <c r="D70" i="17" l="1"/>
  <c r="D71" i="17" s="1"/>
  <c r="D76" i="17" s="1"/>
  <c r="F34" i="18"/>
  <c r="E69" i="15"/>
  <c r="H68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32" i="18" l="1"/>
  <c r="E84" i="15"/>
  <c r="E85" i="15" s="1"/>
  <c r="E86" i="15" s="1"/>
  <c r="E87" i="15" s="1"/>
  <c r="E88" i="15" s="1"/>
  <c r="E89" i="15" s="1"/>
  <c r="E90" i="15" s="1"/>
  <c r="E70" i="15"/>
  <c r="H69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40" i="16"/>
  <c r="D39" i="16"/>
  <c r="E34" i="16"/>
  <c r="D13" i="4"/>
  <c r="E13" i="4" s="1"/>
  <c r="D14" i="4" s="1"/>
  <c r="E14" i="4" s="1"/>
  <c r="D15" i="4" s="1"/>
  <c r="E15" i="4" s="1"/>
  <c r="D16" i="4" s="1"/>
  <c r="E16" i="4" s="1"/>
  <c r="D17" i="4" s="1"/>
  <c r="E17" i="4" s="1"/>
  <c r="D10" i="4"/>
  <c r="E10" i="4" s="1"/>
  <c r="E31" i="15" l="1"/>
  <c r="F30" i="15"/>
  <c r="F35" i="18"/>
  <c r="H35" i="18" s="1"/>
  <c r="F30" i="18"/>
  <c r="E29" i="18" s="1"/>
  <c r="D18" i="4"/>
  <c r="E18" i="4" s="1"/>
  <c r="D19" i="4" s="1"/>
  <c r="E19" i="4" s="1"/>
  <c r="E71" i="15"/>
  <c r="E72" i="15" s="1"/>
  <c r="E73" i="15" s="1"/>
  <c r="E74" i="15" s="1"/>
  <c r="E75" i="15" s="1"/>
  <c r="E76" i="15" s="1"/>
  <c r="H70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E36" i="15" l="1"/>
  <c r="F31" i="15"/>
  <c r="H34" i="18"/>
  <c r="F28" i="18"/>
  <c r="E27" i="18" s="1"/>
  <c r="H71" i="15"/>
  <c r="G14" i="6"/>
  <c r="E15" i="6"/>
  <c r="F30" i="1"/>
  <c r="E25" i="1"/>
  <c r="E27" i="1"/>
  <c r="C30" i="1"/>
  <c r="D28" i="1"/>
  <c r="D30" i="1" s="1"/>
  <c r="D44" i="16"/>
  <c r="E44" i="16" s="1"/>
  <c r="G40" i="16"/>
  <c r="H40" i="16" s="1"/>
  <c r="E39" i="16"/>
  <c r="E38" i="16"/>
  <c r="E37" i="16"/>
  <c r="G36" i="16"/>
  <c r="E36" i="16"/>
  <c r="G35" i="16"/>
  <c r="G33" i="16"/>
  <c r="G32" i="16"/>
  <c r="E32" i="16"/>
  <c r="G30" i="16"/>
  <c r="G28" i="16"/>
  <c r="G27" i="16"/>
  <c r="G26" i="16"/>
  <c r="C25" i="16"/>
  <c r="E23" i="16"/>
  <c r="G31" i="16" s="1"/>
  <c r="D13" i="3"/>
  <c r="D25" i="2"/>
  <c r="D26" i="2" s="1"/>
  <c r="G29" i="16" l="1"/>
  <c r="G37" i="16"/>
  <c r="G34" i="16"/>
  <c r="G15" i="6"/>
  <c r="F37" i="15"/>
  <c r="F36" i="15"/>
  <c r="E37" i="15"/>
  <c r="F33" i="18"/>
  <c r="H33" i="18" s="1"/>
  <c r="H32" i="18" s="1"/>
  <c r="F26" i="18"/>
  <c r="E25" i="18" s="1"/>
  <c r="H72" i="15"/>
  <c r="E16" i="6"/>
  <c r="G16" i="6" s="1"/>
  <c r="E28" i="1"/>
  <c r="E30" i="1" s="1"/>
  <c r="E27" i="16"/>
  <c r="E33" i="16"/>
  <c r="E26" i="16"/>
  <c r="E35" i="16"/>
  <c r="G38" i="16"/>
  <c r="G25" i="16" s="1"/>
  <c r="E28" i="16"/>
  <c r="E29" i="16"/>
  <c r="G39" i="16"/>
  <c r="H39" i="16" s="1"/>
  <c r="H38" i="16" s="1"/>
  <c r="H37" i="16" s="1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E40" i="16"/>
  <c r="E30" i="16"/>
  <c r="E31" i="16"/>
  <c r="F38" i="15" l="1"/>
  <c r="E38" i="15"/>
  <c r="E39" i="15" s="1"/>
  <c r="F31" i="18"/>
  <c r="H31" i="18" s="1"/>
  <c r="H30" i="18" s="1"/>
  <c r="F29" i="18" s="1"/>
  <c r="F24" i="18"/>
  <c r="E23" i="18" s="1"/>
  <c r="H73" i="15"/>
  <c r="E17" i="6"/>
  <c r="E18" i="6" s="1"/>
  <c r="E25" i="16"/>
  <c r="H6" i="15"/>
  <c r="H7" i="15" s="1"/>
  <c r="H8" i="15" s="1"/>
  <c r="H9" i="15" s="1"/>
  <c r="H10" i="15" s="1"/>
  <c r="H11" i="15" s="1"/>
  <c r="H12" i="15" s="1"/>
  <c r="E18" i="15"/>
  <c r="F18" i="15" s="1"/>
  <c r="H17" i="15"/>
  <c r="G40" i="2"/>
  <c r="E5" i="2" s="1"/>
  <c r="C37" i="7"/>
  <c r="C56" i="6"/>
  <c r="C37" i="5"/>
  <c r="D51" i="4"/>
  <c r="G6" i="8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D5" i="5" s="1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E4" i="5"/>
  <c r="D4" i="5"/>
  <c r="C11" i="1" s="1"/>
  <c r="F99" i="4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83" i="4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G53" i="4"/>
  <c r="E5" i="4" s="1"/>
  <c r="G39" i="4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9" i="4"/>
  <c r="G10" i="4" s="1"/>
  <c r="G11" i="4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9" i="1" s="1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H18" i="15" l="1"/>
  <c r="F39" i="15"/>
  <c r="E40" i="15"/>
  <c r="H29" i="18"/>
  <c r="H28" i="18" s="1"/>
  <c r="F27" i="18" s="1"/>
  <c r="H27" i="18" s="1"/>
  <c r="H26" i="18" s="1"/>
  <c r="F22" i="18"/>
  <c r="E4" i="4"/>
  <c r="C10" i="1" s="1"/>
  <c r="G12" i="4"/>
  <c r="G13" i="4" s="1"/>
  <c r="G14" i="4" s="1"/>
  <c r="G15" i="4" s="1"/>
  <c r="G16" i="4" s="1"/>
  <c r="G17" i="4" s="1"/>
  <c r="G18" i="4" s="1"/>
  <c r="G19" i="4" s="1"/>
  <c r="G20" i="4" s="1"/>
  <c r="G21" i="4" s="1"/>
  <c r="G4" i="4" s="1"/>
  <c r="E19" i="15"/>
  <c r="F19" i="15" s="1"/>
  <c r="H19" i="15" s="1"/>
  <c r="H74" i="15"/>
  <c r="E19" i="6"/>
  <c r="E20" i="6" s="1"/>
  <c r="G17" i="6"/>
  <c r="G18" i="6" s="1"/>
  <c r="G19" i="6" s="1"/>
  <c r="H26" i="16"/>
  <c r="H25" i="16" s="1"/>
  <c r="G2" i="8"/>
  <c r="D6" i="3"/>
  <c r="F9" i="1" s="1"/>
  <c r="G7" i="6"/>
  <c r="E6" i="6"/>
  <c r="F12" i="1" s="1"/>
  <c r="D6" i="7"/>
  <c r="F13" i="1" s="1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21" i="18" l="1"/>
  <c r="F20" i="18" s="1"/>
  <c r="E20" i="15"/>
  <c r="F20" i="15" s="1"/>
  <c r="H6" i="16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6" i="16"/>
  <c r="H20" i="15"/>
  <c r="E41" i="15"/>
  <c r="F40" i="15"/>
  <c r="F25" i="18"/>
  <c r="H75" i="15"/>
  <c r="H76" i="15" s="1"/>
  <c r="H77" i="15" s="1"/>
  <c r="H78" i="15" s="1"/>
  <c r="H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E19" i="18" l="1"/>
  <c r="F18" i="18" s="1"/>
  <c r="E42" i="15"/>
  <c r="F41" i="15"/>
  <c r="H21" i="15"/>
  <c r="F23" i="18"/>
  <c r="H23" i="18" s="1"/>
  <c r="H22" i="18" s="1"/>
  <c r="H80" i="15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E22" i="15"/>
  <c r="F22" i="15" s="1"/>
  <c r="F9" i="18" l="1"/>
  <c r="E17" i="18"/>
  <c r="E43" i="15"/>
  <c r="F42" i="15"/>
  <c r="H22" i="15"/>
  <c r="F21" i="18"/>
  <c r="E23" i="15"/>
  <c r="H21" i="18" l="1"/>
  <c r="H20" i="18" s="1"/>
  <c r="F29" i="15"/>
  <c r="F28" i="15"/>
  <c r="F27" i="15"/>
  <c r="F26" i="15"/>
  <c r="F25" i="15"/>
  <c r="F24" i="15"/>
  <c r="F23" i="15"/>
  <c r="H23" i="15" s="1"/>
  <c r="E46" i="15"/>
  <c r="F46" i="15" s="1"/>
  <c r="F43" i="15"/>
  <c r="E24" i="15"/>
  <c r="F19" i="18" l="1"/>
  <c r="H19" i="18" s="1"/>
  <c r="H18" i="18" s="1"/>
  <c r="H24" i="15"/>
  <c r="H25" i="15" s="1"/>
  <c r="H26" i="15" s="1"/>
  <c r="H27" i="15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E25" i="15"/>
  <c r="F17" i="18" l="1"/>
  <c r="H17" i="18" s="1"/>
  <c r="H16" i="18" s="1"/>
  <c r="E26" i="15"/>
  <c r="F15" i="18" l="1"/>
  <c r="E27" i="15"/>
  <c r="H15" i="18" l="1"/>
  <c r="H14" i="18" s="1"/>
  <c r="F4" i="4"/>
  <c r="E28" i="15"/>
  <c r="F13" i="18" l="1"/>
  <c r="H13" i="18" s="1"/>
  <c r="H12" i="18" s="1"/>
  <c r="H11" i="18" s="1"/>
  <c r="D10" i="1"/>
  <c r="G7" i="4"/>
  <c r="F10" i="18" l="1"/>
  <c r="E10" i="1"/>
  <c r="D16" i="1"/>
  <c r="G4" i="6"/>
  <c r="E4" i="6"/>
  <c r="C12" i="1" s="1"/>
  <c r="H10" i="18" l="1"/>
  <c r="H9" i="18" s="1"/>
  <c r="F8" i="18" s="1"/>
  <c r="E12" i="1"/>
  <c r="E16" i="1" s="1"/>
  <c r="C16" i="1"/>
  <c r="D25" i="16"/>
  <c r="E45" i="16" s="1"/>
  <c r="E47" i="16" s="1"/>
  <c r="H8" i="18" l="1"/>
  <c r="H7" i="18" s="1"/>
  <c r="H6" i="18" s="1"/>
  <c r="F3" i="18"/>
  <c r="H3" i="18" s="1"/>
  <c r="D45" i="16"/>
  <c r="C45" i="16"/>
  <c r="D46" i="16" s="1"/>
  <c r="C52" i="16" l="1"/>
  <c r="E52" i="16" s="1"/>
  <c r="C46" i="16"/>
  <c r="C47" i="16" s="1"/>
  <c r="D47" i="16"/>
</calcChain>
</file>

<file path=xl/sharedStrings.xml><?xml version="1.0" encoding="utf-8"?>
<sst xmlns="http://schemas.openxmlformats.org/spreadsheetml/2006/main" count="880" uniqueCount="471">
  <si>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</si>
  <si>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</si>
  <si>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</si>
  <si>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</si>
  <si>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</si>
  <si>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</si>
  <si>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</si>
  <si>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</si>
  <si>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</si>
  <si>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</si>
  <si>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</si>
  <si>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</si>
  <si>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</si>
  <si>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</si>
  <si>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</si>
  <si>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</si>
  <si>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</si>
  <si>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</si>
  <si>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</si>
  <si>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</si>
  <si>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</si>
  <si>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</si>
  <si>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</si>
  <si>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</si>
  <si>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</si>
  <si>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</si>
  <si>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</si>
  <si>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</si>
  <si>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</si>
  <si>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</si>
  <si>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</si>
  <si>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</si>
  <si>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</si>
  <si>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</si>
  <si>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</si>
  <si>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</si>
  <si>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</si>
  <si>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</si>
  <si>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</si>
  <si>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</si>
  <si>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</si>
  <si>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</si>
  <si>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</si>
  <si>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</si>
  <si>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</si>
  <si>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</si>
  <si>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</si>
  <si>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</si>
  <si>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</si>
  <si>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</si>
  <si>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</si>
  <si>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</si>
  <si>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</si>
  <si>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</si>
  <si>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</si>
  <si>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</si>
  <si>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</si>
  <si>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</si>
  <si>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</si>
  <si>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</si>
  <si>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</si>
  <si>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</si>
  <si>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</si>
  <si>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</si>
  <si>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</si>
  <si>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</si>
  <si>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</si>
  <si>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</si>
  <si>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</si>
  <si>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</si>
  <si>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</si>
  <si>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</si>
  <si>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</si>
  <si>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</si>
  <si>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</si>
  <si>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</si>
  <si>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</si>
  <si>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</si>
  <si>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</si>
  <si>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</si>
  <si>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</si>
  <si>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</si>
  <si>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</si>
  <si>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</si>
  <si>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</si>
  <si>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</si>
  <si>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</si>
  <si>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</si>
  <si>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</si>
  <si>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</si>
  <si>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</si>
  <si>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</si>
  <si>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</si>
  <si>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</si>
  <si>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</si>
  <si>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</si>
  <si>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</si>
  <si>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</si>
  <si>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</si>
  <si>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</si>
  <si>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</si>
  <si>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</si>
  <si>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</si>
  <si>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</si>
  <si>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</si>
  <si>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</si>
  <si>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</si>
  <si>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</si>
  <si>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</si>
  <si>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</si>
  <si>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</si>
  <si>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</si>
  <si>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</si>
  <si>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</si>
  <si>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</si>
  <si>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</si>
  <si>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</si>
  <si>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</si>
  <si>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</si>
  <si>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</si>
  <si>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</si>
  <si>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</si>
  <si>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</si>
  <si>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</si>
  <si>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</si>
  <si>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</si>
  <si>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</si>
  <si>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</si>
  <si>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</si>
  <si>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</si>
  <si>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</si>
  <si>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</si>
  <si>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</si>
  <si>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</si>
  <si>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</si>
  <si>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</si>
  <si>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</si>
  <si>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</si>
  <si>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</si>
  <si>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</si>
  <si>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</si>
  <si>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</si>
  <si>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</si>
  <si>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</si>
  <si>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</si>
  <si>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</si>
  <si>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</si>
  <si>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</si>
  <si>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</si>
  <si>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</si>
  <si>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</si>
  <si>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</si>
  <si>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</si>
  <si>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</si>
  <si>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</si>
  <si>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</si>
  <si>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</si>
  <si>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</si>
  <si>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</si>
  <si>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</si>
  <si>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</si>
  <si>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</si>
  <si>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</si>
  <si>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</si>
  <si>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</si>
  <si>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</si>
  <si>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</si>
  <si>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</si>
  <si>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</si>
  <si>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</si>
  <si>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</si>
  <si>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</si>
  <si>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</si>
  <si>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</si>
  <si>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</si>
  <si>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</si>
  <si>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</si>
  <si>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</si>
  <si>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</si>
  <si>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</si>
  <si>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</si>
  <si>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</si>
  <si>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</si>
  <si>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</si>
  <si>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</si>
  <si>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</si>
  <si>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</si>
  <si>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</si>
  <si>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</si>
  <si>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</si>
  <si>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</si>
  <si>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</si>
  <si>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</si>
  <si>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</si>
  <si>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</si>
  <si>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</si>
  <si>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</si>
  <si>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</si>
  <si>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</si>
  <si>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</si>
  <si>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</si>
  <si>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</si>
  <si>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</si>
  <si>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</si>
  <si>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</si>
  <si>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</si>
  <si>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</si>
  <si>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</si>
  <si>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</si>
  <si>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</si>
  <si>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</si>
  <si>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</si>
  <si>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</si>
  <si>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</si>
  <si>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</si>
  <si>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</si>
  <si>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</si>
  <si>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</si>
  <si>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</si>
  <si>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</si>
  <si>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</si>
  <si>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</si>
  <si>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</si>
  <si>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</si>
  <si>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</si>
  <si>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</si>
  <si>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</si>
  <si>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</si>
  <si>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</si>
  <si>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</si>
  <si>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</si>
  <si>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</si>
  <si>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</si>
  <si>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</si>
  <si>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</si>
  <si>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</si>
  <si>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</si>
  <si>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</si>
  <si>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</si>
  <si>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</si>
  <si>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</si>
  <si>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</si>
  <si>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</si>
  <si>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</si>
  <si>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</si>
  <si>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</si>
  <si>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</si>
  <si>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</si>
  <si>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</si>
  <si>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</si>
  <si>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</si>
  <si>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</si>
  <si>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</si>
  <si>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</si>
  <si>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</si>
  <si>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</si>
  <si>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</si>
  <si>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</si>
  <si>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</si>
  <si>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</si>
  <si>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</si>
  <si>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</si>
  <si>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</si>
  <si>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</si>
  <si>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</si>
  <si>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</si>
  <si>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</si>
  <si>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</si>
  <si>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</si>
  <si>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</si>
  <si>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</si>
  <si>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</si>
  <si>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</si>
  <si>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</si>
  <si>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</si>
  <si>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</si>
  <si>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</si>
  <si>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</si>
  <si>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</si>
  <si>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</si>
  <si>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</si>
  <si>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</si>
  <si>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</si>
  <si>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</si>
  <si>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</si>
  <si>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</si>
  <si>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</si>
  <si>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</si>
  <si>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</si>
  <si>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</si>
  <si>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</si>
  <si>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</si>
  <si>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</si>
  <si>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</si>
  <si>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</si>
  <si>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</si>
  <si>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</si>
  <si>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</si>
  <si>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</si>
  <si>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</si>
  <si>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</si>
  <si>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</si>
  <si>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</si>
  <si>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</si>
  <si>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</si>
  <si>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</si>
  <si>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</si>
  <si>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</si>
  <si>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</si>
  <si>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</si>
  <si>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</si>
  <si>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</si>
  <si>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</si>
  <si>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</si>
  <si>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</si>
  <si>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</si>
  <si>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</si>
  <si>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</si>
  <si>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</si>
  <si>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</si>
  <si>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</si>
  <si>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</si>
  <si>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</si>
  <si>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</si>
  <si>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</si>
  <si>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</si>
  <si>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</si>
  <si>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</si>
  <si>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</si>
  <si>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</si>
  <si>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</si>
  <si>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</si>
  <si>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</si>
  <si>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</si>
  <si>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</si>
  <si>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</si>
  <si>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</si>
  <si>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</si>
  <si>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</si>
  <si>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</si>
  <si>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</si>
  <si>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</si>
  <si>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</si>
  <si>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</si>
  <si>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</si>
  <si>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</si>
  <si>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</si>
  <si>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</si>
  <si>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</si>
  <si>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</si>
  <si>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</si>
  <si>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</si>
  <si>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</si>
  <si>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</si>
  <si>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</si>
  <si>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</si>
  <si>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</si>
  <si>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</si>
  <si>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</si>
  <si>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</si>
  <si>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</si>
  <si>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</si>
  <si>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</si>
  <si>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</si>
  <si>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</si>
  <si>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</si>
  <si>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</si>
  <si>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</si>
  <si>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</si>
  <si>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</si>
  <si>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</si>
  <si>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</si>
  <si>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</si>
  <si>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</si>
  <si>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</si>
  <si>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</si>
  <si>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</si>
  <si>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</si>
  <si>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</si>
  <si>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</si>
  <si>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</si>
  <si>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</si>
  <si>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</si>
  <si>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</si>
  <si>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</si>
  <si>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</si>
  <si>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</si>
  <si>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</si>
  <si>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</si>
  <si>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</si>
  <si>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</si>
  <si>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</si>
  <si>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</si>
  <si>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</si>
  <si>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</si>
  <si>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</si>
  <si>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</si>
  <si>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</si>
  <si>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</si>
  <si>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</si>
  <si>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</si>
  <si>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</si>
  <si>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</si>
  <si>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</si>
  <si>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</si>
  <si>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</si>
  <si>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</si>
  <si>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</si>
  <si>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</si>
  <si>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</si>
  <si>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</si>
  <si>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</si>
  <si>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</si>
  <si>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</si>
  <si>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</si>
  <si>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</si>
  <si>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</si>
  <si>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</si>
  <si>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</si>
  <si>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</si>
  <si>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</si>
  <si>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</si>
  <si>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Tüfe endeks 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</si>
  <si>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</si>
  <si>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</si>
  <si>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</si>
  <si>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</si>
  <si>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</si>
  <si>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</si>
  <si>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</si>
  <si>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</si>
  <si>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</si>
  <si>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</si>
  <si>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</si>
  <si>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</si>
  <si>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</si>
  <si>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</si>
  <si>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</si>
  <si>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</si>
  <si>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</si>
  <si>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</si>
  <si>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</si>
  <si>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</si>
  <si>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</si>
  <si>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</si>
  <si>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</si>
  <si>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</si>
  <si>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</si>
  <si>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</si>
  <si>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</si>
  <si>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</si>
  <si>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</si>
  <si>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2025-02</t>
  </si>
  <si>
    <t>tüfe 2025-01</t>
  </si>
  <si>
    <t>tüfe 2024-12</t>
  </si>
  <si>
    <t>2024 - 1/12 Aralık</t>
  </si>
  <si>
    <t>2024 - 2/12 Ocak</t>
  </si>
  <si>
    <t>avukat-noter vs</t>
  </si>
  <si>
    <t>ödenmedi</t>
  </si>
  <si>
    <t>ÖDEME</t>
  </si>
  <si>
    <t>bedeli</t>
  </si>
  <si>
    <t>ödenecek</t>
  </si>
  <si>
    <t>boya masrafı</t>
  </si>
  <si>
    <t>snyF-icradan</t>
  </si>
  <si>
    <t>snyCD-işbank</t>
  </si>
  <si>
    <t>2025 yılı Toplam</t>
  </si>
  <si>
    <t>2025 YILI NAZAN BALCI</t>
  </si>
  <si>
    <t>snyB bankadan</t>
  </si>
  <si>
    <t xml:space="preserve">TOPLAM ÖDEME </t>
  </si>
  <si>
    <t>DEVREDEN</t>
  </si>
  <si>
    <t>2024 yıl sonu nazan devreden kira geliri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</si>
</sst>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</numFmts>
  <fonts count="57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  <font>
      <sz val="9"/>
      <name val="Arial"/>
      <family val="2"/>
      <charset val="162"/>
    </font>
    <font>
      <sz val="10"/>
      <name val="Arial"/>
      <family val="2"/>
      <charset val="162"/>
    </font>
  </fonts>
  <fills count="4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  <fill>
      <patternFill patternType="solid">
        <fgColor theme="7" tint="0.79998168889431442"/>
        <bgColor rgb="FFFFD7D7"/>
      </patternFill>
    </fill>
    <fill>
      <patternFill patternType="solid">
        <fgColor theme="7" tint="0.79998168889431442"/>
        <bgColor rgb="FFF6F9D4"/>
      </patternFill>
    </fill>
    <fill>
      <patternFill patternType="solid">
        <fgColor theme="7" tint="0.79998168889431442"/>
        <bgColor rgb="FFFFFFD7"/>
      </patternFill>
    </fill>
    <fill>
      <patternFill patternType="solid">
        <fgColor theme="9" tint="0.79998168889431442"/>
        <bgColor rgb="FFF6F9D4"/>
      </patternFill>
    </fill>
    <fill>
      <patternFill patternType="solid">
        <fgColor theme="9" tint="0.79998168889431442"/>
        <bgColor rgb="FFFFFFD7"/>
      </patternFill>
    </fill>
    <fill>
      <patternFill patternType="solid">
        <fgColor theme="9" tint="0.79998168889431442"/>
        <bgColor rgb="FFA9D08E"/>
      </patternFill>
    </fill>
  </fills>
  <borders count="2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2">
    <xf numFmtId="0" fontId="0" fillId="0" borderId="0"/>
    <xf numFmtId="0" fontId="3" fillId="0" borderId="0" applyNumberFormat="0" applyBorder="0" applyProtection="0"/>
    <xf numFmtId="0" fontId="4" fillId="2" borderId="0" applyNumberFormat="0" applyBorder="0" applyProtection="0"/>
    <xf numFmtId="0" fontId="4" fillId="3" borderId="0" applyNumberFormat="0" applyBorder="0" applyProtection="0"/>
    <xf numFmtId="0" fontId="3" fillId="4" borderId="0" applyNumberFormat="0" applyBorder="0" applyProtection="0"/>
    <xf numFmtId="0" fontId="5" fillId="5" borderId="0" applyNumberFormat="0" applyBorder="0" applyProtection="0"/>
    <xf numFmtId="0" fontId="6" fillId="6" borderId="0" applyNumberFormat="0" applyBorder="0" applyProtection="0"/>
    <xf numFmtId="169" fontId="7" fillId="0" borderId="0" applyBorder="0" applyProtection="0"/>
    <xf numFmtId="0" fontId="8" fillId="0" borderId="0" applyNumberFormat="0" applyBorder="0" applyProtection="0"/>
    <xf numFmtId="0" fontId="9" fillId="7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8" borderId="0" applyNumberFormat="0" applyBorder="0" applyProtection="0"/>
    <xf numFmtId="0" fontId="15" fillId="8" borderId="1" applyNumberFormat="0" applyProtection="0"/>
    <xf numFmtId="0" fontId="16" fillId="0" borderId="0" applyNumberFormat="0" applyBorder="0" applyProtection="0"/>
    <xf numFmtId="0" fontId="2" fillId="0" borderId="0" applyNumberFormat="0" applyFont="0" applyBorder="0" applyProtection="0"/>
    <xf numFmtId="0" fontId="2" fillId="0" borderId="0" applyNumberFormat="0" applyFont="0" applyBorder="0" applyProtection="0"/>
    <xf numFmtId="0" fontId="5" fillId="0" borderId="0" applyNumberFormat="0" applyBorder="0" applyProtection="0"/>
    <xf numFmtId="0" fontId="1" fillId="0" borderId="0"/>
    <xf numFmtId="0" fontId="56" fillId="0" borderId="0">
      <alignment vertical="center"/>
    </xf>
  </cellStyleXfs>
  <cellXfs count="249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right"/>
    </xf>
    <xf numFmtId="165" fontId="3" fillId="0" borderId="0" xfId="0" applyNumberFormat="1" applyFont="1"/>
    <xf numFmtId="164" fontId="0" fillId="0" borderId="0" xfId="0" applyNumberForma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4" fontId="18" fillId="0" borderId="2" xfId="0" applyNumberFormat="1" applyFont="1" applyBorder="1" applyAlignment="1">
      <alignment horizontal="center"/>
    </xf>
    <xf numFmtId="0" fontId="18" fillId="0" borderId="2" xfId="0" applyFont="1" applyBorder="1"/>
    <xf numFmtId="4" fontId="18" fillId="0" borderId="2" xfId="0" applyNumberFormat="1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19" fillId="0" borderId="0" xfId="0" applyFont="1" applyAlignment="1">
      <alignment horizontal="right"/>
    </xf>
    <xf numFmtId="4" fontId="17" fillId="9" borderId="0" xfId="0" applyNumberFormat="1" applyFont="1" applyFill="1"/>
    <xf numFmtId="4" fontId="17" fillId="10" borderId="0" xfId="0" applyNumberFormat="1" applyFont="1" applyFill="1"/>
    <xf numFmtId="4" fontId="17" fillId="11" borderId="0" xfId="0" applyNumberFormat="1" applyFont="1" applyFill="1"/>
    <xf numFmtId="4" fontId="3" fillId="12" borderId="0" xfId="0" applyNumberFormat="1" applyFont="1" applyFill="1"/>
    <xf numFmtId="4" fontId="17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9" fillId="0" borderId="4" xfId="0" applyFont="1" applyBorder="1" applyAlignment="1">
      <alignment horizontal="right"/>
    </xf>
    <xf numFmtId="4" fontId="3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8" fillId="0" borderId="0" xfId="0" applyNumberFormat="1" applyFont="1" applyAlignment="1">
      <alignment horizontal="center"/>
    </xf>
    <xf numFmtId="4" fontId="18" fillId="9" borderId="0" xfId="0" applyNumberFormat="1" applyFont="1" applyFill="1" applyAlignment="1">
      <alignment horizontal="right"/>
    </xf>
    <xf numFmtId="4" fontId="19" fillId="10" borderId="0" xfId="0" applyNumberFormat="1" applyFont="1" applyFill="1" applyAlignment="1">
      <alignment horizontal="right"/>
    </xf>
    <xf numFmtId="4" fontId="19" fillId="11" borderId="0" xfId="0" applyNumberFormat="1" applyFont="1" applyFill="1" applyAlignment="1">
      <alignment horizontal="right"/>
    </xf>
    <xf numFmtId="4" fontId="18" fillId="0" borderId="0" xfId="0" applyNumberFormat="1" applyFont="1" applyAlignment="1">
      <alignment horizontal="right"/>
    </xf>
    <xf numFmtId="4" fontId="19" fillId="0" borderId="0" xfId="0" applyNumberFormat="1" applyFont="1" applyAlignment="1">
      <alignment horizontal="right"/>
    </xf>
    <xf numFmtId="164" fontId="18" fillId="0" borderId="4" xfId="0" applyNumberFormat="1" applyFont="1" applyBorder="1" applyAlignment="1">
      <alignment horizontal="center"/>
    </xf>
    <xf numFmtId="4" fontId="18" fillId="0" borderId="4" xfId="0" applyNumberFormat="1" applyFont="1" applyBorder="1" applyAlignment="1">
      <alignment horizontal="right"/>
    </xf>
    <xf numFmtId="4" fontId="19" fillId="0" borderId="4" xfId="0" applyNumberFormat="1" applyFont="1" applyBorder="1" applyAlignment="1">
      <alignment horizontal="right"/>
    </xf>
    <xf numFmtId="164" fontId="18" fillId="0" borderId="3" xfId="0" applyNumberFormat="1" applyFont="1" applyBorder="1" applyAlignment="1">
      <alignment horizontal="center"/>
    </xf>
    <xf numFmtId="0" fontId="0" fillId="0" borderId="3" xfId="0" applyBorder="1"/>
    <xf numFmtId="4" fontId="18" fillId="0" borderId="3" xfId="0" applyNumberFormat="1" applyFont="1" applyBorder="1" applyAlignment="1">
      <alignment horizontal="right"/>
    </xf>
    <xf numFmtId="4" fontId="19" fillId="0" borderId="3" xfId="0" applyNumberFormat="1" applyFont="1" applyBorder="1" applyAlignment="1">
      <alignment horizontal="right"/>
    </xf>
    <xf numFmtId="4" fontId="17" fillId="13" borderId="3" xfId="0" applyNumberFormat="1" applyFont="1" applyFill="1" applyBorder="1" applyAlignment="1">
      <alignment horizontal="right"/>
    </xf>
    <xf numFmtId="0" fontId="21" fillId="0" borderId="4" xfId="0" applyFont="1" applyBorder="1"/>
    <xf numFmtId="0" fontId="20" fillId="0" borderId="4" xfId="0" applyFont="1" applyBorder="1"/>
    <xf numFmtId="4" fontId="0" fillId="0" borderId="4" xfId="0" applyNumberFormat="1" applyBorder="1"/>
    <xf numFmtId="4" fontId="21" fillId="12" borderId="4" xfId="0" applyNumberFormat="1" applyFont="1" applyFill="1" applyBorder="1"/>
    <xf numFmtId="4" fontId="21" fillId="0" borderId="0" xfId="0" applyNumberFormat="1" applyFont="1"/>
    <xf numFmtId="4" fontId="17" fillId="0" borderId="0" xfId="0" applyNumberFormat="1" applyFont="1"/>
    <xf numFmtId="168" fontId="0" fillId="0" borderId="0" xfId="0" applyNumberFormat="1"/>
    <xf numFmtId="0" fontId="17" fillId="0" borderId="4" xfId="0" applyFont="1" applyBorder="1"/>
    <xf numFmtId="0" fontId="17" fillId="0" borderId="0" xfId="0" applyFont="1" applyAlignment="1">
      <alignment horizontal="right"/>
    </xf>
    <xf numFmtId="4" fontId="17" fillId="14" borderId="0" xfId="0" applyNumberFormat="1" applyFont="1" applyFill="1"/>
    <xf numFmtId="4" fontId="17" fillId="0" borderId="4" xfId="0" applyNumberFormat="1" applyFont="1" applyBorder="1"/>
    <xf numFmtId="4" fontId="3" fillId="0" borderId="0" xfId="0" applyNumberFormat="1" applyFont="1"/>
    <xf numFmtId="4" fontId="3" fillId="13" borderId="0" xfId="0" applyNumberFormat="1" applyFont="1" applyFill="1"/>
    <xf numFmtId="0" fontId="3" fillId="0" borderId="3" xfId="0" applyFont="1" applyBorder="1"/>
    <xf numFmtId="166" fontId="0" fillId="0" borderId="0" xfId="0" applyNumberFormat="1"/>
    <xf numFmtId="167" fontId="0" fillId="0" borderId="0" xfId="0" applyNumberFormat="1"/>
    <xf numFmtId="0" fontId="17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7" fillId="14" borderId="4" xfId="0" applyFont="1" applyFill="1" applyBorder="1" applyAlignment="1">
      <alignment horizontal="right"/>
    </xf>
    <xf numFmtId="4" fontId="3" fillId="14" borderId="4" xfId="0" applyNumberFormat="1" applyFont="1" applyFill="1" applyBorder="1"/>
    <xf numFmtId="4" fontId="19" fillId="9" borderId="0" xfId="0" applyNumberFormat="1" applyFont="1" applyFill="1"/>
    <xf numFmtId="4" fontId="22" fillId="0" borderId="0" xfId="0" applyNumberFormat="1" applyFont="1"/>
    <xf numFmtId="0" fontId="23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6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3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3" fillId="0" borderId="11" xfId="0" applyNumberFormat="1" applyFont="1" applyBorder="1"/>
    <xf numFmtId="4" fontId="0" fillId="0" borderId="12" xfId="0" applyNumberFormat="1" applyBorder="1"/>
    <xf numFmtId="0" fontId="3" fillId="0" borderId="11" xfId="0" applyFont="1" applyBorder="1"/>
    <xf numFmtId="4" fontId="0" fillId="0" borderId="11" xfId="0" applyNumberFormat="1" applyBorder="1"/>
    <xf numFmtId="4" fontId="24" fillId="0" borderId="11" xfId="0" applyNumberFormat="1" applyFont="1" applyBorder="1"/>
    <xf numFmtId="4" fontId="26" fillId="0" borderId="0" xfId="0" applyNumberFormat="1" applyFont="1"/>
    <xf numFmtId="0" fontId="0" fillId="0" borderId="11" xfId="0" applyBorder="1"/>
    <xf numFmtId="0" fontId="24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3" fillId="0" borderId="0" xfId="0" applyNumberFormat="1" applyFont="1" applyAlignment="1">
      <alignment horizontal="right"/>
    </xf>
    <xf numFmtId="172" fontId="0" fillId="0" borderId="0" xfId="0" applyNumberFormat="1"/>
    <xf numFmtId="0" fontId="16" fillId="0" borderId="0" xfId="0" applyFont="1"/>
    <xf numFmtId="4" fontId="16" fillId="0" borderId="0" xfId="0" applyNumberFormat="1" applyFont="1" applyAlignment="1">
      <alignment horizontal="right"/>
    </xf>
    <xf numFmtId="166" fontId="3" fillId="0" borderId="0" xfId="0" applyNumberFormat="1" applyFont="1"/>
    <xf numFmtId="164" fontId="29" fillId="0" borderId="4" xfId="0" applyNumberFormat="1" applyFont="1" applyBorder="1" applyAlignment="1">
      <alignment horizontal="center"/>
    </xf>
    <xf numFmtId="0" fontId="17" fillId="0" borderId="0" xfId="0" applyFont="1" applyAlignment="1">
      <alignment horizontal="left"/>
    </xf>
    <xf numFmtId="171" fontId="0" fillId="0" borderId="0" xfId="0" applyNumberFormat="1"/>
    <xf numFmtId="0" fontId="19" fillId="0" borderId="0" xfId="0" applyFont="1" applyAlignment="1">
      <alignment horizontal="left"/>
    </xf>
    <xf numFmtId="16" fontId="0" fillId="0" borderId="0" xfId="0" applyNumberFormat="1"/>
    <xf numFmtId="173" fontId="3" fillId="0" borderId="0" xfId="0" applyNumberFormat="1" applyFont="1"/>
    <xf numFmtId="174" fontId="3" fillId="0" borderId="0" xfId="0" applyNumberFormat="1" applyFont="1"/>
    <xf numFmtId="40" fontId="0" fillId="0" borderId="0" xfId="0" applyNumberFormat="1"/>
    <xf numFmtId="0" fontId="30" fillId="0" borderId="0" xfId="0" applyFont="1"/>
    <xf numFmtId="0" fontId="0" fillId="0" borderId="0" xfId="0" applyAlignment="1">
      <alignment horizontal="center"/>
    </xf>
    <xf numFmtId="0" fontId="31" fillId="0" borderId="0" xfId="0" applyFont="1"/>
    <xf numFmtId="175" fontId="0" fillId="15" borderId="0" xfId="0" applyNumberFormat="1" applyFill="1"/>
    <xf numFmtId="40" fontId="3" fillId="0" borderId="0" xfId="0" applyNumberFormat="1" applyFont="1"/>
    <xf numFmtId="40" fontId="32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2" fillId="0" borderId="0" xfId="0" applyFont="1" applyAlignment="1">
      <alignment horizontal="center"/>
    </xf>
    <xf numFmtId="170" fontId="27" fillId="0" borderId="0" xfId="0" applyNumberFormat="1" applyFont="1" applyAlignment="1">
      <alignment horizontal="center"/>
    </xf>
    <xf numFmtId="176" fontId="0" fillId="0" borderId="0" xfId="0" applyNumberFormat="1"/>
    <xf numFmtId="170" fontId="28" fillId="16" borderId="0" xfId="0" applyNumberFormat="1" applyFont="1" applyFill="1" applyAlignment="1">
      <alignment horizontal="center"/>
    </xf>
    <xf numFmtId="40" fontId="3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4" fillId="0" borderId="0" xfId="0" applyFont="1"/>
    <xf numFmtId="4" fontId="0" fillId="0" borderId="17" xfId="0" applyNumberFormat="1" applyBorder="1"/>
    <xf numFmtId="0" fontId="0" fillId="19" borderId="0" xfId="0" applyFill="1"/>
    <xf numFmtId="0" fontId="3" fillId="19" borderId="0" xfId="0" applyFont="1" applyFill="1"/>
    <xf numFmtId="40" fontId="3" fillId="19" borderId="0" xfId="0" applyNumberFormat="1" applyFont="1" applyFill="1"/>
    <xf numFmtId="174" fontId="3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5" fillId="17" borderId="0" xfId="0" applyNumberFormat="1" applyFont="1" applyFill="1"/>
    <xf numFmtId="40" fontId="36" fillId="20" borderId="0" xfId="0" applyNumberFormat="1" applyFont="1" applyFill="1"/>
    <xf numFmtId="175" fontId="0" fillId="0" borderId="0" xfId="0" applyNumberFormat="1"/>
    <xf numFmtId="174" fontId="3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168" fontId="30" fillId="0" borderId="0" xfId="0" applyNumberFormat="1" applyFont="1"/>
    <xf numFmtId="0" fontId="0" fillId="19" borderId="0" xfId="0" applyFill="1" applyAlignment="1">
      <alignment horizontal="right"/>
    </xf>
    <xf numFmtId="174" fontId="3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168" fontId="33" fillId="16" borderId="0" xfId="0" applyNumberFormat="1" applyFont="1" applyFill="1" applyAlignment="1">
      <alignment horizontal="center"/>
    </xf>
    <xf numFmtId="0" fontId="33" fillId="0" borderId="0" xfId="0" applyFont="1" applyAlignment="1">
      <alignment horizontal="center"/>
    </xf>
    <xf numFmtId="4" fontId="19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4" fillId="0" borderId="0" xfId="0" applyNumberFormat="1" applyFont="1"/>
    <xf numFmtId="0" fontId="38" fillId="0" borderId="0" xfId="0" applyFont="1"/>
    <xf numFmtId="0" fontId="24" fillId="0" borderId="0" xfId="0" applyFont="1"/>
    <xf numFmtId="4" fontId="24" fillId="0" borderId="0" xfId="0" applyNumberFormat="1" applyFont="1"/>
    <xf numFmtId="0" fontId="39" fillId="0" borderId="18" xfId="0" applyFont="1" applyBorder="1"/>
    <xf numFmtId="0" fontId="40" fillId="0" borderId="0" xfId="0" applyFont="1"/>
    <xf numFmtId="166" fontId="41" fillId="14" borderId="18" xfId="0" applyNumberFormat="1" applyFont="1" applyFill="1" applyBorder="1"/>
    <xf numFmtId="0" fontId="41" fillId="14" borderId="0" xfId="0" applyFont="1" applyFill="1"/>
    <xf numFmtId="0" fontId="41" fillId="0" borderId="0" xfId="0" applyFont="1"/>
    <xf numFmtId="4" fontId="42" fillId="0" borderId="0" xfId="0" applyNumberFormat="1" applyFont="1"/>
    <xf numFmtId="0" fontId="24" fillId="28" borderId="0" xfId="0" applyFont="1" applyFill="1"/>
    <xf numFmtId="4" fontId="43" fillId="28" borderId="18" xfId="0" applyNumberFormat="1" applyFont="1" applyFill="1" applyBorder="1"/>
    <xf numFmtId="0" fontId="44" fillId="0" borderId="18" xfId="0" applyFont="1" applyBorder="1"/>
    <xf numFmtId="0" fontId="38" fillId="28" borderId="18" xfId="0" applyFont="1" applyFill="1" applyBorder="1"/>
    <xf numFmtId="0" fontId="24" fillId="28" borderId="18" xfId="0" applyFont="1" applyFill="1" applyBorder="1"/>
    <xf numFmtId="0" fontId="45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8" fillId="0" borderId="2" xfId="0" applyNumberFormat="1" applyFont="1" applyBorder="1" applyAlignment="1">
      <alignment horizontal="center"/>
    </xf>
    <xf numFmtId="178" fontId="18" fillId="0" borderId="0" xfId="0" applyNumberFormat="1" applyFont="1" applyAlignment="1">
      <alignment horizontal="center"/>
    </xf>
    <xf numFmtId="178" fontId="18" fillId="0" borderId="4" xfId="0" applyNumberFormat="1" applyFont="1" applyBorder="1" applyAlignment="1">
      <alignment horizontal="center"/>
    </xf>
    <xf numFmtId="178" fontId="18" fillId="0" borderId="3" xfId="0" applyNumberFormat="1" applyFont="1" applyBorder="1" applyAlignment="1">
      <alignment horizontal="center"/>
    </xf>
    <xf numFmtId="178" fontId="29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5" fillId="0" borderId="0" xfId="0" applyNumberFormat="1" applyFont="1" applyAlignment="1">
      <alignment horizontal="center"/>
    </xf>
    <xf numFmtId="178" fontId="16" fillId="0" borderId="0" xfId="0" applyNumberFormat="1" applyFont="1" applyAlignment="1">
      <alignment horizontal="right"/>
    </xf>
    <xf numFmtId="178" fontId="3" fillId="0" borderId="0" xfId="0" applyNumberFormat="1" applyFont="1" applyAlignment="1">
      <alignment horizontal="right"/>
    </xf>
    <xf numFmtId="178" fontId="3" fillId="0" borderId="0" xfId="0" applyNumberFormat="1" applyFont="1"/>
    <xf numFmtId="40" fontId="37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7" fillId="30" borderId="0" xfId="0" applyNumberFormat="1" applyFont="1" applyFill="1"/>
    <xf numFmtId="0" fontId="3" fillId="23" borderId="0" xfId="0" applyFont="1" applyFill="1"/>
    <xf numFmtId="40" fontId="3" fillId="23" borderId="0" xfId="0" applyNumberFormat="1" applyFont="1" applyFill="1"/>
    <xf numFmtId="0" fontId="3" fillId="22" borderId="0" xfId="0" applyFont="1" applyFill="1"/>
    <xf numFmtId="40" fontId="3" fillId="22" borderId="0" xfId="0" applyNumberFormat="1" applyFont="1" applyFill="1"/>
    <xf numFmtId="4" fontId="37" fillId="31" borderId="0" xfId="0" applyNumberFormat="1" applyFont="1" applyFill="1"/>
    <xf numFmtId="0" fontId="46" fillId="0" borderId="0" xfId="0" applyFont="1"/>
    <xf numFmtId="178" fontId="37" fillId="32" borderId="0" xfId="0" applyNumberFormat="1" applyFont="1" applyFill="1"/>
    <xf numFmtId="0" fontId="37" fillId="32" borderId="0" xfId="0" applyFont="1" applyFill="1"/>
    <xf numFmtId="4" fontId="37" fillId="32" borderId="0" xfId="0" applyNumberFormat="1" applyFont="1" applyFill="1"/>
    <xf numFmtId="4" fontId="48" fillId="33" borderId="0" xfId="0" applyNumberFormat="1" applyFont="1" applyFill="1"/>
    <xf numFmtId="4" fontId="48" fillId="34" borderId="0" xfId="0" applyNumberFormat="1" applyFont="1" applyFill="1" applyAlignment="1">
      <alignment horizontal="right"/>
    </xf>
    <xf numFmtId="4" fontId="48" fillId="35" borderId="0" xfId="0" applyNumberFormat="1" applyFont="1" applyFill="1" applyAlignment="1">
      <alignment horizontal="right"/>
    </xf>
    <xf numFmtId="0" fontId="16" fillId="0" borderId="0" xfId="0" applyFont="1" applyAlignment="1">
      <alignment horizontal="right"/>
    </xf>
    <xf numFmtId="4" fontId="19" fillId="36" borderId="0" xfId="0" applyNumberFormat="1" applyFont="1" applyFill="1"/>
    <xf numFmtId="4" fontId="19" fillId="37" borderId="0" xfId="0" applyNumberFormat="1" applyFont="1" applyFill="1"/>
    <xf numFmtId="4" fontId="19" fillId="38" borderId="0" xfId="0" applyNumberFormat="1" applyFont="1" applyFill="1" applyAlignment="1">
      <alignment horizontal="right"/>
    </xf>
    <xf numFmtId="0" fontId="20" fillId="27" borderId="0" xfId="0" applyFont="1" applyFill="1"/>
    <xf numFmtId="0" fontId="29" fillId="27" borderId="0" xfId="0" applyFont="1" applyFill="1"/>
    <xf numFmtId="0" fontId="3" fillId="27" borderId="0" xfId="0" applyFont="1" applyFill="1"/>
    <xf numFmtId="4" fontId="17" fillId="36" borderId="0" xfId="0" applyNumberFormat="1" applyFont="1" applyFill="1"/>
    <xf numFmtId="164" fontId="50" fillId="0" borderId="0" xfId="0" applyNumberFormat="1" applyFont="1" applyAlignment="1">
      <alignment vertical="center"/>
    </xf>
    <xf numFmtId="164" fontId="51" fillId="0" borderId="0" xfId="0" applyNumberFormat="1" applyFont="1" applyAlignment="1">
      <alignment vertical="center"/>
    </xf>
    <xf numFmtId="179" fontId="50" fillId="0" borderId="0" xfId="0" applyNumberFormat="1" applyFont="1" applyAlignment="1">
      <alignment vertical="center"/>
    </xf>
    <xf numFmtId="10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80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vertical="center"/>
    </xf>
    <xf numFmtId="164" fontId="50" fillId="0" borderId="4" xfId="0" applyNumberFormat="1" applyFont="1" applyBorder="1" applyAlignment="1">
      <alignment vertical="center"/>
    </xf>
    <xf numFmtId="0" fontId="50" fillId="0" borderId="4" xfId="0" applyFont="1" applyBorder="1" applyAlignment="1">
      <alignment vertical="center"/>
    </xf>
    <xf numFmtId="179" fontId="50" fillId="0" borderId="4" xfId="0" applyNumberFormat="1" applyFont="1" applyBorder="1" applyAlignment="1">
      <alignment vertical="center"/>
    </xf>
    <xf numFmtId="10" fontId="50" fillId="0" borderId="4" xfId="0" applyNumberFormat="1" applyFont="1" applyBorder="1" applyAlignment="1">
      <alignment vertical="center"/>
    </xf>
    <xf numFmtId="180" fontId="50" fillId="0" borderId="4" xfId="0" applyNumberFormat="1" applyFont="1" applyBorder="1" applyAlignment="1">
      <alignment vertical="center"/>
    </xf>
    <xf numFmtId="181" fontId="50" fillId="0" borderId="4" xfId="0" applyNumberFormat="1" applyFont="1" applyBorder="1" applyAlignment="1">
      <alignment vertical="center"/>
    </xf>
    <xf numFmtId="164" fontId="52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80" fontId="54" fillId="0" borderId="0" xfId="0" applyNumberFormat="1" applyFont="1" applyAlignment="1">
      <alignment vertical="center"/>
    </xf>
    <xf numFmtId="181" fontId="16" fillId="0" borderId="0" xfId="0" applyNumberFormat="1" applyFont="1" applyAlignment="1">
      <alignment vertical="center"/>
    </xf>
    <xf numFmtId="16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179" fontId="54" fillId="0" borderId="0" xfId="0" applyNumberFormat="1" applyFont="1" applyAlignment="1">
      <alignment vertical="center"/>
    </xf>
    <xf numFmtId="10" fontId="54" fillId="0" borderId="0" xfId="0" applyNumberFormat="1" applyFont="1" applyAlignment="1">
      <alignment vertical="center"/>
    </xf>
    <xf numFmtId="0" fontId="54" fillId="0" borderId="0" xfId="0" applyFont="1" applyAlignment="1">
      <alignment horizontal="right" vertical="center"/>
    </xf>
    <xf numFmtId="180" fontId="54" fillId="0" borderId="0" xfId="0" applyNumberFormat="1" applyFont="1" applyAlignment="1">
      <alignment horizontal="right" vertical="center"/>
    </xf>
    <xf numFmtId="181" fontId="54" fillId="0" borderId="0" xfId="0" applyNumberFormat="1" applyFont="1" applyAlignment="1">
      <alignment horizontal="right" vertical="center"/>
    </xf>
    <xf numFmtId="182" fontId="50" fillId="0" borderId="0" xfId="7" applyNumberFormat="1" applyFont="1"/>
    <xf numFmtId="4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horizontal="right" vertical="center"/>
    </xf>
    <xf numFmtId="179" fontId="50" fillId="32" borderId="0" xfId="0" applyNumberFormat="1" applyFont="1" applyFill="1" applyAlignment="1">
      <alignment vertical="center"/>
    </xf>
    <xf numFmtId="4" fontId="48" fillId="10" borderId="0" xfId="0" applyNumberFormat="1" applyFont="1" applyFill="1" applyAlignment="1">
      <alignment horizontal="right"/>
    </xf>
    <xf numFmtId="2" fontId="55" fillId="0" borderId="19" xfId="20" applyNumberFormat="1" applyFont="1" applyFill="1" applyBorder="1"/>
    <xf numFmtId="2" fontId="55" fillId="0" borderId="19" xfId="20" applyNumberFormat="1" applyFont="1" applyFill="1" applyBorder="1"/>
    <xf numFmtId="175" fontId="0" fillId="39" borderId="0" xfId="0" applyNumberFormat="1" applyFill="1"/>
    <xf numFmtId="0" fontId="0" fillId="39" borderId="0" xfId="0" applyFill="1"/>
    <xf numFmtId="175" fontId="0" fillId="40" borderId="0" xfId="0" applyNumberFormat="1" applyFill="1"/>
    <xf numFmtId="0" fontId="0" fillId="40" borderId="0" xfId="0" applyFill="1"/>
    <xf numFmtId="175" fontId="0" fillId="41" borderId="0" xfId="0" applyNumberFormat="1" applyFill="1"/>
    <xf numFmtId="0" fontId="0" fillId="41" borderId="0" xfId="0" applyFill="1"/>
    <xf numFmtId="0" fontId="3" fillId="41" borderId="0" xfId="0" applyFont="1" applyFill="1"/>
    <xf numFmtId="0" fontId="3" fillId="40" borderId="0" xfId="0" applyFont="1" applyFill="1"/>
    <xf numFmtId="40" fontId="0" fillId="42" borderId="0" xfId="0" applyNumberFormat="1" applyFill="1"/>
    <xf numFmtId="40" fontId="0" fillId="43" borderId="0" xfId="0" applyNumberFormat="1" applyFill="1"/>
    <xf numFmtId="40" fontId="3" fillId="42" borderId="0" xfId="0" applyNumberFormat="1" applyFont="1" applyFill="1"/>
    <xf numFmtId="40" fontId="37" fillId="44" borderId="0" xfId="0" applyNumberFormat="1" applyFont="1" applyFill="1"/>
    <xf numFmtId="40" fontId="3" fillId="43" borderId="0" xfId="0" applyNumberFormat="1" applyFont="1" applyFill="1"/>
    <xf numFmtId="174" fontId="3" fillId="0" borderId="20" xfId="0" applyNumberFormat="1" applyFont="1" applyBorder="1"/>
    <xf numFmtId="171" fontId="3" fillId="0" borderId="21" xfId="0" applyNumberFormat="1" applyFont="1" applyBorder="1" applyAlignment="1">
      <alignment horizontal="right"/>
    </xf>
    <xf numFmtId="174" fontId="3" fillId="21" borderId="22" xfId="0" applyNumberFormat="1" applyFont="1" applyFill="1" applyBorder="1"/>
    <xf numFmtId="0" fontId="3" fillId="0" borderId="20" xfId="0" applyFont="1" applyBorder="1"/>
    <xf numFmtId="171" fontId="3" fillId="0" borderId="22" xfId="0" applyNumberFormat="1" applyFont="1" applyBorder="1"/>
    <xf numFmtId="40" fontId="3" fillId="18" borderId="0" xfId="0" applyNumberFormat="1" applyFont="1" applyFill="1"/>
  </cellXfs>
  <cellStyles count="22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rmal 2" xfId="21" xr:uid="{0C4B450B-2E42-45E7-88E9-149834F883CB}"/>
    <cellStyle name="Normal 3" xfId="20" xr:uid="{987A8240-C803-4F59-AF25-39925FA1612F}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D5396B-AF3B-4E02-B816-7FFFC3CDB203}" name="Tablo142" displayName="Tablo142" ref="A24:H40" totalsRowShown="0">
  <autoFilter ref="A24:H40" xr:uid="{2302621F-B3C3-4429-8379-CD484CA39087}"/>
  <tableColumns count="8">
    <tableColumn id="1" xr3:uid="{411BB1D6-998E-4B35-80A9-FDD140F71C9B}" name="Tarih"/>
    <tableColumn id="2" xr3:uid="{279E89D5-CF7B-4AA4-8F3F-A2F7799804F3}" name="Açıklama"/>
    <tableColumn id="3" xr3:uid="{7B6F3018-A9BB-490E-873E-D93844513DCF}" name="snyA-H"/>
    <tableColumn id="4" xr3:uid="{FA32F072-E2EA-46AC-B242-F6C7256D57BC}" name="Oran %"/>
    <tableColumn id="5" xr3:uid="{D9E41724-8CD4-47D3-8C33-64A9C6B329F5}" name="Oran TL Tutar"/>
    <tableColumn id="6" xr3:uid="{ABC94480-EC81-475F-9675-83716669439E}" name="Ödendi"/>
    <tableColumn id="7" xr3:uid="{DA0E4B3E-9561-4A95-BB81-1101733DF7BB}" name="Oran TL"/>
    <tableColumn id="8" xr3:uid="{92FAC635-681E-4D15-B288-C760EFC78F48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4:H40" totalsRowShown="0">
  <autoFilter ref="A24:H40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9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162230</v>
      </c>
      <c r="D10" s="3">
        <f>'SnyC301-22'!F4</f>
        <v>135000</v>
      </c>
      <c r="E10" s="4">
        <f t="shared" si="0"/>
        <v>27230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-77.09</v>
      </c>
      <c r="D14" s="4">
        <f>C14</f>
        <v>-77.09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882371.44578899362</v>
      </c>
      <c r="D16" s="6">
        <f>SUM(D8:D14)</f>
        <v>489840.43</v>
      </c>
      <c r="E16" s="6">
        <f>SUM(E8:E14)</f>
        <v>392531.01578899368</v>
      </c>
      <c r="F16" s="6">
        <f>SUM(F8:F14)</f>
        <v>-10124.300000000001</v>
      </c>
    </row>
    <row r="18" spans="1:6">
      <c r="D18" s="90"/>
    </row>
    <row r="19" spans="1:6" ht="15.75">
      <c r="A19" s="139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344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343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topLeftCell="A2" zoomScale="205" zoomScaleNormal="205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315</v>
      </c>
      <c r="E9" s="24">
        <v>45000</v>
      </c>
      <c r="F9" s="25"/>
      <c r="G9" s="3">
        <f>E9-F9</f>
        <v>45000</v>
      </c>
    </row>
    <row r="10" spans="1:7">
      <c r="B10" s="14" t="s">
        <v>316</v>
      </c>
      <c r="E10" s="24"/>
      <c r="F10" s="25"/>
      <c r="G10" s="3">
        <f t="shared" ref="G10:G20" si="0">E10-F10+G9</f>
        <v>45000</v>
      </c>
    </row>
    <row r="11" spans="1:7">
      <c r="E11" s="24"/>
      <c r="F11" s="25"/>
      <c r="G11" s="3">
        <f t="shared" si="0"/>
        <v>45000</v>
      </c>
    </row>
    <row r="12" spans="1:7">
      <c r="E12" s="24"/>
      <c r="F12" s="25"/>
      <c r="G12" s="3">
        <f t="shared" si="0"/>
        <v>45000</v>
      </c>
    </row>
    <row r="13" spans="1:7">
      <c r="E13" s="24"/>
      <c r="F13" s="25"/>
      <c r="G13" s="3">
        <f t="shared" si="0"/>
        <v>45000</v>
      </c>
    </row>
    <row r="14" spans="1:7">
      <c r="A14" s="26"/>
      <c r="E14" s="27"/>
      <c r="F14" s="28"/>
      <c r="G14" s="3">
        <f t="shared" si="0"/>
        <v>45000</v>
      </c>
    </row>
    <row r="15" spans="1:7">
      <c r="A15" s="26"/>
      <c r="E15" s="27"/>
      <c r="F15" s="28"/>
      <c r="G15" s="3">
        <f t="shared" si="0"/>
        <v>45000</v>
      </c>
    </row>
    <row r="16" spans="1:7">
      <c r="A16" s="26"/>
      <c r="E16" s="27"/>
      <c r="F16" s="28"/>
      <c r="G16" s="3">
        <f t="shared" si="0"/>
        <v>45000</v>
      </c>
    </row>
    <row r="17" spans="1:7">
      <c r="A17" s="26"/>
      <c r="E17" s="27"/>
      <c r="F17" s="28"/>
      <c r="G17" s="3">
        <f t="shared" si="0"/>
        <v>45000</v>
      </c>
    </row>
    <row r="18" spans="1:7">
      <c r="A18" s="26"/>
      <c r="E18" s="27"/>
      <c r="F18" s="28"/>
      <c r="G18" s="3">
        <f t="shared" si="0"/>
        <v>45000</v>
      </c>
    </row>
    <row r="19" spans="1:7">
      <c r="A19" s="26"/>
      <c r="E19" s="27"/>
      <c r="F19" s="28"/>
      <c r="G19" s="3">
        <f t="shared" si="0"/>
        <v>45000</v>
      </c>
    </row>
    <row r="20" spans="1:7">
      <c r="A20" s="26"/>
      <c r="E20" s="27"/>
      <c r="F20" s="28"/>
      <c r="G20" s="29">
        <f t="shared" si="0"/>
        <v>45000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31</v>
      </c>
      <c r="B23" s="21" t="s">
        <v>261</v>
      </c>
      <c r="C23" s="21"/>
      <c r="D23" s="21" t="s">
        <v>266</v>
      </c>
      <c r="E23" s="33" t="s">
        <v>34</v>
      </c>
      <c r="F23" s="34"/>
      <c r="G23" s="34" t="s">
        <v>269</v>
      </c>
    </row>
    <row r="24" spans="1:7">
      <c r="A24" s="26">
        <v>44927</v>
      </c>
      <c r="B24" t="s">
        <v>35</v>
      </c>
      <c r="D24">
        <v>2137.3000000000002</v>
      </c>
      <c r="E24" s="30"/>
      <c r="F24" s="31"/>
      <c r="G24" s="31">
        <v>0</v>
      </c>
    </row>
    <row r="25" spans="1:7">
      <c r="A25" s="26" t="s">
        <v>274</v>
      </c>
      <c r="B25" t="s">
        <v>317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275</v>
      </c>
      <c r="B26" t="s">
        <v>318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276</v>
      </c>
      <c r="B27" t="s">
        <v>348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319</v>
      </c>
      <c r="E28" s="31"/>
      <c r="F28" s="31"/>
      <c r="G28" s="31">
        <f t="shared" si="1"/>
        <v>0</v>
      </c>
    </row>
    <row r="29" spans="1:7">
      <c r="A29" s="26" t="s">
        <v>320</v>
      </c>
      <c r="E29" s="31"/>
      <c r="F29" s="31"/>
      <c r="G29" s="31">
        <f t="shared" si="1"/>
        <v>0</v>
      </c>
    </row>
    <row r="30" spans="1:7">
      <c r="A30" s="26" t="s">
        <v>279</v>
      </c>
      <c r="E30" s="31"/>
      <c r="F30" s="31"/>
      <c r="G30" s="31">
        <f t="shared" si="1"/>
        <v>0</v>
      </c>
    </row>
    <row r="31" spans="1:7">
      <c r="A31" s="26" t="s">
        <v>280</v>
      </c>
      <c r="E31" s="31"/>
      <c r="F31" s="31"/>
      <c r="G31" s="31">
        <f t="shared" si="1"/>
        <v>0</v>
      </c>
    </row>
    <row r="32" spans="1:7">
      <c r="A32" s="26" t="s">
        <v>281</v>
      </c>
      <c r="E32" s="31"/>
      <c r="F32" s="31"/>
      <c r="G32" s="31">
        <f t="shared" si="1"/>
        <v>0</v>
      </c>
    </row>
    <row r="33" spans="1:8">
      <c r="A33" s="26" t="s">
        <v>262</v>
      </c>
      <c r="E33" s="30"/>
      <c r="F33" s="31"/>
      <c r="G33" s="31">
        <f t="shared" si="1"/>
        <v>0</v>
      </c>
    </row>
    <row r="34" spans="1:8">
      <c r="A34" s="26" t="s">
        <v>263</v>
      </c>
      <c r="E34" s="30"/>
      <c r="F34" s="31"/>
      <c r="G34" s="31">
        <f t="shared" si="1"/>
        <v>0</v>
      </c>
    </row>
    <row r="35" spans="1:8">
      <c r="A35" s="26" t="s">
        <v>264</v>
      </c>
      <c r="E35" s="30"/>
      <c r="F35" s="31"/>
      <c r="G35" s="31">
        <f t="shared" si="1"/>
        <v>0</v>
      </c>
    </row>
    <row r="36" spans="1:8">
      <c r="A36" s="32" t="s">
        <v>265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35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258</v>
      </c>
      <c r="B40" s="40" t="s">
        <v>168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43</v>
      </c>
      <c r="D46" s="30"/>
      <c r="E46" s="30"/>
      <c r="F46" s="30"/>
      <c r="G46" s="3"/>
      <c r="H46" s="3"/>
    </row>
    <row r="47" spans="1:8">
      <c r="A47" s="26"/>
      <c r="B47" t="s">
        <v>44</v>
      </c>
      <c r="D47" s="30"/>
      <c r="E47" s="30"/>
      <c r="F47" s="30"/>
      <c r="G47" s="3"/>
      <c r="H47" s="3"/>
    </row>
    <row r="48" spans="1:8">
      <c r="A48" s="26"/>
      <c r="B48" t="s">
        <v>45</v>
      </c>
      <c r="D48" s="30"/>
      <c r="E48" s="30"/>
      <c r="F48" s="30"/>
      <c r="G48" s="3"/>
      <c r="H48" s="3"/>
    </row>
    <row r="49" spans="1:8">
      <c r="A49" s="26">
        <v>45170</v>
      </c>
      <c r="B49" t="s">
        <v>46</v>
      </c>
      <c r="D49" s="30"/>
      <c r="E49" s="30"/>
      <c r="F49" s="30"/>
      <c r="G49" s="3"/>
      <c r="H49" s="3"/>
    </row>
    <row r="50" spans="1:8">
      <c r="A50" s="26">
        <v>45174</v>
      </c>
      <c r="B50" t="s">
        <v>47</v>
      </c>
      <c r="D50" s="30"/>
      <c r="E50" s="30"/>
      <c r="F50" s="30"/>
      <c r="G50" s="3"/>
      <c r="H50" s="3"/>
    </row>
    <row r="51" spans="1:8">
      <c r="A51" s="26"/>
      <c r="B51" t="s">
        <v>48</v>
      </c>
      <c r="D51" s="30"/>
      <c r="E51" s="30"/>
      <c r="F51" s="30"/>
      <c r="G51" s="3"/>
      <c r="H51" s="3"/>
    </row>
    <row r="52" spans="1:8">
      <c r="A52" s="26"/>
      <c r="B52" t="s">
        <v>49</v>
      </c>
      <c r="D52" s="30"/>
      <c r="E52" s="30"/>
      <c r="F52" s="30"/>
      <c r="G52" s="3"/>
      <c r="H52" s="3"/>
    </row>
    <row r="53" spans="1:8">
      <c r="A53" s="26"/>
      <c r="B53" t="s">
        <v>50</v>
      </c>
      <c r="D53" s="30"/>
      <c r="E53" s="30"/>
      <c r="F53" s="30"/>
      <c r="G53" s="3"/>
      <c r="H53" s="3"/>
    </row>
    <row r="54" spans="1:8">
      <c r="A54" s="26"/>
      <c r="B54" t="s">
        <v>51</v>
      </c>
      <c r="D54" s="30"/>
      <c r="E54" s="30"/>
      <c r="F54" s="30"/>
      <c r="G54" s="3"/>
      <c r="H54" s="3"/>
    </row>
    <row r="55" spans="1:8">
      <c r="A55" s="26"/>
      <c r="B55" t="s">
        <v>52</v>
      </c>
      <c r="D55" s="30"/>
      <c r="E55" s="30"/>
      <c r="F55" s="30"/>
      <c r="G55" s="3"/>
      <c r="H55" s="3"/>
    </row>
    <row r="56" spans="1:8">
      <c r="A56" s="26"/>
      <c r="B56" t="s">
        <v>53</v>
      </c>
      <c r="D56" s="30"/>
      <c r="E56" s="30"/>
      <c r="F56" s="30"/>
      <c r="G56" s="3"/>
      <c r="H56" s="3"/>
    </row>
    <row r="57" spans="1:8">
      <c r="A57" s="26">
        <v>45196</v>
      </c>
      <c r="B57" t="s">
        <v>260</v>
      </c>
      <c r="D57" s="30"/>
      <c r="E57" s="30"/>
      <c r="F57" s="30"/>
      <c r="G57" s="3"/>
      <c r="H57" s="3"/>
    </row>
    <row r="58" spans="1:8">
      <c r="A58" s="26"/>
      <c r="B58" t="s">
        <v>54</v>
      </c>
      <c r="D58" s="30"/>
      <c r="E58" s="30"/>
      <c r="F58" s="30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55</v>
      </c>
      <c r="C66" s="8"/>
      <c r="D66" s="45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57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58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59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60</v>
      </c>
      <c r="C74" s="33"/>
      <c r="D74" s="50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45"/>
      <c r="G85" s="3"/>
      <c r="H85" s="3"/>
    </row>
    <row r="86" spans="1:8">
      <c r="B86" s="1" t="s">
        <v>68</v>
      </c>
      <c r="C86" s="1"/>
      <c r="D86" s="3"/>
      <c r="F86" s="45"/>
      <c r="G86" s="3"/>
      <c r="H86" s="3"/>
    </row>
    <row r="87" spans="1:8">
      <c r="B87" s="8" t="s">
        <v>69</v>
      </c>
      <c r="C87" s="8"/>
      <c r="F87" s="45"/>
      <c r="G87" s="3"/>
      <c r="H87" s="3"/>
    </row>
    <row r="88" spans="1:8">
      <c r="B88" t="s">
        <v>70</v>
      </c>
      <c r="F88" s="45"/>
      <c r="G88" s="3"/>
      <c r="H88" s="3"/>
    </row>
    <row r="89" spans="1:8">
      <c r="B89" s="8" t="s">
        <v>71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45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4" t="s">
        <v>5</v>
      </c>
      <c r="D6" s="19">
        <f>F37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170000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7">
        <v>45291</v>
      </c>
      <c r="B9" t="s">
        <v>321</v>
      </c>
      <c r="D9" s="24"/>
      <c r="E9" s="25"/>
      <c r="F9" s="3">
        <f>D9-E9</f>
        <v>0</v>
      </c>
    </row>
    <row r="10" spans="1:8">
      <c r="B10" s="14" t="s">
        <v>322</v>
      </c>
      <c r="D10" s="24"/>
      <c r="E10" s="25"/>
      <c r="F10" s="3">
        <f t="shared" ref="F10:F20" si="0">D10-E10+F9</f>
        <v>0</v>
      </c>
    </row>
    <row r="11" spans="1:8">
      <c r="B11" t="s">
        <v>323</v>
      </c>
      <c r="D11" s="24"/>
      <c r="E11" s="25"/>
      <c r="F11" s="3">
        <f t="shared" si="0"/>
        <v>0</v>
      </c>
    </row>
    <row r="12" spans="1:8">
      <c r="A12" s="7">
        <v>45295</v>
      </c>
      <c r="B12" s="91" t="s">
        <v>324</v>
      </c>
      <c r="D12" s="24"/>
      <c r="E12" s="25"/>
      <c r="F12" s="3">
        <f t="shared" si="0"/>
        <v>0</v>
      </c>
    </row>
    <row r="13" spans="1:8">
      <c r="A13" s="7">
        <v>45295</v>
      </c>
      <c r="B13">
        <v>11402</v>
      </c>
      <c r="C13">
        <v>16</v>
      </c>
      <c r="D13" s="24">
        <f>C13*B13</f>
        <v>182432</v>
      </c>
      <c r="E13" s="25"/>
      <c r="F13" s="3">
        <f t="shared" si="0"/>
        <v>182432</v>
      </c>
    </row>
    <row r="14" spans="1:8">
      <c r="A14" s="26">
        <v>45295</v>
      </c>
      <c r="B14" s="14" t="s">
        <v>325</v>
      </c>
      <c r="D14" s="27">
        <v>-12432</v>
      </c>
      <c r="E14" s="28"/>
      <c r="F14" s="3">
        <f t="shared" si="0"/>
        <v>170000</v>
      </c>
    </row>
    <row r="15" spans="1:8">
      <c r="A15" s="26">
        <v>45295</v>
      </c>
      <c r="B15" t="s">
        <v>326</v>
      </c>
      <c r="D15" s="27"/>
      <c r="E15" s="28">
        <v>120000</v>
      </c>
      <c r="F15" s="3">
        <f t="shared" si="0"/>
        <v>50000</v>
      </c>
    </row>
    <row r="16" spans="1:8">
      <c r="A16" s="26">
        <v>45296</v>
      </c>
      <c r="B16" t="s">
        <v>326</v>
      </c>
      <c r="D16" s="27"/>
      <c r="E16" s="28">
        <v>26000</v>
      </c>
      <c r="F16" s="3">
        <f t="shared" si="0"/>
        <v>24000</v>
      </c>
    </row>
    <row r="17" spans="1:7">
      <c r="A17" s="26">
        <v>45299</v>
      </c>
      <c r="B17" t="s">
        <v>327</v>
      </c>
      <c r="D17" s="27"/>
      <c r="E17" s="28">
        <v>24000</v>
      </c>
      <c r="F17" s="3">
        <f t="shared" si="0"/>
        <v>0</v>
      </c>
    </row>
    <row r="18" spans="1:7">
      <c r="A18" s="26"/>
      <c r="D18" s="27"/>
      <c r="E18" s="28"/>
      <c r="F18" s="3">
        <f t="shared" si="0"/>
        <v>0</v>
      </c>
    </row>
    <row r="19" spans="1:7">
      <c r="A19" s="26"/>
      <c r="D19" s="27"/>
      <c r="E19" s="28"/>
      <c r="F19" s="3">
        <f t="shared" si="0"/>
        <v>0</v>
      </c>
    </row>
    <row r="20" spans="1:7">
      <c r="A20" s="26"/>
      <c r="D20" s="27"/>
      <c r="E20" s="28"/>
      <c r="F20" s="29">
        <f t="shared" si="0"/>
        <v>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>
        <v>1600</v>
      </c>
    </row>
    <row r="24" spans="1:7">
      <c r="A24" s="26"/>
      <c r="B24" t="s">
        <v>35</v>
      </c>
      <c r="D24" s="30"/>
      <c r="E24" s="31"/>
      <c r="F24" s="31">
        <v>-1000.12</v>
      </c>
    </row>
    <row r="25" spans="1:7">
      <c r="A25" s="26"/>
      <c r="B25" t="s">
        <v>88</v>
      </c>
      <c r="C25">
        <v>0</v>
      </c>
      <c r="D25" s="31">
        <v>900.36</v>
      </c>
      <c r="E25" s="31">
        <v>999.4</v>
      </c>
      <c r="F25" s="31">
        <f t="shared" ref="F25:F36" si="1">D25-E25+F24</f>
        <v>-1099.1599999999999</v>
      </c>
      <c r="G25" s="3"/>
    </row>
    <row r="26" spans="1:7">
      <c r="A26" s="26"/>
      <c r="B26" t="s">
        <v>36</v>
      </c>
      <c r="C26">
        <v>0</v>
      </c>
      <c r="D26" s="31">
        <v>841.46</v>
      </c>
      <c r="E26" s="31">
        <v>967.88</v>
      </c>
      <c r="F26" s="31">
        <f t="shared" si="1"/>
        <v>-1225.58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-1225.58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-1225.58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-1225.58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-1225.58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-1225.58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-1225.58</v>
      </c>
      <c r="G32" s="3"/>
    </row>
    <row r="33" spans="1:8">
      <c r="A33" s="26"/>
      <c r="B33" t="s">
        <v>92</v>
      </c>
      <c r="D33" s="30"/>
      <c r="E33" s="31"/>
      <c r="F33" s="31">
        <f t="shared" si="1"/>
        <v>-1225.58</v>
      </c>
      <c r="G33" s="3"/>
    </row>
    <row r="34" spans="1:8">
      <c r="A34" s="26"/>
      <c r="B34" t="s">
        <v>40</v>
      </c>
      <c r="D34" s="30"/>
      <c r="E34" s="31"/>
      <c r="F34" s="31">
        <f t="shared" si="1"/>
        <v>-1225.58</v>
      </c>
      <c r="G34" s="3"/>
    </row>
    <row r="35" spans="1:8">
      <c r="A35" s="26"/>
      <c r="B35" t="s">
        <v>41</v>
      </c>
      <c r="D35" s="30"/>
      <c r="E35" s="31"/>
      <c r="F35" s="31">
        <f t="shared" si="1"/>
        <v>-1225.58</v>
      </c>
      <c r="G35" s="3"/>
    </row>
    <row r="36" spans="1:8">
      <c r="A36" s="32"/>
      <c r="B36" s="21" t="s">
        <v>42</v>
      </c>
      <c r="C36" s="21"/>
      <c r="D36" s="33"/>
      <c r="E36" s="34"/>
      <c r="F36" s="34">
        <f t="shared" si="1"/>
        <v>-1225.58</v>
      </c>
      <c r="G36" s="3"/>
    </row>
    <row r="37" spans="1:8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-1225.58</v>
      </c>
    </row>
    <row r="38" spans="1:8">
      <c r="A38" s="26"/>
      <c r="D38" s="30"/>
      <c r="E38" s="30"/>
      <c r="F38" s="30" t="s">
        <v>273</v>
      </c>
    </row>
    <row r="39" spans="1:8">
      <c r="D39" s="3"/>
      <c r="F39" s="3"/>
    </row>
    <row r="40" spans="1:8">
      <c r="A40" s="88" t="s">
        <v>257</v>
      </c>
      <c r="B40" s="40" t="s">
        <v>168</v>
      </c>
      <c r="C40" s="40"/>
      <c r="D40" s="41"/>
      <c r="E40" s="42"/>
      <c r="F40" s="43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44"/>
    </row>
    <row r="45" spans="1:8">
      <c r="B45" s="3"/>
      <c r="C45" s="3"/>
      <c r="D45" s="8"/>
      <c r="F45" s="45"/>
    </row>
    <row r="46" spans="1:8">
      <c r="B46" t="s">
        <v>328</v>
      </c>
      <c r="C46" s="3"/>
      <c r="D46" s="8"/>
      <c r="F46" s="45"/>
    </row>
    <row r="47" spans="1:8">
      <c r="B47" t="s">
        <v>330</v>
      </c>
      <c r="C47" s="3"/>
      <c r="D47" s="8"/>
      <c r="F47" s="8"/>
      <c r="G47" s="46"/>
      <c r="H47" s="51"/>
    </row>
    <row r="48" spans="1:8">
      <c r="B48" s="115" t="s">
        <v>329</v>
      </c>
      <c r="C48" s="115"/>
      <c r="D48" s="115">
        <v>170000</v>
      </c>
      <c r="F48" s="8"/>
      <c r="G48" s="46"/>
      <c r="H48" s="51"/>
    </row>
    <row r="49" spans="2:8">
      <c r="B49" s="3"/>
      <c r="C49" s="3"/>
      <c r="D49" s="3"/>
      <c r="F49" s="8"/>
      <c r="G49" s="46"/>
      <c r="H49" s="51"/>
    </row>
    <row r="50" spans="2:8">
      <c r="B50" t="s">
        <v>93</v>
      </c>
      <c r="D50" s="3"/>
      <c r="F50" s="8"/>
      <c r="G50" s="46"/>
      <c r="H50" s="51"/>
    </row>
    <row r="51" spans="2:8">
      <c r="B51" t="s">
        <v>94</v>
      </c>
      <c r="C51" s="3"/>
      <c r="D51" s="3"/>
      <c r="F51" s="8"/>
      <c r="G51" s="46"/>
      <c r="H51" s="51"/>
    </row>
    <row r="52" spans="2:8">
      <c r="B52" s="42" t="s">
        <v>271</v>
      </c>
      <c r="C52" s="42"/>
      <c r="D52" s="42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45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45"/>
      <c r="G67" s="3"/>
      <c r="H67" s="3"/>
    </row>
    <row r="68" spans="2:8">
      <c r="B68" s="1"/>
      <c r="C68" s="1"/>
      <c r="D68" s="3"/>
      <c r="F68" s="45"/>
      <c r="G68" s="3"/>
      <c r="H68" s="3"/>
    </row>
    <row r="69" spans="2:8">
      <c r="B69" s="8"/>
      <c r="C69" s="8"/>
      <c r="F69" s="45"/>
      <c r="G69" s="3"/>
      <c r="H69" s="3"/>
    </row>
    <row r="70" spans="2:8">
      <c r="F70" s="45"/>
      <c r="G70" s="3"/>
      <c r="H70" s="3"/>
    </row>
    <row r="71" spans="2:8">
      <c r="B71" s="8"/>
      <c r="C71" s="8"/>
      <c r="E71"/>
      <c r="F71" s="45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4"/>
  <sheetViews>
    <sheetView topLeftCell="A30" zoomScale="160" zoomScaleNormal="160" workbookViewId="0">
      <selection activeCell="G7" sqref="G7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45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350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SUM(E9:E21)</f>
        <v>162230</v>
      </c>
      <c r="F4" s="16">
        <f>SUM(F9:F21)</f>
        <v>135000</v>
      </c>
      <c r="G4" s="17">
        <f>G21</f>
        <v>27230</v>
      </c>
    </row>
    <row r="5" spans="1:7">
      <c r="A5" s="7"/>
      <c r="B5" s="14" t="s">
        <v>27</v>
      </c>
      <c r="C5" s="14"/>
      <c r="D5" s="14"/>
      <c r="E5" s="18">
        <f>G53</f>
        <v>0</v>
      </c>
      <c r="G5"/>
    </row>
    <row r="6" spans="1:7">
      <c r="A6" s="7"/>
      <c r="B6" s="14" t="s">
        <v>5</v>
      </c>
      <c r="C6" s="14"/>
      <c r="D6"/>
      <c r="E6" s="52">
        <f>G50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135000</v>
      </c>
    </row>
    <row r="8" spans="1:7">
      <c r="A8" s="7"/>
      <c r="B8" t="s">
        <v>331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41"/>
      <c r="C10" s="46"/>
      <c r="D10" s="3">
        <f>C10*E9</f>
        <v>0</v>
      </c>
      <c r="E10" s="140">
        <f>D10+E9</f>
        <v>0</v>
      </c>
      <c r="F10" s="25"/>
      <c r="G10" s="3">
        <f t="shared" ref="G10:G21" si="0">E10-F10+G9</f>
        <v>0</v>
      </c>
    </row>
    <row r="11" spans="1:7">
      <c r="A11" s="7"/>
      <c r="B11" s="3" t="s">
        <v>265</v>
      </c>
      <c r="C11"/>
      <c r="D11"/>
      <c r="E11" s="24">
        <v>20000</v>
      </c>
      <c r="F11" s="25"/>
      <c r="G11" s="3">
        <f>E11-F11+G10</f>
        <v>20000</v>
      </c>
    </row>
    <row r="12" spans="1:7">
      <c r="A12" s="7"/>
      <c r="B12" s="3" t="s">
        <v>351</v>
      </c>
      <c r="C12"/>
      <c r="D12"/>
      <c r="E12" s="24"/>
      <c r="F12" s="25">
        <v>135000</v>
      </c>
      <c r="G12" s="3">
        <f t="shared" si="0"/>
        <v>-115000</v>
      </c>
    </row>
    <row r="13" spans="1:7">
      <c r="A13" s="32" t="s">
        <v>388</v>
      </c>
      <c r="B13" s="141">
        <v>45292</v>
      </c>
      <c r="C13" s="46"/>
      <c r="D13" s="3">
        <f>C13*E11</f>
        <v>0</v>
      </c>
      <c r="E13" s="140">
        <f>D13+E11</f>
        <v>20000</v>
      </c>
      <c r="F13" s="25"/>
      <c r="G13" s="3">
        <f t="shared" si="0"/>
        <v>-95000</v>
      </c>
    </row>
    <row r="14" spans="1:7">
      <c r="A14" s="7"/>
      <c r="B14" t="s">
        <v>275</v>
      </c>
      <c r="C14" s="46"/>
      <c r="D14" s="3">
        <f t="shared" ref="D14:D19" si="1">C14*E13</f>
        <v>0</v>
      </c>
      <c r="E14" s="140">
        <f t="shared" ref="E14:E19" si="2">D14+E13</f>
        <v>20000</v>
      </c>
      <c r="F14" s="25"/>
      <c r="G14" s="3">
        <f t="shared" si="0"/>
        <v>-75000</v>
      </c>
    </row>
    <row r="15" spans="1:7">
      <c r="A15" s="26"/>
      <c r="B15" t="s">
        <v>276</v>
      </c>
      <c r="C15" s="46"/>
      <c r="D15" s="3">
        <f t="shared" si="1"/>
        <v>0</v>
      </c>
      <c r="E15" s="140">
        <f t="shared" si="2"/>
        <v>20000</v>
      </c>
      <c r="F15" s="25"/>
      <c r="G15" s="3">
        <f t="shared" si="0"/>
        <v>-55000</v>
      </c>
    </row>
    <row r="16" spans="1:7">
      <c r="A16" s="26"/>
      <c r="B16" t="s">
        <v>319</v>
      </c>
      <c r="C16" s="46"/>
      <c r="D16" s="3">
        <f t="shared" si="1"/>
        <v>0</v>
      </c>
      <c r="E16" s="140">
        <f t="shared" si="2"/>
        <v>20000</v>
      </c>
      <c r="F16" s="25"/>
      <c r="G16" s="3">
        <f t="shared" si="0"/>
        <v>-35000</v>
      </c>
    </row>
    <row r="17" spans="1:7">
      <c r="A17" s="26"/>
      <c r="B17" t="s">
        <v>320</v>
      </c>
      <c r="C17" s="46"/>
      <c r="D17" s="3">
        <f t="shared" si="1"/>
        <v>0</v>
      </c>
      <c r="E17" s="140">
        <f t="shared" si="2"/>
        <v>20000</v>
      </c>
      <c r="F17" s="28"/>
      <c r="G17" s="3">
        <f t="shared" si="0"/>
        <v>-15000</v>
      </c>
    </row>
    <row r="18" spans="1:7">
      <c r="A18" s="26"/>
      <c r="B18" t="s">
        <v>279</v>
      </c>
      <c r="C18" s="46">
        <v>0.03</v>
      </c>
      <c r="D18" s="3">
        <f t="shared" si="1"/>
        <v>600</v>
      </c>
      <c r="E18" s="140">
        <f t="shared" si="2"/>
        <v>20600</v>
      </c>
      <c r="F18" s="28"/>
      <c r="G18" s="3">
        <f t="shared" si="0"/>
        <v>5600</v>
      </c>
    </row>
    <row r="19" spans="1:7">
      <c r="A19" s="26"/>
      <c r="B19" t="s">
        <v>280</v>
      </c>
      <c r="C19" s="46">
        <v>0.05</v>
      </c>
      <c r="D19" s="3">
        <f t="shared" si="1"/>
        <v>1030</v>
      </c>
      <c r="E19" s="140">
        <f t="shared" si="2"/>
        <v>21630</v>
      </c>
      <c r="F19" s="28"/>
      <c r="G19" s="3">
        <f t="shared" si="0"/>
        <v>27230</v>
      </c>
    </row>
    <row r="20" spans="1:7">
      <c r="A20" s="26"/>
      <c r="B20" t="s">
        <v>281</v>
      </c>
      <c r="C20"/>
      <c r="D20"/>
      <c r="E20" s="27"/>
      <c r="F20" s="28"/>
      <c r="G20" s="3">
        <f t="shared" si="0"/>
        <v>27230</v>
      </c>
    </row>
    <row r="21" spans="1:7">
      <c r="A21" s="26"/>
      <c r="B21" t="s">
        <v>262</v>
      </c>
      <c r="C21"/>
      <c r="D21"/>
      <c r="E21" s="27"/>
      <c r="F21" s="28"/>
      <c r="G21" s="3">
        <f t="shared" si="0"/>
        <v>27230</v>
      </c>
    </row>
    <row r="22" spans="1:7">
      <c r="A22" s="26"/>
      <c r="B22" t="s">
        <v>263</v>
      </c>
      <c r="C22"/>
      <c r="D22"/>
      <c r="E22" s="30"/>
      <c r="F22" s="31"/>
      <c r="G22" s="31"/>
    </row>
    <row r="23" spans="1:7">
      <c r="A23" s="26"/>
      <c r="B23" t="s">
        <v>264</v>
      </c>
      <c r="C23"/>
      <c r="D23"/>
      <c r="E23" s="30"/>
      <c r="F23" s="31"/>
      <c r="G23" s="31"/>
    </row>
    <row r="24" spans="1:7">
      <c r="A24" s="26"/>
      <c r="B24" t="s">
        <v>265</v>
      </c>
      <c r="C24"/>
      <c r="D24"/>
      <c r="E24" s="30"/>
      <c r="F24" s="31"/>
      <c r="G24" s="31"/>
    </row>
    <row r="25" spans="1:7">
      <c r="A25" s="32" t="s">
        <v>420</v>
      </c>
      <c r="B25" t="s">
        <v>274</v>
      </c>
      <c r="C25"/>
      <c r="D25"/>
      <c r="E25" s="30"/>
      <c r="F25" s="31"/>
      <c r="G25" s="31"/>
    </row>
    <row r="26" spans="1:7">
      <c r="A26" s="26"/>
      <c r="B26" t="s">
        <v>275</v>
      </c>
      <c r="C26"/>
      <c r="D26"/>
      <c r="E26" s="30"/>
      <c r="F26" s="31"/>
      <c r="G26" s="31"/>
    </row>
    <row r="27" spans="1:7">
      <c r="A27" s="26"/>
      <c r="B27" t="s">
        <v>276</v>
      </c>
      <c r="C27"/>
      <c r="D27"/>
      <c r="E27" s="30"/>
      <c r="F27" s="31"/>
      <c r="G27" s="31"/>
    </row>
    <row r="28" spans="1:7">
      <c r="A28" s="26"/>
      <c r="B28"/>
      <c r="C28"/>
      <c r="D28"/>
      <c r="E28" s="30"/>
      <c r="F28" s="31"/>
      <c r="G28" s="31"/>
    </row>
    <row r="29" spans="1:7">
      <c r="A29" s="26"/>
      <c r="B29"/>
      <c r="C29"/>
      <c r="D29"/>
      <c r="E29" s="30"/>
      <c r="F29" s="31"/>
      <c r="G29" s="31"/>
    </row>
    <row r="30" spans="1:7">
      <c r="A30" s="26"/>
      <c r="B30"/>
      <c r="C30"/>
      <c r="D30"/>
      <c r="E30" s="30"/>
      <c r="F30" s="31"/>
      <c r="G30" s="31"/>
    </row>
    <row r="31" spans="1:7">
      <c r="A31" s="26"/>
      <c r="B31"/>
      <c r="C31"/>
      <c r="D31"/>
      <c r="E31" s="30"/>
      <c r="F31" s="31"/>
      <c r="G31" s="31"/>
    </row>
    <row r="32" spans="1:7">
      <c r="A32" s="26"/>
      <c r="B32"/>
      <c r="C32"/>
      <c r="D32"/>
      <c r="E32" s="30"/>
      <c r="F32" s="31"/>
      <c r="G32" s="31"/>
    </row>
    <row r="33" spans="1:7">
      <c r="A33" s="26"/>
      <c r="B33"/>
      <c r="C33"/>
      <c r="D33"/>
      <c r="E33" s="30"/>
      <c r="F33" s="31"/>
      <c r="G33" s="31"/>
    </row>
    <row r="34" spans="1:7">
      <c r="A34" s="26"/>
      <c r="B34"/>
      <c r="C34"/>
      <c r="D34"/>
      <c r="E34" s="30"/>
      <c r="F34" s="31"/>
      <c r="G34" s="31"/>
    </row>
    <row r="35" spans="1:7">
      <c r="A35" s="26"/>
      <c r="B35"/>
      <c r="C35"/>
      <c r="D35"/>
      <c r="E35" s="30"/>
      <c r="F35" s="31"/>
      <c r="G35" s="31"/>
    </row>
    <row r="36" spans="1:7">
      <c r="A36" s="26"/>
      <c r="B36"/>
      <c r="C36"/>
      <c r="D36"/>
      <c r="E36" s="30"/>
      <c r="F36" s="31"/>
      <c r="G36" s="31"/>
    </row>
    <row r="37" spans="1:7">
      <c r="A37" s="32" t="s">
        <v>31</v>
      </c>
      <c r="B37" s="21" t="s">
        <v>32</v>
      </c>
      <c r="C37" s="21"/>
      <c r="D37" s="21" t="s">
        <v>33</v>
      </c>
      <c r="E37" s="33" t="s">
        <v>34</v>
      </c>
      <c r="F37" s="34"/>
      <c r="G37" s="34">
        <v>3000</v>
      </c>
    </row>
    <row r="38" spans="1:7">
      <c r="A38" s="26"/>
      <c r="B38" t="s">
        <v>35</v>
      </c>
      <c r="C38"/>
      <c r="D38"/>
      <c r="E38" s="30"/>
      <c r="F38" s="31"/>
      <c r="G38" s="31">
        <v>-3924.11</v>
      </c>
    </row>
    <row r="39" spans="1:7">
      <c r="A39" s="26"/>
      <c r="B39" t="s">
        <v>88</v>
      </c>
      <c r="C39"/>
      <c r="D39">
        <v>0</v>
      </c>
      <c r="E39" s="3">
        <v>875.64</v>
      </c>
      <c r="F39">
        <v>875.64</v>
      </c>
      <c r="G39" s="31">
        <f t="shared" ref="G39:G50" si="3">E39-F39+G38</f>
        <v>-3924.11</v>
      </c>
    </row>
    <row r="40" spans="1:7">
      <c r="A40" s="26"/>
      <c r="B40" t="s">
        <v>36</v>
      </c>
      <c r="C40"/>
      <c r="D40">
        <v>0</v>
      </c>
      <c r="E40" s="3">
        <v>1036.52</v>
      </c>
      <c r="F40">
        <v>1192</v>
      </c>
      <c r="G40" s="31">
        <f t="shared" si="3"/>
        <v>-4079.59</v>
      </c>
    </row>
    <row r="41" spans="1:7">
      <c r="A41" s="26"/>
      <c r="B41" t="s">
        <v>37</v>
      </c>
      <c r="C41"/>
      <c r="D41"/>
      <c r="F41"/>
      <c r="G41" s="31">
        <f t="shared" si="3"/>
        <v>-4079.59</v>
      </c>
    </row>
    <row r="42" spans="1:7">
      <c r="A42" s="26"/>
      <c r="B42" t="s">
        <v>38</v>
      </c>
      <c r="C42"/>
      <c r="D42"/>
      <c r="F42"/>
      <c r="G42" s="31">
        <f t="shared" si="3"/>
        <v>-4079.59</v>
      </c>
    </row>
    <row r="43" spans="1:7">
      <c r="A43" s="26"/>
      <c r="B43" t="s">
        <v>39</v>
      </c>
      <c r="C43"/>
      <c r="D43"/>
      <c r="F43"/>
      <c r="G43" s="31">
        <f t="shared" si="3"/>
        <v>-4079.59</v>
      </c>
    </row>
    <row r="44" spans="1:7">
      <c r="A44" s="26"/>
      <c r="B44" t="s">
        <v>89</v>
      </c>
      <c r="C44"/>
      <c r="D44"/>
      <c r="F44"/>
      <c r="G44" s="31">
        <f t="shared" si="3"/>
        <v>-4079.59</v>
      </c>
    </row>
    <row r="45" spans="1:7">
      <c r="A45" s="26"/>
      <c r="B45" t="s">
        <v>90</v>
      </c>
      <c r="C45"/>
      <c r="D45"/>
      <c r="F45"/>
      <c r="G45" s="31">
        <f t="shared" si="3"/>
        <v>-4079.59</v>
      </c>
    </row>
    <row r="46" spans="1:7">
      <c r="A46" s="26"/>
      <c r="B46" t="s">
        <v>91</v>
      </c>
      <c r="C46"/>
      <c r="D46"/>
      <c r="F46"/>
      <c r="G46" s="31">
        <f t="shared" si="3"/>
        <v>-4079.59</v>
      </c>
    </row>
    <row r="47" spans="1:7">
      <c r="A47" s="26"/>
      <c r="B47" t="s">
        <v>92</v>
      </c>
      <c r="C47"/>
      <c r="D47"/>
      <c r="F47"/>
      <c r="G47" s="31">
        <f t="shared" si="3"/>
        <v>-4079.59</v>
      </c>
    </row>
    <row r="48" spans="1:7">
      <c r="A48" s="26"/>
      <c r="B48" t="s">
        <v>40</v>
      </c>
      <c r="C48"/>
      <c r="D48"/>
      <c r="F48"/>
      <c r="G48" s="31">
        <f t="shared" si="3"/>
        <v>-4079.59</v>
      </c>
    </row>
    <row r="49" spans="1:7">
      <c r="A49" s="26"/>
      <c r="B49" t="s">
        <v>41</v>
      </c>
      <c r="C49"/>
      <c r="D49"/>
      <c r="E49" s="30"/>
      <c r="F49" s="31"/>
      <c r="G49" s="31">
        <f t="shared" si="3"/>
        <v>-4079.59</v>
      </c>
    </row>
    <row r="50" spans="1:7">
      <c r="A50" s="32"/>
      <c r="B50" s="21" t="s">
        <v>42</v>
      </c>
      <c r="C50" s="21"/>
      <c r="D50" s="21"/>
      <c r="E50" s="33"/>
      <c r="F50" s="34"/>
      <c r="G50" s="34">
        <f t="shared" si="3"/>
        <v>-4079.59</v>
      </c>
    </row>
    <row r="51" spans="1:7">
      <c r="A51" s="35">
        <v>45291</v>
      </c>
      <c r="B51" s="53" t="s">
        <v>35</v>
      </c>
      <c r="C51" s="53"/>
      <c r="D51" s="36">
        <f>SUM(D39:D50)</f>
        <v>0</v>
      </c>
      <c r="E51" s="37"/>
      <c r="F51" s="38"/>
      <c r="G51" s="39">
        <f>E51-F51+G50</f>
        <v>-4079.59</v>
      </c>
    </row>
    <row r="52" spans="1:7">
      <c r="A52" s="7"/>
      <c r="B52"/>
      <c r="C52"/>
      <c r="D52"/>
    </row>
    <row r="53" spans="1:7">
      <c r="A53" s="88" t="s">
        <v>256</v>
      </c>
      <c r="B53" s="40" t="s">
        <v>168</v>
      </c>
      <c r="C53" s="40"/>
      <c r="D53" s="40"/>
      <c r="E53" s="41"/>
      <c r="F53" s="42"/>
      <c r="G53" s="43">
        <f>SUM(F54:F58)</f>
        <v>0</v>
      </c>
    </row>
    <row r="54" spans="1:7">
      <c r="A54" s="7"/>
      <c r="B54" s="8"/>
      <c r="C54" s="8"/>
      <c r="D54" s="8"/>
      <c r="E54"/>
      <c r="F54"/>
      <c r="G54"/>
    </row>
    <row r="55" spans="1:7">
      <c r="A55" s="7"/>
      <c r="B55" t="s">
        <v>97</v>
      </c>
      <c r="C55"/>
      <c r="D55"/>
    </row>
    <row r="56" spans="1:7">
      <c r="A56" s="7"/>
      <c r="B56" t="s">
        <v>98</v>
      </c>
      <c r="C56"/>
      <c r="D56" s="3">
        <v>36000</v>
      </c>
    </row>
    <row r="57" spans="1:7">
      <c r="A57" s="7"/>
      <c r="B57" t="s">
        <v>99</v>
      </c>
      <c r="C57"/>
      <c r="D57" s="3">
        <v>43160</v>
      </c>
      <c r="G57" s="44"/>
    </row>
    <row r="58" spans="1:7">
      <c r="A58" s="7"/>
      <c r="B58" s="21" t="s">
        <v>100</v>
      </c>
      <c r="C58" s="21"/>
      <c r="D58" s="42">
        <v>82000</v>
      </c>
      <c r="E58" s="8"/>
      <c r="G58" s="45"/>
    </row>
    <row r="59" spans="1:7">
      <c r="A59" s="7"/>
      <c r="B59" t="s">
        <v>332</v>
      </c>
      <c r="C59"/>
      <c r="D59" s="3">
        <v>135000</v>
      </c>
      <c r="E59" s="8"/>
      <c r="G59" s="45"/>
    </row>
    <row r="60" spans="1:7">
      <c r="A60" s="54">
        <v>45214</v>
      </c>
      <c r="B60" t="s">
        <v>267</v>
      </c>
      <c r="C60"/>
      <c r="E60"/>
    </row>
    <row r="61" spans="1:7">
      <c r="A61" s="54">
        <v>45214</v>
      </c>
      <c r="B61" t="s">
        <v>268</v>
      </c>
      <c r="C61"/>
      <c r="E61"/>
    </row>
    <row r="62" spans="1:7">
      <c r="A62" s="54">
        <v>45214</v>
      </c>
      <c r="B62" t="s">
        <v>101</v>
      </c>
      <c r="C62"/>
      <c r="E62"/>
    </row>
    <row r="63" spans="1:7">
      <c r="A63" s="54">
        <v>44321</v>
      </c>
      <c r="B63" t="s">
        <v>102</v>
      </c>
      <c r="C63"/>
      <c r="E63"/>
    </row>
    <row r="64" spans="1:7">
      <c r="A64" s="54">
        <v>44367</v>
      </c>
      <c r="B64" t="s">
        <v>103</v>
      </c>
      <c r="C64"/>
      <c r="E64"/>
    </row>
    <row r="65" spans="1:8">
      <c r="A65" s="54">
        <v>44459</v>
      </c>
      <c r="B65" t="s">
        <v>104</v>
      </c>
      <c r="C65"/>
      <c r="E65"/>
    </row>
    <row r="66" spans="1:8">
      <c r="A66" s="54">
        <v>44459</v>
      </c>
      <c r="B66" t="s">
        <v>105</v>
      </c>
      <c r="C66"/>
      <c r="E66"/>
    </row>
    <row r="67" spans="1:8">
      <c r="A67" s="54">
        <v>44433</v>
      </c>
      <c r="B67" t="s">
        <v>106</v>
      </c>
      <c r="C67"/>
      <c r="E67"/>
    </row>
    <row r="68" spans="1:8">
      <c r="A68" s="54">
        <v>44449</v>
      </c>
      <c r="B68" t="s">
        <v>107</v>
      </c>
      <c r="C68"/>
      <c r="E68"/>
    </row>
    <row r="69" spans="1:8">
      <c r="A69" s="54">
        <v>44201</v>
      </c>
      <c r="B69" t="s">
        <v>108</v>
      </c>
      <c r="C69"/>
      <c r="E69" s="2">
        <v>500</v>
      </c>
    </row>
    <row r="70" spans="1:8">
      <c r="A70" s="54">
        <v>44931</v>
      </c>
      <c r="B70" t="s">
        <v>109</v>
      </c>
      <c r="C70"/>
      <c r="E70" s="2"/>
    </row>
    <row r="71" spans="1:8">
      <c r="A71" s="54">
        <v>44252</v>
      </c>
      <c r="B71" t="s">
        <v>110</v>
      </c>
      <c r="C71"/>
      <c r="E71" s="2" t="s">
        <v>111</v>
      </c>
    </row>
    <row r="72" spans="1:8">
      <c r="A72" s="54">
        <v>44285</v>
      </c>
      <c r="B72" t="s">
        <v>112</v>
      </c>
      <c r="C72"/>
      <c r="E72" s="2" t="s">
        <v>113</v>
      </c>
    </row>
    <row r="73" spans="1:8">
      <c r="A73" s="54">
        <v>44413</v>
      </c>
      <c r="B73" t="s">
        <v>114</v>
      </c>
      <c r="C73"/>
      <c r="E73" s="2" t="s">
        <v>113</v>
      </c>
    </row>
    <row r="74" spans="1:8">
      <c r="B74" t="s">
        <v>115</v>
      </c>
      <c r="C74"/>
      <c r="D74"/>
      <c r="E74" s="2" t="s">
        <v>111</v>
      </c>
    </row>
    <row r="75" spans="1:8">
      <c r="A75" s="54"/>
      <c r="B75"/>
      <c r="C75"/>
      <c r="E75"/>
    </row>
    <row r="76" spans="1:8">
      <c r="A76" s="54"/>
      <c r="B76"/>
      <c r="C76"/>
      <c r="E76"/>
    </row>
    <row r="77" spans="1:8">
      <c r="B77"/>
      <c r="C77"/>
      <c r="D77"/>
      <c r="E77"/>
    </row>
    <row r="78" spans="1:8">
      <c r="B78"/>
      <c r="C78"/>
      <c r="E78"/>
      <c r="G78" s="46"/>
      <c r="H78" s="51"/>
    </row>
    <row r="79" spans="1:8">
      <c r="B79"/>
      <c r="C79"/>
      <c r="E79"/>
      <c r="G79" s="46"/>
      <c r="H79" s="51"/>
    </row>
    <row r="80" spans="1:8">
      <c r="B80"/>
      <c r="C80"/>
      <c r="E80"/>
      <c r="G80" s="46"/>
      <c r="H80" s="51"/>
    </row>
    <row r="81" spans="2:8">
      <c r="B81" s="3" t="s">
        <v>116</v>
      </c>
      <c r="F81" s="1"/>
      <c r="G81" s="46"/>
      <c r="H81" s="51"/>
    </row>
    <row r="82" spans="2:8">
      <c r="F82" s="1"/>
      <c r="G82" s="46"/>
      <c r="H82" s="51"/>
    </row>
    <row r="83" spans="2:8">
      <c r="B83" t="s">
        <v>117</v>
      </c>
      <c r="C83"/>
      <c r="E83">
        <v>42.07</v>
      </c>
      <c r="F83" s="3">
        <f>D83-E83</f>
        <v>-42.07</v>
      </c>
      <c r="G83" s="46"/>
      <c r="H83" s="51"/>
    </row>
    <row r="84" spans="2:8">
      <c r="B84" t="s">
        <v>118</v>
      </c>
      <c r="C84"/>
      <c r="E84">
        <v>34.450000000000003</v>
      </c>
      <c r="F84" s="3">
        <f t="shared" ref="F84:F95" si="4">F83+D84-E84</f>
        <v>-76.52000000000001</v>
      </c>
    </row>
    <row r="85" spans="2:8">
      <c r="B85" t="s">
        <v>119</v>
      </c>
      <c r="C85"/>
      <c r="E85">
        <v>20.05</v>
      </c>
      <c r="F85" s="3">
        <f t="shared" si="4"/>
        <v>-96.570000000000007</v>
      </c>
    </row>
    <row r="86" spans="2:8">
      <c r="B86" t="s">
        <v>120</v>
      </c>
      <c r="C86"/>
      <c r="E86">
        <v>34.700000000000003</v>
      </c>
      <c r="F86" s="3">
        <f t="shared" si="4"/>
        <v>-131.27000000000001</v>
      </c>
    </row>
    <row r="87" spans="2:8">
      <c r="B87" t="s">
        <v>121</v>
      </c>
      <c r="C87"/>
      <c r="E87">
        <v>34.340000000000003</v>
      </c>
      <c r="F87" s="3">
        <f t="shared" si="4"/>
        <v>-165.61</v>
      </c>
    </row>
    <row r="88" spans="2:8">
      <c r="B88" t="s">
        <v>122</v>
      </c>
      <c r="C88"/>
      <c r="E88">
        <v>-65.91</v>
      </c>
      <c r="F88" s="3">
        <f t="shared" si="4"/>
        <v>-99.700000000000017</v>
      </c>
    </row>
    <row r="89" spans="2:8">
      <c r="B89" t="s">
        <v>123</v>
      </c>
      <c r="C89"/>
      <c r="E89">
        <v>31.54</v>
      </c>
      <c r="F89" s="3">
        <f t="shared" si="4"/>
        <v>-131.24</v>
      </c>
    </row>
    <row r="90" spans="2:8">
      <c r="B90" t="s">
        <v>124</v>
      </c>
      <c r="C90"/>
      <c r="E90">
        <v>0</v>
      </c>
      <c r="F90" s="3">
        <f t="shared" si="4"/>
        <v>-131.24</v>
      </c>
    </row>
    <row r="91" spans="2:8">
      <c r="B91" t="s">
        <v>125</v>
      </c>
      <c r="C91"/>
      <c r="E91">
        <v>45.99</v>
      </c>
      <c r="F91" s="3">
        <f t="shared" si="4"/>
        <v>-177.23000000000002</v>
      </c>
    </row>
    <row r="92" spans="2:8">
      <c r="B92" t="s">
        <v>126</v>
      </c>
      <c r="C92"/>
      <c r="E92">
        <v>42.89</v>
      </c>
      <c r="F92" s="3">
        <f t="shared" si="4"/>
        <v>-220.12</v>
      </c>
    </row>
    <row r="93" spans="2:8">
      <c r="B93" t="s">
        <v>127</v>
      </c>
      <c r="C93"/>
      <c r="E93">
        <v>34.979999999999997</v>
      </c>
      <c r="F93" s="3">
        <f t="shared" si="4"/>
        <v>-255.1</v>
      </c>
    </row>
    <row r="94" spans="2:8">
      <c r="B94" t="s">
        <v>128</v>
      </c>
      <c r="C94"/>
      <c r="E94">
        <v>0</v>
      </c>
      <c r="F94" s="3">
        <f t="shared" si="4"/>
        <v>-255.1</v>
      </c>
    </row>
    <row r="95" spans="2:8">
      <c r="B95" s="1" t="s">
        <v>129</v>
      </c>
      <c r="C95" s="1"/>
      <c r="D95" s="51"/>
      <c r="E95" s="1"/>
      <c r="F95" s="51">
        <f t="shared" si="4"/>
        <v>-255.1</v>
      </c>
    </row>
    <row r="98" spans="2:6">
      <c r="B98" s="1" t="s">
        <v>130</v>
      </c>
      <c r="C98" s="1"/>
      <c r="D98" s="51"/>
      <c r="E98" s="1"/>
      <c r="F98" s="51">
        <v>-255.1</v>
      </c>
    </row>
    <row r="99" spans="2:6">
      <c r="B99" t="s">
        <v>131</v>
      </c>
      <c r="C99"/>
      <c r="E99">
        <v>30.04</v>
      </c>
      <c r="F99" s="3">
        <f t="shared" ref="F99:F114" si="5">F98+D99-E99</f>
        <v>-285.14</v>
      </c>
    </row>
    <row r="100" spans="2:6">
      <c r="B100" s="55">
        <v>44593</v>
      </c>
      <c r="C100" s="55"/>
      <c r="E100">
        <v>135.32</v>
      </c>
      <c r="F100" s="3">
        <f t="shared" si="5"/>
        <v>-420.46</v>
      </c>
    </row>
    <row r="101" spans="2:6">
      <c r="B101" s="55">
        <v>44621</v>
      </c>
      <c r="C101" s="55"/>
      <c r="E101">
        <v>98.9</v>
      </c>
      <c r="F101" s="3">
        <f t="shared" si="5"/>
        <v>-519.36</v>
      </c>
    </row>
    <row r="102" spans="2:6">
      <c r="B102" s="55">
        <v>44652</v>
      </c>
      <c r="C102" s="55"/>
      <c r="E102">
        <v>135.6</v>
      </c>
      <c r="F102" s="3">
        <f t="shared" si="5"/>
        <v>-654.96</v>
      </c>
    </row>
    <row r="103" spans="2:6">
      <c r="B103" t="s">
        <v>132</v>
      </c>
      <c r="C103"/>
      <c r="E103">
        <v>214.37</v>
      </c>
      <c r="F103" s="3">
        <f t="shared" si="5"/>
        <v>-869.33</v>
      </c>
    </row>
    <row r="104" spans="2:6">
      <c r="B104" t="s">
        <v>133</v>
      </c>
      <c r="C104"/>
      <c r="E104">
        <v>427.65</v>
      </c>
      <c r="F104" s="3">
        <f t="shared" si="5"/>
        <v>-1296.98</v>
      </c>
    </row>
    <row r="105" spans="2:6">
      <c r="B105" t="s">
        <v>134</v>
      </c>
      <c r="C105"/>
      <c r="E105">
        <v>446.55</v>
      </c>
      <c r="F105" s="3">
        <f t="shared" si="5"/>
        <v>-1743.53</v>
      </c>
    </row>
    <row r="106" spans="2:6">
      <c r="B106" t="s">
        <v>135</v>
      </c>
      <c r="C106"/>
      <c r="E106">
        <v>333.96</v>
      </c>
      <c r="F106" s="3">
        <f t="shared" si="5"/>
        <v>-2077.4899999999998</v>
      </c>
    </row>
    <row r="107" spans="2:6">
      <c r="B107" t="s">
        <v>136</v>
      </c>
      <c r="C107"/>
      <c r="E107">
        <v>324.51</v>
      </c>
      <c r="F107" s="3">
        <f t="shared" si="5"/>
        <v>-2402</v>
      </c>
    </row>
    <row r="108" spans="2:6">
      <c r="B108" t="s">
        <v>137</v>
      </c>
      <c r="C108"/>
      <c r="E108">
        <v>331.27</v>
      </c>
      <c r="F108" s="3">
        <f t="shared" si="5"/>
        <v>-2733.27</v>
      </c>
    </row>
    <row r="109" spans="2:6">
      <c r="B109" t="s">
        <v>138</v>
      </c>
      <c r="C109"/>
      <c r="D109" s="3">
        <v>50</v>
      </c>
      <c r="E109"/>
      <c r="F109" s="3">
        <f t="shared" si="5"/>
        <v>-2683.27</v>
      </c>
    </row>
    <row r="110" spans="2:6">
      <c r="B110" s="55">
        <v>44866</v>
      </c>
      <c r="C110" s="55"/>
      <c r="E110">
        <v>412.42</v>
      </c>
      <c r="F110" s="3">
        <f t="shared" si="5"/>
        <v>-3095.69</v>
      </c>
    </row>
    <row r="111" spans="2:6">
      <c r="B111" t="s">
        <v>128</v>
      </c>
      <c r="C111"/>
      <c r="E111">
        <v>426.12</v>
      </c>
      <c r="F111" s="3">
        <f t="shared" si="5"/>
        <v>-3521.81</v>
      </c>
    </row>
    <row r="112" spans="2:6">
      <c r="B112" t="s">
        <v>139</v>
      </c>
      <c r="C112"/>
      <c r="D112" s="3">
        <v>2000</v>
      </c>
      <c r="E112"/>
      <c r="F112" s="3">
        <f t="shared" si="5"/>
        <v>-1521.81</v>
      </c>
    </row>
    <row r="113" spans="2:6">
      <c r="B113" t="s">
        <v>140</v>
      </c>
      <c r="C113"/>
      <c r="D113" s="3">
        <v>500</v>
      </c>
      <c r="E113"/>
      <c r="F113" s="3">
        <f t="shared" si="5"/>
        <v>-1021.81</v>
      </c>
    </row>
    <row r="114" spans="2:6">
      <c r="B114" t="s">
        <v>141</v>
      </c>
      <c r="C114"/>
      <c r="E114"/>
      <c r="F114" s="51">
        <f t="shared" si="5"/>
        <v>-1021.81</v>
      </c>
    </row>
  </sheetData>
  <phoneticPr fontId="49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H52"/>
  <sheetViews>
    <sheetView topLeftCell="A29" zoomScale="145" zoomScaleNormal="145" workbookViewId="0">
      <selection activeCell="G13" sqref="G13"/>
    </sheetView>
  </sheetViews>
  <sheetFormatPr defaultRowHeight="12.75"/>
  <cols>
    <col min="1" max="1" width="9.28515625" customWidth="1"/>
    <col min="2" max="2" width="30.85546875" customWidth="1"/>
    <col min="3" max="3" width="12.85546875" bestFit="1" customWidth="1"/>
    <col min="4" max="4" width="8.5703125" customWidth="1"/>
    <col min="5" max="5" width="11.5703125" bestFit="1" customWidth="1"/>
    <col min="6" max="7" width="11.28515625" bestFit="1" customWidth="1"/>
    <col min="8" max="8" width="12.7109375" bestFit="1" customWidth="1"/>
  </cols>
  <sheetData>
    <row r="1" spans="1:8" ht="15">
      <c r="A1" s="199"/>
      <c r="B1" s="200" t="s">
        <v>421</v>
      </c>
      <c r="C1" s="201"/>
      <c r="D1" s="202"/>
      <c r="E1" s="203"/>
      <c r="F1" s="204"/>
      <c r="G1" s="205"/>
      <c r="H1" s="205"/>
    </row>
    <row r="2" spans="1:8">
      <c r="A2" s="206"/>
      <c r="B2" s="207"/>
      <c r="C2" s="208"/>
      <c r="D2" s="209"/>
      <c r="E2" s="207"/>
      <c r="F2" s="210"/>
      <c r="G2" s="211"/>
      <c r="H2" s="211"/>
    </row>
    <row r="3" spans="1:8" ht="18">
      <c r="A3" s="212" t="s">
        <v>437</v>
      </c>
      <c r="B3" s="203"/>
      <c r="C3" s="201"/>
      <c r="D3" s="202"/>
      <c r="E3" s="213"/>
      <c r="F3" s="214">
        <f>SUM(F8:F52)</f>
        <v>375482.52589887567</v>
      </c>
      <c r="G3" s="214">
        <f>SUM(G8:G52)</f>
        <v>354000</v>
      </c>
      <c r="H3" s="215">
        <f>F3-G3</f>
        <v>21482.525898875669</v>
      </c>
    </row>
    <row r="4" spans="1:8" ht="18">
      <c r="A4" s="212"/>
      <c r="B4" s="203"/>
      <c r="C4" s="201"/>
      <c r="D4" s="202"/>
      <c r="E4" s="203" t="s">
        <v>434</v>
      </c>
      <c r="F4" s="214"/>
      <c r="G4" s="214"/>
      <c r="H4" s="215"/>
    </row>
    <row r="5" spans="1:8">
      <c r="A5" s="216" t="s">
        <v>23</v>
      </c>
      <c r="B5" s="217" t="s">
        <v>24</v>
      </c>
      <c r="C5" s="218" t="s">
        <v>422</v>
      </c>
      <c r="D5" s="219" t="s">
        <v>350</v>
      </c>
      <c r="E5" s="220" t="s">
        <v>423</v>
      </c>
      <c r="F5" s="221" t="s">
        <v>213</v>
      </c>
      <c r="G5" s="222" t="s">
        <v>3</v>
      </c>
      <c r="H5" s="222" t="s">
        <v>26</v>
      </c>
    </row>
    <row r="6" spans="1:8">
      <c r="A6" s="199"/>
      <c r="B6" s="203"/>
      <c r="C6" s="201"/>
      <c r="D6" s="202"/>
      <c r="E6" s="203"/>
      <c r="F6" s="204"/>
      <c r="G6" s="205"/>
      <c r="H6" s="205">
        <f t="shared" ref="H6:H38" si="0">H7+F6-G6</f>
        <v>21482.525898875727</v>
      </c>
    </row>
    <row r="7" spans="1:8">
      <c r="A7" s="199"/>
      <c r="B7" s="223"/>
      <c r="C7" s="201"/>
      <c r="D7" s="202"/>
      <c r="E7" s="203"/>
      <c r="F7" s="204"/>
      <c r="G7" s="205"/>
      <c r="H7" s="205">
        <f t="shared" si="0"/>
        <v>21482.525898875727</v>
      </c>
    </row>
    <row r="8" spans="1:8">
      <c r="A8" s="199">
        <v>45687</v>
      </c>
      <c r="B8" s="223" t="s">
        <v>452</v>
      </c>
      <c r="C8" s="201">
        <v>3000</v>
      </c>
      <c r="D8" s="202">
        <f>(C8/C10)-1</f>
        <v>3.4482758620689724E-2</v>
      </c>
      <c r="E8" s="224">
        <f>C8</f>
        <v>3000</v>
      </c>
      <c r="F8" s="204">
        <f>H9*D8</f>
        <v>716.08419662919232</v>
      </c>
      <c r="G8" s="205"/>
      <c r="H8" s="205">
        <f t="shared" ref="H8:H25" si="1">H9+F8-G8</f>
        <v>21482.525898875727</v>
      </c>
    </row>
    <row r="9" spans="1:8">
      <c r="A9" s="199"/>
      <c r="B9" s="223" t="s">
        <v>456</v>
      </c>
      <c r="C9" s="201"/>
      <c r="D9" s="202"/>
      <c r="E9" s="203"/>
      <c r="F9" s="204">
        <f>F11+E10</f>
        <v>36900</v>
      </c>
      <c r="G9" s="205"/>
      <c r="H9" s="205">
        <f t="shared" si="1"/>
        <v>20766.441702246535</v>
      </c>
    </row>
    <row r="10" spans="1:8">
      <c r="A10" s="199">
        <v>45656</v>
      </c>
      <c r="B10" s="223" t="s">
        <v>453</v>
      </c>
      <c r="C10" s="201">
        <v>2900</v>
      </c>
      <c r="D10" s="202">
        <f>(C10/C13)-1</f>
        <v>3.5714285714285809E-2</v>
      </c>
      <c r="E10" s="224">
        <f>C10</f>
        <v>2900</v>
      </c>
      <c r="F10" s="204">
        <f>H11*D10</f>
        <v>-556.32959647425889</v>
      </c>
      <c r="G10" s="205"/>
      <c r="H10" s="205">
        <f t="shared" si="1"/>
        <v>-16133.558297753467</v>
      </c>
    </row>
    <row r="11" spans="1:8">
      <c r="A11" s="199"/>
      <c r="B11" s="223" t="s">
        <v>455</v>
      </c>
      <c r="C11" s="201"/>
      <c r="D11" s="202"/>
      <c r="E11" s="203"/>
      <c r="F11" s="204">
        <v>34000</v>
      </c>
      <c r="G11" s="205"/>
      <c r="H11" s="205">
        <f t="shared" si="1"/>
        <v>-15577.228701279208</v>
      </c>
    </row>
    <row r="12" spans="1:8">
      <c r="A12" s="199"/>
      <c r="B12" s="223"/>
      <c r="C12" s="201"/>
      <c r="D12" s="202"/>
      <c r="E12" s="203"/>
      <c r="F12" s="204"/>
      <c r="G12" s="205">
        <v>219000</v>
      </c>
      <c r="H12" s="205">
        <f t="shared" si="1"/>
        <v>-49577.228701279208</v>
      </c>
    </row>
    <row r="13" spans="1:8">
      <c r="A13" s="199">
        <v>45626</v>
      </c>
      <c r="B13" s="223" t="s">
        <v>454</v>
      </c>
      <c r="C13" s="201">
        <v>2800</v>
      </c>
      <c r="D13" s="202">
        <f>(C13/C15)-1</f>
        <v>5.372888308501711E-2</v>
      </c>
      <c r="E13" s="224">
        <f>C13</f>
        <v>2800</v>
      </c>
      <c r="F13" s="204">
        <f>H14*D13</f>
        <v>8638.7460922565606</v>
      </c>
      <c r="G13" s="205"/>
      <c r="H13" s="205">
        <f t="shared" si="1"/>
        <v>169422.77129872079</v>
      </c>
    </row>
    <row r="14" spans="1:8">
      <c r="A14" s="199"/>
      <c r="B14" s="223" t="s">
        <v>451</v>
      </c>
      <c r="C14" s="201"/>
      <c r="D14" s="202"/>
      <c r="E14" s="203"/>
      <c r="F14" s="204">
        <v>20000</v>
      </c>
      <c r="G14" s="205"/>
      <c r="H14" s="205">
        <f t="shared" si="1"/>
        <v>160784.02520646423</v>
      </c>
    </row>
    <row r="15" spans="1:8" ht="13.5" thickBot="1">
      <c r="A15" s="199">
        <v>45595</v>
      </c>
      <c r="B15" s="223" t="s">
        <v>449</v>
      </c>
      <c r="C15" s="229">
        <v>2657.23</v>
      </c>
      <c r="D15" s="202">
        <f>(C15/C17)-1</f>
        <v>2.2440176843369075E-2</v>
      </c>
      <c r="E15" s="224">
        <f>C15</f>
        <v>2657.23</v>
      </c>
      <c r="F15" s="204">
        <f>H16*D15</f>
        <v>3089.8809474682425</v>
      </c>
      <c r="G15" s="205"/>
      <c r="H15" s="205">
        <f t="shared" si="1"/>
        <v>140784.02520646423</v>
      </c>
    </row>
    <row r="16" spans="1:8">
      <c r="A16" s="199"/>
      <c r="B16" s="223" t="s">
        <v>450</v>
      </c>
      <c r="C16" s="201"/>
      <c r="D16" s="202"/>
      <c r="E16" s="203"/>
      <c r="F16" s="204">
        <v>7080.3</v>
      </c>
      <c r="G16" s="205"/>
      <c r="H16" s="205">
        <f t="shared" si="1"/>
        <v>137694.14425899598</v>
      </c>
    </row>
    <row r="17" spans="1:8" ht="13.5" thickBot="1">
      <c r="A17" s="199">
        <v>45595</v>
      </c>
      <c r="B17" s="223" t="s">
        <v>424</v>
      </c>
      <c r="C17" s="228">
        <v>2598.91</v>
      </c>
      <c r="D17" s="202">
        <f>(C17/C19)-1</f>
        <v>2.8798650916806556E-2</v>
      </c>
      <c r="E17" s="224">
        <f>F18*D17</f>
        <v>722.77594190279012</v>
      </c>
      <c r="F17" s="204">
        <f>H18*D17</f>
        <v>3656.2086297109036</v>
      </c>
      <c r="G17" s="205"/>
      <c r="H17" s="205">
        <f t="shared" si="1"/>
        <v>130613.84425899599</v>
      </c>
    </row>
    <row r="18" spans="1:8">
      <c r="A18" s="199"/>
      <c r="B18" s="223" t="s">
        <v>448</v>
      </c>
      <c r="C18" s="201"/>
      <c r="D18" s="202"/>
      <c r="E18" s="203"/>
      <c r="F18" s="204">
        <f>F20+E19</f>
        <v>25097.562520923038</v>
      </c>
      <c r="G18" s="205"/>
      <c r="H18" s="205">
        <f t="shared" si="1"/>
        <v>126957.63562928508</v>
      </c>
    </row>
    <row r="19" spans="1:8">
      <c r="A19" s="199">
        <v>45565</v>
      </c>
      <c r="B19" s="223" t="s">
        <v>425</v>
      </c>
      <c r="C19" s="226">
        <v>2526.16</v>
      </c>
      <c r="D19" s="202">
        <f>(C19/C21)-1</f>
        <v>2.9681984559824404E-2</v>
      </c>
      <c r="E19" s="224">
        <f>F20*D19</f>
        <v>723.47139641733145</v>
      </c>
      <c r="F19" s="204">
        <f>IF(H20&lt;=0,,(H20*D19))</f>
        <v>2936.2552347241999</v>
      </c>
      <c r="G19" s="205"/>
      <c r="H19" s="205">
        <f t="shared" si="1"/>
        <v>101860.07310836205</v>
      </c>
    </row>
    <row r="20" spans="1:8">
      <c r="A20" s="199"/>
      <c r="B20" s="223" t="s">
        <v>447</v>
      </c>
      <c r="C20" s="201"/>
      <c r="D20" s="202"/>
      <c r="E20" s="203"/>
      <c r="F20" s="204">
        <f>F22+E21</f>
        <v>24374.091124505707</v>
      </c>
      <c r="G20" s="205"/>
      <c r="H20" s="205">
        <f t="shared" si="1"/>
        <v>98923.817873637847</v>
      </c>
    </row>
    <row r="21" spans="1:8">
      <c r="A21" s="199">
        <v>45534</v>
      </c>
      <c r="B21" s="223" t="s">
        <v>426</v>
      </c>
      <c r="C21" s="201">
        <v>2453.34</v>
      </c>
      <c r="D21" s="202">
        <f>(C21/C23)-1</f>
        <v>2.4744162733386421E-2</v>
      </c>
      <c r="E21" s="224">
        <f>F22*D21</f>
        <v>588.55322059548553</v>
      </c>
      <c r="F21" s="204">
        <f>IF(H22&lt;=0,,(H22*D21))</f>
        <v>1800.1279124045666</v>
      </c>
      <c r="G21" s="205"/>
      <c r="H21" s="205">
        <f t="shared" si="1"/>
        <v>74549.72674913214</v>
      </c>
    </row>
    <row r="22" spans="1:8">
      <c r="A22" s="199"/>
      <c r="B22" s="223" t="s">
        <v>446</v>
      </c>
      <c r="C22" s="201"/>
      <c r="D22" s="202"/>
      <c r="E22" s="203"/>
      <c r="F22" s="204">
        <f>F24+E23</f>
        <v>23785.537903910223</v>
      </c>
      <c r="G22" s="205"/>
      <c r="H22" s="205">
        <f t="shared" si="1"/>
        <v>72749.598836727571</v>
      </c>
    </row>
    <row r="23" spans="1:8">
      <c r="A23" s="199">
        <v>45503</v>
      </c>
      <c r="B23" s="223" t="s">
        <v>427</v>
      </c>
      <c r="C23" s="201">
        <v>2394.1</v>
      </c>
      <c r="D23" s="202">
        <f>(C23/C25)-1</f>
        <v>3.2255560969089547E-2</v>
      </c>
      <c r="E23" s="224">
        <f>F24*D23</f>
        <v>743.24217475941555</v>
      </c>
      <c r="F23" s="204">
        <f>IF(H24&lt;=0,,(H24*D23))</f>
        <v>1530.0118618203296</v>
      </c>
      <c r="G23" s="205"/>
      <c r="H23" s="205">
        <f t="shared" si="1"/>
        <v>48964.060932817345</v>
      </c>
    </row>
    <row r="24" spans="1:8">
      <c r="A24" s="199"/>
      <c r="B24" s="223" t="s">
        <v>445</v>
      </c>
      <c r="C24" s="201"/>
      <c r="D24" s="202"/>
      <c r="E24" s="203"/>
      <c r="F24" s="204">
        <f>F26+E25</f>
        <v>23042.295729150806</v>
      </c>
      <c r="G24" s="205"/>
      <c r="H24" s="205">
        <f t="shared" si="1"/>
        <v>47434.049070997018</v>
      </c>
    </row>
    <row r="25" spans="1:8">
      <c r="A25" s="199">
        <v>45473</v>
      </c>
      <c r="B25" s="223" t="s">
        <v>428</v>
      </c>
      <c r="C25" s="201">
        <v>2319.29</v>
      </c>
      <c r="D25" s="202">
        <f>(C25/C27)-1</f>
        <v>1.6407739334312055E-2</v>
      </c>
      <c r="E25" s="224">
        <f>F26*D25</f>
        <v>371.96881463698173</v>
      </c>
      <c r="F25" s="204">
        <f>IF(H26&lt;=0,,(H26*D25))</f>
        <v>393.75293521669187</v>
      </c>
      <c r="G25" s="205"/>
      <c r="H25" s="205">
        <f t="shared" si="1"/>
        <v>24391.753341846212</v>
      </c>
    </row>
    <row r="26" spans="1:8">
      <c r="A26" s="199"/>
      <c r="B26" s="223" t="s">
        <v>444</v>
      </c>
      <c r="C26" s="201"/>
      <c r="D26" s="202"/>
      <c r="E26" s="203"/>
      <c r="F26" s="204">
        <f>F28+E27</f>
        <v>22670.326914513826</v>
      </c>
      <c r="G26" s="205"/>
      <c r="H26" s="205">
        <f t="shared" si="0"/>
        <v>23998.000406629519</v>
      </c>
    </row>
    <row r="27" spans="1:8">
      <c r="A27" s="199">
        <v>45442</v>
      </c>
      <c r="B27" s="223" t="s">
        <v>429</v>
      </c>
      <c r="C27" s="201">
        <v>2281.85</v>
      </c>
      <c r="D27" s="202">
        <f>(C27/C29)-1</f>
        <v>3.3680634201585402E-2</v>
      </c>
      <c r="E27" s="224">
        <f>F28*D27</f>
        <v>738.67204509240219</v>
      </c>
      <c r="F27" s="204">
        <f>IF(H28&lt;=0,,(H28*D27))</f>
        <v>43.259865520871898</v>
      </c>
      <c r="G27" s="205"/>
      <c r="H27" s="205">
        <f t="shared" si="0"/>
        <v>1327.6734921156938</v>
      </c>
    </row>
    <row r="28" spans="1:8">
      <c r="A28" s="199"/>
      <c r="B28" s="223" t="s">
        <v>443</v>
      </c>
      <c r="C28" s="201"/>
      <c r="D28" s="202"/>
      <c r="E28" s="201"/>
      <c r="F28" s="204">
        <f>F30+E29</f>
        <v>21931.654869421422</v>
      </c>
      <c r="G28" s="205"/>
      <c r="H28" s="205">
        <f t="shared" si="0"/>
        <v>1284.4136265948218</v>
      </c>
    </row>
    <row r="29" spans="1:8">
      <c r="A29" s="199">
        <v>45412</v>
      </c>
      <c r="B29" s="223" t="s">
        <v>430</v>
      </c>
      <c r="C29" s="201">
        <v>2207.5</v>
      </c>
      <c r="D29" s="202">
        <f>(C29/C31)-1</f>
        <v>3.1797594731405532E-2</v>
      </c>
      <c r="E29" s="224">
        <f>F30*D29</f>
        <v>675.88243749342848</v>
      </c>
      <c r="F29" s="204">
        <f>IF(H30&lt;=0,,(H30*D29))</f>
        <v>0</v>
      </c>
      <c r="G29" s="205"/>
      <c r="H29" s="205">
        <f t="shared" si="0"/>
        <v>-20647.2412428266</v>
      </c>
    </row>
    <row r="30" spans="1:8">
      <c r="A30" s="199"/>
      <c r="B30" s="223" t="s">
        <v>442</v>
      </c>
      <c r="C30" s="201"/>
      <c r="D30" s="202"/>
      <c r="E30" s="203"/>
      <c r="F30" s="204">
        <f>F32+E31</f>
        <v>21255.772431927991</v>
      </c>
      <c r="G30" s="205"/>
      <c r="H30" s="205">
        <f t="shared" si="0"/>
        <v>-20647.2412428266</v>
      </c>
    </row>
    <row r="31" spans="1:8">
      <c r="A31" s="199">
        <v>45381</v>
      </c>
      <c r="B31" s="223" t="s">
        <v>431</v>
      </c>
      <c r="C31" s="201">
        <v>2139.4699999999998</v>
      </c>
      <c r="D31" s="202">
        <f>(C31/C33)-1</f>
        <v>3.1626709356375349E-2</v>
      </c>
      <c r="E31" s="224"/>
      <c r="F31" s="204">
        <f>IF(H32&lt;=0,,(H32*D31))</f>
        <v>0</v>
      </c>
      <c r="G31" s="205"/>
      <c r="H31" s="205">
        <f t="shared" si="0"/>
        <v>-41903.013674754591</v>
      </c>
    </row>
    <row r="32" spans="1:8">
      <c r="A32" s="199"/>
      <c r="B32" s="223" t="s">
        <v>441</v>
      </c>
      <c r="C32" s="201"/>
      <c r="D32" s="202"/>
      <c r="E32" s="203"/>
      <c r="F32" s="204">
        <f>F34+E33</f>
        <v>21255.772431927991</v>
      </c>
      <c r="G32" s="205"/>
      <c r="H32" s="205">
        <f t="shared" si="0"/>
        <v>-41903.013674754591</v>
      </c>
    </row>
    <row r="33" spans="1:8">
      <c r="A33" s="199">
        <v>45351</v>
      </c>
      <c r="B33" s="223" t="s">
        <v>432</v>
      </c>
      <c r="C33" s="201">
        <v>2073.88</v>
      </c>
      <c r="D33" s="202">
        <f>(C33/C35)-1</f>
        <v>4.5291882138285056E-2</v>
      </c>
      <c r="E33" s="224"/>
      <c r="F33" s="204">
        <f>IF(H34&lt;=0,,(H34*D33))</f>
        <v>0</v>
      </c>
      <c r="G33" s="205"/>
      <c r="H33" s="205">
        <f t="shared" si="0"/>
        <v>-63158.786106682586</v>
      </c>
    </row>
    <row r="34" spans="1:8">
      <c r="A34" s="199"/>
      <c r="B34" s="223" t="s">
        <v>440</v>
      </c>
      <c r="C34" s="201"/>
      <c r="D34" s="202"/>
      <c r="E34" s="203"/>
      <c r="F34" s="204">
        <f>F37+E35</f>
        <v>21255.772431927991</v>
      </c>
      <c r="G34" s="205"/>
      <c r="H34" s="205">
        <f t="shared" si="0"/>
        <v>-63158.786106682586</v>
      </c>
    </row>
    <row r="35" spans="1:8">
      <c r="A35" s="199">
        <v>45321</v>
      </c>
      <c r="B35" s="223" t="s">
        <v>433</v>
      </c>
      <c r="C35" s="201">
        <v>1984.02</v>
      </c>
      <c r="D35" s="202">
        <f>(C35/C38)-1</f>
        <v>6.7033097053856627E-2</v>
      </c>
      <c r="E35" s="224">
        <f>F36*D35</f>
        <v>670.33097053856625</v>
      </c>
      <c r="F35" s="204">
        <f>IF(H36&lt;=0,,(H36*D35))</f>
        <v>0</v>
      </c>
      <c r="G35" s="205"/>
      <c r="H35" s="205">
        <f t="shared" si="0"/>
        <v>-84414.558538610581</v>
      </c>
    </row>
    <row r="36" spans="1:8">
      <c r="A36" s="199"/>
      <c r="B36" s="223" t="s">
        <v>457</v>
      </c>
      <c r="C36" s="201"/>
      <c r="D36" s="202"/>
      <c r="E36" s="204"/>
      <c r="F36" s="204">
        <v>10000</v>
      </c>
      <c r="G36" s="205"/>
      <c r="H36" s="205">
        <f t="shared" si="0"/>
        <v>-84414.558538610581</v>
      </c>
    </row>
    <row r="37" spans="1:8">
      <c r="A37" s="199"/>
      <c r="B37" s="223" t="s">
        <v>439</v>
      </c>
      <c r="C37" s="201"/>
      <c r="D37" s="202"/>
      <c r="F37" s="204">
        <f>F39+E38</f>
        <v>20585.441461389426</v>
      </c>
      <c r="G37" s="205"/>
      <c r="H37" s="205">
        <f t="shared" si="0"/>
        <v>-94414.558538610581</v>
      </c>
    </row>
    <row r="38" spans="1:8">
      <c r="A38" s="199">
        <v>45290</v>
      </c>
      <c r="B38" s="223" t="s">
        <v>435</v>
      </c>
      <c r="C38" s="201">
        <v>1859.38</v>
      </c>
      <c r="D38" s="202">
        <f>(C38/C41)-1</f>
        <v>2.9272073069471327E-2</v>
      </c>
      <c r="E38" s="224">
        <f>F39*D38</f>
        <v>585.44146138942654</v>
      </c>
      <c r="F38" s="204">
        <f>IF(H39&lt;=0,,(H39*D38))</f>
        <v>0</v>
      </c>
      <c r="G38" s="205"/>
      <c r="H38" s="205">
        <f t="shared" si="0"/>
        <v>-115000</v>
      </c>
    </row>
    <row r="39" spans="1:8">
      <c r="A39" s="199"/>
      <c r="B39" s="223" t="s">
        <v>438</v>
      </c>
      <c r="C39" s="201"/>
      <c r="D39" s="202"/>
      <c r="E39" s="203"/>
      <c r="F39" s="204">
        <v>20000</v>
      </c>
      <c r="G39" s="205"/>
      <c r="H39" s="205">
        <f>H40+F39-G39</f>
        <v>-115000</v>
      </c>
    </row>
    <row r="40" spans="1:8">
      <c r="A40" s="199"/>
      <c r="B40" s="223"/>
      <c r="C40" s="201"/>
      <c r="D40" s="202"/>
      <c r="E40" s="203"/>
      <c r="F40" s="204"/>
      <c r="G40" s="205">
        <v>135000</v>
      </c>
      <c r="H40" s="205">
        <f>H42+F40-G40</f>
        <v>-135000</v>
      </c>
    </row>
    <row r="41" spans="1:8">
      <c r="A41" s="199">
        <v>45260</v>
      </c>
      <c r="B41" s="223" t="s">
        <v>436</v>
      </c>
      <c r="C41" s="201">
        <v>1806.5</v>
      </c>
      <c r="D41" s="202"/>
      <c r="E41" s="224"/>
      <c r="F41" s="204"/>
      <c r="G41" s="205"/>
      <c r="H41" s="205"/>
    </row>
    <row r="42" spans="1:8">
      <c r="A42" s="199"/>
      <c r="B42" s="223"/>
      <c r="C42" s="201"/>
      <c r="D42" s="202"/>
      <c r="E42" s="204"/>
      <c r="F42" s="204"/>
      <c r="G42" s="205"/>
      <c r="H42" s="205"/>
    </row>
    <row r="43" spans="1:8">
      <c r="A43" s="199"/>
      <c r="B43" s="205"/>
      <c r="C43" s="201"/>
      <c r="D43" s="202"/>
      <c r="E43" s="203"/>
      <c r="F43" s="204"/>
      <c r="G43" s="205"/>
      <c r="H43" s="205"/>
    </row>
    <row r="44" spans="1:8">
      <c r="A44" s="199"/>
      <c r="B44" s="223"/>
      <c r="C44" s="201"/>
      <c r="D44" s="202"/>
      <c r="E44" s="224"/>
      <c r="F44" s="204"/>
      <c r="G44" s="205"/>
      <c r="H44" s="205"/>
    </row>
    <row r="45" spans="1:8">
      <c r="A45" s="199"/>
      <c r="B45" s="223"/>
      <c r="C45" s="201"/>
      <c r="D45" s="202"/>
      <c r="E45" s="204"/>
      <c r="F45" s="204"/>
      <c r="G45" s="205"/>
      <c r="H45" s="205"/>
    </row>
    <row r="46" spans="1:8">
      <c r="A46" s="199"/>
      <c r="B46" s="223"/>
      <c r="C46" s="201"/>
      <c r="D46" s="202"/>
      <c r="E46" s="203"/>
      <c r="F46" s="204"/>
      <c r="G46" s="205"/>
      <c r="H46" s="205"/>
    </row>
    <row r="47" spans="1:8">
      <c r="A47" s="199"/>
      <c r="B47" s="223"/>
      <c r="C47" s="201"/>
      <c r="D47" s="202"/>
      <c r="E47" s="203"/>
      <c r="F47" s="204"/>
      <c r="G47" s="205"/>
      <c r="H47" s="205"/>
    </row>
    <row r="48" spans="1:8">
      <c r="A48" s="199"/>
      <c r="B48" s="223"/>
      <c r="C48" s="201"/>
      <c r="D48" s="202"/>
      <c r="E48" s="203"/>
      <c r="F48" s="204"/>
      <c r="G48" s="205"/>
      <c r="H48" s="205"/>
    </row>
    <row r="49" spans="1:8">
      <c r="A49" s="199"/>
      <c r="B49" s="205"/>
      <c r="C49" s="201"/>
      <c r="D49" s="202"/>
      <c r="E49" s="203"/>
      <c r="F49" s="204"/>
      <c r="G49" s="205"/>
      <c r="H49" s="205"/>
    </row>
    <row r="50" spans="1:8">
      <c r="A50" s="199"/>
      <c r="B50" s="223"/>
      <c r="C50" s="201"/>
      <c r="D50" s="202"/>
      <c r="E50" s="224"/>
      <c r="F50" s="204"/>
      <c r="G50" s="225"/>
      <c r="H50" s="205"/>
    </row>
    <row r="51" spans="1:8">
      <c r="A51" s="199"/>
      <c r="B51" s="223"/>
      <c r="C51" s="201"/>
      <c r="D51" s="202"/>
      <c r="E51" s="204"/>
      <c r="F51" s="204"/>
      <c r="G51" s="225"/>
      <c r="H51" s="205"/>
    </row>
    <row r="52" spans="1:8">
      <c r="A52" s="199"/>
      <c r="B52" s="205"/>
      <c r="C52" s="201"/>
      <c r="D52" s="202"/>
      <c r="E52" s="203"/>
      <c r="F52" s="204"/>
      <c r="G52" s="205"/>
      <c r="H52" s="20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zoomScale="145" zoomScaleNormal="145" workbookViewId="0">
      <selection activeCell="B9" sqref="B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 ht="15.75">
      <c r="B1" s="184" t="s">
        <v>412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-800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204024</v>
      </c>
    </row>
    <row r="8" spans="1:6">
      <c r="B8" s="14" t="s">
        <v>29</v>
      </c>
      <c r="C8"/>
      <c r="D8"/>
    </row>
    <row r="9" spans="1:6">
      <c r="A9" s="7">
        <v>45167</v>
      </c>
      <c r="B9" t="s">
        <v>390</v>
      </c>
      <c r="C9"/>
      <c r="D9" s="24">
        <v>204024</v>
      </c>
      <c r="E9" s="25"/>
      <c r="F9" s="3">
        <f>D9-E9</f>
        <v>204024</v>
      </c>
    </row>
    <row r="10" spans="1:6">
      <c r="B10" s="14" t="s">
        <v>392</v>
      </c>
      <c r="C10"/>
      <c r="D10" s="24"/>
      <c r="E10" s="25">
        <v>1000</v>
      </c>
      <c r="F10" s="3">
        <f t="shared" ref="F10:F20" si="0">D10-E10+F9</f>
        <v>203024</v>
      </c>
    </row>
    <row r="11" spans="1:6">
      <c r="B11" t="s">
        <v>392</v>
      </c>
      <c r="C11"/>
      <c r="D11" s="24"/>
      <c r="E11" s="25">
        <v>50000</v>
      </c>
      <c r="F11" s="3">
        <f t="shared" si="0"/>
        <v>153024</v>
      </c>
    </row>
    <row r="12" spans="1:6">
      <c r="B12" t="s">
        <v>391</v>
      </c>
      <c r="C12" s="92"/>
      <c r="D12" s="24"/>
      <c r="E12" s="25">
        <v>33000</v>
      </c>
      <c r="F12" s="3">
        <f t="shared" si="0"/>
        <v>120024</v>
      </c>
    </row>
    <row r="13" spans="1:6">
      <c r="B13" t="s">
        <v>393</v>
      </c>
      <c r="C13" s="92"/>
      <c r="D13" s="24"/>
      <c r="E13" s="25">
        <v>24</v>
      </c>
      <c r="F13" s="3">
        <f t="shared" si="0"/>
        <v>120000</v>
      </c>
    </row>
    <row r="14" spans="1:6">
      <c r="B14" t="s">
        <v>392</v>
      </c>
      <c r="C14" s="92"/>
      <c r="D14" s="27"/>
      <c r="E14" s="28">
        <v>120000</v>
      </c>
      <c r="F14" s="3">
        <f t="shared" si="0"/>
        <v>0</v>
      </c>
    </row>
    <row r="15" spans="1:6">
      <c r="B15"/>
      <c r="C15" s="92"/>
      <c r="D15" s="27"/>
      <c r="E15" s="28"/>
      <c r="F15" s="3">
        <f t="shared" si="0"/>
        <v>0</v>
      </c>
    </row>
    <row r="16" spans="1:6">
      <c r="A16" s="26"/>
      <c r="B16"/>
      <c r="C16"/>
      <c r="D16" s="27"/>
      <c r="E16" s="28"/>
      <c r="F16" s="3">
        <f t="shared" si="0"/>
        <v>0</v>
      </c>
    </row>
    <row r="17" spans="1:6">
      <c r="A17" s="26"/>
      <c r="B17"/>
      <c r="C17"/>
      <c r="D17" s="27"/>
      <c r="E17" s="28"/>
      <c r="F17" s="3">
        <f t="shared" si="0"/>
        <v>0</v>
      </c>
    </row>
    <row r="18" spans="1:6">
      <c r="A18" s="26"/>
      <c r="B18"/>
      <c r="C18"/>
      <c r="D18" s="27"/>
      <c r="E18" s="28"/>
      <c r="F18" s="3">
        <f t="shared" si="0"/>
        <v>0</v>
      </c>
    </row>
    <row r="19" spans="1:6">
      <c r="A19" s="26"/>
      <c r="B19"/>
      <c r="C19"/>
      <c r="D19" s="27"/>
      <c r="E19" s="28"/>
      <c r="F19" s="3">
        <f t="shared" si="0"/>
        <v>0</v>
      </c>
    </row>
    <row r="20" spans="1:6">
      <c r="A20" s="26"/>
      <c r="B20"/>
      <c r="C20"/>
      <c r="D20" s="27"/>
      <c r="E20" s="28"/>
      <c r="F20" s="29">
        <f t="shared" si="0"/>
        <v>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/>
      <c r="E25" s="31"/>
      <c r="F25" s="31">
        <f t="shared" ref="F25:F36" si="1">D25-E25+F24</f>
        <v>-800</v>
      </c>
    </row>
    <row r="26" spans="1:6">
      <c r="A26" s="26"/>
      <c r="B26" t="s">
        <v>36</v>
      </c>
      <c r="C26">
        <v>0</v>
      </c>
      <c r="D26" s="31"/>
      <c r="E26" s="31"/>
      <c r="F26" s="31">
        <f t="shared" si="1"/>
        <v>-800</v>
      </c>
    </row>
    <row r="27" spans="1:6">
      <c r="A27" s="26"/>
      <c r="B27" t="s">
        <v>37</v>
      </c>
      <c r="C27"/>
      <c r="D27" s="31"/>
      <c r="E27" s="31"/>
      <c r="F27" s="31">
        <f t="shared" si="1"/>
        <v>-800</v>
      </c>
    </row>
    <row r="28" spans="1:6">
      <c r="A28" s="26"/>
      <c r="B28" t="s">
        <v>38</v>
      </c>
      <c r="C28"/>
      <c r="D28" s="31"/>
      <c r="E28" s="31"/>
      <c r="F28" s="31">
        <f t="shared" si="1"/>
        <v>-800</v>
      </c>
    </row>
    <row r="29" spans="1:6">
      <c r="A29" s="26"/>
      <c r="B29" t="s">
        <v>39</v>
      </c>
      <c r="C29"/>
      <c r="D29" s="31"/>
      <c r="E29" s="31"/>
      <c r="F29" s="31">
        <f t="shared" si="1"/>
        <v>-800</v>
      </c>
    </row>
    <row r="30" spans="1:6">
      <c r="A30" s="26"/>
      <c r="B30" t="s">
        <v>89</v>
      </c>
      <c r="C30"/>
      <c r="D30" s="31"/>
      <c r="E30" s="31"/>
      <c r="F30" s="31">
        <f t="shared" si="1"/>
        <v>-800</v>
      </c>
    </row>
    <row r="31" spans="1:6">
      <c r="A31" s="26"/>
      <c r="B31" t="s">
        <v>90</v>
      </c>
      <c r="C31"/>
      <c r="D31" s="31"/>
      <c r="E31" s="31"/>
      <c r="F31" s="31">
        <f t="shared" si="1"/>
        <v>-800</v>
      </c>
    </row>
    <row r="32" spans="1:6">
      <c r="A32" s="26"/>
      <c r="B32" t="s">
        <v>91</v>
      </c>
      <c r="C32"/>
      <c r="D32" s="31"/>
      <c r="E32" s="31"/>
      <c r="F32" s="31">
        <f t="shared" si="1"/>
        <v>-800</v>
      </c>
    </row>
    <row r="33" spans="1:6">
      <c r="A33" s="26"/>
      <c r="B33" t="s">
        <v>92</v>
      </c>
      <c r="C33"/>
      <c r="D33" s="30"/>
      <c r="E33" s="31"/>
      <c r="F33" s="31">
        <f t="shared" si="1"/>
        <v>-800</v>
      </c>
    </row>
    <row r="34" spans="1:6">
      <c r="A34" s="26"/>
      <c r="B34" t="s">
        <v>40</v>
      </c>
      <c r="C34"/>
      <c r="D34" s="30"/>
      <c r="E34" s="31"/>
      <c r="F34" s="31">
        <f t="shared" si="1"/>
        <v>-800</v>
      </c>
    </row>
    <row r="35" spans="1:6">
      <c r="A35" s="26"/>
      <c r="B35" t="s">
        <v>41</v>
      </c>
      <c r="C35"/>
      <c r="D35" s="30"/>
      <c r="E35" s="31"/>
      <c r="F35" s="31">
        <f t="shared" si="1"/>
        <v>-800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-800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-800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45402</v>
      </c>
      <c r="B43" t="s">
        <v>394</v>
      </c>
      <c r="C43"/>
    </row>
    <row r="44" spans="1:6">
      <c r="B44" t="s">
        <v>395</v>
      </c>
      <c r="C44"/>
      <c r="D44" s="3">
        <v>204024</v>
      </c>
    </row>
    <row r="45" spans="1:6">
      <c r="A45" s="7">
        <v>45402</v>
      </c>
      <c r="B45" t="s">
        <v>149</v>
      </c>
      <c r="C45"/>
    </row>
    <row r="46" spans="1:6">
      <c r="B46"/>
      <c r="C46"/>
    </row>
    <row r="47" spans="1:6">
      <c r="A47" s="7">
        <v>45449</v>
      </c>
      <c r="B47" t="s">
        <v>150</v>
      </c>
      <c r="C47"/>
    </row>
    <row r="48" spans="1:6">
      <c r="A48" s="7">
        <v>45813</v>
      </c>
      <c r="B48" t="s">
        <v>151</v>
      </c>
      <c r="C48"/>
      <c r="E48"/>
    </row>
    <row r="49" spans="1:8">
      <c r="B49" t="s">
        <v>396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57"/>
      <c r="G51"/>
      <c r="H51"/>
    </row>
    <row r="52" spans="1:8">
      <c r="A52" s="147">
        <v>45402</v>
      </c>
      <c r="B52" t="s">
        <v>394</v>
      </c>
      <c r="C52" s="149"/>
      <c r="D52" s="150"/>
      <c r="E52" s="150"/>
      <c r="F52" s="150"/>
      <c r="G52"/>
      <c r="H52"/>
    </row>
    <row r="53" spans="1:8">
      <c r="A53" s="149"/>
      <c r="B53" s="148" t="s">
        <v>363</v>
      </c>
      <c r="C53" s="149"/>
      <c r="D53" s="150"/>
      <c r="E53" s="150"/>
      <c r="F53" s="150"/>
      <c r="G53"/>
      <c r="H53"/>
    </row>
    <row r="54" spans="1:8">
      <c r="A54" s="149"/>
      <c r="B54" s="149"/>
      <c r="C54" s="149"/>
      <c r="D54" s="150" t="s">
        <v>2</v>
      </c>
      <c r="E54" s="150" t="s">
        <v>3</v>
      </c>
      <c r="F54" s="150" t="s">
        <v>364</v>
      </c>
      <c r="G54"/>
      <c r="H54"/>
    </row>
    <row r="55" spans="1:8">
      <c r="A55" s="147"/>
      <c r="B55" s="149" t="s">
        <v>398</v>
      </c>
      <c r="C55" s="149"/>
      <c r="D55" s="150">
        <v>204024</v>
      </c>
      <c r="E55" s="150"/>
      <c r="F55" s="150">
        <f>D55-E55</f>
        <v>204024</v>
      </c>
      <c r="G55"/>
      <c r="H55"/>
    </row>
    <row r="56" spans="1:8">
      <c r="A56" s="147"/>
      <c r="B56" s="149"/>
      <c r="C56" s="149"/>
      <c r="D56" s="150"/>
      <c r="E56" s="150"/>
      <c r="F56" s="150">
        <f t="shared" ref="F56:F63" si="2">F55+D56-E56</f>
        <v>204024</v>
      </c>
      <c r="G56"/>
      <c r="H56"/>
    </row>
    <row r="57" spans="1:8">
      <c r="A57" s="147">
        <v>45402</v>
      </c>
      <c r="B57" s="149" t="s">
        <v>365</v>
      </c>
      <c r="C57" s="149"/>
      <c r="D57" s="150"/>
      <c r="E57" s="150"/>
      <c r="F57" s="150">
        <f t="shared" si="2"/>
        <v>204024</v>
      </c>
      <c r="G57"/>
      <c r="H57"/>
    </row>
    <row r="58" spans="1:8">
      <c r="A58" s="147">
        <v>45813</v>
      </c>
      <c r="B58" s="149" t="s">
        <v>366</v>
      </c>
      <c r="C58" s="149"/>
      <c r="E58"/>
      <c r="F58" s="150">
        <f t="shared" si="2"/>
        <v>204024</v>
      </c>
      <c r="G58"/>
      <c r="H58"/>
    </row>
    <row r="59" spans="1:8">
      <c r="A59" s="147">
        <v>45170</v>
      </c>
      <c r="B59" s="149" t="s">
        <v>397</v>
      </c>
      <c r="C59" s="149"/>
      <c r="E59">
        <v>1000</v>
      </c>
      <c r="F59" s="150">
        <f t="shared" si="2"/>
        <v>203024</v>
      </c>
      <c r="G59"/>
      <c r="H59"/>
    </row>
    <row r="60" spans="1:8">
      <c r="A60" s="147">
        <v>45199</v>
      </c>
      <c r="B60" s="149" t="s">
        <v>397</v>
      </c>
      <c r="C60" s="149"/>
      <c r="E60">
        <v>50000</v>
      </c>
      <c r="F60" s="150">
        <f t="shared" si="2"/>
        <v>153024</v>
      </c>
      <c r="G60" s="46"/>
      <c r="H60" s="51"/>
    </row>
    <row r="61" spans="1:8">
      <c r="A61" s="147">
        <v>45229</v>
      </c>
      <c r="B61" s="149" t="s">
        <v>397</v>
      </c>
      <c r="C61" s="149"/>
      <c r="E61">
        <v>33000</v>
      </c>
      <c r="F61" s="150">
        <f t="shared" si="2"/>
        <v>120024</v>
      </c>
      <c r="G61" s="46"/>
      <c r="H61" s="51"/>
    </row>
    <row r="62" spans="1:8">
      <c r="A62" s="147">
        <v>45260</v>
      </c>
      <c r="B62" s="149" t="s">
        <v>397</v>
      </c>
      <c r="C62" s="149"/>
      <c r="E62">
        <v>120000</v>
      </c>
      <c r="F62" s="150">
        <f t="shared" si="2"/>
        <v>24</v>
      </c>
      <c r="G62" s="46"/>
      <c r="H62" s="51"/>
    </row>
    <row r="63" spans="1:8">
      <c r="A63" s="147"/>
      <c r="B63" s="149" t="s">
        <v>393</v>
      </c>
      <c r="C63" s="149"/>
      <c r="E63">
        <v>24</v>
      </c>
      <c r="F63" s="150">
        <f t="shared" si="2"/>
        <v>0</v>
      </c>
      <c r="G63" s="46"/>
      <c r="H63" s="51"/>
    </row>
    <row r="64" spans="1:8">
      <c r="A64" s="147"/>
      <c r="B64" s="149"/>
      <c r="C64" s="149"/>
      <c r="E64"/>
      <c r="F64" s="150"/>
    </row>
    <row r="65" spans="1:6" ht="15">
      <c r="A65" s="147"/>
      <c r="B65" s="149" t="s">
        <v>374</v>
      </c>
      <c r="C65" s="152">
        <f>A58-A57</f>
        <v>411</v>
      </c>
      <c r="E65"/>
      <c r="F65" s="150"/>
    </row>
    <row r="66" spans="1:6">
      <c r="A66" s="147"/>
      <c r="B66" s="149" t="s">
        <v>375</v>
      </c>
      <c r="C66" s="148">
        <f>(D55-24)/C65</f>
        <v>496.35036496350364</v>
      </c>
      <c r="E66"/>
      <c r="F66" s="150"/>
    </row>
    <row r="67" spans="1:6" ht="15.75" thickBot="1">
      <c r="A67" s="153">
        <v>45813</v>
      </c>
      <c r="B67" s="154" t="s">
        <v>376</v>
      </c>
      <c r="C67" s="155"/>
      <c r="D67" s="156"/>
      <c r="E67"/>
      <c r="F67" s="150"/>
    </row>
    <row r="68" spans="1:6" ht="13.5" thickTop="1">
      <c r="A68"/>
      <c r="B68" s="149" t="s">
        <v>377</v>
      </c>
      <c r="C68" s="148">
        <f>A67-A57</f>
        <v>411</v>
      </c>
      <c r="D68"/>
      <c r="E68"/>
      <c r="F68" s="150"/>
    </row>
    <row r="69" spans="1:6">
      <c r="A69" s="147"/>
      <c r="B69" s="149" t="s">
        <v>378</v>
      </c>
      <c r="C69" s="149"/>
      <c r="D69" s="3">
        <f>C68*C66</f>
        <v>204000</v>
      </c>
      <c r="E69"/>
      <c r="F69" s="150"/>
    </row>
    <row r="70" spans="1:6">
      <c r="A70" s="147"/>
      <c r="B70" s="149" t="s">
        <v>379</v>
      </c>
      <c r="C70" s="149"/>
      <c r="D70" s="3">
        <f>D55-24-D69</f>
        <v>0</v>
      </c>
      <c r="E70"/>
      <c r="F70" s="150"/>
    </row>
    <row r="71" spans="1:6" ht="15.75" thickBot="1">
      <c r="A71" s="147"/>
      <c r="B71" s="157" t="s">
        <v>380</v>
      </c>
      <c r="C71" s="157" t="s">
        <v>381</v>
      </c>
      <c r="D71" s="158">
        <f>SUM(D70:D70)</f>
        <v>0</v>
      </c>
      <c r="E71"/>
      <c r="F71" s="150"/>
    </row>
    <row r="72" spans="1:6" ht="13.5" thickTop="1">
      <c r="A72" s="147"/>
      <c r="B72" s="149" t="s">
        <v>382</v>
      </c>
      <c r="C72" s="149" t="s">
        <v>381</v>
      </c>
      <c r="E72"/>
      <c r="F72" s="150"/>
    </row>
    <row r="73" spans="1:6">
      <c r="A73" s="147"/>
      <c r="B73" s="149" t="s">
        <v>383</v>
      </c>
      <c r="C73" s="149" t="s">
        <v>384</v>
      </c>
      <c r="E73"/>
      <c r="F73" s="150"/>
    </row>
    <row r="74" spans="1:6">
      <c r="A74" s="147"/>
      <c r="B74" s="149" t="s">
        <v>385</v>
      </c>
      <c r="C74" s="149" t="s">
        <v>384</v>
      </c>
      <c r="E74"/>
      <c r="F74" s="150"/>
    </row>
    <row r="75" spans="1:6" ht="13.5" thickBot="1">
      <c r="A75" s="147"/>
      <c r="B75" s="159"/>
      <c r="C75" s="149"/>
      <c r="E75"/>
      <c r="F75" s="150"/>
    </row>
    <row r="76" spans="1:6" s="3" customFormat="1" ht="16.5" thickTop="1" thickBot="1">
      <c r="A76" s="149"/>
      <c r="B76" s="160" t="s">
        <v>387</v>
      </c>
      <c r="C76" s="161" t="s">
        <v>381</v>
      </c>
      <c r="D76" s="158">
        <f>SUM(D71:D75)</f>
        <v>0</v>
      </c>
      <c r="E76" s="150"/>
      <c r="F76" s="150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145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36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37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38</v>
      </c>
      <c r="C28"/>
      <c r="D28" s="31"/>
      <c r="E28" s="31"/>
      <c r="F28" s="31">
        <f t="shared" si="1"/>
        <v>-794.6</v>
      </c>
    </row>
    <row r="29" spans="1:6">
      <c r="A29" s="26"/>
      <c r="B29" t="s">
        <v>39</v>
      </c>
      <c r="C29"/>
      <c r="D29" s="31"/>
      <c r="E29" s="31"/>
      <c r="F29" s="31">
        <f t="shared" si="1"/>
        <v>-794.6</v>
      </c>
    </row>
    <row r="30" spans="1:6">
      <c r="A30" s="26"/>
      <c r="B30" t="s">
        <v>89</v>
      </c>
      <c r="C30"/>
      <c r="D30" s="31"/>
      <c r="E30" s="31"/>
      <c r="F30" s="31">
        <f t="shared" si="1"/>
        <v>-794.6</v>
      </c>
    </row>
    <row r="31" spans="1:6">
      <c r="A31" s="26"/>
      <c r="B31" t="s">
        <v>90</v>
      </c>
      <c r="C31"/>
      <c r="D31" s="31"/>
      <c r="E31" s="31"/>
      <c r="F31" s="31">
        <f t="shared" si="1"/>
        <v>-794.6</v>
      </c>
    </row>
    <row r="32" spans="1:6">
      <c r="A32" s="26"/>
      <c r="B32" t="s">
        <v>91</v>
      </c>
      <c r="C32"/>
      <c r="D32" s="31"/>
      <c r="E32" s="31"/>
      <c r="F32" s="31">
        <f t="shared" si="1"/>
        <v>-794.6</v>
      </c>
    </row>
    <row r="33" spans="1:6">
      <c r="A33" s="26"/>
      <c r="B33" t="s">
        <v>92</v>
      </c>
      <c r="C33"/>
      <c r="D33" s="30"/>
      <c r="E33" s="31"/>
      <c r="F33" s="31">
        <f t="shared" si="1"/>
        <v>-794.6</v>
      </c>
    </row>
    <row r="34" spans="1:6">
      <c r="A34" s="26"/>
      <c r="B34" t="s">
        <v>40</v>
      </c>
      <c r="C34"/>
      <c r="D34" s="30"/>
      <c r="E34" s="31"/>
      <c r="F34" s="31">
        <f t="shared" si="1"/>
        <v>-794.6</v>
      </c>
    </row>
    <row r="35" spans="1:6">
      <c r="A35" s="26"/>
      <c r="B35" t="s">
        <v>41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1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7">
        <v>45139</v>
      </c>
      <c r="B72" s="148" t="s">
        <v>147</v>
      </c>
      <c r="C72" s="149"/>
      <c r="D72" s="150"/>
      <c r="E72" s="150"/>
      <c r="F72" s="150"/>
      <c r="G72"/>
      <c r="H72"/>
    </row>
    <row r="73" spans="1:8">
      <c r="A73" s="149"/>
      <c r="B73" s="148" t="s">
        <v>363</v>
      </c>
      <c r="C73" s="149"/>
      <c r="D73" s="150"/>
      <c r="E73" s="150"/>
      <c r="F73" s="150"/>
      <c r="G73"/>
      <c r="H73"/>
    </row>
    <row r="74" spans="1:8">
      <c r="A74" s="149"/>
      <c r="B74" s="149"/>
      <c r="C74" s="149"/>
      <c r="D74" s="150" t="s">
        <v>2</v>
      </c>
      <c r="E74" s="150" t="s">
        <v>3</v>
      </c>
      <c r="F74" s="150" t="s">
        <v>364</v>
      </c>
      <c r="G74"/>
      <c r="H74"/>
    </row>
    <row r="75" spans="1:8">
      <c r="A75" s="147"/>
      <c r="B75" s="149"/>
      <c r="C75" s="149"/>
      <c r="D75" s="150">
        <v>96000</v>
      </c>
      <c r="E75" s="150"/>
      <c r="F75" s="150">
        <f>D75-E75</f>
        <v>96000</v>
      </c>
      <c r="G75"/>
      <c r="H75"/>
    </row>
    <row r="76" spans="1:8">
      <c r="A76" s="147"/>
      <c r="B76" s="149"/>
      <c r="C76" s="149"/>
      <c r="D76" s="150"/>
      <c r="E76" s="150"/>
      <c r="F76" s="150">
        <f t="shared" ref="F76:F84" si="3">F75+D76-E76</f>
        <v>96000</v>
      </c>
      <c r="G76"/>
      <c r="H76"/>
    </row>
    <row r="77" spans="1:8">
      <c r="A77" s="147">
        <v>45168</v>
      </c>
      <c r="B77" s="149" t="s">
        <v>365</v>
      </c>
      <c r="C77" s="149"/>
      <c r="D77" s="150"/>
      <c r="E77" s="150"/>
      <c r="F77" s="150">
        <f t="shared" si="3"/>
        <v>96000</v>
      </c>
      <c r="G77"/>
      <c r="H77"/>
    </row>
    <row r="78" spans="1:8">
      <c r="A78" s="147">
        <v>45533</v>
      </c>
      <c r="B78" s="149" t="s">
        <v>366</v>
      </c>
      <c r="C78" s="149"/>
      <c r="E78"/>
      <c r="F78" s="150">
        <f t="shared" si="3"/>
        <v>96000</v>
      </c>
      <c r="G78"/>
      <c r="H78"/>
    </row>
    <row r="79" spans="1:8">
      <c r="A79" s="147">
        <v>45170</v>
      </c>
      <c r="B79" s="149" t="s">
        <v>367</v>
      </c>
      <c r="C79" s="149"/>
      <c r="E79">
        <v>65000</v>
      </c>
      <c r="F79" s="150">
        <f t="shared" si="3"/>
        <v>31000</v>
      </c>
      <c r="G79"/>
      <c r="H79"/>
    </row>
    <row r="80" spans="1:8">
      <c r="A80" s="147">
        <v>45199</v>
      </c>
      <c r="B80" s="149" t="s">
        <v>368</v>
      </c>
      <c r="C80" s="149"/>
      <c r="E80">
        <v>6000</v>
      </c>
      <c r="F80" s="150">
        <f t="shared" si="3"/>
        <v>25000</v>
      </c>
      <c r="G80" s="46"/>
      <c r="H80" s="51"/>
    </row>
    <row r="81" spans="1:8">
      <c r="A81" s="147">
        <v>45229</v>
      </c>
      <c r="B81" s="149" t="s">
        <v>369</v>
      </c>
      <c r="C81" s="149"/>
      <c r="E81">
        <v>6000</v>
      </c>
      <c r="F81" s="150">
        <f t="shared" si="3"/>
        <v>19000</v>
      </c>
      <c r="G81" s="46"/>
      <c r="H81" s="51"/>
    </row>
    <row r="82" spans="1:8">
      <c r="A82" s="147">
        <v>45260</v>
      </c>
      <c r="B82" s="149" t="s">
        <v>370</v>
      </c>
      <c r="C82" s="149"/>
      <c r="E82">
        <v>6000</v>
      </c>
      <c r="F82" s="150">
        <f t="shared" si="3"/>
        <v>13000</v>
      </c>
      <c r="G82" s="46"/>
      <c r="H82" s="51"/>
    </row>
    <row r="83" spans="1:8">
      <c r="A83" s="147">
        <v>45290</v>
      </c>
      <c r="B83" s="149" t="s">
        <v>371</v>
      </c>
      <c r="C83" s="149"/>
      <c r="E83">
        <v>6000</v>
      </c>
      <c r="F83" s="150">
        <f t="shared" si="3"/>
        <v>7000</v>
      </c>
      <c r="G83" s="46"/>
      <c r="H83" s="51"/>
    </row>
    <row r="84" spans="1:8" ht="13.5" thickBot="1">
      <c r="A84" s="147">
        <v>45321</v>
      </c>
      <c r="B84" s="149" t="s">
        <v>372</v>
      </c>
      <c r="C84" s="151" t="s">
        <v>373</v>
      </c>
      <c r="E84"/>
      <c r="F84" s="150">
        <f t="shared" si="3"/>
        <v>7000</v>
      </c>
      <c r="G84" s="46"/>
      <c r="H84" s="51"/>
    </row>
    <row r="85" spans="1:8" ht="13.5" thickTop="1">
      <c r="A85" s="147"/>
      <c r="B85" s="149"/>
      <c r="C85" s="149"/>
      <c r="E85"/>
      <c r="F85" s="150"/>
    </row>
    <row r="86" spans="1:8" ht="15">
      <c r="A86" s="147"/>
      <c r="B86" s="149" t="s">
        <v>374</v>
      </c>
      <c r="C86" s="152">
        <f>A78-A77</f>
        <v>365</v>
      </c>
      <c r="E86"/>
      <c r="F86" s="150"/>
    </row>
    <row r="87" spans="1:8">
      <c r="A87" s="147"/>
      <c r="B87" s="149" t="s">
        <v>375</v>
      </c>
      <c r="C87" s="148">
        <f>D75/C86</f>
        <v>263.01369863013701</v>
      </c>
      <c r="E87"/>
      <c r="F87" s="150"/>
    </row>
    <row r="88" spans="1:8" ht="15.75" thickBot="1">
      <c r="A88" s="153">
        <v>45413</v>
      </c>
      <c r="B88" s="154" t="s">
        <v>376</v>
      </c>
      <c r="C88" s="155"/>
      <c r="D88" s="156"/>
      <c r="E88"/>
    </row>
    <row r="89" spans="1:8" ht="13.5" thickTop="1">
      <c r="A89"/>
      <c r="B89" s="149" t="s">
        <v>377</v>
      </c>
      <c r="C89" s="148">
        <f>A88-A77</f>
        <v>245</v>
      </c>
      <c r="D89"/>
      <c r="E89"/>
    </row>
    <row r="90" spans="1:8">
      <c r="A90" s="147"/>
      <c r="B90" s="149" t="s">
        <v>378</v>
      </c>
      <c r="C90" s="149"/>
      <c r="D90" s="3">
        <f>C89*C87</f>
        <v>64438.356164383571</v>
      </c>
      <c r="E90"/>
    </row>
    <row r="91" spans="1:8">
      <c r="A91" s="147"/>
      <c r="B91" s="149" t="s">
        <v>379</v>
      </c>
      <c r="C91" s="149"/>
      <c r="D91" s="3">
        <f>D75-D90</f>
        <v>31561.643835616429</v>
      </c>
      <c r="E91"/>
      <c r="F91" s="150"/>
    </row>
    <row r="92" spans="1:8" ht="15.75" thickBot="1">
      <c r="A92" s="147"/>
      <c r="B92" s="157" t="s">
        <v>380</v>
      </c>
      <c r="C92" s="157" t="s">
        <v>381</v>
      </c>
      <c r="D92" s="158">
        <f>SUM(D91:D91)</f>
        <v>31561.643835616429</v>
      </c>
      <c r="E92"/>
      <c r="F92" s="150"/>
    </row>
    <row r="93" spans="1:8" ht="13.5" thickTop="1">
      <c r="A93" s="147"/>
      <c r="B93" s="149" t="s">
        <v>382</v>
      </c>
      <c r="C93" s="149" t="s">
        <v>381</v>
      </c>
      <c r="D93" s="3">
        <v>794.6</v>
      </c>
      <c r="E93"/>
      <c r="F93" s="150"/>
    </row>
    <row r="94" spans="1:8">
      <c r="A94" s="147"/>
      <c r="B94" s="149" t="s">
        <v>385</v>
      </c>
      <c r="C94" s="149" t="s">
        <v>384</v>
      </c>
      <c r="D94" s="3">
        <v>-30</v>
      </c>
      <c r="E94"/>
      <c r="F94" s="150"/>
    </row>
    <row r="95" spans="1:8" ht="13.5" thickBot="1">
      <c r="A95" s="147"/>
      <c r="B95" s="159" t="s">
        <v>386</v>
      </c>
      <c r="C95" s="149" t="s">
        <v>384</v>
      </c>
      <c r="D95" s="3">
        <f>F84*-1</f>
        <v>-7000</v>
      </c>
      <c r="E95"/>
      <c r="F95" s="150"/>
    </row>
    <row r="96" spans="1:8" ht="16.5" thickTop="1" thickBot="1">
      <c r="A96" s="149"/>
      <c r="B96" s="160" t="s">
        <v>387</v>
      </c>
      <c r="C96" s="161" t="s">
        <v>381</v>
      </c>
      <c r="D96" s="158">
        <f>SUM(D92:D95)</f>
        <v>25326.243835616428</v>
      </c>
      <c r="E96" s="150"/>
      <c r="F96" s="150"/>
    </row>
    <row r="97" spans="1:4" ht="13.5" thickTop="1">
      <c r="A97" s="7">
        <v>45412</v>
      </c>
      <c r="B97" s="3" t="s">
        <v>326</v>
      </c>
      <c r="D97" s="3">
        <v>24000</v>
      </c>
    </row>
    <row r="98" spans="1:4">
      <c r="B98" s="3" t="s">
        <v>410</v>
      </c>
      <c r="D98" s="3">
        <v>1000</v>
      </c>
    </row>
    <row r="99" spans="1:4">
      <c r="B99" s="183" t="s">
        <v>411</v>
      </c>
    </row>
    <row r="101" spans="1:4">
      <c r="D101" s="3" t="s">
        <v>399</v>
      </c>
    </row>
    <row r="102" spans="1:4">
      <c r="A102" s="7" t="s">
        <v>124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50"/>
      <c r="B114" s="3" t="s">
        <v>400</v>
      </c>
      <c r="D114" s="3">
        <v>7000</v>
      </c>
    </row>
    <row r="115" spans="1:5" ht="13.5" thickBot="1">
      <c r="A115" s="153">
        <v>45413</v>
      </c>
      <c r="B115" s="3">
        <v>1985</v>
      </c>
      <c r="D115" s="3">
        <f>D114/B115</f>
        <v>3.5264483627204029</v>
      </c>
      <c r="E115" s="3" t="s">
        <v>401</v>
      </c>
    </row>
    <row r="116" spans="1:5" ht="14.25" thickTop="1" thickBot="1">
      <c r="A116" s="153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401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9" zoomScale="175" zoomScaleNormal="175" workbookViewId="0">
      <selection activeCell="E23" sqref="E23"/>
    </sheetView>
  </sheetViews>
  <sheetFormatPr defaultRowHeight="12.75"/>
  <cols>
    <col min="1" max="1" width="13.42578125" style="170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3"/>
      <c r="B1" s="8" t="s">
        <v>167</v>
      </c>
      <c r="C1" s="8"/>
      <c r="D1" s="8"/>
      <c r="G1" s="9" t="s">
        <v>143</v>
      </c>
    </row>
    <row r="2" spans="1:7">
      <c r="A2" s="163"/>
      <c r="B2" s="8"/>
      <c r="C2" s="8"/>
      <c r="D2" s="8"/>
    </row>
    <row r="3" spans="1:7" ht="13.5" thickBot="1">
      <c r="A3" s="164" t="s">
        <v>23</v>
      </c>
      <c r="B3" s="11" t="s">
        <v>24</v>
      </c>
      <c r="C3" s="11"/>
      <c r="D3" s="11" t="s">
        <v>345</v>
      </c>
      <c r="E3" s="12" t="s">
        <v>2</v>
      </c>
      <c r="F3" s="12" t="s">
        <v>3</v>
      </c>
      <c r="G3" s="12" t="s">
        <v>26</v>
      </c>
    </row>
    <row r="4" spans="1:7">
      <c r="A4" s="163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3"/>
      <c r="B5" s="14" t="s">
        <v>27</v>
      </c>
      <c r="C5" s="14"/>
      <c r="D5" s="14"/>
      <c r="E5" s="18">
        <f>G59</f>
        <v>0</v>
      </c>
      <c r="G5"/>
    </row>
    <row r="6" spans="1:7">
      <c r="A6" s="163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6" t="s">
        <v>388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3"/>
      <c r="B8" s="14" t="s">
        <v>29</v>
      </c>
      <c r="C8"/>
      <c r="D8"/>
      <c r="E8"/>
    </row>
    <row r="9" spans="1:7">
      <c r="A9" s="169">
        <v>44957</v>
      </c>
      <c r="B9" s="143" t="s">
        <v>274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9"/>
      <c r="B10" s="143" t="s">
        <v>275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9"/>
      <c r="B11" s="143" t="s">
        <v>276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9"/>
      <c r="B12" s="143" t="s">
        <v>278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9"/>
      <c r="B13" s="143" t="s">
        <v>277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9"/>
      <c r="B14" s="143" t="s">
        <v>279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9"/>
      <c r="B15" s="143" t="s">
        <v>280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9"/>
      <c r="B16" s="143" t="s">
        <v>281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9"/>
      <c r="B17" s="143" t="s">
        <v>282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9"/>
      <c r="B18" s="143" t="s">
        <v>263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9">
        <v>45260</v>
      </c>
      <c r="B19" s="143" t="s">
        <v>389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9">
        <v>45291</v>
      </c>
      <c r="B20" s="143" t="s">
        <v>265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5"/>
      <c r="B21" s="186"/>
      <c r="C21" s="186"/>
      <c r="D21" s="187"/>
      <c r="E21" s="188"/>
      <c r="F21" s="189"/>
      <c r="G21" s="190"/>
    </row>
    <row r="22" spans="1:7">
      <c r="A22" s="169">
        <v>45322</v>
      </c>
      <c r="B22" s="144" t="s">
        <v>274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9"/>
      <c r="B23" s="144" t="s">
        <v>275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9"/>
      <c r="B24" s="144" t="s">
        <v>276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9"/>
      <c r="B25" s="146" t="s">
        <v>349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9">
        <v>45397</v>
      </c>
      <c r="B26" s="144" t="s">
        <v>360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9"/>
      <c r="B27" s="146" t="s">
        <v>208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9"/>
      <c r="B28" s="145" t="s">
        <v>361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9"/>
      <c r="B29" s="145" t="s">
        <v>279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9"/>
      <c r="B30" s="145" t="s">
        <v>280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9"/>
      <c r="B31" s="145" t="s">
        <v>281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9"/>
      <c r="B32" s="145" t="s">
        <v>362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9"/>
      <c r="B33" s="145" t="s">
        <v>263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9"/>
      <c r="B34" s="145" t="s">
        <v>264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9"/>
      <c r="B35" s="145" t="s">
        <v>265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9"/>
      <c r="B36" s="145" t="s">
        <v>274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9"/>
      <c r="B37" s="145" t="s">
        <v>275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9"/>
      <c r="B38" s="145" t="s">
        <v>276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9"/>
      <c r="B39" s="145" t="s">
        <v>360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5"/>
      <c r="B40"/>
      <c r="C40"/>
      <c r="D40"/>
      <c r="E40" s="30"/>
      <c r="F40" s="31"/>
      <c r="G40" s="31"/>
    </row>
    <row r="41" spans="1:13">
      <c r="A41" s="165"/>
      <c r="B41"/>
      <c r="C41"/>
      <c r="D41"/>
      <c r="E41" s="30"/>
      <c r="F41" s="31"/>
      <c r="G41" s="31"/>
    </row>
    <row r="42" spans="1:13">
      <c r="A42" s="166" t="str">
        <f>A7</f>
        <v xml:space="preserve"> - 2024 -</v>
      </c>
      <c r="B42" s="21" t="s">
        <v>32</v>
      </c>
      <c r="C42" s="21" t="s">
        <v>33</v>
      </c>
      <c r="D42" s="21"/>
      <c r="E42" s="33" t="s">
        <v>34</v>
      </c>
      <c r="F42" s="34"/>
      <c r="G42" s="34" t="s">
        <v>347</v>
      </c>
    </row>
    <row r="43" spans="1:13">
      <c r="A43" s="165"/>
      <c r="B43" t="s">
        <v>35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5"/>
      <c r="B44" t="s">
        <v>88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5"/>
      <c r="B45" t="s">
        <v>36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5"/>
      <c r="B46" t="s">
        <v>37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5"/>
      <c r="B47" t="s">
        <v>38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5"/>
      <c r="B48" t="s">
        <v>39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5"/>
      <c r="B49" t="s">
        <v>89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5"/>
      <c r="B50" t="s">
        <v>90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5"/>
      <c r="B51" t="s">
        <v>91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5"/>
      <c r="B52" t="s">
        <v>92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5"/>
      <c r="B53" t="s">
        <v>40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5"/>
      <c r="B54" t="s">
        <v>41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6"/>
      <c r="B55" s="21" t="s">
        <v>42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7">
        <v>45657</v>
      </c>
      <c r="B56" s="36" t="s">
        <v>35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5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3"/>
      <c r="B58"/>
      <c r="C58"/>
      <c r="D58"/>
      <c r="J58" s="3"/>
      <c r="K58" s="3"/>
      <c r="L58" s="3"/>
      <c r="M58" s="3"/>
    </row>
    <row r="59" spans="1:13">
      <c r="A59" s="168" t="s">
        <v>254</v>
      </c>
      <c r="B59" s="40" t="s">
        <v>168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3"/>
      <c r="B60" s="8"/>
      <c r="C60" s="8"/>
      <c r="D60" s="8"/>
      <c r="E60"/>
      <c r="F60"/>
      <c r="G60"/>
    </row>
    <row r="61" spans="1:13">
      <c r="A61" s="163"/>
      <c r="B61" s="8"/>
      <c r="C61" s="8"/>
      <c r="D61" s="8"/>
      <c r="E61"/>
      <c r="F61"/>
      <c r="G61"/>
    </row>
    <row r="62" spans="1:13">
      <c r="A62" s="163"/>
      <c r="B62" s="8"/>
      <c r="C62" s="8"/>
      <c r="D62" s="8"/>
      <c r="E62"/>
      <c r="F62"/>
      <c r="G62"/>
    </row>
    <row r="63" spans="1:13">
      <c r="A63" s="169"/>
      <c r="B63" t="s">
        <v>354</v>
      </c>
      <c r="C63"/>
      <c r="D63"/>
      <c r="E63"/>
      <c r="F63"/>
      <c r="G63"/>
    </row>
    <row r="64" spans="1:13">
      <c r="A64" s="169"/>
      <c r="B64"/>
      <c r="C64"/>
      <c r="D64"/>
      <c r="E64"/>
      <c r="F64"/>
      <c r="G64"/>
    </row>
    <row r="65" spans="1:7">
      <c r="A65" s="169"/>
      <c r="B65" t="s">
        <v>285</v>
      </c>
      <c r="C65"/>
      <c r="E65" s="3">
        <v>48000</v>
      </c>
      <c r="G65" s="3">
        <f>G63+E65-F65</f>
        <v>48000</v>
      </c>
    </row>
    <row r="66" spans="1:7">
      <c r="A66" s="169">
        <v>44651</v>
      </c>
      <c r="B66" t="s">
        <v>286</v>
      </c>
      <c r="C66"/>
      <c r="F66">
        <v>28000</v>
      </c>
      <c r="G66" s="3">
        <f t="shared" ref="G66:G71" si="4">G65+E66-F66</f>
        <v>20000</v>
      </c>
    </row>
    <row r="67" spans="1:7">
      <c r="A67" s="169">
        <v>44681</v>
      </c>
      <c r="B67" t="s">
        <v>283</v>
      </c>
      <c r="C67"/>
      <c r="F67">
        <v>4000</v>
      </c>
      <c r="G67" s="3">
        <f t="shared" si="4"/>
        <v>16000</v>
      </c>
    </row>
    <row r="68" spans="1:7">
      <c r="A68" s="169">
        <v>44711</v>
      </c>
      <c r="B68" t="s">
        <v>284</v>
      </c>
      <c r="C68"/>
      <c r="F68">
        <v>4000</v>
      </c>
      <c r="G68" s="3">
        <f t="shared" si="4"/>
        <v>12000</v>
      </c>
    </row>
    <row r="69" spans="1:7">
      <c r="A69" s="169">
        <v>44742</v>
      </c>
      <c r="B69" t="s">
        <v>355</v>
      </c>
      <c r="C69"/>
      <c r="F69"/>
      <c r="G69" s="3">
        <f t="shared" si="4"/>
        <v>12000</v>
      </c>
    </row>
    <row r="70" spans="1:7">
      <c r="A70" s="169">
        <v>44772</v>
      </c>
      <c r="B70" t="s">
        <v>356</v>
      </c>
      <c r="C70"/>
      <c r="F70"/>
      <c r="G70" s="3">
        <f t="shared" si="4"/>
        <v>12000</v>
      </c>
    </row>
    <row r="71" spans="1:7">
      <c r="A71" s="169">
        <v>44803</v>
      </c>
      <c r="B71" t="s">
        <v>357</v>
      </c>
      <c r="C71"/>
      <c r="F71"/>
      <c r="G71" s="3">
        <f t="shared" si="4"/>
        <v>12000</v>
      </c>
    </row>
    <row r="72" spans="1:7">
      <c r="A72" s="169"/>
      <c r="B72"/>
      <c r="C72"/>
      <c r="D72"/>
      <c r="E72"/>
      <c r="F72"/>
      <c r="G72"/>
    </row>
    <row r="73" spans="1:7">
      <c r="B73" t="s">
        <v>359</v>
      </c>
      <c r="C73"/>
      <c r="D73"/>
      <c r="E73"/>
      <c r="F73"/>
      <c r="G73"/>
    </row>
    <row r="74" spans="1:7">
      <c r="B74" t="s">
        <v>358</v>
      </c>
      <c r="C74"/>
      <c r="D74"/>
      <c r="E74"/>
      <c r="F74"/>
      <c r="G74"/>
    </row>
    <row r="75" spans="1:7">
      <c r="A75" s="169"/>
      <c r="B75"/>
      <c r="C75"/>
      <c r="D75"/>
      <c r="E75"/>
      <c r="F75"/>
      <c r="G75"/>
    </row>
    <row r="76" spans="1:7">
      <c r="A76" s="163"/>
      <c r="B76" s="8"/>
      <c r="C76" s="8"/>
      <c r="D76" s="8"/>
      <c r="E76"/>
      <c r="F76"/>
      <c r="G76"/>
    </row>
    <row r="77" spans="1:7">
      <c r="A77" s="163"/>
      <c r="B77" s="8"/>
      <c r="C77" s="8"/>
      <c r="D77" s="8"/>
      <c r="E77"/>
      <c r="F77"/>
      <c r="G77"/>
    </row>
    <row r="78" spans="1:7">
      <c r="A78" s="163"/>
      <c r="B78" s="8"/>
      <c r="C78" s="8"/>
      <c r="D78" s="8"/>
      <c r="E78"/>
      <c r="F78"/>
      <c r="G78"/>
    </row>
    <row r="79" spans="1:7">
      <c r="A79" s="163"/>
      <c r="B79" s="8"/>
      <c r="C79" s="8"/>
      <c r="D79" s="8"/>
      <c r="E79"/>
      <c r="F79"/>
      <c r="G79"/>
    </row>
    <row r="80" spans="1:7">
      <c r="A80" s="163"/>
      <c r="B80" s="8"/>
      <c r="C80" s="8"/>
      <c r="D80" s="8"/>
      <c r="E80"/>
      <c r="F80"/>
      <c r="G80"/>
    </row>
    <row r="81" spans="1:7" ht="20.25">
      <c r="B81" s="162">
        <v>2023</v>
      </c>
      <c r="C81" s="8"/>
      <c r="D81" s="8"/>
      <c r="E81"/>
      <c r="F81"/>
      <c r="G81"/>
    </row>
    <row r="82" spans="1:7">
      <c r="A82" s="163"/>
      <c r="B82" s="8"/>
      <c r="C82" s="8"/>
      <c r="D82" s="8"/>
      <c r="E82"/>
      <c r="F82"/>
      <c r="G82"/>
    </row>
    <row r="83" spans="1:7">
      <c r="A83" s="163">
        <v>45315</v>
      </c>
      <c r="B83" s="8" t="s">
        <v>333</v>
      </c>
      <c r="C83" s="8"/>
      <c r="D83" s="8"/>
      <c r="E83"/>
      <c r="F83"/>
      <c r="G83"/>
    </row>
    <row r="84" spans="1:7">
      <c r="A84" s="170">
        <v>45236</v>
      </c>
      <c r="B84" t="s">
        <v>169</v>
      </c>
      <c r="C84"/>
      <c r="D84"/>
      <c r="E84" s="61"/>
    </row>
    <row r="85" spans="1:7">
      <c r="A85" s="170">
        <v>45236</v>
      </c>
      <c r="B85" s="1" t="s">
        <v>170</v>
      </c>
      <c r="C85"/>
      <c r="D85"/>
      <c r="E85" s="61"/>
    </row>
    <row r="86" spans="1:7">
      <c r="A86" s="172"/>
      <c r="B86"/>
      <c r="C86" s="62"/>
      <c r="D86" s="62"/>
      <c r="E86" s="57"/>
      <c r="F86" s="57"/>
    </row>
    <row r="87" spans="1:7">
      <c r="A87" s="170">
        <v>45236</v>
      </c>
      <c r="B87" t="s">
        <v>171</v>
      </c>
      <c r="C87"/>
      <c r="D87"/>
      <c r="E87" s="61"/>
    </row>
    <row r="88" spans="1:7">
      <c r="B88" t="s">
        <v>172</v>
      </c>
      <c r="C88"/>
      <c r="D88"/>
      <c r="E88" s="61"/>
    </row>
    <row r="89" spans="1:7">
      <c r="B89" t="s">
        <v>173</v>
      </c>
      <c r="C89"/>
      <c r="D89"/>
      <c r="E89" s="61"/>
    </row>
    <row r="90" spans="1:7">
      <c r="B90" s="3" t="s">
        <v>174</v>
      </c>
      <c r="C90"/>
      <c r="D90"/>
      <c r="E90"/>
    </row>
    <row r="91" spans="1:7">
      <c r="B91" t="s">
        <v>175</v>
      </c>
      <c r="C91"/>
      <c r="D91"/>
      <c r="E91"/>
    </row>
    <row r="92" spans="1:7">
      <c r="B92" s="3" t="s">
        <v>176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177</v>
      </c>
      <c r="F94" s="3" t="s">
        <v>178</v>
      </c>
    </row>
    <row r="95" spans="1:7">
      <c r="A95" s="170">
        <v>45236</v>
      </c>
      <c r="B95" s="3" t="s">
        <v>179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70">
        <v>45236</v>
      </c>
      <c r="B98"/>
      <c r="E98" s="63" t="s">
        <v>180</v>
      </c>
      <c r="F98" s="63" t="s">
        <v>181</v>
      </c>
      <c r="G98" s="63" t="s">
        <v>182</v>
      </c>
    </row>
    <row r="99" spans="1:11" ht="25.5">
      <c r="B99" s="63" t="s">
        <v>183</v>
      </c>
      <c r="C99" s="3">
        <v>11.5</v>
      </c>
      <c r="E99" s="3">
        <v>138000</v>
      </c>
    </row>
    <row r="100" spans="1:11" ht="38.25">
      <c r="B100" s="64" t="s">
        <v>184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185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3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186</v>
      </c>
      <c r="G104" s="3">
        <f t="shared" ref="G104:G115" si="5">G103+E104-F104</f>
        <v>0</v>
      </c>
      <c r="J104" s="3"/>
    </row>
    <row r="105" spans="1:11">
      <c r="B105" t="s">
        <v>187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188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3"/>
      <c r="B107" t="s">
        <v>189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3"/>
      <c r="B108" t="s">
        <v>190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4"/>
      <c r="B109" t="s">
        <v>158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159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160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161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191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192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9"/>
      <c r="B118" s="65" t="s">
        <v>193</v>
      </c>
      <c r="C118" s="66"/>
      <c r="D118" s="66"/>
      <c r="E118" s="67"/>
      <c r="F118" s="68"/>
    </row>
    <row r="119" spans="1:11">
      <c r="A119" s="169"/>
      <c r="B119" s="69" t="s">
        <v>194</v>
      </c>
      <c r="C119"/>
      <c r="D119"/>
      <c r="E119" s="70">
        <v>48000</v>
      </c>
      <c r="F119" s="71">
        <f>E119</f>
        <v>48000</v>
      </c>
      <c r="G119"/>
    </row>
    <row r="120" spans="1:11">
      <c r="A120" s="169"/>
      <c r="B120" s="72" t="s">
        <v>195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196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197</v>
      </c>
      <c r="C122"/>
      <c r="D122"/>
      <c r="E122"/>
      <c r="F122" s="73">
        <f t="shared" si="6"/>
        <v>28080</v>
      </c>
    </row>
    <row r="123" spans="1:11">
      <c r="B123" s="75" t="s">
        <v>198</v>
      </c>
      <c r="C123"/>
      <c r="D123"/>
      <c r="E123"/>
      <c r="F123" s="73">
        <f t="shared" si="6"/>
        <v>28080</v>
      </c>
      <c r="G123"/>
    </row>
    <row r="124" spans="1:11">
      <c r="B124" s="75" t="s">
        <v>199</v>
      </c>
      <c r="C124"/>
      <c r="D124"/>
      <c r="E124"/>
      <c r="F124" s="73">
        <f t="shared" si="6"/>
        <v>28080</v>
      </c>
      <c r="G124" s="51"/>
    </row>
    <row r="125" spans="1:11">
      <c r="B125" s="76" t="s">
        <v>200</v>
      </c>
      <c r="C125"/>
      <c r="D125"/>
      <c r="E125"/>
      <c r="F125" s="73">
        <f t="shared" si="6"/>
        <v>28080</v>
      </c>
      <c r="G125" s="51"/>
    </row>
    <row r="126" spans="1:11">
      <c r="B126" s="75" t="s">
        <v>201</v>
      </c>
      <c r="C126"/>
      <c r="D126"/>
      <c r="E126"/>
      <c r="F126" s="73">
        <f t="shared" si="6"/>
        <v>28080</v>
      </c>
      <c r="G126" s="51"/>
    </row>
    <row r="127" spans="1:11">
      <c r="B127" s="72" t="s">
        <v>202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203</v>
      </c>
      <c r="C130"/>
      <c r="D130"/>
      <c r="E130" s="3">
        <v>83000</v>
      </c>
      <c r="F130" s="73">
        <v>83000</v>
      </c>
    </row>
    <row r="131" spans="1:7">
      <c r="B131" s="75" t="s">
        <v>198</v>
      </c>
      <c r="C131"/>
      <c r="D131"/>
      <c r="F131" s="73">
        <f t="shared" ref="F131:F137" si="7">F130-E131</f>
        <v>83000</v>
      </c>
      <c r="G131"/>
    </row>
    <row r="132" spans="1:7">
      <c r="B132" s="75" t="s">
        <v>199</v>
      </c>
      <c r="C132"/>
      <c r="D132"/>
      <c r="F132" s="73">
        <f t="shared" si="7"/>
        <v>83000</v>
      </c>
      <c r="G132" s="51"/>
    </row>
    <row r="133" spans="1:7">
      <c r="B133" s="79" t="s">
        <v>204</v>
      </c>
      <c r="C133"/>
      <c r="D133"/>
      <c r="F133" s="73">
        <f t="shared" si="7"/>
        <v>83000</v>
      </c>
      <c r="G133" s="51"/>
    </row>
    <row r="134" spans="1:7">
      <c r="B134" s="78" t="s">
        <v>201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205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206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207</v>
      </c>
      <c r="F139" s="51"/>
      <c r="G139" s="51"/>
    </row>
    <row r="140" spans="1:7">
      <c r="B140" t="s">
        <v>208</v>
      </c>
      <c r="C140"/>
      <c r="D140"/>
      <c r="E140" s="3">
        <v>1252.54</v>
      </c>
      <c r="G140" s="51"/>
    </row>
    <row r="141" spans="1:7">
      <c r="B141" t="s">
        <v>209</v>
      </c>
      <c r="C141"/>
      <c r="D141"/>
      <c r="E141" s="3">
        <v>375</v>
      </c>
      <c r="G141" s="51"/>
    </row>
    <row r="142" spans="1:7">
      <c r="B142" t="s">
        <v>210</v>
      </c>
      <c r="C142"/>
      <c r="D142"/>
      <c r="E142" s="3">
        <v>1500</v>
      </c>
      <c r="G142" s="51"/>
    </row>
    <row r="143" spans="1:7">
      <c r="A143" s="170">
        <v>45015</v>
      </c>
      <c r="B143" t="s">
        <v>211</v>
      </c>
      <c r="C143"/>
      <c r="D143"/>
      <c r="E143" s="3">
        <v>1447</v>
      </c>
      <c r="G143" s="51"/>
    </row>
    <row r="144" spans="1:7">
      <c r="B144" t="s">
        <v>212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71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213</v>
      </c>
      <c r="F147" s="3" t="s">
        <v>214</v>
      </c>
    </row>
    <row r="148" spans="1:7">
      <c r="B148" t="s">
        <v>215</v>
      </c>
      <c r="C148"/>
      <c r="D148"/>
      <c r="E148" s="3">
        <v>36000</v>
      </c>
    </row>
    <row r="149" spans="1:7">
      <c r="B149" t="s">
        <v>216</v>
      </c>
      <c r="C149"/>
      <c r="D149"/>
      <c r="F149" s="51">
        <v>28000</v>
      </c>
    </row>
    <row r="150" spans="1:7">
      <c r="A150" s="169"/>
      <c r="B150" t="s">
        <v>217</v>
      </c>
      <c r="C150"/>
      <c r="D150"/>
      <c r="F150" s="51">
        <v>4000</v>
      </c>
      <c r="G150"/>
    </row>
    <row r="151" spans="1:7">
      <c r="A151" s="169"/>
      <c r="B151" t="s">
        <v>218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J90"/>
  <sheetViews>
    <sheetView topLeftCell="A40" zoomScale="175" zoomScaleNormal="175" workbookViewId="0">
      <selection activeCell="C47" sqref="C47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354</v>
      </c>
    </row>
    <row r="6" spans="2:10">
      <c r="C6" t="s">
        <v>285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286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283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284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355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356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357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359</v>
      </c>
      <c r="J14" s="3"/>
    </row>
    <row r="15" spans="2:10">
      <c r="B15" t="s">
        <v>358</v>
      </c>
      <c r="E15" s="191" t="s">
        <v>416</v>
      </c>
      <c r="J15" s="3"/>
    </row>
    <row r="16" spans="2:10">
      <c r="D16" s="191" t="s">
        <v>415</v>
      </c>
      <c r="E16" s="191" t="s">
        <v>460</v>
      </c>
      <c r="F16" s="85" t="s">
        <v>461</v>
      </c>
      <c r="G16" s="191" t="s">
        <v>214</v>
      </c>
      <c r="H16" s="191" t="s">
        <v>417</v>
      </c>
      <c r="J16" s="3"/>
    </row>
    <row r="17" spans="2:8">
      <c r="B17" s="54">
        <v>44957</v>
      </c>
      <c r="C17" s="143" t="s">
        <v>274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3" t="s">
        <v>275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3" t="s">
        <v>276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50" si="3">F19-G19+H18</f>
        <v>14992.83567</v>
      </c>
    </row>
    <row r="20" spans="2:8">
      <c r="C20" s="143" t="s">
        <v>278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3" t="s">
        <v>277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3" t="s">
        <v>279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3" t="s">
        <v>280</v>
      </c>
      <c r="D23">
        <v>9.49</v>
      </c>
      <c r="E23" s="193">
        <f t="shared" si="1"/>
        <v>8288.9539957935922</v>
      </c>
      <c r="F23" s="15">
        <f t="shared" si="2"/>
        <v>8288.9539957935922</v>
      </c>
      <c r="G23" s="194">
        <v>50000</v>
      </c>
      <c r="H23" s="3">
        <f t="shared" si="3"/>
        <v>-39487.306735726735</v>
      </c>
    </row>
    <row r="24" spans="2:8">
      <c r="C24" s="143" t="s">
        <v>281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3" t="s">
        <v>282</v>
      </c>
      <c r="D25">
        <v>4.75</v>
      </c>
      <c r="E25" s="60">
        <f t="shared" si="1"/>
        <v>9900.5455638508938</v>
      </c>
      <c r="F25" s="15">
        <f>E23</f>
        <v>8288.9539957935922</v>
      </c>
      <c r="G25" s="227"/>
      <c r="H25" s="3">
        <f t="shared" si="3"/>
        <v>-22909.398744139551</v>
      </c>
    </row>
    <row r="26" spans="2:8">
      <c r="C26" s="143" t="s">
        <v>263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3" t="s">
        <v>264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2">
        <v>45291</v>
      </c>
      <c r="C28" s="143" t="s">
        <v>265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2">
        <v>45322</v>
      </c>
      <c r="C29" s="144" t="s">
        <v>418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4" t="s">
        <v>275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4" t="s">
        <v>276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6" t="s">
        <v>349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6" t="s">
        <v>208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5" t="s">
        <v>413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5" t="s">
        <v>414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4" t="s">
        <v>360</v>
      </c>
      <c r="D36">
        <v>3.18</v>
      </c>
      <c r="E36" s="193">
        <f>E31+(E31*D31/100)</f>
        <v>16109.625312312</v>
      </c>
      <c r="F36" s="15">
        <f t="shared" si="4"/>
        <v>16109.625312312</v>
      </c>
      <c r="G36" s="194">
        <v>85000</v>
      </c>
      <c r="H36" s="3">
        <f t="shared" si="3"/>
        <v>-24301.492628653185</v>
      </c>
    </row>
    <row r="37" spans="2:8">
      <c r="C37" s="195" t="s">
        <v>361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5" t="s">
        <v>279</v>
      </c>
      <c r="D38" s="145">
        <v>1.64</v>
      </c>
      <c r="E38" s="192">
        <f>E37+(E37*D37/100)</f>
        <v>17182.069811330628</v>
      </c>
      <c r="F38" s="198">
        <f>E37</f>
        <v>16621.911397243523</v>
      </c>
      <c r="G38" s="145"/>
      <c r="H38" s="3">
        <f t="shared" si="3"/>
        <v>8430.0440809023385</v>
      </c>
    </row>
    <row r="39" spans="2:8">
      <c r="C39" s="195" t="s">
        <v>280</v>
      </c>
      <c r="D39" s="145">
        <v>3.23</v>
      </c>
      <c r="E39" s="192">
        <f t="shared" ref="E39:E43" si="5">E38+(E38*D38/100)</f>
        <v>17463.855756236451</v>
      </c>
      <c r="F39" s="192">
        <f>E39</f>
        <v>17463.855756236451</v>
      </c>
      <c r="G39" s="145"/>
      <c r="H39" s="3">
        <f t="shared" si="3"/>
        <v>25893.89983713879</v>
      </c>
    </row>
    <row r="40" spans="2:8">
      <c r="C40" s="195" t="s">
        <v>281</v>
      </c>
      <c r="D40" s="145">
        <v>2.4700000000000002</v>
      </c>
      <c r="E40" s="192">
        <f t="shared" si="5"/>
        <v>18027.938297162887</v>
      </c>
      <c r="F40" s="192">
        <f>E40</f>
        <v>18027.938297162887</v>
      </c>
      <c r="G40" s="145"/>
      <c r="H40" s="3">
        <f t="shared" si="3"/>
        <v>43921.838134301681</v>
      </c>
    </row>
    <row r="41" spans="2:8">
      <c r="C41" s="195" t="s">
        <v>362</v>
      </c>
      <c r="D41" s="145">
        <v>2.97</v>
      </c>
      <c r="E41" s="192">
        <f t="shared" si="5"/>
        <v>18473.228373102811</v>
      </c>
      <c r="F41" s="192">
        <f>E41</f>
        <v>18473.228373102811</v>
      </c>
      <c r="G41" s="145"/>
      <c r="H41" s="3">
        <f t="shared" si="3"/>
        <v>62395.066507404495</v>
      </c>
    </row>
    <row r="42" spans="2:8">
      <c r="C42" s="196" t="s">
        <v>263</v>
      </c>
      <c r="D42" s="145">
        <v>5</v>
      </c>
      <c r="E42" s="192">
        <f t="shared" si="5"/>
        <v>19021.883255783963</v>
      </c>
      <c r="F42" s="192">
        <f>E42</f>
        <v>19021.883255783963</v>
      </c>
      <c r="G42" s="197"/>
      <c r="H42" s="3">
        <f t="shared" si="3"/>
        <v>81416.949763188459</v>
      </c>
    </row>
    <row r="43" spans="2:8">
      <c r="C43" s="145" t="s">
        <v>264</v>
      </c>
      <c r="D43" s="145">
        <v>5</v>
      </c>
      <c r="E43" s="60">
        <f t="shared" si="5"/>
        <v>19972.977418573162</v>
      </c>
      <c r="F43" s="192">
        <f>E43</f>
        <v>19972.977418573162</v>
      </c>
      <c r="H43" s="3">
        <f t="shared" si="3"/>
        <v>101389.92718176162</v>
      </c>
    </row>
    <row r="44" spans="2:8">
      <c r="C44" s="145" t="s">
        <v>462</v>
      </c>
      <c r="D44" s="145"/>
      <c r="E44" s="60"/>
      <c r="F44" s="192">
        <v>5000</v>
      </c>
      <c r="H44" s="3">
        <f t="shared" si="3"/>
        <v>106389.92718176162</v>
      </c>
    </row>
    <row r="45" spans="2:8">
      <c r="C45" s="145" t="s">
        <v>459</v>
      </c>
      <c r="D45" s="145"/>
      <c r="E45" s="60"/>
      <c r="F45" s="192"/>
      <c r="G45">
        <v>185000</v>
      </c>
      <c r="H45" s="3">
        <f t="shared" si="3"/>
        <v>-78610.072818238375</v>
      </c>
    </row>
    <row r="46" spans="2:8">
      <c r="C46" s="145" t="s">
        <v>265</v>
      </c>
      <c r="E46" s="60">
        <f>E43+(E43*D43/100)</f>
        <v>20971.626289501819</v>
      </c>
      <c r="F46" s="192">
        <f>E46</f>
        <v>20971.626289501819</v>
      </c>
      <c r="H46" s="3">
        <f t="shared" si="3"/>
        <v>-57638.44652873656</v>
      </c>
    </row>
    <row r="47" spans="2:8">
      <c r="B47">
        <v>2025</v>
      </c>
      <c r="C47" s="144" t="s">
        <v>419</v>
      </c>
      <c r="E47" s="60">
        <v>25000</v>
      </c>
      <c r="F47" s="192">
        <f>E47</f>
        <v>25000</v>
      </c>
      <c r="H47" s="3">
        <f t="shared" si="3"/>
        <v>-32638.44652873656</v>
      </c>
    </row>
    <row r="48" spans="2:8">
      <c r="C48" s="144"/>
      <c r="E48" s="60"/>
      <c r="F48" s="60"/>
      <c r="H48" s="3">
        <f t="shared" si="3"/>
        <v>-32638.44652873656</v>
      </c>
    </row>
    <row r="49" spans="2:8">
      <c r="C49" s="144" t="s">
        <v>275</v>
      </c>
      <c r="E49" s="60">
        <v>26000</v>
      </c>
      <c r="F49" s="192">
        <f>E49</f>
        <v>26000</v>
      </c>
      <c r="H49" s="3">
        <f t="shared" si="3"/>
        <v>-6638.4465287365601</v>
      </c>
    </row>
    <row r="50" spans="2:8">
      <c r="C50" s="144" t="s">
        <v>276</v>
      </c>
      <c r="E50" s="60">
        <v>27000</v>
      </c>
      <c r="F50" s="192">
        <f>E50</f>
        <v>27000</v>
      </c>
      <c r="H50" s="3">
        <f t="shared" si="3"/>
        <v>20361.55347126344</v>
      </c>
    </row>
    <row r="51" spans="2:8">
      <c r="C51" s="145"/>
      <c r="E51" s="60"/>
      <c r="F51" s="60"/>
      <c r="H51" s="29"/>
    </row>
    <row r="52" spans="2:8">
      <c r="C52" s="145"/>
      <c r="E52" s="60"/>
      <c r="F52" s="60"/>
      <c r="H52" s="29"/>
    </row>
    <row r="53" spans="2:8">
      <c r="C53" s="145"/>
      <c r="E53" s="60"/>
      <c r="F53" s="60"/>
      <c r="H53" s="29"/>
    </row>
    <row r="58" spans="2:8">
      <c r="B58" s="92">
        <v>45421</v>
      </c>
      <c r="C58" t="s">
        <v>402</v>
      </c>
    </row>
    <row r="59" spans="2:8">
      <c r="B59" s="92"/>
      <c r="C59" t="s">
        <v>403</v>
      </c>
    </row>
    <row r="60" spans="2:8">
      <c r="B60" s="92"/>
      <c r="C60" t="s">
        <v>404</v>
      </c>
    </row>
    <row r="61" spans="2:8">
      <c r="B61" s="92"/>
      <c r="C61" t="s">
        <v>405</v>
      </c>
    </row>
    <row r="62" spans="2:8">
      <c r="B62" s="92"/>
    </row>
    <row r="63" spans="2:8">
      <c r="B63" s="92"/>
    </row>
    <row r="65" spans="2:8">
      <c r="B65" s="54">
        <v>44957</v>
      </c>
      <c r="C65" s="143" t="s">
        <v>274</v>
      </c>
      <c r="D65">
        <v>6.65</v>
      </c>
      <c r="E65" s="60">
        <v>6920</v>
      </c>
      <c r="F65" s="60"/>
      <c r="G65" s="25">
        <v>6920</v>
      </c>
      <c r="H65" s="3">
        <f>E65-G65</f>
        <v>0</v>
      </c>
    </row>
    <row r="66" spans="2:8">
      <c r="C66" s="143" t="s">
        <v>275</v>
      </c>
      <c r="D66">
        <v>3.15</v>
      </c>
      <c r="E66" s="60">
        <f t="shared" ref="E66:E71" si="6">E65+(E65*D65/100)</f>
        <v>7380.18</v>
      </c>
      <c r="F66" s="60"/>
      <c r="G66" s="25"/>
      <c r="H66" s="3">
        <f t="shared" ref="H66:H90" si="7">E66-G66+H65</f>
        <v>7380.18</v>
      </c>
    </row>
    <row r="67" spans="2:8">
      <c r="C67" s="143" t="s">
        <v>276</v>
      </c>
      <c r="D67">
        <v>2.29</v>
      </c>
      <c r="E67" s="60">
        <f t="shared" si="6"/>
        <v>7612.6556700000001</v>
      </c>
      <c r="F67" s="60"/>
      <c r="G67" s="25"/>
      <c r="H67" s="3">
        <f t="shared" si="7"/>
        <v>14992.83567</v>
      </c>
    </row>
    <row r="68" spans="2:8">
      <c r="C68" s="143" t="s">
        <v>278</v>
      </c>
      <c r="D68">
        <v>2.39</v>
      </c>
      <c r="E68" s="60">
        <f t="shared" si="6"/>
        <v>7786.9854848430004</v>
      </c>
      <c r="F68" s="60"/>
      <c r="G68" s="25">
        <v>8425.4599999999991</v>
      </c>
      <c r="H68" s="3">
        <f t="shared" si="7"/>
        <v>14354.361154843002</v>
      </c>
    </row>
    <row r="69" spans="2:8">
      <c r="C69" s="143" t="s">
        <v>277</v>
      </c>
      <c r="D69">
        <v>0.04</v>
      </c>
      <c r="E69" s="60">
        <f t="shared" si="6"/>
        <v>7973.0944379307484</v>
      </c>
      <c r="F69" s="60"/>
      <c r="G69" s="25">
        <v>28080</v>
      </c>
      <c r="H69" s="3">
        <f t="shared" si="7"/>
        <v>-5752.5444072262508</v>
      </c>
    </row>
    <row r="70" spans="2:8">
      <c r="C70" s="143" t="s">
        <v>279</v>
      </c>
      <c r="D70">
        <v>3.92</v>
      </c>
      <c r="E70" s="60">
        <f t="shared" si="6"/>
        <v>7976.2836757059204</v>
      </c>
      <c r="F70" s="60"/>
      <c r="G70" s="28"/>
      <c r="H70" s="3">
        <f t="shared" si="7"/>
        <v>2223.7392684796696</v>
      </c>
    </row>
    <row r="71" spans="2:8">
      <c r="C71" s="143" t="s">
        <v>280</v>
      </c>
      <c r="D71">
        <v>9.49</v>
      </c>
      <c r="E71" s="60">
        <f t="shared" si="6"/>
        <v>8288.9539957935922</v>
      </c>
      <c r="F71" s="60"/>
      <c r="G71" s="28">
        <v>50000</v>
      </c>
      <c r="H71" s="3">
        <f t="shared" si="7"/>
        <v>-39487.306735726735</v>
      </c>
    </row>
    <row r="72" spans="2:8">
      <c r="C72" s="143" t="s">
        <v>281</v>
      </c>
      <c r="D72">
        <v>9.09</v>
      </c>
      <c r="E72" s="60">
        <f>E71</f>
        <v>8288.9539957935922</v>
      </c>
      <c r="F72" s="60"/>
      <c r="G72" s="28"/>
      <c r="H72" s="3">
        <f t="shared" si="7"/>
        <v>-31198.352739933143</v>
      </c>
    </row>
    <row r="73" spans="2:8">
      <c r="C73" s="143" t="s">
        <v>282</v>
      </c>
      <c r="D73">
        <v>4.75</v>
      </c>
      <c r="E73" s="60">
        <f t="shared" ref="E73:E76" si="8">E72</f>
        <v>8288.9539957935922</v>
      </c>
      <c r="F73" s="60"/>
      <c r="G73" s="28"/>
      <c r="H73" s="3">
        <f t="shared" si="7"/>
        <v>-22909.398744139551</v>
      </c>
    </row>
    <row r="74" spans="2:8">
      <c r="C74" s="143" t="s">
        <v>263</v>
      </c>
      <c r="D74">
        <v>3.43</v>
      </c>
      <c r="E74" s="60">
        <f t="shared" si="8"/>
        <v>8288.9539957935922</v>
      </c>
      <c r="F74" s="60"/>
      <c r="G74" s="28"/>
      <c r="H74" s="3">
        <f t="shared" si="7"/>
        <v>-14620.444748345959</v>
      </c>
    </row>
    <row r="75" spans="2:8">
      <c r="C75" s="143" t="s">
        <v>264</v>
      </c>
      <c r="D75">
        <v>3.28</v>
      </c>
      <c r="E75" s="60">
        <f t="shared" si="8"/>
        <v>8288.9539957935922</v>
      </c>
      <c r="F75" s="60"/>
      <c r="G75" s="28">
        <v>15887.06</v>
      </c>
      <c r="H75" s="3">
        <f t="shared" si="7"/>
        <v>-22218.550752552364</v>
      </c>
    </row>
    <row r="76" spans="2:8">
      <c r="B76" s="142">
        <v>45291</v>
      </c>
      <c r="C76" s="143" t="s">
        <v>265</v>
      </c>
      <c r="D76">
        <v>2.93</v>
      </c>
      <c r="E76" s="60">
        <f t="shared" si="8"/>
        <v>8288.9539957935922</v>
      </c>
      <c r="F76" s="60"/>
      <c r="G76" s="28"/>
      <c r="H76" s="29">
        <f t="shared" si="7"/>
        <v>-13929.596756758772</v>
      </c>
    </row>
    <row r="77" spans="2:8">
      <c r="B77" s="142">
        <v>45322</v>
      </c>
      <c r="C77" s="144" t="s">
        <v>274</v>
      </c>
      <c r="D77">
        <v>6.71</v>
      </c>
      <c r="E77" s="60">
        <v>14000</v>
      </c>
      <c r="F77" s="60"/>
      <c r="G77" s="28"/>
      <c r="H77" s="29">
        <f t="shared" si="7"/>
        <v>70.403243241227756</v>
      </c>
    </row>
    <row r="78" spans="2:8">
      <c r="C78" s="144" t="s">
        <v>275</v>
      </c>
      <c r="D78">
        <v>4.53</v>
      </c>
      <c r="E78" s="60">
        <f t="shared" ref="E78:E79" si="9">E77+(E77*D77/100)</f>
        <v>14939.4</v>
      </c>
      <c r="F78" s="60"/>
      <c r="G78" s="28"/>
      <c r="H78" s="29">
        <f t="shared" si="7"/>
        <v>15009.803243241227</v>
      </c>
    </row>
    <row r="79" spans="2:8">
      <c r="C79" s="144" t="s">
        <v>276</v>
      </c>
      <c r="D79">
        <v>3.16</v>
      </c>
      <c r="E79" s="60">
        <f t="shared" si="9"/>
        <v>15616.15482</v>
      </c>
      <c r="F79" s="60"/>
      <c r="G79" s="28"/>
      <c r="H79" s="29">
        <f t="shared" si="7"/>
        <v>30625.958063241225</v>
      </c>
    </row>
    <row r="80" spans="2:8">
      <c r="C80" s="146" t="s">
        <v>349</v>
      </c>
      <c r="E80" s="60"/>
      <c r="F80" s="60"/>
      <c r="G80" s="28">
        <v>-3795</v>
      </c>
      <c r="H80" s="29">
        <f t="shared" si="7"/>
        <v>34420.958063241225</v>
      </c>
    </row>
    <row r="81" spans="3:8">
      <c r="C81" s="144" t="s">
        <v>360</v>
      </c>
      <c r="D81">
        <v>3.16</v>
      </c>
      <c r="E81" s="60">
        <f>E79+(E79*D79/100)</f>
        <v>16109.625312312</v>
      </c>
      <c r="F81" s="60"/>
      <c r="G81" s="28">
        <v>85000</v>
      </c>
      <c r="H81" s="29">
        <f>E81-G81+H80</f>
        <v>-34469.416624446778</v>
      </c>
    </row>
    <row r="82" spans="3:8">
      <c r="C82" s="146" t="s">
        <v>208</v>
      </c>
      <c r="D82">
        <v>5.54</v>
      </c>
      <c r="E82" s="60"/>
      <c r="F82" s="60"/>
      <c r="G82" s="28">
        <v>-5600</v>
      </c>
      <c r="H82" s="29">
        <f>E82-G82+H81</f>
        <v>-28869.416624446778</v>
      </c>
    </row>
    <row r="83" spans="3:8">
      <c r="C83" s="145" t="s">
        <v>361</v>
      </c>
      <c r="E83" s="60">
        <f>E81+(E81*D82/100)</f>
        <v>17002.098554614084</v>
      </c>
      <c r="F83" s="60"/>
      <c r="G83" s="28"/>
      <c r="H83" s="29">
        <f>E83-G83+H82</f>
        <v>-11867.318069832694</v>
      </c>
    </row>
    <row r="84" spans="3:8">
      <c r="C84" s="145" t="s">
        <v>279</v>
      </c>
      <c r="E84" s="60">
        <f>E83+(E83*D83/100)</f>
        <v>17002.098554614084</v>
      </c>
      <c r="F84" s="60"/>
      <c r="H84" s="29">
        <f t="shared" si="7"/>
        <v>5134.7804847813895</v>
      </c>
    </row>
    <row r="85" spans="3:8">
      <c r="C85" s="145" t="s">
        <v>280</v>
      </c>
      <c r="E85" s="60">
        <f t="shared" ref="E85:E90" si="10">E84+(E84*D84/100)</f>
        <v>17002.098554614084</v>
      </c>
      <c r="F85" s="60"/>
      <c r="H85" s="29">
        <f t="shared" si="7"/>
        <v>22136.879039395473</v>
      </c>
    </row>
    <row r="86" spans="3:8">
      <c r="C86" s="145" t="s">
        <v>281</v>
      </c>
      <c r="E86" s="60">
        <f t="shared" si="10"/>
        <v>17002.098554614084</v>
      </c>
      <c r="F86" s="60"/>
      <c r="H86" s="29">
        <f t="shared" si="7"/>
        <v>39138.977594009557</v>
      </c>
    </row>
    <row r="87" spans="3:8">
      <c r="C87" s="145" t="s">
        <v>362</v>
      </c>
      <c r="E87" s="60">
        <f t="shared" si="10"/>
        <v>17002.098554614084</v>
      </c>
      <c r="F87" s="60"/>
      <c r="H87" s="29">
        <f t="shared" si="7"/>
        <v>56141.076148623644</v>
      </c>
    </row>
    <row r="88" spans="3:8">
      <c r="C88" s="145" t="s">
        <v>263</v>
      </c>
      <c r="E88" s="60">
        <f t="shared" si="10"/>
        <v>17002.098554614084</v>
      </c>
      <c r="F88" s="60"/>
      <c r="H88" s="29">
        <f t="shared" si="7"/>
        <v>73143.174703237732</v>
      </c>
    </row>
    <row r="89" spans="3:8">
      <c r="C89" s="145" t="s">
        <v>264</v>
      </c>
      <c r="E89" s="60">
        <f t="shared" si="10"/>
        <v>17002.098554614084</v>
      </c>
      <c r="F89" s="60"/>
      <c r="H89" s="29">
        <f t="shared" si="7"/>
        <v>90145.273257851819</v>
      </c>
    </row>
    <row r="90" spans="3:8">
      <c r="C90" s="145" t="s">
        <v>265</v>
      </c>
      <c r="E90" s="60">
        <f t="shared" si="10"/>
        <v>17002.098554614084</v>
      </c>
      <c r="F90" s="60"/>
      <c r="H90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45"/>
      <c r="E1" s="3"/>
      <c r="F1" s="83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4" t="s">
        <v>5</v>
      </c>
      <c r="D6" s="19">
        <f>F37</f>
        <v>-1200</v>
      </c>
      <c r="E6" s="14"/>
      <c r="F6" s="9"/>
    </row>
    <row r="7" spans="1:6">
      <c r="A7" s="20"/>
      <c r="B7" s="21"/>
      <c r="C7" s="22"/>
      <c r="D7" s="21"/>
      <c r="E7" s="22" t="s">
        <v>28</v>
      </c>
      <c r="F7" s="23">
        <f>E4-D5</f>
        <v>0</v>
      </c>
    </row>
    <row r="8" spans="1:6">
      <c r="A8" s="7"/>
      <c r="B8" s="14" t="s">
        <v>29</v>
      </c>
      <c r="E8" s="3"/>
      <c r="F8" s="3"/>
    </row>
    <row r="9" spans="1:6">
      <c r="A9" s="7">
        <v>45198</v>
      </c>
      <c r="B9" t="s">
        <v>30</v>
      </c>
      <c r="D9" s="24">
        <v>51000</v>
      </c>
      <c r="E9" s="25"/>
      <c r="F9" s="3">
        <f>D9-E9</f>
        <v>51000</v>
      </c>
    </row>
    <row r="10" spans="1:6">
      <c r="A10" s="54">
        <v>45194</v>
      </c>
      <c r="B10" s="91" t="s">
        <v>334</v>
      </c>
      <c r="D10" s="24"/>
      <c r="E10" s="25"/>
      <c r="F10" s="3">
        <f t="shared" ref="F10:F20" si="0">D10-E10+F9</f>
        <v>51000</v>
      </c>
    </row>
    <row r="11" spans="1:6">
      <c r="A11" s="54">
        <v>45195</v>
      </c>
      <c r="D11" s="24"/>
      <c r="E11" s="25"/>
      <c r="F11" s="3">
        <f t="shared" si="0"/>
        <v>51000</v>
      </c>
    </row>
    <row r="12" spans="1:6">
      <c r="A12" s="54">
        <v>45229</v>
      </c>
      <c r="D12" s="24"/>
      <c r="E12" s="25"/>
      <c r="F12" s="3">
        <f t="shared" si="0"/>
        <v>51000</v>
      </c>
    </row>
    <row r="13" spans="1:6">
      <c r="A13" s="92">
        <v>45244</v>
      </c>
      <c r="D13" s="24"/>
      <c r="E13" s="25"/>
      <c r="F13" s="3">
        <f t="shared" si="0"/>
        <v>51000</v>
      </c>
    </row>
    <row r="14" spans="1:6">
      <c r="A14" s="26"/>
      <c r="D14" s="27"/>
      <c r="E14" s="28"/>
      <c r="F14" s="3">
        <f t="shared" si="0"/>
        <v>51000</v>
      </c>
    </row>
    <row r="15" spans="1:6">
      <c r="A15" s="26"/>
      <c r="D15" s="27"/>
      <c r="E15" s="28"/>
      <c r="F15" s="3">
        <f t="shared" si="0"/>
        <v>51000</v>
      </c>
    </row>
    <row r="16" spans="1:6">
      <c r="A16" s="26"/>
      <c r="D16" s="27"/>
      <c r="E16" s="28"/>
      <c r="F16" s="3">
        <f t="shared" si="0"/>
        <v>51000</v>
      </c>
    </row>
    <row r="17" spans="1:7">
      <c r="A17" s="26">
        <v>45258</v>
      </c>
      <c r="D17" s="27"/>
      <c r="E17" s="28"/>
      <c r="F17" s="3">
        <f t="shared" si="0"/>
        <v>51000</v>
      </c>
    </row>
    <row r="18" spans="1:7">
      <c r="A18" s="26"/>
      <c r="D18" s="27"/>
      <c r="E18" s="28"/>
      <c r="F18" s="3">
        <f t="shared" si="0"/>
        <v>51000</v>
      </c>
    </row>
    <row r="19" spans="1:7">
      <c r="A19" s="26"/>
      <c r="D19" s="27"/>
      <c r="E19" s="28"/>
      <c r="F19" s="3">
        <f t="shared" si="0"/>
        <v>51000</v>
      </c>
    </row>
    <row r="20" spans="1:7">
      <c r="A20" s="26"/>
      <c r="D20" s="27"/>
      <c r="E20" s="28"/>
      <c r="F20" s="29">
        <f t="shared" si="0"/>
        <v>51000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270</v>
      </c>
    </row>
    <row r="24" spans="1:7">
      <c r="A24" s="26"/>
      <c r="B24" t="s">
        <v>35</v>
      </c>
      <c r="D24" s="30"/>
      <c r="E24" s="31"/>
      <c r="F24" s="31">
        <v>-1200</v>
      </c>
    </row>
    <row r="25" spans="1:7">
      <c r="A25" s="26"/>
      <c r="B25" t="s">
        <v>88</v>
      </c>
      <c r="C25">
        <v>40</v>
      </c>
      <c r="D25" s="31">
        <v>483.72</v>
      </c>
      <c r="E25" s="31">
        <v>483.72</v>
      </c>
      <c r="F25" s="31">
        <f t="shared" ref="F25:F36" si="1">D25-E25+F24</f>
        <v>-1200</v>
      </c>
      <c r="G25" s="3"/>
    </row>
    <row r="26" spans="1:7">
      <c r="A26" s="26"/>
      <c r="B26" t="s">
        <v>36</v>
      </c>
      <c r="D26" s="31">
        <v>439.85</v>
      </c>
      <c r="E26" s="31">
        <v>439.85</v>
      </c>
      <c r="F26" s="31">
        <f t="shared" si="1"/>
        <v>-1200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-1200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-1200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-1200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-1200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-1200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-1200</v>
      </c>
      <c r="G32" s="3"/>
    </row>
    <row r="33" spans="1:7">
      <c r="A33" s="26"/>
      <c r="B33" t="s">
        <v>92</v>
      </c>
      <c r="D33" s="30"/>
      <c r="E33" s="31"/>
      <c r="F33" s="31">
        <f t="shared" si="1"/>
        <v>-1200</v>
      </c>
      <c r="G33" s="3"/>
    </row>
    <row r="34" spans="1:7">
      <c r="A34" s="26"/>
      <c r="B34" t="s">
        <v>40</v>
      </c>
      <c r="D34" s="30"/>
      <c r="E34" s="31"/>
      <c r="F34" s="31">
        <f t="shared" si="1"/>
        <v>-1200</v>
      </c>
      <c r="G34" s="3"/>
    </row>
    <row r="35" spans="1:7">
      <c r="A35" s="26"/>
      <c r="B35" t="s">
        <v>41</v>
      </c>
      <c r="D35" s="30"/>
      <c r="E35" s="31"/>
      <c r="F35" s="31">
        <f t="shared" si="1"/>
        <v>-1200</v>
      </c>
      <c r="G35" s="3"/>
    </row>
    <row r="36" spans="1:7">
      <c r="A36" s="32"/>
      <c r="B36" s="21" t="s">
        <v>42</v>
      </c>
      <c r="C36" s="21"/>
      <c r="D36" s="33"/>
      <c r="E36" s="34"/>
      <c r="F36" s="34">
        <f t="shared" si="1"/>
        <v>-1200</v>
      </c>
    </row>
    <row r="37" spans="1:7">
      <c r="A37" s="35">
        <v>45291</v>
      </c>
      <c r="B37" s="36" t="s">
        <v>35</v>
      </c>
      <c r="C37" s="36">
        <f>SUM(C25:C36)</f>
        <v>40</v>
      </c>
      <c r="D37" s="37"/>
      <c r="E37" s="38"/>
      <c r="F37" s="39">
        <f>D37-E37+F36</f>
        <v>-1200</v>
      </c>
    </row>
    <row r="38" spans="1:7">
      <c r="A38" s="26"/>
      <c r="D38" s="30"/>
      <c r="E38" s="30"/>
      <c r="F38" s="30"/>
    </row>
    <row r="39" spans="1:7">
      <c r="A39" s="7"/>
      <c r="D39" s="3"/>
      <c r="E39" s="3"/>
      <c r="F39" s="3"/>
    </row>
    <row r="40" spans="1:7">
      <c r="A40" s="88" t="s">
        <v>253</v>
      </c>
      <c r="B40" s="40" t="s">
        <v>168</v>
      </c>
      <c r="C40" s="40"/>
      <c r="D40" s="41"/>
      <c r="E40" s="42"/>
      <c r="F40" s="43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2" t="s">
        <v>222</v>
      </c>
      <c r="C44" s="42"/>
      <c r="D44" s="42">
        <v>96000</v>
      </c>
      <c r="E44" s="3"/>
      <c r="F44" s="44"/>
    </row>
    <row r="45" spans="1:7">
      <c r="A45" s="84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54"/>
      <c r="C58" s="3"/>
      <c r="E58" s="3">
        <f t="shared" si="2"/>
        <v>0</v>
      </c>
    </row>
    <row r="59" spans="1:6">
      <c r="A59" s="54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54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54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54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54"/>
      <c r="E63" s="3">
        <f t="shared" si="2"/>
        <v>4000</v>
      </c>
    </row>
    <row r="64" spans="1:6">
      <c r="A64" s="54"/>
      <c r="B64" s="1" t="s">
        <v>237</v>
      </c>
      <c r="C64" s="3">
        <v>400</v>
      </c>
      <c r="E64" s="3">
        <f t="shared" si="2"/>
        <v>4400</v>
      </c>
    </row>
    <row r="65" spans="1:5">
      <c r="A65" s="54"/>
      <c r="B65" t="s">
        <v>238</v>
      </c>
      <c r="C65" s="3"/>
      <c r="D65" s="3"/>
      <c r="E65" s="3">
        <f t="shared" si="2"/>
        <v>4400</v>
      </c>
    </row>
    <row r="66" spans="1:5">
      <c r="A66" s="54"/>
      <c r="B66" t="s">
        <v>239</v>
      </c>
      <c r="C66" s="3"/>
      <c r="D66" s="3"/>
      <c r="E66" s="3">
        <f t="shared" si="2"/>
        <v>4400</v>
      </c>
    </row>
    <row r="67" spans="1:5">
      <c r="A67" s="54"/>
      <c r="C67" s="3"/>
      <c r="E67" s="3">
        <f t="shared" si="2"/>
        <v>4400</v>
      </c>
    </row>
    <row r="68" spans="1:5">
      <c r="A68" s="54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54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130" zoomScaleNormal="130" workbookViewId="0">
      <selection activeCell="A22" sqref="A22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272</v>
      </c>
      <c r="D2" s="3" t="s">
        <v>243</v>
      </c>
      <c r="F2" s="51">
        <f>SUM(F6:F55)</f>
        <v>77.09</v>
      </c>
      <c r="G2" s="51">
        <f>F2</f>
        <v>77.09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44956</v>
      </c>
      <c r="B6" t="s">
        <v>303</v>
      </c>
      <c r="C6"/>
      <c r="D6"/>
      <c r="F6" s="3">
        <v>77.09</v>
      </c>
      <c r="G6" s="3">
        <f t="shared" ref="G6:G22" si="0">G5+E6-F6</f>
        <v>-77.09</v>
      </c>
    </row>
    <row r="7" spans="1:7">
      <c r="A7" s="54">
        <v>44985</v>
      </c>
      <c r="B7" t="s">
        <v>314</v>
      </c>
      <c r="C7"/>
      <c r="D7"/>
      <c r="G7" s="3">
        <f t="shared" si="0"/>
        <v>-77.09</v>
      </c>
    </row>
    <row r="8" spans="1:7">
      <c r="A8" s="54">
        <v>45015</v>
      </c>
      <c r="B8" t="s">
        <v>304</v>
      </c>
      <c r="C8"/>
      <c r="D8"/>
      <c r="G8" s="3">
        <f t="shared" si="0"/>
        <v>-77.09</v>
      </c>
    </row>
    <row r="9" spans="1:7">
      <c r="A9" s="54">
        <v>45046</v>
      </c>
      <c r="B9" t="s">
        <v>305</v>
      </c>
      <c r="C9"/>
      <c r="D9"/>
      <c r="G9" s="3">
        <f t="shared" si="0"/>
        <v>-77.09</v>
      </c>
    </row>
    <row r="10" spans="1:7">
      <c r="A10" s="54">
        <v>45076</v>
      </c>
      <c r="B10" t="s">
        <v>306</v>
      </c>
      <c r="C10"/>
      <c r="D10"/>
      <c r="G10" s="3">
        <f t="shared" si="0"/>
        <v>-77.09</v>
      </c>
    </row>
    <row r="11" spans="1:7">
      <c r="A11" s="87">
        <v>45060</v>
      </c>
      <c r="B11" s="1" t="s">
        <v>244</v>
      </c>
      <c r="C11"/>
      <c r="D11"/>
      <c r="G11" s="3">
        <f t="shared" si="0"/>
        <v>-77.09</v>
      </c>
    </row>
    <row r="12" spans="1:7">
      <c r="A12" s="87">
        <v>45060</v>
      </c>
      <c r="B12" s="1" t="s">
        <v>245</v>
      </c>
      <c r="C12"/>
      <c r="D12"/>
      <c r="G12" s="3">
        <f t="shared" si="0"/>
        <v>-77.09</v>
      </c>
    </row>
    <row r="13" spans="1:7">
      <c r="A13" s="54">
        <v>45107</v>
      </c>
      <c r="B13" t="s">
        <v>307</v>
      </c>
      <c r="C13"/>
      <c r="D13"/>
      <c r="G13" s="3">
        <f t="shared" si="0"/>
        <v>-77.09</v>
      </c>
    </row>
    <row r="14" spans="1:7">
      <c r="A14" s="54">
        <v>45137</v>
      </c>
      <c r="B14" t="s">
        <v>308</v>
      </c>
      <c r="C14"/>
      <c r="D14"/>
      <c r="G14" s="3">
        <f t="shared" si="0"/>
        <v>-77.09</v>
      </c>
    </row>
    <row r="15" spans="1:7">
      <c r="A15" s="54">
        <v>45168</v>
      </c>
      <c r="B15" t="s">
        <v>309</v>
      </c>
      <c r="C15"/>
      <c r="D15"/>
      <c r="G15" s="3">
        <f t="shared" si="0"/>
        <v>-77.09</v>
      </c>
    </row>
    <row r="16" spans="1:7">
      <c r="A16" s="54">
        <v>45199</v>
      </c>
      <c r="B16" t="s">
        <v>310</v>
      </c>
      <c r="C16"/>
      <c r="D16"/>
      <c r="G16" s="3">
        <f t="shared" si="0"/>
        <v>-77.09</v>
      </c>
    </row>
    <row r="17" spans="1:7">
      <c r="A17" s="54">
        <v>45229</v>
      </c>
      <c r="B17" t="s">
        <v>311</v>
      </c>
      <c r="C17"/>
      <c r="D17"/>
      <c r="G17" s="3">
        <f t="shared" si="0"/>
        <v>-77.09</v>
      </c>
    </row>
    <row r="18" spans="1:7">
      <c r="A18" s="87">
        <v>45213</v>
      </c>
      <c r="B18" s="1" t="s">
        <v>246</v>
      </c>
      <c r="C18"/>
      <c r="D18"/>
      <c r="G18" s="3">
        <f t="shared" si="0"/>
        <v>-77.09</v>
      </c>
    </row>
    <row r="19" spans="1:7">
      <c r="A19" s="87">
        <v>45213</v>
      </c>
      <c r="B19" s="1" t="s">
        <v>247</v>
      </c>
      <c r="C19"/>
      <c r="D19"/>
      <c r="G19" s="3">
        <f t="shared" si="0"/>
        <v>-77.09</v>
      </c>
    </row>
    <row r="20" spans="1:7">
      <c r="A20" s="54">
        <v>45260</v>
      </c>
      <c r="B20" t="s">
        <v>312</v>
      </c>
      <c r="C20"/>
      <c r="D20"/>
      <c r="G20" s="3">
        <f t="shared" si="0"/>
        <v>-77.09</v>
      </c>
    </row>
    <row r="21" spans="1:7">
      <c r="A21" s="54">
        <v>45290</v>
      </c>
      <c r="B21" t="s">
        <v>313</v>
      </c>
      <c r="C21"/>
      <c r="G21" s="3">
        <f t="shared" si="0"/>
        <v>-77.09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-77.09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3B4BF-5428-4CFE-9CCD-7224C312B45E}">
  <dimension ref="A2:J53"/>
  <sheetViews>
    <sheetView tabSelected="1" topLeftCell="A3" zoomScale="220" zoomScaleNormal="220" workbookViewId="0">
      <selection activeCell="C9" sqref="C9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466</v>
      </c>
    </row>
    <row r="3" spans="1:8">
      <c r="C3" s="5" t="s">
        <v>335</v>
      </c>
      <c r="D3" s="1" t="s">
        <v>336</v>
      </c>
      <c r="E3" s="5" t="s">
        <v>337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248">
        <v>139543.56</v>
      </c>
      <c r="E5" s="102"/>
      <c r="F5" s="102"/>
      <c r="G5" s="120" t="s">
        <v>470</v>
      </c>
      <c r="H5" s="121">
        <f>D5</f>
        <v>139543.56</v>
      </c>
    </row>
    <row r="6" spans="1:8" ht="14.25">
      <c r="D6" s="95"/>
      <c r="G6" s="2" t="s">
        <v>465</v>
      </c>
      <c r="H6" s="122">
        <f>H25*-1</f>
        <v>68207.999999999985</v>
      </c>
    </row>
    <row r="7" spans="1:8" ht="14.25">
      <c r="D7" s="95"/>
      <c r="H7" s="122">
        <f>H6+H5</f>
        <v>207751.56</v>
      </c>
    </row>
    <row r="8" spans="1:8">
      <c r="A8" s="123">
        <v>45661</v>
      </c>
      <c r="C8" s="94">
        <v>15000</v>
      </c>
      <c r="D8" s="90">
        <f>H7-C8</f>
        <v>192751.56</v>
      </c>
      <c r="E8" s="124"/>
      <c r="F8" s="125"/>
      <c r="G8" s="125"/>
      <c r="H8" s="126">
        <f t="shared" ref="H8:H19" si="0">H7-E8</f>
        <v>207751.56</v>
      </c>
    </row>
    <row r="9" spans="1:8">
      <c r="A9" s="123">
        <v>45689</v>
      </c>
      <c r="C9" s="94">
        <f>C8</f>
        <v>15000</v>
      </c>
      <c r="D9" s="90">
        <f t="shared" ref="D9:D19" si="1">D8-C9</f>
        <v>177751.56</v>
      </c>
      <c r="E9" s="124"/>
      <c r="F9" s="125"/>
      <c r="G9" s="125"/>
      <c r="H9" s="90">
        <f t="shared" si="0"/>
        <v>207751.56</v>
      </c>
    </row>
    <row r="10" spans="1:8">
      <c r="A10" s="123">
        <v>45717</v>
      </c>
      <c r="C10" s="94">
        <f t="shared" ref="C10:C19" si="2">C9</f>
        <v>15000</v>
      </c>
      <c r="D10" s="90">
        <f t="shared" si="1"/>
        <v>162751.56</v>
      </c>
      <c r="E10" s="124"/>
      <c r="F10" s="125"/>
      <c r="G10" s="125"/>
      <c r="H10" s="90">
        <f t="shared" si="0"/>
        <v>207751.56</v>
      </c>
    </row>
    <row r="11" spans="1:8">
      <c r="A11" s="123">
        <v>45748</v>
      </c>
      <c r="C11" s="94">
        <f t="shared" si="2"/>
        <v>15000</v>
      </c>
      <c r="D11" s="90">
        <f t="shared" si="1"/>
        <v>147751.56</v>
      </c>
      <c r="E11" s="124"/>
      <c r="F11" s="125"/>
      <c r="G11" s="125"/>
      <c r="H11" s="90">
        <f t="shared" si="0"/>
        <v>207751.56</v>
      </c>
    </row>
    <row r="12" spans="1:8">
      <c r="A12" s="123">
        <v>45778</v>
      </c>
      <c r="C12" s="94">
        <f t="shared" si="2"/>
        <v>15000</v>
      </c>
      <c r="D12" s="90">
        <f t="shared" si="1"/>
        <v>132751.56</v>
      </c>
      <c r="E12" s="124"/>
      <c r="F12" s="125"/>
      <c r="G12" s="125"/>
      <c r="H12" s="90">
        <f t="shared" si="0"/>
        <v>207751.56</v>
      </c>
    </row>
    <row r="13" spans="1:8">
      <c r="A13" s="123">
        <v>45809</v>
      </c>
      <c r="C13" s="94">
        <f t="shared" si="2"/>
        <v>15000</v>
      </c>
      <c r="D13" s="90">
        <f t="shared" si="1"/>
        <v>117751.56</v>
      </c>
      <c r="E13" s="124"/>
      <c r="G13" s="125"/>
      <c r="H13" s="90">
        <f t="shared" si="0"/>
        <v>207751.56</v>
      </c>
    </row>
    <row r="14" spans="1:8">
      <c r="A14" s="123">
        <v>45839</v>
      </c>
      <c r="C14" s="94">
        <f t="shared" si="2"/>
        <v>15000</v>
      </c>
      <c r="D14" s="90">
        <f t="shared" si="1"/>
        <v>102751.56</v>
      </c>
      <c r="E14" s="124"/>
      <c r="G14" s="125"/>
      <c r="H14" s="90">
        <f t="shared" si="0"/>
        <v>207751.56</v>
      </c>
    </row>
    <row r="15" spans="1:8">
      <c r="A15" s="123">
        <v>45870</v>
      </c>
      <c r="C15" s="94">
        <f t="shared" si="2"/>
        <v>15000</v>
      </c>
      <c r="D15" s="90">
        <f t="shared" si="1"/>
        <v>87751.56</v>
      </c>
      <c r="H15" s="90">
        <f t="shared" si="0"/>
        <v>207751.56</v>
      </c>
    </row>
    <row r="16" spans="1:8">
      <c r="A16" s="123">
        <v>45901</v>
      </c>
      <c r="C16" s="94">
        <f t="shared" si="2"/>
        <v>15000</v>
      </c>
      <c r="D16" s="90">
        <f t="shared" si="1"/>
        <v>72751.56</v>
      </c>
      <c r="H16" s="90">
        <f t="shared" si="0"/>
        <v>207751.56</v>
      </c>
    </row>
    <row r="17" spans="1:10">
      <c r="A17" s="123">
        <v>45931</v>
      </c>
      <c r="C17" s="94">
        <f t="shared" si="2"/>
        <v>15000</v>
      </c>
      <c r="D17" s="90">
        <f t="shared" si="1"/>
        <v>57751.56</v>
      </c>
      <c r="H17" s="90">
        <f t="shared" si="0"/>
        <v>207751.56</v>
      </c>
    </row>
    <row r="18" spans="1:10">
      <c r="A18" s="123">
        <v>45988</v>
      </c>
      <c r="B18" t="s">
        <v>254</v>
      </c>
      <c r="C18" s="94">
        <f t="shared" si="2"/>
        <v>15000</v>
      </c>
      <c r="D18" s="90">
        <f t="shared" si="1"/>
        <v>42751.56</v>
      </c>
      <c r="E18" s="124"/>
      <c r="H18" s="90">
        <f t="shared" si="0"/>
        <v>207751.56</v>
      </c>
    </row>
    <row r="19" spans="1:10">
      <c r="A19" s="123">
        <v>45992</v>
      </c>
      <c r="B19" t="s">
        <v>256</v>
      </c>
      <c r="C19" s="94">
        <f t="shared" si="2"/>
        <v>15000</v>
      </c>
      <c r="D19" s="90">
        <f t="shared" si="1"/>
        <v>27751.559999999998</v>
      </c>
      <c r="E19" s="124"/>
      <c r="H19" s="90">
        <f t="shared" si="0"/>
        <v>207751.56</v>
      </c>
    </row>
    <row r="20" spans="1:10">
      <c r="A20" s="123"/>
      <c r="C20" s="94"/>
      <c r="D20" s="90"/>
      <c r="E20" s="124"/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287</v>
      </c>
      <c r="D23" s="127">
        <v>0.76480000000000004</v>
      </c>
      <c r="E23" s="127">
        <f>1-D23</f>
        <v>0.23519999999999996</v>
      </c>
      <c r="H23" s="95"/>
    </row>
    <row r="24" spans="1:10">
      <c r="A24" s="116" t="s">
        <v>23</v>
      </c>
      <c r="B24" s="116" t="s">
        <v>24</v>
      </c>
      <c r="C24" s="128" t="s">
        <v>288</v>
      </c>
      <c r="D24" s="129" t="s">
        <v>289</v>
      </c>
      <c r="E24" s="128" t="s">
        <v>290</v>
      </c>
      <c r="F24" s="130" t="s">
        <v>291</v>
      </c>
      <c r="G24" s="128" t="s">
        <v>292</v>
      </c>
      <c r="H24" s="131" t="s">
        <v>248</v>
      </c>
    </row>
    <row r="25" spans="1:10">
      <c r="A25" s="116"/>
      <c r="B25" s="117" t="s">
        <v>295</v>
      </c>
      <c r="C25" s="118">
        <f>SUBTOTAL(109,C26:C40)</f>
        <v>290000</v>
      </c>
      <c r="D25" s="118">
        <f>SUBTOTAL(109,D26:D40)</f>
        <v>290000</v>
      </c>
      <c r="E25" s="118">
        <f>SUM(E26:E40)</f>
        <v>0</v>
      </c>
      <c r="F25" s="117"/>
      <c r="G25" s="118">
        <f>SUBTOTAL(109,$G$26:$G$40)</f>
        <v>-68207.999999999985</v>
      </c>
      <c r="H25" s="118">
        <f>H26</f>
        <v>-68207.999999999985</v>
      </c>
      <c r="J25" s="98"/>
    </row>
    <row r="26" spans="1:10">
      <c r="A26" s="99">
        <v>46021</v>
      </c>
      <c r="B26" t="s">
        <v>293</v>
      </c>
      <c r="D26" s="100">
        <f t="shared" ref="D26:D40" si="3">IF(F26=1,$C26,0)</f>
        <v>0</v>
      </c>
      <c r="E26" s="101">
        <f t="shared" ref="E26:E40" si="4">IF(F26=0,C26*$E$23*-1,0)</f>
        <v>0</v>
      </c>
      <c r="F26" s="97">
        <v>0</v>
      </c>
      <c r="G26" s="100">
        <f t="shared" ref="G26:G40" si="5">IF(F26=1,C26*$E$23*-1,0)</f>
        <v>0</v>
      </c>
      <c r="H26" s="95">
        <f t="shared" ref="H26:H39" si="6">H27+G26</f>
        <v>-68207.999999999985</v>
      </c>
      <c r="J26" s="98"/>
    </row>
    <row r="27" spans="1:10">
      <c r="A27" s="232"/>
      <c r="B27" s="233"/>
      <c r="C27" s="238"/>
      <c r="D27" s="100">
        <f t="shared" si="3"/>
        <v>0</v>
      </c>
      <c r="E27" s="101">
        <f t="shared" si="4"/>
        <v>0</v>
      </c>
      <c r="F27" s="97">
        <v>0</v>
      </c>
      <c r="G27" s="100">
        <f t="shared" si="5"/>
        <v>0</v>
      </c>
      <c r="H27" s="95">
        <f t="shared" si="6"/>
        <v>-68207.999999999985</v>
      </c>
    </row>
    <row r="28" spans="1:10">
      <c r="A28" s="234"/>
      <c r="B28" s="235"/>
      <c r="C28" s="239"/>
      <c r="D28" s="100">
        <f t="shared" si="3"/>
        <v>0</v>
      </c>
      <c r="E28" s="101">
        <f t="shared" si="4"/>
        <v>0</v>
      </c>
      <c r="F28" s="97">
        <v>0</v>
      </c>
      <c r="G28" s="100">
        <f t="shared" si="5"/>
        <v>0</v>
      </c>
      <c r="H28" s="95">
        <f t="shared" si="6"/>
        <v>-68207.999999999985</v>
      </c>
    </row>
    <row r="29" spans="1:10">
      <c r="A29" s="234"/>
      <c r="B29" s="235"/>
      <c r="C29" s="239"/>
      <c r="D29" s="100">
        <f t="shared" si="3"/>
        <v>0</v>
      </c>
      <c r="E29" s="101">
        <f t="shared" si="4"/>
        <v>0</v>
      </c>
      <c r="F29" s="97">
        <v>0</v>
      </c>
      <c r="G29" s="100">
        <f t="shared" si="5"/>
        <v>0</v>
      </c>
      <c r="H29" s="95">
        <f t="shared" si="6"/>
        <v>-68207.999999999985</v>
      </c>
    </row>
    <row r="30" spans="1:10">
      <c r="A30" s="232"/>
      <c r="B30" s="236"/>
      <c r="C30" s="238"/>
      <c r="D30" s="100">
        <f t="shared" si="3"/>
        <v>0</v>
      </c>
      <c r="E30" s="101">
        <f t="shared" si="4"/>
        <v>0</v>
      </c>
      <c r="F30" s="97">
        <v>0</v>
      </c>
      <c r="G30" s="100">
        <f t="shared" si="5"/>
        <v>0</v>
      </c>
      <c r="H30" s="95">
        <f t="shared" si="6"/>
        <v>-68207.999999999985</v>
      </c>
    </row>
    <row r="31" spans="1:10">
      <c r="A31" s="232"/>
      <c r="B31" s="237"/>
      <c r="C31" s="240"/>
      <c r="D31" s="100">
        <f t="shared" si="3"/>
        <v>0</v>
      </c>
      <c r="E31" s="101">
        <f t="shared" si="4"/>
        <v>0</v>
      </c>
      <c r="F31" s="97">
        <v>0</v>
      </c>
      <c r="G31" s="100">
        <f t="shared" si="5"/>
        <v>0</v>
      </c>
      <c r="H31" s="95">
        <f t="shared" si="6"/>
        <v>-68207.999999999985</v>
      </c>
    </row>
    <row r="32" spans="1:10">
      <c r="A32" s="232"/>
      <c r="B32" s="233"/>
      <c r="C32" s="238"/>
      <c r="D32" s="100">
        <f t="shared" si="3"/>
        <v>0</v>
      </c>
      <c r="E32" s="101">
        <f t="shared" si="4"/>
        <v>0</v>
      </c>
      <c r="F32" s="97">
        <v>0</v>
      </c>
      <c r="G32" s="100">
        <f t="shared" si="5"/>
        <v>0</v>
      </c>
      <c r="H32" s="95">
        <f t="shared" si="6"/>
        <v>-68207.999999999985</v>
      </c>
    </row>
    <row r="33" spans="1:10">
      <c r="A33" s="232"/>
      <c r="B33" s="233"/>
      <c r="C33" s="238"/>
      <c r="D33" s="100">
        <f t="shared" si="3"/>
        <v>0</v>
      </c>
      <c r="E33" s="101">
        <f t="shared" si="4"/>
        <v>0</v>
      </c>
      <c r="F33" s="97">
        <v>0</v>
      </c>
      <c r="G33" s="100">
        <f t="shared" si="5"/>
        <v>0</v>
      </c>
      <c r="H33" s="95">
        <f t="shared" si="6"/>
        <v>-68207.999999999985</v>
      </c>
    </row>
    <row r="34" spans="1:10">
      <c r="A34" s="232"/>
      <c r="B34" s="233"/>
      <c r="C34" s="238"/>
      <c r="D34" s="100">
        <f t="shared" si="3"/>
        <v>0</v>
      </c>
      <c r="E34" s="101">
        <f t="shared" si="4"/>
        <v>0</v>
      </c>
      <c r="F34" s="97">
        <v>0</v>
      </c>
      <c r="G34" s="100">
        <f t="shared" si="5"/>
        <v>0</v>
      </c>
      <c r="H34" s="95">
        <f t="shared" si="6"/>
        <v>-68207.999999999985</v>
      </c>
    </row>
    <row r="35" spans="1:10">
      <c r="A35" s="234"/>
      <c r="B35" s="236"/>
      <c r="C35" s="239"/>
      <c r="D35" s="100">
        <f t="shared" si="3"/>
        <v>0</v>
      </c>
      <c r="E35" s="101">
        <f t="shared" si="4"/>
        <v>0</v>
      </c>
      <c r="F35" s="97">
        <v>0</v>
      </c>
      <c r="G35" s="100">
        <f t="shared" si="5"/>
        <v>0</v>
      </c>
      <c r="H35" s="95">
        <f t="shared" si="6"/>
        <v>-68207.999999999985</v>
      </c>
    </row>
    <row r="36" spans="1:10">
      <c r="A36" s="230"/>
      <c r="B36" s="231"/>
      <c r="C36" s="241"/>
      <c r="D36" s="100">
        <f t="shared" si="3"/>
        <v>0</v>
      </c>
      <c r="E36" s="101">
        <f t="shared" si="4"/>
        <v>0</v>
      </c>
      <c r="F36" s="97">
        <v>0</v>
      </c>
      <c r="G36" s="100">
        <f t="shared" si="5"/>
        <v>0</v>
      </c>
      <c r="H36" s="95">
        <f t="shared" si="6"/>
        <v>-68207.999999999985</v>
      </c>
    </row>
    <row r="37" spans="1:10">
      <c r="A37" s="234"/>
      <c r="B37" s="236"/>
      <c r="C37" s="242"/>
      <c r="D37" s="100">
        <f t="shared" si="3"/>
        <v>0</v>
      </c>
      <c r="E37" s="101">
        <f t="shared" si="4"/>
        <v>0</v>
      </c>
      <c r="F37" s="97">
        <v>0</v>
      </c>
      <c r="G37" s="100">
        <f t="shared" si="5"/>
        <v>0</v>
      </c>
      <c r="H37" s="95">
        <f t="shared" si="6"/>
        <v>-68207.999999999985</v>
      </c>
    </row>
    <row r="38" spans="1:10">
      <c r="A38" s="234"/>
      <c r="B38" s="235"/>
      <c r="C38" s="239"/>
      <c r="D38" s="100">
        <f t="shared" si="3"/>
        <v>0</v>
      </c>
      <c r="E38" s="101">
        <f t="shared" si="4"/>
        <v>0</v>
      </c>
      <c r="F38" s="97">
        <v>0</v>
      </c>
      <c r="G38" s="100">
        <f t="shared" si="5"/>
        <v>0</v>
      </c>
      <c r="H38" s="95">
        <f t="shared" si="6"/>
        <v>-68207.999999999985</v>
      </c>
    </row>
    <row r="39" spans="1:10">
      <c r="A39" s="232"/>
      <c r="B39" s="235"/>
      <c r="C39" s="238"/>
      <c r="D39" s="100">
        <f t="shared" si="3"/>
        <v>0</v>
      </c>
      <c r="E39" s="101">
        <f t="shared" si="4"/>
        <v>0</v>
      </c>
      <c r="F39" s="97">
        <v>0</v>
      </c>
      <c r="G39" s="100">
        <f t="shared" si="5"/>
        <v>0</v>
      </c>
      <c r="H39" s="95">
        <f t="shared" si="6"/>
        <v>-68207.999999999985</v>
      </c>
    </row>
    <row r="40" spans="1:10">
      <c r="A40" s="176">
        <v>45660</v>
      </c>
      <c r="B40" s="177" t="s">
        <v>467</v>
      </c>
      <c r="C40" s="178">
        <v>290000</v>
      </c>
      <c r="D40" s="100">
        <f t="shared" si="3"/>
        <v>290000</v>
      </c>
      <c r="E40" s="101">
        <f t="shared" si="4"/>
        <v>0</v>
      </c>
      <c r="F40" s="105">
        <v>1</v>
      </c>
      <c r="G40" s="100">
        <f t="shared" si="5"/>
        <v>-68207.999999999985</v>
      </c>
      <c r="H40" s="95">
        <f>G40</f>
        <v>-68207.999999999985</v>
      </c>
    </row>
    <row r="42" spans="1:10">
      <c r="C42" s="95"/>
      <c r="D42" s="95"/>
      <c r="E42" s="95"/>
      <c r="G42" s="95"/>
      <c r="H42" s="95"/>
    </row>
    <row r="43" spans="1:10">
      <c r="C43" s="100" t="s">
        <v>252</v>
      </c>
      <c r="D43" s="95" t="s">
        <v>296</v>
      </c>
      <c r="E43" s="95" t="s">
        <v>297</v>
      </c>
      <c r="G43" s="106"/>
      <c r="H43" s="106"/>
      <c r="I43" s="107"/>
    </row>
    <row r="44" spans="1:10" ht="15.75">
      <c r="B44" t="s">
        <v>250</v>
      </c>
      <c r="C44" s="108">
        <v>1</v>
      </c>
      <c r="D44" s="138">
        <f>D23</f>
        <v>0.76480000000000004</v>
      </c>
      <c r="E44" s="138">
        <f>1-D44</f>
        <v>0.23519999999999996</v>
      </c>
      <c r="H44" s="95"/>
    </row>
    <row r="45" spans="1:10">
      <c r="B45" t="s">
        <v>298</v>
      </c>
      <c r="C45" s="109">
        <f>$D$25*C44</f>
        <v>290000</v>
      </c>
      <c r="D45" s="110">
        <f>$D$25*D44</f>
        <v>221792</v>
      </c>
      <c r="E45" s="110">
        <f>$D$25*E44</f>
        <v>68207.999999999985</v>
      </c>
      <c r="H45" s="95"/>
    </row>
    <row r="46" spans="1:10">
      <c r="B46" t="s">
        <v>251</v>
      </c>
      <c r="C46" s="100">
        <f>D46+E46</f>
        <v>290000</v>
      </c>
      <c r="D46" s="95">
        <f>C45-E46</f>
        <v>221792</v>
      </c>
      <c r="E46" s="95">
        <f>$H$25*-1</f>
        <v>68207.999999999985</v>
      </c>
      <c r="G46" s="111"/>
      <c r="H46" s="95"/>
      <c r="J46" s="95"/>
    </row>
    <row r="47" spans="1:10">
      <c r="B47" t="s">
        <v>299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300</v>
      </c>
      <c r="D50" s="5" t="s">
        <v>301</v>
      </c>
      <c r="E50" s="5" t="s">
        <v>302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249</v>
      </c>
      <c r="C52" s="95">
        <f>D46</f>
        <v>221792</v>
      </c>
      <c r="D52" s="46">
        <v>2.5000000000000001E-2</v>
      </c>
      <c r="E52" s="95">
        <f>C52*D52</f>
        <v>5544.8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3"/>
  <sheetViews>
    <sheetView topLeftCell="A7" zoomScale="220" zoomScaleNormal="220" workbookViewId="0">
      <selection activeCell="G19" sqref="G19:H19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342</v>
      </c>
    </row>
    <row r="3" spans="1:8">
      <c r="C3" s="5" t="s">
        <v>335</v>
      </c>
      <c r="D3" s="1" t="s">
        <v>336</v>
      </c>
      <c r="E3" s="5" t="s">
        <v>337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338</v>
      </c>
      <c r="H5" s="121">
        <f>D5</f>
        <v>121030.76</v>
      </c>
    </row>
    <row r="6" spans="1:8" ht="14.25">
      <c r="D6" s="95"/>
      <c r="G6" s="2" t="s">
        <v>339</v>
      </c>
      <c r="H6" s="122">
        <f>H25*-1</f>
        <v>188512.8</v>
      </c>
    </row>
    <row r="7" spans="1:8" ht="14.25">
      <c r="D7" s="95"/>
      <c r="H7" s="122">
        <f>H6+H5</f>
        <v>309543.56</v>
      </c>
    </row>
    <row r="8" spans="1:8">
      <c r="A8" s="123">
        <v>45295</v>
      </c>
      <c r="C8" s="94">
        <v>10000</v>
      </c>
      <c r="D8" s="90">
        <f>H7-C8</f>
        <v>299543.56</v>
      </c>
      <c r="E8" s="124">
        <v>10000</v>
      </c>
      <c r="F8" s="125"/>
      <c r="G8" s="125" t="s">
        <v>340</v>
      </c>
      <c r="H8" s="126">
        <f t="shared" ref="H8:H19" si="0">H7-E8</f>
        <v>299543.56</v>
      </c>
    </row>
    <row r="9" spans="1:8">
      <c r="A9" s="123">
        <v>45323</v>
      </c>
      <c r="C9" s="94">
        <v>10000</v>
      </c>
      <c r="D9" s="90">
        <f t="shared" ref="D9:D19" si="1">D8-C9</f>
        <v>289543.56</v>
      </c>
      <c r="E9" s="124">
        <v>10000</v>
      </c>
      <c r="F9" s="125"/>
      <c r="G9" s="125" t="s">
        <v>340</v>
      </c>
      <c r="H9" s="90">
        <f t="shared" si="0"/>
        <v>289543.56</v>
      </c>
    </row>
    <row r="10" spans="1:8">
      <c r="A10" s="123">
        <v>45352</v>
      </c>
      <c r="C10" s="94">
        <v>10000</v>
      </c>
      <c r="D10" s="90">
        <f t="shared" si="1"/>
        <v>279543.56</v>
      </c>
      <c r="E10" s="124">
        <v>10000</v>
      </c>
      <c r="F10" s="125"/>
      <c r="G10" s="125" t="s">
        <v>340</v>
      </c>
      <c r="H10" s="90">
        <f t="shared" si="0"/>
        <v>279543.56</v>
      </c>
    </row>
    <row r="11" spans="1:8">
      <c r="A11" s="123">
        <v>45383</v>
      </c>
      <c r="C11" s="94">
        <v>10000</v>
      </c>
      <c r="D11" s="90">
        <f t="shared" si="1"/>
        <v>269543.56</v>
      </c>
      <c r="E11" s="124">
        <v>10000</v>
      </c>
      <c r="F11" s="125"/>
      <c r="G11" s="125" t="s">
        <v>340</v>
      </c>
      <c r="H11" s="90">
        <f t="shared" si="0"/>
        <v>269543.56</v>
      </c>
    </row>
    <row r="12" spans="1:8">
      <c r="A12" s="123">
        <v>45413</v>
      </c>
      <c r="C12" s="94">
        <v>10000</v>
      </c>
      <c r="D12" s="90">
        <f t="shared" si="1"/>
        <v>259543.56</v>
      </c>
      <c r="E12" s="124">
        <v>10000</v>
      </c>
      <c r="F12" s="125"/>
      <c r="G12" s="125" t="s">
        <v>340</v>
      </c>
      <c r="H12" s="90">
        <f t="shared" si="0"/>
        <v>259543.56</v>
      </c>
    </row>
    <row r="13" spans="1:8">
      <c r="A13" s="123">
        <v>45444</v>
      </c>
      <c r="C13" s="94">
        <v>10000</v>
      </c>
      <c r="D13" s="90">
        <f t="shared" si="1"/>
        <v>249543.56</v>
      </c>
      <c r="E13" s="124">
        <v>10000</v>
      </c>
      <c r="G13" s="125" t="s">
        <v>340</v>
      </c>
      <c r="H13" s="90">
        <f t="shared" si="0"/>
        <v>249543.56</v>
      </c>
    </row>
    <row r="14" spans="1:8">
      <c r="A14" s="123">
        <v>45474</v>
      </c>
      <c r="C14" s="94">
        <v>10000</v>
      </c>
      <c r="D14" s="90">
        <f t="shared" si="1"/>
        <v>239543.56</v>
      </c>
      <c r="E14" s="124">
        <v>10000</v>
      </c>
      <c r="G14" s="125" t="s">
        <v>340</v>
      </c>
      <c r="H14" s="90">
        <f t="shared" si="0"/>
        <v>239543.56</v>
      </c>
    </row>
    <row r="15" spans="1:8">
      <c r="A15" s="123">
        <v>45505</v>
      </c>
      <c r="C15" s="94">
        <v>10000</v>
      </c>
      <c r="D15" s="90">
        <f t="shared" si="1"/>
        <v>229543.56</v>
      </c>
      <c r="F15" t="s">
        <v>458</v>
      </c>
      <c r="H15" s="90">
        <f t="shared" si="0"/>
        <v>239543.56</v>
      </c>
    </row>
    <row r="16" spans="1:8">
      <c r="A16" s="123">
        <v>45536</v>
      </c>
      <c r="C16" s="94">
        <v>10000</v>
      </c>
      <c r="D16" s="90">
        <f t="shared" si="1"/>
        <v>219543.56</v>
      </c>
      <c r="F16" t="s">
        <v>458</v>
      </c>
      <c r="H16" s="90">
        <f t="shared" si="0"/>
        <v>239543.56</v>
      </c>
    </row>
    <row r="17" spans="1:10">
      <c r="A17" s="123">
        <v>45566</v>
      </c>
      <c r="C17" s="94">
        <v>10000</v>
      </c>
      <c r="D17" s="90">
        <f t="shared" si="1"/>
        <v>209543.56</v>
      </c>
      <c r="F17" t="s">
        <v>458</v>
      </c>
      <c r="H17" s="90">
        <f t="shared" si="0"/>
        <v>239543.56</v>
      </c>
    </row>
    <row r="18" spans="1:10" ht="13.5" thickBot="1">
      <c r="A18" s="123">
        <v>45623</v>
      </c>
      <c r="B18" t="s">
        <v>254</v>
      </c>
      <c r="C18" s="94">
        <v>10000</v>
      </c>
      <c r="D18" s="90">
        <f t="shared" si="1"/>
        <v>199543.56</v>
      </c>
      <c r="E18" s="124">
        <v>40000</v>
      </c>
      <c r="H18" s="90">
        <f t="shared" si="0"/>
        <v>199543.56</v>
      </c>
    </row>
    <row r="19" spans="1:10" ht="13.5" thickBot="1">
      <c r="A19" s="123">
        <v>45627</v>
      </c>
      <c r="B19" t="s">
        <v>256</v>
      </c>
      <c r="C19" s="94">
        <v>11030.76</v>
      </c>
      <c r="D19" s="90">
        <f t="shared" si="1"/>
        <v>188512.8</v>
      </c>
      <c r="E19" s="124">
        <v>60000</v>
      </c>
      <c r="G19" s="246" t="s">
        <v>469</v>
      </c>
      <c r="H19" s="247">
        <f t="shared" si="0"/>
        <v>139543.56</v>
      </c>
    </row>
    <row r="20" spans="1:10" ht="13.5" thickBot="1">
      <c r="A20" s="123"/>
      <c r="C20" s="243"/>
      <c r="D20" s="244" t="s">
        <v>468</v>
      </c>
      <c r="E20" s="245">
        <f>SUM(E8:E19)</f>
        <v>170000</v>
      </c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287</v>
      </c>
      <c r="D23" s="127">
        <v>0.76480000000000004</v>
      </c>
      <c r="E23" s="127">
        <f>1-D23</f>
        <v>0.23519999999999996</v>
      </c>
      <c r="H23" s="95"/>
    </row>
    <row r="24" spans="1:10">
      <c r="A24" s="116" t="s">
        <v>23</v>
      </c>
      <c r="B24" s="116" t="s">
        <v>24</v>
      </c>
      <c r="C24" s="128" t="s">
        <v>288</v>
      </c>
      <c r="D24" s="129" t="s">
        <v>289</v>
      </c>
      <c r="E24" s="128" t="s">
        <v>290</v>
      </c>
      <c r="F24" s="130" t="s">
        <v>291</v>
      </c>
      <c r="G24" s="128" t="s">
        <v>292</v>
      </c>
      <c r="H24" s="131" t="s">
        <v>248</v>
      </c>
    </row>
    <row r="25" spans="1:10">
      <c r="A25" s="116"/>
      <c r="B25" s="117" t="s">
        <v>295</v>
      </c>
      <c r="C25" s="118">
        <f>SUBTOTAL(109,C26:C40)</f>
        <v>808500</v>
      </c>
      <c r="D25" s="118">
        <f>SUBTOTAL(109,D26:D40)</f>
        <v>801500</v>
      </c>
      <c r="E25" s="118">
        <f>SUM(E26:E40)</f>
        <v>-1646.3999999999999</v>
      </c>
      <c r="F25" s="117"/>
      <c r="G25" s="118">
        <f>SUBTOTAL(109,$G$26:$G$40)</f>
        <v>-188512.8</v>
      </c>
      <c r="H25" s="118">
        <f>H26</f>
        <v>-188512.8</v>
      </c>
      <c r="J25" s="98"/>
    </row>
    <row r="26" spans="1:10">
      <c r="A26" s="99">
        <v>45656</v>
      </c>
      <c r="B26" t="s">
        <v>293</v>
      </c>
      <c r="D26" s="100">
        <f t="shared" ref="D26:D40" si="2">IF(F26=1,$C26,0)</f>
        <v>0</v>
      </c>
      <c r="E26" s="101">
        <f t="shared" ref="E26:E40" si="3">IF(F26=0,C26*$E$23*-1,0)</f>
        <v>0</v>
      </c>
      <c r="F26" s="97">
        <v>0</v>
      </c>
      <c r="G26" s="100">
        <f t="shared" ref="G26:G40" si="4">IF(F26=1,C26*$E$23*-1,0)</f>
        <v>0</v>
      </c>
      <c r="H26" s="95">
        <f t="shared" ref="H26:H39" si="5">H27+G26</f>
        <v>-188512.8</v>
      </c>
      <c r="J26" s="98"/>
    </row>
    <row r="27" spans="1:10">
      <c r="A27" s="132"/>
      <c r="B27" s="133"/>
      <c r="C27" s="134"/>
      <c r="D27" s="100">
        <f t="shared" si="2"/>
        <v>0</v>
      </c>
      <c r="E27" s="101">
        <f t="shared" si="3"/>
        <v>0</v>
      </c>
      <c r="F27" s="97">
        <v>0</v>
      </c>
      <c r="G27" s="100">
        <f t="shared" si="4"/>
        <v>0</v>
      </c>
      <c r="H27" s="95">
        <f t="shared" si="5"/>
        <v>-188512.8</v>
      </c>
    </row>
    <row r="28" spans="1:10">
      <c r="A28" s="135"/>
      <c r="B28" s="136"/>
      <c r="C28" s="137"/>
      <c r="D28" s="100">
        <f t="shared" si="2"/>
        <v>0</v>
      </c>
      <c r="E28" s="101">
        <f t="shared" si="3"/>
        <v>0</v>
      </c>
      <c r="F28" s="97">
        <v>0</v>
      </c>
      <c r="G28" s="100">
        <f t="shared" si="4"/>
        <v>0</v>
      </c>
      <c r="H28" s="95">
        <f t="shared" si="5"/>
        <v>-188512.8</v>
      </c>
    </row>
    <row r="29" spans="1:10">
      <c r="A29" s="135">
        <v>45631</v>
      </c>
      <c r="B29" s="136" t="s">
        <v>464</v>
      </c>
      <c r="C29" s="137">
        <v>219000</v>
      </c>
      <c r="D29" s="100">
        <f t="shared" si="2"/>
        <v>219000</v>
      </c>
      <c r="E29" s="101">
        <f t="shared" si="3"/>
        <v>0</v>
      </c>
      <c r="F29" s="97">
        <v>1</v>
      </c>
      <c r="G29" s="100">
        <f t="shared" si="4"/>
        <v>-51508.799999999996</v>
      </c>
      <c r="H29" s="95">
        <f t="shared" si="5"/>
        <v>-188512.8</v>
      </c>
    </row>
    <row r="30" spans="1:10">
      <c r="A30" s="132">
        <v>45607</v>
      </c>
      <c r="B30" s="179" t="s">
        <v>463</v>
      </c>
      <c r="C30" s="134">
        <v>148500</v>
      </c>
      <c r="D30" s="100">
        <f t="shared" si="2"/>
        <v>148500</v>
      </c>
      <c r="E30" s="101">
        <f t="shared" si="3"/>
        <v>0</v>
      </c>
      <c r="F30" s="97">
        <v>1</v>
      </c>
      <c r="G30" s="100">
        <f t="shared" si="4"/>
        <v>-34927.199999999997</v>
      </c>
      <c r="H30" s="95">
        <f t="shared" si="5"/>
        <v>-137004</v>
      </c>
    </row>
    <row r="31" spans="1:10">
      <c r="A31" s="132">
        <v>45405</v>
      </c>
      <c r="B31" s="181" t="s">
        <v>353</v>
      </c>
      <c r="C31" s="182">
        <v>33000</v>
      </c>
      <c r="D31" s="100">
        <f t="shared" si="2"/>
        <v>33000</v>
      </c>
      <c r="E31" s="101">
        <f t="shared" si="3"/>
        <v>0</v>
      </c>
      <c r="F31" s="97">
        <v>1</v>
      </c>
      <c r="G31" s="100">
        <f t="shared" si="4"/>
        <v>-7761.5999999999985</v>
      </c>
      <c r="H31" s="95">
        <f t="shared" si="5"/>
        <v>-102076.79999999999</v>
      </c>
    </row>
    <row r="32" spans="1:10">
      <c r="A32" s="132">
        <v>45405</v>
      </c>
      <c r="B32" s="133" t="s">
        <v>408</v>
      </c>
      <c r="C32" s="134">
        <v>170000</v>
      </c>
      <c r="D32" s="100">
        <f t="shared" si="2"/>
        <v>170000</v>
      </c>
      <c r="E32" s="101">
        <f t="shared" si="3"/>
        <v>0</v>
      </c>
      <c r="F32" s="97">
        <v>1</v>
      </c>
      <c r="G32" s="100">
        <f t="shared" si="4"/>
        <v>-39983.999999999993</v>
      </c>
      <c r="H32" s="95">
        <f t="shared" si="5"/>
        <v>-94315.199999999983</v>
      </c>
    </row>
    <row r="33" spans="1:10">
      <c r="A33" s="132">
        <v>45405</v>
      </c>
      <c r="B33" s="133" t="s">
        <v>407</v>
      </c>
      <c r="C33" s="134">
        <v>-25000</v>
      </c>
      <c r="D33" s="100">
        <f t="shared" si="2"/>
        <v>-25000</v>
      </c>
      <c r="E33" s="101">
        <f t="shared" si="3"/>
        <v>0</v>
      </c>
      <c r="F33" s="97">
        <v>1</v>
      </c>
      <c r="G33" s="100">
        <f t="shared" si="4"/>
        <v>5879.9999999999991</v>
      </c>
      <c r="H33" s="95">
        <f t="shared" si="5"/>
        <v>-54331.199999999997</v>
      </c>
    </row>
    <row r="34" spans="1:10">
      <c r="A34" s="132">
        <v>45397</v>
      </c>
      <c r="B34" s="133" t="s">
        <v>406</v>
      </c>
      <c r="C34" s="134">
        <v>1000</v>
      </c>
      <c r="D34" s="100">
        <f t="shared" si="2"/>
        <v>1000</v>
      </c>
      <c r="E34" s="101">
        <f t="shared" ref="E34" si="6">IF(F34=0,C34*$E$23*-1,0)</f>
        <v>0</v>
      </c>
      <c r="F34" s="97">
        <v>1</v>
      </c>
      <c r="G34" s="100">
        <f t="shared" ref="G34" si="7">IF(F34=1,C34*$E$23*-1,0)</f>
        <v>-235.19999999999996</v>
      </c>
      <c r="H34" s="95">
        <f t="shared" si="5"/>
        <v>-60211.199999999997</v>
      </c>
    </row>
    <row r="35" spans="1:10">
      <c r="A35" s="135">
        <v>45397</v>
      </c>
      <c r="B35" s="179" t="s">
        <v>352</v>
      </c>
      <c r="C35" s="137">
        <v>85000</v>
      </c>
      <c r="D35" s="100">
        <f t="shared" si="2"/>
        <v>85000</v>
      </c>
      <c r="E35" s="101">
        <f t="shared" si="3"/>
        <v>0</v>
      </c>
      <c r="F35" s="97">
        <v>1</v>
      </c>
      <c r="G35" s="100">
        <f t="shared" si="4"/>
        <v>-19991.999999999996</v>
      </c>
      <c r="H35" s="95">
        <f t="shared" si="5"/>
        <v>-59976</v>
      </c>
    </row>
    <row r="36" spans="1:10">
      <c r="A36" s="99">
        <v>45321</v>
      </c>
      <c r="B36" s="104" t="s">
        <v>294</v>
      </c>
      <c r="C36" s="175">
        <v>7000</v>
      </c>
      <c r="D36" s="100">
        <f t="shared" si="2"/>
        <v>0</v>
      </c>
      <c r="E36" s="101">
        <f t="shared" si="3"/>
        <v>-1646.3999999999999</v>
      </c>
      <c r="F36" s="97">
        <v>0</v>
      </c>
      <c r="G36" s="100">
        <f t="shared" si="4"/>
        <v>0</v>
      </c>
      <c r="H36" s="95">
        <f t="shared" si="5"/>
        <v>-39984</v>
      </c>
    </row>
    <row r="37" spans="1:10">
      <c r="A37" s="135"/>
      <c r="B37" s="179" t="s">
        <v>409</v>
      </c>
      <c r="C37" s="180">
        <v>24000</v>
      </c>
      <c r="D37" s="100">
        <f t="shared" si="2"/>
        <v>24000</v>
      </c>
      <c r="E37" s="101">
        <f t="shared" si="3"/>
        <v>0</v>
      </c>
      <c r="F37" s="97">
        <v>1</v>
      </c>
      <c r="G37" s="100">
        <f t="shared" si="4"/>
        <v>-5644.7999999999993</v>
      </c>
      <c r="H37" s="95">
        <f t="shared" si="5"/>
        <v>-39984</v>
      </c>
    </row>
    <row r="38" spans="1:10">
      <c r="A38" s="135">
        <v>45296</v>
      </c>
      <c r="B38" s="136" t="s">
        <v>341</v>
      </c>
      <c r="C38" s="137">
        <v>26000</v>
      </c>
      <c r="D38" s="100">
        <f t="shared" si="2"/>
        <v>26000</v>
      </c>
      <c r="E38" s="101">
        <f t="shared" si="3"/>
        <v>0</v>
      </c>
      <c r="F38" s="97">
        <v>1</v>
      </c>
      <c r="G38" s="100">
        <f t="shared" si="4"/>
        <v>-6115.1999999999989</v>
      </c>
      <c r="H38" s="95">
        <f t="shared" si="5"/>
        <v>-34339.199999999997</v>
      </c>
    </row>
    <row r="39" spans="1:10">
      <c r="A39" s="132">
        <v>45295</v>
      </c>
      <c r="B39" s="136" t="s">
        <v>341</v>
      </c>
      <c r="C39" s="134">
        <v>120000</v>
      </c>
      <c r="D39" s="100">
        <f t="shared" si="2"/>
        <v>120000</v>
      </c>
      <c r="E39" s="101">
        <f t="shared" si="3"/>
        <v>0</v>
      </c>
      <c r="F39" s="97">
        <v>1</v>
      </c>
      <c r="G39" s="100">
        <f t="shared" si="4"/>
        <v>-28223.999999999996</v>
      </c>
      <c r="H39" s="95">
        <f t="shared" si="5"/>
        <v>-28223.999999999996</v>
      </c>
    </row>
    <row r="40" spans="1:10">
      <c r="A40" s="176">
        <v>45292</v>
      </c>
      <c r="B40" s="177" t="s">
        <v>254</v>
      </c>
      <c r="C40" s="178"/>
      <c r="D40" s="100">
        <f t="shared" si="2"/>
        <v>0</v>
      </c>
      <c r="E40" s="101">
        <f t="shared" si="3"/>
        <v>0</v>
      </c>
      <c r="F40" s="105">
        <v>0</v>
      </c>
      <c r="G40" s="100">
        <f t="shared" si="4"/>
        <v>0</v>
      </c>
      <c r="H40" s="95">
        <f>G40</f>
        <v>0</v>
      </c>
    </row>
    <row r="42" spans="1:10">
      <c r="C42" s="95"/>
      <c r="D42" s="95"/>
      <c r="E42" s="95"/>
      <c r="G42" s="95"/>
      <c r="H42" s="95"/>
    </row>
    <row r="43" spans="1:10">
      <c r="C43" s="100" t="s">
        <v>252</v>
      </c>
      <c r="D43" s="95" t="s">
        <v>296</v>
      </c>
      <c r="E43" s="95" t="s">
        <v>297</v>
      </c>
      <c r="G43" s="106"/>
      <c r="H43" s="106"/>
      <c r="I43" s="107"/>
    </row>
    <row r="44" spans="1:10" ht="15.75">
      <c r="B44" t="s">
        <v>250</v>
      </c>
      <c r="C44" s="108">
        <v>1</v>
      </c>
      <c r="D44" s="138">
        <f>D23</f>
        <v>0.76480000000000004</v>
      </c>
      <c r="E44" s="138">
        <f>1-D44</f>
        <v>0.23519999999999996</v>
      </c>
      <c r="H44" s="95"/>
    </row>
    <row r="45" spans="1:10">
      <c r="B45" t="s">
        <v>298</v>
      </c>
      <c r="C45" s="109">
        <f>$D$25*C44</f>
        <v>801500</v>
      </c>
      <c r="D45" s="110">
        <f>$D$25*D44</f>
        <v>612987.20000000007</v>
      </c>
      <c r="E45" s="110">
        <f>$D$25*E44</f>
        <v>188512.79999999996</v>
      </c>
      <c r="H45" s="95"/>
    </row>
    <row r="46" spans="1:10">
      <c r="B46" t="s">
        <v>251</v>
      </c>
      <c r="C46" s="100">
        <f>D46+E46</f>
        <v>801500</v>
      </c>
      <c r="D46" s="95">
        <f>C45-E46</f>
        <v>612987.19999999995</v>
      </c>
      <c r="E46" s="95">
        <f>$H$25*-1</f>
        <v>188512.8</v>
      </c>
      <c r="G46" s="111"/>
      <c r="H46" s="95"/>
      <c r="J46" s="95"/>
    </row>
    <row r="47" spans="1:10">
      <c r="B47" t="s">
        <v>299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300</v>
      </c>
      <c r="D50" s="5" t="s">
        <v>301</v>
      </c>
      <c r="E50" s="5" t="s">
        <v>302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249</v>
      </c>
      <c r="C52" s="95">
        <f>D46</f>
        <v>612987.19999999995</v>
      </c>
      <c r="D52" s="46">
        <v>2.5000000000000001E-2</v>
      </c>
      <c r="E52" s="95">
        <f>C52*D52</f>
        <v>15324.68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13</vt:i4>
      </vt:variant>
    </vt:vector>
  </HeadingPairs>
  <TitlesOfParts>
    <vt:vector size="13" baseType="lpstr">
      <vt:lpstr>TPLM</vt:lpstr>
      <vt:lpstr>SnyA105-22</vt:lpstr>
      <vt:lpstr>SnyB202-22</vt:lpstr>
      <vt:lpstr>SnyC301-22</vt:lpstr>
      <vt:lpstr>SnyCD-HSP</vt:lpstr>
      <vt:lpstr>SnyE503-24</vt:lpstr>
      <vt:lpstr>SnyE502-22</vt:lpstr>
      <vt:lpstr>SnyF601-22</vt:lpstr>
      <vt:lpstr>snyF-HSP</vt:lpstr>
      <vt:lpstr>SnyG702-22</vt:lpstr>
      <vt:lpstr>SnH_yazıhane</vt:lpstr>
      <vt:lpstr>NAZAN_25</vt:lpstr>
      <vt:lpstr>NAZAN_24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2025-01-09T09:39:52Z</dcterms:modified>
</cp:coreProperties>
</file>