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xaagitme\tdy\"/>
    </mc:Choice>
  </mc:AlternateContent>
  <xr:revisionPtr revIDLastSave="0" documentId="13_ncr:1_{47B3464F-71D7-4119-B04B-F0E9A98482A5}" xr6:coauthVersionLast="47" xr6:coauthVersionMax="47" xr10:uidLastSave="{00000000-0000-0000-0000-000000000000}"/>
  <bookViews>
    <workbookView xWindow="-120" yWindow="-120" windowWidth="20730" windowHeight="11160" tabRatio="912" activeTab="8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G702-22" sheetId="7" r:id="rId10"/>
    <sheet name="SnH_yazıhane" sheetId="8" r:id="rId11"/>
    <sheet name="NAZAN" sheetId="16" r:id="rId12"/>
  </sheets>
  <calcPr calcId="181029" iterateDelta="1E-4"/>
</workbook>
</file>

<file path=xl/calcChain.xml><?xml version="1.0" encoding="utf-8"?>
<calcChain xmlns="http://schemas.openxmlformats.org/spreadsheetml/2006/main">
  <c r="H48" i="15" l="1"/>
  <c r="H49" i="15" s="1"/>
  <c r="H50" i="15" s="1"/>
  <c r="H44" i="15"/>
  <c r="H45" i="15" s="1"/>
  <c r="H46" i="15" s="1"/>
  <c r="H47" i="15" s="1"/>
  <c r="F50" i="15"/>
  <c r="F49" i="15"/>
  <c r="F47" i="15"/>
  <c r="F35" i="15" l="1"/>
  <c r="F34" i="15"/>
  <c r="F33" i="15"/>
  <c r="F32" i="15"/>
  <c r="H37" i="18"/>
  <c r="D8" i="18"/>
  <c r="D10" i="18"/>
  <c r="D12" i="18"/>
  <c r="D14" i="18"/>
  <c r="H39" i="18"/>
  <c r="H38" i="18" s="1"/>
  <c r="F37" i="18" s="1"/>
  <c r="D37" i="18"/>
  <c r="D34" i="18"/>
  <c r="D32" i="18"/>
  <c r="D30" i="18"/>
  <c r="D28" i="18"/>
  <c r="D26" i="18"/>
  <c r="D24" i="18"/>
  <c r="D22" i="18"/>
  <c r="D20" i="18"/>
  <c r="D18" i="18"/>
  <c r="D16" i="18"/>
  <c r="G3" i="18"/>
  <c r="E78" i="15" l="1"/>
  <c r="E66" i="15"/>
  <c r="H65" i="15"/>
  <c r="D117" i="5"/>
  <c r="D115" i="5"/>
  <c r="D116" i="5" s="1"/>
  <c r="D111" i="5"/>
  <c r="H66" i="15" l="1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36" i="18" l="1"/>
  <c r="H36" i="18" s="1"/>
  <c r="H35" i="18" s="1"/>
  <c r="E81" i="15"/>
  <c r="E83" i="15" s="1"/>
  <c r="E68" i="15"/>
  <c r="H67" i="15"/>
  <c r="D69" i="17"/>
  <c r="D70" i="17" l="1"/>
  <c r="D71" i="17" s="1"/>
  <c r="D76" i="17" s="1"/>
  <c r="F33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31" i="18" l="1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E32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E31" i="15" l="1"/>
  <c r="F30" i="15"/>
  <c r="F34" i="18"/>
  <c r="H34" i="18" s="1"/>
  <c r="F29" i="18"/>
  <c r="D18" i="4"/>
  <c r="E18" i="4" s="1"/>
  <c r="D19" i="4" s="1"/>
  <c r="E19" i="4" s="1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36" i="15" l="1"/>
  <c r="F31" i="15"/>
  <c r="H33" i="18"/>
  <c r="F27" i="18"/>
  <c r="H71" i="15"/>
  <c r="G14" i="6"/>
  <c r="E15" i="6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8" i="16"/>
  <c r="G27" i="16"/>
  <c r="G26" i="16"/>
  <c r="G25" i="16"/>
  <c r="G24" i="16"/>
  <c r="C23" i="16"/>
  <c r="E21" i="16"/>
  <c r="G29" i="16" s="1"/>
  <c r="D13" i="3"/>
  <c r="D25" i="2"/>
  <c r="D26" i="2" s="1"/>
  <c r="G35" i="16" l="1"/>
  <c r="G32" i="16"/>
  <c r="G15" i="6"/>
  <c r="F37" i="15"/>
  <c r="F36" i="15"/>
  <c r="E37" i="15"/>
  <c r="F32" i="18"/>
  <c r="H32" i="18" s="1"/>
  <c r="H31" i="18" s="1"/>
  <c r="F25" i="18"/>
  <c r="H72" i="15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E38" i="16"/>
  <c r="E28" i="16"/>
  <c r="E29" i="16"/>
  <c r="F38" i="15" l="1"/>
  <c r="E38" i="15"/>
  <c r="E39" i="15" s="1"/>
  <c r="F30" i="18"/>
  <c r="H30" i="18" s="1"/>
  <c r="H29" i="18" s="1"/>
  <c r="F28" i="18" s="1"/>
  <c r="F23" i="18"/>
  <c r="H73" i="15"/>
  <c r="E17" i="6"/>
  <c r="E18" i="6" s="1"/>
  <c r="E23" i="16"/>
  <c r="H6" i="15"/>
  <c r="H7" i="15" s="1"/>
  <c r="H8" i="15" s="1"/>
  <c r="H9" i="15" s="1"/>
  <c r="H10" i="15" s="1"/>
  <c r="H11" i="15" s="1"/>
  <c r="H12" i="15" s="1"/>
  <c r="E18" i="15"/>
  <c r="F18" i="15" s="1"/>
  <c r="H17" i="15"/>
  <c r="D9" i="1"/>
  <c r="G40" i="2"/>
  <c r="E5" i="2" s="1"/>
  <c r="C37" i="7"/>
  <c r="C56" i="6"/>
  <c r="C37" i="5"/>
  <c r="D51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18" i="15" l="1"/>
  <c r="F39" i="15"/>
  <c r="E40" i="15"/>
  <c r="H28" i="18"/>
  <c r="H27" i="18" s="1"/>
  <c r="F26" i="18" s="1"/>
  <c r="H26" i="18" s="1"/>
  <c r="H25" i="18" s="1"/>
  <c r="F21" i="18"/>
  <c r="F19" i="18" s="1"/>
  <c r="F17" i="18" s="1"/>
  <c r="F9" i="18" s="1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4" i="16"/>
  <c r="H23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20" i="15" l="1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4" i="16"/>
  <c r="H20" i="15"/>
  <c r="E41" i="15"/>
  <c r="F40" i="15"/>
  <c r="F24" i="18"/>
  <c r="H24" i="18" s="1"/>
  <c r="H23" i="18" s="1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E42" i="15" l="1"/>
  <c r="F41" i="15"/>
  <c r="H21" i="15"/>
  <c r="F22" i="18"/>
  <c r="H22" i="18" s="1"/>
  <c r="H21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E43" i="15" l="1"/>
  <c r="F42" i="15"/>
  <c r="H22" i="15"/>
  <c r="F20" i="18"/>
  <c r="H20" i="18" s="1"/>
  <c r="H19" i="18" s="1"/>
  <c r="F18" i="18" s="1"/>
  <c r="E23" i="15"/>
  <c r="F29" i="15" l="1"/>
  <c r="F28" i="15"/>
  <c r="F27" i="15"/>
  <c r="F26" i="15"/>
  <c r="F25" i="15"/>
  <c r="F24" i="15"/>
  <c r="F23" i="15"/>
  <c r="H23" i="15" s="1"/>
  <c r="H24" i="15" s="1"/>
  <c r="H25" i="15" s="1"/>
  <c r="H26" i="15" s="1"/>
  <c r="E46" i="15"/>
  <c r="F46" i="15" s="1"/>
  <c r="F43" i="15"/>
  <c r="H18" i="18"/>
  <c r="H17" i="18" s="1"/>
  <c r="F16" i="18" s="1"/>
  <c r="H16" i="18" s="1"/>
  <c r="H15" i="18" s="1"/>
  <c r="E24" i="15"/>
  <c r="H27" i="15" l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F14" i="18"/>
  <c r="H14" i="18"/>
  <c r="H13" i="18" s="1"/>
  <c r="F12" i="18" s="1"/>
  <c r="H12" i="18" s="1"/>
  <c r="H11" i="18" s="1"/>
  <c r="F10" i="18" s="1"/>
  <c r="H10" i="18" s="1"/>
  <c r="H9" i="18" s="1"/>
  <c r="F8" i="18" s="1"/>
  <c r="H8" i="18" s="1"/>
  <c r="E25" i="15"/>
  <c r="E26" i="15" l="1"/>
  <c r="F3" i="18" l="1"/>
  <c r="H3" i="18" s="1"/>
  <c r="E27" i="15"/>
  <c r="H7" i="18" l="1"/>
  <c r="H6" i="18" s="1"/>
  <c r="F4" i="4"/>
  <c r="E28" i="15"/>
  <c r="D10" i="1" l="1"/>
  <c r="G7" i="4"/>
  <c r="E10" i="1" l="1"/>
  <c r="D16" i="1"/>
  <c r="G4" i="6"/>
  <c r="E4" i="6"/>
  <c r="C12" i="1" s="1"/>
  <c r="E12" i="1" l="1"/>
  <c r="E16" i="1" s="1"/>
  <c r="C16" i="1"/>
  <c r="D23" i="16"/>
  <c r="E43" i="16" s="1"/>
  <c r="E45" i="16" s="1"/>
  <c r="D43" i="16" l="1"/>
  <c r="C43" i="16"/>
  <c r="D44" i="16" s="1"/>
  <c r="C50" i="16" l="1"/>
  <c r="E50" i="16" s="1"/>
  <c r="C44" i="16"/>
  <c r="C45" i="16" s="1"/>
  <c r="D45" i="16"/>
</calcChain>
</file>

<file path=xl/sharedStrings.xml><?xml version="1.0" encoding="utf-8"?>
<sst xmlns="http://schemas.openxmlformats.org/spreadsheetml/2006/main" count="839" uniqueCount="463">
  <si>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</si>
  <si>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</si>
  <si>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</si>
  <si>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</si>
  <si>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</si>
  <si>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</si>
  <si>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</si>
  <si>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</si>
  <si>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</si>
  <si>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</si>
  <si>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</si>
  <si>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</si>
  <si>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</si>
  <si>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</si>
  <si>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</si>
  <si>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</si>
  <si>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</si>
  <si>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</si>
  <si>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</si>
  <si>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</si>
  <si>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</si>
  <si>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</si>
  <si>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</si>
  <si>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</si>
  <si>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</si>
  <si>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</si>
  <si>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</si>
  <si>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</si>
  <si>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</si>
  <si>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</si>
  <si>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</si>
  <si>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</si>
  <si>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</si>
  <si>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</si>
  <si>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</si>
  <si>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</si>
  <si>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</si>
  <si>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</si>
  <si>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</si>
  <si>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</si>
  <si>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</si>
  <si>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</si>
  <si>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</si>
  <si>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</si>
  <si>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</si>
  <si>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</si>
  <si>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</si>
  <si>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</si>
  <si>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</si>
  <si>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</si>
  <si>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</si>
  <si>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</si>
  <si>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</si>
  <si>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</si>
  <si>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</si>
  <si>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</si>
  <si>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</si>
  <si>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</si>
  <si>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</si>
  <si>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</si>
  <si>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</si>
  <si>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</si>
  <si>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</si>
  <si>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</si>
  <si>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</si>
  <si>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</si>
  <si>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</si>
  <si>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</si>
  <si>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</si>
  <si>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</si>
  <si>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</si>
  <si>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</si>
  <si>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</si>
  <si>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</si>
  <si>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</si>
  <si>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</si>
  <si>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</si>
  <si>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</si>
  <si>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</si>
  <si>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</si>
  <si>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</si>
  <si>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</si>
  <si>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</si>
  <si>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</si>
  <si>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</si>
  <si>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</si>
  <si>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</si>
  <si>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</si>
  <si>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</si>
  <si>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</si>
  <si>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</si>
  <si>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</si>
  <si>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</si>
  <si>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</si>
  <si>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</si>
  <si>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</si>
  <si>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</si>
  <si>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</si>
  <si>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</si>
  <si>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</si>
  <si>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</si>
  <si>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</si>
  <si>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</si>
  <si>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</si>
  <si>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</si>
  <si>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</si>
  <si>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</si>
  <si>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</si>
  <si>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</si>
  <si>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</si>
  <si>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</si>
  <si>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</si>
  <si>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</si>
  <si>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</si>
  <si>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</si>
  <si>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</si>
  <si>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</si>
  <si>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</si>
  <si>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</si>
  <si>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</si>
  <si>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</si>
  <si>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</si>
  <si>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</si>
  <si>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</si>
  <si>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</si>
  <si>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</si>
  <si>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</si>
  <si>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</si>
  <si>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</si>
  <si>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</si>
  <si>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</si>
  <si>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</si>
  <si>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</si>
  <si>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</si>
  <si>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</si>
  <si>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</si>
  <si>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</si>
  <si>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</si>
  <si>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</si>
  <si>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</si>
  <si>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</si>
  <si>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</si>
  <si>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</si>
  <si>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</si>
  <si>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</si>
  <si>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</si>
  <si>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</si>
  <si>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</si>
  <si>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</si>
  <si>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</si>
  <si>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</si>
  <si>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</si>
  <si>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</si>
  <si>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</si>
  <si>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</si>
  <si>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</si>
  <si>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</si>
  <si>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</si>
  <si>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</si>
  <si>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</si>
  <si>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</si>
  <si>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</si>
  <si>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</si>
  <si>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</si>
  <si>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</si>
  <si>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</si>
  <si>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</si>
  <si>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</si>
  <si>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</si>
  <si>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</si>
  <si>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</si>
  <si>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</si>
  <si>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</si>
  <si>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</si>
  <si>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</si>
  <si>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</si>
  <si>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</si>
  <si>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</si>
  <si>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</si>
  <si>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</si>
  <si>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</si>
  <si>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</si>
  <si>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</si>
  <si>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</si>
  <si>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</si>
  <si>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</si>
  <si>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</si>
  <si>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</si>
  <si>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</si>
  <si>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</si>
  <si>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</si>
  <si>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</si>
  <si>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</si>
  <si>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</si>
  <si>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</si>
  <si>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</si>
  <si>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</si>
  <si>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</si>
  <si>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</si>
  <si>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</si>
  <si>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</si>
  <si>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</si>
  <si>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</si>
  <si>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</si>
  <si>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</si>
  <si>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</si>
  <si>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</si>
  <si>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</si>
  <si>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</si>
  <si>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</si>
  <si>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</si>
  <si>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</si>
  <si>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</si>
  <si>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</si>
  <si>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</si>
  <si>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</si>
  <si>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</si>
  <si>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</si>
  <si>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</si>
  <si>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</si>
  <si>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</si>
  <si>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</si>
  <si>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</si>
  <si>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</si>
  <si>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</si>
  <si>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</si>
  <si>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</si>
  <si>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</si>
  <si>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</si>
  <si>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</si>
  <si>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</si>
  <si>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</si>
  <si>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</si>
  <si>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</si>
  <si>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</si>
  <si>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</si>
  <si>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</si>
  <si>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</si>
  <si>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</si>
  <si>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</si>
  <si>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</si>
  <si>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</si>
  <si>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</si>
  <si>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</si>
  <si>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</si>
  <si>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</si>
  <si>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</si>
  <si>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</si>
  <si>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</si>
  <si>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</si>
  <si>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</si>
  <si>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</si>
  <si>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</si>
  <si>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</si>
  <si>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</si>
  <si>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</si>
  <si>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</si>
  <si>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</si>
  <si>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</si>
  <si>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</si>
  <si>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</si>
  <si>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</si>
  <si>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</si>
  <si>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</si>
  <si>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</si>
  <si>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</si>
  <si>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</si>
  <si>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</si>
  <si>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</si>
  <si>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</si>
  <si>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</si>
  <si>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</si>
  <si>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</si>
  <si>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</si>
  <si>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</si>
  <si>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</si>
  <si>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</si>
  <si>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</si>
  <si>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</si>
  <si>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</si>
  <si>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</si>
  <si>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</si>
  <si>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</si>
  <si>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</si>
  <si>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</si>
  <si>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</si>
  <si>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</si>
  <si>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</si>
  <si>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</si>
  <si>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</si>
  <si>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</si>
  <si>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</si>
  <si>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</si>
  <si>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</si>
  <si>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</si>
  <si>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</si>
  <si>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</si>
  <si>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</si>
  <si>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</si>
  <si>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</si>
  <si>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</si>
  <si>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</si>
  <si>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</si>
  <si>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</si>
  <si>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</si>
  <si>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</si>
  <si>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</si>
  <si>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</si>
  <si>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</si>
  <si>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</si>
  <si>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</si>
  <si>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</si>
  <si>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</si>
  <si>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</si>
  <si>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</si>
  <si>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</si>
  <si>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</si>
  <si>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</si>
  <si>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</si>
  <si>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</si>
  <si>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</si>
  <si>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</si>
  <si>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</si>
  <si>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</si>
  <si>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</si>
  <si>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</si>
  <si>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</si>
  <si>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</si>
  <si>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</si>
  <si>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</si>
  <si>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</si>
  <si>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</si>
  <si>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</si>
  <si>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</si>
  <si>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</si>
  <si>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</si>
  <si>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</si>
  <si>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</si>
  <si>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</si>
  <si>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</si>
  <si>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</si>
  <si>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</si>
  <si>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</si>
  <si>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</si>
  <si>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</si>
  <si>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</si>
  <si>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</si>
  <si>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</si>
  <si>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</si>
  <si>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</si>
  <si>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</si>
  <si>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</si>
  <si>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</si>
  <si>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</si>
  <si>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</si>
  <si>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</si>
  <si>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</si>
  <si>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</si>
  <si>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</si>
  <si>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</si>
  <si>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</si>
  <si>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</si>
  <si>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</si>
  <si>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</si>
  <si>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</si>
  <si>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</si>
  <si>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</si>
  <si>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</si>
  <si>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</si>
  <si>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</si>
  <si>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</si>
  <si>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</si>
  <si>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</si>
  <si>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</si>
  <si>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</si>
  <si>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</si>
  <si>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</si>
  <si>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</si>
  <si>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</si>
  <si>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</si>
  <si>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</si>
  <si>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</si>
  <si>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</si>
  <si>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</si>
  <si>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</si>
  <si>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</si>
  <si>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</si>
  <si>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</si>
  <si>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</si>
  <si>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</si>
  <si>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</si>
  <si>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</si>
  <si>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</si>
  <si>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</si>
  <si>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</si>
  <si>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</si>
  <si>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</si>
  <si>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</si>
  <si>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</si>
  <si>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</si>
  <si>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</si>
  <si>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</si>
  <si>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</si>
  <si>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</si>
  <si>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</si>
  <si>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</si>
  <si>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</si>
  <si>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</si>
  <si>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</si>
  <si>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</si>
  <si>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</si>
  <si>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</si>
  <si>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</si>
  <si>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</si>
  <si>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</si>
  <si>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</si>
  <si>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</si>
  <si>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</si>
  <si>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</si>
  <si>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</si>
  <si>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</si>
  <si>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</si>
  <si>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</si>
  <si>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</si>
  <si>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</si>
  <si>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</si>
  <si>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</si>
  <si>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</si>
  <si>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</si>
  <si>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</si>
  <si>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</si>
  <si>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</si>
  <si>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</si>
  <si>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</si>
  <si>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</si>
  <si>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</si>
  <si>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</si>
  <si>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</si>
  <si>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</si>
  <si>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</si>
  <si>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</si>
  <si>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</si>
  <si>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</si>
  <si>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</si>
  <si>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</si>
  <si>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</si>
  <si>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</si>
  <si>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</si>
  <si>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</si>
  <si>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</si>
  <si>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</si>
  <si>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</si>
  <si>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</si>
  <si>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</si>
  <si>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</si>
  <si>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2024 - 1/12 Aralık</t>
  </si>
  <si>
    <t>2024 - 2/12 Ocak</t>
  </si>
  <si>
    <t>avukat-noter vs</t>
  </si>
  <si>
    <t>ödenmedi</t>
  </si>
  <si>
    <t>ÖDEME</t>
  </si>
  <si>
    <t>bedeli</t>
  </si>
  <si>
    <t>ödenecek</t>
  </si>
  <si>
    <t>boya masrafı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</si>
</sst>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</numFmts>
  <fonts count="54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28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4" fontId="16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  <xf numFmtId="0" fontId="15" fillId="0" borderId="0" xfId="0" applyFont="1" applyAlignment="1">
      <alignment horizontal="right"/>
    </xf>
    <xf numFmtId="4" fontId="18" fillId="36" borderId="0" xfId="0" applyNumberFormat="1" applyFont="1" applyFill="1"/>
    <xf numFmtId="4" fontId="18" fillId="37" borderId="0" xfId="0" applyNumberFormat="1" applyFont="1" applyFill="1"/>
    <xf numFmtId="4" fontId="18" fillId="38" borderId="0" xfId="0" applyNumberFormat="1" applyFont="1" applyFill="1" applyAlignment="1">
      <alignment horizontal="right"/>
    </xf>
    <xf numFmtId="0" fontId="19" fillId="27" borderId="0" xfId="0" applyFont="1" applyFill="1"/>
    <xf numFmtId="0" fontId="28" fillId="27" borderId="0" xfId="0" applyFont="1" applyFill="1"/>
    <xf numFmtId="0" fontId="2" fillId="27" borderId="0" xfId="0" applyFont="1" applyFill="1"/>
    <xf numFmtId="4" fontId="16" fillId="36" borderId="0" xfId="0" applyNumberFormat="1" applyFont="1" applyFill="1"/>
    <xf numFmtId="164" fontId="49" fillId="0" borderId="0" xfId="0" applyNumberFormat="1" applyFont="1" applyAlignment="1">
      <alignment vertical="center"/>
    </xf>
    <xf numFmtId="164" fontId="50" fillId="0" borderId="0" xfId="0" applyNumberFormat="1" applyFont="1" applyAlignment="1">
      <alignment vertical="center"/>
    </xf>
    <xf numFmtId="179" fontId="49" fillId="0" borderId="0" xfId="0" applyNumberFormat="1" applyFont="1" applyAlignment="1">
      <alignment vertical="center"/>
    </xf>
    <xf numFmtId="10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180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vertical="center"/>
    </xf>
    <xf numFmtId="164" fontId="49" fillId="0" borderId="4" xfId="0" applyNumberFormat="1" applyFont="1" applyBorder="1" applyAlignment="1">
      <alignment vertical="center"/>
    </xf>
    <xf numFmtId="0" fontId="49" fillId="0" borderId="4" xfId="0" applyFont="1" applyBorder="1" applyAlignment="1">
      <alignment vertical="center"/>
    </xf>
    <xf numFmtId="179" fontId="49" fillId="0" borderId="4" xfId="0" applyNumberFormat="1" applyFont="1" applyBorder="1" applyAlignment="1">
      <alignment vertical="center"/>
    </xf>
    <xf numFmtId="10" fontId="49" fillId="0" borderId="4" xfId="0" applyNumberFormat="1" applyFont="1" applyBorder="1" applyAlignment="1">
      <alignment vertical="center"/>
    </xf>
    <xf numFmtId="180" fontId="49" fillId="0" borderId="4" xfId="0" applyNumberFormat="1" applyFont="1" applyBorder="1" applyAlignment="1">
      <alignment vertical="center"/>
    </xf>
    <xf numFmtId="181" fontId="49" fillId="0" borderId="4" xfId="0" applyNumberFormat="1" applyFont="1" applyBorder="1" applyAlignment="1">
      <alignment vertical="center"/>
    </xf>
    <xf numFmtId="164" fontId="51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180" fontId="53" fillId="0" borderId="0" xfId="0" applyNumberFormat="1" applyFont="1" applyAlignment="1">
      <alignment vertical="center"/>
    </xf>
    <xf numFmtId="181" fontId="15" fillId="0" borderId="0" xfId="0" applyNumberFormat="1" applyFont="1" applyAlignment="1">
      <alignment vertical="center"/>
    </xf>
    <xf numFmtId="16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79" fontId="53" fillId="0" borderId="0" xfId="0" applyNumberFormat="1" applyFont="1" applyAlignment="1">
      <alignment vertical="center"/>
    </xf>
    <xf numFmtId="10" fontId="53" fillId="0" borderId="0" xfId="0" applyNumberFormat="1" applyFont="1" applyAlignment="1">
      <alignment vertical="center"/>
    </xf>
    <xf numFmtId="0" fontId="53" fillId="0" borderId="0" xfId="0" applyFont="1" applyAlignment="1">
      <alignment horizontal="right" vertical="center"/>
    </xf>
    <xf numFmtId="180" fontId="53" fillId="0" borderId="0" xfId="0" applyNumberFormat="1" applyFont="1" applyAlignment="1">
      <alignment horizontal="right" vertical="center"/>
    </xf>
    <xf numFmtId="181" fontId="53" fillId="0" borderId="0" xfId="0" applyNumberFormat="1" applyFont="1" applyAlignment="1">
      <alignment horizontal="right" vertical="center"/>
    </xf>
    <xf numFmtId="182" fontId="49" fillId="0" borderId="0" xfId="7" applyNumberFormat="1" applyFont="1"/>
    <xf numFmtId="4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horizontal="right" vertical="center"/>
    </xf>
    <xf numFmtId="179" fontId="49" fillId="32" borderId="0" xfId="0" applyNumberFormat="1" applyFont="1" applyFill="1" applyAlignment="1">
      <alignment vertical="center"/>
    </xf>
    <xf numFmtId="4" fontId="47" fillId="10" borderId="0" xfId="0" applyNumberFormat="1" applyFont="1" applyFill="1" applyAlignment="1">
      <alignment horizontal="right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882371.44578899362</v>
      </c>
      <c r="D16" s="6">
        <f>SUM(D8:D14)</f>
        <v>489840.43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topLeftCell="A55"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40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40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8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H51"/>
  <sheetViews>
    <sheetView topLeftCell="A7" zoomScale="145" zoomScaleNormal="145" workbookViewId="0">
      <selection activeCell="F13" sqref="F13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1.140625" bestFit="1" customWidth="1"/>
  </cols>
  <sheetData>
    <row r="1" spans="1:8" ht="15">
      <c r="A1" s="199"/>
      <c r="B1" s="200" t="s">
        <v>421</v>
      </c>
      <c r="C1" s="201"/>
      <c r="D1" s="202"/>
      <c r="E1" s="203"/>
      <c r="F1" s="204"/>
      <c r="G1" s="205"/>
      <c r="H1" s="205"/>
    </row>
    <row r="2" spans="1:8">
      <c r="A2" s="206"/>
      <c r="B2" s="207"/>
      <c r="C2" s="208"/>
      <c r="D2" s="209"/>
      <c r="E2" s="207"/>
      <c r="F2" s="210"/>
      <c r="G2" s="211"/>
      <c r="H2" s="211"/>
    </row>
    <row r="3" spans="1:8" ht="18">
      <c r="A3" s="212" t="s">
        <v>437</v>
      </c>
      <c r="B3" s="203"/>
      <c r="C3" s="201"/>
      <c r="D3" s="202"/>
      <c r="E3" s="213"/>
      <c r="F3" s="214">
        <f>SUM(F8:F51)</f>
        <v>355853.14073210838</v>
      </c>
      <c r="G3" s="214">
        <f>SUM(G8:G51)</f>
        <v>135000</v>
      </c>
      <c r="H3" s="215">
        <f>F3-G3</f>
        <v>220853.14073210838</v>
      </c>
    </row>
    <row r="4" spans="1:8" ht="18">
      <c r="A4" s="212"/>
      <c r="B4" s="203"/>
      <c r="C4" s="201"/>
      <c r="D4" s="202"/>
      <c r="E4" s="203" t="s">
        <v>434</v>
      </c>
      <c r="F4" s="214"/>
      <c r="G4" s="214"/>
      <c r="H4" s="215"/>
    </row>
    <row r="5" spans="1:8">
      <c r="A5" s="216" t="s">
        <v>23</v>
      </c>
      <c r="B5" s="217" t="s">
        <v>24</v>
      </c>
      <c r="C5" s="218" t="s">
        <v>422</v>
      </c>
      <c r="D5" s="219" t="s">
        <v>350</v>
      </c>
      <c r="E5" s="220" t="s">
        <v>423</v>
      </c>
      <c r="F5" s="221" t="s">
        <v>213</v>
      </c>
      <c r="G5" s="222" t="s">
        <v>3</v>
      </c>
      <c r="H5" s="222" t="s">
        <v>26</v>
      </c>
    </row>
    <row r="6" spans="1:8">
      <c r="A6" s="199"/>
      <c r="B6" s="203"/>
      <c r="C6" s="201"/>
      <c r="D6" s="202"/>
      <c r="E6" s="203"/>
      <c r="F6" s="204"/>
      <c r="G6" s="205"/>
      <c r="H6" s="205">
        <f t="shared" ref="H6:H37" si="0">H7+F6-G6</f>
        <v>220853.14073210832</v>
      </c>
    </row>
    <row r="7" spans="1:8">
      <c r="A7" s="199"/>
      <c r="B7" s="223"/>
      <c r="C7" s="201"/>
      <c r="D7" s="202"/>
      <c r="E7" s="203"/>
      <c r="F7" s="204"/>
      <c r="G7" s="205"/>
      <c r="H7" s="205">
        <f t="shared" si="0"/>
        <v>220853.14073210832</v>
      </c>
    </row>
    <row r="8" spans="1:8">
      <c r="A8" s="199">
        <v>45687</v>
      </c>
      <c r="B8" s="223" t="s">
        <v>452</v>
      </c>
      <c r="C8" s="201">
        <v>3000</v>
      </c>
      <c r="D8" s="202">
        <f>(C8/C10)-1</f>
        <v>3.4482758620689724E-2</v>
      </c>
      <c r="E8" s="224"/>
      <c r="F8" s="204">
        <f>H9*D8</f>
        <v>7361.7713577369586</v>
      </c>
      <c r="G8" s="205"/>
      <c r="H8" s="205">
        <f t="shared" ref="H8:H9" si="1">H9+F8-G8</f>
        <v>220853.14073210832</v>
      </c>
    </row>
    <row r="9" spans="1:8">
      <c r="A9" s="199"/>
      <c r="B9" s="223" t="s">
        <v>456</v>
      </c>
      <c r="C9" s="201"/>
      <c r="D9" s="202"/>
      <c r="E9" s="203"/>
      <c r="F9" s="204">
        <f>F11+E10</f>
        <v>34000</v>
      </c>
      <c r="G9" s="205"/>
      <c r="H9" s="205">
        <f t="shared" si="1"/>
        <v>213491.36937437137</v>
      </c>
    </row>
    <row r="10" spans="1:8">
      <c r="A10" s="199">
        <v>45656</v>
      </c>
      <c r="B10" s="223" t="s">
        <v>453</v>
      </c>
      <c r="C10" s="201">
        <v>2900</v>
      </c>
      <c r="D10" s="202">
        <f>(C10/C12)-1</f>
        <v>3.5714285714285809E-2</v>
      </c>
      <c r="E10" s="224"/>
      <c r="F10" s="204">
        <f>H11*D10</f>
        <v>6189.3575646335112</v>
      </c>
      <c r="G10" s="205"/>
      <c r="H10" s="205">
        <f t="shared" ref="H10:H11" si="2">H11+F10-G10</f>
        <v>179491.36937437137</v>
      </c>
    </row>
    <row r="11" spans="1:8">
      <c r="A11" s="199"/>
      <c r="B11" s="223" t="s">
        <v>455</v>
      </c>
      <c r="C11" s="201"/>
      <c r="D11" s="202"/>
      <c r="E11" s="203"/>
      <c r="F11" s="204">
        <v>34000</v>
      </c>
      <c r="G11" s="205"/>
      <c r="H11" s="205">
        <f t="shared" si="2"/>
        <v>173302.01180973786</v>
      </c>
    </row>
    <row r="12" spans="1:8">
      <c r="A12" s="199">
        <v>45626</v>
      </c>
      <c r="B12" s="223" t="s">
        <v>454</v>
      </c>
      <c r="C12" s="201">
        <v>2800</v>
      </c>
      <c r="D12" s="202">
        <f>(C12/C14)-1</f>
        <v>3.7037037037036979E-2</v>
      </c>
      <c r="E12" s="224"/>
      <c r="F12" s="204">
        <f>H13*D12</f>
        <v>4975.0718503477738</v>
      </c>
      <c r="G12" s="205"/>
      <c r="H12" s="205">
        <f t="shared" ref="H12:H13" si="3">H13+F12-G12</f>
        <v>139302.01180973786</v>
      </c>
    </row>
    <row r="13" spans="1:8">
      <c r="A13" s="199"/>
      <c r="B13" s="223" t="s">
        <v>451</v>
      </c>
      <c r="C13" s="201"/>
      <c r="D13" s="202"/>
      <c r="E13" s="203"/>
      <c r="F13" s="204">
        <v>20000</v>
      </c>
      <c r="G13" s="205"/>
      <c r="H13" s="205">
        <f t="shared" si="3"/>
        <v>134326.93995939009</v>
      </c>
    </row>
    <row r="14" spans="1:8">
      <c r="A14" s="199">
        <v>45595</v>
      </c>
      <c r="B14" s="223" t="s">
        <v>449</v>
      </c>
      <c r="C14" s="201">
        <v>2700</v>
      </c>
      <c r="D14" s="202">
        <f>(C14/C16)-1</f>
        <v>3.8461538461538547E-2</v>
      </c>
      <c r="E14" s="224"/>
      <c r="F14" s="204">
        <f>H15*D14</f>
        <v>4234.3311096070502</v>
      </c>
      <c r="G14" s="205"/>
      <c r="H14" s="205">
        <f t="shared" ref="H14:H15" si="4">H15+F14-G14</f>
        <v>114326.9399593901</v>
      </c>
    </row>
    <row r="15" spans="1:8">
      <c r="A15" s="199"/>
      <c r="B15" s="223" t="s">
        <v>450</v>
      </c>
      <c r="C15" s="201"/>
      <c r="D15" s="202"/>
      <c r="E15" s="203"/>
      <c r="F15" s="204">
        <v>7080.3</v>
      </c>
      <c r="G15" s="205"/>
      <c r="H15" s="205">
        <f t="shared" si="4"/>
        <v>110092.60884978305</v>
      </c>
    </row>
    <row r="16" spans="1:8">
      <c r="A16" s="199">
        <v>45595</v>
      </c>
      <c r="B16" s="223" t="s">
        <v>424</v>
      </c>
      <c r="C16" s="201">
        <v>2600</v>
      </c>
      <c r="D16" s="202">
        <f>(C16/C18)-1</f>
        <v>2.923013585837797E-2</v>
      </c>
      <c r="E16" s="224"/>
      <c r="F16" s="204">
        <f>H17*D16</f>
        <v>2925.5495713338419</v>
      </c>
      <c r="G16" s="205"/>
      <c r="H16" s="205">
        <f t="shared" si="0"/>
        <v>103012.30884978305</v>
      </c>
    </row>
    <row r="17" spans="1:8">
      <c r="A17" s="199"/>
      <c r="B17" s="223" t="s">
        <v>448</v>
      </c>
      <c r="C17" s="201"/>
      <c r="D17" s="202"/>
      <c r="E17" s="203"/>
      <c r="F17" s="204">
        <f>F19+E18</f>
        <v>20000</v>
      </c>
      <c r="G17" s="205"/>
      <c r="H17" s="205">
        <f t="shared" si="0"/>
        <v>100086.7592784492</v>
      </c>
    </row>
    <row r="18" spans="1:8">
      <c r="A18" s="199">
        <v>45565</v>
      </c>
      <c r="B18" s="223" t="s">
        <v>425</v>
      </c>
      <c r="C18" s="226">
        <v>2526.16</v>
      </c>
      <c r="D18" s="202">
        <f>(C18/C20)-1</f>
        <v>2.9681984559824404E-2</v>
      </c>
      <c r="E18" s="224"/>
      <c r="F18" s="204">
        <f>IF(H19&lt;=0,,(H19*D18))</f>
        <v>2308.6098309911645</v>
      </c>
      <c r="G18" s="205"/>
      <c r="H18" s="205">
        <f t="shared" si="0"/>
        <v>80086.759278449201</v>
      </c>
    </row>
    <row r="19" spans="1:8">
      <c r="A19" s="199"/>
      <c r="B19" s="223" t="s">
        <v>447</v>
      </c>
      <c r="C19" s="201"/>
      <c r="D19" s="202"/>
      <c r="E19" s="203"/>
      <c r="F19" s="204">
        <f>F21+E20</f>
        <v>20000</v>
      </c>
      <c r="G19" s="205"/>
      <c r="H19" s="205">
        <f t="shared" si="0"/>
        <v>77778.14944745804</v>
      </c>
    </row>
    <row r="20" spans="1:8">
      <c r="A20" s="199">
        <v>45534</v>
      </c>
      <c r="B20" s="223" t="s">
        <v>426</v>
      </c>
      <c r="C20" s="201">
        <v>2453.34</v>
      </c>
      <c r="D20" s="202">
        <f>(C20/C22)-1</f>
        <v>2.4744162733386421E-2</v>
      </c>
      <c r="E20" s="224"/>
      <c r="F20" s="204">
        <f>IF(H21&lt;=0,,(H21*D20))</f>
        <v>1395.1501109782737</v>
      </c>
      <c r="G20" s="205"/>
      <c r="H20" s="205">
        <f t="shared" si="0"/>
        <v>57778.149447458032</v>
      </c>
    </row>
    <row r="21" spans="1:8">
      <c r="A21" s="199"/>
      <c r="B21" s="223" t="s">
        <v>446</v>
      </c>
      <c r="C21" s="201"/>
      <c r="D21" s="202"/>
      <c r="E21" s="203"/>
      <c r="F21" s="204">
        <f>F23+E22</f>
        <v>20000</v>
      </c>
      <c r="G21" s="205"/>
      <c r="H21" s="205">
        <f t="shared" si="0"/>
        <v>56382.999336479756</v>
      </c>
    </row>
    <row r="22" spans="1:8">
      <c r="A22" s="199">
        <v>45503</v>
      </c>
      <c r="B22" s="223" t="s">
        <v>427</v>
      </c>
      <c r="C22" s="201">
        <v>2394.1</v>
      </c>
      <c r="D22" s="202">
        <f>(C22/C24)-1</f>
        <v>3.2255560969089547E-2</v>
      </c>
      <c r="E22" s="224"/>
      <c r="F22" s="204">
        <f>IF(H23&lt;=0,,(H23*D22))</f>
        <v>1136.8832464650766</v>
      </c>
      <c r="G22" s="205"/>
      <c r="H22" s="205">
        <f t="shared" si="0"/>
        <v>36382.999336479756</v>
      </c>
    </row>
    <row r="23" spans="1:8">
      <c r="A23" s="199"/>
      <c r="B23" s="223" t="s">
        <v>445</v>
      </c>
      <c r="C23" s="201"/>
      <c r="D23" s="202"/>
      <c r="E23" s="203"/>
      <c r="F23" s="204">
        <f>F25+E24</f>
        <v>20000</v>
      </c>
      <c r="G23" s="205"/>
      <c r="H23" s="205">
        <f t="shared" si="0"/>
        <v>35246.116090014679</v>
      </c>
    </row>
    <row r="24" spans="1:8">
      <c r="A24" s="199">
        <v>45473</v>
      </c>
      <c r="B24" s="223" t="s">
        <v>428</v>
      </c>
      <c r="C24" s="201">
        <v>2319.29</v>
      </c>
      <c r="D24" s="202">
        <f>(C24/C26)-1</f>
        <v>1.6407739334312055E-2</v>
      </c>
      <c r="E24" s="224"/>
      <c r="F24" s="204">
        <f>IF(H25&lt;=0,,(H25*D24))</f>
        <v>246.11609001468082</v>
      </c>
      <c r="G24" s="205"/>
      <c r="H24" s="205">
        <f t="shared" si="0"/>
        <v>15246.116090014681</v>
      </c>
    </row>
    <row r="25" spans="1:8">
      <c r="A25" s="199"/>
      <c r="B25" s="223" t="s">
        <v>444</v>
      </c>
      <c r="C25" s="201"/>
      <c r="D25" s="202"/>
      <c r="E25" s="203"/>
      <c r="F25" s="204">
        <f>F27+E26</f>
        <v>20000</v>
      </c>
      <c r="G25" s="205"/>
      <c r="H25" s="205">
        <f t="shared" si="0"/>
        <v>15000</v>
      </c>
    </row>
    <row r="26" spans="1:8">
      <c r="A26" s="199">
        <v>45442</v>
      </c>
      <c r="B26" s="223" t="s">
        <v>429</v>
      </c>
      <c r="C26" s="201">
        <v>2281.85</v>
      </c>
      <c r="D26" s="202">
        <f>(C26/C28)-1</f>
        <v>3.3680634201585402E-2</v>
      </c>
      <c r="E26" s="224"/>
      <c r="F26" s="204">
        <f>IF(H27&lt;=0,,(H27*D26))</f>
        <v>0</v>
      </c>
      <c r="G26" s="205"/>
      <c r="H26" s="205">
        <f t="shared" si="0"/>
        <v>-5000</v>
      </c>
    </row>
    <row r="27" spans="1:8">
      <c r="A27" s="199"/>
      <c r="B27" s="223" t="s">
        <v>443</v>
      </c>
      <c r="C27" s="201"/>
      <c r="D27" s="202"/>
      <c r="E27" s="203"/>
      <c r="F27" s="204">
        <f>F29+E28</f>
        <v>20000</v>
      </c>
      <c r="G27" s="205"/>
      <c r="H27" s="205">
        <f t="shared" si="0"/>
        <v>-5000</v>
      </c>
    </row>
    <row r="28" spans="1:8">
      <c r="A28" s="199">
        <v>45412</v>
      </c>
      <c r="B28" s="223" t="s">
        <v>430</v>
      </c>
      <c r="C28" s="201">
        <v>2207.5</v>
      </c>
      <c r="D28" s="202">
        <f>(C28/C30)-1</f>
        <v>3.1797594731405532E-2</v>
      </c>
      <c r="E28" s="224"/>
      <c r="F28" s="204">
        <f>IF(H29&lt;=0,,(H29*D28))</f>
        <v>0</v>
      </c>
      <c r="G28" s="205"/>
      <c r="H28" s="205">
        <f t="shared" si="0"/>
        <v>-25000</v>
      </c>
    </row>
    <row r="29" spans="1:8">
      <c r="A29" s="199"/>
      <c r="B29" s="223" t="s">
        <v>442</v>
      </c>
      <c r="C29" s="201"/>
      <c r="D29" s="202"/>
      <c r="E29" s="203"/>
      <c r="F29" s="204">
        <f>F31+E30</f>
        <v>20000</v>
      </c>
      <c r="G29" s="205"/>
      <c r="H29" s="205">
        <f t="shared" si="0"/>
        <v>-25000</v>
      </c>
    </row>
    <row r="30" spans="1:8">
      <c r="A30" s="199">
        <v>45381</v>
      </c>
      <c r="B30" s="223" t="s">
        <v>431</v>
      </c>
      <c r="C30" s="201">
        <v>2139.4699999999998</v>
      </c>
      <c r="D30" s="202">
        <f>(C30/C32)-1</f>
        <v>3.1626709356375349E-2</v>
      </c>
      <c r="E30" s="224"/>
      <c r="F30" s="204">
        <f>IF(H31&lt;=0,,(H31*D30))</f>
        <v>0</v>
      </c>
      <c r="G30" s="205"/>
      <c r="H30" s="205">
        <f t="shared" si="0"/>
        <v>-45000</v>
      </c>
    </row>
    <row r="31" spans="1:8">
      <c r="A31" s="199"/>
      <c r="B31" s="223" t="s">
        <v>441</v>
      </c>
      <c r="C31" s="201"/>
      <c r="D31" s="202"/>
      <c r="E31" s="203"/>
      <c r="F31" s="204">
        <f>F33+E32</f>
        <v>20000</v>
      </c>
      <c r="G31" s="205"/>
      <c r="H31" s="205">
        <f t="shared" si="0"/>
        <v>-45000</v>
      </c>
    </row>
    <row r="32" spans="1:8">
      <c r="A32" s="199">
        <v>45351</v>
      </c>
      <c r="B32" s="223" t="s">
        <v>432</v>
      </c>
      <c r="C32" s="201">
        <v>2073.88</v>
      </c>
      <c r="D32" s="202">
        <f>(C32/C34)-1</f>
        <v>4.5291882138285056E-2</v>
      </c>
      <c r="E32" s="224"/>
      <c r="F32" s="204">
        <f>IF(H33&lt;=0,,(H33*D32))</f>
        <v>0</v>
      </c>
      <c r="G32" s="205"/>
      <c r="H32" s="205">
        <f t="shared" si="0"/>
        <v>-65000</v>
      </c>
    </row>
    <row r="33" spans="1:8">
      <c r="A33" s="199"/>
      <c r="B33" s="223" t="s">
        <v>440</v>
      </c>
      <c r="C33" s="201"/>
      <c r="D33" s="202"/>
      <c r="E33" s="203"/>
      <c r="F33" s="204">
        <f>F36+E34</f>
        <v>20000</v>
      </c>
      <c r="G33" s="205"/>
      <c r="H33" s="205">
        <f t="shared" si="0"/>
        <v>-65000</v>
      </c>
    </row>
    <row r="34" spans="1:8">
      <c r="A34" s="199">
        <v>45321</v>
      </c>
      <c r="B34" s="223" t="s">
        <v>433</v>
      </c>
      <c r="C34" s="201">
        <v>1984.02</v>
      </c>
      <c r="D34" s="202">
        <f>(C34/C37)-1</f>
        <v>6.7033097053856627E-2</v>
      </c>
      <c r="E34" s="224"/>
      <c r="F34" s="204">
        <f>IF(H35&lt;=0,,(H35*D34))</f>
        <v>0</v>
      </c>
      <c r="G34" s="205"/>
      <c r="H34" s="205">
        <f t="shared" si="0"/>
        <v>-85000</v>
      </c>
    </row>
    <row r="35" spans="1:8">
      <c r="A35" s="199"/>
      <c r="B35" s="223" t="s">
        <v>457</v>
      </c>
      <c r="C35" s="201"/>
      <c r="D35" s="202"/>
      <c r="E35" s="204"/>
      <c r="F35" s="204">
        <v>10000</v>
      </c>
      <c r="G35" s="205"/>
      <c r="H35" s="205">
        <f t="shared" si="0"/>
        <v>-85000</v>
      </c>
    </row>
    <row r="36" spans="1:8">
      <c r="A36" s="199"/>
      <c r="B36" s="223" t="s">
        <v>439</v>
      </c>
      <c r="C36" s="201"/>
      <c r="D36" s="202"/>
      <c r="F36" s="204">
        <f>F38+E37</f>
        <v>20000</v>
      </c>
      <c r="G36" s="205"/>
      <c r="H36" s="205">
        <f t="shared" si="0"/>
        <v>-95000</v>
      </c>
    </row>
    <row r="37" spans="1:8">
      <c r="A37" s="199">
        <v>45290</v>
      </c>
      <c r="B37" s="223" t="s">
        <v>435</v>
      </c>
      <c r="C37" s="201">
        <v>1859.38</v>
      </c>
      <c r="D37" s="202">
        <f>(C37/C40)-1</f>
        <v>2.9272073069471327E-2</v>
      </c>
      <c r="E37" s="224"/>
      <c r="F37" s="204">
        <f>IF(H38&lt;=0,,(H38*D37))</f>
        <v>0</v>
      </c>
      <c r="G37" s="205"/>
      <c r="H37" s="205">
        <f t="shared" si="0"/>
        <v>-115000</v>
      </c>
    </row>
    <row r="38" spans="1:8">
      <c r="A38" s="199"/>
      <c r="B38" s="223" t="s">
        <v>438</v>
      </c>
      <c r="C38" s="201"/>
      <c r="D38" s="202"/>
      <c r="E38" s="203"/>
      <c r="F38" s="204">
        <v>20000</v>
      </c>
      <c r="G38" s="205"/>
      <c r="H38" s="205">
        <f>H39+F38-G38</f>
        <v>-115000</v>
      </c>
    </row>
    <row r="39" spans="1:8">
      <c r="A39" s="199"/>
      <c r="B39" s="223"/>
      <c r="C39" s="201"/>
      <c r="D39" s="202"/>
      <c r="E39" s="203"/>
      <c r="F39" s="204"/>
      <c r="G39" s="205">
        <v>135000</v>
      </c>
      <c r="H39" s="205">
        <f>H41+F39-G39</f>
        <v>-135000</v>
      </c>
    </row>
    <row r="40" spans="1:8">
      <c r="A40" s="199">
        <v>45260</v>
      </c>
      <c r="B40" s="223" t="s">
        <v>436</v>
      </c>
      <c r="C40" s="201">
        <v>1806.5</v>
      </c>
      <c r="D40" s="202"/>
      <c r="E40" s="224"/>
      <c r="F40" s="204"/>
      <c r="G40" s="205"/>
      <c r="H40" s="205"/>
    </row>
    <row r="41" spans="1:8">
      <c r="A41" s="199"/>
      <c r="B41" s="223"/>
      <c r="C41" s="201"/>
      <c r="D41" s="202"/>
      <c r="E41" s="204"/>
      <c r="F41" s="204"/>
      <c r="G41" s="205"/>
      <c r="H41" s="205"/>
    </row>
    <row r="42" spans="1:8">
      <c r="A42" s="199"/>
      <c r="B42" s="205"/>
      <c r="C42" s="201"/>
      <c r="D42" s="202"/>
      <c r="E42" s="203"/>
      <c r="F42" s="204"/>
      <c r="G42" s="205"/>
      <c r="H42" s="205"/>
    </row>
    <row r="43" spans="1:8">
      <c r="A43" s="199"/>
      <c r="B43" s="223"/>
      <c r="C43" s="201"/>
      <c r="D43" s="202"/>
      <c r="E43" s="224"/>
      <c r="F43" s="204"/>
      <c r="G43" s="205"/>
      <c r="H43" s="205"/>
    </row>
    <row r="44" spans="1:8">
      <c r="A44" s="199"/>
      <c r="B44" s="223"/>
      <c r="C44" s="201"/>
      <c r="D44" s="202"/>
      <c r="E44" s="204"/>
      <c r="F44" s="204"/>
      <c r="G44" s="205"/>
      <c r="H44" s="205"/>
    </row>
    <row r="45" spans="1:8">
      <c r="A45" s="199"/>
      <c r="B45" s="223"/>
      <c r="C45" s="201"/>
      <c r="D45" s="202"/>
      <c r="E45" s="203"/>
      <c r="F45" s="204"/>
      <c r="G45" s="205"/>
      <c r="H45" s="205"/>
    </row>
    <row r="46" spans="1:8">
      <c r="A46" s="199"/>
      <c r="B46" s="223"/>
      <c r="C46" s="201"/>
      <c r="D46" s="202"/>
      <c r="E46" s="203"/>
      <c r="F46" s="204"/>
      <c r="G46" s="205"/>
      <c r="H46" s="205"/>
    </row>
    <row r="47" spans="1:8">
      <c r="A47" s="199"/>
      <c r="B47" s="223"/>
      <c r="C47" s="201"/>
      <c r="D47" s="202"/>
      <c r="E47" s="203"/>
      <c r="F47" s="204"/>
      <c r="G47" s="205"/>
      <c r="H47" s="205"/>
    </row>
    <row r="48" spans="1:8">
      <c r="A48" s="199"/>
      <c r="B48" s="205"/>
      <c r="C48" s="201"/>
      <c r="D48" s="202"/>
      <c r="E48" s="203"/>
      <c r="F48" s="204"/>
      <c r="G48" s="205"/>
      <c r="H48" s="205"/>
    </row>
    <row r="49" spans="1:8">
      <c r="A49" s="199"/>
      <c r="B49" s="223"/>
      <c r="C49" s="201"/>
      <c r="D49" s="202"/>
      <c r="E49" s="224"/>
      <c r="F49" s="204"/>
      <c r="G49" s="225"/>
      <c r="H49" s="205"/>
    </row>
    <row r="50" spans="1:8">
      <c r="A50" s="199"/>
      <c r="B50" s="223"/>
      <c r="C50" s="201"/>
      <c r="D50" s="202"/>
      <c r="E50" s="204"/>
      <c r="F50" s="204"/>
      <c r="G50" s="225"/>
      <c r="H50" s="205"/>
    </row>
    <row r="51" spans="1:8">
      <c r="A51" s="199"/>
      <c r="B51" s="205"/>
      <c r="C51" s="201"/>
      <c r="D51" s="202"/>
      <c r="E51" s="203"/>
      <c r="F51" s="204"/>
      <c r="G51" s="205"/>
      <c r="H51" s="20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J90"/>
  <sheetViews>
    <sheetView tabSelected="1" topLeftCell="A40" zoomScale="175" zoomScaleNormal="175" workbookViewId="0">
      <selection activeCell="C47" sqref="C47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354</v>
      </c>
    </row>
    <row r="6" spans="2:10">
      <c r="C6" t="s">
        <v>285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286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283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284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355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356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357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359</v>
      </c>
      <c r="J14" s="3"/>
    </row>
    <row r="15" spans="2:10">
      <c r="B15" t="s">
        <v>358</v>
      </c>
      <c r="E15" s="191" t="s">
        <v>416</v>
      </c>
      <c r="J15" s="3"/>
    </row>
    <row r="16" spans="2:10">
      <c r="D16" s="191" t="s">
        <v>415</v>
      </c>
      <c r="E16" s="191" t="s">
        <v>460</v>
      </c>
      <c r="F16" s="85" t="s">
        <v>461</v>
      </c>
      <c r="G16" s="191" t="s">
        <v>214</v>
      </c>
      <c r="H16" s="191" t="s">
        <v>417</v>
      </c>
      <c r="J16" s="3"/>
    </row>
    <row r="17" spans="2:8">
      <c r="B17" s="54">
        <v>44957</v>
      </c>
      <c r="C17" s="143" t="s">
        <v>274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3" t="s">
        <v>275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3" t="s">
        <v>276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3" t="s">
        <v>278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3" t="s">
        <v>277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3" t="s">
        <v>279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3" t="s">
        <v>280</v>
      </c>
      <c r="D23">
        <v>9.49</v>
      </c>
      <c r="E23" s="193">
        <f t="shared" si="1"/>
        <v>8288.9539957935922</v>
      </c>
      <c r="F23" s="15">
        <f t="shared" si="2"/>
        <v>8288.9539957935922</v>
      </c>
      <c r="G23" s="194">
        <v>50000</v>
      </c>
      <c r="H23" s="3">
        <f t="shared" si="3"/>
        <v>-39487.306735726735</v>
      </c>
    </row>
    <row r="24" spans="2:8">
      <c r="C24" s="143" t="s">
        <v>281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3" t="s">
        <v>282</v>
      </c>
      <c r="D25">
        <v>4.75</v>
      </c>
      <c r="E25" s="60">
        <f t="shared" si="1"/>
        <v>9900.5455638508938</v>
      </c>
      <c r="F25" s="15">
        <f>E23</f>
        <v>8288.9539957935922</v>
      </c>
      <c r="G25" s="227"/>
      <c r="H25" s="3">
        <f t="shared" si="3"/>
        <v>-22909.398744139551</v>
      </c>
    </row>
    <row r="26" spans="2:8">
      <c r="C26" s="143" t="s">
        <v>263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3" t="s">
        <v>264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2">
        <v>45322</v>
      </c>
      <c r="C29" s="144" t="s">
        <v>418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4" t="s">
        <v>275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4" t="s">
        <v>276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6" t="s">
        <v>349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6" t="s">
        <v>208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5" t="s">
        <v>413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5" t="s">
        <v>414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4" t="s">
        <v>360</v>
      </c>
      <c r="D36">
        <v>3.18</v>
      </c>
      <c r="E36" s="193">
        <f>E31+(E31*D31/100)</f>
        <v>16109.625312312</v>
      </c>
      <c r="F36" s="15">
        <f t="shared" si="4"/>
        <v>16109.625312312</v>
      </c>
      <c r="G36" s="194">
        <v>85000</v>
      </c>
      <c r="H36" s="3">
        <f t="shared" si="3"/>
        <v>-24301.492628653185</v>
      </c>
    </row>
    <row r="37" spans="2:8">
      <c r="C37" s="195" t="s">
        <v>361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5" t="s">
        <v>279</v>
      </c>
      <c r="D38" s="145">
        <v>1.64</v>
      </c>
      <c r="E38" s="192">
        <f>E37+(E37*D37/100)</f>
        <v>17182.069811330628</v>
      </c>
      <c r="F38" s="198">
        <f>E37</f>
        <v>16621.911397243523</v>
      </c>
      <c r="G38" s="145"/>
      <c r="H38" s="3">
        <f t="shared" si="3"/>
        <v>8430.0440809023385</v>
      </c>
    </row>
    <row r="39" spans="2:8">
      <c r="C39" s="195" t="s">
        <v>280</v>
      </c>
      <c r="D39" s="145">
        <v>3.23</v>
      </c>
      <c r="E39" s="192">
        <f t="shared" ref="E39:E43" si="5">E38+(E38*D38/100)</f>
        <v>17463.855756236451</v>
      </c>
      <c r="F39" s="192">
        <f>E39</f>
        <v>17463.855756236451</v>
      </c>
      <c r="G39" s="145"/>
      <c r="H39" s="3">
        <f t="shared" si="3"/>
        <v>25893.89983713879</v>
      </c>
    </row>
    <row r="40" spans="2:8">
      <c r="C40" s="195" t="s">
        <v>281</v>
      </c>
      <c r="D40" s="145">
        <v>2.4700000000000002</v>
      </c>
      <c r="E40" s="192">
        <f t="shared" si="5"/>
        <v>18027.938297162887</v>
      </c>
      <c r="F40" s="192">
        <f>E40</f>
        <v>18027.938297162887</v>
      </c>
      <c r="G40" s="145"/>
      <c r="H40" s="3">
        <f t="shared" si="3"/>
        <v>43921.838134301681</v>
      </c>
    </row>
    <row r="41" spans="2:8">
      <c r="C41" s="195" t="s">
        <v>362</v>
      </c>
      <c r="D41" s="145">
        <v>2.97</v>
      </c>
      <c r="E41" s="192">
        <f t="shared" si="5"/>
        <v>18473.228373102811</v>
      </c>
      <c r="F41" s="192">
        <f>E41</f>
        <v>18473.228373102811</v>
      </c>
      <c r="G41" s="145"/>
      <c r="H41" s="3">
        <f t="shared" si="3"/>
        <v>62395.066507404495</v>
      </c>
    </row>
    <row r="42" spans="2:8">
      <c r="C42" s="196" t="s">
        <v>263</v>
      </c>
      <c r="D42" s="145">
        <v>5</v>
      </c>
      <c r="E42" s="192">
        <f t="shared" si="5"/>
        <v>19021.883255783963</v>
      </c>
      <c r="F42" s="192">
        <f>E42</f>
        <v>19021.883255783963</v>
      </c>
      <c r="G42" s="197"/>
      <c r="H42" s="3">
        <f t="shared" si="3"/>
        <v>81416.949763188459</v>
      </c>
    </row>
    <row r="43" spans="2:8">
      <c r="C43" s="145" t="s">
        <v>264</v>
      </c>
      <c r="D43" s="145">
        <v>5</v>
      </c>
      <c r="E43" s="60">
        <f t="shared" si="5"/>
        <v>19972.977418573162</v>
      </c>
      <c r="F43" s="192">
        <f>E43</f>
        <v>19972.977418573162</v>
      </c>
      <c r="H43" s="3">
        <f t="shared" si="3"/>
        <v>101389.92718176162</v>
      </c>
    </row>
    <row r="44" spans="2:8">
      <c r="C44" s="145" t="s">
        <v>462</v>
      </c>
      <c r="D44" s="145"/>
      <c r="E44" s="60"/>
      <c r="F44" s="192">
        <v>5000</v>
      </c>
      <c r="H44" s="3">
        <f t="shared" si="3"/>
        <v>106389.92718176162</v>
      </c>
    </row>
    <row r="45" spans="2:8">
      <c r="C45" s="145" t="s">
        <v>459</v>
      </c>
      <c r="D45" s="145"/>
      <c r="E45" s="60"/>
      <c r="F45" s="192"/>
      <c r="G45">
        <v>185000</v>
      </c>
      <c r="H45" s="3">
        <f t="shared" si="3"/>
        <v>-78610.072818238375</v>
      </c>
    </row>
    <row r="46" spans="2:8">
      <c r="C46" s="145" t="s">
        <v>265</v>
      </c>
      <c r="E46" s="60">
        <f>E43+(E43*D43/100)</f>
        <v>20971.626289501819</v>
      </c>
      <c r="F46" s="192">
        <f>E46</f>
        <v>20971.626289501819</v>
      </c>
      <c r="H46" s="3">
        <f t="shared" si="3"/>
        <v>-57638.44652873656</v>
      </c>
    </row>
    <row r="47" spans="2:8">
      <c r="B47">
        <v>2025</v>
      </c>
      <c r="C47" s="144" t="s">
        <v>419</v>
      </c>
      <c r="E47" s="60">
        <v>25000</v>
      </c>
      <c r="F47" s="192">
        <f>E47</f>
        <v>25000</v>
      </c>
      <c r="H47" s="3">
        <f t="shared" si="3"/>
        <v>-32638.44652873656</v>
      </c>
    </row>
    <row r="48" spans="2:8">
      <c r="C48" s="144"/>
      <c r="E48" s="60"/>
      <c r="F48" s="60"/>
      <c r="H48" s="3">
        <f t="shared" si="3"/>
        <v>-32638.44652873656</v>
      </c>
    </row>
    <row r="49" spans="2:8">
      <c r="C49" s="144" t="s">
        <v>275</v>
      </c>
      <c r="E49" s="60">
        <v>26000</v>
      </c>
      <c r="F49" s="192">
        <f>E49</f>
        <v>26000</v>
      </c>
      <c r="H49" s="3">
        <f t="shared" si="3"/>
        <v>-6638.4465287365601</v>
      </c>
    </row>
    <row r="50" spans="2:8">
      <c r="C50" s="144" t="s">
        <v>276</v>
      </c>
      <c r="E50" s="60">
        <v>27000</v>
      </c>
      <c r="F50" s="192">
        <f>E50</f>
        <v>27000</v>
      </c>
      <c r="H50" s="3">
        <f t="shared" si="3"/>
        <v>20361.55347126344</v>
      </c>
    </row>
    <row r="51" spans="2:8">
      <c r="C51" s="145"/>
      <c r="E51" s="60"/>
      <c r="F51" s="60"/>
      <c r="H51" s="29"/>
    </row>
    <row r="52" spans="2:8">
      <c r="C52" s="145"/>
      <c r="E52" s="60"/>
      <c r="F52" s="60"/>
      <c r="H52" s="29"/>
    </row>
    <row r="53" spans="2:8">
      <c r="C53" s="145"/>
      <c r="E53" s="60"/>
      <c r="F53" s="60"/>
      <c r="H53" s="29"/>
    </row>
    <row r="58" spans="2:8">
      <c r="B58" s="92">
        <v>45421</v>
      </c>
      <c r="C58" t="s">
        <v>402</v>
      </c>
    </row>
    <row r="59" spans="2:8">
      <c r="B59" s="92"/>
      <c r="C59" t="s">
        <v>403</v>
      </c>
    </row>
    <row r="60" spans="2:8">
      <c r="B60" s="92"/>
      <c r="C60" t="s">
        <v>404</v>
      </c>
    </row>
    <row r="61" spans="2:8">
      <c r="B61" s="92"/>
      <c r="C61" t="s">
        <v>405</v>
      </c>
    </row>
    <row r="62" spans="2:8">
      <c r="B62" s="92"/>
    </row>
    <row r="63" spans="2:8">
      <c r="B63" s="92"/>
    </row>
    <row r="65" spans="2:8">
      <c r="B65" s="54">
        <v>44957</v>
      </c>
      <c r="C65" s="143" t="s">
        <v>274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3" t="s">
        <v>275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3" t="s">
        <v>276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3" t="s">
        <v>278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3" t="s">
        <v>277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3" t="s">
        <v>279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3" t="s">
        <v>280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3" t="s">
        <v>281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3" t="s">
        <v>282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3" t="s">
        <v>263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3" t="s">
        <v>264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2">
        <v>45291</v>
      </c>
      <c r="C76" s="143" t="s">
        <v>265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2">
        <v>45322</v>
      </c>
      <c r="C77" s="144" t="s">
        <v>274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4" t="s">
        <v>275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4" t="s">
        <v>276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6" t="s">
        <v>349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4" t="s">
        <v>360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6" t="s">
        <v>208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5" t="s">
        <v>361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5" t="s">
        <v>279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5" t="s">
        <v>280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5" t="s">
        <v>281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5" t="s">
        <v>362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5" t="s">
        <v>263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5" t="s">
        <v>264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5" t="s">
        <v>265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51" zoomScale="220" zoomScaleNormal="220" workbookViewId="0">
      <selection activeCell="C28" sqref="C28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H23*-1</f>
        <v>102076.79999999999</v>
      </c>
    </row>
    <row r="7" spans="1:8" ht="14.25">
      <c r="D7" s="95"/>
      <c r="H7" s="122">
        <f>H6+H5</f>
        <v>223107.56</v>
      </c>
    </row>
    <row r="8" spans="1:8">
      <c r="A8" s="123">
        <v>45295</v>
      </c>
      <c r="C8" s="94">
        <v>10000</v>
      </c>
      <c r="D8" s="90">
        <f>H7-C8</f>
        <v>213107.56</v>
      </c>
      <c r="E8" s="124">
        <v>10000</v>
      </c>
      <c r="F8" s="125"/>
      <c r="G8" s="125" t="s">
        <v>340</v>
      </c>
      <c r="H8" s="126">
        <f t="shared" ref="H8:H19" si="0">H7-E8</f>
        <v>213107.56</v>
      </c>
    </row>
    <row r="9" spans="1:8">
      <c r="A9" s="123">
        <v>45323</v>
      </c>
      <c r="C9" s="94">
        <v>10000</v>
      </c>
      <c r="D9" s="90">
        <f t="shared" ref="D9:D19" si="1">D8-C9</f>
        <v>203107.56</v>
      </c>
      <c r="E9" s="124">
        <v>10000</v>
      </c>
      <c r="F9" s="125"/>
      <c r="G9" s="125" t="s">
        <v>340</v>
      </c>
      <c r="H9" s="90">
        <f t="shared" si="0"/>
        <v>203107.56</v>
      </c>
    </row>
    <row r="10" spans="1:8">
      <c r="A10" s="123">
        <v>45352</v>
      </c>
      <c r="C10" s="94">
        <v>10000</v>
      </c>
      <c r="D10" s="90">
        <f t="shared" si="1"/>
        <v>193107.56</v>
      </c>
      <c r="E10" s="124">
        <v>10000</v>
      </c>
      <c r="F10" s="125"/>
      <c r="G10" s="125" t="s">
        <v>340</v>
      </c>
      <c r="H10" s="90">
        <f t="shared" si="0"/>
        <v>193107.56</v>
      </c>
    </row>
    <row r="11" spans="1:8">
      <c r="A11" s="123">
        <v>45383</v>
      </c>
      <c r="C11" s="94">
        <v>10000</v>
      </c>
      <c r="D11" s="90">
        <f t="shared" si="1"/>
        <v>183107.56</v>
      </c>
      <c r="E11" s="124">
        <v>10000</v>
      </c>
      <c r="F11" s="125"/>
      <c r="G11" s="125" t="s">
        <v>340</v>
      </c>
      <c r="H11" s="90">
        <f t="shared" si="0"/>
        <v>183107.56</v>
      </c>
    </row>
    <row r="12" spans="1:8">
      <c r="A12" s="123">
        <v>45413</v>
      </c>
      <c r="C12" s="94">
        <v>10000</v>
      </c>
      <c r="D12" s="90">
        <f t="shared" si="1"/>
        <v>173107.56</v>
      </c>
      <c r="E12" s="124">
        <v>10000</v>
      </c>
      <c r="F12" s="125"/>
      <c r="G12" s="125" t="s">
        <v>340</v>
      </c>
      <c r="H12" s="90">
        <f t="shared" si="0"/>
        <v>173107.56</v>
      </c>
    </row>
    <row r="13" spans="1:8">
      <c r="A13" s="123">
        <v>45444</v>
      </c>
      <c r="C13" s="94">
        <v>10000</v>
      </c>
      <c r="D13" s="90">
        <f t="shared" si="1"/>
        <v>163107.56</v>
      </c>
      <c r="E13" s="124">
        <v>10000</v>
      </c>
      <c r="G13" s="125" t="s">
        <v>340</v>
      </c>
      <c r="H13" s="90">
        <f t="shared" si="0"/>
        <v>163107.56</v>
      </c>
    </row>
    <row r="14" spans="1:8">
      <c r="A14" s="123">
        <v>45474</v>
      </c>
      <c r="C14" s="94">
        <v>10000</v>
      </c>
      <c r="D14" s="90">
        <f t="shared" si="1"/>
        <v>153107.56</v>
      </c>
      <c r="E14" s="124">
        <v>10000</v>
      </c>
      <c r="G14" s="125" t="s">
        <v>340</v>
      </c>
      <c r="H14" s="90">
        <f t="shared" si="0"/>
        <v>153107.56</v>
      </c>
    </row>
    <row r="15" spans="1:8">
      <c r="A15" s="123">
        <v>45505</v>
      </c>
      <c r="C15" s="94">
        <v>10000</v>
      </c>
      <c r="D15" s="90">
        <f t="shared" si="1"/>
        <v>143107.56</v>
      </c>
      <c r="F15" t="s">
        <v>458</v>
      </c>
      <c r="H15" s="90">
        <f t="shared" si="0"/>
        <v>153107.56</v>
      </c>
    </row>
    <row r="16" spans="1:8">
      <c r="A16" s="123">
        <v>45536</v>
      </c>
      <c r="C16" s="94">
        <v>10000</v>
      </c>
      <c r="D16" s="90">
        <f t="shared" si="1"/>
        <v>133107.56</v>
      </c>
      <c r="F16" t="s">
        <v>458</v>
      </c>
      <c r="H16" s="90">
        <f t="shared" si="0"/>
        <v>153107.56</v>
      </c>
    </row>
    <row r="17" spans="1:10">
      <c r="A17" s="123">
        <v>45566</v>
      </c>
      <c r="C17" s="94">
        <v>10000</v>
      </c>
      <c r="D17" s="90">
        <f t="shared" si="1"/>
        <v>123107.56</v>
      </c>
      <c r="F17" t="s">
        <v>458</v>
      </c>
      <c r="H17" s="90">
        <f t="shared" si="0"/>
        <v>153107.56</v>
      </c>
    </row>
    <row r="18" spans="1:10">
      <c r="A18" s="123">
        <v>45597</v>
      </c>
      <c r="C18" s="94">
        <v>10000</v>
      </c>
      <c r="D18" s="90">
        <f t="shared" si="1"/>
        <v>113107.56</v>
      </c>
      <c r="F18" t="s">
        <v>458</v>
      </c>
      <c r="H18" s="90">
        <f t="shared" si="0"/>
        <v>153107.56</v>
      </c>
    </row>
    <row r="19" spans="1:10">
      <c r="A19" s="123">
        <v>45627</v>
      </c>
      <c r="C19" s="94">
        <v>11030.76</v>
      </c>
      <c r="D19" s="90">
        <f t="shared" si="1"/>
        <v>102076.8</v>
      </c>
      <c r="H19" s="90">
        <f t="shared" si="0"/>
        <v>153107.56</v>
      </c>
    </row>
    <row r="20" spans="1:10">
      <c r="C20" s="94"/>
      <c r="D20" s="90"/>
      <c r="G20" s="90"/>
      <c r="H20" s="95"/>
    </row>
    <row r="21" spans="1:10" ht="15.75">
      <c r="B21" s="96" t="s">
        <v>287</v>
      </c>
      <c r="D21" s="127">
        <v>0.76480000000000004</v>
      </c>
      <c r="E21" s="127">
        <f>1-D21</f>
        <v>0.23519999999999996</v>
      </c>
      <c r="H21" s="95"/>
    </row>
    <row r="22" spans="1:10">
      <c r="A22" s="116" t="s">
        <v>23</v>
      </c>
      <c r="B22" s="116" t="s">
        <v>24</v>
      </c>
      <c r="C22" s="128" t="s">
        <v>288</v>
      </c>
      <c r="D22" s="129" t="s">
        <v>289</v>
      </c>
      <c r="E22" s="128" t="s">
        <v>290</v>
      </c>
      <c r="F22" s="130" t="s">
        <v>291</v>
      </c>
      <c r="G22" s="128" t="s">
        <v>292</v>
      </c>
      <c r="H22" s="131" t="s">
        <v>248</v>
      </c>
    </row>
    <row r="23" spans="1:10">
      <c r="A23" s="116"/>
      <c r="B23" s="117" t="s">
        <v>295</v>
      </c>
      <c r="C23" s="118">
        <f>SUBTOTAL(109,C24:C38)</f>
        <v>611000</v>
      </c>
      <c r="D23" s="118">
        <f>SUBTOTAL(109,D24:D38)</f>
        <v>434000</v>
      </c>
      <c r="E23" s="118">
        <f>SUM(E24:E38)</f>
        <v>-41630.399999999994</v>
      </c>
      <c r="F23" s="117"/>
      <c r="G23" s="118">
        <f>SUBTOTAL(109,$G$24:$G$38)</f>
        <v>-102076.79999999999</v>
      </c>
      <c r="H23" s="118">
        <f>H24</f>
        <v>-102076.79999999999</v>
      </c>
      <c r="J23" s="98"/>
    </row>
    <row r="24" spans="1:10">
      <c r="A24" s="99">
        <v>45656</v>
      </c>
      <c r="B24" t="s">
        <v>293</v>
      </c>
      <c r="D24" s="100">
        <f t="shared" ref="D24:D38" si="2">IF(F24=1,$C24,0)</f>
        <v>0</v>
      </c>
      <c r="E24" s="101">
        <f t="shared" ref="E24:E38" si="3">IF(F24=0,C24*$E$21*-1,0)</f>
        <v>0</v>
      </c>
      <c r="F24" s="97">
        <v>0</v>
      </c>
      <c r="G24" s="100">
        <f t="shared" ref="G24:G38" si="4">IF(F24=1,C24*$E$21*-1,0)</f>
        <v>0</v>
      </c>
      <c r="H24" s="95">
        <f t="shared" ref="H24:H37" si="5">H25+G24</f>
        <v>-102076.79999999999</v>
      </c>
      <c r="J24" s="98"/>
    </row>
    <row r="25" spans="1:10">
      <c r="A25" s="132"/>
      <c r="B25" s="133"/>
      <c r="C25" s="134"/>
      <c r="D25" s="100">
        <f t="shared" si="2"/>
        <v>0</v>
      </c>
      <c r="E25" s="101">
        <f t="shared" si="3"/>
        <v>0</v>
      </c>
      <c r="F25" s="97">
        <v>0</v>
      </c>
      <c r="G25" s="100">
        <f t="shared" si="4"/>
        <v>0</v>
      </c>
      <c r="H25" s="95">
        <f t="shared" si="5"/>
        <v>-102076.79999999999</v>
      </c>
    </row>
    <row r="26" spans="1:10">
      <c r="A26" s="135"/>
      <c r="B26" s="136"/>
      <c r="C26" s="137"/>
      <c r="D26" s="100">
        <f t="shared" si="2"/>
        <v>0</v>
      </c>
      <c r="E26" s="101">
        <f t="shared" si="3"/>
        <v>0</v>
      </c>
      <c r="F26" s="97">
        <v>0</v>
      </c>
      <c r="G26" s="100">
        <f t="shared" si="4"/>
        <v>0</v>
      </c>
      <c r="H26" s="95">
        <f t="shared" si="5"/>
        <v>-102076.79999999999</v>
      </c>
    </row>
    <row r="27" spans="1:10">
      <c r="A27" s="135"/>
      <c r="B27" s="136"/>
      <c r="C27" s="137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-102076.79999999999</v>
      </c>
    </row>
    <row r="28" spans="1:10">
      <c r="A28" s="132"/>
      <c r="B28" s="133"/>
      <c r="C28" s="134"/>
      <c r="D28" s="100">
        <f t="shared" si="2"/>
        <v>0</v>
      </c>
      <c r="E28" s="101">
        <f t="shared" si="3"/>
        <v>0</v>
      </c>
      <c r="F28" s="97">
        <v>0</v>
      </c>
      <c r="G28" s="100">
        <f t="shared" si="4"/>
        <v>0</v>
      </c>
      <c r="H28" s="95">
        <f t="shared" si="5"/>
        <v>-102076.79999999999</v>
      </c>
    </row>
    <row r="29" spans="1:10">
      <c r="A29" s="132">
        <v>45405</v>
      </c>
      <c r="B29" s="181" t="s">
        <v>353</v>
      </c>
      <c r="C29" s="182">
        <v>33000</v>
      </c>
      <c r="D29" s="100">
        <f t="shared" si="2"/>
        <v>33000</v>
      </c>
      <c r="E29" s="101">
        <f t="shared" si="3"/>
        <v>0</v>
      </c>
      <c r="F29" s="97">
        <v>1</v>
      </c>
      <c r="G29" s="100">
        <f t="shared" si="4"/>
        <v>-7761.5999999999985</v>
      </c>
      <c r="H29" s="95">
        <f t="shared" si="5"/>
        <v>-102076.79999999999</v>
      </c>
    </row>
    <row r="30" spans="1:10">
      <c r="A30" s="132">
        <v>45405</v>
      </c>
      <c r="B30" s="133" t="s">
        <v>408</v>
      </c>
      <c r="C30" s="134">
        <v>170000</v>
      </c>
      <c r="D30" s="100">
        <f t="shared" si="2"/>
        <v>170000</v>
      </c>
      <c r="E30" s="101">
        <f t="shared" si="3"/>
        <v>0</v>
      </c>
      <c r="F30" s="97">
        <v>1</v>
      </c>
      <c r="G30" s="100">
        <f t="shared" si="4"/>
        <v>-39983.999999999993</v>
      </c>
      <c r="H30" s="95">
        <f t="shared" si="5"/>
        <v>-94315.199999999983</v>
      </c>
    </row>
    <row r="31" spans="1:10">
      <c r="A31" s="132">
        <v>45405</v>
      </c>
      <c r="B31" s="133" t="s">
        <v>407</v>
      </c>
      <c r="C31" s="134">
        <v>-25000</v>
      </c>
      <c r="D31" s="100">
        <f t="shared" si="2"/>
        <v>-25000</v>
      </c>
      <c r="E31" s="101">
        <f t="shared" si="3"/>
        <v>0</v>
      </c>
      <c r="F31" s="97">
        <v>1</v>
      </c>
      <c r="G31" s="100">
        <f t="shared" si="4"/>
        <v>5879.9999999999991</v>
      </c>
      <c r="H31" s="95">
        <f t="shared" si="5"/>
        <v>-54331.199999999997</v>
      </c>
    </row>
    <row r="32" spans="1:10">
      <c r="A32" s="132">
        <v>45397</v>
      </c>
      <c r="B32" s="133" t="s">
        <v>406</v>
      </c>
      <c r="C32" s="134">
        <v>1000</v>
      </c>
      <c r="D32" s="100">
        <f t="shared" si="2"/>
        <v>1000</v>
      </c>
      <c r="E32" s="101">
        <f t="shared" ref="E32" si="6">IF(F32=0,C32*$E$21*-1,0)</f>
        <v>0</v>
      </c>
      <c r="F32" s="97">
        <v>1</v>
      </c>
      <c r="G32" s="100">
        <f t="shared" ref="G32" si="7">IF(F32=1,C32*$E$21*-1,0)</f>
        <v>-235.19999999999996</v>
      </c>
      <c r="H32" s="95">
        <f t="shared" si="5"/>
        <v>-60211.199999999997</v>
      </c>
    </row>
    <row r="33" spans="1:10">
      <c r="A33" s="135">
        <v>45397</v>
      </c>
      <c r="B33" s="179" t="s">
        <v>352</v>
      </c>
      <c r="C33" s="137">
        <v>85000</v>
      </c>
      <c r="D33" s="100">
        <f t="shared" si="2"/>
        <v>85000</v>
      </c>
      <c r="E33" s="101">
        <f t="shared" si="3"/>
        <v>0</v>
      </c>
      <c r="F33" s="97">
        <v>1</v>
      </c>
      <c r="G33" s="100">
        <f t="shared" si="4"/>
        <v>-19991.999999999996</v>
      </c>
      <c r="H33" s="95">
        <f t="shared" si="5"/>
        <v>-59976</v>
      </c>
    </row>
    <row r="34" spans="1:10">
      <c r="A34" s="99">
        <v>45321</v>
      </c>
      <c r="B34" s="104" t="s">
        <v>294</v>
      </c>
      <c r="C34" s="175">
        <v>7000</v>
      </c>
      <c r="D34" s="100">
        <f t="shared" si="2"/>
        <v>0</v>
      </c>
      <c r="E34" s="101">
        <f t="shared" si="3"/>
        <v>-1646.3999999999999</v>
      </c>
      <c r="F34" s="97">
        <v>0</v>
      </c>
      <c r="G34" s="100">
        <f t="shared" si="4"/>
        <v>0</v>
      </c>
      <c r="H34" s="95">
        <f t="shared" si="5"/>
        <v>-39984</v>
      </c>
    </row>
    <row r="35" spans="1:10">
      <c r="A35" s="135"/>
      <c r="B35" s="179" t="s">
        <v>409</v>
      </c>
      <c r="C35" s="180">
        <v>24000</v>
      </c>
      <c r="D35" s="100">
        <f t="shared" si="2"/>
        <v>24000</v>
      </c>
      <c r="E35" s="101">
        <f t="shared" si="3"/>
        <v>0</v>
      </c>
      <c r="F35" s="97">
        <v>1</v>
      </c>
      <c r="G35" s="100">
        <f t="shared" si="4"/>
        <v>-5644.7999999999993</v>
      </c>
      <c r="H35" s="95">
        <f t="shared" si="5"/>
        <v>-39984</v>
      </c>
    </row>
    <row r="36" spans="1:10">
      <c r="A36" s="135">
        <v>45296</v>
      </c>
      <c r="B36" s="136" t="s">
        <v>341</v>
      </c>
      <c r="C36" s="137">
        <v>26000</v>
      </c>
      <c r="D36" s="100">
        <f t="shared" si="2"/>
        <v>26000</v>
      </c>
      <c r="E36" s="101">
        <f t="shared" si="3"/>
        <v>0</v>
      </c>
      <c r="F36" s="97">
        <v>1</v>
      </c>
      <c r="G36" s="100">
        <f t="shared" si="4"/>
        <v>-6115.1999999999989</v>
      </c>
      <c r="H36" s="95">
        <f t="shared" si="5"/>
        <v>-34339.199999999997</v>
      </c>
    </row>
    <row r="37" spans="1:10">
      <c r="A37" s="132">
        <v>45295</v>
      </c>
      <c r="B37" s="136" t="s">
        <v>341</v>
      </c>
      <c r="C37" s="134">
        <v>120000</v>
      </c>
      <c r="D37" s="100">
        <f t="shared" si="2"/>
        <v>120000</v>
      </c>
      <c r="E37" s="101">
        <f t="shared" si="3"/>
        <v>0</v>
      </c>
      <c r="F37" s="97">
        <v>1</v>
      </c>
      <c r="G37" s="100">
        <f t="shared" si="4"/>
        <v>-28223.999999999996</v>
      </c>
      <c r="H37" s="95">
        <f t="shared" si="5"/>
        <v>-28223.999999999996</v>
      </c>
    </row>
    <row r="38" spans="1:10">
      <c r="A38" s="176">
        <v>45292</v>
      </c>
      <c r="B38" s="177" t="s">
        <v>254</v>
      </c>
      <c r="C38" s="178">
        <v>170000</v>
      </c>
      <c r="D38" s="100">
        <f t="shared" si="2"/>
        <v>0</v>
      </c>
      <c r="E38" s="101">
        <f t="shared" si="3"/>
        <v>-39983.999999999993</v>
      </c>
      <c r="F38" s="105">
        <v>0</v>
      </c>
      <c r="G38" s="100">
        <f t="shared" si="4"/>
        <v>0</v>
      </c>
      <c r="H38" s="95">
        <f>G38</f>
        <v>0</v>
      </c>
    </row>
    <row r="40" spans="1:10">
      <c r="C40" s="95"/>
      <c r="D40" s="95"/>
      <c r="E40" s="95"/>
      <c r="G40" s="95"/>
      <c r="H40" s="95"/>
    </row>
    <row r="41" spans="1:10">
      <c r="C41" s="100" t="s">
        <v>252</v>
      </c>
      <c r="D41" s="95" t="s">
        <v>296</v>
      </c>
      <c r="E41" s="95" t="s">
        <v>297</v>
      </c>
      <c r="G41" s="106"/>
      <c r="H41" s="106"/>
      <c r="I41" s="107"/>
    </row>
    <row r="42" spans="1:10" ht="15.75">
      <c r="B42" t="s">
        <v>250</v>
      </c>
      <c r="C42" s="108">
        <v>1</v>
      </c>
      <c r="D42" s="138">
        <f>D21</f>
        <v>0.76480000000000004</v>
      </c>
      <c r="E42" s="138">
        <f>1-D42</f>
        <v>0.23519999999999996</v>
      </c>
      <c r="H42" s="95"/>
    </row>
    <row r="43" spans="1:10">
      <c r="B43" t="s">
        <v>298</v>
      </c>
      <c r="C43" s="109">
        <f>$D$23*C42</f>
        <v>434000</v>
      </c>
      <c r="D43" s="110">
        <f>$D$23*D42</f>
        <v>331923.20000000001</v>
      </c>
      <c r="E43" s="110">
        <f>$D$23*E42</f>
        <v>102076.79999999999</v>
      </c>
      <c r="H43" s="95"/>
    </row>
    <row r="44" spans="1:10">
      <c r="B44" t="s">
        <v>251</v>
      </c>
      <c r="C44" s="100">
        <f>D44+E44</f>
        <v>434000</v>
      </c>
      <c r="D44" s="95">
        <f>C43-E44</f>
        <v>331923.20000000001</v>
      </c>
      <c r="E44" s="95">
        <f>$H$23*-1</f>
        <v>102076.79999999999</v>
      </c>
      <c r="G44" s="111"/>
      <c r="H44" s="95"/>
      <c r="J44" s="95"/>
    </row>
    <row r="45" spans="1:10">
      <c r="B45" t="s">
        <v>299</v>
      </c>
      <c r="C45" s="100">
        <f>C43-C44</f>
        <v>0</v>
      </c>
      <c r="D45" s="95">
        <f>D43-D44</f>
        <v>0</v>
      </c>
      <c r="E45" s="95">
        <f>E43-E44</f>
        <v>0</v>
      </c>
      <c r="G45" s="95"/>
      <c r="H45" s="95"/>
      <c r="J45" s="95"/>
    </row>
    <row r="46" spans="1:10" ht="13.5" thickBot="1">
      <c r="C46" s="112"/>
      <c r="D46" s="112"/>
      <c r="E46" s="112"/>
      <c r="G46" s="95"/>
      <c r="H46" s="95"/>
      <c r="J46" s="95"/>
    </row>
    <row r="47" spans="1:10">
      <c r="H47" s="95"/>
      <c r="J47" s="95"/>
    </row>
    <row r="48" spans="1:10">
      <c r="C48" s="5" t="s">
        <v>300</v>
      </c>
      <c r="D48" s="5" t="s">
        <v>301</v>
      </c>
      <c r="E48" s="5" t="s">
        <v>302</v>
      </c>
      <c r="G48" s="95"/>
      <c r="H48" s="95"/>
      <c r="J48" s="95"/>
    </row>
    <row r="49" spans="2:10">
      <c r="C49" s="95"/>
      <c r="D49" s="113"/>
      <c r="E49" s="95"/>
      <c r="H49" s="95"/>
      <c r="J49" s="95"/>
    </row>
    <row r="50" spans="2:10">
      <c r="B50" s="95" t="s">
        <v>249</v>
      </c>
      <c r="C50" s="95">
        <f>D44</f>
        <v>331923.20000000001</v>
      </c>
      <c r="D50" s="46">
        <v>2.5000000000000001E-2</v>
      </c>
      <c r="E50" s="95">
        <f>C50*D50</f>
        <v>8298.08</v>
      </c>
      <c r="H50" s="95"/>
    </row>
    <row r="51" spans="2:10">
      <c r="E51" s="95"/>
      <c r="G51" s="95"/>
      <c r="H51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cp:revision>322</cp:revision>
  <cp:lastPrinted>2024-01-22T10:23:13Z</cp:lastPrinted>
  <dcterms:created xsi:type="dcterms:W3CDTF">2019-12-25T12:06:09Z</dcterms:created>
  <dcterms:modified xsi:type="dcterms:W3CDTF">2024-11-07T14:40:04Z</dcterms:modified>
</cp:coreProperties>
</file>