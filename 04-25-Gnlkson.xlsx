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4D62F631-C82C-44A1-95F0-CA5E6721704E}" xr6:coauthVersionLast="47" xr6:coauthVersionMax="47" xr10:uidLastSave="{00000000-0000-0000-0000-000000000000}"/>
  <bookViews>
    <workbookView xWindow="-120" yWindow="-120" windowWidth="29040" windowHeight="15720" tabRatio="839" activeTab="8" xr2:uid="{00000000-000D-0000-FFFF-FFFF00000000}"/>
  </bookViews>
  <sheets>
    <sheet name="PERI_25" sheetId="1" r:id="rId1"/>
    <sheet name="GNLK-_2025" sheetId="2" r:id="rId2"/>
    <sheet name="12_25" sheetId="3" r:id="rId3"/>
    <sheet name="11_25" sheetId="4" r:id="rId4"/>
    <sheet name="10_25" sheetId="5" r:id="rId5"/>
    <sheet name="09_25" sheetId="6" r:id="rId6"/>
    <sheet name="08_25" sheetId="7" r:id="rId7"/>
    <sheet name="07_25" sheetId="8" r:id="rId8"/>
    <sheet name="06_25" sheetId="9" r:id="rId9"/>
    <sheet name="05_25" sheetId="10" r:id="rId10"/>
    <sheet name="04_25" sheetId="11" r:id="rId11"/>
    <sheet name="03_25" sheetId="12" r:id="rId12"/>
    <sheet name="02_25" sheetId="13" r:id="rId13"/>
    <sheet name="01_25" sheetId="14" r:id="rId14"/>
    <sheet name="PERI_24" sheetId="15" r:id="rId15"/>
    <sheet name="cross" sheetId="16" r:id="rId16"/>
    <sheet name="GNLK-_2024" sheetId="17" r:id="rId17"/>
    <sheet name="12_24" sheetId="18" r:id="rId18"/>
    <sheet name="11_24" sheetId="19" r:id="rId19"/>
    <sheet name="10_24" sheetId="20" r:id="rId20"/>
    <sheet name="09_24" sheetId="21" r:id="rId21"/>
    <sheet name="08_24" sheetId="22" r:id="rId22"/>
    <sheet name="07_24" sheetId="23" r:id="rId23"/>
    <sheet name="06_24" sheetId="24" r:id="rId24"/>
    <sheet name="05_24" sheetId="25" r:id="rId25"/>
    <sheet name="04_24" sheetId="26" r:id="rId26"/>
    <sheet name="03_24" sheetId="27" r:id="rId27"/>
    <sheet name="02_24" sheetId="28" r:id="rId28"/>
    <sheet name="01_24" sheetId="29" r:id="rId29"/>
    <sheet name="GNLK-_2023" sheetId="30" r:id="rId30"/>
    <sheet name="PERI_23" sheetId="31" r:id="rId31"/>
    <sheet name="NZN_24" sheetId="32" r:id="rId32"/>
    <sheet name="NZN_23" sheetId="33" r:id="rId33"/>
    <sheet name="12_23" sheetId="34" r:id="rId34"/>
    <sheet name="11_23" sheetId="35" r:id="rId35"/>
    <sheet name="10_23" sheetId="36" r:id="rId36"/>
    <sheet name="09_23" sheetId="37" r:id="rId37"/>
    <sheet name="08_23" sheetId="38" r:id="rId38"/>
    <sheet name="07_23" sheetId="39" r:id="rId39"/>
    <sheet name="06_23" sheetId="40" r:id="rId40"/>
    <sheet name="05_23" sheetId="41" r:id="rId41"/>
    <sheet name="04_23" sheetId="42" r:id="rId42"/>
    <sheet name="03_23" sheetId="43" r:id="rId43"/>
    <sheet name="02_23" sheetId="44" r:id="rId44"/>
    <sheet name="01_23" sheetId="45" r:id="rId45"/>
    <sheet name="GNLK-_2022" sheetId="46" r:id="rId46"/>
    <sheet name="22_12" sheetId="47" r:id="rId47"/>
    <sheet name="11" sheetId="48" r:id="rId48"/>
    <sheet name="10" sheetId="49" r:id="rId49"/>
    <sheet name="09" sheetId="50" r:id="rId50"/>
    <sheet name="08" sheetId="51" r:id="rId51"/>
    <sheet name="07" sheetId="52" r:id="rId52"/>
    <sheet name="06" sheetId="53" r:id="rId53"/>
    <sheet name="05" sheetId="54" r:id="rId54"/>
    <sheet name="04" sheetId="55" r:id="rId55"/>
    <sheet name="03" sheetId="56" r:id="rId56"/>
    <sheet name="22_2" sheetId="57" r:id="rId57"/>
    <sheet name="22_1" sheetId="58" r:id="rId58"/>
    <sheet name="PROCESS" sheetId="59" r:id="rId5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2" i="9" l="1"/>
  <c r="H13" i="9" s="1"/>
  <c r="H14" i="9" s="1"/>
  <c r="H15" i="9" s="1"/>
  <c r="H16" i="9" s="1"/>
  <c r="H17" i="9" s="1"/>
  <c r="H18" i="9" s="1"/>
  <c r="E35" i="8"/>
  <c r="E85" i="8"/>
  <c r="E74" i="9"/>
  <c r="H163" i="9"/>
  <c r="H161" i="9"/>
  <c r="H159" i="9"/>
  <c r="H157" i="9"/>
  <c r="H155" i="9"/>
  <c r="H153" i="9"/>
  <c r="H151" i="9"/>
  <c r="H149" i="9"/>
  <c r="H147" i="9"/>
  <c r="E125" i="9"/>
  <c r="H145" i="9"/>
  <c r="H143" i="9"/>
  <c r="D18" i="1"/>
  <c r="G141" i="9"/>
  <c r="G140" i="9" s="1"/>
  <c r="H140" i="9" s="1"/>
  <c r="H139" i="9"/>
  <c r="I139" i="9" s="1"/>
  <c r="D139" i="9"/>
  <c r="D140" i="9" s="1"/>
  <c r="D141" i="9" s="1"/>
  <c r="F141" i="9" s="1"/>
  <c r="B133" i="9"/>
  <c r="G127" i="9"/>
  <c r="E127" i="9"/>
  <c r="G125" i="9"/>
  <c r="K123" i="9"/>
  <c r="G123" i="9"/>
  <c r="E123" i="9"/>
  <c r="C120" i="9"/>
  <c r="E111" i="9"/>
  <c r="F110" i="9"/>
  <c r="G110" i="9" s="1"/>
  <c r="E110" i="9"/>
  <c r="G109" i="9"/>
  <c r="E109" i="9"/>
  <c r="G106" i="9"/>
  <c r="E106" i="9"/>
  <c r="G105" i="9"/>
  <c r="E105" i="9"/>
  <c r="G104" i="9"/>
  <c r="E104" i="9"/>
  <c r="G103" i="9"/>
  <c r="E103" i="9"/>
  <c r="E100" i="9"/>
  <c r="E99" i="9"/>
  <c r="F98" i="9"/>
  <c r="F99" i="9" s="1"/>
  <c r="G99" i="9" s="1"/>
  <c r="I99" i="9" s="1"/>
  <c r="E98" i="9"/>
  <c r="G97" i="9"/>
  <c r="E97" i="9"/>
  <c r="G93" i="9"/>
  <c r="G92" i="9"/>
  <c r="C22" i="1"/>
  <c r="H20" i="10"/>
  <c r="H21" i="10" s="1"/>
  <c r="H22" i="10" s="1"/>
  <c r="H23" i="10" s="1"/>
  <c r="H24" i="10" s="1"/>
  <c r="H25" i="10" s="1"/>
  <c r="E36" i="9"/>
  <c r="E9" i="9" s="1"/>
  <c r="G9" i="9" s="1"/>
  <c r="H156" i="10"/>
  <c r="H154" i="10"/>
  <c r="F154" i="10"/>
  <c r="D154" i="10"/>
  <c r="I140" i="9" l="1"/>
  <c r="E107" i="9"/>
  <c r="D142" i="9"/>
  <c r="G142" i="9"/>
  <c r="H107" i="9"/>
  <c r="E112" i="9"/>
  <c r="F139" i="9"/>
  <c r="F140" i="9"/>
  <c r="F111" i="9"/>
  <c r="G111" i="9" s="1"/>
  <c r="H112" i="9" s="1"/>
  <c r="E101" i="9"/>
  <c r="H125" i="9"/>
  <c r="G129" i="9"/>
  <c r="I97" i="9"/>
  <c r="I104" i="9"/>
  <c r="I105" i="9"/>
  <c r="I106" i="9"/>
  <c r="H127" i="9"/>
  <c r="I109" i="9"/>
  <c r="I110" i="9"/>
  <c r="I103" i="9"/>
  <c r="G98" i="9"/>
  <c r="H141" i="9"/>
  <c r="H166" i="9" s="1"/>
  <c r="H123" i="9"/>
  <c r="H106" i="9"/>
  <c r="G108" i="10"/>
  <c r="E108" i="10"/>
  <c r="G137" i="10"/>
  <c r="E137" i="10"/>
  <c r="E109" i="10"/>
  <c r="I36" i="10"/>
  <c r="I38" i="10" s="1"/>
  <c r="E8" i="10"/>
  <c r="G135" i="10"/>
  <c r="E135" i="10"/>
  <c r="E110" i="10"/>
  <c r="I25" i="1"/>
  <c r="I22" i="1"/>
  <c r="C20" i="1"/>
  <c r="G151" i="10"/>
  <c r="G150" i="10" s="1"/>
  <c r="H150" i="10" s="1"/>
  <c r="F151" i="10"/>
  <c r="F150" i="10"/>
  <c r="H149" i="10"/>
  <c r="I149" i="10" s="1"/>
  <c r="F149" i="10"/>
  <c r="D149" i="10"/>
  <c r="D150" i="10" s="1"/>
  <c r="D151" i="10" s="1"/>
  <c r="B143" i="10"/>
  <c r="L133" i="10"/>
  <c r="G133" i="10"/>
  <c r="E133" i="10"/>
  <c r="C130" i="10"/>
  <c r="E121" i="10"/>
  <c r="F120" i="10"/>
  <c r="F121" i="10" s="1"/>
  <c r="G121" i="10" s="1"/>
  <c r="E120" i="10"/>
  <c r="G119" i="10"/>
  <c r="E119" i="10"/>
  <c r="G116" i="10"/>
  <c r="E116" i="10"/>
  <c r="G115" i="10"/>
  <c r="E115" i="10"/>
  <c r="G114" i="10"/>
  <c r="E114" i="10"/>
  <c r="G113" i="10"/>
  <c r="E113" i="10"/>
  <c r="G107" i="10"/>
  <c r="E107" i="10"/>
  <c r="E106" i="10"/>
  <c r="F105" i="10"/>
  <c r="F106" i="10" s="1"/>
  <c r="G106" i="10" s="1"/>
  <c r="I106" i="10" s="1"/>
  <c r="E105" i="10"/>
  <c r="G104" i="10"/>
  <c r="E104" i="10"/>
  <c r="G100" i="10"/>
  <c r="G99" i="10"/>
  <c r="G128" i="11"/>
  <c r="G119" i="11"/>
  <c r="E119" i="11"/>
  <c r="H162" i="11"/>
  <c r="G111" i="11"/>
  <c r="E31" i="10"/>
  <c r="I141" i="9" l="1"/>
  <c r="I142" i="9" s="1"/>
  <c r="I143" i="9" s="1"/>
  <c r="D143" i="9"/>
  <c r="F142" i="9"/>
  <c r="I144" i="9"/>
  <c r="I145" i="9" s="1"/>
  <c r="I146" i="9" s="1"/>
  <c r="I147" i="9" s="1"/>
  <c r="I148" i="9" s="1"/>
  <c r="I149" i="9" s="1"/>
  <c r="I150" i="9" s="1"/>
  <c r="I151" i="9" s="1"/>
  <c r="I152" i="9" s="1"/>
  <c r="I153" i="9" s="1"/>
  <c r="I154" i="9" s="1"/>
  <c r="I155" i="9" s="1"/>
  <c r="I156" i="9" s="1"/>
  <c r="I157" i="9" s="1"/>
  <c r="I158" i="9" s="1"/>
  <c r="I159" i="9" s="1"/>
  <c r="I160" i="9" s="1"/>
  <c r="I161" i="9" s="1"/>
  <c r="I162" i="9" s="1"/>
  <c r="I163" i="9" s="1"/>
  <c r="I164" i="9" s="1"/>
  <c r="H111" i="9"/>
  <c r="I111" i="9"/>
  <c r="I123" i="9"/>
  <c r="L123" i="9" s="1"/>
  <c r="H129" i="9"/>
  <c r="I98" i="9"/>
  <c r="I101" i="9" s="1"/>
  <c r="H99" i="9"/>
  <c r="G87" i="9"/>
  <c r="H101" i="9"/>
  <c r="H117" i="9" s="1"/>
  <c r="G119" i="9"/>
  <c r="I121" i="10"/>
  <c r="I150" i="10"/>
  <c r="H151" i="10"/>
  <c r="G153" i="10"/>
  <c r="H153" i="10" s="1"/>
  <c r="I133" i="10"/>
  <c r="I137" i="10"/>
  <c r="I40" i="10"/>
  <c r="I39" i="10"/>
  <c r="E117" i="10"/>
  <c r="I135" i="10"/>
  <c r="I139" i="10" s="1"/>
  <c r="I104" i="10"/>
  <c r="I113" i="10"/>
  <c r="G139" i="10"/>
  <c r="H117" i="10"/>
  <c r="I107" i="10"/>
  <c r="E111" i="10"/>
  <c r="I114" i="10"/>
  <c r="I115" i="10"/>
  <c r="E122" i="10"/>
  <c r="G105" i="10"/>
  <c r="H116" i="10"/>
  <c r="J133" i="10"/>
  <c r="M133" i="10" s="1"/>
  <c r="I116" i="10"/>
  <c r="I119" i="10"/>
  <c r="G120" i="10"/>
  <c r="I120" i="10" s="1"/>
  <c r="I119" i="11"/>
  <c r="C17" i="1"/>
  <c r="C14" i="1"/>
  <c r="C11" i="1"/>
  <c r="C6" i="1"/>
  <c r="C76" i="15"/>
  <c r="C74" i="15"/>
  <c r="C70" i="15"/>
  <c r="C67" i="15"/>
  <c r="C64" i="15"/>
  <c r="H158" i="11"/>
  <c r="I158" i="11" s="1"/>
  <c r="F160" i="11"/>
  <c r="F159" i="11"/>
  <c r="F158" i="11"/>
  <c r="D144" i="9" l="1"/>
  <c r="F144" i="9" s="1"/>
  <c r="F143" i="9"/>
  <c r="I151" i="10"/>
  <c r="I152" i="10" s="1"/>
  <c r="I154" i="10" s="1"/>
  <c r="H121" i="10"/>
  <c r="G94" i="10"/>
  <c r="H111" i="10"/>
  <c r="H106" i="10"/>
  <c r="I105" i="10"/>
  <c r="I111" i="10" s="1"/>
  <c r="G129" i="10"/>
  <c r="H122" i="10"/>
  <c r="H127" i="10" s="1"/>
  <c r="B152" i="11"/>
  <c r="D158" i="11"/>
  <c r="D159" i="11" s="1"/>
  <c r="D160" i="11" s="1"/>
  <c r="G170" i="18"/>
  <c r="E128" i="18"/>
  <c r="E114" i="19"/>
  <c r="E114" i="20"/>
  <c r="I144" i="11"/>
  <c r="I153" i="14"/>
  <c r="G142" i="11"/>
  <c r="G148" i="11" s="1"/>
  <c r="E142" i="11"/>
  <c r="F117" i="11"/>
  <c r="F118" i="11" s="1"/>
  <c r="G118" i="11" s="1"/>
  <c r="G116" i="11"/>
  <c r="E116" i="11"/>
  <c r="L142" i="11"/>
  <c r="G160" i="11"/>
  <c r="C139" i="11"/>
  <c r="E130" i="11"/>
  <c r="F129" i="11"/>
  <c r="F130" i="11" s="1"/>
  <c r="G130" i="11" s="1"/>
  <c r="E129" i="11"/>
  <c r="E128" i="11"/>
  <c r="G125" i="11"/>
  <c r="E125" i="11"/>
  <c r="G124" i="11"/>
  <c r="E124" i="11"/>
  <c r="G123" i="11"/>
  <c r="E123" i="11"/>
  <c r="G122" i="11"/>
  <c r="E122" i="11"/>
  <c r="E118" i="11"/>
  <c r="E117" i="11"/>
  <c r="C159" i="12"/>
  <c r="F160" i="12"/>
  <c r="C160" i="12"/>
  <c r="G160" i="12" s="1"/>
  <c r="E158" i="12"/>
  <c r="E156" i="12"/>
  <c r="B157" i="12"/>
  <c r="E159" i="12" s="1"/>
  <c r="E155" i="12"/>
  <c r="E160" i="12" s="1"/>
  <c r="I130" i="11" l="1"/>
  <c r="G159" i="11"/>
  <c r="H159" i="11" s="1"/>
  <c r="I159" i="11" s="1"/>
  <c r="H160" i="11"/>
  <c r="I142" i="11"/>
  <c r="J142" i="11" s="1"/>
  <c r="M142" i="11" s="1"/>
  <c r="G117" i="11"/>
  <c r="I116" i="11"/>
  <c r="E126" i="11"/>
  <c r="H126" i="11"/>
  <c r="I118" i="11"/>
  <c r="I123" i="11"/>
  <c r="I124" i="11"/>
  <c r="I125" i="11"/>
  <c r="I128" i="11"/>
  <c r="E131" i="11"/>
  <c r="I122" i="11"/>
  <c r="H125" i="11"/>
  <c r="G129" i="11"/>
  <c r="I160" i="12"/>
  <c r="C157" i="12"/>
  <c r="E157" i="12" s="1"/>
  <c r="L170" i="12"/>
  <c r="H4" i="11"/>
  <c r="H5" i="11" s="1"/>
  <c r="H6" i="11" s="1"/>
  <c r="D75" i="11"/>
  <c r="D92" i="11" s="1"/>
  <c r="F170" i="12"/>
  <c r="G170" i="12" s="1"/>
  <c r="E170" i="12"/>
  <c r="G169" i="12"/>
  <c r="E169" i="12"/>
  <c r="E33" i="11"/>
  <c r="E50" i="11"/>
  <c r="G129" i="12"/>
  <c r="E129" i="12"/>
  <c r="L167" i="12"/>
  <c r="C143" i="14"/>
  <c r="E145" i="14"/>
  <c r="E150" i="14"/>
  <c r="I150" i="14" s="1"/>
  <c r="G150" i="14"/>
  <c r="I151" i="14"/>
  <c r="C152" i="12"/>
  <c r="E143" i="12"/>
  <c r="F142" i="12"/>
  <c r="F143" i="12" s="1"/>
  <c r="G143" i="12" s="1"/>
  <c r="E142" i="12"/>
  <c r="G141" i="12"/>
  <c r="E141" i="12"/>
  <c r="G138" i="12"/>
  <c r="E138" i="12"/>
  <c r="G137" i="12"/>
  <c r="E137" i="12"/>
  <c r="G136" i="12"/>
  <c r="E136" i="12"/>
  <c r="E154" i="12"/>
  <c r="G135" i="12"/>
  <c r="E135" i="12"/>
  <c r="F132" i="12"/>
  <c r="G132" i="12" s="1"/>
  <c r="E132" i="12"/>
  <c r="G131" i="12"/>
  <c r="E131" i="12"/>
  <c r="G167" i="12"/>
  <c r="E167" i="12"/>
  <c r="F128" i="12"/>
  <c r="G128" i="12" s="1"/>
  <c r="E128" i="12"/>
  <c r="G127" i="12"/>
  <c r="E127" i="12"/>
  <c r="E67" i="12"/>
  <c r="F122" i="13"/>
  <c r="F129" i="13"/>
  <c r="F130" i="13" s="1"/>
  <c r="E43" i="12"/>
  <c r="G161" i="13"/>
  <c r="E161" i="13"/>
  <c r="G121" i="13"/>
  <c r="E121" i="13"/>
  <c r="H37" i="13"/>
  <c r="H38" i="13" s="1"/>
  <c r="D145" i="9" l="1"/>
  <c r="F145" i="9" s="1"/>
  <c r="I160" i="11"/>
  <c r="I161" i="11" s="1"/>
  <c r="G112" i="11"/>
  <c r="G106" i="11" s="1"/>
  <c r="E120" i="11"/>
  <c r="I148" i="11"/>
  <c r="H118" i="11"/>
  <c r="I117" i="11"/>
  <c r="I120" i="11" s="1"/>
  <c r="H120" i="11"/>
  <c r="H131" i="11"/>
  <c r="H130" i="11"/>
  <c r="I129" i="11"/>
  <c r="F154" i="12"/>
  <c r="F155" i="12" s="1"/>
  <c r="F156" i="12" s="1"/>
  <c r="F158" i="12" s="1"/>
  <c r="I169" i="12"/>
  <c r="I170" i="12"/>
  <c r="I129" i="12"/>
  <c r="I138" i="12"/>
  <c r="E144" i="12"/>
  <c r="I143" i="12"/>
  <c r="I132" i="12"/>
  <c r="I136" i="12"/>
  <c r="I137" i="12"/>
  <c r="E133" i="12"/>
  <c r="I167" i="12"/>
  <c r="I131" i="12"/>
  <c r="I127" i="12"/>
  <c r="I135" i="12"/>
  <c r="E139" i="12"/>
  <c r="H133" i="12"/>
  <c r="H132" i="12"/>
  <c r="I128" i="12"/>
  <c r="H139" i="12"/>
  <c r="H138" i="12"/>
  <c r="I141" i="12"/>
  <c r="G142" i="12"/>
  <c r="I142" i="12" s="1"/>
  <c r="I161" i="13"/>
  <c r="I121" i="13"/>
  <c r="G158" i="13"/>
  <c r="E158" i="13"/>
  <c r="G157" i="13"/>
  <c r="E157" i="13"/>
  <c r="F127" i="14"/>
  <c r="G127" i="14" s="1"/>
  <c r="G125" i="14"/>
  <c r="E154" i="13"/>
  <c r="G155" i="13"/>
  <c r="E155" i="13"/>
  <c r="I153" i="13"/>
  <c r="G152" i="13"/>
  <c r="E152" i="13"/>
  <c r="C146" i="13"/>
  <c r="G130" i="13"/>
  <c r="E130" i="13"/>
  <c r="N4" i="2" s="1"/>
  <c r="G129" i="13"/>
  <c r="E129" i="13"/>
  <c r="G128" i="13"/>
  <c r="E128" i="13"/>
  <c r="G136" i="13"/>
  <c r="E136" i="13"/>
  <c r="G135" i="13"/>
  <c r="E135" i="13"/>
  <c r="G134" i="13"/>
  <c r="E134" i="13"/>
  <c r="E148" i="13"/>
  <c r="G133" i="13"/>
  <c r="E133" i="13"/>
  <c r="F125" i="13"/>
  <c r="G125" i="13" s="1"/>
  <c r="E125" i="13"/>
  <c r="G124" i="13"/>
  <c r="E124" i="13"/>
  <c r="G123" i="13"/>
  <c r="E123" i="13"/>
  <c r="E122" i="13"/>
  <c r="E160" i="13"/>
  <c r="G151" i="13"/>
  <c r="E151" i="13"/>
  <c r="D73" i="14"/>
  <c r="D74" i="14" s="1"/>
  <c r="B74" i="14" s="1"/>
  <c r="G120" i="14"/>
  <c r="E120" i="14"/>
  <c r="F122" i="14"/>
  <c r="G122" i="14" s="1"/>
  <c r="F7" i="1"/>
  <c r="F8" i="1" s="1"/>
  <c r="F9" i="1" s="1"/>
  <c r="F10" i="1" s="1"/>
  <c r="F12" i="1" s="1"/>
  <c r="F13" i="1" s="1"/>
  <c r="F2" i="14"/>
  <c r="E3" i="2" s="1"/>
  <c r="F63" i="14"/>
  <c r="F62" i="14"/>
  <c r="H63" i="14"/>
  <c r="H62" i="14"/>
  <c r="F118" i="14"/>
  <c r="G118" i="14" s="1"/>
  <c r="E119" i="14"/>
  <c r="H4" i="58"/>
  <c r="H5" i="58" s="1"/>
  <c r="H6" i="58" s="1"/>
  <c r="H7" i="58" s="1"/>
  <c r="H8" i="58" s="1"/>
  <c r="H9" i="58" s="1"/>
  <c r="H10" i="58" s="1"/>
  <c r="H11" i="58" s="1"/>
  <c r="H12" i="58" s="1"/>
  <c r="H13" i="58" s="1"/>
  <c r="H14" i="58" s="1"/>
  <c r="H15" i="58" s="1"/>
  <c r="H16" i="58" s="1"/>
  <c r="H17" i="58" s="1"/>
  <c r="H18" i="58" s="1"/>
  <c r="H19" i="58" s="1"/>
  <c r="H20" i="58" s="1"/>
  <c r="H21" i="58" s="1"/>
  <c r="H22" i="58" s="1"/>
  <c r="H23" i="58" s="1"/>
  <c r="H24" i="58" s="1"/>
  <c r="H25" i="58" s="1"/>
  <c r="H3" i="58"/>
  <c r="G2" i="58"/>
  <c r="F2" i="58"/>
  <c r="H2" i="58" s="1"/>
  <c r="E2" i="58"/>
  <c r="C3" i="46" s="1"/>
  <c r="D2" i="58"/>
  <c r="B3" i="46" s="1"/>
  <c r="D3" i="46" s="1"/>
  <c r="H11" i="57"/>
  <c r="H12" i="57" s="1"/>
  <c r="H13" i="57" s="1"/>
  <c r="H14" i="57" s="1"/>
  <c r="H15" i="57" s="1"/>
  <c r="H16" i="57" s="1"/>
  <c r="H17" i="57" s="1"/>
  <c r="H18" i="57" s="1"/>
  <c r="H19" i="57" s="1"/>
  <c r="H20" i="57" s="1"/>
  <c r="H21" i="57" s="1"/>
  <c r="H22" i="57" s="1"/>
  <c r="H23" i="57" s="1"/>
  <c r="H24" i="57" s="1"/>
  <c r="H25" i="57" s="1"/>
  <c r="H26" i="57" s="1"/>
  <c r="H27" i="57" s="1"/>
  <c r="H28" i="57" s="1"/>
  <c r="H29" i="57" s="1"/>
  <c r="H30" i="57" s="1"/>
  <c r="H4" i="57"/>
  <c r="H5" i="57" s="1"/>
  <c r="H6" i="57" s="1"/>
  <c r="H7" i="57" s="1"/>
  <c r="H8" i="57" s="1"/>
  <c r="H9" i="57" s="1"/>
  <c r="H10" i="57" s="1"/>
  <c r="G2" i="57"/>
  <c r="F2" i="57"/>
  <c r="E2" i="57"/>
  <c r="D2" i="57"/>
  <c r="H5" i="56"/>
  <c r="H6" i="56" s="1"/>
  <c r="H7" i="56" s="1"/>
  <c r="H8" i="56" s="1"/>
  <c r="H9" i="56" s="1"/>
  <c r="H10" i="56" s="1"/>
  <c r="H11" i="56" s="1"/>
  <c r="H12" i="56" s="1"/>
  <c r="H13" i="56" s="1"/>
  <c r="H14" i="56" s="1"/>
  <c r="H15" i="56" s="1"/>
  <c r="H16" i="56" s="1"/>
  <c r="H17" i="56" s="1"/>
  <c r="H18" i="56" s="1"/>
  <c r="H19" i="56" s="1"/>
  <c r="H20" i="56" s="1"/>
  <c r="H21" i="56" s="1"/>
  <c r="H22" i="56" s="1"/>
  <c r="H23" i="56" s="1"/>
  <c r="H24" i="56" s="1"/>
  <c r="H25" i="56" s="1"/>
  <c r="H26" i="56" s="1"/>
  <c r="H27" i="56" s="1"/>
  <c r="H28" i="56" s="1"/>
  <c r="H29" i="56" s="1"/>
  <c r="H30" i="56" s="1"/>
  <c r="H31" i="56" s="1"/>
  <c r="H32" i="56" s="1"/>
  <c r="H4" i="56"/>
  <c r="H2" i="56"/>
  <c r="G2" i="56"/>
  <c r="F5" i="46" s="1"/>
  <c r="F2" i="56"/>
  <c r="E2" i="56"/>
  <c r="D2" i="56"/>
  <c r="B5" i="46" s="1"/>
  <c r="H4" i="55"/>
  <c r="H5" i="55" s="1"/>
  <c r="H6" i="55" s="1"/>
  <c r="H7" i="55" s="1"/>
  <c r="H8" i="55" s="1"/>
  <c r="H9" i="55" s="1"/>
  <c r="H10" i="55" s="1"/>
  <c r="H11" i="55" s="1"/>
  <c r="H12" i="55" s="1"/>
  <c r="H13" i="55" s="1"/>
  <c r="H14" i="55" s="1"/>
  <c r="H15" i="55" s="1"/>
  <c r="H16" i="55" s="1"/>
  <c r="H17" i="55" s="1"/>
  <c r="H18" i="55" s="1"/>
  <c r="H19" i="55" s="1"/>
  <c r="H20" i="55" s="1"/>
  <c r="H21" i="55" s="1"/>
  <c r="H22" i="55" s="1"/>
  <c r="H23" i="55" s="1"/>
  <c r="H24" i="55" s="1"/>
  <c r="H25" i="55" s="1"/>
  <c r="H26" i="55" s="1"/>
  <c r="H27" i="55" s="1"/>
  <c r="H28" i="55" s="1"/>
  <c r="H29" i="55" s="1"/>
  <c r="H30" i="55" s="1"/>
  <c r="H31" i="55" s="1"/>
  <c r="H32" i="55" s="1"/>
  <c r="H33" i="55" s="1"/>
  <c r="H34" i="55" s="1"/>
  <c r="H35" i="55" s="1"/>
  <c r="H36" i="55" s="1"/>
  <c r="H2" i="55"/>
  <c r="G2" i="55"/>
  <c r="F2" i="55"/>
  <c r="E2" i="55"/>
  <c r="D2" i="55"/>
  <c r="H20" i="54"/>
  <c r="H21" i="54" s="1"/>
  <c r="H22" i="54" s="1"/>
  <c r="H23" i="54" s="1"/>
  <c r="H24" i="54" s="1"/>
  <c r="H25" i="54" s="1"/>
  <c r="H26" i="54" s="1"/>
  <c r="H27" i="54" s="1"/>
  <c r="H28" i="54" s="1"/>
  <c r="H29" i="54" s="1"/>
  <c r="H30" i="54" s="1"/>
  <c r="H31" i="54" s="1"/>
  <c r="H32" i="54" s="1"/>
  <c r="H33" i="54" s="1"/>
  <c r="H34" i="54" s="1"/>
  <c r="H4" i="54"/>
  <c r="H5" i="54" s="1"/>
  <c r="H6" i="54" s="1"/>
  <c r="H7" i="54" s="1"/>
  <c r="H8" i="54" s="1"/>
  <c r="H9" i="54" s="1"/>
  <c r="H10" i="54" s="1"/>
  <c r="H11" i="54" s="1"/>
  <c r="H12" i="54" s="1"/>
  <c r="H13" i="54" s="1"/>
  <c r="H14" i="54" s="1"/>
  <c r="H15" i="54" s="1"/>
  <c r="H16" i="54" s="1"/>
  <c r="H17" i="54" s="1"/>
  <c r="H18" i="54" s="1"/>
  <c r="H19" i="54" s="1"/>
  <c r="G2" i="54"/>
  <c r="F7" i="46" s="1"/>
  <c r="F2" i="54"/>
  <c r="E2" i="54"/>
  <c r="C7" i="46" s="1"/>
  <c r="D2" i="54"/>
  <c r="B7" i="46" s="1"/>
  <c r="H5" i="53"/>
  <c r="H6" i="53" s="1"/>
  <c r="H7" i="53" s="1"/>
  <c r="H8" i="53" s="1"/>
  <c r="H9" i="53" s="1"/>
  <c r="H10" i="53" s="1"/>
  <c r="H11" i="53" s="1"/>
  <c r="H12" i="53" s="1"/>
  <c r="H13" i="53" s="1"/>
  <c r="H14" i="53" s="1"/>
  <c r="H15" i="53" s="1"/>
  <c r="H16" i="53" s="1"/>
  <c r="H17" i="53" s="1"/>
  <c r="H18" i="53" s="1"/>
  <c r="H19" i="53" s="1"/>
  <c r="H20" i="53" s="1"/>
  <c r="H21" i="53" s="1"/>
  <c r="H22" i="53" s="1"/>
  <c r="H23" i="53" s="1"/>
  <c r="H24" i="53" s="1"/>
  <c r="H25" i="53" s="1"/>
  <c r="H26" i="53" s="1"/>
  <c r="H27" i="53" s="1"/>
  <c r="H28" i="53" s="1"/>
  <c r="H29" i="53" s="1"/>
  <c r="H30" i="53" s="1"/>
  <c r="H31" i="53" s="1"/>
  <c r="H32" i="53" s="1"/>
  <c r="H33" i="53" s="1"/>
  <c r="H34" i="53" s="1"/>
  <c r="H35" i="53" s="1"/>
  <c r="H36" i="53" s="1"/>
  <c r="H37" i="53" s="1"/>
  <c r="H38" i="53" s="1"/>
  <c r="H39" i="53" s="1"/>
  <c r="H40" i="53" s="1"/>
  <c r="H41" i="53" s="1"/>
  <c r="H42" i="53" s="1"/>
  <c r="H43" i="53" s="1"/>
  <c r="H44" i="53" s="1"/>
  <c r="H45" i="53" s="1"/>
  <c r="H46" i="53" s="1"/>
  <c r="H47" i="53" s="1"/>
  <c r="H4" i="53"/>
  <c r="H2" i="53"/>
  <c r="G2" i="53"/>
  <c r="F2" i="53"/>
  <c r="E2" i="53"/>
  <c r="C8" i="46" s="1"/>
  <c r="D2" i="53"/>
  <c r="H7" i="52"/>
  <c r="H8" i="52" s="1"/>
  <c r="H9" i="52" s="1"/>
  <c r="H10" i="52" s="1"/>
  <c r="H11" i="52" s="1"/>
  <c r="H12" i="52" s="1"/>
  <c r="H13" i="52" s="1"/>
  <c r="H14" i="52" s="1"/>
  <c r="H15" i="52" s="1"/>
  <c r="H16" i="52" s="1"/>
  <c r="H17" i="52" s="1"/>
  <c r="H18" i="52" s="1"/>
  <c r="H19" i="52" s="1"/>
  <c r="H20" i="52" s="1"/>
  <c r="H21" i="52" s="1"/>
  <c r="H22" i="52" s="1"/>
  <c r="H23" i="52" s="1"/>
  <c r="H24" i="52" s="1"/>
  <c r="H25" i="52" s="1"/>
  <c r="H26" i="52" s="1"/>
  <c r="H27" i="52" s="1"/>
  <c r="H28" i="52" s="1"/>
  <c r="H29" i="52" s="1"/>
  <c r="H30" i="52" s="1"/>
  <c r="H31" i="52" s="1"/>
  <c r="H32" i="52" s="1"/>
  <c r="H33" i="52" s="1"/>
  <c r="H34" i="52" s="1"/>
  <c r="H35" i="52" s="1"/>
  <c r="H36" i="52" s="1"/>
  <c r="H37" i="52" s="1"/>
  <c r="H38" i="52" s="1"/>
  <c r="H39" i="52" s="1"/>
  <c r="H40" i="52" s="1"/>
  <c r="H41" i="52" s="1"/>
  <c r="H42" i="52" s="1"/>
  <c r="H43" i="52" s="1"/>
  <c r="H44" i="52" s="1"/>
  <c r="H45" i="52" s="1"/>
  <c r="H46" i="52" s="1"/>
  <c r="H47" i="52" s="1"/>
  <c r="H48" i="52" s="1"/>
  <c r="H49" i="52" s="1"/>
  <c r="H50" i="52" s="1"/>
  <c r="H51" i="52" s="1"/>
  <c r="H52" i="52" s="1"/>
  <c r="H53" i="52" s="1"/>
  <c r="H54" i="52" s="1"/>
  <c r="H55" i="52" s="1"/>
  <c r="H6" i="52"/>
  <c r="H5" i="52"/>
  <c r="H4" i="52"/>
  <c r="G2" i="52"/>
  <c r="F9" i="46" s="1"/>
  <c r="F2" i="52"/>
  <c r="E2" i="52"/>
  <c r="D2" i="52"/>
  <c r="B9" i="46" s="1"/>
  <c r="D59" i="51"/>
  <c r="H6" i="51"/>
  <c r="H7" i="51" s="1"/>
  <c r="H8" i="51" s="1"/>
  <c r="H9" i="51" s="1"/>
  <c r="H10" i="51" s="1"/>
  <c r="H11" i="51" s="1"/>
  <c r="H12" i="51" s="1"/>
  <c r="H13" i="51" s="1"/>
  <c r="H14" i="51" s="1"/>
  <c r="H15" i="51" s="1"/>
  <c r="H16" i="51" s="1"/>
  <c r="H17" i="51" s="1"/>
  <c r="H18" i="51" s="1"/>
  <c r="H19" i="51" s="1"/>
  <c r="H20" i="51" s="1"/>
  <c r="H21" i="51" s="1"/>
  <c r="H22" i="51" s="1"/>
  <c r="H23" i="51" s="1"/>
  <c r="H24" i="51" s="1"/>
  <c r="H25" i="51" s="1"/>
  <c r="H26" i="51" s="1"/>
  <c r="H27" i="51" s="1"/>
  <c r="H28" i="51" s="1"/>
  <c r="H29" i="51" s="1"/>
  <c r="H30" i="51" s="1"/>
  <c r="H31" i="51" s="1"/>
  <c r="H32" i="51" s="1"/>
  <c r="H33" i="51" s="1"/>
  <c r="H34" i="51" s="1"/>
  <c r="H35" i="51" s="1"/>
  <c r="H36" i="51" s="1"/>
  <c r="H37" i="51" s="1"/>
  <c r="H38" i="51" s="1"/>
  <c r="H39" i="51" s="1"/>
  <c r="H40" i="51" s="1"/>
  <c r="H41" i="51" s="1"/>
  <c r="H42" i="51" s="1"/>
  <c r="H43" i="51" s="1"/>
  <c r="H44" i="51" s="1"/>
  <c r="H45" i="51" s="1"/>
  <c r="H46" i="51" s="1"/>
  <c r="H47" i="51" s="1"/>
  <c r="H48" i="51" s="1"/>
  <c r="H49" i="51" s="1"/>
  <c r="H50" i="51" s="1"/>
  <c r="H51" i="51" s="1"/>
  <c r="H52" i="51" s="1"/>
  <c r="H53" i="51" s="1"/>
  <c r="H54" i="51" s="1"/>
  <c r="H55" i="51" s="1"/>
  <c r="H56" i="51" s="1"/>
  <c r="H57" i="51" s="1"/>
  <c r="H58" i="51" s="1"/>
  <c r="H59" i="51" s="1"/>
  <c r="H60" i="51" s="1"/>
  <c r="H4" i="51"/>
  <c r="H5" i="51" s="1"/>
  <c r="G2" i="51"/>
  <c r="F2" i="51"/>
  <c r="E10" i="46" s="1"/>
  <c r="E2" i="51"/>
  <c r="D2" i="51"/>
  <c r="H47" i="50"/>
  <c r="H42" i="50"/>
  <c r="H43" i="50" s="1"/>
  <c r="H44" i="50" s="1"/>
  <c r="H45" i="50" s="1"/>
  <c r="H46" i="50" s="1"/>
  <c r="H7" i="50"/>
  <c r="H8" i="50" s="1"/>
  <c r="H9" i="50" s="1"/>
  <c r="H10" i="50" s="1"/>
  <c r="H11" i="50" s="1"/>
  <c r="H12" i="50" s="1"/>
  <c r="H13" i="50" s="1"/>
  <c r="H14" i="50" s="1"/>
  <c r="H15" i="50" s="1"/>
  <c r="H16" i="50" s="1"/>
  <c r="H17" i="50" s="1"/>
  <c r="H18" i="50" s="1"/>
  <c r="H19" i="50" s="1"/>
  <c r="H20" i="50" s="1"/>
  <c r="H21" i="50" s="1"/>
  <c r="H22" i="50" s="1"/>
  <c r="H23" i="50" s="1"/>
  <c r="H24" i="50" s="1"/>
  <c r="H25" i="50" s="1"/>
  <c r="H26" i="50" s="1"/>
  <c r="H27" i="50" s="1"/>
  <c r="H28" i="50" s="1"/>
  <c r="H29" i="50" s="1"/>
  <c r="H30" i="50" s="1"/>
  <c r="H31" i="50" s="1"/>
  <c r="H32" i="50" s="1"/>
  <c r="H33" i="50" s="1"/>
  <c r="H34" i="50" s="1"/>
  <c r="H35" i="50" s="1"/>
  <c r="H36" i="50" s="1"/>
  <c r="H37" i="50" s="1"/>
  <c r="H38" i="50" s="1"/>
  <c r="H39" i="50" s="1"/>
  <c r="H40" i="50" s="1"/>
  <c r="H41" i="50" s="1"/>
  <c r="H4" i="50"/>
  <c r="H5" i="50" s="1"/>
  <c r="H6" i="50" s="1"/>
  <c r="G2" i="50"/>
  <c r="H2" i="50" s="1"/>
  <c r="F2" i="50"/>
  <c r="E2" i="50"/>
  <c r="D2" i="50"/>
  <c r="B11" i="46" s="1"/>
  <c r="H13" i="49"/>
  <c r="H14" i="49" s="1"/>
  <c r="H15" i="49" s="1"/>
  <c r="H16" i="49" s="1"/>
  <c r="H17" i="49" s="1"/>
  <c r="H18" i="49" s="1"/>
  <c r="H19" i="49" s="1"/>
  <c r="H20" i="49" s="1"/>
  <c r="H21" i="49" s="1"/>
  <c r="H22" i="49" s="1"/>
  <c r="H23" i="49" s="1"/>
  <c r="H24" i="49" s="1"/>
  <c r="H25" i="49" s="1"/>
  <c r="H26" i="49" s="1"/>
  <c r="H27" i="49" s="1"/>
  <c r="H28" i="49" s="1"/>
  <c r="H29" i="49" s="1"/>
  <c r="H30" i="49" s="1"/>
  <c r="H31" i="49" s="1"/>
  <c r="H32" i="49" s="1"/>
  <c r="H33" i="49" s="1"/>
  <c r="H34" i="49" s="1"/>
  <c r="H35" i="49" s="1"/>
  <c r="H36" i="49" s="1"/>
  <c r="H37" i="49" s="1"/>
  <c r="H38" i="49" s="1"/>
  <c r="H39" i="49" s="1"/>
  <c r="H40" i="49" s="1"/>
  <c r="H41" i="49" s="1"/>
  <c r="H42" i="49" s="1"/>
  <c r="H43" i="49" s="1"/>
  <c r="H44" i="49" s="1"/>
  <c r="H45" i="49" s="1"/>
  <c r="H46" i="49" s="1"/>
  <c r="H47" i="49" s="1"/>
  <c r="H48" i="49" s="1"/>
  <c r="H49" i="49" s="1"/>
  <c r="H50" i="49" s="1"/>
  <c r="H51" i="49" s="1"/>
  <c r="H52" i="49" s="1"/>
  <c r="H53" i="49" s="1"/>
  <c r="H54" i="49" s="1"/>
  <c r="H55" i="49" s="1"/>
  <c r="H56" i="49" s="1"/>
  <c r="H57" i="49" s="1"/>
  <c r="H58" i="49" s="1"/>
  <c r="H59" i="49" s="1"/>
  <c r="H60" i="49" s="1"/>
  <c r="H61" i="49" s="1"/>
  <c r="H62" i="49" s="1"/>
  <c r="H63" i="49" s="1"/>
  <c r="H64" i="49" s="1"/>
  <c r="H65" i="49" s="1"/>
  <c r="H66" i="49" s="1"/>
  <c r="H67" i="49" s="1"/>
  <c r="H68" i="49" s="1"/>
  <c r="H69" i="49" s="1"/>
  <c r="H70" i="49" s="1"/>
  <c r="H71" i="49" s="1"/>
  <c r="H72" i="49" s="1"/>
  <c r="H73" i="49" s="1"/>
  <c r="H74" i="49" s="1"/>
  <c r="H75" i="49" s="1"/>
  <c r="H76" i="49" s="1"/>
  <c r="H77" i="49" s="1"/>
  <c r="H78" i="49" s="1"/>
  <c r="H79" i="49" s="1"/>
  <c r="H80" i="49" s="1"/>
  <c r="H81" i="49" s="1"/>
  <c r="H82" i="49" s="1"/>
  <c r="H83" i="49" s="1"/>
  <c r="H84" i="49" s="1"/>
  <c r="H12" i="49"/>
  <c r="H4" i="49"/>
  <c r="H5" i="49" s="1"/>
  <c r="H6" i="49" s="1"/>
  <c r="H7" i="49" s="1"/>
  <c r="H9" i="49" s="1"/>
  <c r="H10" i="49" s="1"/>
  <c r="G2" i="49"/>
  <c r="F2" i="49"/>
  <c r="E2" i="49"/>
  <c r="D2" i="49"/>
  <c r="B12" i="46" s="1"/>
  <c r="H5" i="48"/>
  <c r="H6" i="48" s="1"/>
  <c r="H7" i="48" s="1"/>
  <c r="H8" i="48" s="1"/>
  <c r="H9" i="48" s="1"/>
  <c r="H10" i="48" s="1"/>
  <c r="H11" i="48" s="1"/>
  <c r="H12" i="48" s="1"/>
  <c r="H13" i="48" s="1"/>
  <c r="H14" i="48" s="1"/>
  <c r="H15" i="48" s="1"/>
  <c r="H16" i="48" s="1"/>
  <c r="H17" i="48" s="1"/>
  <c r="H18" i="48" s="1"/>
  <c r="H19" i="48" s="1"/>
  <c r="H20" i="48" s="1"/>
  <c r="H21" i="48" s="1"/>
  <c r="H22" i="48" s="1"/>
  <c r="H23" i="48" s="1"/>
  <c r="H24" i="48" s="1"/>
  <c r="H25" i="48" s="1"/>
  <c r="H26" i="48" s="1"/>
  <c r="H27" i="48" s="1"/>
  <c r="H28" i="48" s="1"/>
  <c r="H29" i="48" s="1"/>
  <c r="H30" i="48" s="1"/>
  <c r="H31" i="48" s="1"/>
  <c r="H32" i="48" s="1"/>
  <c r="H33" i="48" s="1"/>
  <c r="H34" i="48" s="1"/>
  <c r="H35" i="48" s="1"/>
  <c r="H36" i="48" s="1"/>
  <c r="H37" i="48" s="1"/>
  <c r="H38" i="48" s="1"/>
  <c r="H39" i="48" s="1"/>
  <c r="H40" i="48" s="1"/>
  <c r="H41" i="48" s="1"/>
  <c r="H42" i="48" s="1"/>
  <c r="H43" i="48" s="1"/>
  <c r="H44" i="48" s="1"/>
  <c r="H45" i="48" s="1"/>
  <c r="H46" i="48" s="1"/>
  <c r="H47" i="48" s="1"/>
  <c r="H48" i="48" s="1"/>
  <c r="H49" i="48" s="1"/>
  <c r="H50" i="48" s="1"/>
  <c r="H51" i="48" s="1"/>
  <c r="H52" i="48" s="1"/>
  <c r="H53" i="48" s="1"/>
  <c r="H54" i="48" s="1"/>
  <c r="H4" i="48"/>
  <c r="H2" i="48"/>
  <c r="G2" i="48"/>
  <c r="F13" i="46" s="1"/>
  <c r="F2" i="48"/>
  <c r="E13" i="46" s="1"/>
  <c r="E2" i="48"/>
  <c r="D2" i="48"/>
  <c r="B13" i="46" s="1"/>
  <c r="E35" i="47"/>
  <c r="H4" i="47"/>
  <c r="H5" i="47" s="1"/>
  <c r="H6" i="47" s="1"/>
  <c r="H7" i="47" s="1"/>
  <c r="H8" i="47" s="1"/>
  <c r="H9" i="47" s="1"/>
  <c r="H10" i="47" s="1"/>
  <c r="H11" i="47" s="1"/>
  <c r="H12" i="47" s="1"/>
  <c r="H13" i="47" s="1"/>
  <c r="H14" i="47" s="1"/>
  <c r="H15" i="47" s="1"/>
  <c r="H16" i="47" s="1"/>
  <c r="H17" i="47" s="1"/>
  <c r="H18" i="47" s="1"/>
  <c r="H19" i="47" s="1"/>
  <c r="H20" i="47" s="1"/>
  <c r="H21" i="47" s="1"/>
  <c r="H22" i="47" s="1"/>
  <c r="H23" i="47" s="1"/>
  <c r="H24" i="47" s="1"/>
  <c r="H25" i="47" s="1"/>
  <c r="H26" i="47" s="1"/>
  <c r="H27" i="47" s="1"/>
  <c r="H28" i="47" s="1"/>
  <c r="H29" i="47" s="1"/>
  <c r="H30" i="47" s="1"/>
  <c r="H31" i="47" s="1"/>
  <c r="H32" i="47" s="1"/>
  <c r="H33" i="47" s="1"/>
  <c r="H34" i="47" s="1"/>
  <c r="H35" i="47" s="1"/>
  <c r="H36" i="47" s="1"/>
  <c r="H37" i="47" s="1"/>
  <c r="H38" i="47" s="1"/>
  <c r="H39" i="47" s="1"/>
  <c r="H40" i="47" s="1"/>
  <c r="H41" i="47" s="1"/>
  <c r="H42" i="47" s="1"/>
  <c r="H43" i="47" s="1"/>
  <c r="H44" i="47" s="1"/>
  <c r="H45" i="47" s="1"/>
  <c r="H46" i="47" s="1"/>
  <c r="H47" i="47" s="1"/>
  <c r="H48" i="47" s="1"/>
  <c r="H49" i="47" s="1"/>
  <c r="H50" i="47" s="1"/>
  <c r="H51" i="47" s="1"/>
  <c r="H52" i="47" s="1"/>
  <c r="H53" i="47" s="1"/>
  <c r="H54" i="47" s="1"/>
  <c r="H55" i="47" s="1"/>
  <c r="H56" i="47" s="1"/>
  <c r="H57" i="47" s="1"/>
  <c r="H58" i="47" s="1"/>
  <c r="H59" i="47" s="1"/>
  <c r="H60" i="47" s="1"/>
  <c r="H61" i="47" s="1"/>
  <c r="H62" i="47" s="1"/>
  <c r="H63" i="47" s="1"/>
  <c r="H64" i="47" s="1"/>
  <c r="H65" i="47" s="1"/>
  <c r="G2" i="47"/>
  <c r="F2" i="47"/>
  <c r="E14" i="46" s="1"/>
  <c r="E2" i="47"/>
  <c r="C14" i="46" s="1"/>
  <c r="D2" i="47"/>
  <c r="B14" i="46" s="1"/>
  <c r="N16" i="46"/>
  <c r="M16" i="46"/>
  <c r="N15" i="46"/>
  <c r="M15" i="46"/>
  <c r="K15" i="46"/>
  <c r="K16" i="46" s="1"/>
  <c r="J15" i="46"/>
  <c r="J16" i="46" s="1"/>
  <c r="L14" i="46"/>
  <c r="K14" i="46"/>
  <c r="F14" i="46"/>
  <c r="K13" i="46"/>
  <c r="L13" i="46" s="1"/>
  <c r="C13" i="46"/>
  <c r="K12" i="46"/>
  <c r="L12" i="46" s="1"/>
  <c r="E12" i="46"/>
  <c r="C12" i="46"/>
  <c r="L11" i="46"/>
  <c r="K11" i="46"/>
  <c r="F11" i="46"/>
  <c r="E11" i="46"/>
  <c r="C11" i="46"/>
  <c r="K10" i="46"/>
  <c r="L10" i="46" s="1"/>
  <c r="C10" i="46"/>
  <c r="B10" i="46"/>
  <c r="K9" i="46"/>
  <c r="L9" i="46" s="1"/>
  <c r="E9" i="46"/>
  <c r="C9" i="46"/>
  <c r="F8" i="46"/>
  <c r="E8" i="46"/>
  <c r="B8" i="46"/>
  <c r="E7" i="46"/>
  <c r="F6" i="46"/>
  <c r="E6" i="46"/>
  <c r="C6" i="46"/>
  <c r="B6" i="46"/>
  <c r="E5" i="46"/>
  <c r="C5" i="46"/>
  <c r="E4" i="46"/>
  <c r="C4" i="46"/>
  <c r="D4" i="46" s="1"/>
  <c r="B4" i="46"/>
  <c r="F3" i="46"/>
  <c r="E3" i="46"/>
  <c r="L1" i="46"/>
  <c r="E118" i="45"/>
  <c r="E117" i="45"/>
  <c r="E116" i="45"/>
  <c r="E111" i="45" s="1"/>
  <c r="E48" i="45"/>
  <c r="E35" i="45"/>
  <c r="D35" i="45"/>
  <c r="E13" i="45"/>
  <c r="H6" i="45"/>
  <c r="H7" i="45" s="1"/>
  <c r="H8" i="45" s="1"/>
  <c r="H9" i="45" s="1"/>
  <c r="H10" i="45" s="1"/>
  <c r="H11" i="45" s="1"/>
  <c r="H12" i="45" s="1"/>
  <c r="H13" i="45" s="1"/>
  <c r="H14" i="45" s="1"/>
  <c r="H15" i="45" s="1"/>
  <c r="H16" i="45" s="1"/>
  <c r="H17" i="45" s="1"/>
  <c r="H18" i="45" s="1"/>
  <c r="H19" i="45" s="1"/>
  <c r="H20" i="45" s="1"/>
  <c r="H21" i="45" s="1"/>
  <c r="H22" i="45" s="1"/>
  <c r="H23" i="45" s="1"/>
  <c r="H24" i="45" s="1"/>
  <c r="H5" i="45"/>
  <c r="G2" i="45"/>
  <c r="F3" i="30" s="1"/>
  <c r="F2" i="45"/>
  <c r="E2" i="45"/>
  <c r="C3" i="30" s="1"/>
  <c r="D2" i="45"/>
  <c r="E121" i="44"/>
  <c r="E118" i="44"/>
  <c r="E117" i="44"/>
  <c r="E111" i="44" s="1"/>
  <c r="N4" i="30" s="1"/>
  <c r="E116" i="44"/>
  <c r="E87" i="44"/>
  <c r="E6" i="44" s="1"/>
  <c r="E62" i="44"/>
  <c r="E50" i="44"/>
  <c r="D50" i="44"/>
  <c r="G15" i="44"/>
  <c r="G2" i="44" s="1"/>
  <c r="F4" i="30" s="1"/>
  <c r="E15" i="44"/>
  <c r="E9" i="44"/>
  <c r="H7" i="44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H26" i="44" s="1"/>
  <c r="H27" i="44" s="1"/>
  <c r="H28" i="44" s="1"/>
  <c r="H29" i="44" s="1"/>
  <c r="H30" i="44" s="1"/>
  <c r="H31" i="44" s="1"/>
  <c r="H32" i="44" s="1"/>
  <c r="H33" i="44" s="1"/>
  <c r="H34" i="44" s="1"/>
  <c r="H35" i="44" s="1"/>
  <c r="H36" i="44" s="1"/>
  <c r="H37" i="44" s="1"/>
  <c r="H38" i="44" s="1"/>
  <c r="H39" i="44" s="1"/>
  <c r="H40" i="44" s="1"/>
  <c r="H41" i="44" s="1"/>
  <c r="H5" i="44"/>
  <c r="H6" i="44" s="1"/>
  <c r="H4" i="44"/>
  <c r="H2" i="44"/>
  <c r="F2" i="44"/>
  <c r="D2" i="44"/>
  <c r="B4" i="30" s="1"/>
  <c r="E118" i="43"/>
  <c r="E117" i="43"/>
  <c r="E116" i="43"/>
  <c r="E95" i="43"/>
  <c r="E58" i="43"/>
  <c r="E46" i="43"/>
  <c r="D46" i="43"/>
  <c r="E14" i="43"/>
  <c r="E13" i="43"/>
  <c r="H12" i="43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H31" i="43" s="1"/>
  <c r="H32" i="43" s="1"/>
  <c r="H33" i="43" s="1"/>
  <c r="H34" i="43" s="1"/>
  <c r="H35" i="43" s="1"/>
  <c r="H36" i="43" s="1"/>
  <c r="H37" i="43" s="1"/>
  <c r="H38" i="43" s="1"/>
  <c r="E12" i="43"/>
  <c r="H3" i="43"/>
  <c r="H4" i="43" s="1"/>
  <c r="H5" i="43" s="1"/>
  <c r="H6" i="43" s="1"/>
  <c r="H7" i="43" s="1"/>
  <c r="H8" i="43" s="1"/>
  <c r="H9" i="43" s="1"/>
  <c r="H10" i="43" s="1"/>
  <c r="H11" i="43" s="1"/>
  <c r="H2" i="43"/>
  <c r="E121" i="43" s="1"/>
  <c r="G2" i="43"/>
  <c r="F2" i="43"/>
  <c r="D2" i="43"/>
  <c r="E118" i="42"/>
  <c r="E111" i="42" s="1"/>
  <c r="N6" i="30" s="1"/>
  <c r="E117" i="42"/>
  <c r="E116" i="42"/>
  <c r="E78" i="42"/>
  <c r="E13" i="42" s="1"/>
  <c r="E54" i="42"/>
  <c r="E42" i="42"/>
  <c r="D42" i="42"/>
  <c r="E12" i="42"/>
  <c r="E11" i="42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6" i="30" s="1"/>
  <c r="F2" i="42"/>
  <c r="D2" i="42"/>
  <c r="E121" i="41"/>
  <c r="E118" i="41"/>
  <c r="E117" i="41"/>
  <c r="E116" i="41"/>
  <c r="E80" i="41"/>
  <c r="E59" i="41"/>
  <c r="E47" i="41"/>
  <c r="D47" i="41"/>
  <c r="H20" i="41"/>
  <c r="H21" i="41" s="1"/>
  <c r="H22" i="41" s="1"/>
  <c r="H23" i="41" s="1"/>
  <c r="E8" i="41"/>
  <c r="E7" i="41"/>
  <c r="E2" i="41" s="1"/>
  <c r="C7" i="30" s="1"/>
  <c r="E6" i="4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G2" i="41"/>
  <c r="F7" i="30" s="1"/>
  <c r="F2" i="41"/>
  <c r="D2" i="41"/>
  <c r="B7" i="30" s="1"/>
  <c r="E118" i="40"/>
  <c r="E117" i="40"/>
  <c r="E116" i="40"/>
  <c r="E84" i="40"/>
  <c r="E9" i="40" s="1"/>
  <c r="E49" i="40"/>
  <c r="E8" i="40" s="1"/>
  <c r="E37" i="40"/>
  <c r="D37" i="40"/>
  <c r="H5" i="40"/>
  <c r="H6" i="40" s="1"/>
  <c r="H7" i="40" s="1"/>
  <c r="H8" i="40" s="1"/>
  <c r="H4" i="40"/>
  <c r="G2" i="40"/>
  <c r="F8" i="30" s="1"/>
  <c r="F2" i="40"/>
  <c r="D2" i="40"/>
  <c r="B8" i="30" s="1"/>
  <c r="C121" i="39"/>
  <c r="E118" i="39"/>
  <c r="E117" i="39"/>
  <c r="E116" i="39"/>
  <c r="E69" i="39"/>
  <c r="E53" i="39"/>
  <c r="E41" i="39"/>
  <c r="D41" i="39"/>
  <c r="E11" i="39"/>
  <c r="E10" i="39"/>
  <c r="G9" i="39"/>
  <c r="E9" i="39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G2" i="39"/>
  <c r="F9" i="30" s="1"/>
  <c r="F2" i="39"/>
  <c r="D2" i="39"/>
  <c r="C121" i="38"/>
  <c r="E118" i="38"/>
  <c r="E117" i="38"/>
  <c r="E116" i="38"/>
  <c r="C74" i="38"/>
  <c r="E67" i="38"/>
  <c r="E9" i="38" s="1"/>
  <c r="E49" i="38"/>
  <c r="E8" i="38" s="1"/>
  <c r="E37" i="38"/>
  <c r="F7" i="38" s="1"/>
  <c r="F2" i="38" s="1"/>
  <c r="D37" i="38"/>
  <c r="D7" i="38"/>
  <c r="H4" i="38"/>
  <c r="H5" i="38" s="1"/>
  <c r="H6" i="38" s="1"/>
  <c r="G2" i="38"/>
  <c r="F10" i="30" s="1"/>
  <c r="D2" i="38"/>
  <c r="B10" i="30" s="1"/>
  <c r="C121" i="37"/>
  <c r="E118" i="37"/>
  <c r="E117" i="37"/>
  <c r="E116" i="37"/>
  <c r="E87" i="37"/>
  <c r="E9" i="37" s="1"/>
  <c r="E62" i="37"/>
  <c r="E50" i="37"/>
  <c r="D50" i="37"/>
  <c r="E8" i="37"/>
  <c r="G7" i="37"/>
  <c r="G2" i="37" s="1"/>
  <c r="F11" i="30" s="1"/>
  <c r="E7" i="37"/>
  <c r="H5" i="37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E121" i="37" s="1"/>
  <c r="H4" i="37"/>
  <c r="F2" i="37"/>
  <c r="D2" i="37"/>
  <c r="B11" i="30" s="1"/>
  <c r="E122" i="36"/>
  <c r="E119" i="36"/>
  <c r="E118" i="36"/>
  <c r="E111" i="36" s="1"/>
  <c r="N12" i="30" s="1"/>
  <c r="E117" i="36"/>
  <c r="E116" i="36"/>
  <c r="E68" i="36"/>
  <c r="E51" i="36"/>
  <c r="E39" i="36"/>
  <c r="D39" i="36"/>
  <c r="E11" i="36"/>
  <c r="E10" i="36"/>
  <c r="E9" i="36"/>
  <c r="E2" i="36" s="1"/>
  <c r="C12" i="30" s="1"/>
  <c r="H4" i="36"/>
  <c r="H5" i="36" s="1"/>
  <c r="H6" i="36" s="1"/>
  <c r="H7" i="36" s="1"/>
  <c r="H8" i="36" s="1"/>
  <c r="F2" i="36"/>
  <c r="D2" i="36"/>
  <c r="B12" i="30" s="1"/>
  <c r="C123" i="35"/>
  <c r="E120" i="35"/>
  <c r="E119" i="35"/>
  <c r="A119" i="35"/>
  <c r="A120" i="35" s="1"/>
  <c r="A121" i="35" s="1"/>
  <c r="A122" i="35" s="1"/>
  <c r="E118" i="35"/>
  <c r="A114" i="35"/>
  <c r="A115" i="35" s="1"/>
  <c r="A118" i="35" s="1"/>
  <c r="A113" i="35"/>
  <c r="E109" i="35"/>
  <c r="E71" i="35"/>
  <c r="E10" i="35" s="1"/>
  <c r="G10" i="35" s="1"/>
  <c r="E55" i="35"/>
  <c r="E43" i="35"/>
  <c r="D43" i="35"/>
  <c r="G9" i="35"/>
  <c r="E9" i="35"/>
  <c r="E8" i="35"/>
  <c r="E2" i="35" s="1"/>
  <c r="H7" i="35"/>
  <c r="H4" i="35"/>
  <c r="H5" i="35" s="1"/>
  <c r="H6" i="35" s="1"/>
  <c r="F2" i="35"/>
  <c r="E13" i="30" s="1"/>
  <c r="D2" i="35"/>
  <c r="E131" i="34"/>
  <c r="C129" i="34"/>
  <c r="E126" i="34"/>
  <c r="E125" i="34"/>
  <c r="E124" i="34"/>
  <c r="E111" i="34" s="1"/>
  <c r="A114" i="34"/>
  <c r="A115" i="34" s="1"/>
  <c r="A113" i="34"/>
  <c r="D109" i="34"/>
  <c r="F81" i="34"/>
  <c r="E81" i="34"/>
  <c r="E13" i="34" s="1"/>
  <c r="F58" i="34"/>
  <c r="E58" i="34"/>
  <c r="E46" i="34"/>
  <c r="D46" i="34"/>
  <c r="G16" i="34"/>
  <c r="G15" i="34"/>
  <c r="G14" i="34"/>
  <c r="G13" i="34"/>
  <c r="E12" i="34"/>
  <c r="G12" i="34" s="1"/>
  <c r="G11" i="34"/>
  <c r="E11" i="34"/>
  <c r="H8" i="34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G7" i="34"/>
  <c r="H4" i="34"/>
  <c r="H5" i="34" s="1"/>
  <c r="H6" i="34" s="1"/>
  <c r="H7" i="34" s="1"/>
  <c r="F2" i="34"/>
  <c r="D2" i="34"/>
  <c r="E32" i="33"/>
  <c r="E33" i="33" s="1"/>
  <c r="D27" i="33"/>
  <c r="H25" i="33"/>
  <c r="I25" i="33" s="1"/>
  <c r="I24" i="33" s="1"/>
  <c r="I23" i="33" s="1"/>
  <c r="F25" i="33"/>
  <c r="E25" i="33"/>
  <c r="H24" i="33"/>
  <c r="F24" i="33"/>
  <c r="E24" i="33"/>
  <c r="H23" i="33"/>
  <c r="F23" i="33"/>
  <c r="E23" i="33"/>
  <c r="I22" i="33"/>
  <c r="I21" i="33" s="1"/>
  <c r="I20" i="33" s="1"/>
  <c r="I19" i="33" s="1"/>
  <c r="I18" i="33" s="1"/>
  <c r="I17" i="33" s="1"/>
  <c r="I16" i="33" s="1"/>
  <c r="I15" i="33" s="1"/>
  <c r="I14" i="33" s="1"/>
  <c r="I13" i="33" s="1"/>
  <c r="I12" i="33" s="1"/>
  <c r="H22" i="33"/>
  <c r="F22" i="33"/>
  <c r="E22" i="33"/>
  <c r="H21" i="33"/>
  <c r="F21" i="33"/>
  <c r="E21" i="33"/>
  <c r="H20" i="33"/>
  <c r="F20" i="33"/>
  <c r="E20" i="33"/>
  <c r="H19" i="33"/>
  <c r="F19" i="33"/>
  <c r="E19" i="33"/>
  <c r="H18" i="33"/>
  <c r="F18" i="33"/>
  <c r="E18" i="33"/>
  <c r="H17" i="33"/>
  <c r="F17" i="33"/>
  <c r="E17" i="33"/>
  <c r="H16" i="33"/>
  <c r="F16" i="33"/>
  <c r="E16" i="33"/>
  <c r="H15" i="33"/>
  <c r="F15" i="33"/>
  <c r="E15" i="33"/>
  <c r="H14" i="33"/>
  <c r="F14" i="33"/>
  <c r="E14" i="33"/>
  <c r="E27" i="33" s="1"/>
  <c r="H13" i="33"/>
  <c r="F13" i="33"/>
  <c r="E13" i="33"/>
  <c r="H12" i="33"/>
  <c r="F12" i="33"/>
  <c r="E12" i="33"/>
  <c r="H11" i="33"/>
  <c r="F11" i="33"/>
  <c r="E11" i="33"/>
  <c r="H10" i="33"/>
  <c r="F10" i="33"/>
  <c r="E10" i="33"/>
  <c r="H9" i="33"/>
  <c r="F9" i="33"/>
  <c r="E9" i="33"/>
  <c r="H8" i="33"/>
  <c r="F8" i="33"/>
  <c r="E8" i="33"/>
  <c r="E28" i="33" s="1"/>
  <c r="F5" i="33"/>
  <c r="F41" i="32"/>
  <c r="E41" i="32"/>
  <c r="H37" i="32"/>
  <c r="I37" i="32" s="1"/>
  <c r="I36" i="32" s="1"/>
  <c r="I35" i="32" s="1"/>
  <c r="I34" i="32" s="1"/>
  <c r="I33" i="32" s="1"/>
  <c r="I32" i="32" s="1"/>
  <c r="I31" i="32" s="1"/>
  <c r="I30" i="32" s="1"/>
  <c r="I29" i="32" s="1"/>
  <c r="I28" i="32" s="1"/>
  <c r="I27" i="32" s="1"/>
  <c r="I26" i="32" s="1"/>
  <c r="I25" i="32" s="1"/>
  <c r="I24" i="32" s="1"/>
  <c r="I23" i="32" s="1"/>
  <c r="F37" i="32"/>
  <c r="E37" i="32"/>
  <c r="E23" i="32" s="1"/>
  <c r="H36" i="32"/>
  <c r="F36" i="32"/>
  <c r="E36" i="32"/>
  <c r="H35" i="32"/>
  <c r="F35" i="32"/>
  <c r="E35" i="32"/>
  <c r="H34" i="32"/>
  <c r="F34" i="32"/>
  <c r="E34" i="32"/>
  <c r="H33" i="32"/>
  <c r="F33" i="32"/>
  <c r="E33" i="32"/>
  <c r="H32" i="32"/>
  <c r="F32" i="32"/>
  <c r="E32" i="32"/>
  <c r="H31" i="32"/>
  <c r="F31" i="32"/>
  <c r="E31" i="32"/>
  <c r="H30" i="32"/>
  <c r="F30" i="32"/>
  <c r="E30" i="32"/>
  <c r="H29" i="32"/>
  <c r="F29" i="32"/>
  <c r="E29" i="32"/>
  <c r="H28" i="32"/>
  <c r="F28" i="32"/>
  <c r="E28" i="32"/>
  <c r="H27" i="32"/>
  <c r="F27" i="32"/>
  <c r="E27" i="32"/>
  <c r="H26" i="32"/>
  <c r="H23" i="32" s="1"/>
  <c r="F26" i="32"/>
  <c r="F23" i="32" s="1"/>
  <c r="E26" i="32"/>
  <c r="H25" i="32"/>
  <c r="F25" i="32"/>
  <c r="E25" i="32"/>
  <c r="H24" i="32"/>
  <c r="F24" i="32"/>
  <c r="E24" i="32"/>
  <c r="D23" i="32"/>
  <c r="F21" i="32"/>
  <c r="F60" i="31"/>
  <c r="E60" i="31"/>
  <c r="D60" i="31"/>
  <c r="F39" i="31"/>
  <c r="E39" i="31"/>
  <c r="G39" i="31" s="1"/>
  <c r="G41" i="31" s="1"/>
  <c r="G42" i="31" s="1"/>
  <c r="G43" i="31" s="1"/>
  <c r="G44" i="31" s="1"/>
  <c r="G45" i="31" s="1"/>
  <c r="G46" i="31" s="1"/>
  <c r="G47" i="31" s="1"/>
  <c r="G48" i="31" s="1"/>
  <c r="G49" i="31" s="1"/>
  <c r="G50" i="31" s="1"/>
  <c r="G51" i="31" s="1"/>
  <c r="G52" i="31" s="1"/>
  <c r="G53" i="31" s="1"/>
  <c r="G54" i="31" s="1"/>
  <c r="G55" i="31" s="1"/>
  <c r="G56" i="31" s="1"/>
  <c r="G57" i="31" s="1"/>
  <c r="G58" i="31" s="1"/>
  <c r="G3" i="31"/>
  <c r="G4" i="31" s="1"/>
  <c r="G5" i="31" s="1"/>
  <c r="G6" i="31" s="1"/>
  <c r="G7" i="31" s="1"/>
  <c r="G8" i="31" s="1"/>
  <c r="G9" i="31" s="1"/>
  <c r="G10" i="31" s="1"/>
  <c r="G11" i="31" s="1"/>
  <c r="G12" i="31" s="1"/>
  <c r="G13" i="31" s="1"/>
  <c r="G14" i="31" s="1"/>
  <c r="G15" i="31" s="1"/>
  <c r="G16" i="31" s="1"/>
  <c r="G17" i="31" s="1"/>
  <c r="G18" i="31" s="1"/>
  <c r="G19" i="31" s="1"/>
  <c r="G20" i="31" s="1"/>
  <c r="G21" i="31" s="1"/>
  <c r="G22" i="31" s="1"/>
  <c r="G23" i="31" s="1"/>
  <c r="G24" i="31" s="1"/>
  <c r="G25" i="31" s="1"/>
  <c r="G26" i="31" s="1"/>
  <c r="G27" i="31" s="1"/>
  <c r="G28" i="31" s="1"/>
  <c r="G29" i="31" s="1"/>
  <c r="G30" i="31" s="1"/>
  <c r="G31" i="31" s="1"/>
  <c r="G32" i="31" s="1"/>
  <c r="G33" i="31" s="1"/>
  <c r="G34" i="31" s="1"/>
  <c r="G35" i="31" s="1"/>
  <c r="G36" i="31" s="1"/>
  <c r="G37" i="31" s="1"/>
  <c r="F33" i="30"/>
  <c r="F32" i="30"/>
  <c r="F31" i="30"/>
  <c r="F26" i="30"/>
  <c r="F21" i="30"/>
  <c r="E21" i="30"/>
  <c r="F19" i="30"/>
  <c r="E19" i="30"/>
  <c r="M7" i="30" s="1"/>
  <c r="E18" i="30"/>
  <c r="J15" i="30"/>
  <c r="J16" i="30" s="1"/>
  <c r="N14" i="30"/>
  <c r="L14" i="30"/>
  <c r="K14" i="30"/>
  <c r="E14" i="30"/>
  <c r="B14" i="30"/>
  <c r="K13" i="30"/>
  <c r="L13" i="30" s="1"/>
  <c r="C13" i="30"/>
  <c r="B13" i="30"/>
  <c r="K12" i="30"/>
  <c r="L12" i="30" s="1"/>
  <c r="E12" i="30"/>
  <c r="K11" i="30"/>
  <c r="L11" i="30" s="1"/>
  <c r="K9" i="30"/>
  <c r="L9" i="30" s="1"/>
  <c r="B9" i="30"/>
  <c r="M8" i="30"/>
  <c r="E8" i="30"/>
  <c r="E7" i="30"/>
  <c r="M6" i="30"/>
  <c r="B6" i="30"/>
  <c r="F5" i="30"/>
  <c r="E5" i="30"/>
  <c r="B5" i="30"/>
  <c r="L4" i="30"/>
  <c r="K4" i="30"/>
  <c r="E4" i="30"/>
  <c r="N3" i="30"/>
  <c r="M3" i="30"/>
  <c r="B3" i="30"/>
  <c r="D3" i="30" s="1"/>
  <c r="N2" i="30"/>
  <c r="L1" i="30"/>
  <c r="C149" i="29"/>
  <c r="D147" i="29"/>
  <c r="E144" i="29"/>
  <c r="D144" i="29"/>
  <c r="D149" i="29" s="1"/>
  <c r="C136" i="29"/>
  <c r="E133" i="29"/>
  <c r="E132" i="29"/>
  <c r="E131" i="29"/>
  <c r="A131" i="29"/>
  <c r="E130" i="29"/>
  <c r="E118" i="29" s="1"/>
  <c r="N3" i="17" s="1"/>
  <c r="A128" i="29"/>
  <c r="A126" i="29"/>
  <c r="A121" i="29"/>
  <c r="A122" i="29" s="1"/>
  <c r="A123" i="29" s="1"/>
  <c r="A124" i="29" s="1"/>
  <c r="A120" i="29"/>
  <c r="C112" i="29"/>
  <c r="C111" i="29"/>
  <c r="C110" i="29"/>
  <c r="C109" i="29"/>
  <c r="C107" i="29"/>
  <c r="C106" i="29"/>
  <c r="C102" i="29"/>
  <c r="C100" i="29"/>
  <c r="C97" i="29"/>
  <c r="C95" i="29"/>
  <c r="C93" i="29"/>
  <c r="C92" i="29"/>
  <c r="C90" i="29"/>
  <c r="C89" i="29"/>
  <c r="E77" i="29"/>
  <c r="E60" i="29"/>
  <c r="E13" i="29" s="1"/>
  <c r="E49" i="29"/>
  <c r="D49" i="29"/>
  <c r="G16" i="29"/>
  <c r="G15" i="29"/>
  <c r="E14" i="29"/>
  <c r="G12" i="29"/>
  <c r="E12" i="29"/>
  <c r="H6" i="29"/>
  <c r="H7" i="29" s="1"/>
  <c r="H8" i="29" s="1"/>
  <c r="H9" i="29" s="1"/>
  <c r="H10" i="29" s="1"/>
  <c r="H11" i="29" s="1"/>
  <c r="H12" i="29" s="1"/>
  <c r="H4" i="29"/>
  <c r="H5" i="29" s="1"/>
  <c r="F2" i="29"/>
  <c r="D2" i="29"/>
  <c r="B3" i="17" s="1"/>
  <c r="C134" i="28"/>
  <c r="F130" i="28"/>
  <c r="F129" i="28"/>
  <c r="E128" i="28"/>
  <c r="E127" i="28"/>
  <c r="E126" i="28"/>
  <c r="E125" i="28"/>
  <c r="F124" i="28"/>
  <c r="F121" i="28"/>
  <c r="F120" i="28"/>
  <c r="F118" i="28"/>
  <c r="F114" i="28"/>
  <c r="A114" i="28"/>
  <c r="A115" i="28" s="1"/>
  <c r="A116" i="28" s="1"/>
  <c r="A117" i="28" s="1"/>
  <c r="A118" i="28" s="1"/>
  <c r="A119" i="28" s="1"/>
  <c r="A120" i="28" s="1"/>
  <c r="A121" i="28" s="1"/>
  <c r="A122" i="28" s="1"/>
  <c r="A123" i="28" s="1"/>
  <c r="A124" i="28" s="1"/>
  <c r="A125" i="28" s="1"/>
  <c r="A126" i="28" s="1"/>
  <c r="A127" i="28" s="1"/>
  <c r="A128" i="28" s="1"/>
  <c r="A129" i="28" s="1"/>
  <c r="A130" i="28" s="1"/>
  <c r="A113" i="28"/>
  <c r="D103" i="28"/>
  <c r="E64" i="28"/>
  <c r="E47" i="28"/>
  <c r="E9" i="28" s="1"/>
  <c r="C40" i="28"/>
  <c r="E36" i="28"/>
  <c r="D36" i="28"/>
  <c r="E19" i="28"/>
  <c r="G19" i="28" s="1"/>
  <c r="G15" i="28"/>
  <c r="G13" i="28"/>
  <c r="G12" i="28"/>
  <c r="E10" i="28"/>
  <c r="G10" i="28" s="1"/>
  <c r="H4" i="28"/>
  <c r="H5" i="28" s="1"/>
  <c r="H6" i="28" s="1"/>
  <c r="H7" i="28" s="1"/>
  <c r="H8" i="28" s="1"/>
  <c r="F2" i="28"/>
  <c r="D2" i="28"/>
  <c r="C131" i="27"/>
  <c r="E125" i="27"/>
  <c r="E124" i="27"/>
  <c r="E123" i="27"/>
  <c r="E122" i="27"/>
  <c r="A110" i="27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E65" i="27"/>
  <c r="E46" i="27"/>
  <c r="E9" i="27" s="1"/>
  <c r="E35" i="27"/>
  <c r="D35" i="27"/>
  <c r="G16" i="27"/>
  <c r="E16" i="27"/>
  <c r="G13" i="27"/>
  <c r="G12" i="27"/>
  <c r="G9" i="27"/>
  <c r="E8" i="27"/>
  <c r="E2" i="27" s="1"/>
  <c r="C5" i="17" s="1"/>
  <c r="G7" i="27"/>
  <c r="H4" i="27"/>
  <c r="H5" i="27" s="1"/>
  <c r="H6" i="27" s="1"/>
  <c r="F2" i="27"/>
  <c r="D2" i="27"/>
  <c r="C130" i="26"/>
  <c r="E124" i="26"/>
  <c r="C123" i="26"/>
  <c r="E123" i="26" s="1"/>
  <c r="E122" i="26"/>
  <c r="E121" i="26"/>
  <c r="A114" i="26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125" i="26" s="1"/>
  <c r="A126" i="26" s="1"/>
  <c r="A113" i="26"/>
  <c r="E97" i="26"/>
  <c r="C86" i="26"/>
  <c r="C82" i="26"/>
  <c r="C80" i="26"/>
  <c r="C76" i="26"/>
  <c r="E65" i="26"/>
  <c r="E13" i="26" s="1"/>
  <c r="G13" i="26" s="1"/>
  <c r="E60" i="26"/>
  <c r="D54" i="26"/>
  <c r="G18" i="26"/>
  <c r="G17" i="26"/>
  <c r="G16" i="26"/>
  <c r="G12" i="26"/>
  <c r="E12" i="26"/>
  <c r="H6" i="26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5" i="26"/>
  <c r="F2" i="26"/>
  <c r="D2" i="26"/>
  <c r="B6" i="17" s="1"/>
  <c r="C122" i="25"/>
  <c r="E121" i="25"/>
  <c r="E116" i="25"/>
  <c r="E115" i="25"/>
  <c r="C115" i="25"/>
  <c r="E114" i="25"/>
  <c r="E113" i="25"/>
  <c r="E112" i="25"/>
  <c r="E110" i="25"/>
  <c r="E101" i="25" s="1"/>
  <c r="E109" i="25"/>
  <c r="A104" i="25"/>
  <c r="A105" i="25" s="1"/>
  <c r="A106" i="25" s="1"/>
  <c r="A107" i="25" s="1"/>
  <c r="A108" i="25" s="1"/>
  <c r="A109" i="25" s="1"/>
  <c r="A103" i="25"/>
  <c r="C81" i="25"/>
  <c r="E57" i="25"/>
  <c r="E11" i="25" s="1"/>
  <c r="E41" i="25"/>
  <c r="E30" i="25"/>
  <c r="D30" i="25"/>
  <c r="G18" i="25"/>
  <c r="G2" i="25" s="1"/>
  <c r="F7" i="17" s="1"/>
  <c r="E18" i="25"/>
  <c r="E10" i="25"/>
  <c r="H6" i="25"/>
  <c r="H7" i="25" s="1"/>
  <c r="H8" i="25" s="1"/>
  <c r="H9" i="25" s="1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5" i="25"/>
  <c r="H4" i="25"/>
  <c r="F2" i="25"/>
  <c r="D2" i="25"/>
  <c r="C139" i="24"/>
  <c r="E133" i="24"/>
  <c r="E132" i="24"/>
  <c r="C132" i="24"/>
  <c r="E131" i="24"/>
  <c r="E130" i="24"/>
  <c r="E129" i="24"/>
  <c r="E127" i="24"/>
  <c r="E126" i="24"/>
  <c r="E138" i="24" s="1"/>
  <c r="A122" i="24"/>
  <c r="A123" i="24" s="1"/>
  <c r="A124" i="24" s="1"/>
  <c r="A125" i="24" s="1"/>
  <c r="A126" i="24" s="1"/>
  <c r="A121" i="24"/>
  <c r="A120" i="24"/>
  <c r="D112" i="24"/>
  <c r="D92" i="24"/>
  <c r="D114" i="24" s="1"/>
  <c r="D91" i="24"/>
  <c r="D80" i="24"/>
  <c r="E65" i="24"/>
  <c r="E50" i="24"/>
  <c r="E41" i="24"/>
  <c r="D41" i="24"/>
  <c r="E20" i="24"/>
  <c r="G16" i="24"/>
  <c r="G15" i="24"/>
  <c r="G14" i="24"/>
  <c r="G11" i="24"/>
  <c r="E11" i="24"/>
  <c r="E10" i="24"/>
  <c r="H5" i="24"/>
  <c r="H6" i="24" s="1"/>
  <c r="G5" i="24"/>
  <c r="H4" i="24"/>
  <c r="F2" i="24"/>
  <c r="D2" i="24"/>
  <c r="B8" i="17" s="1"/>
  <c r="C158" i="23"/>
  <c r="E152" i="23"/>
  <c r="C151" i="23"/>
  <c r="E151" i="23" s="1"/>
  <c r="E150" i="23"/>
  <c r="E149" i="23"/>
  <c r="E148" i="23"/>
  <c r="E147" i="23"/>
  <c r="E146" i="23"/>
  <c r="E145" i="23"/>
  <c r="A145" i="23"/>
  <c r="A146" i="23" s="1"/>
  <c r="A147" i="23" s="1"/>
  <c r="A148" i="23" s="1"/>
  <c r="A149" i="23" s="1"/>
  <c r="A150" i="23" s="1"/>
  <c r="A151" i="23" s="1"/>
  <c r="A152" i="23" s="1"/>
  <c r="A153" i="23" s="1"/>
  <c r="A154" i="23" s="1"/>
  <c r="E144" i="23"/>
  <c r="E143" i="23"/>
  <c r="E142" i="23"/>
  <c r="E141" i="23"/>
  <c r="E140" i="23"/>
  <c r="A136" i="23"/>
  <c r="A137" i="23" s="1"/>
  <c r="A138" i="23" s="1"/>
  <c r="A139" i="23" s="1"/>
  <c r="A140" i="23" s="1"/>
  <c r="A141" i="23" s="1"/>
  <c r="A142" i="23" s="1"/>
  <c r="A143" i="23" s="1"/>
  <c r="A144" i="23" s="1"/>
  <c r="A135" i="23"/>
  <c r="C131" i="23"/>
  <c r="E72" i="23"/>
  <c r="E55" i="23"/>
  <c r="E44" i="23"/>
  <c r="D44" i="23"/>
  <c r="E22" i="23"/>
  <c r="H15" i="23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E10" i="23"/>
  <c r="G10" i="23" s="1"/>
  <c r="G9" i="23"/>
  <c r="G2" i="23" s="1"/>
  <c r="E9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2" i="23"/>
  <c r="E158" i="23" s="1"/>
  <c r="F2" i="23"/>
  <c r="D2" i="23"/>
  <c r="C150" i="22"/>
  <c r="E144" i="22"/>
  <c r="C143" i="22"/>
  <c r="E143" i="22" s="1"/>
  <c r="E142" i="22"/>
  <c r="E141" i="22"/>
  <c r="E140" i="22"/>
  <c r="E139" i="22"/>
  <c r="E138" i="22"/>
  <c r="A138" i="22"/>
  <c r="A139" i="22" s="1"/>
  <c r="A140" i="22" s="1"/>
  <c r="A141" i="22" s="1"/>
  <c r="A142" i="22" s="1"/>
  <c r="A143" i="22" s="1"/>
  <c r="A144" i="22" s="1"/>
  <c r="A145" i="22" s="1"/>
  <c r="A146" i="22" s="1"/>
  <c r="E137" i="22"/>
  <c r="E136" i="22"/>
  <c r="E135" i="22"/>
  <c r="E134" i="22"/>
  <c r="E133" i="22"/>
  <c r="E132" i="22"/>
  <c r="A129" i="22"/>
  <c r="A130" i="22" s="1"/>
  <c r="A131" i="22" s="1"/>
  <c r="A132" i="22" s="1"/>
  <c r="A133" i="22" s="1"/>
  <c r="A134" i="22" s="1"/>
  <c r="A135" i="22" s="1"/>
  <c r="A136" i="22" s="1"/>
  <c r="A137" i="22" s="1"/>
  <c r="A127" i="22"/>
  <c r="A128" i="22" s="1"/>
  <c r="C118" i="22"/>
  <c r="E78" i="22"/>
  <c r="E63" i="22"/>
  <c r="E7" i="22" s="1"/>
  <c r="E52" i="22"/>
  <c r="D52" i="22"/>
  <c r="G33" i="22"/>
  <c r="G32" i="22"/>
  <c r="G31" i="22"/>
  <c r="G30" i="22"/>
  <c r="G29" i="22"/>
  <c r="G28" i="22"/>
  <c r="G2" i="22" s="1"/>
  <c r="H14" i="22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H41" i="22" s="1"/>
  <c r="H42" i="22" s="1"/>
  <c r="H43" i="22" s="1"/>
  <c r="H44" i="22" s="1"/>
  <c r="H45" i="22" s="1"/>
  <c r="H46" i="22" s="1"/>
  <c r="H47" i="22" s="1"/>
  <c r="E13" i="22"/>
  <c r="E8" i="22"/>
  <c r="H6" i="22"/>
  <c r="H7" i="22" s="1"/>
  <c r="H8" i="22" s="1"/>
  <c r="H9" i="22" s="1"/>
  <c r="H10" i="22" s="1"/>
  <c r="H11" i="22" s="1"/>
  <c r="H12" i="22" s="1"/>
  <c r="H13" i="22" s="1"/>
  <c r="H4" i="22"/>
  <c r="H5" i="22" s="1"/>
  <c r="F2" i="22"/>
  <c r="E2" i="22"/>
  <c r="C10" i="17" s="1"/>
  <c r="D2" i="22"/>
  <c r="C127" i="21"/>
  <c r="E118" i="21"/>
  <c r="E117" i="21"/>
  <c r="E116" i="21"/>
  <c r="E115" i="21"/>
  <c r="E114" i="21"/>
  <c r="E113" i="21"/>
  <c r="E112" i="21"/>
  <c r="E111" i="21"/>
  <c r="E110" i="21"/>
  <c r="E109" i="21"/>
  <c r="E108" i="21"/>
  <c r="A108" i="21"/>
  <c r="E107" i="21"/>
  <c r="E106" i="21"/>
  <c r="A106" i="21"/>
  <c r="A109" i="21" s="1"/>
  <c r="A110" i="21" s="1"/>
  <c r="A111" i="21" s="1"/>
  <c r="A112" i="21" s="1"/>
  <c r="A107" i="21" s="1"/>
  <c r="A114" i="21" s="1"/>
  <c r="A115" i="21" s="1"/>
  <c r="A116" i="21" s="1"/>
  <c r="A105" i="21"/>
  <c r="A103" i="21"/>
  <c r="E61" i="21"/>
  <c r="E46" i="21"/>
  <c r="E7" i="21" s="1"/>
  <c r="G7" i="21" s="1"/>
  <c r="E35" i="21"/>
  <c r="D35" i="21"/>
  <c r="E10" i="21"/>
  <c r="E6" i="21"/>
  <c r="H4" i="21"/>
  <c r="H5" i="21" s="1"/>
  <c r="F2" i="21"/>
  <c r="D2" i="21"/>
  <c r="C137" i="20"/>
  <c r="E136" i="20"/>
  <c r="N12" i="17" s="1"/>
  <c r="E131" i="20"/>
  <c r="E128" i="20"/>
  <c r="E127" i="20"/>
  <c r="E126" i="20"/>
  <c r="E125" i="20"/>
  <c r="E124" i="20"/>
  <c r="E122" i="20"/>
  <c r="E121" i="20"/>
  <c r="E120" i="20"/>
  <c r="E119" i="20"/>
  <c r="E118" i="20"/>
  <c r="E117" i="20"/>
  <c r="E116" i="20"/>
  <c r="A113" i="20"/>
  <c r="A116" i="20" s="1"/>
  <c r="A119" i="20" s="1"/>
  <c r="A120" i="20" s="1"/>
  <c r="A121" i="20" s="1"/>
  <c r="A122" i="20" s="1"/>
  <c r="A117" i="20" s="1"/>
  <c r="A124" i="20" s="1"/>
  <c r="A125" i="20" s="1"/>
  <c r="A126" i="20" s="1"/>
  <c r="C105" i="20"/>
  <c r="E66" i="20"/>
  <c r="E51" i="20"/>
  <c r="E8" i="20" s="1"/>
  <c r="E40" i="20"/>
  <c r="D40" i="20"/>
  <c r="E9" i="20"/>
  <c r="E7" i="20"/>
  <c r="E2" i="20" s="1"/>
  <c r="C12" i="17" s="1"/>
  <c r="H6" i="20"/>
  <c r="H7" i="20" s="1"/>
  <c r="H8" i="20" s="1"/>
  <c r="H9" i="20" s="1"/>
  <c r="H10" i="20" s="1"/>
  <c r="H11" i="20" s="1"/>
  <c r="H12" i="20" s="1"/>
  <c r="H5" i="20"/>
  <c r="H4" i="20"/>
  <c r="G2" i="20"/>
  <c r="F2" i="20"/>
  <c r="H2" i="20" s="1"/>
  <c r="D2" i="20"/>
  <c r="B12" i="17" s="1"/>
  <c r="C137" i="19"/>
  <c r="E131" i="19"/>
  <c r="E128" i="19"/>
  <c r="E127" i="19"/>
  <c r="E126" i="19"/>
  <c r="E125" i="19"/>
  <c r="E124" i="19"/>
  <c r="E123" i="19"/>
  <c r="E122" i="19"/>
  <c r="E121" i="19"/>
  <c r="E120" i="19"/>
  <c r="E119" i="19"/>
  <c r="E118" i="19"/>
  <c r="E136" i="19" s="1"/>
  <c r="E117" i="19"/>
  <c r="E116" i="19"/>
  <c r="A113" i="19"/>
  <c r="E111" i="19"/>
  <c r="N13" i="17" s="1"/>
  <c r="C102" i="19"/>
  <c r="E69" i="19"/>
  <c r="E7" i="19" s="1"/>
  <c r="E54" i="19"/>
  <c r="E43" i="19"/>
  <c r="D43" i="19"/>
  <c r="E10" i="19"/>
  <c r="E9" i="19"/>
  <c r="H7" i="19"/>
  <c r="H8" i="19" s="1"/>
  <c r="H9" i="19" s="1"/>
  <c r="H10" i="19" s="1"/>
  <c r="H11" i="19" s="1"/>
  <c r="H12" i="19" s="1"/>
  <c r="H5" i="19"/>
  <c r="H6" i="19" s="1"/>
  <c r="H4" i="19"/>
  <c r="G2" i="19"/>
  <c r="F2" i="19"/>
  <c r="H2" i="19" s="1"/>
  <c r="D2" i="19"/>
  <c r="B13" i="17" s="1"/>
  <c r="C196" i="18"/>
  <c r="F188" i="18"/>
  <c r="G187" i="18"/>
  <c r="E187" i="18"/>
  <c r="G186" i="18"/>
  <c r="E186" i="18"/>
  <c r="G185" i="18"/>
  <c r="H187" i="18" s="1"/>
  <c r="E185" i="18"/>
  <c r="G182" i="18"/>
  <c r="E182" i="18"/>
  <c r="G181" i="18"/>
  <c r="E181" i="18"/>
  <c r="G180" i="18"/>
  <c r="E180" i="18"/>
  <c r="G179" i="18"/>
  <c r="E179" i="18"/>
  <c r="G175" i="18"/>
  <c r="E175" i="18"/>
  <c r="F177" i="18" s="1"/>
  <c r="G174" i="18"/>
  <c r="H175" i="18" s="1"/>
  <c r="E174" i="18"/>
  <c r="E152" i="18"/>
  <c r="C152" i="18"/>
  <c r="E143" i="18"/>
  <c r="E142" i="18"/>
  <c r="E141" i="18"/>
  <c r="E138" i="18"/>
  <c r="E137" i="18"/>
  <c r="F138" i="18" s="1"/>
  <c r="E136" i="18"/>
  <c r="E135" i="18"/>
  <c r="E133" i="18"/>
  <c r="E132" i="18"/>
  <c r="E91" i="18"/>
  <c r="E6" i="18" s="1"/>
  <c r="G6" i="18" s="1"/>
  <c r="E76" i="18"/>
  <c r="E65" i="18"/>
  <c r="D65" i="18"/>
  <c r="E54" i="18"/>
  <c r="E53" i="18"/>
  <c r="E52" i="18"/>
  <c r="E51" i="18"/>
  <c r="E50" i="18"/>
  <c r="E55" i="18" s="1"/>
  <c r="F49" i="18"/>
  <c r="F50" i="18" s="1"/>
  <c r="F51" i="18" s="1"/>
  <c r="F52" i="18" s="1"/>
  <c r="F53" i="18" s="1"/>
  <c r="F54" i="18" s="1"/>
  <c r="E9" i="18"/>
  <c r="E5" i="18"/>
  <c r="E2" i="18" s="1"/>
  <c r="C14" i="17" s="1"/>
  <c r="H4" i="18"/>
  <c r="F2" i="18"/>
  <c r="E14" i="17" s="1"/>
  <c r="D2" i="18"/>
  <c r="F135" i="17"/>
  <c r="F133" i="17"/>
  <c r="D133" i="17"/>
  <c r="F130" i="17"/>
  <c r="F129" i="17"/>
  <c r="F128" i="17"/>
  <c r="B117" i="17"/>
  <c r="B118" i="17" s="1"/>
  <c r="B119" i="17" s="1"/>
  <c r="F115" i="17"/>
  <c r="N2" i="17" s="1"/>
  <c r="B24" i="17"/>
  <c r="D23" i="17"/>
  <c r="D24" i="17" s="1"/>
  <c r="C25" i="17" s="1"/>
  <c r="B23" i="17"/>
  <c r="E20" i="17"/>
  <c r="E19" i="17"/>
  <c r="E18" i="17"/>
  <c r="M16" i="17"/>
  <c r="J16" i="17"/>
  <c r="J15" i="17"/>
  <c r="L14" i="17"/>
  <c r="K14" i="17"/>
  <c r="B14" i="17"/>
  <c r="K13" i="17"/>
  <c r="L13" i="17" s="1"/>
  <c r="F13" i="17"/>
  <c r="L12" i="17"/>
  <c r="K12" i="17"/>
  <c r="F12" i="17"/>
  <c r="E12" i="17"/>
  <c r="K11" i="17"/>
  <c r="L11" i="17" s="1"/>
  <c r="E11" i="17"/>
  <c r="B11" i="17"/>
  <c r="M10" i="17"/>
  <c r="F10" i="17"/>
  <c r="E10" i="17"/>
  <c r="B10" i="17"/>
  <c r="K9" i="17"/>
  <c r="F9" i="17"/>
  <c r="E9" i="17"/>
  <c r="B9" i="17"/>
  <c r="M8" i="17"/>
  <c r="E8" i="17"/>
  <c r="N7" i="17"/>
  <c r="M7" i="17"/>
  <c r="E7" i="17"/>
  <c r="B7" i="17"/>
  <c r="M6" i="17"/>
  <c r="M15" i="17" s="1"/>
  <c r="E6" i="17"/>
  <c r="M5" i="17"/>
  <c r="E5" i="17"/>
  <c r="B5" i="17"/>
  <c r="L4" i="17"/>
  <c r="K4" i="17"/>
  <c r="E4" i="17"/>
  <c r="B4" i="17"/>
  <c r="M3" i="17"/>
  <c r="L2" i="17"/>
  <c r="F74" i="16"/>
  <c r="H69" i="16"/>
  <c r="H70" i="16" s="1"/>
  <c r="H71" i="16" s="1"/>
  <c r="H72" i="16" s="1"/>
  <c r="H73" i="16" s="1"/>
  <c r="H74" i="16" s="1"/>
  <c r="H75" i="16" s="1"/>
  <c r="H76" i="16" s="1"/>
  <c r="H77" i="16" s="1"/>
  <c r="H78" i="16" s="1"/>
  <c r="H79" i="16" s="1"/>
  <c r="H80" i="16" s="1"/>
  <c r="H81" i="16" s="1"/>
  <c r="H82" i="16" s="1"/>
  <c r="J63" i="16"/>
  <c r="H60" i="16"/>
  <c r="H61" i="16" s="1"/>
  <c r="H62" i="16" s="1"/>
  <c r="F60" i="16"/>
  <c r="F58" i="16"/>
  <c r="F57" i="16"/>
  <c r="F55" i="16"/>
  <c r="H55" i="16" s="1"/>
  <c r="H56" i="16" s="1"/>
  <c r="H57" i="16" s="1"/>
  <c r="H58" i="16" s="1"/>
  <c r="H59" i="16" s="1"/>
  <c r="H48" i="16"/>
  <c r="H49" i="16" s="1"/>
  <c r="H50" i="16" s="1"/>
  <c r="H47" i="16"/>
  <c r="J46" i="16"/>
  <c r="J50" i="16" s="1"/>
  <c r="J51" i="16" s="1"/>
  <c r="H44" i="16"/>
  <c r="H45" i="16" s="1"/>
  <c r="H46" i="16" s="1"/>
  <c r="G33" i="16"/>
  <c r="F31" i="16"/>
  <c r="E31" i="16"/>
  <c r="F30" i="16"/>
  <c r="F29" i="16"/>
  <c r="G31" i="16" s="1"/>
  <c r="F28" i="16"/>
  <c r="E27" i="16"/>
  <c r="F27" i="16" s="1"/>
  <c r="E25" i="16"/>
  <c r="F25" i="16" s="1"/>
  <c r="F24" i="16"/>
  <c r="F23" i="16"/>
  <c r="E23" i="16"/>
  <c r="F22" i="16"/>
  <c r="E22" i="16"/>
  <c r="F21" i="16"/>
  <c r="E21" i="16"/>
  <c r="F20" i="16"/>
  <c r="G25" i="16" s="1"/>
  <c r="E18" i="16"/>
  <c r="F18" i="16" s="1"/>
  <c r="E17" i="16"/>
  <c r="F17" i="16" s="1"/>
  <c r="F16" i="16"/>
  <c r="F15" i="16"/>
  <c r="E15" i="16"/>
  <c r="E14" i="16"/>
  <c r="F14" i="16" s="1"/>
  <c r="G18" i="16" s="1"/>
  <c r="F11" i="16"/>
  <c r="G11" i="16" s="1"/>
  <c r="H11" i="16" s="1"/>
  <c r="H14" i="16" s="1"/>
  <c r="H15" i="16" s="1"/>
  <c r="H16" i="16" s="1"/>
  <c r="H17" i="16" s="1"/>
  <c r="H18" i="16" s="1"/>
  <c r="H20" i="16" s="1"/>
  <c r="H22" i="16" s="1"/>
  <c r="H23" i="16" s="1"/>
  <c r="H25" i="16" s="1"/>
  <c r="H27" i="16" s="1"/>
  <c r="H28" i="16" s="1"/>
  <c r="H29" i="16" s="1"/>
  <c r="H30" i="16" s="1"/>
  <c r="H32" i="16" s="1"/>
  <c r="H33" i="16" s="1"/>
  <c r="H34" i="16" s="1"/>
  <c r="F141" i="15"/>
  <c r="F142" i="15" s="1"/>
  <c r="F143" i="15" s="1"/>
  <c r="F144" i="15" s="1"/>
  <c r="F145" i="15" s="1"/>
  <c r="E101" i="15"/>
  <c r="F91" i="15"/>
  <c r="F92" i="15" s="1"/>
  <c r="F93" i="15" s="1"/>
  <c r="F94" i="15" s="1"/>
  <c r="F95" i="15" s="1"/>
  <c r="F96" i="15" s="1"/>
  <c r="F99" i="15" s="1"/>
  <c r="F100" i="15" s="1"/>
  <c r="F35" i="15"/>
  <c r="F36" i="15" s="1"/>
  <c r="F37" i="15" s="1"/>
  <c r="F38" i="15" s="1"/>
  <c r="F39" i="15" s="1"/>
  <c r="F6" i="15"/>
  <c r="F7" i="15" s="1"/>
  <c r="F8" i="15" s="1"/>
  <c r="F9" i="15" s="1"/>
  <c r="F10" i="15" s="1"/>
  <c r="F11" i="15" s="1"/>
  <c r="F12" i="15" s="1"/>
  <c r="F13" i="15" s="1"/>
  <c r="F14" i="15" s="1"/>
  <c r="F15" i="15" s="1"/>
  <c r="F16" i="15" s="1"/>
  <c r="F17" i="15" s="1"/>
  <c r="F18" i="15" s="1"/>
  <c r="F19" i="15" s="1"/>
  <c r="F20" i="15" s="1"/>
  <c r="F21" i="15" s="1"/>
  <c r="F22" i="15" s="1"/>
  <c r="F23" i="15" s="1"/>
  <c r="F24" i="15" s="1"/>
  <c r="F25" i="15" s="1"/>
  <c r="F26" i="15" s="1"/>
  <c r="F27" i="15" s="1"/>
  <c r="F28" i="15" s="1"/>
  <c r="F29" i="15" s="1"/>
  <c r="F30" i="15" s="1"/>
  <c r="F31" i="15" s="1"/>
  <c r="F32" i="15" s="1"/>
  <c r="F33" i="15" s="1"/>
  <c r="E162" i="14"/>
  <c r="E163" i="14" s="1"/>
  <c r="E127" i="14"/>
  <c r="G126" i="14"/>
  <c r="E126" i="14"/>
  <c r="E125" i="14"/>
  <c r="G133" i="14"/>
  <c r="E133" i="14"/>
  <c r="N3" i="2" s="1"/>
  <c r="G132" i="14"/>
  <c r="E132" i="14"/>
  <c r="G131" i="14"/>
  <c r="E131" i="14"/>
  <c r="G130" i="14"/>
  <c r="E130" i="14"/>
  <c r="E122" i="14"/>
  <c r="G121" i="14"/>
  <c r="E121" i="14"/>
  <c r="E118" i="14"/>
  <c r="G117" i="14"/>
  <c r="E117" i="14"/>
  <c r="E82" i="14"/>
  <c r="E10" i="14" s="1"/>
  <c r="G10" i="14" s="1"/>
  <c r="E67" i="14"/>
  <c r="E9" i="14" s="1"/>
  <c r="G9" i="14" s="1"/>
  <c r="E58" i="14"/>
  <c r="E57" i="14"/>
  <c r="E56" i="14"/>
  <c r="E55" i="14"/>
  <c r="E54" i="14"/>
  <c r="G13" i="14"/>
  <c r="G12" i="14"/>
  <c r="H4" i="14"/>
  <c r="H5" i="14" s="1"/>
  <c r="H6" i="14" s="1"/>
  <c r="H7" i="14" s="1"/>
  <c r="H8" i="14" s="1"/>
  <c r="D2" i="14"/>
  <c r="B3" i="2" s="1"/>
  <c r="E52" i="13"/>
  <c r="E8" i="13" s="1"/>
  <c r="G8" i="13" s="1"/>
  <c r="E37" i="13"/>
  <c r="E7" i="13" s="1"/>
  <c r="H4" i="13"/>
  <c r="H5" i="13" s="1"/>
  <c r="H6" i="13" s="1"/>
  <c r="F2" i="13"/>
  <c r="E4" i="2" s="1"/>
  <c r="D2" i="13"/>
  <c r="B4" i="2" s="1"/>
  <c r="E9" i="12"/>
  <c r="G9" i="12" s="1"/>
  <c r="E10" i="12"/>
  <c r="G10" i="12" s="1"/>
  <c r="H4" i="12"/>
  <c r="H5" i="12" s="1"/>
  <c r="H6" i="12" s="1"/>
  <c r="H7" i="12" s="1"/>
  <c r="H8" i="12" s="1"/>
  <c r="F2" i="12"/>
  <c r="E5" i="2" s="1"/>
  <c r="D2" i="12"/>
  <c r="B5" i="2" s="1"/>
  <c r="E7" i="11"/>
  <c r="E8" i="11"/>
  <c r="G8" i="11" s="1"/>
  <c r="F2" i="11"/>
  <c r="E6" i="2" s="1"/>
  <c r="D2" i="11"/>
  <c r="B6" i="2" s="1"/>
  <c r="E56" i="10"/>
  <c r="E9" i="10" s="1"/>
  <c r="G9" i="10" s="1"/>
  <c r="E7" i="10"/>
  <c r="H4" i="10"/>
  <c r="H5" i="10" s="1"/>
  <c r="H6" i="10" s="1"/>
  <c r="F2" i="10"/>
  <c r="E7" i="2" s="1"/>
  <c r="D2" i="10"/>
  <c r="B7" i="2" s="1"/>
  <c r="E8" i="9"/>
  <c r="G8" i="9" s="1"/>
  <c r="H4" i="9"/>
  <c r="F2" i="9"/>
  <c r="E8" i="2" s="1"/>
  <c r="D2" i="9"/>
  <c r="B8" i="2" s="1"/>
  <c r="E8" i="8"/>
  <c r="G8" i="8" s="1"/>
  <c r="E7" i="8"/>
  <c r="H4" i="8"/>
  <c r="H5" i="8" s="1"/>
  <c r="H6" i="8" s="1"/>
  <c r="F2" i="8"/>
  <c r="E9" i="2" s="1"/>
  <c r="D2" i="8"/>
  <c r="B9" i="2" s="1"/>
  <c r="E50" i="7"/>
  <c r="E8" i="7" s="1"/>
  <c r="G8" i="7" s="1"/>
  <c r="E35" i="7"/>
  <c r="E7" i="7" s="1"/>
  <c r="H4" i="7"/>
  <c r="H5" i="7" s="1"/>
  <c r="H6" i="7" s="1"/>
  <c r="F2" i="7"/>
  <c r="D2" i="7"/>
  <c r="E54" i="6"/>
  <c r="E8" i="6" s="1"/>
  <c r="G8" i="6" s="1"/>
  <c r="E39" i="6"/>
  <c r="E7" i="6" s="1"/>
  <c r="H4" i="6"/>
  <c r="H5" i="6" s="1"/>
  <c r="H6" i="6" s="1"/>
  <c r="F2" i="6"/>
  <c r="D2" i="6"/>
  <c r="E54" i="5"/>
  <c r="E8" i="5" s="1"/>
  <c r="G8" i="5" s="1"/>
  <c r="E39" i="5"/>
  <c r="E7" i="5" s="1"/>
  <c r="G7" i="5" s="1"/>
  <c r="G2" i="5" s="1"/>
  <c r="H5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4" i="5"/>
  <c r="F2" i="5"/>
  <c r="E2" i="5"/>
  <c r="C12" i="2" s="1"/>
  <c r="D2" i="5"/>
  <c r="B12" i="2" s="1"/>
  <c r="E54" i="4"/>
  <c r="E8" i="4" s="1"/>
  <c r="G8" i="4" s="1"/>
  <c r="E39" i="4"/>
  <c r="E7" i="4"/>
  <c r="G7" i="4" s="1"/>
  <c r="H4" i="4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G2" i="4"/>
  <c r="F13" i="2" s="1"/>
  <c r="F2" i="4"/>
  <c r="E13" i="2" s="1"/>
  <c r="D2" i="4"/>
  <c r="E54" i="3"/>
  <c r="E39" i="3"/>
  <c r="E7" i="3" s="1"/>
  <c r="G7" i="3" s="1"/>
  <c r="G2" i="3" s="1"/>
  <c r="E8" i="3"/>
  <c r="G8" i="3" s="1"/>
  <c r="H4" i="3"/>
  <c r="H5" i="3" s="1"/>
  <c r="H6" i="3" s="1"/>
  <c r="F2" i="3"/>
  <c r="D2" i="3"/>
  <c r="C25" i="2"/>
  <c r="D24" i="2"/>
  <c r="D23" i="2"/>
  <c r="B23" i="2"/>
  <c r="B24" i="2" s="1"/>
  <c r="E19" i="2"/>
  <c r="M7" i="2" s="1"/>
  <c r="E18" i="2"/>
  <c r="M6" i="2" s="1"/>
  <c r="N16" i="2"/>
  <c r="J15" i="2"/>
  <c r="J16" i="2" s="1"/>
  <c r="N14" i="2"/>
  <c r="L14" i="2"/>
  <c r="K14" i="2"/>
  <c r="E14" i="2"/>
  <c r="B14" i="2"/>
  <c r="N13" i="2"/>
  <c r="K13" i="2"/>
  <c r="L13" i="2" s="1"/>
  <c r="B13" i="2"/>
  <c r="N12" i="2"/>
  <c r="K12" i="2"/>
  <c r="L12" i="2" s="1"/>
  <c r="E12" i="2"/>
  <c r="N11" i="2"/>
  <c r="K11" i="2"/>
  <c r="K15" i="2" s="1"/>
  <c r="K16" i="2" s="1"/>
  <c r="E11" i="2"/>
  <c r="B11" i="2"/>
  <c r="N10" i="2"/>
  <c r="M10" i="2"/>
  <c r="E10" i="2"/>
  <c r="B10" i="2"/>
  <c r="N9" i="2"/>
  <c r="L9" i="2"/>
  <c r="K9" i="2"/>
  <c r="N8" i="2"/>
  <c r="M8" i="2"/>
  <c r="N7" i="2"/>
  <c r="N6" i="2"/>
  <c r="N5" i="2"/>
  <c r="M5" i="2"/>
  <c r="L4" i="2"/>
  <c r="K4" i="2"/>
  <c r="M3" i="2"/>
  <c r="N2" i="2"/>
  <c r="L2" i="2"/>
  <c r="F49" i="1"/>
  <c r="F50" i="1" s="1"/>
  <c r="F51" i="1" s="1"/>
  <c r="F52" i="1" s="1"/>
  <c r="F53" i="1" s="1"/>
  <c r="D146" i="9" l="1"/>
  <c r="H5" i="9"/>
  <c r="H6" i="9" s="1"/>
  <c r="E2" i="10"/>
  <c r="C7" i="2" s="1"/>
  <c r="G138" i="11"/>
  <c r="H136" i="11"/>
  <c r="J171" i="12"/>
  <c r="J170" i="12"/>
  <c r="M170" i="12" s="1"/>
  <c r="G2" i="12"/>
  <c r="F15" i="1"/>
  <c r="F16" i="1" s="1"/>
  <c r="F18" i="1" s="1"/>
  <c r="I133" i="12"/>
  <c r="I118" i="14"/>
  <c r="H9" i="12"/>
  <c r="H10" i="12" s="1"/>
  <c r="H11" i="12" s="1"/>
  <c r="I173" i="12"/>
  <c r="J168" i="12"/>
  <c r="J167" i="12"/>
  <c r="M167" i="12" s="1"/>
  <c r="H143" i="12"/>
  <c r="G117" i="12"/>
  <c r="G151" i="12"/>
  <c r="H144" i="12"/>
  <c r="H149" i="12" s="1"/>
  <c r="E2" i="11"/>
  <c r="C6" i="2" s="1"/>
  <c r="I158" i="13"/>
  <c r="D76" i="14"/>
  <c r="I155" i="13"/>
  <c r="F154" i="13"/>
  <c r="G154" i="13" s="1"/>
  <c r="I157" i="13"/>
  <c r="E131" i="13"/>
  <c r="I130" i="13"/>
  <c r="E137" i="13"/>
  <c r="I133" i="13"/>
  <c r="I123" i="13"/>
  <c r="I124" i="13"/>
  <c r="G122" i="13"/>
  <c r="I122" i="13" s="1"/>
  <c r="F148" i="13"/>
  <c r="G148" i="13" s="1"/>
  <c r="I148" i="13" s="1"/>
  <c r="I135" i="13"/>
  <c r="G160" i="13"/>
  <c r="I134" i="13"/>
  <c r="I129" i="13"/>
  <c r="H131" i="13"/>
  <c r="I125" i="13"/>
  <c r="I136" i="13"/>
  <c r="I151" i="13"/>
  <c r="E126" i="13"/>
  <c r="I152" i="13"/>
  <c r="I128" i="13"/>
  <c r="H130" i="13"/>
  <c r="F5" i="2"/>
  <c r="E2" i="7"/>
  <c r="C10" i="2" s="1"/>
  <c r="E2" i="9"/>
  <c r="C8" i="2" s="1"/>
  <c r="G2" i="9"/>
  <c r="F8" i="2" s="1"/>
  <c r="G7" i="11"/>
  <c r="H7" i="11" s="1"/>
  <c r="H8" i="11" s="1"/>
  <c r="H9" i="11" s="1"/>
  <c r="H10" i="11" s="1"/>
  <c r="H11" i="11" s="1"/>
  <c r="H12" i="11" s="1"/>
  <c r="I130" i="14"/>
  <c r="I120" i="14"/>
  <c r="I131" i="14"/>
  <c r="I132" i="14"/>
  <c r="I122" i="14"/>
  <c r="I127" i="14"/>
  <c r="I133" i="14"/>
  <c r="I121" i="14"/>
  <c r="I125" i="14"/>
  <c r="I126" i="14"/>
  <c r="I117" i="14"/>
  <c r="H9" i="14"/>
  <c r="H10" i="14" s="1"/>
  <c r="H11" i="14" s="1"/>
  <c r="H12" i="14" s="1"/>
  <c r="H13" i="14" s="1"/>
  <c r="H14" i="14" s="1"/>
  <c r="H15" i="14" s="1"/>
  <c r="H16" i="14" s="1"/>
  <c r="H17" i="14" s="1"/>
  <c r="G2" i="14"/>
  <c r="F3" i="2" s="1"/>
  <c r="G3" i="2" s="1"/>
  <c r="E2" i="14"/>
  <c r="C3" i="2" s="1"/>
  <c r="F101" i="15"/>
  <c r="F102" i="15" s="1"/>
  <c r="F103" i="15" s="1"/>
  <c r="F104" i="15" s="1"/>
  <c r="F105" i="15" s="1"/>
  <c r="F106" i="15" s="1"/>
  <c r="F107" i="15" s="1"/>
  <c r="E123" i="14"/>
  <c r="F119" i="14"/>
  <c r="F145" i="14" s="1"/>
  <c r="G145" i="14" s="1"/>
  <c r="I145" i="14" s="1"/>
  <c r="E134" i="14"/>
  <c r="E59" i="14"/>
  <c r="F53" i="14" s="1"/>
  <c r="F54" i="14" s="1"/>
  <c r="F55" i="14" s="1"/>
  <c r="F56" i="14" s="1"/>
  <c r="F57" i="14" s="1"/>
  <c r="F58" i="14" s="1"/>
  <c r="E129" i="34"/>
  <c r="H34" i="34"/>
  <c r="H35" i="34" s="1"/>
  <c r="H13" i="20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37" i="20"/>
  <c r="B15" i="17"/>
  <c r="F146" i="15"/>
  <c r="A127" i="20"/>
  <c r="A128" i="20" s="1"/>
  <c r="A129" i="20" s="1"/>
  <c r="A130" i="20"/>
  <c r="A131" i="20" s="1"/>
  <c r="A132" i="20" s="1"/>
  <c r="A133" i="20" s="1"/>
  <c r="A120" i="21"/>
  <c r="A121" i="21" s="1"/>
  <c r="A122" i="21" s="1"/>
  <c r="A123" i="21" s="1"/>
  <c r="A117" i="21"/>
  <c r="A118" i="21" s="1"/>
  <c r="A119" i="21" s="1"/>
  <c r="E111" i="26"/>
  <c r="N6" i="17" s="1"/>
  <c r="E129" i="26"/>
  <c r="E101" i="21"/>
  <c r="N11" i="17" s="1"/>
  <c r="E126" i="21"/>
  <c r="L11" i="2"/>
  <c r="H13" i="19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E137" i="19"/>
  <c r="H7" i="3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B15" i="46"/>
  <c r="E2" i="8"/>
  <c r="C9" i="2" s="1"/>
  <c r="G7" i="8"/>
  <c r="G2" i="8" s="1"/>
  <c r="F9" i="2" s="1"/>
  <c r="E3" i="17"/>
  <c r="F14" i="2"/>
  <c r="H2" i="3"/>
  <c r="J64" i="16"/>
  <c r="A116" i="19"/>
  <c r="A119" i="19" s="1"/>
  <c r="A120" i="19" s="1"/>
  <c r="A121" i="19" s="1"/>
  <c r="A122" i="19" s="1"/>
  <c r="A117" i="19" s="1"/>
  <c r="A124" i="19" s="1"/>
  <c r="A125" i="19" s="1"/>
  <c r="A126" i="19" s="1"/>
  <c r="A115" i="19"/>
  <c r="A118" i="19" s="1"/>
  <c r="E123" i="42"/>
  <c r="B120" i="17"/>
  <c r="B128" i="17"/>
  <c r="B129" i="17" s="1"/>
  <c r="B130" i="17" s="1"/>
  <c r="B131" i="17" s="1"/>
  <c r="B132" i="17" s="1"/>
  <c r="E107" i="15"/>
  <c r="E122" i="15" s="1"/>
  <c r="E40" i="15"/>
  <c r="I6" i="32"/>
  <c r="F43" i="32"/>
  <c r="E43" i="32" s="1"/>
  <c r="F40" i="15"/>
  <c r="F41" i="15" s="1"/>
  <c r="F42" i="15" s="1"/>
  <c r="F43" i="15" s="1"/>
  <c r="F44" i="15" s="1"/>
  <c r="F45" i="15" s="1"/>
  <c r="F46" i="15" s="1"/>
  <c r="F47" i="15" s="1"/>
  <c r="F48" i="15" s="1"/>
  <c r="F49" i="15" s="1"/>
  <c r="F50" i="15" s="1"/>
  <c r="F51" i="15" s="1"/>
  <c r="F59" i="15" s="1"/>
  <c r="C58" i="15" s="1"/>
  <c r="E15" i="46"/>
  <c r="G3" i="46"/>
  <c r="E42" i="32"/>
  <c r="E44" i="32" s="1"/>
  <c r="D42" i="32"/>
  <c r="H2" i="39"/>
  <c r="E9" i="30"/>
  <c r="E2" i="13"/>
  <c r="C4" i="2" s="1"/>
  <c r="G7" i="13"/>
  <c r="G2" i="13" s="1"/>
  <c r="H2" i="47"/>
  <c r="E121" i="39"/>
  <c r="H14" i="39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E2" i="25"/>
  <c r="C7" i="17" s="1"/>
  <c r="F42" i="32"/>
  <c r="H2" i="4"/>
  <c r="G7" i="6"/>
  <c r="G2" i="6" s="1"/>
  <c r="F11" i="2" s="1"/>
  <c r="E2" i="6"/>
  <c r="C11" i="2" s="1"/>
  <c r="L15" i="30"/>
  <c r="A124" i="34"/>
  <c r="A125" i="34" s="1"/>
  <c r="A126" i="34" s="1"/>
  <c r="A127" i="34" s="1"/>
  <c r="A128" i="34" s="1"/>
  <c r="A116" i="34"/>
  <c r="E123" i="44"/>
  <c r="F12" i="46"/>
  <c r="H2" i="49"/>
  <c r="F193" i="18"/>
  <c r="G5" i="18"/>
  <c r="G2" i="18" s="1"/>
  <c r="E29" i="33"/>
  <c r="E111" i="35"/>
  <c r="N13" i="30" s="1"/>
  <c r="E125" i="35"/>
  <c r="E13" i="17"/>
  <c r="G7" i="7"/>
  <c r="G2" i="7" s="1"/>
  <c r="H128" i="14"/>
  <c r="H127" i="14"/>
  <c r="E111" i="43"/>
  <c r="N5" i="30" s="1"/>
  <c r="E123" i="43"/>
  <c r="E2" i="3"/>
  <c r="C14" i="2" s="1"/>
  <c r="F10" i="46"/>
  <c r="H2" i="51"/>
  <c r="A128" i="24"/>
  <c r="A127" i="24"/>
  <c r="H2" i="45"/>
  <c r="E120" i="45" s="1"/>
  <c r="E122" i="45" s="1"/>
  <c r="E3" i="30"/>
  <c r="I11" i="33"/>
  <c r="I10" i="33" s="1"/>
  <c r="I9" i="33" s="1"/>
  <c r="I8" i="33" s="1"/>
  <c r="I5" i="32" s="1"/>
  <c r="E2" i="21"/>
  <c r="C11" i="17" s="1"/>
  <c r="G6" i="21"/>
  <c r="G2" i="21" s="1"/>
  <c r="M15" i="2"/>
  <c r="M16" i="2" s="1"/>
  <c r="H9" i="36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2" i="41"/>
  <c r="A115" i="20"/>
  <c r="A118" i="20" s="1"/>
  <c r="A132" i="29"/>
  <c r="A133" i="29"/>
  <c r="A134" i="29" s="1"/>
  <c r="A135" i="29" s="1"/>
  <c r="H7" i="6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E15" i="2"/>
  <c r="L9" i="17"/>
  <c r="L15" i="17" s="1"/>
  <c r="K15" i="17"/>
  <c r="K16" i="17" s="1"/>
  <c r="E2" i="19"/>
  <c r="C13" i="17" s="1"/>
  <c r="E157" i="23"/>
  <c r="A110" i="25"/>
  <c r="A111" i="25"/>
  <c r="E10" i="30"/>
  <c r="H2" i="38"/>
  <c r="G7" i="10"/>
  <c r="F4" i="46"/>
  <c r="H2" i="57"/>
  <c r="H2" i="5"/>
  <c r="F12" i="2"/>
  <c r="C15" i="46"/>
  <c r="C16" i="46" s="1"/>
  <c r="E138" i="29"/>
  <c r="E2" i="38"/>
  <c r="C10" i="30" s="1"/>
  <c r="F183" i="18"/>
  <c r="H182" i="18"/>
  <c r="G195" i="18"/>
  <c r="G165" i="18"/>
  <c r="L15" i="2"/>
  <c r="E2" i="4"/>
  <c r="C13" i="2" s="1"/>
  <c r="E111" i="37"/>
  <c r="N11" i="30" s="1"/>
  <c r="H2" i="42"/>
  <c r="E121" i="42" s="1"/>
  <c r="E6" i="30"/>
  <c r="E54" i="26"/>
  <c r="E19" i="26"/>
  <c r="G19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H30" i="26" s="1"/>
  <c r="H31" i="26" s="1"/>
  <c r="H32" i="26" s="1"/>
  <c r="H33" i="26" s="1"/>
  <c r="H34" i="26" s="1"/>
  <c r="H35" i="26" s="1"/>
  <c r="H36" i="26" s="1"/>
  <c r="H37" i="26" s="1"/>
  <c r="H38" i="26" s="1"/>
  <c r="H39" i="26" s="1"/>
  <c r="H40" i="26" s="1"/>
  <c r="H41" i="26" s="1"/>
  <c r="H42" i="26" s="1"/>
  <c r="H43" i="26" s="1"/>
  <c r="H44" i="26" s="1"/>
  <c r="H45" i="26" s="1"/>
  <c r="E11" i="30"/>
  <c r="H2" i="37"/>
  <c r="H2" i="40"/>
  <c r="D5" i="46"/>
  <c r="D6" i="46" s="1"/>
  <c r="D7" i="46" s="1"/>
  <c r="D8" i="46" s="1"/>
  <c r="D9" i="46" s="1"/>
  <c r="D10" i="46" s="1"/>
  <c r="D11" i="46" s="1"/>
  <c r="D12" i="46" s="1"/>
  <c r="D13" i="46" s="1"/>
  <c r="D14" i="46" s="1"/>
  <c r="E125" i="18"/>
  <c r="N14" i="17" s="1"/>
  <c r="F131" i="28"/>
  <c r="M15" i="30"/>
  <c r="M16" i="30" s="1"/>
  <c r="E2" i="12"/>
  <c r="C5" i="2" s="1"/>
  <c r="E108" i="27"/>
  <c r="N5" i="17" s="1"/>
  <c r="E130" i="27"/>
  <c r="E133" i="28"/>
  <c r="E111" i="28"/>
  <c r="N4" i="17" s="1"/>
  <c r="G9" i="36"/>
  <c r="G2" i="36" s="1"/>
  <c r="E2" i="37"/>
  <c r="C11" i="30" s="1"/>
  <c r="H2" i="25"/>
  <c r="E122" i="25" s="1"/>
  <c r="G2" i="26"/>
  <c r="F6" i="17" s="1"/>
  <c r="K15" i="30"/>
  <c r="K16" i="30" s="1"/>
  <c r="E121" i="40"/>
  <c r="E123" i="40" s="1"/>
  <c r="H9" i="40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F54" i="1"/>
  <c r="D55" i="1"/>
  <c r="F55" i="1" s="1"/>
  <c r="F56" i="1" s="1"/>
  <c r="E20" i="2"/>
  <c r="B15" i="2"/>
  <c r="F143" i="18"/>
  <c r="E133" i="23"/>
  <c r="N9" i="17" s="1"/>
  <c r="G13" i="29"/>
  <c r="G2" i="29" s="1"/>
  <c r="F3" i="17" s="1"/>
  <c r="E2" i="29"/>
  <c r="C3" i="17" s="1"/>
  <c r="D3" i="17" s="1"/>
  <c r="E111" i="20"/>
  <c r="E124" i="36"/>
  <c r="E7" i="24"/>
  <c r="F65" i="24"/>
  <c r="C114" i="29"/>
  <c r="G60" i="31"/>
  <c r="E2" i="42"/>
  <c r="C6" i="30" s="1"/>
  <c r="E2" i="44"/>
  <c r="C4" i="30" s="1"/>
  <c r="G9" i="28"/>
  <c r="G2" i="28" s="1"/>
  <c r="E2" i="28"/>
  <c r="C4" i="17" s="1"/>
  <c r="D4" i="17" s="1"/>
  <c r="D5" i="17" s="1"/>
  <c r="F27" i="33"/>
  <c r="G2" i="34"/>
  <c r="F14" i="30" s="1"/>
  <c r="G4" i="46"/>
  <c r="G5" i="46" s="1"/>
  <c r="G6" i="46" s="1"/>
  <c r="G7" i="46" s="1"/>
  <c r="G8" i="46" s="1"/>
  <c r="G9" i="46" s="1"/>
  <c r="G10" i="46" s="1"/>
  <c r="G11" i="46" s="1"/>
  <c r="F133" i="18"/>
  <c r="E151" i="18"/>
  <c r="H7" i="27"/>
  <c r="E111" i="39"/>
  <c r="N9" i="30" s="1"/>
  <c r="E123" i="39"/>
  <c r="D147" i="15"/>
  <c r="F147" i="15" s="1"/>
  <c r="F148" i="15" s="1"/>
  <c r="E2" i="23"/>
  <c r="C9" i="17" s="1"/>
  <c r="G8" i="27"/>
  <c r="G2" i="27" s="1"/>
  <c r="E2" i="34"/>
  <c r="C14" i="30" s="1"/>
  <c r="E111" i="41"/>
  <c r="N7" i="30" s="1"/>
  <c r="N16" i="30" s="1"/>
  <c r="H2" i="54"/>
  <c r="D33" i="33"/>
  <c r="F33" i="33"/>
  <c r="F35" i="33" s="1"/>
  <c r="E2" i="40"/>
  <c r="C8" i="30" s="1"/>
  <c r="E125" i="22"/>
  <c r="N10" i="17" s="1"/>
  <c r="E149" i="22"/>
  <c r="E111" i="40"/>
  <c r="N8" i="30" s="1"/>
  <c r="E128" i="14"/>
  <c r="G8" i="35"/>
  <c r="G2" i="35" s="1"/>
  <c r="L15" i="46"/>
  <c r="H27" i="33"/>
  <c r="F34" i="33" s="1"/>
  <c r="E111" i="38"/>
  <c r="N10" i="30" s="1"/>
  <c r="H2" i="52"/>
  <c r="H2" i="22"/>
  <c r="E150" i="22" s="1"/>
  <c r="H7" i="38"/>
  <c r="H8" i="38" s="1"/>
  <c r="H9" i="38" s="1"/>
  <c r="H10" i="38" s="1"/>
  <c r="H11" i="38" s="1"/>
  <c r="H12" i="38" s="1"/>
  <c r="H13" i="38" s="1"/>
  <c r="B15" i="30"/>
  <c r="E123" i="41"/>
  <c r="E2" i="43"/>
  <c r="C5" i="30" s="1"/>
  <c r="H2" i="26"/>
  <c r="E130" i="26" s="1"/>
  <c r="E123" i="37"/>
  <c r="E2" i="39"/>
  <c r="C9" i="30" s="1"/>
  <c r="E118" i="24"/>
  <c r="N8" i="17" s="1"/>
  <c r="F146" i="9" l="1"/>
  <c r="D147" i="9"/>
  <c r="H7" i="9"/>
  <c r="H8" i="9" s="1"/>
  <c r="G2" i="10"/>
  <c r="F7" i="2" s="1"/>
  <c r="H7" i="10"/>
  <c r="F19" i="1"/>
  <c r="F21" i="1" s="1"/>
  <c r="F23" i="1" s="1"/>
  <c r="F25" i="1" s="1"/>
  <c r="F27" i="1" s="1"/>
  <c r="F110" i="15"/>
  <c r="F111" i="15" s="1"/>
  <c r="F112" i="15" s="1"/>
  <c r="F113" i="15" s="1"/>
  <c r="F114" i="15" s="1"/>
  <c r="F115" i="15" s="1"/>
  <c r="F116" i="15" s="1"/>
  <c r="E108" i="15"/>
  <c r="N16" i="17"/>
  <c r="H13" i="11"/>
  <c r="H14" i="11" s="1"/>
  <c r="H15" i="11" s="1"/>
  <c r="H16" i="11" s="1"/>
  <c r="H17" i="11" s="1"/>
  <c r="H18" i="11" s="1"/>
  <c r="H2" i="9"/>
  <c r="G2" i="11"/>
  <c r="F6" i="2" s="1"/>
  <c r="H12" i="12"/>
  <c r="H13" i="12" s="1"/>
  <c r="H14" i="12" s="1"/>
  <c r="H15" i="12" s="1"/>
  <c r="H18" i="14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137" i="13"/>
  <c r="H136" i="13"/>
  <c r="H7" i="13"/>
  <c r="H8" i="13" s="1"/>
  <c r="H9" i="13" s="1"/>
  <c r="H10" i="13" s="1"/>
  <c r="H11" i="13" s="1"/>
  <c r="H2" i="12"/>
  <c r="G145" i="13"/>
  <c r="H126" i="13"/>
  <c r="I154" i="13"/>
  <c r="H125" i="13"/>
  <c r="G112" i="13"/>
  <c r="I160" i="13"/>
  <c r="I126" i="13" s="1"/>
  <c r="H2" i="8"/>
  <c r="H2" i="14"/>
  <c r="G119" i="14"/>
  <c r="L16" i="17"/>
  <c r="L17" i="17"/>
  <c r="M18" i="17" s="1"/>
  <c r="G12" i="46"/>
  <c r="G13" i="46" s="1"/>
  <c r="G14" i="46" s="1"/>
  <c r="A113" i="25"/>
  <c r="A114" i="25" s="1"/>
  <c r="A115" i="25" s="1"/>
  <c r="A116" i="25" s="1"/>
  <c r="A117" i="25" s="1"/>
  <c r="A118" i="25" s="1"/>
  <c r="A112" i="25"/>
  <c r="F11" i="17"/>
  <c r="H2" i="21"/>
  <c r="E127" i="21" s="1"/>
  <c r="D44" i="32"/>
  <c r="F13" i="30"/>
  <c r="H2" i="35"/>
  <c r="A117" i="34"/>
  <c r="A118" i="34" s="1"/>
  <c r="A119" i="34" s="1"/>
  <c r="A120" i="34" s="1"/>
  <c r="A121" i="34" s="1"/>
  <c r="A122" i="34" s="1"/>
  <c r="A123" i="34"/>
  <c r="H9" i="28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3" i="17"/>
  <c r="E15" i="17"/>
  <c r="A129" i="24"/>
  <c r="A130" i="24"/>
  <c r="A131" i="24" s="1"/>
  <c r="A132" i="24" s="1"/>
  <c r="A133" i="24" s="1"/>
  <c r="A134" i="24" s="1"/>
  <c r="A135" i="24" s="1"/>
  <c r="H14" i="38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E121" i="38"/>
  <c r="E123" i="38" s="1"/>
  <c r="D49" i="32"/>
  <c r="F49" i="32" s="1"/>
  <c r="D43" i="32"/>
  <c r="H5" i="18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2" i="27"/>
  <c r="E131" i="27" s="1"/>
  <c r="F5" i="17"/>
  <c r="F44" i="32"/>
  <c r="B16" i="46"/>
  <c r="D15" i="46"/>
  <c r="H2" i="28"/>
  <c r="E134" i="28" s="1"/>
  <c r="F4" i="17"/>
  <c r="C15" i="30"/>
  <c r="C16" i="30" s="1"/>
  <c r="B16" i="30"/>
  <c r="D15" i="30"/>
  <c r="B16" i="17"/>
  <c r="G7" i="24"/>
  <c r="E2" i="24"/>
  <c r="C8" i="17" s="1"/>
  <c r="D8" i="17" s="1"/>
  <c r="D9" i="17" s="1"/>
  <c r="D10" i="17" s="1"/>
  <c r="D11" i="17" s="1"/>
  <c r="D12" i="17" s="1"/>
  <c r="D13" i="17" s="1"/>
  <c r="D14" i="17" s="1"/>
  <c r="G3" i="30"/>
  <c r="G4" i="30" s="1"/>
  <c r="G5" i="30" s="1"/>
  <c r="E15" i="30"/>
  <c r="H2" i="29"/>
  <c r="E136" i="29" s="1"/>
  <c r="H2" i="34"/>
  <c r="L16" i="30"/>
  <c r="M17" i="30"/>
  <c r="M18" i="30" s="1"/>
  <c r="I7" i="32"/>
  <c r="H7" i="8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B127" i="17"/>
  <c r="B121" i="17"/>
  <c r="B122" i="17" s="1"/>
  <c r="B123" i="17" s="1"/>
  <c r="B124" i="17" s="1"/>
  <c r="B125" i="17" s="1"/>
  <c r="B126" i="17" s="1"/>
  <c r="B16" i="2"/>
  <c r="F14" i="17"/>
  <c r="H2" i="18"/>
  <c r="F15" i="46"/>
  <c r="F16" i="46" s="1"/>
  <c r="C15" i="2"/>
  <c r="C16" i="2" s="1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H2" i="6"/>
  <c r="E2" i="26"/>
  <c r="C6" i="17" s="1"/>
  <c r="D6" i="17" s="1"/>
  <c r="D7" i="17" s="1"/>
  <c r="H8" i="27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F10" i="2"/>
  <c r="H2" i="7"/>
  <c r="F4" i="2"/>
  <c r="H2" i="13"/>
  <c r="L16" i="2"/>
  <c r="L17" i="2"/>
  <c r="M18" i="2" s="1"/>
  <c r="H6" i="2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E16" i="2"/>
  <c r="E16" i="46"/>
  <c r="D4" i="30"/>
  <c r="D5" i="30" s="1"/>
  <c r="D6" i="30" s="1"/>
  <c r="D7" i="30" s="1"/>
  <c r="D8" i="30" s="1"/>
  <c r="D9" i="30" s="1"/>
  <c r="D10" i="30" s="1"/>
  <c r="D11" i="30" s="1"/>
  <c r="D12" i="30" s="1"/>
  <c r="D13" i="30" s="1"/>
  <c r="D14" i="30" s="1"/>
  <c r="E34" i="33"/>
  <c r="D39" i="33"/>
  <c r="F39" i="33" s="1"/>
  <c r="G6" i="30"/>
  <c r="G7" i="30" s="1"/>
  <c r="G8" i="30" s="1"/>
  <c r="G9" i="30" s="1"/>
  <c r="G10" i="30" s="1"/>
  <c r="G11" i="30" s="1"/>
  <c r="H13" i="29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H42" i="29" s="1"/>
  <c r="H43" i="29" s="1"/>
  <c r="H44" i="29" s="1"/>
  <c r="H45" i="29" s="1"/>
  <c r="L16" i="46"/>
  <c r="N12" i="46"/>
  <c r="N13" i="46" s="1"/>
  <c r="H2" i="36"/>
  <c r="F12" i="30"/>
  <c r="H8" i="35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E123" i="35" s="1"/>
  <c r="H7" i="7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A130" i="19"/>
  <c r="A131" i="19" s="1"/>
  <c r="A132" i="19" s="1"/>
  <c r="A133" i="19" s="1"/>
  <c r="A127" i="19"/>
  <c r="A128" i="19" s="1"/>
  <c r="A129" i="19" s="1"/>
  <c r="H9" i="9" l="1"/>
  <c r="D148" i="9"/>
  <c r="F147" i="9"/>
  <c r="H8" i="10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" i="10"/>
  <c r="F60" i="15"/>
  <c r="F61" i="15" s="1"/>
  <c r="F62" i="15" s="1"/>
  <c r="F63" i="15" s="1"/>
  <c r="F65" i="15" s="1"/>
  <c r="F66" i="15" s="1"/>
  <c r="F68" i="15" s="1"/>
  <c r="F69" i="15" s="1"/>
  <c r="F71" i="15" s="1"/>
  <c r="F72" i="15" s="1"/>
  <c r="F73" i="15" s="1"/>
  <c r="F75" i="15" s="1"/>
  <c r="F77" i="15" s="1"/>
  <c r="F78" i="15" s="1"/>
  <c r="F79" i="15" s="1"/>
  <c r="F80" i="15" s="1"/>
  <c r="F81" i="15" s="1"/>
  <c r="F82" i="15" s="1"/>
  <c r="F83" i="15" s="1"/>
  <c r="F84" i="15" s="1"/>
  <c r="H19" i="1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16" i="12"/>
  <c r="H17" i="12" s="1"/>
  <c r="H2" i="11"/>
  <c r="I119" i="14"/>
  <c r="I123" i="14" s="1"/>
  <c r="G142" i="14"/>
  <c r="H12" i="13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H31" i="13" s="1"/>
  <c r="H32" i="13" s="1"/>
  <c r="I166" i="13"/>
  <c r="H143" i="13"/>
  <c r="H134" i="14"/>
  <c r="H133" i="14"/>
  <c r="H122" i="14"/>
  <c r="G107" i="14"/>
  <c r="H123" i="14"/>
  <c r="H7" i="24"/>
  <c r="H8" i="24" s="1"/>
  <c r="H9" i="24" s="1"/>
  <c r="H10" i="24" s="1"/>
  <c r="H11" i="24" s="1"/>
  <c r="H12" i="24" s="1"/>
  <c r="H13" i="24" s="1"/>
  <c r="H14" i="24" s="1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H31" i="24" s="1"/>
  <c r="H32" i="24" s="1"/>
  <c r="H33" i="24" s="1"/>
  <c r="H34" i="24" s="1"/>
  <c r="G2" i="24"/>
  <c r="D40" i="33"/>
  <c r="F40" i="33" s="1"/>
  <c r="D34" i="33"/>
  <c r="D35" i="33" s="1"/>
  <c r="E35" i="33"/>
  <c r="C15" i="17"/>
  <c r="E8" i="32"/>
  <c r="E9" i="32" s="1"/>
  <c r="E10" i="32" s="1"/>
  <c r="E11" i="32" s="1"/>
  <c r="E12" i="32" s="1"/>
  <c r="E13" i="32" s="1"/>
  <c r="E14" i="32" s="1"/>
  <c r="E15" i="32" s="1"/>
  <c r="E16" i="32" s="1"/>
  <c r="E17" i="32" s="1"/>
  <c r="E18" i="32" s="1"/>
  <c r="E19" i="32" s="1"/>
  <c r="I8" i="32"/>
  <c r="I9" i="32" s="1"/>
  <c r="I10" i="32" s="1"/>
  <c r="I11" i="32" s="1"/>
  <c r="I12" i="32" s="1"/>
  <c r="I13" i="32" s="1"/>
  <c r="I14" i="32" s="1"/>
  <c r="I15" i="32" s="1"/>
  <c r="I16" i="32" s="1"/>
  <c r="I17" i="32" s="1"/>
  <c r="I18" i="32" s="1"/>
  <c r="I19" i="32" s="1"/>
  <c r="E16" i="17"/>
  <c r="G4" i="17"/>
  <c r="G4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F15" i="2"/>
  <c r="G15" i="46"/>
  <c r="G16" i="46" s="1"/>
  <c r="G13" i="30"/>
  <c r="G14" i="30" s="1"/>
  <c r="G5" i="17"/>
  <c r="G6" i="17" s="1"/>
  <c r="G7" i="17" s="1"/>
  <c r="D15" i="2"/>
  <c r="E16" i="30"/>
  <c r="F15" i="30"/>
  <c r="F16" i="30" s="1"/>
  <c r="G12" i="30"/>
  <c r="H10" i="9" l="1"/>
  <c r="H11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32" i="9" s="1"/>
  <c r="F148" i="9"/>
  <c r="D149" i="9"/>
  <c r="H18" i="12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H32" i="12" s="1"/>
  <c r="H33" i="12" s="1"/>
  <c r="H34" i="12" s="1"/>
  <c r="H35" i="12" s="1"/>
  <c r="H36" i="12" s="1"/>
  <c r="H37" i="12" s="1"/>
  <c r="H140" i="14"/>
  <c r="C16" i="17"/>
  <c r="D15" i="17"/>
  <c r="F8" i="17"/>
  <c r="H2" i="24"/>
  <c r="E139" i="24" s="1"/>
  <c r="G15" i="30"/>
  <c r="G16" i="30" s="1"/>
  <c r="F16" i="2"/>
  <c r="G15" i="2"/>
  <c r="G16" i="2" s="1"/>
  <c r="D150" i="9" l="1"/>
  <c r="F149" i="9"/>
  <c r="F117" i="15"/>
  <c r="F118" i="15" s="1"/>
  <c r="G8" i="17"/>
  <c r="G9" i="17" s="1"/>
  <c r="G10" i="17" s="1"/>
  <c r="G11" i="17" s="1"/>
  <c r="G12" i="17" s="1"/>
  <c r="G13" i="17" s="1"/>
  <c r="G14" i="17" s="1"/>
  <c r="F15" i="17"/>
  <c r="F150" i="9" l="1"/>
  <c r="D151" i="9"/>
  <c r="F16" i="17"/>
  <c r="G15" i="17"/>
  <c r="G16" i="17" s="1"/>
  <c r="D152" i="9" l="1"/>
  <c r="F151" i="9"/>
  <c r="F152" i="9" l="1"/>
  <c r="D153" i="9"/>
  <c r="D154" i="9" l="1"/>
  <c r="F153" i="9"/>
  <c r="F154" i="9" l="1"/>
  <c r="D155" i="9"/>
  <c r="D156" i="9" l="1"/>
  <c r="F155" i="9"/>
  <c r="F156" i="9" l="1"/>
  <c r="D157" i="9"/>
  <c r="F157" i="9" l="1"/>
  <c r="D158" i="9"/>
  <c r="F158" i="9" l="1"/>
  <c r="D159" i="9"/>
  <c r="D160" i="9" l="1"/>
  <c r="F159" i="9"/>
  <c r="F160" i="9" l="1"/>
  <c r="D161" i="9"/>
  <c r="D162" i="9" l="1"/>
  <c r="F161" i="9"/>
  <c r="F162" i="9" l="1"/>
  <c r="D163" i="9"/>
  <c r="D164" i="9" l="1"/>
  <c r="F164" i="9" s="1"/>
  <c r="F163" i="9"/>
</calcChain>
</file>

<file path=xl/sharedStrings.xml><?xml version="1.0" encoding="utf-8"?>
<sst xmlns="http://schemas.openxmlformats.org/spreadsheetml/2006/main" count="4982" uniqueCount="1890">
  <si>
    <t>hesaba yazılmayan</t>
  </si>
  <si>
    <t>hacı ödeme</t>
  </si>
  <si>
    <t>peri ödeme</t>
  </si>
  <si>
    <t>BAKİYE</t>
  </si>
  <si>
    <t>2023 den devir PERİ BORÇLU</t>
  </si>
  <si>
    <t>4 ad çeyrek *5000</t>
  </si>
  <si>
    <t>ÖDENECK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</si>
  <si>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</si>
  <si>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</si>
  <si>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</si>
  <si>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</si>
  <si>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</si>
  <si>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</si>
  <si>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</si>
  <si>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KALAN BAKİYE</t>
  </si>
  <si>
    <t>YASEMİN ARAÇ HESABI</t>
  </si>
  <si>
    <t>YASEMİN KAPORA</t>
  </si>
  <si>
    <t>YASEMİN UMUTTAN OKUL PARASINDAN</t>
  </si>
  <si>
    <t>YASEMİN OKUL PARASINDAN</t>
  </si>
  <si>
    <t>YASEMİN OKUL PARASI</t>
  </si>
  <si>
    <t>DERSANE+ ÖDEME</t>
  </si>
  <si>
    <t>MAAŞTAN ÖDENECEK (okul parasından artan)</t>
  </si>
  <si>
    <t>TOPLAM  YASEMİNİN ARAÇ ÖDEMESİ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</si>
  <si>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</si>
  <si>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</si>
  <si>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</si>
  <si>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</si>
  <si>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</si>
  <si>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</si>
  <si>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</si>
  <si>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</si>
  <si>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</si>
  <si>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</si>
  <si>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</si>
  <si>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</si>
  <si>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</si>
  <si>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</si>
  <si>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</si>
  <si>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</si>
  <si>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</si>
  <si>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</si>
  <si>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</si>
  <si>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</si>
  <si>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</si>
  <si>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</si>
  <si>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</si>
  <si>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</si>
  <si>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</si>
  <si>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</si>
  <si>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</si>
  <si>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</si>
  <si>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</si>
  <si>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</si>
  <si>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</si>
  <si>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</si>
  <si>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</si>
  <si>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</si>
  <si>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</si>
  <si>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</si>
  <si>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</si>
  <si>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</si>
  <si>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</si>
  <si>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</si>
  <si>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23 maaş</t>
  </si>
  <si>
    <t>temmuz artış</t>
  </si>
  <si>
    <t>temmuz 23  maaş</t>
  </si>
  <si>
    <t xml:space="preserve"> - EKİM 2025</t>
  </si>
  <si>
    <t>TOPLAM</t>
  </si>
  <si>
    <t>KK 4876 İşbank</t>
  </si>
  <si>
    <t>KK 5165 Denizbank</t>
  </si>
  <si>
    <t>Aidat Marmara Royal Site 9/12</t>
  </si>
  <si>
    <t xml:space="preserve">Kira Adem Özen 7/12 Mrmr Ryl A Blok 82  </t>
  </si>
  <si>
    <t>Elektrik 9522138254 Sanayi</t>
  </si>
  <si>
    <t>Doğalgaz 800004222954 Kümbet D10</t>
  </si>
  <si>
    <t>Doğalgaz 800004222959 Kümbet D09</t>
  </si>
  <si>
    <t>Doğalgaz Marmara Royal Ablok D:82</t>
  </si>
  <si>
    <t>maaş</t>
  </si>
  <si>
    <t>yasemin</t>
  </si>
  <si>
    <t>umut</t>
  </si>
  <si>
    <t>Genel Masraf</t>
  </si>
  <si>
    <t>Elektrik 5847500300 Kümbet D09</t>
  </si>
  <si>
    <t>Elektrik 8222520300 Kümbet D10</t>
  </si>
  <si>
    <t>TUSDATA 2025    30/30        8845  -  8845 = 0</t>
  </si>
  <si>
    <t xml:space="preserve">İşbank 4876 KK                       </t>
  </si>
  <si>
    <t>HESAP KESİM</t>
  </si>
  <si>
    <t>Denizbank 5165 kk</t>
  </si>
  <si>
    <t>işkembe</t>
  </si>
  <si>
    <t xml:space="preserve"> - EYLÜL 2025</t>
  </si>
  <si>
    <t>TUSDATA 2025    29/30          17690    -  8845 = 8845</t>
  </si>
  <si>
    <t xml:space="preserve"> - AĞUSTOS 2025</t>
  </si>
  <si>
    <t>TUSDATA 2025    28/30         26535    -  8845 = 17690</t>
  </si>
  <si>
    <t xml:space="preserve"> - TEMMUZ 2025</t>
  </si>
  <si>
    <t>TUSDATA 2025    27/30        35380    -  8845 = 26535</t>
  </si>
  <si>
    <t xml:space="preserve"> - HAZİRAN 2025</t>
  </si>
  <si>
    <t>TUSDATA 2025    26/30        44225   -  8845 = 35380</t>
  </si>
  <si>
    <t xml:space="preserve"> - MAYIS 2025</t>
  </si>
  <si>
    <t>TUSDATA 2025    25/30      53070   -  8845 = 44225</t>
  </si>
  <si>
    <t xml:space="preserve"> - NİSAN 2025</t>
  </si>
  <si>
    <t>SANAYI BELEDIYE SAYC UCRETI</t>
  </si>
  <si>
    <t>TUSDATA 2025    24/30     61915  -  8845 = 53070</t>
  </si>
  <si>
    <t xml:space="preserve"> - MART 2025</t>
  </si>
  <si>
    <t xml:space="preserve"> 2024 / 8</t>
  </si>
  <si>
    <t>TUSDATA 2025    23/30    70760 -  8845 = 61915</t>
  </si>
  <si>
    <t xml:space="preserve"> - ŞUBAT 2025</t>
  </si>
  <si>
    <t>SnyB salih ant  16 asgari ücret * 22104 = 353664</t>
  </si>
  <si>
    <t xml:space="preserve"> 2024 / 7</t>
  </si>
  <si>
    <t>Doğuş Kira 7/12-2025-26</t>
  </si>
  <si>
    <t xml:space="preserve"> - OCAK 2025</t>
  </si>
  <si>
    <t xml:space="preserve">SnyB salih ant bankadan   </t>
  </si>
  <si>
    <t>umut banka hesabı – hmb hesaba havale – 801 – 209 nazan</t>
  </si>
  <si>
    <t xml:space="preserve"> 2024 / 5</t>
  </si>
  <si>
    <t xml:space="preserve"> 2024 / 6</t>
  </si>
  <si>
    <t>Doğuş Kira 5/12-2025-26</t>
  </si>
  <si>
    <t>Doğuş Kira 6/12-2025-26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</si>
  <si>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</si>
  <si>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</si>
  <si>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</si>
  <si>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2025    22/30-30/30   9*8845 = 79605</t>
  </si>
  <si>
    <t>TUSDATA  TOPLAM                         93450</t>
  </si>
  <si>
    <t>TUSDATA 2023 aylık ödendi</t>
  </si>
  <si>
    <t>ÖDENDİ</t>
  </si>
  <si>
    <t>TUSDATA 2024 aylık ödendi</t>
  </si>
  <si>
    <t>TUSDATA 2024 Toplu ödendi</t>
  </si>
  <si>
    <t>TUSDATA 2025</t>
  </si>
  <si>
    <t>ÖDENECEK</t>
  </si>
  <si>
    <t>BORÇ YOK</t>
  </si>
  <si>
    <t>belediye</t>
  </si>
  <si>
    <t>mrkt</t>
  </si>
  <si>
    <t>toyota gaz</t>
  </si>
  <si>
    <t>ödeme</t>
  </si>
  <si>
    <t>audi kışlık dğşm</t>
  </si>
  <si>
    <t>döner vedat</t>
  </si>
  <si>
    <t>audi benzin</t>
  </si>
  <si>
    <t>pervin ankara-tokat</t>
  </si>
  <si>
    <t>pide</t>
  </si>
  <si>
    <t>ŞUBAT 2025 e</t>
  </si>
  <si>
    <t>Devir</t>
  </si>
  <si>
    <t>alış Tutar</t>
  </si>
  <si>
    <t>pervin 329500-35800</t>
  </si>
  <si>
    <t>İş 1626748</t>
  </si>
  <si>
    <t>denizbank</t>
  </si>
  <si>
    <t>İş ytrm 1626748 801</t>
  </si>
  <si>
    <t>iş ytrm ALTIN.S1</t>
  </si>
  <si>
    <t>iş ytrm 382789 TTE</t>
  </si>
  <si>
    <t xml:space="preserve">iş ytrm 382789 RGYAS </t>
  </si>
  <si>
    <t>iş ytrm 382789 KOTON</t>
  </si>
  <si>
    <t>iş ytrm 382789 LILAK</t>
  </si>
  <si>
    <t xml:space="preserve">gau iş alış                         </t>
  </si>
  <si>
    <t>xau çeyrek</t>
  </si>
  <si>
    <t>xau tam</t>
  </si>
  <si>
    <t>USD iş alış                           35,4713</t>
  </si>
  <si>
    <t>eur iş alış                           39,3164</t>
  </si>
  <si>
    <t>kasa nakit</t>
  </si>
  <si>
    <t>nakit</t>
  </si>
  <si>
    <t>TOPLAM YATIRIM SONUCU</t>
  </si>
  <si>
    <t>Ay sonu BAKİYE</t>
  </si>
  <si>
    <t xml:space="preserve"> Bakiye</t>
  </si>
  <si>
    <t>emekli maaş aralık</t>
  </si>
  <si>
    <t>6 aylık enflasyon</t>
  </si>
  <si>
    <t>emekli maaş ocak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</si>
  <si>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</si>
  <si>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</si>
  <si>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</si>
  <si>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</si>
  <si>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</si>
  <si>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</si>
  <si>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</si>
  <si>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</si>
  <si>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</si>
  <si>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</si>
  <si>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</si>
  <si>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</si>
  <si>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</si>
  <si>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</si>
  <si>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</si>
  <si>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</si>
  <si>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</si>
  <si>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</si>
  <si>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</si>
  <si>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</si>
  <si>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</si>
  <si>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</si>
  <si>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</si>
  <si>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</si>
  <si>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</si>
  <si>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panter testere 4/9 -9/9 6 taksit</t>
  </si>
  <si>
    <t xml:space="preserve">ARACI ALMADAN ÖNCE HACI BORÇ TOPLAMI </t>
  </si>
  <si>
    <t>tcross 12-8-2024</t>
  </si>
  <si>
    <t>sigorta</t>
  </si>
  <si>
    <t>kasko</t>
  </si>
  <si>
    <t>ARAÇ TOPLAM MALİYET</t>
  </si>
  <si>
    <t>ARAÇ ÖNCESİ HESAP</t>
  </si>
  <si>
    <t>TRAFİK SİGORTASI</t>
  </si>
  <si>
    <t>KASKO 9 taksitte ödenecek peri kk</t>
  </si>
  <si>
    <t>atiladan yasemine araba için</t>
  </si>
  <si>
    <t>Yasemin + dersanedwn</t>
  </si>
  <si>
    <t>Yasemin maaştan ödeyecek</t>
  </si>
  <si>
    <t>ATİLADAN geri alınan EMANET ALTIN</t>
  </si>
  <si>
    <t>pervin   6 ad çeyrek *4100</t>
  </si>
  <si>
    <t>pervin   1 ad tam *16200</t>
  </si>
  <si>
    <t xml:space="preserve">pervin   1 ad gram *2500 </t>
  </si>
  <si>
    <t>pervin   10 ad çeyrek *4100</t>
  </si>
  <si>
    <t>ziraat kredi 68000 TL aliden nakit alındı ziraate 22 taksitte ödenecek</t>
  </si>
  <si>
    <t>PERVİNDEN HAVALE taksit 1/12</t>
  </si>
  <si>
    <t>havale</t>
  </si>
  <si>
    <t>istanbul tokat topçam bilet</t>
  </si>
  <si>
    <t>Taksit 1/12 kalan</t>
  </si>
  <si>
    <t>Taksit 2/12 30000</t>
  </si>
  <si>
    <t>Taksit 2/12 6000</t>
  </si>
  <si>
    <t>500 noksan ÖDENDİ</t>
  </si>
  <si>
    <t>Taksit 3/12  30000</t>
  </si>
  <si>
    <t>Taksit 3/12   6000</t>
  </si>
  <si>
    <t>Taksit 4/12 36,500</t>
  </si>
  <si>
    <t>700 noksan ÖDENDİ</t>
  </si>
  <si>
    <t>ankara-tokat bilet</t>
  </si>
  <si>
    <t>Taksit 5/12 36,500</t>
  </si>
  <si>
    <t>1500 fazla</t>
  </si>
  <si>
    <t>TCROSS</t>
  </si>
  <si>
    <t>KASKO SİGORTASI</t>
  </si>
  <si>
    <t>T-CROSS TOPLAM MALİYET</t>
  </si>
  <si>
    <t>ÖDEMELER</t>
  </si>
  <si>
    <t>Ödeyen</t>
  </si>
  <si>
    <t>Miktar</t>
  </si>
  <si>
    <t>Bakiye</t>
  </si>
  <si>
    <t xml:space="preserve">Yasemin </t>
  </si>
  <si>
    <t>Yasemin</t>
  </si>
  <si>
    <t xml:space="preserve">ATİLA </t>
  </si>
  <si>
    <t>Atila</t>
  </si>
  <si>
    <t>hacı</t>
  </si>
  <si>
    <t>Yasemin Atila Hacı Toplam Ödeme</t>
  </si>
  <si>
    <t>Pervin</t>
  </si>
  <si>
    <t>12*36500 taksit ödemesi</t>
  </si>
  <si>
    <t>Pervin Toplam Ödeme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</si>
  <si>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</si>
  <si>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</si>
  <si>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</si>
  <si>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</si>
  <si>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</si>
  <si>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</si>
  <si>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</si>
  <si>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</si>
  <si>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</si>
  <si>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</si>
  <si>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</si>
  <si>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</si>
  <si>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</si>
  <si>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</si>
  <si>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</si>
  <si>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</si>
  <si>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</si>
  <si>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</si>
  <si>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</si>
  <si>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</si>
  <si>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</si>
  <si>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</si>
  <si>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</si>
  <si>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</si>
  <si>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</si>
  <si>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</si>
  <si>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</si>
  <si>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</si>
  <si>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</si>
  <si>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</si>
  <si>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</si>
  <si>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</si>
  <si>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</si>
  <si>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</si>
  <si>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</si>
  <si>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</si>
  <si>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</si>
  <si>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</si>
  <si>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</si>
  <si>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</si>
  <si>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</si>
  <si>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</si>
  <si>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</si>
  <si>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</si>
  <si>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</si>
  <si>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</si>
  <si>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</si>
  <si>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</si>
  <si>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</si>
  <si>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</si>
  <si>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yasemin s1 den gelecek</t>
  </si>
  <si>
    <t>s1 hacı   PERŞEMBE SATILDI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</si>
  <si>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</si>
  <si>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</si>
  <si>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</si>
  <si>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</si>
  <si>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</si>
  <si>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</si>
  <si>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</si>
  <si>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</si>
  <si>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</si>
  <si>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</si>
  <si>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</si>
  <si>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</si>
  <si>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</si>
  <si>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</si>
  <si>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</si>
  <si>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</si>
  <si>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</si>
  <si>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</si>
  <si>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</si>
  <si>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</si>
  <si>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</si>
  <si>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</si>
  <si>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</si>
  <si>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</si>
  <si>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</si>
  <si>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xau iş alış                                              1987</t>
  </si>
  <si>
    <t>usd iş satış-alış                 30,19258</t>
  </si>
  <si>
    <t>eur iş alış                           33,0124</t>
  </si>
  <si>
    <t xml:space="preserve"> - ARALIK 2024</t>
  </si>
  <si>
    <t xml:space="preserve"> 2024 / 3</t>
  </si>
  <si>
    <t>dnxkk</t>
  </si>
  <si>
    <t xml:space="preserve"> 2024 / 4</t>
  </si>
  <si>
    <t>BİNA VERGİSİ</t>
  </si>
  <si>
    <t>KÜLTÜR VERGİSİ</t>
  </si>
  <si>
    <t>Nazan Kira ödemesi 12+</t>
  </si>
  <si>
    <t>umut kiradan</t>
  </si>
  <si>
    <t>snyB Ali Demirel bankadan</t>
  </si>
  <si>
    <t>Doğuş Kira 4/12-2025-26</t>
  </si>
  <si>
    <t>devlet</t>
  </si>
  <si>
    <t xml:space="preserve"> 2024 / 9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</si>
  <si>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</si>
  <si>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</si>
  <si>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</si>
  <si>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</si>
  <si>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</si>
  <si>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</si>
  <si>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</si>
  <si>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</si>
  <si>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</si>
  <si>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>pazarama 64gb ram umut</t>
  </si>
  <si>
    <t xml:space="preserve">  9– 9</t>
  </si>
  <si>
    <t>amazon kc200 2tb nvme umut</t>
  </si>
  <si>
    <t>koctas</t>
  </si>
  <si>
    <t>koton</t>
  </si>
  <si>
    <t>tcross benzn</t>
  </si>
  <si>
    <t>dürümle</t>
  </si>
  <si>
    <t>mrkt erenler</t>
  </si>
  <si>
    <t>gaz</t>
  </si>
  <si>
    <t>tcdd tkt-ist-tkt bsnss</t>
  </si>
  <si>
    <t>ARALIKa</t>
  </si>
  <si>
    <t>xau iş alış                           2867,2</t>
  </si>
  <si>
    <t>pervinden   16 ad çeyrek *4100</t>
  </si>
  <si>
    <t>pervinden   1 ad tam *16200</t>
  </si>
  <si>
    <t xml:space="preserve">pervinden   1 ad gram *2500 </t>
  </si>
  <si>
    <t>OCAK 2025 e</t>
  </si>
  <si>
    <t xml:space="preserve"> - KASIM 2024</t>
  </si>
  <si>
    <t>TUSDATA 19/30</t>
  </si>
  <si>
    <t>17-2-24 de toplu ödendi</t>
  </si>
  <si>
    <t xml:space="preserve">Kira Adem Özen 6/12 Mrmr Ryl A Blok 82  </t>
  </si>
  <si>
    <t>Doğuş Kira 3/12-2025-26</t>
  </si>
  <si>
    <t>2240 VODAFONE fatura</t>
  </si>
  <si>
    <t>snyF merdal kipel icra yoluyla avukattan</t>
  </si>
  <si>
    <t>tcross pervinden 7</t>
  </si>
  <si>
    <t>Nazan Kira ödemesi 11 + 8 + 9+ 10</t>
  </si>
  <si>
    <t>yasemin winter</t>
  </si>
  <si>
    <t>umut winter</t>
  </si>
  <si>
    <t>snyCD</t>
  </si>
  <si>
    <t xml:space="preserve">  8– 9</t>
  </si>
  <si>
    <t xml:space="preserve"> 8 – 9</t>
  </si>
  <si>
    <t>yasemin okul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</si>
  <si>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</si>
  <si>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</si>
  <si>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</si>
  <si>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</si>
  <si>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</si>
  <si>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</si>
  <si>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</si>
  <si>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</si>
  <si>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</si>
  <si>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</si>
  <si>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</si>
  <si>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</si>
  <si>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KASIMa</t>
  </si>
  <si>
    <t xml:space="preserve">umut   </t>
  </si>
  <si>
    <t>pervin 365500-36000</t>
  </si>
  <si>
    <t>iş ALTIN.S1</t>
  </si>
  <si>
    <t xml:space="preserve"> - EKİM 2024</t>
  </si>
  <si>
    <t>TUSDATA 18/30</t>
  </si>
  <si>
    <t xml:space="preserve">Kira Adem Özen 5/12 Mrmr Ryl A Blok 82  </t>
  </si>
  <si>
    <t>ali demirel keşif için avukata denizbank havale</t>
  </si>
  <si>
    <t>Doğuş Kira 2/12-2025-26</t>
  </si>
  <si>
    <t>bankadan</t>
  </si>
  <si>
    <t>tcross pervinden 5</t>
  </si>
  <si>
    <t>Elektrik 8758480300 BAHÇE</t>
  </si>
  <si>
    <t>yasemin okul kk denizbnk -120000</t>
  </si>
  <si>
    <t>kk</t>
  </si>
  <si>
    <t>2240 vodafon</t>
  </si>
  <si>
    <t>tcross pervinden 6</t>
  </si>
  <si>
    <t>snyA 120000</t>
  </si>
  <si>
    <t>Nazan Kira ödemesi</t>
  </si>
  <si>
    <t xml:space="preserve"> 7 – 9</t>
  </si>
  <si>
    <t>pazarama umut cam teli</t>
  </si>
  <si>
    <t>mtv yb 1397</t>
  </si>
  <si>
    <t>shell tcross</t>
  </si>
  <si>
    <t>kanlıca yğrt</t>
  </si>
  <si>
    <t>fucicort</t>
  </si>
  <si>
    <t>şile yemek</t>
  </si>
  <si>
    <t>park</t>
  </si>
  <si>
    <t>şok</t>
  </si>
  <si>
    <t>migros farilya</t>
  </si>
  <si>
    <t>lc</t>
  </si>
  <si>
    <t>opet tcross</t>
  </si>
  <si>
    <t>migros emaar</t>
  </si>
  <si>
    <t>yedigöller</t>
  </si>
  <si>
    <t>erenler</t>
  </si>
  <si>
    <t>kasap</t>
  </si>
  <si>
    <t>tat pide</t>
  </si>
  <si>
    <t>vedat</t>
  </si>
  <si>
    <t>Pazar döner</t>
  </si>
  <si>
    <t>a101</t>
  </si>
  <si>
    <t>2 ad metal kesme</t>
  </si>
  <si>
    <t>2 tr çimento tzg</t>
  </si>
  <si>
    <t>adıgüzeller</t>
  </si>
  <si>
    <t>selanik pide</t>
  </si>
  <si>
    <t>EKİMe</t>
  </si>
  <si>
    <t>kasa xau iş alış                           2867,2</t>
  </si>
  <si>
    <t>kasa xau çeyrek</t>
  </si>
  <si>
    <t>kasa xau tam</t>
  </si>
  <si>
    <t xml:space="preserve"> - EYLÜL 2024</t>
  </si>
  <si>
    <t>2240 Turkcell fatura</t>
  </si>
  <si>
    <t>TUSDATA 17/30</t>
  </si>
  <si>
    <t xml:space="preserve">Kira Adem Özen 4/12 Mrmr Ryl A Blok 82  </t>
  </si>
  <si>
    <t>Doğuş Kira 1/12-2025-26</t>
  </si>
  <si>
    <t>BANKADAN</t>
  </si>
  <si>
    <t>yasemin 2 maaş 17000*2</t>
  </si>
  <si>
    <t>tcross pervinden 3</t>
  </si>
  <si>
    <t xml:space="preserve"> 2024 / 2</t>
  </si>
  <si>
    <t>deniz kk</t>
  </si>
  <si>
    <t>tcross pervinden 4</t>
  </si>
  <si>
    <t>2240 vodafone</t>
  </si>
  <si>
    <t>Doğuş Kira 7/12-2024-25 15000 - 6500 (07/03) 29-Şubattan</t>
  </si>
  <si>
    <t>t-cross kurban sinana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</si>
  <si>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</si>
  <si>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</si>
  <si>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</si>
  <si>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</si>
  <si>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</si>
  <si>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</si>
  <si>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</si>
  <si>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</si>
  <si>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gib</t>
  </si>
  <si>
    <t>EYLÜLe</t>
  </si>
  <si>
    <t>pervin 438-35600</t>
  </si>
  <si>
    <t xml:space="preserve"> - AĞUSTOS 2024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</si>
  <si>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</si>
  <si>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</si>
  <si>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</si>
  <si>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</si>
  <si>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</si>
  <si>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tcross pervinden 1 - 30000</t>
  </si>
  <si>
    <t>Elektrik 8758480300 Bahçe</t>
  </si>
  <si>
    <t>3074 usulsuzluk 2024071001FCp0000016</t>
  </si>
  <si>
    <t>ali balcı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</si>
  <si>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</si>
  <si>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</si>
  <si>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</si>
  <si>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</si>
  <si>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</si>
  <si>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3074 DV 2024071001FCp0000022</t>
  </si>
  <si>
    <t>19-09 ödeme</t>
  </si>
  <si>
    <t>3074 DV 2024071001FCp0000023</t>
  </si>
  <si>
    <t>3074 DV 2024071001FCp0000024</t>
  </si>
  <si>
    <t>3074 DV 2024071901FCp0000005</t>
  </si>
  <si>
    <t>tcross pervinden 2 -5600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</si>
  <si>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</si>
  <si>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</si>
  <si>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</si>
  <si>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</si>
  <si>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</si>
  <si>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</si>
  <si>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</si>
  <si>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</si>
  <si>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</si>
  <si>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</si>
  <si>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</si>
  <si>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</si>
  <si>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</si>
  <si>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</si>
  <si>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</si>
  <si>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</si>
  <si>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</si>
  <si>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</si>
  <si>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</si>
  <si>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petrol</t>
  </si>
  <si>
    <t>mercmk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</si>
  <si>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</si>
  <si>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</si>
  <si>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</si>
  <si>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</si>
  <si>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</si>
  <si>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</si>
  <si>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</si>
  <si>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>iş sny umut-ortak 156</t>
  </si>
  <si>
    <t>iş TTE</t>
  </si>
  <si>
    <t xml:space="preserve">iş RNSGY </t>
  </si>
  <si>
    <t>iş KOTON</t>
  </si>
  <si>
    <t>iş LILAK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</si>
  <si>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</si>
  <si>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</si>
  <si>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</si>
  <si>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</si>
  <si>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 xml:space="preserve"> - TEMMUZ 2024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</si>
  <si>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</si>
  <si>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</si>
  <si>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</si>
  <si>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</si>
  <si>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</si>
  <si>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</si>
  <si>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</si>
  <si>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</si>
  <si>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</si>
  <si>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</si>
  <si>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</si>
  <si>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</si>
  <si>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</si>
  <si>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</si>
  <si>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</si>
  <si>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</si>
  <si>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</si>
  <si>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</si>
  <si>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</si>
  <si>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</si>
  <si>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</si>
  <si>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</si>
  <si>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</si>
  <si>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</si>
  <si>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</si>
  <si>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</si>
  <si>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</si>
  <si>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</si>
  <si>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</si>
  <si>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</si>
  <si>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</si>
  <si>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</si>
  <si>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</si>
  <si>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</si>
  <si>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</si>
  <si>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</si>
  <si>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</si>
  <si>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</si>
  <si>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</si>
  <si>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</si>
  <si>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</si>
  <si>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</si>
  <si>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</si>
  <si>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</si>
  <si>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</si>
  <si>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</si>
  <si>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</si>
  <si>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</si>
  <si>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</si>
  <si>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</si>
  <si>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</si>
  <si>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</si>
  <si>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</si>
  <si>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</si>
  <si>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</si>
  <si>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</si>
  <si>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</si>
  <si>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</si>
  <si>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</si>
  <si>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</si>
  <si>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</si>
  <si>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</si>
  <si>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</si>
  <si>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</si>
  <si>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</si>
  <si>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</si>
  <si>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</si>
  <si>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</si>
  <si>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</si>
  <si>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</si>
  <si>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</si>
  <si>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</si>
  <si>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</si>
  <si>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</si>
  <si>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</si>
  <si>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</si>
  <si>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</si>
  <si>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</si>
  <si>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</si>
  <si>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</si>
  <si>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</si>
  <si>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</si>
  <si>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</si>
  <si>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</si>
  <si>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</si>
  <si>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</si>
  <si>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</si>
  <si>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</si>
  <si>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</si>
  <si>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</si>
  <si>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</si>
  <si>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</si>
  <si>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</si>
  <si>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</si>
  <si>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</si>
  <si>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</si>
  <si>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</si>
  <si>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</si>
  <si>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</si>
  <si>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</si>
  <si>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</si>
  <si>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</si>
  <si>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</si>
  <si>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</si>
  <si>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</si>
  <si>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</si>
  <si>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</si>
  <si>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</si>
  <si>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</si>
  <si>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</si>
  <si>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</si>
  <si>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</si>
  <si>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</si>
  <si>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</si>
  <si>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selanik yemek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</si>
  <si>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</si>
  <si>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</si>
  <si>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</si>
  <si>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</si>
  <si>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</si>
  <si>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</si>
  <si>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</si>
  <si>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</si>
  <si>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</si>
  <si>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</si>
  <si>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</si>
  <si>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</si>
  <si>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</si>
  <si>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</si>
  <si>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</si>
  <si>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</si>
  <si>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</si>
  <si>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</si>
  <si>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</si>
  <si>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</si>
  <si>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</si>
  <si>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</si>
  <si>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</si>
  <si>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</si>
  <si>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</si>
  <si>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</si>
  <si>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</si>
  <si>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</si>
  <si>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</si>
  <si>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</si>
  <si>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</si>
  <si>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</si>
  <si>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</si>
  <si>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</si>
  <si>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</si>
  <si>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</si>
  <si>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</si>
  <si>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</si>
  <si>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</si>
  <si>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</si>
  <si>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</si>
  <si>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</si>
  <si>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</si>
  <si>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</si>
  <si>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</si>
  <si>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</si>
  <si>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</si>
  <si>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</si>
  <si>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</si>
  <si>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Tuzgümrüğü kira</t>
  </si>
  <si>
    <t>Hurdacı Elektrik                  32,42 1. aydan ekleNDİ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</si>
  <si>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</si>
  <si>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</si>
  <si>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</si>
  <si>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</si>
  <si>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</si>
  <si>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</si>
  <si>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</si>
  <si>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</si>
  <si>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</si>
  <si>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</si>
  <si>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</si>
  <si>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</si>
  <si>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</si>
  <si>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</si>
  <si>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</si>
  <si>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</si>
  <si>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</si>
  <si>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</si>
  <si>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</si>
  <si>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</si>
  <si>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</si>
  <si>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</si>
  <si>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</si>
  <si>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</si>
  <si>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</si>
  <si>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</si>
  <si>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</si>
  <si>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</si>
  <si>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</si>
  <si>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</si>
  <si>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</si>
  <si>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</si>
  <si>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</si>
  <si>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</si>
  <si>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</si>
  <si>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</si>
  <si>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</si>
  <si>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</si>
  <si>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</si>
  <si>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</si>
  <si>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</si>
  <si>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</si>
  <si>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</si>
  <si>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</si>
  <si>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</si>
  <si>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</si>
  <si>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</si>
  <si>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</si>
  <si>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</si>
  <si>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</si>
  <si>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</si>
  <si>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</si>
  <si>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</si>
  <si>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</si>
  <si>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</si>
  <si>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</si>
  <si>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</si>
  <si>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</si>
  <si>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</si>
  <si>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</si>
  <si>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</si>
  <si>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</si>
  <si>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</si>
  <si>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</si>
  <si>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</si>
  <si>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</si>
  <si>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</si>
  <si>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</si>
  <si>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</si>
  <si>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</si>
  <si>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</si>
  <si>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</si>
  <si>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</si>
  <si>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</si>
  <si>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</si>
  <si>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</si>
  <si>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</si>
  <si>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</si>
  <si>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 xml:space="preserve"> - OCAK 2024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</si>
  <si>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</si>
  <si>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</si>
  <si>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</si>
  <si>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</si>
  <si>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</si>
  <si>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</si>
  <si>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</si>
  <si>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</si>
  <si>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</si>
  <si>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</si>
  <si>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</si>
  <si>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</si>
  <si>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</si>
  <si>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</si>
  <si>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</si>
  <si>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</si>
  <si>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</si>
  <si>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</si>
  <si>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</si>
  <si>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</si>
  <si>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</si>
  <si>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</si>
  <si>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</si>
  <si>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</si>
  <si>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</si>
  <si>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</si>
  <si>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</si>
  <si>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</si>
  <si>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</si>
  <si>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</si>
  <si>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</si>
  <si>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</si>
  <si>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</si>
  <si>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</si>
  <si>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</si>
  <si>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</si>
  <si>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</si>
  <si>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</si>
  <si>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</si>
  <si>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</si>
  <si>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</si>
  <si>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</si>
  <si>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</si>
  <si>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</si>
  <si>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</si>
  <si>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</si>
  <si>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</si>
  <si>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</si>
  <si>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</si>
  <si>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</si>
  <si>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</si>
  <si>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</si>
  <si>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</si>
  <si>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xau</t>
  </si>
  <si>
    <t>usd</t>
  </si>
  <si>
    <t>eur</t>
  </si>
  <si>
    <t>kasa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</si>
  <si>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</si>
  <si>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</si>
  <si>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</si>
  <si>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</si>
  <si>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</si>
  <si>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</si>
  <si>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</si>
  <si>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</si>
  <si>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</si>
  <si>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</si>
  <si>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</si>
  <si>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</si>
  <si>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</si>
  <si>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</si>
  <si>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</si>
  <si>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</si>
  <si>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</si>
  <si>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</si>
  <si>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</si>
  <si>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</si>
  <si>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</si>
  <si>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</si>
  <si>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</si>
  <si>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</si>
  <si>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</si>
  <si>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</si>
  <si>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</si>
  <si>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</si>
  <si>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</si>
  <si>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</si>
  <si>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</si>
  <si>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</si>
  <si>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</si>
  <si>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</si>
  <si>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</si>
  <si>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</si>
  <si>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</si>
  <si>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</si>
  <si>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</si>
  <si>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</si>
  <si>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</si>
  <si>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</si>
  <si>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</si>
  <si>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</si>
  <si>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</si>
  <si>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</si>
  <si>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</si>
  <si>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</si>
  <si>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</si>
  <si>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</si>
  <si>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</si>
  <si>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</si>
  <si>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</si>
  <si>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</si>
  <si>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</si>
  <si>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</si>
  <si>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</si>
  <si>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2023 yıl sonu nazan kira geliri</t>
  </si>
  <si>
    <t>2024 yılı Toplam</t>
  </si>
  <si>
    <t>denizbanka</t>
  </si>
  <si>
    <t>nazan havale</t>
  </si>
  <si>
    <t>ödenmedi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</si>
  <si>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</si>
  <si>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</si>
  <si>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</si>
  <si>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</si>
  <si>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</si>
  <si>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</si>
  <si>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</si>
  <si>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</si>
  <si>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</si>
  <si>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</si>
  <si>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</si>
  <si>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</si>
  <si>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</si>
  <si>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</si>
  <si>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</si>
  <si>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</si>
  <si>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</si>
  <si>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</si>
  <si>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</si>
  <si>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</si>
  <si>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</si>
  <si>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</si>
  <si>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</si>
  <si>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</si>
  <si>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</si>
  <si>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</si>
  <si>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</si>
  <si>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</si>
  <si>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</si>
  <si>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</si>
  <si>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</si>
  <si>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</si>
  <si>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</si>
  <si>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</si>
  <si>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</si>
  <si>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</si>
  <si>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</si>
  <si>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</si>
  <si>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</si>
  <si>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</si>
  <si>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</si>
  <si>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</si>
  <si>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</si>
  <si>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</si>
  <si>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</si>
  <si>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</si>
  <si>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</si>
  <si>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</si>
  <si>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</si>
  <si>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</si>
  <si>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</si>
  <si>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</si>
  <si>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</si>
  <si>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</si>
  <si>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</si>
  <si>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</si>
  <si>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</si>
  <si>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</si>
  <si>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</si>
  <si>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sebze yağ</t>
  </si>
  <si>
    <t>ayfer kurt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</si>
  <si>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</si>
  <si>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</si>
  <si>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</si>
  <si>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</si>
  <si>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</si>
  <si>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</si>
  <si>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</si>
  <si>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</si>
  <si>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</si>
  <si>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</si>
  <si>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</si>
  <si>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</si>
  <si>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</si>
  <si>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</si>
  <si>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</si>
  <si>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</si>
  <si>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</si>
  <si>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</si>
  <si>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</si>
  <si>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</si>
  <si>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</si>
  <si>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</si>
  <si>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</si>
  <si>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</si>
  <si>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</si>
  <si>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</si>
  <si>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</si>
  <si>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</si>
  <si>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</si>
  <si>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</si>
  <si>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</si>
  <si>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</si>
  <si>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</si>
  <si>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</si>
  <si>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</si>
  <si>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</si>
  <si>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</si>
  <si>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</si>
  <si>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</si>
  <si>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</si>
  <si>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</si>
  <si>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</si>
  <si>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</si>
  <si>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</si>
  <si>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</si>
  <si>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</si>
  <si>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</si>
  <si>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</si>
  <si>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</si>
  <si>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</si>
  <si>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</si>
  <si>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</si>
  <si>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</si>
  <si>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</si>
  <si>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</si>
  <si>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</si>
  <si>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</si>
  <si>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</si>
  <si>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</si>
  <si>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</si>
  <si>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</si>
  <si>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</si>
  <si>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</si>
  <si>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</si>
  <si>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</si>
  <si>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</si>
  <si>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</si>
  <si>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</si>
  <si>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</si>
  <si>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</si>
  <si>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</si>
  <si>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</si>
  <si>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</si>
  <si>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</si>
  <si>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</si>
  <si>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</si>
  <si>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</si>
  <si>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</si>
  <si>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</si>
  <si>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</si>
  <si>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</si>
  <si>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</si>
  <si>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</si>
  <si>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</si>
  <si>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</si>
  <si>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</si>
  <si>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</si>
  <si>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</si>
  <si>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</si>
  <si>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</si>
  <si>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</si>
  <si>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</si>
  <si>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</si>
  <si>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</si>
  <si>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</si>
  <si>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</si>
  <si>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</si>
  <si>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</si>
  <si>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</si>
  <si>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</si>
  <si>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</si>
  <si>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</si>
  <si>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</si>
  <si>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</si>
  <si>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</si>
  <si>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</si>
  <si>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</si>
  <si>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</si>
  <si>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</si>
  <si>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</si>
  <si>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</si>
  <si>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</si>
  <si>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</si>
  <si>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</si>
  <si>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</si>
  <si>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</si>
  <si>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</si>
  <si>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</si>
  <si>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</si>
  <si>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</si>
  <si>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</si>
  <si>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</si>
  <si>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</si>
  <si>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</si>
  <si>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</si>
  <si>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</si>
  <si>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</si>
  <si>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</si>
  <si>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</si>
  <si>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</si>
  <si>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</si>
  <si>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</si>
  <si>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</si>
  <si>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</si>
  <si>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</si>
  <si>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</si>
  <si>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</si>
  <si>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</si>
  <si>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</si>
  <si>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</si>
  <si>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</si>
  <si>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</si>
  <si>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</si>
  <si>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</si>
  <si>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</si>
  <si>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</si>
  <si>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</si>
  <si>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</si>
  <si>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</si>
  <si>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</si>
  <si>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</si>
  <si>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</si>
  <si>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</si>
  <si>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</si>
  <si>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</si>
  <si>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</si>
  <si>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</si>
  <si>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</si>
  <si>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</si>
  <si>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</si>
  <si>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</si>
  <si>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</si>
  <si>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</si>
  <si>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</si>
  <si>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</si>
  <si>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</si>
  <si>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</si>
  <si>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</si>
  <si>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</si>
  <si>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</si>
  <si>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</si>
  <si>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</si>
  <si>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</si>
  <si>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</si>
  <si>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</si>
  <si>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</si>
  <si>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</si>
  <si>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</si>
  <si>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</si>
  <si>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</si>
  <si>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</si>
  <si>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</si>
  <si>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</si>
  <si>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</si>
  <si>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</si>
  <si>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</si>
  <si>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</si>
  <si>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</si>
  <si>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</si>
  <si>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</si>
  <si>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</si>
  <si>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</si>
  <si>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</si>
  <si>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</si>
  <si>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</si>
  <si>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</si>
  <si>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</si>
  <si>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</si>
  <si>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</si>
  <si>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</si>
  <si>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</si>
  <si>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</si>
  <si>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</si>
  <si>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</si>
  <si>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</si>
  <si>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</si>
  <si>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</si>
  <si>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</si>
  <si>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</si>
  <si>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</si>
  <si>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</si>
  <si>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</si>
  <si>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</si>
  <si>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</si>
  <si>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</si>
  <si>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</si>
  <si>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</si>
  <si>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</si>
  <si>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</si>
  <si>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</si>
  <si>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</si>
  <si>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</si>
  <si>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</si>
  <si>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</si>
  <si>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</si>
  <si>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</si>
  <si>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</si>
  <si>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</si>
  <si>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</si>
  <si>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</si>
  <si>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</si>
  <si>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</si>
  <si>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</si>
  <si>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</si>
  <si>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</si>
  <si>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</si>
  <si>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</si>
  <si>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</si>
  <si>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</si>
  <si>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</si>
  <si>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</si>
  <si>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</si>
  <si>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</si>
  <si>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</si>
  <si>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</si>
  <si>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</si>
  <si>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</si>
  <si>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</si>
  <si>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</si>
  <si>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</si>
  <si>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</si>
  <si>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</si>
  <si>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</si>
  <si>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</si>
  <si>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</si>
  <si>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</si>
  <si>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</si>
  <si>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</si>
  <si>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</si>
  <si>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</si>
  <si>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</si>
  <si>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</si>
  <si>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</si>
  <si>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</si>
  <si>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</si>
  <si>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</si>
  <si>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</si>
  <si>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</si>
  <si>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</si>
  <si>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</si>
  <si>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</si>
  <si>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</si>
  <si>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</si>
  <si>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</si>
  <si>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</si>
  <si>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</si>
  <si>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</si>
  <si>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</si>
  <si>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</si>
  <si>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</si>
  <si>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</si>
  <si>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</si>
  <si>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</si>
  <si>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</si>
  <si>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</si>
  <si>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</si>
  <si>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</si>
  <si>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</si>
  <si>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</si>
  <si>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</si>
  <si>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</si>
  <si>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</si>
  <si>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</si>
  <si>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</si>
  <si>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</si>
  <si>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</si>
  <si>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</si>
  <si>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</si>
  <si>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</si>
  <si>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</si>
  <si>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</si>
  <si>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</si>
  <si>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</si>
  <si>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</si>
  <si>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</si>
  <si>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</si>
  <si>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</si>
  <si>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</si>
  <si>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</si>
  <si>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</si>
  <si>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</si>
  <si>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</si>
  <si>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</si>
  <si>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</si>
  <si>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</si>
  <si>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</si>
  <si>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</si>
  <si>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</si>
  <si>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</si>
  <si>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</si>
  <si>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</si>
  <si>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</si>
  <si>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</si>
  <si>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</si>
  <si>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</si>
  <si>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</si>
  <si>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</si>
  <si>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</si>
  <si>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</si>
  <si>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</si>
  <si>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</si>
  <si>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</si>
  <si>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</si>
  <si>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</si>
  <si>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</si>
  <si>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</si>
  <si>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</si>
  <si>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</si>
  <si>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</si>
  <si>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</si>
  <si>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</si>
  <si>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</si>
  <si>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</si>
  <si>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</si>
  <si>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</si>
  <si>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</si>
  <si>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</si>
  <si>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</si>
  <si>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</si>
  <si>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</si>
  <si>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</si>
  <si>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</si>
  <si>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</si>
  <si>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</si>
  <si>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</si>
  <si>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</si>
  <si>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</si>
  <si>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</si>
  <si>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</si>
  <si>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</si>
  <si>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</si>
  <si>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</si>
  <si>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</si>
  <si>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</si>
  <si>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</si>
  <si>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</si>
  <si>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</si>
  <si>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</si>
  <si>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</si>
  <si>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</si>
  <si>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</si>
  <si>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</si>
  <si>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</si>
  <si>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</si>
  <si>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</si>
  <si>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</si>
  <si>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</si>
  <si>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</si>
  <si>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</si>
  <si>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</si>
  <si>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</si>
  <si>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</si>
  <si>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</si>
  <si>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</si>
  <si>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erenler pide 12- k13</t>
  </si>
  <si>
    <t>2022 Ocak  Devir</t>
  </si>
  <si>
    <t>Ocak çıkışı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</si>
  <si>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</si>
  <si>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</si>
  <si>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</si>
  <si>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</si>
  <si>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</si>
  <si>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</si>
  <si>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</si>
  <si>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</si>
  <si>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</si>
  <si>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</si>
  <si>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</si>
  <si>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</si>
  <si>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</si>
  <si>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</si>
  <si>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</si>
  <si>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</si>
  <si>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</si>
  <si>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</si>
  <si>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</si>
  <si>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</si>
  <si>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</si>
  <si>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</si>
  <si>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</si>
  <si>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</si>
  <si>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</si>
  <si>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</si>
  <si>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</si>
  <si>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</si>
  <si>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</si>
  <si>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</si>
  <si>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</si>
  <si>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</si>
  <si>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</si>
  <si>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</si>
  <si>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</si>
  <si>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</si>
  <si>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</si>
  <si>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</si>
  <si>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</si>
  <si>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</si>
  <si>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</si>
  <si>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</si>
  <si>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</si>
  <si>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</si>
  <si>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</si>
  <si>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</si>
  <si>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</si>
  <si>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</si>
  <si>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</si>
  <si>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</si>
  <si>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</si>
  <si>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</si>
  <si>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</si>
  <si>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</si>
  <si>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</si>
  <si>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</si>
  <si>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</si>
  <si>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</si>
  <si>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</si>
  <si>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</si>
  <si>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</si>
  <si>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</si>
  <si>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</si>
  <si>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</si>
  <si>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</si>
  <si>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</si>
  <si>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</si>
  <si>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</si>
  <si>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</si>
  <si>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</si>
  <si>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</si>
  <si>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</si>
  <si>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</si>
  <si>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</si>
  <si>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</si>
  <si>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</si>
  <si>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</si>
  <si>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</si>
  <si>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</si>
  <si>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</si>
  <si>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</si>
  <si>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</si>
  <si>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</si>
  <si>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</si>
  <si>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</si>
  <si>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</si>
  <si>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</si>
  <si>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</si>
  <si>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</si>
  <si>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</si>
  <si>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</si>
  <si>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</si>
  <si>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</si>
  <si>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</si>
  <si>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</si>
  <si>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</si>
  <si>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</si>
  <si>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</si>
  <si>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</si>
  <si>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</si>
  <si>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</si>
  <si>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</si>
  <si>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</si>
  <si>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</si>
  <si>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</si>
  <si>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</si>
  <si>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</si>
  <si>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</si>
  <si>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</si>
  <si>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</si>
  <si>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</si>
  <si>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</si>
  <si>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</si>
  <si>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</si>
  <si>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</si>
  <si>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</si>
  <si>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</si>
  <si>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</si>
  <si>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</si>
  <si>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</si>
  <si>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</si>
  <si>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</si>
  <si>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</si>
  <si>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</si>
  <si>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</si>
  <si>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</si>
  <si>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</si>
  <si>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</si>
  <si>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</si>
  <si>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</si>
  <si>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</si>
  <si>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</si>
  <si>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</si>
  <si>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</si>
  <si>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</si>
  <si>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</si>
  <si>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</si>
  <si>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</si>
  <si>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</si>
  <si>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</si>
  <si>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</si>
  <si>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</si>
  <si>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</si>
  <si>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</si>
  <si>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</si>
  <si>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</si>
  <si>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</si>
  <si>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</si>
  <si>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</si>
  <si>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</si>
  <si>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</si>
  <si>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</si>
  <si>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</si>
  <si>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</si>
  <si>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</si>
  <si>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</si>
  <si>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</si>
  <si>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</si>
  <si>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</si>
  <si>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</si>
  <si>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</si>
  <si>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</si>
  <si>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</si>
  <si>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</si>
  <si>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</si>
  <si>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</si>
  <si>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</si>
  <si>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</si>
  <si>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</si>
  <si>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</si>
  <si>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</si>
  <si>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</si>
  <si>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</si>
  <si>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</si>
  <si>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</si>
  <si>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</si>
  <si>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</si>
  <si>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</si>
  <si>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</si>
  <si>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</si>
  <si>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</si>
  <si>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</si>
  <si>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</si>
  <si>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</si>
  <si>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</si>
  <si>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</si>
  <si>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</si>
  <si>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</si>
  <si>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</si>
  <si>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</si>
  <si>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</si>
  <si>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</si>
  <si>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</si>
  <si>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</si>
  <si>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</si>
  <si>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</si>
  <si>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</si>
  <si>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</si>
  <si>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</si>
  <si>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</si>
  <si>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</si>
  <si>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</si>
  <si>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</si>
  <si>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</si>
  <si>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</si>
  <si>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</si>
  <si>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</si>
  <si>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</si>
  <si>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</si>
  <si>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</si>
  <si>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</si>
  <si>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</si>
  <si>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</si>
  <si>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</si>
  <si>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</si>
  <si>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</si>
  <si>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</si>
  <si>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</si>
  <si>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</si>
  <si>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</si>
  <si>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</si>
  <si>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</si>
  <si>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</si>
  <si>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</si>
  <si>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</si>
  <si>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</si>
  <si>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</si>
  <si>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</si>
  <si>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</si>
  <si>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</si>
  <si>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</si>
  <si>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</si>
  <si>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</si>
  <si>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</si>
  <si>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</si>
  <si>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</si>
  <si>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</si>
  <si>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</si>
  <si>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</si>
  <si>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</si>
  <si>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</si>
  <si>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</si>
  <si>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</si>
  <si>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</si>
  <si>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</si>
  <si>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</si>
  <si>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</si>
  <si>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</si>
  <si>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</si>
  <si>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</si>
  <si>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</si>
  <si>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</si>
  <si>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</si>
  <si>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</si>
  <si>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</si>
  <si>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</si>
  <si>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</si>
  <si>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</si>
  <si>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</si>
  <si>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</si>
  <si>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</si>
  <si>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</si>
  <si>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</si>
  <si>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</si>
  <si>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Doğuş Kira 5/12-2025-26 bankadan</t>
  </si>
  <si>
    <t>bankadan havale</t>
  </si>
  <si>
    <t>Taksit 8/12 - 36500</t>
  </si>
  <si>
    <t>Taksit 9/12 - 36500</t>
  </si>
  <si>
    <t>Taksit 10/12 - 36500</t>
  </si>
  <si>
    <t>Taksit 11/12 - 36500</t>
  </si>
  <si>
    <t>Taksit 12/12 - 36500</t>
  </si>
  <si>
    <t>sivas benzin</t>
  </si>
  <si>
    <t xml:space="preserve">Kira Adem Özen 8/12 Mrmr Ryl A Blok 82  </t>
  </si>
  <si>
    <t xml:space="preserve">Kira Adem Özen 9/12 Mrmr Ryl A Blok 82  </t>
  </si>
  <si>
    <t xml:space="preserve">Kira Adem Özen 10/12 Mrmr Ryl A Blok 82  </t>
  </si>
  <si>
    <t xml:space="preserve">Kira Adem Özen 11/12 Mrmr Ryl A Blok 82  </t>
  </si>
  <si>
    <t xml:space="preserve">Kira Adem Özen 12/12 Mrmr Ryl A Blok 82  </t>
  </si>
  <si>
    <t xml:space="preserve">Kira Adem Özen 1/12 Mrmr Ryl A Blok 82  </t>
  </si>
  <si>
    <t xml:space="preserve"> 2024 / 8/9</t>
  </si>
  <si>
    <t xml:space="preserve"> 2024 / 5/9</t>
  </si>
  <si>
    <t xml:space="preserve"> 2024 / 6/9</t>
  </si>
  <si>
    <t>turknet yıllık internet</t>
  </si>
  <si>
    <t>yasemin 24 ocak için</t>
  </si>
  <si>
    <t>İş ytrm 1626748 THYAO</t>
  </si>
  <si>
    <t>iş ytrm ALTIN.S1                          30,86</t>
  </si>
  <si>
    <t>iş ytrm ALTIN.S1                                32,48</t>
  </si>
  <si>
    <t>İş ytrm 1626748 801 STOPAJ</t>
  </si>
  <si>
    <t>iş ytrm 382789 801                          nzn</t>
  </si>
  <si>
    <t>merc çorca</t>
  </si>
  <si>
    <t>pegasus kıbrıs umut mezuniyet peri-atila-hc kysr</t>
  </si>
  <si>
    <t>pegasus kıbrıs umut mezuniyet ayşe ist</t>
  </si>
  <si>
    <t>pegasus kıbrıs umut mezuniyet yasemin ist</t>
  </si>
  <si>
    <t>tvk knt</t>
  </si>
  <si>
    <t>tvk dnr</t>
  </si>
  <si>
    <t>dnr</t>
  </si>
  <si>
    <t>topçam istanbul tasemin karakol</t>
  </si>
  <si>
    <t xml:space="preserve">mola </t>
  </si>
  <si>
    <t>ymk ysmn</t>
  </si>
  <si>
    <t>penti pijama</t>
  </si>
  <si>
    <t>emar yemek</t>
  </si>
  <si>
    <t>emar yemek çocuklar</t>
  </si>
  <si>
    <t>pegasus iade</t>
  </si>
  <si>
    <t>pegasus yasemin indirimli</t>
  </si>
  <si>
    <t>mrcmk çorba</t>
  </si>
  <si>
    <t>uöut klavye mouse n11</t>
  </si>
  <si>
    <t>peri çiçek</t>
  </si>
  <si>
    <t>lcw kot</t>
  </si>
  <si>
    <t>pideci mustafa</t>
  </si>
  <si>
    <t>kkasap</t>
  </si>
  <si>
    <t>cevizli</t>
  </si>
  <si>
    <t>mrkt bonustan</t>
  </si>
  <si>
    <t>ahmet alp karne</t>
  </si>
  <si>
    <t>BELEDİYE sanayi sayaç 5-6 taksitler</t>
  </si>
  <si>
    <t>belediye ayşe balcı</t>
  </si>
  <si>
    <t>belediye hmb 2024 emlak-su</t>
  </si>
  <si>
    <t>emlak vergileri İŞ KK İLE ÖDENDİ AYŞE-HMB - PERİ BORC YOK</t>
  </si>
  <si>
    <t>BELEDİYE PERİ BORÇ YOK</t>
  </si>
  <si>
    <t>voda 2240</t>
  </si>
  <si>
    <t xml:space="preserve">turknet 12 aylık internet </t>
  </si>
  <si>
    <t xml:space="preserve"> 6 taksit</t>
  </si>
  <si>
    <t>aylık fiyat</t>
  </si>
  <si>
    <t>6 ayda  ödenecek</t>
  </si>
  <si>
    <t>fazla ödeme</t>
  </si>
  <si>
    <t>turknet 12 aylık internet + 299,90 fazla ödeme</t>
  </si>
  <si>
    <t>MART 2025 e</t>
  </si>
  <si>
    <t>İş ytrm 1626748 801                  satış 25</t>
  </si>
  <si>
    <t>İş ytrm 1626748 801                   satış 9</t>
  </si>
  <si>
    <t>İş ytrm 1626748 801          ali demirel avukatlık</t>
  </si>
  <si>
    <t>İş ytrm 1626748 801   deniz kk</t>
  </si>
  <si>
    <t>emrullah özere - ali demirel avukatlık ücreti</t>
  </si>
  <si>
    <t>kayseri havalanı otopark</t>
  </si>
  <si>
    <t>elmacıoğlu iskender</t>
  </si>
  <si>
    <t>havalanı fazla kilo</t>
  </si>
  <si>
    <t>eziç yenek</t>
  </si>
  <si>
    <r>
      <t xml:space="preserve">TUSDATA 2025    21/30   1*8595 = 8595-250 = </t>
    </r>
    <r>
      <rPr>
        <b/>
        <u/>
        <sz val="10"/>
        <color rgb="FF000000"/>
        <rFont val="Arial"/>
        <family val="2"/>
        <charset val="162"/>
      </rPr>
      <t>8345</t>
    </r>
  </si>
  <si>
    <r>
      <t>TUSDATA 2025    22/30   79605 -</t>
    </r>
    <r>
      <rPr>
        <b/>
        <u/>
        <sz val="10"/>
        <color rgb="FF000000"/>
        <rFont val="Arial"/>
        <family val="2"/>
        <charset val="162"/>
      </rPr>
      <t xml:space="preserve"> 8845</t>
    </r>
    <r>
      <rPr>
        <sz val="10"/>
        <color rgb="FF000000"/>
        <rFont val="Arial"/>
        <family val="2"/>
        <charset val="162"/>
      </rPr>
      <t xml:space="preserve"> = 70760</t>
    </r>
  </si>
  <si>
    <t>2025 01 tüfe</t>
  </si>
  <si>
    <t>doğuş</t>
  </si>
  <si>
    <t>march benzin umut mezuniyet</t>
  </si>
  <si>
    <t>İş ytrm 1626748 801          adem özen kira</t>
  </si>
  <si>
    <t>İş ytrm 1626748 801                 satış 21</t>
  </si>
  <si>
    <t>umut passtrm</t>
  </si>
  <si>
    <t>ksp</t>
  </si>
  <si>
    <t>coşkun giyim mont-pant</t>
  </si>
  <si>
    <t>kanat</t>
  </si>
  <si>
    <t>tv-kağıt-hvl</t>
  </si>
  <si>
    <t>aof 4. dönem ücreti</t>
  </si>
  <si>
    <t>ali demirel ihtar noter msrf için av. Emrullaha havale</t>
  </si>
  <si>
    <t>A101</t>
  </si>
  <si>
    <t>EMRAR ARAR</t>
  </si>
  <si>
    <t xml:space="preserve">pide   </t>
  </si>
  <si>
    <t>bahçe benzin</t>
  </si>
  <si>
    <t>tantuni</t>
  </si>
  <si>
    <t>DAU yasemin okul</t>
  </si>
  <si>
    <t xml:space="preserve"> 2024 / 7/9 iş kk</t>
  </si>
  <si>
    <t>NİSAN 2025 e</t>
  </si>
  <si>
    <t>vodafone 2240</t>
  </si>
  <si>
    <t>kar</t>
  </si>
  <si>
    <t>satış</t>
  </si>
  <si>
    <t>gün</t>
  </si>
  <si>
    <t>aylık</t>
  </si>
  <si>
    <t>net</t>
  </si>
  <si>
    <t>thyo</t>
  </si>
  <si>
    <t>İş ytrm 1626748 THYAO             satış 120</t>
  </si>
  <si>
    <t>iş ytrm 382789 801             nzn EMANET</t>
  </si>
  <si>
    <t>ALİ DEMİREL (219000) VE SALİH ANT(290000) ÖDEMELERİ MAHKEMEDE İADE OLABİLECEĞİ İÇİN ÖDEME YAPILMADI</t>
  </si>
  <si>
    <t>YATIRIM SATIŞI SONUCU</t>
  </si>
  <si>
    <t>KAR</t>
  </si>
  <si>
    <t>audi akü ahmet karan</t>
  </si>
  <si>
    <t xml:space="preserve"> - 1 / 6 - </t>
  </si>
  <si>
    <t>tcdd 2 kişi buss tokat-ank     27-3</t>
  </si>
  <si>
    <t>topçam ankara tokat dönüş      09-04-25</t>
  </si>
  <si>
    <t>mrcmk</t>
  </si>
  <si>
    <t>edeler dondurma</t>
  </si>
  <si>
    <t>audi buji örkç</t>
  </si>
  <si>
    <t>audi buji 1800 bobin 650 antfrz 600 işç "1000</t>
  </si>
  <si>
    <t>audi turbo soğ radyt  örkç</t>
  </si>
  <si>
    <t>audi yağ hava-yağ filt</t>
  </si>
  <si>
    <t>toyota benz sivas peri</t>
  </si>
  <si>
    <t>aşçıbaşı köfte</t>
  </si>
  <si>
    <t>a101 yıldızeli</t>
  </si>
  <si>
    <t>???????</t>
  </si>
  <si>
    <t>BELEDİYE sanayi sayaç 7 taksitler</t>
  </si>
  <si>
    <t>audi motor</t>
  </si>
  <si>
    <t>audi zincir</t>
  </si>
  <si>
    <t>hvl masraf</t>
  </si>
  <si>
    <t>elektrikçi adnan işçilik</t>
  </si>
  <si>
    <t>emrullah - ali demirel istinaf</t>
  </si>
  <si>
    <t>audi için  kk toplam</t>
  </si>
  <si>
    <t>audi zincir iş havale</t>
  </si>
  <si>
    <t>audi motor iş havale</t>
  </si>
  <si>
    <t>elektrikçi adnan işçilik iş havale</t>
  </si>
  <si>
    <t>audi toplam masraf</t>
  </si>
  <si>
    <t>motor işçilik</t>
  </si>
  <si>
    <t>audi toplam masraf nisan ayı kk hesabı altında</t>
  </si>
  <si>
    <t>euro borç tl karşılığı rum kesimi mrkt khv</t>
  </si>
  <si>
    <t>akü 6*625</t>
  </si>
  <si>
    <t>bayram harçlığı</t>
  </si>
  <si>
    <t>KK 5165 Denizbank     27-3-25</t>
  </si>
  <si>
    <t xml:space="preserve"> - 2 / 6 - </t>
  </si>
  <si>
    <t xml:space="preserve"> - 3 / 6 - </t>
  </si>
  <si>
    <t xml:space="preserve"> - 6 / 6 - </t>
  </si>
  <si>
    <t xml:space="preserve"> - 5 / 6 - </t>
  </si>
  <si>
    <t xml:space="preserve"> - 4 / 6 - </t>
  </si>
  <si>
    <t>motor nakliye volkan çetiner</t>
  </si>
  <si>
    <t>alumba kira damga vergisi</t>
  </si>
  <si>
    <t xml:space="preserve">gau forex  -v %2    3791 * 2 / 100 = 76=&gt; 91                        </t>
  </si>
  <si>
    <t>umut bayram elden</t>
  </si>
  <si>
    <t>219 dan</t>
  </si>
  <si>
    <t>290 dan</t>
  </si>
  <si>
    <t>MAYIS 2025 e</t>
  </si>
  <si>
    <t>komisyon</t>
  </si>
  <si>
    <t>yasemin okul için</t>
  </si>
  <si>
    <t xml:space="preserve">gau forex  -v %2    3816 * 2 / 100 = 76=&gt; 91                        </t>
  </si>
  <si>
    <t>2024 den devir PERİ BORÇLU</t>
  </si>
  <si>
    <t>peri_2024-f65</t>
  </si>
  <si>
    <t>audi motor                nisan 04_25- d86</t>
  </si>
  <si>
    <t>Taksit 6/12 - 36500 peri havale</t>
  </si>
  <si>
    <t xml:space="preserve">Taksit 7/12 - 36500 </t>
  </si>
  <si>
    <t>pervin 407100-41600</t>
  </si>
  <si>
    <t xml:space="preserve">pervin </t>
  </si>
  <si>
    <t>pervin audi motor</t>
  </si>
  <si>
    <t>nzn satış ve havale  20 adet</t>
  </si>
  <si>
    <t>801 alış</t>
  </si>
  <si>
    <t>801 satış</t>
  </si>
  <si>
    <t>komisyon iş 801</t>
  </si>
  <si>
    <t>NAZAN ÖZKAN 2024-2025 ÖDEMELER</t>
  </si>
  <si>
    <t xml:space="preserve">ali demirel ve salih ant mahkeme sürecinde iade olabileceği için </t>
  </si>
  <si>
    <t xml:space="preserve">Nazan 2024 ve 2025 hesabı için,  </t>
  </si>
  <si>
    <t>nisan 2025 den itibaren her ay 20 adet fon starak nazana gönderilecek</t>
  </si>
  <si>
    <t>872  TL den 240 adet iş 801 fon aldım</t>
  </si>
  <si>
    <t>kalan fon</t>
  </si>
  <si>
    <t>iş 801 fon</t>
  </si>
  <si>
    <t>nazan 2024            139000     23,5384%</t>
  </si>
  <si>
    <t>sny b 290 dan          68000     23,5384%</t>
  </si>
  <si>
    <t>motor kulakları yağ çubuğu   kk</t>
  </si>
  <si>
    <t>Gram Altın 438000 TL/2637 TL/gr</t>
  </si>
  <si>
    <t>Çocukların okul masrafları için altın olarak biriktirdiğim parayı</t>
  </si>
  <si>
    <t xml:space="preserve"> faiz ödemesin diye  verdim. Ayda 36 500 ödeyebilirim dedi</t>
  </si>
  <si>
    <t>TL/gr</t>
  </si>
  <si>
    <t>araç için bozdurduğum gr altın</t>
  </si>
  <si>
    <t>hacı - Pervin</t>
  </si>
  <si>
    <t>ALTIN (yasemin ev kirası)</t>
  </si>
  <si>
    <t>AUDİ KAZA HESAPTAN</t>
  </si>
  <si>
    <t>hacı-Pervin</t>
  </si>
  <si>
    <t>ZİRAAT KREDİ - ali balcıdan</t>
  </si>
  <si>
    <t>PERVİN ALTIN - fiziki</t>
  </si>
  <si>
    <t>3450 TL ödemeli ziraat kredi borcunu</t>
  </si>
  <si>
    <t>Ali balcı nakit olarak verdi</t>
  </si>
  <si>
    <t>Pervin kredi olarak aylık ziraate ödeyecek</t>
  </si>
  <si>
    <t xml:space="preserve">36500/2626 TLgr=166,10-13,90=142,20 </t>
  </si>
  <si>
    <t xml:space="preserve">36000/2801 TLgr=142,2-12,85=139,35 </t>
  </si>
  <si>
    <t xml:space="preserve">36000/2905 TLgr=139,35-12,39=126,96 </t>
  </si>
  <si>
    <t xml:space="preserve">35800/2898 TLgr=126,96-12,35=114,54 </t>
  </si>
  <si>
    <t xml:space="preserve">38000/2970 TLgr=114,54-12,79=101,75 </t>
  </si>
  <si>
    <t xml:space="preserve">36000/3045 TLgr=114,54-11,82=102,72 </t>
  </si>
  <si>
    <t>26000/3413 TLgr=102,72-7,62= 95,10</t>
  </si>
  <si>
    <t xml:space="preserve">36000/3650 TLgr=95,10-9,86= 85,24 </t>
  </si>
  <si>
    <t>klima</t>
  </si>
  <si>
    <t>av.emrulah-merdalkipel-tahliye</t>
  </si>
  <si>
    <t>eziç yemek</t>
  </si>
  <si>
    <t>çilem ltd. hellim</t>
  </si>
  <si>
    <t>mrk</t>
  </si>
  <si>
    <t>pide kmç</t>
  </si>
  <si>
    <t>kftc ysf</t>
  </si>
  <si>
    <t>benzin bahçe</t>
  </si>
  <si>
    <t>işkmb</t>
  </si>
  <si>
    <t>audi silecek</t>
  </si>
  <si>
    <t>audi antifiriz vs</t>
  </si>
  <si>
    <t>kfc</t>
  </si>
  <si>
    <t>alphamega</t>
  </si>
  <si>
    <t xml:space="preserve"> 2024 / 10</t>
  </si>
  <si>
    <t>silecek</t>
  </si>
  <si>
    <t>antifiriz vs</t>
  </si>
  <si>
    <t>fren disk ön</t>
  </si>
  <si>
    <t>fren balata ön arka</t>
  </si>
  <si>
    <t>fren disk arka torna</t>
  </si>
  <si>
    <t>fren işçilik</t>
  </si>
  <si>
    <t>şanzıman</t>
  </si>
  <si>
    <t>march benzin umut askerlik</t>
  </si>
  <si>
    <t>önder mrkt</t>
  </si>
  <si>
    <t>gıda</t>
  </si>
  <si>
    <t>merve halı</t>
  </si>
  <si>
    <t>ocaklı şeker</t>
  </si>
  <si>
    <t>has ort</t>
  </si>
  <si>
    <t>grostan</t>
  </si>
  <si>
    <t>mrck</t>
  </si>
  <si>
    <t>kalan 801</t>
  </si>
  <si>
    <t>HAZİRAN 2025 e</t>
  </si>
  <si>
    <t>VODA 2240</t>
  </si>
  <si>
    <t xml:space="preserve">36500/3950 TLgr=85,24-9,24 = 76 </t>
  </si>
  <si>
    <t>Pervin Kredi sordu- 300000 TL veriyolarmış 12 AYDA 450000 TL GERİ  ödemesi varmış</t>
  </si>
  <si>
    <t>300000 den fazla vermiyor banka</t>
  </si>
  <si>
    <t>iş 801 satış</t>
  </si>
  <si>
    <t>KK 4876 İşbank 24,09 euro x44,2038</t>
  </si>
  <si>
    <t>applksyn</t>
  </si>
  <si>
    <t>ifraz</t>
  </si>
  <si>
    <t>bld hrc</t>
  </si>
  <si>
    <t>kdstr hrc</t>
  </si>
  <si>
    <t>tapu</t>
  </si>
  <si>
    <t>iş 801 stış</t>
  </si>
  <si>
    <t>yasemin kira</t>
  </si>
  <si>
    <t>lise arksı ifraz</t>
  </si>
  <si>
    <t>kişi</t>
  </si>
  <si>
    <t>belediye sayaç sanayi</t>
  </si>
  <si>
    <t>çiçek anneler günü 700+</t>
  </si>
  <si>
    <t>kanatçı</t>
  </si>
  <si>
    <t>kays-ercan umut yemin trni</t>
  </si>
  <si>
    <t>kays topçam bilet</t>
  </si>
  <si>
    <t>kays tokat yıldızı bilet</t>
  </si>
  <si>
    <t>kays bldy otobüs</t>
  </si>
  <si>
    <t xml:space="preserve">bakery </t>
  </si>
  <si>
    <t>ilkay yemek ecosse</t>
  </si>
  <si>
    <t>kays altıntabak şiş</t>
  </si>
  <si>
    <t>kays bldy metro</t>
  </si>
  <si>
    <t>kays bldy metro cmhryt meydan</t>
  </si>
  <si>
    <t>kays bldy otobüs havaalanı</t>
  </si>
  <si>
    <t>kahve</t>
  </si>
  <si>
    <t>akkuş mrkt</t>
  </si>
  <si>
    <t>tcdd tkt kurban bayranı</t>
  </si>
  <si>
    <t>tcdd ist kurban bayranı  4-10 hzrn</t>
  </si>
  <si>
    <t>iş kk</t>
  </si>
  <si>
    <t>belediye emlak ayşe</t>
  </si>
  <si>
    <t>belediye emlak hacı</t>
  </si>
  <si>
    <t>belediye emlak sanayi</t>
  </si>
  <si>
    <t>duş spiral</t>
  </si>
  <si>
    <t>dom-bibr fide</t>
  </si>
  <si>
    <t>çapa benzn</t>
  </si>
  <si>
    <t>kurban mehmetçik vakfı</t>
  </si>
  <si>
    <t xml:space="preserve"> 0 -3</t>
  </si>
  <si>
    <t>kurban kızılay peri nakit ödedi</t>
  </si>
  <si>
    <t xml:space="preserve">maaş kurban bayramlık </t>
  </si>
  <si>
    <t>35000/4150 TLgr=76 - 8,43  =  67,57</t>
  </si>
  <si>
    <t>TEMMUZ  2025 e</t>
  </si>
  <si>
    <t>nzn satış ve havale  20 adet      1/12</t>
  </si>
  <si>
    <t>nzn satış ve havale  20 adet      2/12</t>
  </si>
  <si>
    <t>nzn satış ve havale  20 adet      3/12</t>
  </si>
  <si>
    <t>nzn satış ve havale  20 adet      4/12</t>
  </si>
  <si>
    <t>nzn satış ve havale  20 adet      5/12</t>
  </si>
  <si>
    <t>nzn satış ve havale  20 adet      6/12</t>
  </si>
  <si>
    <t>nzn satış ve havale  20 adet      7/12</t>
  </si>
  <si>
    <t>nzn satış ve havale  20 adet      8/12</t>
  </si>
  <si>
    <t>nzn satış ve havale  20 adet      9/12</t>
  </si>
  <si>
    <t>nzn satış ve havale  20 adet   10/12</t>
  </si>
  <si>
    <t>nzn satış ve havale  20 adet   11/12</t>
  </si>
  <si>
    <t>nzn satış ve havale  20 adet   12/12</t>
  </si>
  <si>
    <t>devletten</t>
  </si>
  <si>
    <t xml:space="preserve"> 1 -3</t>
  </si>
  <si>
    <t>yağlı ist kurban byram</t>
  </si>
  <si>
    <t>otobüs</t>
  </si>
  <si>
    <t>otopark</t>
  </si>
  <si>
    <t>bim mrkt</t>
  </si>
  <si>
    <t>playland</t>
  </si>
  <si>
    <t>decathlon</t>
  </si>
  <si>
    <t>kamil dizel opet</t>
  </si>
  <si>
    <t>turşu</t>
  </si>
  <si>
    <t>flo polo</t>
  </si>
  <si>
    <t>flo dockers</t>
  </si>
  <si>
    <t>atasun yasemin güneş gzlğü</t>
  </si>
  <si>
    <t xml:space="preserve"> 1 -6</t>
  </si>
  <si>
    <t>paşa işkembe ist dönüş</t>
  </si>
  <si>
    <t>çanta</t>
  </si>
  <si>
    <t>pastırma umut</t>
  </si>
  <si>
    <t>fide</t>
  </si>
  <si>
    <t>lider pide ist</t>
  </si>
  <si>
    <t>fide-çorap arif ustadan emanet</t>
  </si>
  <si>
    <t>doğuş üsk kat cam camcı isa</t>
  </si>
  <si>
    <t>sny b 290 dan 2025-    68000     23,5384%</t>
  </si>
  <si>
    <t>nazan 2024-               139000     23,5384%</t>
  </si>
  <si>
    <t>ALİ DEMİREL (219000) VE SALİH ANT(290000) ÖDEMELERİ MAHKEMEDE İADE OLABİLECEĞİ İÇİN PEŞİN ÖDEME YAPILMADI</t>
  </si>
  <si>
    <t xml:space="preserve">Nazan 2024 ve 2025 (sadece salih ant 290,000 TL) hesabı için,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</si>
</sst>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9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%0.00"/>
    <numFmt numFmtId="172" formatCode="0.00_ ;[Red]\-0.00\ "/>
    <numFmt numFmtId="173" formatCode="d\.mmm"/>
    <numFmt numFmtId="174" formatCode="dd/mmm"/>
    <numFmt numFmtId="175" formatCode="dd\.mm\.yyyy"/>
    <numFmt numFmtId="176" formatCode="dd/mm/yyyy"/>
    <numFmt numFmtId="177" formatCode="dd/mm/yy;@"/>
    <numFmt numFmtId="178" formatCode="[$₺-41F]#,##0.00;[Red]\-[$₺-41F]#,##0.00"/>
    <numFmt numFmtId="179" formatCode="#,##0.000000"/>
    <numFmt numFmtId="180" formatCode="#,##0.0000"/>
    <numFmt numFmtId="181" formatCode="_-* #,##0.00_-;\-* #,##0.00_-;_-* \-??_-;_-@_-"/>
    <numFmt numFmtId="182" formatCode="#,##0.00;[Red]#,##0.00"/>
    <numFmt numFmtId="183" formatCode="d\.mm\.yyyy"/>
    <numFmt numFmtId="184" formatCode="#,##0.00\ ;[Red]\-#,##0.00\ "/>
    <numFmt numFmtId="185" formatCode="#,##0.000"/>
    <numFmt numFmtId="186" formatCode="0_ ;[Red]\-0\ "/>
    <numFmt numFmtId="187" formatCode="#,##0.000000000;[Red]\-#,##0.000000000"/>
    <numFmt numFmtId="188" formatCode="0.000%"/>
    <numFmt numFmtId="189" formatCode="0.000000_ ;[Red]\-0.000000\ "/>
    <numFmt numFmtId="190" formatCode="%0.000"/>
    <numFmt numFmtId="191" formatCode="0.000_ ;[Red]\-0.000\ "/>
    <numFmt numFmtId="192" formatCode="#,##0_ ;\-#,##0\ "/>
  </numFmts>
  <fonts count="55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i/>
      <u/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  <font>
      <b/>
      <i/>
      <u/>
      <sz val="10"/>
      <color rgb="FFFF0000"/>
      <name val="Liberation Sans1"/>
      <charset val="162"/>
    </font>
    <font>
      <b/>
      <sz val="10"/>
      <color theme="1"/>
      <name val="Liberation Sans1"/>
      <charset val="162"/>
    </font>
    <font>
      <sz val="10"/>
      <color theme="1"/>
      <name val="Liberation Sans1"/>
      <charset val="162"/>
    </font>
    <font>
      <b/>
      <u/>
      <sz val="8"/>
      <color rgb="FF000000"/>
      <name val="Liberation Sans1"/>
      <charset val="162"/>
    </font>
    <font>
      <b/>
      <sz val="14"/>
      <color rgb="FF000000"/>
      <name val="Liberation Sans1"/>
      <charset val="162"/>
    </font>
    <font>
      <sz val="10"/>
      <name val="Liberation Sans1"/>
      <charset val="162"/>
    </font>
    <font>
      <b/>
      <sz val="10"/>
      <name val="Liberation Sans1"/>
      <charset val="162"/>
    </font>
    <font>
      <u/>
      <sz val="9"/>
      <color rgb="FF000000"/>
      <name val="Liberation Sans1"/>
      <charset val="162"/>
    </font>
  </fonts>
  <fills count="54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theme="9" tint="0.79989013336588644"/>
        <bgColor rgb="FFE2EFDA"/>
      </patternFill>
    </fill>
    <fill>
      <patternFill patternType="solid">
        <fgColor rgb="FFFFBF00"/>
        <bgColor rgb="FFFFFF00"/>
      </patternFill>
    </fill>
    <fill>
      <patternFill patternType="solid">
        <fgColor theme="5" tint="0.79989013336588644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E2EFD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rgb="FFE2EFDA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2F0D9"/>
        <bgColor rgb="FFE2EFDA"/>
      </patternFill>
    </fill>
    <fill>
      <patternFill patternType="solid">
        <fgColor theme="9" tint="0.39997558519241921"/>
        <bgColor rgb="FFE2EFDA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rgb="FFE2EFDA"/>
      </patternFill>
    </fill>
  </fills>
  <borders count="36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 style="thin">
        <color indexed="64"/>
      </bottom>
      <diagonal/>
    </border>
  </borders>
  <cellStyleXfs count="24">
    <xf numFmtId="0" fontId="0" fillId="0" borderId="0"/>
    <xf numFmtId="181" fontId="46" fillId="0" borderId="0" applyBorder="0" applyProtection="0"/>
    <xf numFmtId="166" fontId="46" fillId="0" borderId="0" applyBorder="0" applyProtection="0"/>
    <xf numFmtId="0" fontId="2" fillId="2" borderId="0" applyBorder="0" applyProtection="0"/>
    <xf numFmtId="0" fontId="2" fillId="3" borderId="0" applyBorder="0" applyProtection="0"/>
    <xf numFmtId="0" fontId="3" fillId="4" borderId="0" applyBorder="0" applyProtection="0"/>
    <xf numFmtId="0" fontId="3" fillId="0" borderId="0" applyBorder="0" applyProtection="0"/>
    <xf numFmtId="0" fontId="4" fillId="5" borderId="0" applyBorder="0" applyProtection="0"/>
    <xf numFmtId="0" fontId="5" fillId="6" borderId="0" applyBorder="0" applyProtection="0"/>
    <xf numFmtId="0" fontId="6" fillId="0" borderId="0" applyBorder="0" applyProtection="0"/>
    <xf numFmtId="0" fontId="7" fillId="7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0" borderId="0" applyBorder="0" applyProtection="0"/>
    <xf numFmtId="0" fontId="12" fillId="8" borderId="0" applyBorder="0" applyProtection="0"/>
    <xf numFmtId="0" fontId="13" fillId="8" borderId="1" applyProtection="0"/>
    <xf numFmtId="0" fontId="14" fillId="0" borderId="0" applyBorder="0" applyProtection="0"/>
    <xf numFmtId="0" fontId="46" fillId="0" borderId="0" applyBorder="0" applyProtection="0"/>
    <xf numFmtId="0" fontId="46" fillId="0" borderId="0" applyBorder="0" applyProtection="0"/>
    <xf numFmtId="0" fontId="4" fillId="0" borderId="0" applyBorder="0" applyProtection="0"/>
    <xf numFmtId="0" fontId="19" fillId="9" borderId="0" applyBorder="0" applyProtection="0"/>
    <xf numFmtId="0" fontId="20" fillId="10" borderId="0" applyBorder="0" applyProtection="0"/>
    <xf numFmtId="0" fontId="27" fillId="11" borderId="0" applyBorder="0" applyProtection="0"/>
  </cellStyleXfs>
  <cellXfs count="571">
    <xf numFmtId="0" fontId="0" fillId="0" borderId="0" xfId="0"/>
    <xf numFmtId="164" fontId="0" fillId="0" borderId="0" xfId="0" applyNumberFormat="1"/>
    <xf numFmtId="4" fontId="0" fillId="0" borderId="0" xfId="0" applyNumberFormat="1"/>
    <xf numFmtId="0" fontId="3" fillId="0" borderId="0" xfId="0" applyFont="1"/>
    <xf numFmtId="4" fontId="3" fillId="0" borderId="0" xfId="0" applyNumberFormat="1" applyFont="1" applyAlignment="1">
      <alignment horizontal="right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wrapText="1"/>
    </xf>
    <xf numFmtId="4" fontId="15" fillId="0" borderId="0" xfId="0" applyNumberFormat="1" applyFont="1" applyAlignment="1">
      <alignment horizontal="right"/>
    </xf>
    <xf numFmtId="0" fontId="0" fillId="0" borderId="0" xfId="0" applyFont="1"/>
    <xf numFmtId="4" fontId="0" fillId="12" borderId="0" xfId="0" applyNumberFormat="1" applyFill="1"/>
    <xf numFmtId="164" fontId="0" fillId="0" borderId="0" xfId="0" applyNumberFormat="1"/>
    <xf numFmtId="0" fontId="0" fillId="0" borderId="0" xfId="0"/>
    <xf numFmtId="4" fontId="0" fillId="0" borderId="0" xfId="0" applyNumberFormat="1"/>
    <xf numFmtId="4" fontId="3" fillId="0" borderId="2" xfId="0" applyNumberFormat="1" applyFont="1" applyBorder="1"/>
    <xf numFmtId="4" fontId="3" fillId="0" borderId="3" xfId="0" applyNumberFormat="1" applyFont="1" applyBorder="1"/>
    <xf numFmtId="4" fontId="3" fillId="0" borderId="4" xfId="0" applyNumberFormat="1" applyFont="1" applyBorder="1"/>
    <xf numFmtId="4" fontId="3" fillId="0" borderId="5" xfId="0" applyNumberFormat="1" applyFont="1" applyBorder="1" applyAlignment="1">
      <alignment horizontal="right"/>
    </xf>
    <xf numFmtId="4" fontId="3" fillId="0" borderId="0" xfId="0" applyNumberFormat="1" applyFont="1"/>
    <xf numFmtId="0" fontId="3" fillId="0" borderId="0" xfId="0" applyFont="1" applyAlignment="1">
      <alignment horizontal="right"/>
    </xf>
    <xf numFmtId="0" fontId="16" fillId="13" borderId="0" xfId="0" applyFont="1" applyFill="1" applyAlignment="1">
      <alignment horizontal="left"/>
    </xf>
    <xf numFmtId="165" fontId="17" fillId="13" borderId="6" xfId="0" applyNumberFormat="1" applyFont="1" applyFill="1" applyBorder="1" applyAlignment="1">
      <alignment horizontal="center"/>
    </xf>
    <xf numFmtId="165" fontId="17" fillId="13" borderId="7" xfId="0" applyNumberFormat="1" applyFont="1" applyFill="1" applyBorder="1" applyAlignment="1">
      <alignment horizontal="center"/>
    </xf>
    <xf numFmtId="165" fontId="17" fillId="13" borderId="8" xfId="0" applyNumberFormat="1" applyFont="1" applyFill="1" applyBorder="1" applyAlignment="1">
      <alignment horizontal="right"/>
    </xf>
    <xf numFmtId="165" fontId="17" fillId="13" borderId="6" xfId="0" applyNumberFormat="1" applyFont="1" applyFill="1" applyBorder="1" applyAlignment="1">
      <alignment horizontal="right"/>
    </xf>
    <xf numFmtId="165" fontId="17" fillId="14" borderId="8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8" fillId="15" borderId="9" xfId="0" applyNumberFormat="1" applyFont="1" applyFill="1" applyBorder="1" applyAlignment="1">
      <alignment horizontal="center" vertical="center"/>
    </xf>
    <xf numFmtId="165" fontId="17" fillId="13" borderId="7" xfId="0" applyNumberFormat="1" applyFont="1" applyFill="1" applyBorder="1" applyAlignment="1">
      <alignment horizontal="right"/>
    </xf>
    <xf numFmtId="166" fontId="0" fillId="15" borderId="10" xfId="0" applyNumberFormat="1" applyFill="1" applyBorder="1" applyAlignment="1">
      <alignment horizontal="center" vertical="center"/>
    </xf>
    <xf numFmtId="166" fontId="0" fillId="16" borderId="11" xfId="0" applyNumberFormat="1" applyFill="1" applyBorder="1" applyAlignment="1">
      <alignment horizontal="center" vertical="center"/>
    </xf>
    <xf numFmtId="4" fontId="0" fillId="16" borderId="12" xfId="0" applyNumberFormat="1" applyFont="1" applyFill="1" applyBorder="1" applyAlignment="1">
      <alignment horizontal="center" vertical="center"/>
    </xf>
    <xf numFmtId="167" fontId="0" fillId="17" borderId="0" xfId="0" applyNumberFormat="1" applyFill="1"/>
    <xf numFmtId="167" fontId="0" fillId="18" borderId="0" xfId="0" applyNumberFormat="1" applyFill="1"/>
    <xf numFmtId="165" fontId="0" fillId="14" borderId="13" xfId="0" applyNumberFormat="1" applyFill="1" applyBorder="1"/>
    <xf numFmtId="0" fontId="0" fillId="0" borderId="0" xfId="0" applyFont="1" applyAlignment="1">
      <alignment horizontal="right"/>
    </xf>
    <xf numFmtId="4" fontId="0" fillId="15" borderId="10" xfId="0" applyNumberFormat="1" applyFill="1" applyBorder="1"/>
    <xf numFmtId="0" fontId="0" fillId="16" borderId="11" xfId="0" applyFill="1" applyBorder="1"/>
    <xf numFmtId="0" fontId="0" fillId="16" borderId="12" xfId="0" applyFill="1" applyBorder="1"/>
    <xf numFmtId="1" fontId="0" fillId="15" borderId="10" xfId="0" applyNumberFormat="1" applyFill="1" applyBorder="1"/>
    <xf numFmtId="4" fontId="0" fillId="16" borderId="11" xfId="0" applyNumberFormat="1" applyFill="1" applyBorder="1"/>
    <xf numFmtId="0" fontId="0" fillId="0" borderId="0" xfId="0" applyFont="1" applyAlignment="1">
      <alignment horizontal="left"/>
    </xf>
    <xf numFmtId="3" fontId="0" fillId="16" borderId="12" xfId="0" applyNumberFormat="1" applyFill="1" applyBorder="1"/>
    <xf numFmtId="4" fontId="0" fillId="16" borderId="12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3" fillId="19" borderId="0" xfId="0" applyFont="1" applyFill="1"/>
    <xf numFmtId="165" fontId="0" fillId="14" borderId="0" xfId="0" applyNumberFormat="1" applyFill="1"/>
    <xf numFmtId="0" fontId="0" fillId="19" borderId="2" xfId="0" applyFill="1" applyBorder="1"/>
    <xf numFmtId="0" fontId="0" fillId="19" borderId="14" xfId="0" applyFill="1" applyBorder="1"/>
    <xf numFmtId="1" fontId="3" fillId="15" borderId="9" xfId="0" applyNumberFormat="1" applyFont="1" applyFill="1" applyBorder="1"/>
    <xf numFmtId="4" fontId="3" fillId="16" borderId="2" xfId="0" applyNumberFormat="1" applyFont="1" applyFill="1" applyBorder="1"/>
    <xf numFmtId="3" fontId="3" fillId="16" borderId="3" xfId="0" applyNumberFormat="1" applyFont="1" applyFill="1" applyBorder="1"/>
    <xf numFmtId="168" fontId="18" fillId="0" borderId="15" xfId="0" applyNumberFormat="1" applyFont="1" applyBorder="1"/>
    <xf numFmtId="4" fontId="18" fillId="0" borderId="16" xfId="0" applyNumberFormat="1" applyFont="1" applyBorder="1"/>
    <xf numFmtId="4" fontId="18" fillId="0" borderId="15" xfId="0" applyNumberFormat="1" applyFont="1" applyBorder="1"/>
    <xf numFmtId="4" fontId="0" fillId="14" borderId="15" xfId="0" applyNumberFormat="1" applyFill="1" applyBorder="1"/>
    <xf numFmtId="0" fontId="0" fillId="0" borderId="17" xfId="0" applyBorder="1"/>
    <xf numFmtId="4" fontId="18" fillId="0" borderId="18" xfId="0" applyNumberFormat="1" applyFont="1" applyBorder="1"/>
    <xf numFmtId="1" fontId="18" fillId="15" borderId="19" xfId="0" applyNumberFormat="1" applyFont="1" applyFill="1" applyBorder="1"/>
    <xf numFmtId="4" fontId="18" fillId="16" borderId="17" xfId="0" applyNumberFormat="1" applyFont="1" applyFill="1" applyBorder="1"/>
    <xf numFmtId="4" fontId="18" fillId="16" borderId="20" xfId="0" applyNumberFormat="1" applyFont="1" applyFill="1" applyBorder="1"/>
    <xf numFmtId="4" fontId="18" fillId="0" borderId="0" xfId="0" applyNumberFormat="1" applyFont="1"/>
    <xf numFmtId="165" fontId="0" fillId="0" borderId="0" xfId="0" applyNumberFormat="1"/>
    <xf numFmtId="165" fontId="3" fillId="0" borderId="0" xfId="0" applyNumberFormat="1" applyFont="1" applyAlignment="1">
      <alignment horizontal="right"/>
    </xf>
    <xf numFmtId="4" fontId="0" fillId="16" borderId="4" xfId="0" applyNumberFormat="1" applyFill="1" applyBorder="1"/>
    <xf numFmtId="4" fontId="0" fillId="16" borderId="21" xfId="0" applyNumberFormat="1" applyFill="1" applyBorder="1"/>
    <xf numFmtId="0" fontId="17" fillId="0" borderId="0" xfId="0" applyFont="1"/>
    <xf numFmtId="165" fontId="15" fillId="0" borderId="0" xfId="0" applyNumberFormat="1" applyFont="1" applyAlignment="1">
      <alignment horizontal="right"/>
    </xf>
    <xf numFmtId="4" fontId="17" fillId="0" borderId="0" xfId="0" applyNumberFormat="1" applyFont="1"/>
    <xf numFmtId="17" fontId="0" fillId="0" borderId="0" xfId="0" applyNumberFormat="1"/>
    <xf numFmtId="169" fontId="19" fillId="9" borderId="0" xfId="2" applyNumberFormat="1" applyFont="1" applyFill="1" applyBorder="1" applyProtection="1"/>
    <xf numFmtId="170" fontId="0" fillId="0" borderId="0" xfId="2" applyNumberFormat="1" applyFont="1" applyBorder="1" applyProtection="1"/>
    <xf numFmtId="0" fontId="19" fillId="9" borderId="0" xfId="21" applyFont="1" applyBorder="1" applyProtection="1"/>
    <xf numFmtId="4" fontId="21" fillId="10" borderId="0" xfId="22" applyNumberFormat="1" applyFont="1" applyBorder="1" applyProtection="1"/>
    <xf numFmtId="0" fontId="21" fillId="10" borderId="0" xfId="22" applyFont="1" applyBorder="1" applyProtection="1"/>
    <xf numFmtId="171" fontId="0" fillId="0" borderId="0" xfId="2" applyNumberFormat="1" applyFont="1" applyBorder="1" applyProtection="1"/>
    <xf numFmtId="172" fontId="3" fillId="0" borderId="0" xfId="0" applyNumberFormat="1" applyFont="1"/>
    <xf numFmtId="172" fontId="0" fillId="0" borderId="0" xfId="0" applyNumberFormat="1"/>
    <xf numFmtId="165" fontId="0" fillId="0" borderId="16" xfId="0" applyNumberFormat="1" applyFont="1" applyBorder="1" applyAlignment="1">
      <alignment horizontal="right"/>
    </xf>
    <xf numFmtId="173" fontId="0" fillId="20" borderId="0" xfId="0" applyNumberFormat="1" applyFont="1" applyFill="1"/>
    <xf numFmtId="0" fontId="22" fillId="20" borderId="0" xfId="0" applyFont="1" applyFill="1"/>
    <xf numFmtId="0" fontId="0" fillId="20" borderId="0" xfId="0" applyFill="1"/>
    <xf numFmtId="172" fontId="3" fillId="20" borderId="0" xfId="0" applyNumberFormat="1" applyFont="1" applyFill="1"/>
    <xf numFmtId="174" fontId="0" fillId="20" borderId="0" xfId="0" applyNumberFormat="1" applyFont="1" applyFill="1"/>
    <xf numFmtId="0" fontId="0" fillId="20" borderId="0" xfId="0" applyFont="1" applyFill="1"/>
    <xf numFmtId="172" fontId="0" fillId="20" borderId="0" xfId="0" applyNumberFormat="1" applyFont="1" applyFill="1"/>
    <xf numFmtId="172" fontId="0" fillId="0" borderId="0" xfId="0" applyNumberFormat="1" applyFont="1"/>
    <xf numFmtId="174" fontId="0" fillId="0" borderId="0" xfId="0" applyNumberFormat="1"/>
    <xf numFmtId="175" fontId="23" fillId="0" borderId="0" xfId="0" applyNumberFormat="1" applyFont="1"/>
    <xf numFmtId="172" fontId="3" fillId="0" borderId="0" xfId="0" applyNumberFormat="1" applyFont="1"/>
    <xf numFmtId="0" fontId="24" fillId="0" borderId="0" xfId="0" applyFont="1"/>
    <xf numFmtId="0" fontId="3" fillId="0" borderId="0" xfId="0" applyFont="1"/>
    <xf numFmtId="0" fontId="23" fillId="0" borderId="0" xfId="0" applyFont="1"/>
    <xf numFmtId="172" fontId="25" fillId="0" borderId="0" xfId="0" applyNumberFormat="1" applyFont="1"/>
    <xf numFmtId="172" fontId="25" fillId="0" borderId="0" xfId="0" applyNumberFormat="1" applyFont="1" applyBorder="1"/>
    <xf numFmtId="172" fontId="0" fillId="0" borderId="0" xfId="0" applyNumberFormat="1" applyBorder="1"/>
    <xf numFmtId="176" fontId="0" fillId="0" borderId="0" xfId="0" applyNumberFormat="1"/>
    <xf numFmtId="177" fontId="0" fillId="0" borderId="0" xfId="0" applyNumberFormat="1"/>
    <xf numFmtId="175" fontId="23" fillId="0" borderId="0" xfId="0" applyNumberFormat="1" applyFont="1"/>
    <xf numFmtId="175" fontId="0" fillId="0" borderId="0" xfId="0" applyNumberFormat="1"/>
    <xf numFmtId="175" fontId="25" fillId="0" borderId="0" xfId="0" applyNumberFormat="1" applyFont="1"/>
    <xf numFmtId="178" fontId="3" fillId="0" borderId="0" xfId="0" applyNumberFormat="1" applyFont="1"/>
    <xf numFmtId="0" fontId="0" fillId="21" borderId="0" xfId="0" applyFill="1"/>
    <xf numFmtId="0" fontId="26" fillId="21" borderId="0" xfId="0" applyFont="1" applyFill="1"/>
    <xf numFmtId="0" fontId="27" fillId="11" borderId="0" xfId="23" applyFont="1" applyBorder="1" applyProtection="1"/>
    <xf numFmtId="0" fontId="25" fillId="0" borderId="0" xfId="0" applyFont="1"/>
    <xf numFmtId="0" fontId="23" fillId="0" borderId="0" xfId="0" applyFont="1"/>
    <xf numFmtId="172" fontId="3" fillId="22" borderId="0" xfId="0" applyNumberFormat="1" applyFont="1" applyFill="1"/>
    <xf numFmtId="0" fontId="0" fillId="0" borderId="0" xfId="19" applyFont="1" applyBorder="1" applyProtection="1"/>
    <xf numFmtId="172" fontId="23" fillId="0" borderId="0" xfId="0" applyNumberFormat="1" applyFont="1"/>
    <xf numFmtId="172" fontId="25" fillId="0" borderId="22" xfId="0" applyNumberFormat="1" applyFont="1" applyBorder="1"/>
    <xf numFmtId="172" fontId="0" fillId="0" borderId="22" xfId="0" applyNumberFormat="1" applyBorder="1"/>
    <xf numFmtId="0" fontId="3" fillId="21" borderId="0" xfId="0" applyFont="1" applyFill="1"/>
    <xf numFmtId="4" fontId="0" fillId="20" borderId="0" xfId="0" applyNumberFormat="1" applyFill="1"/>
    <xf numFmtId="179" fontId="0" fillId="20" borderId="0" xfId="0" applyNumberFormat="1" applyFill="1"/>
    <xf numFmtId="4" fontId="3" fillId="20" borderId="0" xfId="0" applyNumberFormat="1" applyFont="1" applyFill="1"/>
    <xf numFmtId="172" fontId="3" fillId="0" borderId="23" xfId="0" applyNumberFormat="1" applyFont="1" applyBorder="1"/>
    <xf numFmtId="3" fontId="0" fillId="20" borderId="0" xfId="0" applyNumberFormat="1" applyFill="1"/>
    <xf numFmtId="179" fontId="3" fillId="20" borderId="0" xfId="0" applyNumberFormat="1" applyFont="1" applyFill="1"/>
    <xf numFmtId="180" fontId="0" fillId="0" borderId="0" xfId="0" applyNumberFormat="1"/>
    <xf numFmtId="0" fontId="0" fillId="0" borderId="24" xfId="0" applyBorder="1"/>
    <xf numFmtId="172" fontId="3" fillId="0" borderId="24" xfId="0" applyNumberFormat="1" applyFont="1" applyBorder="1"/>
    <xf numFmtId="172" fontId="3" fillId="0" borderId="25" xfId="0" applyNumberFormat="1" applyFont="1" applyBorder="1" applyAlignment="1">
      <alignment horizontal="right"/>
    </xf>
    <xf numFmtId="167" fontId="3" fillId="0" borderId="0" xfId="0" applyNumberFormat="1" applyFont="1"/>
    <xf numFmtId="0" fontId="3" fillId="18" borderId="0" xfId="0" applyFont="1" applyFill="1"/>
    <xf numFmtId="0" fontId="3" fillId="18" borderId="0" xfId="0" applyFont="1" applyFill="1" applyAlignment="1">
      <alignment horizontal="right"/>
    </xf>
    <xf numFmtId="4" fontId="3" fillId="18" borderId="0" xfId="0" applyNumberFormat="1" applyFont="1" applyFill="1"/>
    <xf numFmtId="4" fontId="15" fillId="0" borderId="0" xfId="0" applyNumberFormat="1" applyFont="1"/>
    <xf numFmtId="0" fontId="0" fillId="0" borderId="2" xfId="0" applyFont="1" applyBorder="1"/>
    <xf numFmtId="0" fontId="0" fillId="0" borderId="14" xfId="0" applyBorder="1"/>
    <xf numFmtId="4" fontId="0" fillId="0" borderId="14" xfId="0" applyNumberFormat="1" applyBorder="1"/>
    <xf numFmtId="4" fontId="17" fillId="0" borderId="14" xfId="0" applyNumberFormat="1" applyFont="1" applyBorder="1"/>
    <xf numFmtId="4" fontId="17" fillId="0" borderId="3" xfId="0" applyNumberFormat="1" applyFont="1" applyBorder="1"/>
    <xf numFmtId="0" fontId="0" fillId="0" borderId="11" xfId="0" applyFont="1" applyBorder="1"/>
    <xf numFmtId="4" fontId="0" fillId="0" borderId="12" xfId="0" applyNumberFormat="1" applyBorder="1"/>
    <xf numFmtId="0" fontId="3" fillId="0" borderId="4" xfId="0" applyFont="1" applyBorder="1"/>
    <xf numFmtId="0" fontId="3" fillId="0" borderId="27" xfId="0" applyFont="1" applyBorder="1"/>
    <xf numFmtId="4" fontId="3" fillId="0" borderId="27" xfId="0" applyNumberFormat="1" applyFont="1" applyBorder="1"/>
    <xf numFmtId="4" fontId="15" fillId="0" borderId="27" xfId="0" applyNumberFormat="1" applyFont="1" applyBorder="1"/>
    <xf numFmtId="4" fontId="3" fillId="0" borderId="5" xfId="0" applyNumberFormat="1" applyFont="1" applyBorder="1"/>
    <xf numFmtId="4" fontId="3" fillId="0" borderId="23" xfId="0" applyNumberFormat="1" applyFont="1" applyBorder="1"/>
    <xf numFmtId="0" fontId="0" fillId="0" borderId="22" xfId="0" applyFont="1" applyBorder="1"/>
    <xf numFmtId="4" fontId="0" fillId="0" borderId="22" xfId="0" applyNumberFormat="1" applyBorder="1"/>
    <xf numFmtId="164" fontId="17" fillId="20" borderId="0" xfId="0" applyNumberFormat="1" applyFont="1" applyFill="1"/>
    <xf numFmtId="0" fontId="17" fillId="20" borderId="0" xfId="0" applyFont="1" applyFill="1"/>
    <xf numFmtId="4" fontId="17" fillId="20" borderId="0" xfId="0" applyNumberFormat="1" applyFont="1" applyFill="1"/>
    <xf numFmtId="164" fontId="0" fillId="20" borderId="0" xfId="0" applyNumberFormat="1" applyFill="1"/>
    <xf numFmtId="0" fontId="14" fillId="0" borderId="0" xfId="0" applyFont="1"/>
    <xf numFmtId="4" fontId="14" fillId="0" borderId="0" xfId="0" applyNumberFormat="1" applyFont="1"/>
    <xf numFmtId="4" fontId="14" fillId="0" borderId="0" xfId="0" applyNumberFormat="1" applyFont="1" applyAlignment="1">
      <alignment horizontal="right"/>
    </xf>
    <xf numFmtId="0" fontId="0" fillId="0" borderId="25" xfId="0" applyBorder="1"/>
    <xf numFmtId="4" fontId="0" fillId="0" borderId="26" xfId="0" applyNumberFormat="1" applyFont="1" applyBorder="1" applyAlignment="1">
      <alignment horizontal="right"/>
    </xf>
    <xf numFmtId="0" fontId="15" fillId="0" borderId="0" xfId="0" applyFont="1" applyAlignment="1">
      <alignment horizontal="right"/>
    </xf>
    <xf numFmtId="0" fontId="28" fillId="0" borderId="0" xfId="0" applyFont="1"/>
    <xf numFmtId="181" fontId="0" fillId="0" borderId="0" xfId="1" applyFont="1" applyBorder="1" applyProtection="1"/>
    <xf numFmtId="182" fontId="29" fillId="0" borderId="0" xfId="1" applyNumberFormat="1" applyFont="1" applyBorder="1" applyProtection="1"/>
    <xf numFmtId="0" fontId="0" fillId="12" borderId="0" xfId="0" applyFont="1" applyFill="1"/>
    <xf numFmtId="165" fontId="0" fillId="21" borderId="0" xfId="0" applyNumberFormat="1" applyFill="1"/>
    <xf numFmtId="0" fontId="15" fillId="21" borderId="0" xfId="0" applyFont="1" applyFill="1"/>
    <xf numFmtId="183" fontId="0" fillId="0" borderId="0" xfId="0" applyNumberFormat="1"/>
    <xf numFmtId="184" fontId="0" fillId="0" borderId="0" xfId="0" applyNumberFormat="1"/>
    <xf numFmtId="185" fontId="0" fillId="0" borderId="0" xfId="0" applyNumberFormat="1"/>
    <xf numFmtId="165" fontId="3" fillId="0" borderId="0" xfId="0" applyNumberFormat="1" applyFont="1"/>
    <xf numFmtId="0" fontId="24" fillId="20" borderId="0" xfId="0" applyFont="1" applyFill="1"/>
    <xf numFmtId="173" fontId="0" fillId="0" borderId="0" xfId="0" applyNumberFormat="1"/>
    <xf numFmtId="175" fontId="25" fillId="20" borderId="0" xfId="0" applyNumberFormat="1" applyFont="1" applyFill="1"/>
    <xf numFmtId="172" fontId="0" fillId="20" borderId="0" xfId="0" applyNumberFormat="1" applyFill="1"/>
    <xf numFmtId="171" fontId="0" fillId="20" borderId="0" xfId="0" applyNumberFormat="1" applyFill="1"/>
    <xf numFmtId="0" fontId="25" fillId="20" borderId="0" xfId="0" applyFont="1" applyFill="1"/>
    <xf numFmtId="0" fontId="0" fillId="22" borderId="0" xfId="0" applyFont="1" applyFill="1"/>
    <xf numFmtId="171" fontId="0" fillId="0" borderId="0" xfId="0" applyNumberFormat="1"/>
    <xf numFmtId="175" fontId="0" fillId="21" borderId="0" xfId="0" applyNumberFormat="1" applyFill="1"/>
    <xf numFmtId="0" fontId="23" fillId="21" borderId="0" xfId="0" applyFont="1" applyFill="1"/>
    <xf numFmtId="179" fontId="0" fillId="0" borderId="0" xfId="0" applyNumberFormat="1"/>
    <xf numFmtId="3" fontId="0" fillId="0" borderId="0" xfId="0" applyNumberFormat="1"/>
    <xf numFmtId="167" fontId="0" fillId="0" borderId="0" xfId="0" applyNumberFormat="1"/>
    <xf numFmtId="0" fontId="22" fillId="0" borderId="0" xfId="0" applyFont="1"/>
    <xf numFmtId="0" fontId="24" fillId="0" borderId="0" xfId="0" applyFont="1"/>
    <xf numFmtId="0" fontId="16" fillId="0" borderId="0" xfId="0" applyFont="1"/>
    <xf numFmtId="178" fontId="3" fillId="22" borderId="0" xfId="0" applyNumberFormat="1" applyFont="1" applyFill="1"/>
    <xf numFmtId="174" fontId="23" fillId="0" borderId="0" xfId="0" applyNumberFormat="1" applyFont="1"/>
    <xf numFmtId="0" fontId="27" fillId="0" borderId="0" xfId="23" applyFont="1" applyFill="1" applyBorder="1" applyProtection="1"/>
    <xf numFmtId="178" fontId="0" fillId="22" borderId="0" xfId="0" applyNumberFormat="1" applyFill="1"/>
    <xf numFmtId="0" fontId="0" fillId="0" borderId="22" xfId="0" applyFont="1" applyBorder="1" applyAlignment="1">
      <alignment horizontal="right"/>
    </xf>
    <xf numFmtId="172" fontId="3" fillId="0" borderId="22" xfId="0" applyNumberFormat="1" applyFont="1" applyBorder="1"/>
    <xf numFmtId="178" fontId="0" fillId="0" borderId="0" xfId="0" applyNumberFormat="1"/>
    <xf numFmtId="174" fontId="0" fillId="13" borderId="0" xfId="0" applyNumberFormat="1" applyFill="1"/>
    <xf numFmtId="167" fontId="3" fillId="13" borderId="0" xfId="0" applyNumberFormat="1" applyFont="1" applyFill="1"/>
    <xf numFmtId="165" fontId="17" fillId="0" borderId="0" xfId="0" applyNumberFormat="1" applyFont="1" applyAlignment="1">
      <alignment horizontal="right"/>
    </xf>
    <xf numFmtId="175" fontId="0" fillId="12" borderId="0" xfId="0" applyNumberFormat="1" applyFill="1"/>
    <xf numFmtId="172" fontId="29" fillId="0" borderId="0" xfId="0" applyNumberFormat="1" applyFont="1"/>
    <xf numFmtId="175" fontId="0" fillId="22" borderId="0" xfId="0" applyNumberFormat="1" applyFill="1"/>
    <xf numFmtId="172" fontId="3" fillId="12" borderId="0" xfId="0" applyNumberFormat="1" applyFont="1" applyFill="1"/>
    <xf numFmtId="172" fontId="15" fillId="23" borderId="0" xfId="0" applyNumberFormat="1" applyFont="1" applyFill="1"/>
    <xf numFmtId="178" fontId="3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right"/>
    </xf>
    <xf numFmtId="174" fontId="28" fillId="0" borderId="0" xfId="0" applyNumberFormat="1" applyFont="1"/>
    <xf numFmtId="175" fontId="31" fillId="0" borderId="0" xfId="0" applyNumberFormat="1" applyFont="1"/>
    <xf numFmtId="167" fontId="3" fillId="22" borderId="0" xfId="0" applyNumberFormat="1" applyFont="1" applyFill="1"/>
    <xf numFmtId="167" fontId="0" fillId="21" borderId="0" xfId="0" applyNumberFormat="1" applyFill="1"/>
    <xf numFmtId="165" fontId="15" fillId="21" borderId="0" xfId="0" applyNumberFormat="1" applyFont="1" applyFill="1"/>
    <xf numFmtId="167" fontId="15" fillId="21" borderId="0" xfId="0" applyNumberFormat="1" applyFont="1" applyFill="1"/>
    <xf numFmtId="167" fontId="25" fillId="0" borderId="0" xfId="0" applyNumberFormat="1" applyFont="1"/>
    <xf numFmtId="0" fontId="25" fillId="0" borderId="0" xfId="0" applyFont="1" applyAlignment="1">
      <alignment horizontal="right"/>
    </xf>
    <xf numFmtId="167" fontId="15" fillId="0" borderId="0" xfId="0" applyNumberFormat="1" applyFont="1"/>
    <xf numFmtId="0" fontId="23" fillId="0" borderId="0" xfId="0" applyFont="1" applyAlignment="1">
      <alignment horizontal="right"/>
    </xf>
    <xf numFmtId="167" fontId="0" fillId="22" borderId="0" xfId="0" applyNumberFormat="1" applyFill="1"/>
    <xf numFmtId="171" fontId="18" fillId="24" borderId="9" xfId="0" applyNumberFormat="1" applyFont="1" applyFill="1" applyBorder="1" applyAlignment="1">
      <alignment horizontal="center" vertical="center"/>
    </xf>
    <xf numFmtId="171" fontId="18" fillId="16" borderId="2" xfId="0" applyNumberFormat="1" applyFont="1" applyFill="1" applyBorder="1" applyAlignment="1">
      <alignment horizontal="center" vertical="center"/>
    </xf>
    <xf numFmtId="4" fontId="0" fillId="16" borderId="3" xfId="0" applyNumberFormat="1" applyFill="1" applyBorder="1" applyAlignment="1">
      <alignment horizontal="center" vertical="center"/>
    </xf>
    <xf numFmtId="4" fontId="0" fillId="24" borderId="10" xfId="0" applyNumberFormat="1" applyFont="1" applyFill="1" applyBorder="1" applyAlignment="1">
      <alignment horizontal="center" vertical="center"/>
    </xf>
    <xf numFmtId="4" fontId="0" fillId="16" borderId="11" xfId="0" applyNumberFormat="1" applyFont="1" applyFill="1" applyBorder="1" applyAlignment="1">
      <alignment horizontal="center" vertical="center"/>
    </xf>
    <xf numFmtId="165" fontId="0" fillId="17" borderId="28" xfId="0" applyNumberFormat="1" applyFill="1" applyBorder="1"/>
    <xf numFmtId="165" fontId="0" fillId="17" borderId="0" xfId="0" applyNumberFormat="1" applyFill="1"/>
    <xf numFmtId="165" fontId="0" fillId="25" borderId="13" xfId="0" applyNumberFormat="1" applyFill="1" applyBorder="1"/>
    <xf numFmtId="165" fontId="0" fillId="13" borderId="13" xfId="0" applyNumberFormat="1" applyFill="1" applyBorder="1"/>
    <xf numFmtId="4" fontId="0" fillId="24" borderId="10" xfId="0" applyNumberFormat="1" applyFill="1" applyBorder="1"/>
    <xf numFmtId="0" fontId="0" fillId="24" borderId="10" xfId="0" applyFill="1" applyBorder="1"/>
    <xf numFmtId="165" fontId="0" fillId="19" borderId="28" xfId="0" applyNumberFormat="1" applyFill="1" applyBorder="1"/>
    <xf numFmtId="165" fontId="0" fillId="19" borderId="0" xfId="0" applyNumberFormat="1" applyFill="1"/>
    <xf numFmtId="165" fontId="3" fillId="19" borderId="13" xfId="0" applyNumberFormat="1" applyFont="1" applyFill="1" applyBorder="1"/>
    <xf numFmtId="0" fontId="0" fillId="19" borderId="0" xfId="0" applyFill="1"/>
    <xf numFmtId="4" fontId="3" fillId="24" borderId="9" xfId="0" applyNumberFormat="1" applyFont="1" applyFill="1" applyBorder="1"/>
    <xf numFmtId="0" fontId="0" fillId="0" borderId="15" xfId="0" applyBorder="1"/>
    <xf numFmtId="4" fontId="18" fillId="24" borderId="19" xfId="0" applyNumberFormat="1" applyFont="1" applyFill="1" applyBorder="1"/>
    <xf numFmtId="4" fontId="18" fillId="15" borderId="17" xfId="0" applyNumberFormat="1" applyFont="1" applyFill="1" applyBorder="1"/>
    <xf numFmtId="4" fontId="18" fillId="15" borderId="20" xfId="0" applyNumberFormat="1" applyFont="1" applyFill="1" applyBorder="1"/>
    <xf numFmtId="172" fontId="18" fillId="0" borderId="0" xfId="0" applyNumberFormat="1" applyFont="1"/>
    <xf numFmtId="4" fontId="0" fillId="15" borderId="11" xfId="0" applyNumberFormat="1" applyFont="1" applyFill="1" applyBorder="1"/>
    <xf numFmtId="4" fontId="0" fillId="15" borderId="29" xfId="0" applyNumberFormat="1" applyFill="1" applyBorder="1"/>
    <xf numFmtId="4" fontId="0" fillId="15" borderId="4" xfId="0" applyNumberFormat="1" applyFont="1" applyFill="1" applyBorder="1"/>
    <xf numFmtId="0" fontId="0" fillId="0" borderId="0" xfId="0" applyFont="1" applyAlignment="1">
      <alignment wrapText="1"/>
    </xf>
    <xf numFmtId="164" fontId="3" fillId="0" borderId="0" xfId="0" applyNumberFormat="1" applyFont="1"/>
    <xf numFmtId="4" fontId="32" fillId="12" borderId="0" xfId="0" applyNumberFormat="1" applyFont="1" applyFill="1"/>
    <xf numFmtId="4" fontId="0" fillId="12" borderId="9" xfId="0" applyNumberFormat="1" applyFill="1" applyBorder="1"/>
    <xf numFmtId="4" fontId="0" fillId="0" borderId="10" xfId="0" applyNumberFormat="1" applyBorder="1"/>
    <xf numFmtId="0" fontId="33" fillId="0" borderId="0" xfId="0" applyFont="1" applyAlignment="1">
      <alignment horizontal="right"/>
    </xf>
    <xf numFmtId="4" fontId="3" fillId="0" borderId="22" xfId="0" applyNumberFormat="1" applyFont="1" applyBorder="1"/>
    <xf numFmtId="4" fontId="3" fillId="0" borderId="30" xfId="0" applyNumberFormat="1" applyFont="1" applyBorder="1" applyAlignment="1">
      <alignment horizontal="right"/>
    </xf>
    <xf numFmtId="0" fontId="34" fillId="0" borderId="0" xfId="0" applyFont="1" applyAlignment="1">
      <alignment horizontal="right"/>
    </xf>
    <xf numFmtId="4" fontId="34" fillId="0" borderId="0" xfId="0" applyNumberFormat="1" applyFont="1" applyAlignment="1">
      <alignment horizontal="right"/>
    </xf>
    <xf numFmtId="4" fontId="34" fillId="0" borderId="10" xfId="0" applyNumberFormat="1" applyFont="1" applyBorder="1" applyAlignment="1">
      <alignment horizontal="right"/>
    </xf>
    <xf numFmtId="4" fontId="34" fillId="0" borderId="31" xfId="0" applyNumberFormat="1" applyFont="1" applyBorder="1" applyAlignment="1">
      <alignment horizontal="right"/>
    </xf>
    <xf numFmtId="186" fontId="0" fillId="0" borderId="0" xfId="0" applyNumberFormat="1"/>
    <xf numFmtId="175" fontId="3" fillId="0" borderId="0" xfId="0" applyNumberFormat="1" applyFont="1"/>
    <xf numFmtId="167" fontId="3" fillId="0" borderId="0" xfId="0" applyNumberFormat="1" applyFont="1" applyAlignment="1">
      <alignment horizontal="right"/>
    </xf>
    <xf numFmtId="186" fontId="3" fillId="0" borderId="0" xfId="0" applyNumberFormat="1" applyFont="1"/>
    <xf numFmtId="167" fontId="0" fillId="20" borderId="0" xfId="0" applyNumberFormat="1" applyFill="1"/>
    <xf numFmtId="186" fontId="0" fillId="20" borderId="0" xfId="0" applyNumberFormat="1" applyFill="1"/>
    <xf numFmtId="167" fontId="0" fillId="20" borderId="0" xfId="0" applyNumberFormat="1" applyFont="1" applyFill="1" applyAlignment="1">
      <alignment horizontal="right"/>
    </xf>
    <xf numFmtId="167" fontId="35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6" fillId="26" borderId="0" xfId="0" applyNumberFormat="1" applyFont="1" applyFill="1"/>
    <xf numFmtId="167" fontId="3" fillId="16" borderId="0" xfId="0" applyNumberFormat="1" applyFont="1" applyFill="1"/>
    <xf numFmtId="186" fontId="0" fillId="16" borderId="0" xfId="0" applyNumberFormat="1" applyFill="1"/>
    <xf numFmtId="167" fontId="0" fillId="16" borderId="0" xfId="0" applyNumberFormat="1" applyFont="1" applyFill="1"/>
    <xf numFmtId="0" fontId="32" fillId="0" borderId="0" xfId="0" applyFont="1"/>
    <xf numFmtId="167" fontId="32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3" fillId="27" borderId="0" xfId="0" applyNumberFormat="1" applyFont="1" applyFill="1" applyAlignment="1">
      <alignment horizontal="center"/>
    </xf>
    <xf numFmtId="186" fontId="0" fillId="27" borderId="0" xfId="0" applyNumberFormat="1" applyFont="1" applyFill="1" applyAlignment="1">
      <alignment horizontal="center"/>
    </xf>
    <xf numFmtId="0" fontId="0" fillId="27" borderId="0" xfId="0" applyFill="1"/>
    <xf numFmtId="0" fontId="3" fillId="27" borderId="0" xfId="0" applyFont="1" applyFill="1"/>
    <xf numFmtId="167" fontId="3" fillId="27" borderId="0" xfId="0" applyNumberFormat="1" applyFont="1" applyFill="1"/>
    <xf numFmtId="186" fontId="3" fillId="27" borderId="0" xfId="0" applyNumberFormat="1" applyFont="1" applyFill="1"/>
    <xf numFmtId="0" fontId="37" fillId="0" borderId="0" xfId="0" applyFont="1"/>
    <xf numFmtId="183" fontId="0" fillId="28" borderId="0" xfId="0" applyNumberFormat="1" applyFill="1"/>
    <xf numFmtId="167" fontId="38" fillId="19" borderId="0" xfId="0" applyNumberFormat="1" applyFont="1" applyFill="1"/>
    <xf numFmtId="186" fontId="0" fillId="0" borderId="0" xfId="0" applyNumberFormat="1" applyAlignment="1">
      <alignment horizontal="center"/>
    </xf>
    <xf numFmtId="183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83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8" fillId="30" borderId="0" xfId="0" applyNumberFormat="1" applyFont="1" applyFill="1"/>
    <xf numFmtId="186" fontId="38" fillId="0" borderId="0" xfId="0" applyNumberFormat="1" applyFont="1" applyAlignment="1">
      <alignment horizontal="center"/>
    </xf>
    <xf numFmtId="167" fontId="18" fillId="0" borderId="0" xfId="0" applyNumberFormat="1" applyFont="1" applyAlignment="1">
      <alignment horizontal="center"/>
    </xf>
    <xf numFmtId="182" fontId="0" fillId="0" borderId="0" xfId="0" applyNumberFormat="1"/>
    <xf numFmtId="167" fontId="30" fillId="19" borderId="0" xfId="0" applyNumberFormat="1" applyFont="1" applyFill="1" applyAlignment="1">
      <alignment horizontal="center"/>
    </xf>
    <xf numFmtId="167" fontId="16" fillId="19" borderId="0" xfId="0" applyNumberFormat="1" applyFont="1" applyFill="1" applyAlignment="1">
      <alignment horizontal="center"/>
    </xf>
    <xf numFmtId="167" fontId="3" fillId="0" borderId="15" xfId="0" applyNumberFormat="1" applyFont="1" applyBorder="1"/>
    <xf numFmtId="167" fontId="0" fillId="0" borderId="15" xfId="0" applyNumberFormat="1" applyBorder="1"/>
    <xf numFmtId="167" fontId="0" fillId="0" borderId="18" xfId="0" applyNumberFormat="1" applyBorder="1"/>
    <xf numFmtId="169" fontId="32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8" fillId="19" borderId="0" xfId="0" applyNumberFormat="1" applyFont="1" applyFill="1"/>
    <xf numFmtId="0" fontId="0" fillId="0" borderId="0" xfId="0" applyAlignment="1">
      <alignment horizontal="center"/>
    </xf>
    <xf numFmtId="165" fontId="16" fillId="12" borderId="0" xfId="0" applyNumberFormat="1" applyFont="1" applyFill="1"/>
    <xf numFmtId="183" fontId="0" fillId="20" borderId="0" xfId="0" applyNumberFormat="1" applyFill="1"/>
    <xf numFmtId="165" fontId="0" fillId="20" borderId="0" xfId="0" applyNumberFormat="1" applyFill="1"/>
    <xf numFmtId="183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3" fillId="31" borderId="0" xfId="0" applyNumberFormat="1" applyFont="1" applyFill="1"/>
    <xf numFmtId="165" fontId="38" fillId="31" borderId="0" xfId="0" applyNumberFormat="1" applyFont="1" applyFill="1"/>
    <xf numFmtId="0" fontId="0" fillId="31" borderId="0" xfId="0" applyFill="1" applyAlignment="1">
      <alignment horizontal="center"/>
    </xf>
    <xf numFmtId="0" fontId="38" fillId="0" borderId="0" xfId="0" applyFont="1" applyAlignment="1">
      <alignment horizontal="center"/>
    </xf>
    <xf numFmtId="169" fontId="18" fillId="0" borderId="0" xfId="0" applyNumberFormat="1" applyFont="1" applyAlignment="1">
      <alignment horizontal="center"/>
    </xf>
    <xf numFmtId="169" fontId="30" fillId="19" borderId="0" xfId="0" applyNumberFormat="1" applyFont="1" applyFill="1" applyAlignment="1">
      <alignment horizontal="center"/>
    </xf>
    <xf numFmtId="169" fontId="16" fillId="19" borderId="0" xfId="0" applyNumberFormat="1" applyFont="1" applyFill="1" applyAlignment="1">
      <alignment horizontal="center"/>
    </xf>
    <xf numFmtId="165" fontId="3" fillId="0" borderId="15" xfId="0" applyNumberFormat="1" applyFont="1" applyBorder="1"/>
    <xf numFmtId="165" fontId="0" fillId="0" borderId="15" xfId="0" applyNumberFormat="1" applyBorder="1"/>
    <xf numFmtId="187" fontId="0" fillId="0" borderId="0" xfId="0" applyNumberFormat="1"/>
    <xf numFmtId="165" fontId="0" fillId="0" borderId="18" xfId="0" applyNumberFormat="1" applyBorder="1"/>
    <xf numFmtId="171" fontId="0" fillId="0" borderId="0" xfId="0" applyNumberFormat="1" applyAlignment="1">
      <alignment horizontal="right"/>
    </xf>
    <xf numFmtId="0" fontId="3" fillId="0" borderId="0" xfId="0" applyFont="1" applyAlignment="1">
      <alignment horizontal="left"/>
    </xf>
    <xf numFmtId="0" fontId="0" fillId="32" borderId="0" xfId="0" applyFill="1"/>
    <xf numFmtId="165" fontId="0" fillId="32" borderId="0" xfId="0" applyNumberFormat="1" applyFill="1"/>
    <xf numFmtId="171" fontId="0" fillId="32" borderId="0" xfId="0" applyNumberFormat="1" applyFill="1"/>
    <xf numFmtId="183" fontId="0" fillId="21" borderId="0" xfId="0" applyNumberFormat="1" applyFill="1"/>
    <xf numFmtId="4" fontId="15" fillId="21" borderId="0" xfId="0" applyNumberFormat="1" applyFont="1" applyFill="1"/>
    <xf numFmtId="175" fontId="0" fillId="32" borderId="0" xfId="0" applyNumberFormat="1" applyFill="1"/>
    <xf numFmtId="0" fontId="40" fillId="0" borderId="0" xfId="0" applyFont="1"/>
    <xf numFmtId="0" fontId="24" fillId="12" borderId="0" xfId="0" applyFont="1" applyFill="1"/>
    <xf numFmtId="0" fontId="10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1" fillId="0" borderId="0" xfId="0" applyNumberFormat="1" applyFont="1"/>
    <xf numFmtId="0" fontId="42" fillId="0" borderId="0" xfId="0" applyFont="1"/>
    <xf numFmtId="0" fontId="0" fillId="33" borderId="0" xfId="0" applyFont="1" applyFill="1"/>
    <xf numFmtId="178" fontId="3" fillId="33" borderId="0" xfId="0" applyNumberFormat="1" applyFont="1" applyFill="1"/>
    <xf numFmtId="165" fontId="3" fillId="33" borderId="0" xfId="0" applyNumberFormat="1" applyFont="1" applyFill="1"/>
    <xf numFmtId="165" fontId="0" fillId="33" borderId="0" xfId="0" applyNumberFormat="1" applyFill="1"/>
    <xf numFmtId="178" fontId="3" fillId="13" borderId="0" xfId="0" applyNumberFormat="1" applyFont="1" applyFill="1"/>
    <xf numFmtId="0" fontId="25" fillId="13" borderId="0" xfId="0" applyFont="1" applyFill="1"/>
    <xf numFmtId="165" fontId="3" fillId="21" borderId="0" xfId="0" applyNumberFormat="1" applyFont="1" applyFill="1"/>
    <xf numFmtId="178" fontId="0" fillId="32" borderId="0" xfId="0" applyNumberFormat="1" applyFill="1"/>
    <xf numFmtId="4" fontId="25" fillId="13" borderId="0" xfId="0" applyNumberFormat="1" applyFont="1" applyFill="1"/>
    <xf numFmtId="171" fontId="18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32" xfId="0" applyNumberFormat="1" applyFill="1" applyBorder="1"/>
    <xf numFmtId="4" fontId="0" fillId="13" borderId="33" xfId="0" applyNumberFormat="1" applyFill="1" applyBorder="1"/>
    <xf numFmtId="165" fontId="0" fillId="19" borderId="13" xfId="0" applyNumberFormat="1" applyFill="1" applyBorder="1"/>
    <xf numFmtId="4" fontId="3" fillId="19" borderId="0" xfId="0" applyNumberFormat="1" applyFont="1" applyFill="1"/>
    <xf numFmtId="168" fontId="0" fillId="0" borderId="15" xfId="0" applyNumberFormat="1" applyBorder="1"/>
    <xf numFmtId="4" fontId="0" fillId="0" borderId="16" xfId="0" applyNumberFormat="1" applyBorder="1"/>
    <xf numFmtId="4" fontId="0" fillId="0" borderId="15" xfId="0" applyNumberFormat="1" applyBorder="1"/>
    <xf numFmtId="4" fontId="17" fillId="0" borderId="0" xfId="0" applyNumberFormat="1" applyFont="1" applyAlignment="1">
      <alignment horizontal="right"/>
    </xf>
    <xf numFmtId="4" fontId="3" fillId="0" borderId="15" xfId="0" applyNumberFormat="1" applyFont="1" applyBorder="1"/>
    <xf numFmtId="175" fontId="0" fillId="28" borderId="0" xfId="0" applyNumberFormat="1" applyFill="1"/>
    <xf numFmtId="178" fontId="3" fillId="28" borderId="0" xfId="0" applyNumberFormat="1" applyFont="1" applyFill="1"/>
    <xf numFmtId="178" fontId="25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3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3" fillId="28" borderId="0" xfId="0" applyNumberFormat="1" applyFont="1" applyFill="1"/>
    <xf numFmtId="0" fontId="0" fillId="36" borderId="0" xfId="0" applyFont="1" applyFill="1"/>
    <xf numFmtId="4" fontId="3" fillId="36" borderId="0" xfId="0" applyNumberFormat="1" applyFont="1" applyFill="1"/>
    <xf numFmtId="4" fontId="25" fillId="0" borderId="0" xfId="0" applyNumberFormat="1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3" fillId="33" borderId="0" xfId="0" applyFont="1" applyFill="1"/>
    <xf numFmtId="175" fontId="0" fillId="37" borderId="0" xfId="0" applyNumberFormat="1" applyFill="1"/>
    <xf numFmtId="165" fontId="3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3" fillId="38" borderId="0" xfId="0" applyFont="1" applyFill="1"/>
    <xf numFmtId="165" fontId="0" fillId="38" borderId="0" xfId="0" applyNumberFormat="1" applyFill="1"/>
    <xf numFmtId="0" fontId="0" fillId="38" borderId="7" xfId="0" applyFont="1" applyFill="1" applyBorder="1"/>
    <xf numFmtId="165" fontId="0" fillId="38" borderId="7" xfId="0" applyNumberFormat="1" applyFill="1" applyBorder="1"/>
    <xf numFmtId="0" fontId="44" fillId="0" borderId="22" xfId="0" applyFont="1" applyBorder="1"/>
    <xf numFmtId="165" fontId="0" fillId="0" borderId="22" xfId="0" applyNumberFormat="1" applyBorder="1"/>
    <xf numFmtId="0" fontId="44" fillId="0" borderId="7" xfId="0" applyFont="1" applyBorder="1"/>
    <xf numFmtId="165" fontId="0" fillId="0" borderId="7" xfId="0" applyNumberFormat="1" applyBorder="1"/>
    <xf numFmtId="165" fontId="3" fillId="0" borderId="22" xfId="0" applyNumberFormat="1" applyFont="1" applyBorder="1"/>
    <xf numFmtId="4" fontId="3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3" fillId="0" borderId="7" xfId="0" applyNumberFormat="1" applyFont="1" applyBorder="1"/>
    <xf numFmtId="0" fontId="45" fillId="0" borderId="0" xfId="0" applyFont="1"/>
    <xf numFmtId="0" fontId="1" fillId="0" borderId="0" xfId="0" applyFont="1"/>
    <xf numFmtId="188" fontId="0" fillId="0" borderId="0" xfId="2" applyNumberFormat="1" applyFont="1"/>
    <xf numFmtId="172" fontId="3" fillId="40" borderId="0" xfId="0" applyNumberFormat="1" applyFont="1" applyFill="1"/>
    <xf numFmtId="0" fontId="0" fillId="41" borderId="0" xfId="0" applyFont="1" applyFill="1"/>
    <xf numFmtId="16" fontId="0" fillId="0" borderId="0" xfId="0" applyNumberFormat="1"/>
    <xf numFmtId="172" fontId="0" fillId="40" borderId="0" xfId="0" applyNumberFormat="1" applyFont="1" applyFill="1"/>
    <xf numFmtId="181" fontId="46" fillId="0" borderId="0" xfId="1"/>
    <xf numFmtId="4" fontId="0" fillId="42" borderId="0" xfId="0" applyNumberFormat="1" applyFill="1"/>
    <xf numFmtId="174" fontId="0" fillId="40" borderId="0" xfId="0" applyNumberFormat="1" applyFont="1" applyFill="1"/>
    <xf numFmtId="175" fontId="25" fillId="40" borderId="0" xfId="0" applyNumberFormat="1" applyFont="1" applyFill="1"/>
    <xf numFmtId="0" fontId="0" fillId="40" borderId="0" xfId="0" applyFont="1" applyFill="1"/>
    <xf numFmtId="0" fontId="22" fillId="40" borderId="0" xfId="0" applyFont="1" applyFill="1"/>
    <xf numFmtId="175" fontId="25" fillId="41" borderId="0" xfId="0" applyNumberFormat="1" applyFont="1" applyFill="1"/>
    <xf numFmtId="172" fontId="0" fillId="41" borderId="0" xfId="0" applyNumberFormat="1" applyFont="1" applyFill="1"/>
    <xf numFmtId="175" fontId="0" fillId="43" borderId="0" xfId="0" applyNumberFormat="1" applyFill="1"/>
    <xf numFmtId="0" fontId="0" fillId="44" borderId="0" xfId="0" applyFill="1"/>
    <xf numFmtId="4" fontId="0" fillId="44" borderId="0" xfId="0" applyNumberFormat="1" applyFill="1"/>
    <xf numFmtId="179" fontId="0" fillId="44" borderId="0" xfId="0" applyNumberFormat="1" applyFill="1"/>
    <xf numFmtId="4" fontId="3" fillId="44" borderId="0" xfId="0" applyNumberFormat="1" applyFont="1" applyFill="1"/>
    <xf numFmtId="172" fontId="3" fillId="43" borderId="0" xfId="0" applyNumberFormat="1" applyFont="1" applyFill="1"/>
    <xf numFmtId="4" fontId="3" fillId="43" borderId="0" xfId="0" applyNumberFormat="1" applyFont="1" applyFill="1"/>
    <xf numFmtId="189" fontId="3" fillId="20" borderId="0" xfId="0" applyNumberFormat="1" applyFont="1" applyFill="1"/>
    <xf numFmtId="189" fontId="3" fillId="0" borderId="0" xfId="0" applyNumberFormat="1" applyFont="1"/>
    <xf numFmtId="172" fontId="3" fillId="0" borderId="0" xfId="0" applyNumberFormat="1" applyFont="1" applyFill="1"/>
    <xf numFmtId="175" fontId="0" fillId="0" borderId="0" xfId="0" applyNumberFormat="1" applyFill="1"/>
    <xf numFmtId="0" fontId="0" fillId="0" borderId="0" xfId="0" applyFill="1"/>
    <xf numFmtId="3" fontId="0" fillId="0" borderId="0" xfId="0" applyNumberFormat="1" applyFill="1"/>
    <xf numFmtId="4" fontId="3" fillId="0" borderId="0" xfId="0" applyNumberFormat="1" applyFont="1" applyFill="1"/>
    <xf numFmtId="0" fontId="25" fillId="40" borderId="0" xfId="0" applyFont="1" applyFill="1"/>
    <xf numFmtId="174" fontId="0" fillId="40" borderId="0" xfId="0" applyNumberFormat="1" applyFill="1"/>
    <xf numFmtId="176" fontId="0" fillId="40" borderId="0" xfId="0" applyNumberFormat="1" applyFill="1"/>
    <xf numFmtId="177" fontId="0" fillId="40" borderId="0" xfId="0" applyNumberFormat="1" applyFill="1"/>
    <xf numFmtId="172" fontId="0" fillId="40" borderId="0" xfId="0" applyNumberFormat="1" applyFill="1"/>
    <xf numFmtId="0" fontId="3" fillId="40" borderId="0" xfId="0" applyFont="1" applyFill="1"/>
    <xf numFmtId="0" fontId="3" fillId="45" borderId="0" xfId="0" applyFont="1" applyFill="1"/>
    <xf numFmtId="172" fontId="3" fillId="45" borderId="0" xfId="0" applyNumberFormat="1" applyFont="1" applyFill="1"/>
    <xf numFmtId="172" fontId="47" fillId="46" borderId="0" xfId="0" applyNumberFormat="1" applyFont="1" applyFill="1"/>
    <xf numFmtId="4" fontId="3" fillId="46" borderId="0" xfId="0" applyNumberFormat="1" applyFont="1" applyFill="1"/>
    <xf numFmtId="0" fontId="0" fillId="40" borderId="0" xfId="0" applyFill="1"/>
    <xf numFmtId="189" fontId="3" fillId="43" borderId="0" xfId="0" applyNumberFormat="1" applyFont="1" applyFill="1"/>
    <xf numFmtId="16" fontId="0" fillId="40" borderId="0" xfId="0" applyNumberFormat="1" applyFill="1"/>
    <xf numFmtId="172" fontId="0" fillId="0" borderId="0" xfId="0" applyNumberFormat="1" applyFont="1" applyFill="1"/>
    <xf numFmtId="171" fontId="46" fillId="0" borderId="0" xfId="2" applyNumberFormat="1"/>
    <xf numFmtId="177" fontId="0" fillId="40" borderId="0" xfId="0" applyNumberFormat="1" applyFont="1" applyFill="1"/>
    <xf numFmtId="175" fontId="25" fillId="43" borderId="0" xfId="0" applyNumberFormat="1" applyFont="1" applyFill="1"/>
    <xf numFmtId="172" fontId="0" fillId="43" borderId="0" xfId="0" applyNumberFormat="1" applyFill="1"/>
    <xf numFmtId="0" fontId="0" fillId="45" borderId="0" xfId="0" applyFill="1"/>
    <xf numFmtId="172" fontId="3" fillId="43" borderId="26" xfId="0" applyNumberFormat="1" applyFont="1" applyFill="1" applyBorder="1"/>
    <xf numFmtId="177" fontId="3" fillId="0" borderId="0" xfId="0" applyNumberFormat="1" applyFont="1"/>
    <xf numFmtId="177" fontId="0" fillId="21" borderId="0" xfId="0" applyNumberFormat="1" applyFill="1"/>
    <xf numFmtId="0" fontId="24" fillId="40" borderId="0" xfId="0" applyFont="1" applyFill="1"/>
    <xf numFmtId="0" fontId="25" fillId="45" borderId="0" xfId="0" applyFont="1" applyFill="1"/>
    <xf numFmtId="175" fontId="23" fillId="40" borderId="0" xfId="0" applyNumberFormat="1" applyFont="1" applyFill="1"/>
    <xf numFmtId="0" fontId="0" fillId="47" borderId="0" xfId="0" applyFont="1" applyFill="1"/>
    <xf numFmtId="172" fontId="0" fillId="47" borderId="0" xfId="0" applyNumberFormat="1" applyFont="1" applyFill="1"/>
    <xf numFmtId="189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horizontal="right"/>
    </xf>
    <xf numFmtId="172" fontId="3" fillId="0" borderId="0" xfId="0" applyNumberFormat="1" applyFont="1" applyBorder="1"/>
    <xf numFmtId="172" fontId="16" fillId="43" borderId="26" xfId="0" applyNumberFormat="1" applyFont="1" applyFill="1" applyBorder="1"/>
    <xf numFmtId="172" fontId="16" fillId="0" borderId="26" xfId="0" applyNumberFormat="1" applyFont="1" applyBorder="1"/>
    <xf numFmtId="190" fontId="46" fillId="0" borderId="0" xfId="2" applyNumberFormat="1"/>
    <xf numFmtId="191" fontId="0" fillId="0" borderId="0" xfId="0" applyNumberFormat="1"/>
    <xf numFmtId="175" fontId="0" fillId="45" borderId="0" xfId="0" applyNumberFormat="1" applyFill="1"/>
    <xf numFmtId="0" fontId="0" fillId="48" borderId="0" xfId="0" applyFill="1"/>
    <xf numFmtId="4" fontId="0" fillId="48" borderId="0" xfId="0" applyNumberFormat="1" applyFill="1"/>
    <xf numFmtId="179" fontId="0" fillId="48" borderId="0" xfId="0" applyNumberFormat="1" applyFill="1"/>
    <xf numFmtId="4" fontId="3" fillId="48" borderId="0" xfId="0" applyNumberFormat="1" applyFont="1" applyFill="1"/>
    <xf numFmtId="4" fontId="3" fillId="45" borderId="0" xfId="0" applyNumberFormat="1" applyFont="1" applyFill="1"/>
    <xf numFmtId="0" fontId="0" fillId="40" borderId="0" xfId="0" applyFont="1" applyFill="1" applyAlignment="1">
      <alignment horizontal="left"/>
    </xf>
    <xf numFmtId="177" fontId="0" fillId="49" borderId="0" xfId="0" applyNumberFormat="1" applyFont="1" applyFill="1"/>
    <xf numFmtId="0" fontId="0" fillId="49" borderId="0" xfId="0" applyFont="1" applyFill="1"/>
    <xf numFmtId="172" fontId="0" fillId="49" borderId="0" xfId="0" applyNumberFormat="1" applyFont="1" applyFill="1"/>
    <xf numFmtId="4" fontId="0" fillId="0" borderId="0" xfId="0" applyNumberFormat="1" applyFill="1"/>
    <xf numFmtId="179" fontId="0" fillId="0" borderId="0" xfId="0" applyNumberFormat="1" applyFill="1"/>
    <xf numFmtId="177" fontId="0" fillId="0" borderId="0" xfId="0" applyNumberFormat="1" applyFill="1"/>
    <xf numFmtId="172" fontId="3" fillId="0" borderId="9" xfId="0" applyNumberFormat="1" applyFont="1" applyBorder="1"/>
    <xf numFmtId="172" fontId="3" fillId="0" borderId="10" xfId="0" applyNumberFormat="1" applyFont="1" applyBorder="1"/>
    <xf numFmtId="172" fontId="3" fillId="0" borderId="31" xfId="0" applyNumberFormat="1" applyFont="1" applyBorder="1"/>
    <xf numFmtId="172" fontId="3" fillId="0" borderId="26" xfId="0" applyNumberFormat="1" applyFont="1" applyBorder="1"/>
    <xf numFmtId="0" fontId="3" fillId="0" borderId="24" xfId="0" applyFont="1" applyBorder="1"/>
    <xf numFmtId="0" fontId="3" fillId="0" borderId="25" xfId="0" applyFont="1" applyBorder="1"/>
    <xf numFmtId="172" fontId="3" fillId="0" borderId="9" xfId="0" applyNumberFormat="1" applyFont="1" applyFill="1" applyBorder="1"/>
    <xf numFmtId="172" fontId="3" fillId="0" borderId="10" xfId="0" applyNumberFormat="1" applyFont="1" applyFill="1" applyBorder="1"/>
    <xf numFmtId="0" fontId="0" fillId="0" borderId="0" xfId="0" applyFill="1" applyBorder="1"/>
    <xf numFmtId="0" fontId="28" fillId="0" borderId="0" xfId="0" applyFont="1" applyFill="1" applyBorder="1"/>
    <xf numFmtId="0" fontId="28" fillId="0" borderId="0" xfId="0" applyFont="1" applyFill="1"/>
    <xf numFmtId="172" fontId="29" fillId="0" borderId="10" xfId="0" applyNumberFormat="1" applyFont="1" applyFill="1" applyBorder="1"/>
    <xf numFmtId="172" fontId="48" fillId="0" borderId="10" xfId="0" applyNumberFormat="1" applyFont="1" applyFill="1" applyBorder="1"/>
    <xf numFmtId="0" fontId="49" fillId="0" borderId="0" xfId="0" applyFont="1" applyFill="1" applyBorder="1"/>
    <xf numFmtId="177" fontId="0" fillId="0" borderId="0" xfId="0" applyNumberFormat="1" applyFont="1"/>
    <xf numFmtId="189" fontId="3" fillId="45" borderId="0" xfId="0" applyNumberFormat="1" applyFont="1" applyFill="1"/>
    <xf numFmtId="177" fontId="3" fillId="45" borderId="0" xfId="0" applyNumberFormat="1" applyFont="1" applyFill="1"/>
    <xf numFmtId="190" fontId="3" fillId="0" borderId="0" xfId="2" applyNumberFormat="1" applyFont="1"/>
    <xf numFmtId="170" fontId="32" fillId="0" borderId="0" xfId="0" applyNumberFormat="1" applyFont="1"/>
    <xf numFmtId="170" fontId="15" fillId="0" borderId="0" xfId="0" applyNumberFormat="1" applyFont="1"/>
    <xf numFmtId="170" fontId="50" fillId="0" borderId="0" xfId="0" applyNumberFormat="1" applyFont="1"/>
    <xf numFmtId="172" fontId="3" fillId="45" borderId="22" xfId="0" applyNumberFormat="1" applyFont="1" applyFill="1" applyBorder="1"/>
    <xf numFmtId="172" fontId="3" fillId="45" borderId="34" xfId="0" applyNumberFormat="1" applyFont="1" applyFill="1" applyBorder="1"/>
    <xf numFmtId="189" fontId="3" fillId="20" borderId="25" xfId="0" applyNumberFormat="1" applyFont="1" applyFill="1" applyBorder="1"/>
    <xf numFmtId="4" fontId="3" fillId="12" borderId="23" xfId="0" applyNumberFormat="1" applyFont="1" applyFill="1" applyBorder="1"/>
    <xf numFmtId="164" fontId="15" fillId="20" borderId="0" xfId="0" applyNumberFormat="1" applyFont="1" applyFill="1"/>
    <xf numFmtId="0" fontId="15" fillId="0" borderId="0" xfId="0" applyFont="1"/>
    <xf numFmtId="164" fontId="3" fillId="20" borderId="0" xfId="0" applyNumberFormat="1" applyFont="1" applyFill="1"/>
    <xf numFmtId="164" fontId="0" fillId="20" borderId="0" xfId="0" applyNumberFormat="1" applyFont="1" applyFill="1"/>
    <xf numFmtId="4" fontId="0" fillId="0" borderId="0" xfId="0" applyNumberFormat="1" applyFont="1"/>
    <xf numFmtId="192" fontId="46" fillId="0" borderId="0" xfId="1" applyNumberFormat="1"/>
    <xf numFmtId="175" fontId="0" fillId="0" borderId="0" xfId="0" applyNumberFormat="1" applyBorder="1"/>
    <xf numFmtId="40" fontId="3" fillId="50" borderId="0" xfId="0" applyNumberFormat="1" applyFont="1" applyFill="1"/>
    <xf numFmtId="4" fontId="3" fillId="51" borderId="0" xfId="0" applyNumberFormat="1" applyFont="1" applyFill="1"/>
    <xf numFmtId="0" fontId="3" fillId="20" borderId="0" xfId="0" applyFont="1" applyFill="1" applyBorder="1"/>
    <xf numFmtId="177" fontId="51" fillId="0" borderId="0" xfId="0" applyNumberFormat="1" applyFont="1"/>
    <xf numFmtId="0" fontId="52" fillId="0" borderId="0" xfId="0" applyFont="1" applyFill="1" applyBorder="1"/>
    <xf numFmtId="0" fontId="52" fillId="0" borderId="0" xfId="0" applyFont="1" applyFill="1"/>
    <xf numFmtId="172" fontId="53" fillId="0" borderId="10" xfId="0" applyNumberFormat="1" applyFont="1" applyFill="1" applyBorder="1"/>
    <xf numFmtId="0" fontId="0" fillId="52" borderId="0" xfId="0" applyFill="1"/>
    <xf numFmtId="4" fontId="3" fillId="12" borderId="0" xfId="0" applyNumberFormat="1" applyFont="1" applyFill="1"/>
    <xf numFmtId="164" fontId="0" fillId="0" borderId="2" xfId="0" applyNumberFormat="1" applyFill="1" applyBorder="1"/>
    <xf numFmtId="0" fontId="0" fillId="0" borderId="14" xfId="0" applyFill="1" applyBorder="1"/>
    <xf numFmtId="0" fontId="0" fillId="0" borderId="14" xfId="0" applyFont="1" applyFill="1" applyBorder="1"/>
    <xf numFmtId="4" fontId="0" fillId="0" borderId="14" xfId="0" applyNumberFormat="1" applyFill="1" applyBorder="1"/>
    <xf numFmtId="4" fontId="0" fillId="0" borderId="3" xfId="0" applyNumberFormat="1" applyBorder="1"/>
    <xf numFmtId="164" fontId="0" fillId="40" borderId="11" xfId="0" applyNumberFormat="1" applyFill="1" applyBorder="1"/>
    <xf numFmtId="0" fontId="0" fillId="40" borderId="0" xfId="0" applyFill="1" applyBorder="1"/>
    <xf numFmtId="0" fontId="0" fillId="40" borderId="0" xfId="0" applyFont="1" applyFill="1" applyBorder="1"/>
    <xf numFmtId="4" fontId="0" fillId="40" borderId="0" xfId="0" applyNumberFormat="1" applyFill="1" applyBorder="1"/>
    <xf numFmtId="4" fontId="17" fillId="40" borderId="0" xfId="0" applyNumberFormat="1" applyFont="1" applyFill="1" applyBorder="1"/>
    <xf numFmtId="164" fontId="3" fillId="40" borderId="4" xfId="0" applyNumberFormat="1" applyFont="1" applyFill="1" applyBorder="1"/>
    <xf numFmtId="0" fontId="3" fillId="40" borderId="27" xfId="0" applyFont="1" applyFill="1" applyBorder="1"/>
    <xf numFmtId="4" fontId="3" fillId="40" borderId="27" xfId="0" applyNumberFormat="1" applyFont="1" applyFill="1" applyBorder="1"/>
    <xf numFmtId="4" fontId="15" fillId="40" borderId="27" xfId="0" applyNumberFormat="1" applyFont="1" applyFill="1" applyBorder="1"/>
    <xf numFmtId="164" fontId="0" fillId="0" borderId="2" xfId="0" applyNumberFormat="1" applyBorder="1"/>
    <xf numFmtId="0" fontId="0" fillId="0" borderId="14" xfId="0" applyFont="1" applyBorder="1"/>
    <xf numFmtId="164" fontId="0" fillId="40" borderId="4" xfId="0" applyNumberFormat="1" applyFill="1" applyBorder="1"/>
    <xf numFmtId="0" fontId="0" fillId="40" borderId="27" xfId="0" applyFont="1" applyFill="1" applyBorder="1"/>
    <xf numFmtId="4" fontId="0" fillId="40" borderId="27" xfId="0" applyNumberFormat="1" applyFill="1" applyBorder="1"/>
    <xf numFmtId="4" fontId="3" fillId="40" borderId="5" xfId="0" applyNumberFormat="1" applyFont="1" applyFill="1" applyBorder="1"/>
    <xf numFmtId="4" fontId="3" fillId="42" borderId="3" xfId="0" applyNumberFormat="1" applyFont="1" applyFill="1" applyBorder="1"/>
    <xf numFmtId="0" fontId="3" fillId="0" borderId="2" xfId="0" applyFont="1" applyBorder="1"/>
    <xf numFmtId="0" fontId="3" fillId="0" borderId="11" xfId="0" applyFont="1" applyBorder="1"/>
    <xf numFmtId="0" fontId="0" fillId="0" borderId="0" xfId="0" applyBorder="1"/>
    <xf numFmtId="4" fontId="0" fillId="0" borderId="0" xfId="0" applyNumberFormat="1" applyBorder="1"/>
    <xf numFmtId="0" fontId="0" fillId="0" borderId="3" xfId="0" applyFont="1" applyBorder="1"/>
    <xf numFmtId="0" fontId="0" fillId="0" borderId="12" xfId="0" applyBorder="1"/>
    <xf numFmtId="0" fontId="0" fillId="0" borderId="4" xfId="0" applyFont="1" applyBorder="1"/>
    <xf numFmtId="0" fontId="0" fillId="0" borderId="5" xfId="0" applyBorder="1"/>
    <xf numFmtId="0" fontId="0" fillId="0" borderId="11" xfId="0" applyBorder="1"/>
    <xf numFmtId="164" fontId="17" fillId="44" borderId="0" xfId="0" applyNumberFormat="1" applyFont="1" applyFill="1"/>
    <xf numFmtId="0" fontId="54" fillId="44" borderId="0" xfId="0" applyFont="1" applyFill="1"/>
    <xf numFmtId="2" fontId="17" fillId="44" borderId="0" xfId="0" applyNumberFormat="1" applyFont="1" applyFill="1"/>
    <xf numFmtId="4" fontId="17" fillId="44" borderId="0" xfId="0" applyNumberFormat="1" applyFont="1" applyFill="1"/>
    <xf numFmtId="164" fontId="0" fillId="43" borderId="0" xfId="0" applyNumberFormat="1" applyFill="1"/>
    <xf numFmtId="0" fontId="3" fillId="43" borderId="24" xfId="0" applyFont="1" applyFill="1" applyBorder="1"/>
    <xf numFmtId="2" fontId="0" fillId="43" borderId="25" xfId="0" applyNumberFormat="1" applyFill="1" applyBorder="1"/>
    <xf numFmtId="4" fontId="0" fillId="43" borderId="25" xfId="0" applyNumberFormat="1" applyFill="1" applyBorder="1"/>
    <xf numFmtId="4" fontId="0" fillId="43" borderId="26" xfId="0" applyNumberFormat="1" applyFill="1" applyBorder="1"/>
    <xf numFmtId="0" fontId="23" fillId="40" borderId="0" xfId="0" applyFont="1" applyFill="1"/>
    <xf numFmtId="175" fontId="3" fillId="52" borderId="0" xfId="0" applyNumberFormat="1" applyFont="1" applyFill="1"/>
    <xf numFmtId="9" fontId="0" fillId="0" borderId="0" xfId="0" applyNumberFormat="1" applyAlignment="1">
      <alignment horizontal="left"/>
    </xf>
    <xf numFmtId="4" fontId="3" fillId="0" borderId="31" xfId="0" applyNumberFormat="1" applyFont="1" applyBorder="1"/>
    <xf numFmtId="175" fontId="3" fillId="52" borderId="24" xfId="0" applyNumberFormat="1" applyFont="1" applyFill="1" applyBorder="1"/>
    <xf numFmtId="0" fontId="0" fillId="20" borderId="25" xfId="0" applyFill="1" applyBorder="1"/>
    <xf numFmtId="3" fontId="0" fillId="20" borderId="25" xfId="0" applyNumberFormat="1" applyFill="1" applyBorder="1"/>
    <xf numFmtId="172" fontId="3" fillId="0" borderId="25" xfId="0" applyNumberFormat="1" applyFont="1" applyBorder="1"/>
    <xf numFmtId="4" fontId="3" fillId="0" borderId="25" xfId="0" applyNumberFormat="1" applyFont="1" applyBorder="1"/>
    <xf numFmtId="173" fontId="0" fillId="40" borderId="0" xfId="0" applyNumberFormat="1" applyFont="1" applyFill="1"/>
    <xf numFmtId="16" fontId="0" fillId="40" borderId="0" xfId="0" applyNumberFormat="1" applyFont="1" applyFill="1"/>
    <xf numFmtId="175" fontId="3" fillId="0" borderId="0" xfId="0" applyNumberFormat="1" applyFont="1" applyFill="1" applyBorder="1"/>
    <xf numFmtId="3" fontId="0" fillId="0" borderId="0" xfId="0" applyNumberFormat="1" applyFill="1" applyBorder="1"/>
    <xf numFmtId="172" fontId="3" fillId="0" borderId="0" xfId="0" applyNumberFormat="1" applyFont="1" applyFill="1" applyBorder="1"/>
    <xf numFmtId="4" fontId="3" fillId="0" borderId="0" xfId="0" applyNumberFormat="1" applyFont="1" applyFill="1" applyBorder="1"/>
    <xf numFmtId="175" fontId="3" fillId="0" borderId="0" xfId="0" applyNumberFormat="1" applyFont="1" applyFill="1"/>
    <xf numFmtId="164" fontId="0" fillId="40" borderId="0" xfId="0" applyNumberFormat="1" applyFill="1"/>
    <xf numFmtId="4" fontId="0" fillId="40" borderId="0" xfId="0" applyNumberFormat="1" applyFill="1"/>
    <xf numFmtId="164" fontId="17" fillId="44" borderId="35" xfId="0" applyNumberFormat="1" applyFont="1" applyFill="1" applyBorder="1"/>
    <xf numFmtId="0" fontId="54" fillId="44" borderId="35" xfId="0" applyFont="1" applyFill="1" applyBorder="1"/>
    <xf numFmtId="2" fontId="17" fillId="44" borderId="35" xfId="0" applyNumberFormat="1" applyFont="1" applyFill="1" applyBorder="1"/>
    <xf numFmtId="4" fontId="17" fillId="44" borderId="35" xfId="0" applyNumberFormat="1" applyFont="1" applyFill="1" applyBorder="1"/>
    <xf numFmtId="164" fontId="17" fillId="44" borderId="22" xfId="0" applyNumberFormat="1" applyFont="1" applyFill="1" applyBorder="1"/>
    <xf numFmtId="0" fontId="54" fillId="44" borderId="22" xfId="0" applyFont="1" applyFill="1" applyBorder="1"/>
    <xf numFmtId="2" fontId="17" fillId="44" borderId="22" xfId="0" applyNumberFormat="1" applyFont="1" applyFill="1" applyBorder="1"/>
    <xf numFmtId="4" fontId="17" fillId="44" borderId="22" xfId="0" applyNumberFormat="1" applyFont="1" applyFill="1" applyBorder="1"/>
    <xf numFmtId="166" fontId="18" fillId="16" borderId="9" xfId="0" applyNumberFormat="1" applyFont="1" applyFill="1" applyBorder="1" applyAlignment="1">
      <alignment horizontal="center" vertical="center"/>
    </xf>
    <xf numFmtId="4" fontId="0" fillId="16" borderId="9" xfId="0" applyNumberFormat="1" applyFill="1" applyBorder="1"/>
    <xf numFmtId="174" fontId="3" fillId="40" borderId="0" xfId="0" applyNumberFormat="1" applyFont="1" applyFill="1"/>
    <xf numFmtId="181" fontId="46" fillId="40" borderId="0" xfId="1" applyFill="1"/>
    <xf numFmtId="3" fontId="0" fillId="53" borderId="0" xfId="0" applyNumberFormat="1" applyFill="1"/>
    <xf numFmtId="4" fontId="3" fillId="40" borderId="0" xfId="0" applyNumberFormat="1" applyFont="1" applyFill="1"/>
    <xf numFmtId="4" fontId="3" fillId="40" borderId="23" xfId="0" applyNumberFormat="1" applyFont="1" applyFill="1" applyBorder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72"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6"/>
  <sheetViews>
    <sheetView zoomScale="175" zoomScaleNormal="175" workbookViewId="0">
      <selection activeCell="C28" sqref="C28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1" customWidth="1"/>
    <col min="4" max="6" width="12.28515625" style="2" customWidth="1"/>
    <col min="7" max="7" width="1.42578125" customWidth="1"/>
    <col min="8" max="8" width="7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2025</v>
      </c>
      <c r="C2" s="6" t="s">
        <v>0</v>
      </c>
      <c r="D2" s="4" t="s">
        <v>1</v>
      </c>
      <c r="E2" s="7" t="s">
        <v>2</v>
      </c>
      <c r="F2" s="4" t="s">
        <v>3</v>
      </c>
    </row>
    <row r="4" spans="1:6">
      <c r="F4" s="497" t="s">
        <v>1734</v>
      </c>
    </row>
    <row r="5" spans="1:6">
      <c r="A5" s="1">
        <v>45657</v>
      </c>
      <c r="B5" s="8" t="s">
        <v>1733</v>
      </c>
      <c r="F5" s="498">
        <v>257330</v>
      </c>
    </row>
    <row r="6" spans="1:6" s="11" customFormat="1">
      <c r="A6" s="529"/>
      <c r="B6" s="530" t="s">
        <v>1772</v>
      </c>
      <c r="C6" s="531">
        <f>35800/2898</f>
        <v>12.353347135955831</v>
      </c>
      <c r="D6" s="532" t="s">
        <v>233</v>
      </c>
      <c r="E6" s="532"/>
      <c r="F6" s="532"/>
    </row>
    <row r="7" spans="1:6" ht="13.5" thickBot="1">
      <c r="A7" s="10"/>
      <c r="B7" s="11"/>
      <c r="C7" s="11"/>
      <c r="D7" s="12"/>
      <c r="E7" s="12"/>
      <c r="F7" s="2">
        <f>F5</f>
        <v>257330</v>
      </c>
    </row>
    <row r="8" spans="1:6">
      <c r="A8" s="499">
        <v>45667</v>
      </c>
      <c r="B8" s="500" t="s">
        <v>5</v>
      </c>
      <c r="C8" s="501"/>
      <c r="D8" s="502">
        <v>20000</v>
      </c>
      <c r="E8" s="502"/>
      <c r="F8" s="503">
        <f t="shared" ref="F8:F19" si="0">F7+D8-E8</f>
        <v>277330</v>
      </c>
    </row>
    <row r="9" spans="1:6" s="11" customFormat="1">
      <c r="A9" s="504">
        <v>45672</v>
      </c>
      <c r="B9" s="505" t="s">
        <v>1584</v>
      </c>
      <c r="C9" s="506"/>
      <c r="D9" s="507"/>
      <c r="E9" s="508">
        <v>25000</v>
      </c>
      <c r="F9" s="135">
        <f t="shared" si="0"/>
        <v>252330</v>
      </c>
    </row>
    <row r="10" spans="1:6" ht="13.5" thickBot="1">
      <c r="A10" s="509">
        <v>45672</v>
      </c>
      <c r="B10" s="510" t="s">
        <v>1736</v>
      </c>
      <c r="C10" s="510"/>
      <c r="D10" s="511"/>
      <c r="E10" s="512">
        <v>31000</v>
      </c>
      <c r="F10" s="518">
        <f t="shared" si="0"/>
        <v>221330</v>
      </c>
    </row>
    <row r="11" spans="1:6" s="11" customFormat="1" ht="13.5" thickBot="1">
      <c r="A11" s="529"/>
      <c r="B11" s="530" t="s">
        <v>1774</v>
      </c>
      <c r="C11" s="531">
        <f>36000/3045</f>
        <v>11.822660098522167</v>
      </c>
      <c r="D11" s="532" t="s">
        <v>233</v>
      </c>
      <c r="E11" s="532"/>
      <c r="F11" s="532"/>
    </row>
    <row r="12" spans="1:6">
      <c r="A12" s="513">
        <v>45703</v>
      </c>
      <c r="B12" s="514" t="s">
        <v>1737</v>
      </c>
      <c r="C12" s="514"/>
      <c r="D12" s="131"/>
      <c r="E12" s="131"/>
      <c r="F12" s="503">
        <f>F10+D12-E12</f>
        <v>221330</v>
      </c>
    </row>
    <row r="13" spans="1:6" s="11" customFormat="1" ht="13.5" thickBot="1">
      <c r="A13" s="509">
        <v>45709</v>
      </c>
      <c r="B13" s="510" t="s">
        <v>815</v>
      </c>
      <c r="C13" s="510"/>
      <c r="D13" s="511"/>
      <c r="E13" s="512">
        <v>26000</v>
      </c>
      <c r="F13" s="518">
        <f t="shared" si="0"/>
        <v>195330</v>
      </c>
    </row>
    <row r="14" spans="1:6" s="11" customFormat="1" ht="13.5" thickBot="1">
      <c r="A14" s="529"/>
      <c r="B14" s="530" t="s">
        <v>1775</v>
      </c>
      <c r="C14" s="531">
        <f>26000/3413</f>
        <v>7.6179314386170525</v>
      </c>
      <c r="D14" s="532" t="s">
        <v>233</v>
      </c>
      <c r="E14" s="532"/>
      <c r="F14" s="532"/>
    </row>
    <row r="15" spans="1:6">
      <c r="A15" s="513">
        <v>45731</v>
      </c>
      <c r="B15" s="514" t="s">
        <v>1585</v>
      </c>
      <c r="C15" s="514"/>
      <c r="D15" s="131"/>
      <c r="E15" s="131"/>
      <c r="F15" s="503">
        <f>F13+D15-E15</f>
        <v>195330</v>
      </c>
    </row>
    <row r="16" spans="1:6" s="11" customFormat="1" ht="13.5" thickBot="1">
      <c r="A16" s="509">
        <v>45741</v>
      </c>
      <c r="B16" s="510" t="s">
        <v>815</v>
      </c>
      <c r="C16" s="510"/>
      <c r="D16" s="511"/>
      <c r="E16" s="512">
        <v>36000</v>
      </c>
      <c r="F16" s="518">
        <f t="shared" si="0"/>
        <v>159330</v>
      </c>
    </row>
    <row r="17" spans="1:9" s="11" customFormat="1" ht="13.5" thickBot="1">
      <c r="A17" s="529"/>
      <c r="B17" s="530" t="s">
        <v>1776</v>
      </c>
      <c r="C17" s="531">
        <f>36000/3650</f>
        <v>9.8630136986301373</v>
      </c>
      <c r="D17" s="532" t="s">
        <v>233</v>
      </c>
      <c r="E17" s="532"/>
      <c r="F17" s="532"/>
    </row>
    <row r="18" spans="1:9" s="11" customFormat="1">
      <c r="A18" s="513">
        <v>45757</v>
      </c>
      <c r="B18" s="501" t="s">
        <v>1735</v>
      </c>
      <c r="C18" s="514"/>
      <c r="D18" s="131">
        <f>'04_25'!D92</f>
        <v>148100</v>
      </c>
      <c r="E18" s="130"/>
      <c r="F18" s="503">
        <f>F16+D18-E18</f>
        <v>307430</v>
      </c>
    </row>
    <row r="19" spans="1:9" ht="13.5" thickBot="1">
      <c r="A19" s="515">
        <v>45762</v>
      </c>
      <c r="B19" s="516" t="s">
        <v>1586</v>
      </c>
      <c r="C19" s="516"/>
      <c r="D19" s="517"/>
      <c r="E19" s="512">
        <v>36500</v>
      </c>
      <c r="F19" s="518">
        <f t="shared" si="0"/>
        <v>270930</v>
      </c>
    </row>
    <row r="20" spans="1:9" s="11" customFormat="1">
      <c r="A20" s="556"/>
      <c r="B20" s="557" t="s">
        <v>1809</v>
      </c>
      <c r="C20" s="558">
        <f>36000/3650</f>
        <v>9.8630136986301373</v>
      </c>
      <c r="D20" s="559" t="s">
        <v>233</v>
      </c>
      <c r="E20" s="559"/>
      <c r="F20" s="559"/>
      <c r="I20" s="11">
        <v>35000</v>
      </c>
    </row>
    <row r="21" spans="1:9">
      <c r="A21" s="554">
        <v>45792</v>
      </c>
      <c r="B21" s="392" t="s">
        <v>1587</v>
      </c>
      <c r="C21" s="392"/>
      <c r="D21" s="555"/>
      <c r="E21" s="555">
        <v>35000</v>
      </c>
      <c r="F21" s="555">
        <f>F19+D21-E21</f>
        <v>235930</v>
      </c>
      <c r="I21">
        <v>4150</v>
      </c>
    </row>
    <row r="22" spans="1:9" s="11" customFormat="1">
      <c r="A22" s="560">
        <v>45804</v>
      </c>
      <c r="B22" s="561" t="s">
        <v>1851</v>
      </c>
      <c r="C22" s="562">
        <f>35000/4150</f>
        <v>8.4337349397590362</v>
      </c>
      <c r="D22" s="563" t="s">
        <v>233</v>
      </c>
      <c r="E22" s="563"/>
      <c r="F22" s="563"/>
      <c r="I22" s="11">
        <f>I20/I21</f>
        <v>8.4337349397590362</v>
      </c>
    </row>
    <row r="23" spans="1:9">
      <c r="A23" s="1">
        <v>45823</v>
      </c>
      <c r="B23" s="8" t="s">
        <v>1588</v>
      </c>
      <c r="C23" s="8"/>
      <c r="D23" s="12"/>
      <c r="F23" s="12">
        <f>F21+D23-E23</f>
        <v>235930</v>
      </c>
      <c r="I23">
        <v>76</v>
      </c>
    </row>
    <row r="24" spans="1:9" s="11" customFormat="1">
      <c r="A24" s="529"/>
      <c r="B24" s="530"/>
      <c r="C24" s="531"/>
      <c r="D24" s="532" t="s">
        <v>233</v>
      </c>
      <c r="E24" s="532"/>
      <c r="F24" s="532"/>
      <c r="I24" s="11">
        <v>8.43</v>
      </c>
    </row>
    <row r="25" spans="1:9">
      <c r="A25" s="1">
        <v>45853</v>
      </c>
      <c r="B25" s="8" t="s">
        <v>1589</v>
      </c>
      <c r="C25" s="8"/>
      <c r="D25" s="12"/>
      <c r="F25" s="12">
        <f>F23+D25-E25</f>
        <v>235930</v>
      </c>
      <c r="I25">
        <f>I23-I24</f>
        <v>67.569999999999993</v>
      </c>
    </row>
    <row r="26" spans="1:9" s="11" customFormat="1" ht="13.5" thickBot="1">
      <c r="A26" s="529"/>
      <c r="B26" s="530"/>
      <c r="C26" s="531"/>
      <c r="D26" s="532" t="s">
        <v>233</v>
      </c>
      <c r="E26" s="532"/>
      <c r="F26" s="532"/>
    </row>
    <row r="27" spans="1:9">
      <c r="E27" s="13"/>
      <c r="F27" s="519">
        <f>F25+D27-E27</f>
        <v>235930</v>
      </c>
    </row>
    <row r="28" spans="1:9" ht="13.5" thickBot="1">
      <c r="E28" s="15"/>
      <c r="F28" s="16" t="s">
        <v>14</v>
      </c>
    </row>
    <row r="47" spans="2:2">
      <c r="B47" s="8" t="s">
        <v>15</v>
      </c>
    </row>
    <row r="49" spans="2:6">
      <c r="F49" s="2">
        <f t="shared" ref="F49:F54" si="1">F48+D49-E49</f>
        <v>0</v>
      </c>
    </row>
    <row r="50" spans="2:6">
      <c r="B50" s="8" t="s">
        <v>16</v>
      </c>
      <c r="D50" s="2">
        <v>50000</v>
      </c>
      <c r="F50" s="2">
        <f t="shared" si="1"/>
        <v>50000</v>
      </c>
    </row>
    <row r="51" spans="2:6">
      <c r="B51" s="8" t="s">
        <v>17</v>
      </c>
      <c r="D51" s="2">
        <v>140000</v>
      </c>
      <c r="F51" s="2">
        <f t="shared" si="1"/>
        <v>190000</v>
      </c>
    </row>
    <row r="52" spans="2:6">
      <c r="B52" s="8" t="s">
        <v>18</v>
      </c>
      <c r="D52" s="2">
        <v>195000</v>
      </c>
      <c r="F52" s="2">
        <f t="shared" si="1"/>
        <v>385000</v>
      </c>
    </row>
    <row r="53" spans="2:6">
      <c r="B53" s="8" t="s">
        <v>19</v>
      </c>
      <c r="E53" s="2">
        <v>310000</v>
      </c>
      <c r="F53" s="2">
        <f t="shared" si="1"/>
        <v>75000</v>
      </c>
    </row>
    <row r="54" spans="2:6">
      <c r="B54" s="3" t="s">
        <v>20</v>
      </c>
      <c r="C54" s="3"/>
      <c r="D54" s="17"/>
      <c r="E54" s="17"/>
      <c r="F54" s="17">
        <f t="shared" si="1"/>
        <v>75000</v>
      </c>
    </row>
    <row r="55" spans="2:6">
      <c r="B55" s="3" t="s">
        <v>21</v>
      </c>
      <c r="C55" s="3"/>
      <c r="D55" s="17" t="e">
        <f>#REF!-F53</f>
        <v>#REF!</v>
      </c>
      <c r="F55" s="2" t="e">
        <f>F53+D55-E55</f>
        <v>#REF!</v>
      </c>
    </row>
    <row r="56" spans="2:6">
      <c r="E56" s="18" t="s">
        <v>22</v>
      </c>
      <c r="F56" s="17" t="e">
        <f>F55</f>
        <v>#REF!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27"/>
  <sheetViews>
    <sheetView zoomScale="175" zoomScaleNormal="175" workbookViewId="0">
      <selection activeCell="E22" sqref="E22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7.42578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564" t="s">
        <v>26</v>
      </c>
      <c r="M1" s="564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 t="e">
        <f>#REF!/1000</f>
        <v>#REF!</v>
      </c>
    </row>
    <row r="3" spans="1:14">
      <c r="A3" t="s">
        <v>33</v>
      </c>
      <c r="B3" s="32">
        <f>'01_25'!D2</f>
        <v>398664</v>
      </c>
      <c r="C3" s="32">
        <f>'01_25'!E2</f>
        <v>-55562.400000000001</v>
      </c>
      <c r="D3" s="33">
        <f>B3+C3</f>
        <v>343101.6</v>
      </c>
      <c r="E3" s="32">
        <f>'01_25'!F2</f>
        <v>320054.88</v>
      </c>
      <c r="F3" s="32">
        <f>'01_25'!G2</f>
        <v>-59018.87</v>
      </c>
      <c r="G3" s="33">
        <f>E3+F3</f>
        <v>261036.01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'01_25'!E133/1000</f>
        <v>0.96499000000000001</v>
      </c>
    </row>
    <row r="4" spans="1:14">
      <c r="A4" t="s">
        <v>35</v>
      </c>
      <c r="B4" s="32">
        <f>'02_25'!D2</f>
        <v>45000</v>
      </c>
      <c r="C4" s="32">
        <f>'02_25'!E2</f>
        <v>-75400.399999999994</v>
      </c>
      <c r="D4" s="33">
        <f t="shared" ref="D4:D14" si="0">B4+C4+D3</f>
        <v>312701.19999999995</v>
      </c>
      <c r="E4" s="32">
        <f>'02_25'!F2</f>
        <v>30054.879999999997</v>
      </c>
      <c r="F4" s="32">
        <f>'02_25'!G2</f>
        <v>-96628.72</v>
      </c>
      <c r="G4" s="33">
        <f t="shared" ref="G4:G14" si="1">E4+F4+G3</f>
        <v>194462.17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'02_25'!E130/1000</f>
        <v>16.2</v>
      </c>
    </row>
    <row r="5" spans="1:14">
      <c r="A5" t="s">
        <v>37</v>
      </c>
      <c r="B5" s="32">
        <f>'03_25'!D2</f>
        <v>30000</v>
      </c>
      <c r="C5" s="32">
        <f>'03_25'!E2</f>
        <v>-79968.850000000006</v>
      </c>
      <c r="D5" s="33">
        <f t="shared" si="0"/>
        <v>262732.34999999998</v>
      </c>
      <c r="E5" s="32">
        <f>'03_25'!F2</f>
        <v>32994.19</v>
      </c>
      <c r="F5" s="32">
        <f>'03_25'!G2</f>
        <v>-186074.69999999998</v>
      </c>
      <c r="G5" s="33">
        <f t="shared" si="1"/>
        <v>41381.660000000033</v>
      </c>
      <c r="H5" s="34"/>
      <c r="I5" s="35" t="s">
        <v>38</v>
      </c>
      <c r="K5" s="39"/>
      <c r="L5" s="37"/>
      <c r="M5" s="38">
        <f>J5</f>
        <v>0</v>
      </c>
      <c r="N5" s="8">
        <f>'03_25'!E146/1000</f>
        <v>0</v>
      </c>
    </row>
    <row r="6" spans="1:14">
      <c r="A6" t="s">
        <v>39</v>
      </c>
      <c r="B6" s="32">
        <f>'04_25'!D2</f>
        <v>15000</v>
      </c>
      <c r="C6" s="32">
        <f>'04_25'!E2</f>
        <v>-191614.26</v>
      </c>
      <c r="D6" s="33">
        <f t="shared" si="0"/>
        <v>86118.089999999967</v>
      </c>
      <c r="E6" s="32">
        <f>'04_25'!F2</f>
        <v>15054.88</v>
      </c>
      <c r="F6" s="32">
        <f>'04_25'!G2</f>
        <v>-191809.25000000003</v>
      </c>
      <c r="G6" s="33">
        <f t="shared" si="1"/>
        <v>-135372.71</v>
      </c>
      <c r="H6" s="34"/>
      <c r="I6" s="41" t="s">
        <v>40</v>
      </c>
      <c r="K6" s="39"/>
      <c r="L6" s="37"/>
      <c r="M6" s="42">
        <f>E18/1000</f>
        <v>15</v>
      </c>
      <c r="N6" s="8">
        <f>'04_25'!E117/1000</f>
        <v>32.549999999999997</v>
      </c>
    </row>
    <row r="7" spans="1:14">
      <c r="A7" t="s">
        <v>41</v>
      </c>
      <c r="B7" s="32">
        <f>'05_25'!D2</f>
        <v>15000</v>
      </c>
      <c r="C7" s="32">
        <f>'05_25'!E2</f>
        <v>-59780.37</v>
      </c>
      <c r="D7" s="33">
        <f t="shared" si="0"/>
        <v>41337.719999999965</v>
      </c>
      <c r="E7" s="32">
        <f>'05_25'!F2</f>
        <v>19054.879999999997</v>
      </c>
      <c r="F7" s="32">
        <f>'05_25'!G2</f>
        <v>-60755.16</v>
      </c>
      <c r="G7" s="33">
        <f t="shared" si="1"/>
        <v>-177072.99</v>
      </c>
      <c r="H7" s="34"/>
      <c r="I7" s="41" t="s">
        <v>42</v>
      </c>
      <c r="K7" s="39"/>
      <c r="L7" s="40"/>
      <c r="M7" s="42">
        <f>E19/1000</f>
        <v>0</v>
      </c>
      <c r="N7" s="8">
        <f>'05_25'!E115/1000</f>
        <v>1.159</v>
      </c>
    </row>
    <row r="8" spans="1:14">
      <c r="A8" t="s">
        <v>43</v>
      </c>
      <c r="B8" s="32">
        <f>'06_25'!D2</f>
        <v>15000</v>
      </c>
      <c r="C8" s="32">
        <f>'06_25'!E2</f>
        <v>-76228.429999999993</v>
      </c>
      <c r="D8" s="33">
        <f t="shared" si="0"/>
        <v>-19890.710000000028</v>
      </c>
      <c r="E8" s="32">
        <f>'06_25'!F2</f>
        <v>0</v>
      </c>
      <c r="F8" s="32">
        <f>'06_25'!G2</f>
        <v>-55308.520000000004</v>
      </c>
      <c r="G8" s="33">
        <f t="shared" si="1"/>
        <v>-232381.51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'06_25'!E139/1000</f>
        <v>0.87226000000000004</v>
      </c>
    </row>
    <row r="9" spans="1:14">
      <c r="A9" t="s">
        <v>45</v>
      </c>
      <c r="B9" s="32">
        <f>'07_25'!D2</f>
        <v>15000</v>
      </c>
      <c r="C9" s="32">
        <f>'07_25'!E2</f>
        <v>-87435.839999999997</v>
      </c>
      <c r="D9" s="33">
        <f t="shared" si="0"/>
        <v>-92326.550000000017</v>
      </c>
      <c r="E9" s="32">
        <f>'07_25'!F2</f>
        <v>0</v>
      </c>
      <c r="F9" s="32">
        <f>'07_25'!G2</f>
        <v>-35018.78</v>
      </c>
      <c r="G9" s="33">
        <f t="shared" si="1"/>
        <v>-267400.29000000004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'07_25'!E159/1000</f>
        <v>0</v>
      </c>
    </row>
    <row r="10" spans="1:14">
      <c r="A10" t="s">
        <v>47</v>
      </c>
      <c r="B10" s="32">
        <f>'08_25'!D2</f>
        <v>15000</v>
      </c>
      <c r="C10" s="32">
        <f>'08_25'!E2</f>
        <v>-54031.839999999997</v>
      </c>
      <c r="D10" s="33">
        <f t="shared" si="0"/>
        <v>-131358.39000000001</v>
      </c>
      <c r="E10" s="32">
        <f>'08_25'!F2</f>
        <v>0</v>
      </c>
      <c r="F10" s="32">
        <f>'08_25'!G2</f>
        <v>-1614.78</v>
      </c>
      <c r="G10" s="33">
        <f t="shared" si="1"/>
        <v>-269015.07000000007</v>
      </c>
      <c r="H10" s="34"/>
      <c r="I10" s="35" t="s">
        <v>48</v>
      </c>
      <c r="J10">
        <v>0</v>
      </c>
      <c r="K10" s="39"/>
      <c r="L10" s="40"/>
      <c r="M10" s="38">
        <f>J10*0.13</f>
        <v>0</v>
      </c>
      <c r="N10" s="8">
        <f>'08_25'!E125/1000</f>
        <v>0</v>
      </c>
    </row>
    <row r="11" spans="1:14">
      <c r="A11" t="s">
        <v>49</v>
      </c>
      <c r="B11" s="32">
        <f>'09_25'!D2</f>
        <v>15000</v>
      </c>
      <c r="C11" s="32">
        <f>'09_25'!E2</f>
        <v>-53042.06</v>
      </c>
      <c r="D11" s="33">
        <f t="shared" si="0"/>
        <v>-169400.45</v>
      </c>
      <c r="E11" s="32">
        <f>'09_25'!F2</f>
        <v>0</v>
      </c>
      <c r="F11" s="32">
        <f>'09_25'!G2</f>
        <v>-625</v>
      </c>
      <c r="G11" s="33">
        <f t="shared" si="1"/>
        <v>-269640.07000000007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'09_25'!E101/1000</f>
        <v>0</v>
      </c>
    </row>
    <row r="12" spans="1:14">
      <c r="A12" t="s">
        <v>51</v>
      </c>
      <c r="B12" s="32">
        <f>'10_25'!D2</f>
        <v>15000</v>
      </c>
      <c r="C12" s="32">
        <f>'10_25'!E2</f>
        <v>-52417.06</v>
      </c>
      <c r="D12" s="33">
        <f t="shared" si="0"/>
        <v>-206817.51</v>
      </c>
      <c r="E12" s="32">
        <f>'10_25'!F2</f>
        <v>0</v>
      </c>
      <c r="F12" s="32">
        <f>'10_25'!G2</f>
        <v>0</v>
      </c>
      <c r="G12" s="33">
        <f t="shared" si="1"/>
        <v>-269640.07000000007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'10_25'!E136/1000</f>
        <v>0</v>
      </c>
    </row>
    <row r="13" spans="1:14">
      <c r="A13" t="s">
        <v>53</v>
      </c>
      <c r="B13" s="32">
        <f>'11_25'!D2</f>
        <v>15000</v>
      </c>
      <c r="C13" s="32">
        <f>'11_25'!E2</f>
        <v>-52417.06</v>
      </c>
      <c r="D13" s="33">
        <f t="shared" si="0"/>
        <v>-244234.57</v>
      </c>
      <c r="E13" s="32">
        <f>'11_25'!F2</f>
        <v>0</v>
      </c>
      <c r="F13" s="32">
        <f>'11_25'!G2</f>
        <v>0</v>
      </c>
      <c r="G13" s="33">
        <f t="shared" si="1"/>
        <v>-269640.07000000007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'11_25'!E111/1000</f>
        <v>0</v>
      </c>
    </row>
    <row r="14" spans="1:14">
      <c r="A14" t="s">
        <v>55</v>
      </c>
      <c r="B14" s="32">
        <f>'12_25'!D2</f>
        <v>15000</v>
      </c>
      <c r="C14" s="32">
        <f>'12_25'!E2</f>
        <v>-52417.06</v>
      </c>
      <c r="D14" s="33">
        <f t="shared" si="0"/>
        <v>-281651.63</v>
      </c>
      <c r="E14" s="32">
        <f>'12_25'!F2</f>
        <v>0</v>
      </c>
      <c r="F14" s="32">
        <f>'12_25'!G2</f>
        <v>0</v>
      </c>
      <c r="G14" s="33">
        <f t="shared" si="1"/>
        <v>-269640.07000000007</v>
      </c>
      <c r="H14" s="34"/>
      <c r="I14" s="44" t="s">
        <v>56</v>
      </c>
      <c r="J14" s="45">
        <v>290</v>
      </c>
      <c r="K14" s="39">
        <f>J14*$K$2</f>
        <v>68.261359999999996</v>
      </c>
      <c r="L14" s="40">
        <f>J14-K14</f>
        <v>221.73864</v>
      </c>
      <c r="M14" s="38"/>
      <c r="N14" s="8">
        <f>'12_25'!E125/1000</f>
        <v>0</v>
      </c>
    </row>
    <row r="15" spans="1:14">
      <c r="A15" s="46" t="s">
        <v>57</v>
      </c>
      <c r="B15" s="33">
        <f>SUM(B3:B14)</f>
        <v>608664</v>
      </c>
      <c r="C15" s="33">
        <f>SUM(C3:C14)</f>
        <v>-890315.63000000012</v>
      </c>
      <c r="D15" s="33">
        <f>B15+C15</f>
        <v>-281651.63000000012</v>
      </c>
      <c r="E15" s="33">
        <f>SUM(E3:E14)</f>
        <v>417213.71</v>
      </c>
      <c r="F15" s="33">
        <f>SUM(F3:F14)</f>
        <v>-686853.78000000014</v>
      </c>
      <c r="G15" s="33">
        <f>E15+F15</f>
        <v>-269640.07000000012</v>
      </c>
      <c r="H15" s="47"/>
      <c r="I15" s="48"/>
      <c r="J15" s="49">
        <f>SUM(J3:J14)</f>
        <v>1353</v>
      </c>
      <c r="K15" s="50">
        <f>SUM(K4:K14)</f>
        <v>223.14403200000001</v>
      </c>
      <c r="L15" s="51">
        <f>SUM(L4:L14)</f>
        <v>724.85596800000008</v>
      </c>
      <c r="M15" s="52">
        <f>M10+M8+M6+M5+M3+M7</f>
        <v>251.25</v>
      </c>
    </row>
    <row r="16" spans="1:14">
      <c r="A16" s="53">
        <v>12</v>
      </c>
      <c r="B16" s="54">
        <f>B15/A16</f>
        <v>50722</v>
      </c>
      <c r="C16" s="55">
        <f>C15/A16</f>
        <v>-74192.969166666677</v>
      </c>
      <c r="D16" s="55"/>
      <c r="E16" s="55">
        <f>E15/A16</f>
        <v>34767.809166666666</v>
      </c>
      <c r="F16" s="55">
        <f>F15/A16</f>
        <v>-57237.81500000001</v>
      </c>
      <c r="G16" s="55">
        <f>G15/A16</f>
        <v>-22470.005833333344</v>
      </c>
      <c r="H16" s="56"/>
      <c r="I16" s="57"/>
      <c r="J16" s="58">
        <f>J15/12</f>
        <v>112.75</v>
      </c>
      <c r="K16" s="59">
        <f>K15/12</f>
        <v>18.595336</v>
      </c>
      <c r="L16" s="60">
        <f>L15/12</f>
        <v>60.404664000000004</v>
      </c>
      <c r="M16" s="61">
        <f>M15/12</f>
        <v>20.9375</v>
      </c>
      <c r="N16" s="62" t="e">
        <f>AVERAGE(N2:N15)</f>
        <v>#REF!</v>
      </c>
    </row>
    <row r="17" spans="2:13">
      <c r="C17" s="2"/>
      <c r="D17" s="2"/>
      <c r="G17" s="63"/>
      <c r="H17" s="63"/>
      <c r="I17" s="35"/>
      <c r="K17" s="2" t="s">
        <v>57</v>
      </c>
      <c r="L17" s="565">
        <f>L15+M15</f>
        <v>976.10596800000008</v>
      </c>
      <c r="M17" s="565"/>
    </row>
    <row r="18" spans="2:13">
      <c r="D18" s="64" t="s">
        <v>58</v>
      </c>
      <c r="E18" s="2">
        <f>'01_25'!F32+'02_25'!F14+'02_25'!F26+'03_25'!F18+'04_25'!F41+'05_25'!F19+'06_25'!F20+'06_25'!F32+'04_25'!F14</f>
        <v>15000</v>
      </c>
      <c r="J18" s="35"/>
      <c r="K18" s="2" t="s">
        <v>59</v>
      </c>
      <c r="L18" s="65"/>
      <c r="M18" s="66">
        <f>L17/12</f>
        <v>81.342164000000011</v>
      </c>
    </row>
    <row r="19" spans="2:13">
      <c r="C19" s="67"/>
      <c r="D19" s="68" t="s">
        <v>60</v>
      </c>
      <c r="E19" s="69">
        <f>'07_25'!F30+'08_25'!F25+'09_25'!F19+'10_25'!F29+'11_25'!F34+'12_25'!F22</f>
        <v>0</v>
      </c>
    </row>
    <row r="20" spans="2:13">
      <c r="D20" s="18" t="s">
        <v>61</v>
      </c>
      <c r="E20" s="17">
        <f>SUM(E18:E19)</f>
        <v>15000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 t="e">
        <f>(D27/D25)-1</f>
        <v>#DIV/0!</v>
      </c>
    </row>
    <row r="26" spans="2:13">
      <c r="C26" t="s">
        <v>64</v>
      </c>
    </row>
    <row r="27" spans="2:13">
      <c r="C27" t="s">
        <v>65</v>
      </c>
      <c r="D27">
        <v>13006.38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N77"/>
  <sheetViews>
    <sheetView zoomScale="145" zoomScaleNormal="145" workbookViewId="0">
      <selection activeCell="B68" sqref="A67:B6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71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N77"/>
  <sheetViews>
    <sheetView topLeftCell="A45" zoomScale="145" zoomScaleNormal="145" workbookViewId="0">
      <selection activeCell="B67" sqref="A65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353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N77"/>
  <sheetViews>
    <sheetView topLeftCell="A43" zoomScale="145" zoomScaleNormal="145" workbookViewId="0">
      <selection activeCell="B66" sqref="A66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383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N76"/>
  <sheetViews>
    <sheetView topLeftCell="A35" zoomScale="145" zoomScaleNormal="145" workbookViewId="0">
      <selection activeCell="D57" sqref="D5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87</v>
      </c>
      <c r="C2" s="79" t="s">
        <v>67</v>
      </c>
      <c r="D2" s="77">
        <f>SUM(D4:D34)</f>
        <v>15000</v>
      </c>
      <c r="E2" s="77">
        <f>SUM(E4:E34)</f>
        <v>-53042.06</v>
      </c>
      <c r="F2" s="77">
        <f>SUM(F4:F34)</f>
        <v>0</v>
      </c>
      <c r="G2" s="77">
        <f>SUM(G4:G33)</f>
        <v>-625</v>
      </c>
      <c r="H2" s="77">
        <f>F2+G2</f>
        <v>-625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-625</v>
      </c>
      <c r="F8" s="87"/>
      <c r="G8" s="87">
        <f>E8</f>
        <v>-625</v>
      </c>
      <c r="H8" s="77">
        <f t="shared" si="0"/>
        <v>-625</v>
      </c>
    </row>
    <row r="9" spans="1:10">
      <c r="G9" s="87"/>
      <c r="H9" s="77">
        <f t="shared" si="0"/>
        <v>-625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-625</v>
      </c>
    </row>
    <row r="11" spans="1:10">
      <c r="B11" s="89" t="s">
        <v>426</v>
      </c>
      <c r="C11" s="89"/>
      <c r="D11" s="90"/>
      <c r="E11" s="90">
        <v>-25000</v>
      </c>
      <c r="H11" s="77">
        <f t="shared" si="0"/>
        <v>-625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-625</v>
      </c>
    </row>
    <row r="13" spans="1:10">
      <c r="A13" s="88"/>
      <c r="B13" s="92"/>
      <c r="C13" s="92"/>
      <c r="D13" s="90"/>
      <c r="E13" s="90"/>
      <c r="H13" s="77">
        <f t="shared" si="0"/>
        <v>-625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-625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-625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-625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-625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-625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-625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-625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-625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-625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-625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-625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-625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-625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-625</v>
      </c>
    </row>
    <row r="28" spans="1:13" s="78" customFormat="1">
      <c r="D28" s="77"/>
      <c r="E28" s="77"/>
      <c r="F28" s="77"/>
      <c r="G28" s="77"/>
      <c r="H28" s="77">
        <f t="shared" si="0"/>
        <v>-625</v>
      </c>
    </row>
    <row r="29" spans="1:13">
      <c r="A29" s="100"/>
      <c r="B29" s="101" t="s">
        <v>88</v>
      </c>
      <c r="C29" s="101"/>
      <c r="H29" s="77">
        <f t="shared" si="0"/>
        <v>-625</v>
      </c>
      <c r="I29" s="78"/>
      <c r="J29" s="78"/>
    </row>
    <row r="30" spans="1:13">
      <c r="A30" s="100"/>
      <c r="H30" s="77">
        <f t="shared" si="0"/>
        <v>-625</v>
      </c>
    </row>
    <row r="31" spans="1:13">
      <c r="H31" s="77">
        <f t="shared" si="0"/>
        <v>-625</v>
      </c>
    </row>
    <row r="33" spans="1:14">
      <c r="A33" s="98"/>
    </row>
    <row r="34" spans="1:14" s="78" customFormat="1">
      <c r="A34"/>
      <c r="B34"/>
      <c r="C34"/>
      <c r="D34" s="77"/>
      <c r="E34" s="77"/>
      <c r="F34" s="77"/>
      <c r="G34" s="77"/>
      <c r="H34" s="77"/>
      <c r="I34"/>
      <c r="J34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-625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98">
        <v>45728</v>
      </c>
      <c r="B56" s="90" t="s">
        <v>1687</v>
      </c>
      <c r="C56" s="11"/>
      <c r="D56" s="90" t="s">
        <v>1720</v>
      </c>
      <c r="E56" s="90">
        <v>-625</v>
      </c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>
      <c r="A76" s="100"/>
      <c r="B76" s="3"/>
      <c r="C76" s="106"/>
      <c r="I76" s="77"/>
      <c r="J76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N71"/>
  <sheetViews>
    <sheetView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89</v>
      </c>
      <c r="C2" s="79" t="s">
        <v>67</v>
      </c>
      <c r="D2" s="77">
        <f>SUM(D4:D32)</f>
        <v>15000</v>
      </c>
      <c r="E2" s="77">
        <f>SUM(E4:E32)</f>
        <v>-54031.839999999997</v>
      </c>
      <c r="F2" s="77">
        <f>SUM(F4:F32)</f>
        <v>0</v>
      </c>
      <c r="G2" s="77">
        <f>SUM(G4:G32)</f>
        <v>-1614.78</v>
      </c>
      <c r="H2" s="77">
        <f>F2+G2</f>
        <v>-1614.78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-989.78</v>
      </c>
      <c r="F7" s="87"/>
      <c r="G7" s="87">
        <f>E7</f>
        <v>-989.78</v>
      </c>
      <c r="H7" s="77">
        <f t="shared" si="0"/>
        <v>-989.78</v>
      </c>
    </row>
    <row r="8" spans="1:10">
      <c r="A8" s="80"/>
      <c r="B8" s="81" t="s">
        <v>69</v>
      </c>
      <c r="C8" s="85"/>
      <c r="D8" s="86"/>
      <c r="E8" s="86">
        <f>E50</f>
        <v>-625</v>
      </c>
      <c r="F8" s="87"/>
      <c r="G8" s="87">
        <f>E8</f>
        <v>-625</v>
      </c>
      <c r="H8" s="77">
        <f t="shared" si="0"/>
        <v>-1614.78</v>
      </c>
    </row>
    <row r="9" spans="1:10">
      <c r="G9" s="87"/>
      <c r="H9" s="77">
        <f t="shared" si="0"/>
        <v>-1614.78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-1614.78</v>
      </c>
    </row>
    <row r="11" spans="1:10">
      <c r="B11" s="89" t="s">
        <v>453</v>
      </c>
      <c r="C11" s="89"/>
      <c r="D11" s="90"/>
      <c r="E11" s="90">
        <v>-25000</v>
      </c>
      <c r="H11" s="77">
        <f t="shared" si="0"/>
        <v>-1614.78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-1614.78</v>
      </c>
    </row>
    <row r="13" spans="1:10">
      <c r="A13" s="88"/>
      <c r="B13" s="92"/>
      <c r="C13" s="92"/>
      <c r="D13" s="90"/>
      <c r="E13" s="90"/>
      <c r="H13" s="77">
        <f t="shared" si="0"/>
        <v>-1614.78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-1614.78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-1614.78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-1614.78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-1614.78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-1614.78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-1614.78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-1614.78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-1614.78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-1614.78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-1614.78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-1614.78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-1614.78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-1614.78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-1614.78</v>
      </c>
    </row>
    <row r="28" spans="1:13" s="78" customFormat="1">
      <c r="D28" s="77"/>
      <c r="E28" s="77"/>
      <c r="F28" s="77"/>
      <c r="G28" s="77"/>
      <c r="H28" s="77">
        <f t="shared" si="0"/>
        <v>-1614.78</v>
      </c>
    </row>
    <row r="29" spans="1:13">
      <c r="A29" s="100"/>
      <c r="B29" s="101" t="s">
        <v>90</v>
      </c>
      <c r="C29" s="101"/>
      <c r="H29" s="77">
        <f t="shared" si="0"/>
        <v>-1614.78</v>
      </c>
      <c r="I29" s="78"/>
      <c r="J29" s="78"/>
    </row>
    <row r="30" spans="1:13">
      <c r="A30" s="100"/>
      <c r="H30" s="77">
        <f t="shared" si="0"/>
        <v>-1614.78</v>
      </c>
    </row>
    <row r="31" spans="1:13">
      <c r="H31" s="77">
        <f t="shared" si="0"/>
        <v>-1614.78</v>
      </c>
    </row>
    <row r="32" spans="1:13" s="78" customFormat="1">
      <c r="A32"/>
      <c r="B32"/>
      <c r="C32"/>
      <c r="D32" s="77"/>
      <c r="E32" s="77"/>
      <c r="F32" s="77"/>
      <c r="G32" s="77"/>
      <c r="H32" s="77"/>
      <c r="I32"/>
      <c r="J32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-989.78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>
        <v>45715</v>
      </c>
      <c r="B37" s="90" t="s">
        <v>1637</v>
      </c>
      <c r="C37" s="90">
        <v>5938.68</v>
      </c>
      <c r="D37" s="90" t="s">
        <v>477</v>
      </c>
      <c r="E37" s="90">
        <v>-989.78</v>
      </c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-625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98">
        <v>45728</v>
      </c>
      <c r="B52" s="90" t="s">
        <v>1687</v>
      </c>
      <c r="C52" s="11"/>
      <c r="D52" s="90" t="s">
        <v>1721</v>
      </c>
      <c r="E52" s="90">
        <v>-625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K70" s="78"/>
      <c r="L70" s="78"/>
      <c r="M70" s="78"/>
      <c r="N70" s="78"/>
    </row>
    <row r="71" spans="1:14">
      <c r="A71" s="100"/>
      <c r="B71" s="3"/>
      <c r="C71" s="106"/>
      <c r="I71" s="77"/>
      <c r="J71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N95"/>
  <sheetViews>
    <sheetView zoomScale="145" zoomScaleNormal="145" workbookViewId="0">
      <selection activeCell="B73" sqref="B7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91</v>
      </c>
      <c r="C2" s="79" t="s">
        <v>67</v>
      </c>
      <c r="D2" s="77">
        <f>SUM(D4:D31)</f>
        <v>15000</v>
      </c>
      <c r="E2" s="77">
        <f>SUM(E4:E31)</f>
        <v>-87435.839999999997</v>
      </c>
      <c r="F2" s="77">
        <f>SUM(F4:F31)</f>
        <v>0</v>
      </c>
      <c r="G2" s="77">
        <f>SUM(G4:G31)</f>
        <v>-35018.78</v>
      </c>
      <c r="H2" s="77">
        <f>F2+G2</f>
        <v>-35018.78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-34393.78</v>
      </c>
      <c r="F7" s="87"/>
      <c r="G7" s="87">
        <f>E7</f>
        <v>-34393.78</v>
      </c>
      <c r="H7" s="77">
        <f t="shared" si="0"/>
        <v>-34393.78</v>
      </c>
    </row>
    <row r="8" spans="1:10">
      <c r="A8" s="80"/>
      <c r="B8" s="81" t="s">
        <v>69</v>
      </c>
      <c r="C8" s="85"/>
      <c r="D8" s="86"/>
      <c r="E8" s="86">
        <f>E85</f>
        <v>-625</v>
      </c>
      <c r="F8" s="87"/>
      <c r="G8" s="87">
        <f>E8</f>
        <v>-625</v>
      </c>
      <c r="H8" s="77">
        <f t="shared" si="0"/>
        <v>-35018.78</v>
      </c>
    </row>
    <row r="9" spans="1:10">
      <c r="G9" s="87"/>
      <c r="H9" s="77">
        <f t="shared" si="0"/>
        <v>-35018.78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-35018.78</v>
      </c>
    </row>
    <row r="11" spans="1:10">
      <c r="B11" s="89" t="s">
        <v>509</v>
      </c>
      <c r="C11" s="89"/>
      <c r="D11" s="90"/>
      <c r="E11" s="90">
        <v>-25000</v>
      </c>
      <c r="H11" s="77">
        <f t="shared" si="0"/>
        <v>-35018.78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-35018.78</v>
      </c>
    </row>
    <row r="13" spans="1:10">
      <c r="A13" s="88"/>
      <c r="B13" s="92"/>
      <c r="C13" s="92"/>
      <c r="D13" s="90"/>
      <c r="E13" s="90"/>
      <c r="H13" s="77">
        <f t="shared" si="0"/>
        <v>-35018.78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-35018.78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-35018.78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-35018.78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-35018.78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-35018.78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-35018.78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-35018.78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-35018.78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-35018.78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-35018.78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-35018.78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-35018.78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-35018.78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-35018.78</v>
      </c>
    </row>
    <row r="28" spans="1:13" s="78" customFormat="1">
      <c r="D28" s="77"/>
      <c r="E28" s="77"/>
      <c r="F28" s="77"/>
      <c r="G28" s="77"/>
      <c r="H28" s="77">
        <f t="shared" si="0"/>
        <v>-35018.78</v>
      </c>
    </row>
    <row r="29" spans="1:13">
      <c r="A29" s="100"/>
      <c r="B29" s="101" t="s">
        <v>92</v>
      </c>
      <c r="C29" s="101"/>
      <c r="H29" s="77">
        <f t="shared" si="0"/>
        <v>-35018.78</v>
      </c>
      <c r="I29" s="78"/>
      <c r="J29" s="78"/>
    </row>
    <row r="30" spans="1:13">
      <c r="A30" s="100"/>
      <c r="H30" s="77">
        <f t="shared" si="0"/>
        <v>-35018.78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-35018.78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SUM(E36:E83)</f>
        <v>-34393.78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>
        <v>45715</v>
      </c>
      <c r="B37" s="90" t="s">
        <v>1637</v>
      </c>
      <c r="C37" s="90">
        <v>5938.68</v>
      </c>
      <c r="D37" s="90" t="s">
        <v>523</v>
      </c>
      <c r="E37" s="90">
        <v>-989.78</v>
      </c>
      <c r="K37" s="78"/>
      <c r="L37" s="78"/>
      <c r="M37" s="78"/>
      <c r="N37" s="78"/>
    </row>
    <row r="38" spans="1:14" s="90" customFormat="1">
      <c r="A38" s="88">
        <v>45811</v>
      </c>
      <c r="B38" s="90" t="s">
        <v>1849</v>
      </c>
      <c r="C38" s="90">
        <v>5250</v>
      </c>
      <c r="D38" s="90" t="s">
        <v>1848</v>
      </c>
      <c r="E38" s="90">
        <v>-1750</v>
      </c>
      <c r="K38" s="78"/>
      <c r="L38" s="78"/>
      <c r="M38" s="78"/>
      <c r="N38" s="78"/>
    </row>
    <row r="39" spans="1:14" s="90" customFormat="1">
      <c r="A39" s="88">
        <v>45811</v>
      </c>
      <c r="B39" s="90" t="s">
        <v>1849</v>
      </c>
      <c r="C39" s="90">
        <v>5250</v>
      </c>
      <c r="D39" s="90" t="s">
        <v>1848</v>
      </c>
      <c r="E39" s="90">
        <v>-1750</v>
      </c>
      <c r="K39" s="78"/>
      <c r="L39" s="78"/>
      <c r="M39" s="78"/>
      <c r="N39" s="78"/>
    </row>
    <row r="40" spans="1:14" s="90" customFormat="1">
      <c r="A40" s="88">
        <v>45811</v>
      </c>
      <c r="B40" s="90" t="s">
        <v>443</v>
      </c>
      <c r="C40" s="90">
        <v>5250</v>
      </c>
      <c r="D40" s="90" t="s">
        <v>1866</v>
      </c>
      <c r="E40" s="90">
        <v>-1750</v>
      </c>
      <c r="K40" s="78"/>
      <c r="L40" s="78"/>
      <c r="M40" s="78"/>
      <c r="N40" s="78"/>
    </row>
    <row r="41" spans="1:14" s="90" customFormat="1">
      <c r="A41" s="88">
        <v>45811</v>
      </c>
      <c r="B41" s="90" t="s">
        <v>1847</v>
      </c>
      <c r="C41" s="90">
        <v>14500</v>
      </c>
      <c r="D41" s="90" t="s">
        <v>1866</v>
      </c>
      <c r="E41" s="90">
        <v>-4833.33</v>
      </c>
      <c r="K41" s="78"/>
      <c r="L41" s="78"/>
      <c r="M41" s="78"/>
      <c r="N41" s="78"/>
    </row>
    <row r="42" spans="1:14" s="90" customFormat="1">
      <c r="A42" s="88">
        <v>45817</v>
      </c>
      <c r="B42" s="90" t="s">
        <v>1877</v>
      </c>
      <c r="D42" s="90" t="s">
        <v>1878</v>
      </c>
      <c r="E42" s="90">
        <v>-406.67</v>
      </c>
      <c r="K42" s="78"/>
      <c r="L42" s="78"/>
      <c r="M42" s="78"/>
      <c r="N42" s="78"/>
    </row>
    <row r="43" spans="1:14" s="90" customFormat="1">
      <c r="A43" s="88"/>
      <c r="K43" s="78"/>
      <c r="L43" s="78"/>
      <c r="M43" s="78"/>
      <c r="N43" s="78"/>
    </row>
    <row r="44" spans="1:14" s="77" customFormat="1">
      <c r="A44" s="88">
        <v>45805</v>
      </c>
      <c r="B44" s="77" t="s">
        <v>1612</v>
      </c>
      <c r="E44" s="77">
        <v>-80</v>
      </c>
      <c r="K44" s="78"/>
      <c r="L44" s="78"/>
      <c r="M44" s="78"/>
      <c r="N44" s="78"/>
    </row>
    <row r="45" spans="1:14" s="77" customFormat="1">
      <c r="A45" s="88">
        <v>45804</v>
      </c>
      <c r="B45" s="77" t="s">
        <v>1841</v>
      </c>
      <c r="E45" s="77">
        <v>-234.3</v>
      </c>
      <c r="K45" s="78"/>
      <c r="L45" s="78"/>
      <c r="M45" s="78"/>
      <c r="N45" s="78"/>
    </row>
    <row r="46" spans="1:14">
      <c r="A46" s="88">
        <v>45804</v>
      </c>
      <c r="B46" s="77" t="s">
        <v>1823</v>
      </c>
      <c r="C46" s="77"/>
      <c r="E46" s="77">
        <v>-1380</v>
      </c>
      <c r="I46" s="77"/>
      <c r="J46" s="77"/>
    </row>
    <row r="47" spans="1:14" s="77" customFormat="1">
      <c r="A47"/>
      <c r="B47" s="90" t="s">
        <v>1842</v>
      </c>
      <c r="C47"/>
      <c r="I47"/>
      <c r="J47"/>
      <c r="K47" s="78"/>
      <c r="L47" s="78"/>
      <c r="M47" s="78"/>
      <c r="N47" s="78"/>
    </row>
    <row r="48" spans="1:14" s="77" customFormat="1">
      <c r="A48" s="100">
        <v>45804</v>
      </c>
      <c r="B48" s="90" t="s">
        <v>1843</v>
      </c>
      <c r="C48" s="106"/>
      <c r="E48" s="77">
        <v>-4373.6000000000004</v>
      </c>
      <c r="K48" s="78"/>
      <c r="L48" s="78"/>
      <c r="M48" s="78"/>
      <c r="N48" s="78"/>
    </row>
    <row r="49" spans="1:14" s="77" customFormat="1">
      <c r="A49" s="100">
        <v>45803</v>
      </c>
      <c r="B49" s="106" t="s">
        <v>1844</v>
      </c>
      <c r="C49" s="106"/>
      <c r="E49" s="77">
        <v>-250</v>
      </c>
      <c r="K49" s="78"/>
      <c r="L49" s="78"/>
      <c r="M49" s="78"/>
      <c r="N49" s="78"/>
    </row>
    <row r="50" spans="1:14" s="77" customFormat="1">
      <c r="A50" s="100">
        <v>45802</v>
      </c>
      <c r="B50" s="107" t="s">
        <v>1845</v>
      </c>
      <c r="C50" s="106"/>
      <c r="E50" s="77">
        <v>-350</v>
      </c>
      <c r="K50" s="78"/>
      <c r="L50" s="78"/>
      <c r="M50" s="78"/>
      <c r="N50" s="78"/>
    </row>
    <row r="51" spans="1:14" s="77" customFormat="1">
      <c r="A51" s="100">
        <v>45802</v>
      </c>
      <c r="B51" s="107" t="s">
        <v>1846</v>
      </c>
      <c r="C51" s="106"/>
      <c r="E51" s="77">
        <v>-200</v>
      </c>
      <c r="K51" s="78"/>
      <c r="L51" s="78"/>
      <c r="M51" s="78"/>
      <c r="N51" s="78"/>
    </row>
    <row r="52" spans="1:14" s="77" customFormat="1">
      <c r="A52" s="100">
        <v>45802</v>
      </c>
      <c r="B52" s="107" t="s">
        <v>1845</v>
      </c>
      <c r="E52" s="77">
        <v>-120</v>
      </c>
      <c r="K52" s="78"/>
      <c r="L52" s="78"/>
      <c r="M52" s="78"/>
      <c r="N52" s="78"/>
    </row>
    <row r="53" spans="1:14" s="77" customFormat="1">
      <c r="A53" s="100">
        <v>45802</v>
      </c>
      <c r="B53" s="107" t="s">
        <v>1612</v>
      </c>
      <c r="C53" s="106"/>
      <c r="E53" s="77">
        <v>-80</v>
      </c>
      <c r="K53" s="78"/>
      <c r="L53" s="78"/>
      <c r="M53" s="78"/>
      <c r="N53" s="78"/>
    </row>
    <row r="54" spans="1:14" s="90" customFormat="1">
      <c r="A54" s="100"/>
      <c r="B54" s="107"/>
      <c r="C54" s="106"/>
      <c r="K54" s="78"/>
      <c r="L54" s="78"/>
      <c r="M54" s="78"/>
      <c r="N54" s="78"/>
    </row>
    <row r="55" spans="1:14" s="90" customFormat="1">
      <c r="A55" s="100">
        <v>45805</v>
      </c>
      <c r="B55" s="107" t="s">
        <v>651</v>
      </c>
      <c r="C55" s="106"/>
      <c r="E55" s="90">
        <v>-575</v>
      </c>
      <c r="K55" s="78"/>
      <c r="L55" s="78"/>
      <c r="M55" s="78"/>
      <c r="N55" s="78"/>
    </row>
    <row r="56" spans="1:14" s="90" customFormat="1">
      <c r="A56" s="100">
        <v>45806</v>
      </c>
      <c r="B56" s="107" t="s">
        <v>127</v>
      </c>
      <c r="C56" s="106"/>
      <c r="E56" s="90">
        <v>-112.44</v>
      </c>
      <c r="K56" s="78"/>
      <c r="L56" s="78"/>
      <c r="M56" s="78"/>
      <c r="N56" s="78"/>
    </row>
    <row r="57" spans="1:14" s="90" customFormat="1">
      <c r="A57" s="100">
        <v>45807</v>
      </c>
      <c r="B57" s="107" t="s">
        <v>651</v>
      </c>
      <c r="C57" s="106"/>
      <c r="E57" s="90">
        <v>-500</v>
      </c>
      <c r="K57" s="78"/>
      <c r="L57" s="78"/>
      <c r="M57" s="78"/>
      <c r="N57" s="78"/>
    </row>
    <row r="58" spans="1:14" s="90" customFormat="1">
      <c r="A58" s="100">
        <v>45808</v>
      </c>
      <c r="B58" s="107" t="s">
        <v>127</v>
      </c>
      <c r="C58" s="106"/>
      <c r="E58" s="90">
        <v>-61.44</v>
      </c>
      <c r="K58" s="78"/>
      <c r="L58" s="78"/>
      <c r="M58" s="78"/>
      <c r="N58" s="78"/>
    </row>
    <row r="59" spans="1:14" s="90" customFormat="1">
      <c r="A59" s="100">
        <v>45811</v>
      </c>
      <c r="B59" s="107" t="s">
        <v>1628</v>
      </c>
      <c r="C59" s="106"/>
      <c r="E59" s="90">
        <v>-850</v>
      </c>
      <c r="K59" s="78"/>
      <c r="L59" s="78"/>
      <c r="M59" s="78"/>
      <c r="N59" s="78"/>
    </row>
    <row r="60" spans="1:14" s="90" customFormat="1">
      <c r="A60" s="100">
        <v>45811</v>
      </c>
      <c r="B60" s="107" t="s">
        <v>1882</v>
      </c>
      <c r="C60" s="106"/>
      <c r="E60" s="90">
        <v>-195</v>
      </c>
      <c r="K60" s="78"/>
      <c r="L60" s="78"/>
      <c r="M60" s="78"/>
      <c r="N60" s="78"/>
    </row>
    <row r="61" spans="1:14" s="90" customFormat="1">
      <c r="A61" s="100">
        <v>45811</v>
      </c>
      <c r="B61" s="107" t="s">
        <v>1881</v>
      </c>
      <c r="C61" s="106"/>
      <c r="E61" s="90">
        <v>-494</v>
      </c>
      <c r="K61" s="78"/>
      <c r="L61" s="78"/>
      <c r="M61" s="78"/>
      <c r="N61" s="78"/>
    </row>
    <row r="62" spans="1:14" s="90" customFormat="1">
      <c r="A62" s="100">
        <v>45812</v>
      </c>
      <c r="B62" s="107" t="s">
        <v>1867</v>
      </c>
      <c r="C62" s="106"/>
      <c r="E62" s="90">
        <v>-150</v>
      </c>
      <c r="K62" s="78"/>
      <c r="L62" s="78"/>
      <c r="M62" s="78"/>
      <c r="N62" s="78"/>
    </row>
    <row r="63" spans="1:14" s="90" customFormat="1">
      <c r="A63" s="100">
        <v>45812</v>
      </c>
      <c r="B63" s="107" t="s">
        <v>129</v>
      </c>
      <c r="C63" s="106">
        <v>21573.62</v>
      </c>
      <c r="K63" s="78"/>
      <c r="L63" s="78"/>
      <c r="M63" s="78"/>
      <c r="N63" s="78"/>
    </row>
    <row r="64" spans="1:14" s="90" customFormat="1">
      <c r="A64" s="100">
        <v>45934</v>
      </c>
      <c r="B64" s="107" t="s">
        <v>1868</v>
      </c>
      <c r="C64" s="106"/>
      <c r="E64" s="90">
        <v>-40</v>
      </c>
      <c r="K64" s="78"/>
      <c r="L64" s="78"/>
      <c r="M64" s="78"/>
      <c r="N64" s="78"/>
    </row>
    <row r="65" spans="1:14" s="90" customFormat="1">
      <c r="A65" s="100">
        <v>45813</v>
      </c>
      <c r="B65" s="107"/>
      <c r="C65" s="106"/>
      <c r="E65" s="90">
        <v>-250</v>
      </c>
      <c r="K65" s="78"/>
      <c r="L65" s="78"/>
      <c r="M65" s="78"/>
      <c r="N65" s="78"/>
    </row>
    <row r="66" spans="1:14" s="90" customFormat="1">
      <c r="A66" s="100">
        <v>45813</v>
      </c>
      <c r="B66" s="107"/>
      <c r="C66" s="106"/>
      <c r="E66" s="90">
        <v>-340</v>
      </c>
      <c r="K66" s="78"/>
      <c r="L66" s="78"/>
      <c r="M66" s="78"/>
      <c r="N66" s="78"/>
    </row>
    <row r="67" spans="1:14" s="90" customFormat="1">
      <c r="A67" s="100">
        <v>45813</v>
      </c>
      <c r="B67" s="107"/>
      <c r="C67" s="106"/>
      <c r="E67" s="90">
        <v>-350</v>
      </c>
      <c r="K67" s="78"/>
      <c r="L67" s="78"/>
      <c r="M67" s="78"/>
      <c r="N67" s="78"/>
    </row>
    <row r="68" spans="1:14" s="90" customFormat="1">
      <c r="A68" s="100">
        <v>45813</v>
      </c>
      <c r="B68" s="107" t="s">
        <v>1880</v>
      </c>
      <c r="C68" s="106"/>
      <c r="E68" s="90">
        <v>-950</v>
      </c>
      <c r="K68" s="78"/>
      <c r="L68" s="78"/>
      <c r="M68" s="78"/>
      <c r="N68" s="78"/>
    </row>
    <row r="69" spans="1:14" s="90" customFormat="1">
      <c r="A69" s="100">
        <v>45813</v>
      </c>
      <c r="B69" s="107" t="s">
        <v>1869</v>
      </c>
      <c r="C69" s="106"/>
      <c r="E69" s="90">
        <v>-160</v>
      </c>
      <c r="K69" s="78"/>
      <c r="L69" s="78"/>
      <c r="M69" s="78"/>
      <c r="N69" s="78"/>
    </row>
    <row r="70" spans="1:14" s="90" customFormat="1">
      <c r="A70" s="100">
        <v>45813</v>
      </c>
      <c r="B70" s="107" t="s">
        <v>1870</v>
      </c>
      <c r="C70" s="106"/>
      <c r="E70" s="90">
        <v>-795.29</v>
      </c>
      <c r="K70" s="78"/>
      <c r="L70" s="78"/>
      <c r="M70" s="78"/>
      <c r="N70" s="78"/>
    </row>
    <row r="71" spans="1:14" s="90" customFormat="1">
      <c r="A71" s="100">
        <v>45815</v>
      </c>
      <c r="B71" s="107"/>
      <c r="C71" s="106"/>
      <c r="E71" s="90">
        <v>-400</v>
      </c>
      <c r="K71" s="78"/>
      <c r="L71" s="78"/>
      <c r="M71" s="78"/>
      <c r="N71" s="78"/>
    </row>
    <row r="72" spans="1:14" s="90" customFormat="1">
      <c r="A72" s="100">
        <v>45815</v>
      </c>
      <c r="B72" s="107" t="s">
        <v>1883</v>
      </c>
      <c r="C72" s="106"/>
      <c r="E72" s="90">
        <v>-3570</v>
      </c>
      <c r="K72" s="78"/>
      <c r="L72" s="78"/>
      <c r="M72" s="78"/>
      <c r="N72" s="78"/>
    </row>
    <row r="73" spans="1:14" s="90" customFormat="1">
      <c r="A73" s="100">
        <v>45816</v>
      </c>
      <c r="B73" s="107" t="s">
        <v>1871</v>
      </c>
      <c r="C73" s="106"/>
      <c r="E73" s="90">
        <v>-520</v>
      </c>
      <c r="K73" s="78"/>
      <c r="L73" s="78"/>
      <c r="M73" s="78"/>
      <c r="N73" s="78"/>
    </row>
    <row r="74" spans="1:14" s="90" customFormat="1">
      <c r="A74" s="100">
        <v>45816</v>
      </c>
      <c r="B74" s="107" t="s">
        <v>1872</v>
      </c>
      <c r="C74" s="106"/>
      <c r="E74" s="90">
        <v>-580</v>
      </c>
      <c r="K74" s="78"/>
      <c r="L74" s="78"/>
      <c r="M74" s="78"/>
      <c r="N74" s="78"/>
    </row>
    <row r="75" spans="1:14" s="90" customFormat="1">
      <c r="A75" s="100">
        <v>45813</v>
      </c>
      <c r="B75" s="107" t="s">
        <v>1873</v>
      </c>
      <c r="C75" s="106"/>
      <c r="E75" s="90">
        <v>-1500</v>
      </c>
      <c r="K75" s="78"/>
      <c r="L75" s="78"/>
      <c r="M75" s="78"/>
      <c r="N75" s="78"/>
    </row>
    <row r="76" spans="1:14" s="90" customFormat="1">
      <c r="A76" s="100"/>
      <c r="B76" s="107" t="s">
        <v>1874</v>
      </c>
      <c r="C76" s="106"/>
      <c r="E76" s="90">
        <v>-149.94999999999999</v>
      </c>
      <c r="K76" s="78"/>
      <c r="L76" s="78"/>
      <c r="M76" s="78"/>
      <c r="N76" s="78"/>
    </row>
    <row r="77" spans="1:14" s="90" customFormat="1">
      <c r="A77" s="100">
        <v>45817</v>
      </c>
      <c r="B77" s="107" t="s">
        <v>1875</v>
      </c>
      <c r="C77" s="106"/>
      <c r="E77" s="90">
        <v>-1304.99</v>
      </c>
      <c r="K77" s="78"/>
      <c r="L77" s="78"/>
      <c r="M77" s="78"/>
      <c r="N77" s="78"/>
    </row>
    <row r="78" spans="1:14" s="90" customFormat="1">
      <c r="A78" s="100">
        <v>45817</v>
      </c>
      <c r="B78" s="107" t="s">
        <v>1876</v>
      </c>
      <c r="C78" s="106"/>
      <c r="E78" s="90">
        <v>-1199.99</v>
      </c>
      <c r="K78" s="78"/>
      <c r="L78" s="78"/>
      <c r="M78" s="78"/>
      <c r="N78" s="78"/>
    </row>
    <row r="79" spans="1:14" s="90" customFormat="1">
      <c r="A79" s="100">
        <v>45817</v>
      </c>
      <c r="B79" s="107"/>
      <c r="C79" s="106"/>
      <c r="E79" s="90">
        <v>-558</v>
      </c>
      <c r="K79" s="78"/>
      <c r="L79" s="78"/>
      <c r="M79" s="78"/>
      <c r="N79" s="78"/>
    </row>
    <row r="80" spans="1:14" s="90" customFormat="1">
      <c r="A80" s="100">
        <v>45818</v>
      </c>
      <c r="B80" s="107" t="s">
        <v>1879</v>
      </c>
      <c r="C80" s="106"/>
      <c r="E80" s="90">
        <v>-240</v>
      </c>
      <c r="K80" s="78"/>
      <c r="L80" s="78"/>
      <c r="M80" s="78"/>
      <c r="N80" s="78"/>
    </row>
    <row r="81" spans="1:14" s="90" customFormat="1">
      <c r="A81" s="100"/>
      <c r="B81" s="107"/>
      <c r="C81" s="106"/>
      <c r="K81" s="78"/>
      <c r="L81" s="78"/>
      <c r="M81" s="78"/>
      <c r="N81" s="78"/>
    </row>
    <row r="82" spans="1:14" s="90" customFormat="1">
      <c r="A82" s="100"/>
      <c r="B82" s="107"/>
      <c r="C82" s="106"/>
      <c r="K82" s="78"/>
      <c r="L82" s="78"/>
      <c r="M82" s="78"/>
      <c r="N82" s="78"/>
    </row>
    <row r="83" spans="1:14" s="77" customFormat="1">
      <c r="A83" s="100"/>
      <c r="B83" s="3"/>
      <c r="K83" s="78"/>
      <c r="L83" s="78"/>
      <c r="M83" s="78"/>
      <c r="N83" s="78"/>
    </row>
    <row r="84" spans="1:14" s="77" customFormat="1">
      <c r="A84" s="100"/>
      <c r="B84" s="106"/>
      <c r="C84" s="106"/>
      <c r="K84" s="78"/>
      <c r="L84" s="78"/>
      <c r="M84" s="78"/>
      <c r="N84" s="78"/>
    </row>
    <row r="85" spans="1:14" s="77" customFormat="1">
      <c r="A85" s="103"/>
      <c r="B85" s="104" t="s">
        <v>85</v>
      </c>
      <c r="C85" s="103"/>
      <c r="E85" s="77">
        <f>SUM(E86:E87)</f>
        <v>-625</v>
      </c>
      <c r="K85" s="78"/>
      <c r="L85" s="78"/>
      <c r="M85" s="78"/>
      <c r="N85" s="78"/>
    </row>
    <row r="86" spans="1:14" s="77" customFormat="1">
      <c r="A86" s="100"/>
      <c r="B86" s="106"/>
      <c r="C86" s="106"/>
      <c r="K86" s="78"/>
      <c r="L86" s="78"/>
      <c r="M86" s="78"/>
      <c r="N86" s="78"/>
    </row>
    <row r="87" spans="1:14" s="77" customFormat="1">
      <c r="A87" s="98">
        <v>45728</v>
      </c>
      <c r="B87" s="90" t="s">
        <v>1687</v>
      </c>
      <c r="C87" s="11"/>
      <c r="D87" s="90" t="s">
        <v>1722</v>
      </c>
      <c r="E87" s="90">
        <v>-625</v>
      </c>
      <c r="K87" s="78"/>
      <c r="L87" s="78"/>
      <c r="M87" s="78"/>
      <c r="N87" s="78"/>
    </row>
    <row r="88" spans="1:14" s="77" customFormat="1" ht="15">
      <c r="A88" s="100"/>
      <c r="B88" s="3"/>
      <c r="C88" s="106"/>
      <c r="E88" s="105" t="s">
        <v>84</v>
      </c>
      <c r="K88" s="78"/>
      <c r="L88" s="78"/>
      <c r="M88" s="78"/>
      <c r="N88" s="78"/>
    </row>
    <row r="89" spans="1:14" s="77" customFormat="1">
      <c r="A89" s="100"/>
      <c r="B89" s="3"/>
      <c r="C89" s="106"/>
      <c r="K89" s="78"/>
      <c r="L89" s="78"/>
      <c r="M89" s="78"/>
      <c r="N89" s="78"/>
    </row>
    <row r="90" spans="1:14" s="77" customFormat="1">
      <c r="A90" s="100"/>
      <c r="B90" s="3"/>
      <c r="C90" s="106"/>
      <c r="K90" s="78"/>
      <c r="L90" s="78"/>
      <c r="M90" s="78"/>
      <c r="N90" s="78"/>
    </row>
    <row r="91" spans="1:14" s="77" customFormat="1">
      <c r="A91" s="100"/>
      <c r="B91" s="3"/>
      <c r="C91" s="106"/>
      <c r="K91" s="78"/>
      <c r="L91" s="78"/>
      <c r="M91" s="78"/>
      <c r="N91" s="78"/>
    </row>
    <row r="92" spans="1:14" s="77" customFormat="1">
      <c r="A92" s="100"/>
      <c r="B92" s="3"/>
      <c r="C92" s="106"/>
      <c r="K92" s="78"/>
      <c r="L92" s="78"/>
      <c r="M92" s="78"/>
      <c r="N92" s="78"/>
    </row>
    <row r="93" spans="1:14" s="77" customFormat="1">
      <c r="A93" s="100"/>
      <c r="B93" s="3"/>
      <c r="C93" s="106"/>
      <c r="K93" s="78"/>
      <c r="L93" s="78"/>
      <c r="M93" s="78"/>
      <c r="N93" s="78"/>
    </row>
    <row r="94" spans="1:14" s="77" customFormat="1">
      <c r="A94" s="100"/>
      <c r="B94" s="3"/>
      <c r="C94" s="106"/>
      <c r="K94" s="78"/>
      <c r="L94" s="78"/>
      <c r="M94" s="78"/>
      <c r="N94" s="78"/>
    </row>
    <row r="95" spans="1:14">
      <c r="A95" s="100"/>
      <c r="B95" s="3"/>
      <c r="C95" s="106"/>
      <c r="I95" s="77"/>
      <c r="J95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N180"/>
  <sheetViews>
    <sheetView tabSelected="1" topLeftCell="A3" zoomScale="175" zoomScaleNormal="175" workbookViewId="0">
      <selection activeCell="B135" sqref="B135"/>
    </sheetView>
  </sheetViews>
  <sheetFormatPr defaultColWidth="12.28515625" defaultRowHeight="12.75"/>
  <cols>
    <col min="2" max="2" width="35.85546875" customWidth="1"/>
    <col min="3" max="3" width="9.42578125" customWidth="1"/>
    <col min="4" max="4" width="14.85546875" style="77" customWidth="1"/>
    <col min="5" max="5" width="12.28515625" style="77"/>
    <col min="6" max="6" width="14" style="77" customWidth="1"/>
    <col min="7" max="7" width="13.42578125" style="77" customWidth="1"/>
    <col min="8" max="8" width="12.28515625" style="77"/>
    <col min="10" max="10" width="10.42578125" bestFit="1" customWidth="1"/>
    <col min="11" max="11" width="7.8554687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93</v>
      </c>
      <c r="C2" s="79" t="s">
        <v>67</v>
      </c>
      <c r="D2" s="77">
        <f>SUM(D4:D32)</f>
        <v>15000</v>
      </c>
      <c r="E2" s="77">
        <f>SUM(E4:E32)</f>
        <v>-76228.429999999993</v>
      </c>
      <c r="F2" s="77">
        <f>SUM(F4:F32)</f>
        <v>0</v>
      </c>
      <c r="G2" s="77">
        <f>SUM(G4:G32)</f>
        <v>-55308.520000000004</v>
      </c>
      <c r="H2" s="77">
        <f>F2+G2</f>
        <v>-55308.520000000004</v>
      </c>
    </row>
    <row r="3" spans="1:14">
      <c r="B3" s="18"/>
    </row>
    <row r="4" spans="1:14">
      <c r="B4" s="41"/>
      <c r="H4" s="77">
        <f t="shared" ref="H4:H32" si="0">H3+F4+G4</f>
        <v>0</v>
      </c>
    </row>
    <row r="5" spans="1:14" s="11" customFormat="1">
      <c r="A5" s="425">
        <v>45810</v>
      </c>
      <c r="B5" s="391" t="s">
        <v>80</v>
      </c>
      <c r="C5" s="391"/>
      <c r="D5" s="387"/>
      <c r="E5" s="387">
        <v>-600</v>
      </c>
      <c r="F5" s="87"/>
      <c r="G5" s="87">
        <v>-510</v>
      </c>
      <c r="H5" s="87">
        <f t="shared" si="0"/>
        <v>-510</v>
      </c>
      <c r="K5" s="78"/>
      <c r="L5" s="78"/>
      <c r="M5" s="78"/>
      <c r="N5" s="78"/>
    </row>
    <row r="6" spans="1:14" s="11" customFormat="1">
      <c r="A6" s="425">
        <v>45810</v>
      </c>
      <c r="B6" s="391" t="s">
        <v>81</v>
      </c>
      <c r="C6" s="391"/>
      <c r="D6" s="387"/>
      <c r="E6" s="387">
        <v>-800</v>
      </c>
      <c r="F6" s="87"/>
      <c r="G6" s="87">
        <v>-820</v>
      </c>
      <c r="H6" s="87">
        <f t="shared" si="0"/>
        <v>-1330</v>
      </c>
      <c r="K6" s="78"/>
      <c r="L6" s="78"/>
      <c r="M6" s="78"/>
      <c r="N6" s="78"/>
    </row>
    <row r="7" spans="1:14" s="11" customFormat="1">
      <c r="A7" s="425">
        <v>45810</v>
      </c>
      <c r="B7" s="387" t="s">
        <v>1636</v>
      </c>
      <c r="C7" s="387"/>
      <c r="D7" s="387"/>
      <c r="E7" s="387">
        <v>-212.75</v>
      </c>
      <c r="F7" s="87"/>
      <c r="G7" s="87">
        <v>-212.75</v>
      </c>
      <c r="H7" s="87">
        <f t="shared" si="0"/>
        <v>-1542.75</v>
      </c>
      <c r="K7" s="78"/>
      <c r="L7" s="78"/>
      <c r="M7" s="78"/>
      <c r="N7" s="78"/>
    </row>
    <row r="8" spans="1:14" s="11" customFormat="1">
      <c r="A8" s="80">
        <v>45810</v>
      </c>
      <c r="B8" s="81" t="s">
        <v>69</v>
      </c>
      <c r="C8" s="85"/>
      <c r="D8" s="86"/>
      <c r="E8" s="86">
        <f>E74</f>
        <v>-625</v>
      </c>
      <c r="F8" s="87"/>
      <c r="G8" s="87">
        <f>E8</f>
        <v>-625</v>
      </c>
      <c r="H8" s="87">
        <f t="shared" si="0"/>
        <v>-2167.75</v>
      </c>
      <c r="K8" s="78"/>
      <c r="L8" s="78"/>
      <c r="M8" s="78"/>
      <c r="N8" s="78"/>
    </row>
    <row r="9" spans="1:14">
      <c r="A9" s="84">
        <v>45812</v>
      </c>
      <c r="B9" s="81" t="s">
        <v>68</v>
      </c>
      <c r="C9" s="85"/>
      <c r="D9" s="86"/>
      <c r="E9" s="86">
        <f>E36</f>
        <v>-21573.620000000003</v>
      </c>
      <c r="F9" s="87"/>
      <c r="G9" s="87">
        <f>E9</f>
        <v>-21573.620000000003</v>
      </c>
      <c r="H9" s="87">
        <f t="shared" si="0"/>
        <v>-23741.370000000003</v>
      </c>
    </row>
    <row r="10" spans="1:14">
      <c r="A10" s="548">
        <v>45818</v>
      </c>
      <c r="B10" s="391" t="s">
        <v>1596</v>
      </c>
      <c r="C10" s="391"/>
      <c r="D10" s="387"/>
      <c r="E10" s="387">
        <v>-25000</v>
      </c>
      <c r="F10" s="87"/>
      <c r="G10" s="87">
        <v>-25000</v>
      </c>
      <c r="H10" s="87">
        <f t="shared" si="0"/>
        <v>-48741.37</v>
      </c>
    </row>
    <row r="11" spans="1:14">
      <c r="A11" s="392"/>
      <c r="B11" s="393" t="s">
        <v>72</v>
      </c>
      <c r="C11" s="392"/>
      <c r="D11" s="387"/>
      <c r="E11" s="387">
        <v>0</v>
      </c>
      <c r="F11" s="87"/>
      <c r="G11" s="87"/>
      <c r="H11" s="87">
        <f t="shared" si="0"/>
        <v>-48741.37</v>
      </c>
    </row>
    <row r="12" spans="1:14">
      <c r="A12" s="390">
        <v>45819</v>
      </c>
      <c r="B12" s="391" t="s">
        <v>70</v>
      </c>
      <c r="C12" s="391"/>
      <c r="D12" s="387"/>
      <c r="E12" s="387">
        <v>-2117.06</v>
      </c>
      <c r="G12" s="87">
        <v>-2138.15</v>
      </c>
      <c r="H12" s="87">
        <f t="shared" si="0"/>
        <v>-50879.520000000004</v>
      </c>
    </row>
    <row r="13" spans="1:14">
      <c r="A13" s="548">
        <v>45819</v>
      </c>
      <c r="B13" s="391" t="s">
        <v>75</v>
      </c>
      <c r="C13" s="391"/>
      <c r="D13" s="387"/>
      <c r="E13" s="387">
        <v>-200</v>
      </c>
      <c r="G13" s="87">
        <v>-229</v>
      </c>
      <c r="H13" s="87">
        <f t="shared" si="0"/>
        <v>-51108.520000000004</v>
      </c>
    </row>
    <row r="14" spans="1:14">
      <c r="A14" s="390">
        <v>45828</v>
      </c>
      <c r="B14" s="392" t="s">
        <v>1884</v>
      </c>
      <c r="C14" s="392"/>
      <c r="D14" s="387"/>
      <c r="E14" s="387"/>
      <c r="F14" s="387"/>
      <c r="G14" s="387">
        <v>-950</v>
      </c>
      <c r="H14" s="87">
        <f t="shared" si="0"/>
        <v>-52058.520000000004</v>
      </c>
    </row>
    <row r="15" spans="1:14" s="78" customFormat="1">
      <c r="A15" s="88"/>
      <c r="B15" s="3" t="s">
        <v>1885</v>
      </c>
      <c r="C15" s="3"/>
      <c r="D15" s="77"/>
      <c r="E15" s="77"/>
      <c r="F15" s="77"/>
      <c r="G15" s="77">
        <v>-3000</v>
      </c>
      <c r="H15" s="87">
        <f t="shared" si="0"/>
        <v>-55058.520000000004</v>
      </c>
      <c r="I15"/>
      <c r="J15"/>
    </row>
    <row r="16" spans="1:14" s="78" customFormat="1">
      <c r="A16" s="566">
        <v>45828</v>
      </c>
      <c r="B16" s="538" t="s">
        <v>73</v>
      </c>
      <c r="C16" s="538">
        <v>316.06</v>
      </c>
      <c r="D16" s="384" t="s">
        <v>1865</v>
      </c>
      <c r="E16" s="384">
        <v>-1000</v>
      </c>
      <c r="F16" s="90"/>
      <c r="G16" s="90">
        <v>-250</v>
      </c>
      <c r="H16" s="87">
        <f t="shared" si="0"/>
        <v>-55308.520000000004</v>
      </c>
    </row>
    <row r="17" spans="1:13" s="78" customFormat="1">
      <c r="A17" s="566">
        <v>45828</v>
      </c>
      <c r="B17" s="538" t="s">
        <v>74</v>
      </c>
      <c r="C17" s="384"/>
      <c r="D17" s="384"/>
      <c r="E17" s="384">
        <v>-200</v>
      </c>
      <c r="F17" s="90"/>
      <c r="G17" s="90">
        <v>0</v>
      </c>
      <c r="H17" s="87">
        <f t="shared" si="0"/>
        <v>-55308.520000000004</v>
      </c>
    </row>
    <row r="18" spans="1:13" s="78" customFormat="1">
      <c r="A18" s="88"/>
      <c r="H18" s="87">
        <f t="shared" si="0"/>
        <v>-55308.520000000004</v>
      </c>
    </row>
    <row r="19" spans="1:13" s="78" customFormat="1">
      <c r="A19" s="88"/>
      <c r="B19" s="92" t="s">
        <v>76</v>
      </c>
      <c r="C19" s="92"/>
      <c r="D19" s="90">
        <v>15000</v>
      </c>
      <c r="E19" s="90"/>
      <c r="F19" s="77"/>
      <c r="G19" s="77"/>
      <c r="H19" s="90">
        <f t="shared" si="0"/>
        <v>-55308.520000000004</v>
      </c>
      <c r="J19" s="94"/>
      <c r="K19" s="94"/>
      <c r="L19" s="95"/>
      <c r="M19" s="96"/>
    </row>
    <row r="20" spans="1:13" s="78" customFormat="1">
      <c r="B20" s="92" t="s">
        <v>77</v>
      </c>
      <c r="C20" s="92"/>
      <c r="D20" s="90"/>
      <c r="E20" s="90">
        <v>-7500</v>
      </c>
      <c r="F20" s="77"/>
      <c r="G20" s="77"/>
      <c r="H20" s="90">
        <f t="shared" si="0"/>
        <v>-55308.520000000004</v>
      </c>
      <c r="J20" s="94"/>
      <c r="K20" s="94"/>
      <c r="L20" s="95"/>
      <c r="M20" s="96"/>
    </row>
    <row r="21" spans="1:13" s="78" customFormat="1">
      <c r="B21" s="92" t="s">
        <v>78</v>
      </c>
      <c r="C21" s="92"/>
      <c r="D21" s="90"/>
      <c r="E21" s="90">
        <v>-7500</v>
      </c>
      <c r="F21" s="77"/>
      <c r="G21" s="77"/>
      <c r="H21" s="90">
        <f t="shared" si="0"/>
        <v>-55308.520000000004</v>
      </c>
      <c r="J21" s="94"/>
      <c r="K21" s="94"/>
      <c r="L21" s="95"/>
      <c r="M21" s="96"/>
    </row>
    <row r="22" spans="1:13" s="78" customFormat="1">
      <c r="B22" s="92" t="s">
        <v>79</v>
      </c>
      <c r="C22" s="92"/>
      <c r="D22" s="90"/>
      <c r="E22" s="90">
        <v>-7500</v>
      </c>
      <c r="F22" s="77"/>
      <c r="G22" s="77"/>
      <c r="H22" s="90">
        <f t="shared" si="0"/>
        <v>-55308.520000000004</v>
      </c>
      <c r="J22" s="94"/>
      <c r="K22" s="94"/>
      <c r="L22" s="95"/>
      <c r="M22" s="96"/>
    </row>
    <row r="23" spans="1:13" s="78" customFormat="1">
      <c r="B23" s="3"/>
      <c r="C23" s="3"/>
      <c r="D23" s="77"/>
      <c r="E23" s="77"/>
      <c r="F23" s="77"/>
      <c r="G23" s="77"/>
      <c r="H23" s="90">
        <f t="shared" si="0"/>
        <v>-55308.520000000004</v>
      </c>
      <c r="J23" s="94"/>
      <c r="K23" s="94"/>
      <c r="L23" s="95"/>
      <c r="M23" s="96"/>
    </row>
    <row r="24" spans="1:13" s="78" customFormat="1">
      <c r="A24" s="97"/>
      <c r="B24" s="92"/>
      <c r="C24" s="92"/>
      <c r="D24" s="90"/>
      <c r="E24" s="90"/>
      <c r="F24" s="77"/>
      <c r="G24" s="77"/>
      <c r="H24" s="90">
        <f t="shared" si="0"/>
        <v>-55308.520000000004</v>
      </c>
      <c r="J24" s="94"/>
      <c r="K24" s="94"/>
      <c r="L24" s="95"/>
      <c r="M24" s="96"/>
    </row>
    <row r="25" spans="1:13" s="78" customFormat="1">
      <c r="A25" s="98"/>
      <c r="B25" s="3"/>
      <c r="C25" s="3"/>
      <c r="D25" s="77"/>
      <c r="E25" s="77"/>
      <c r="F25" s="77"/>
      <c r="G25" s="77"/>
      <c r="H25" s="77">
        <f t="shared" si="0"/>
        <v>-55308.520000000004</v>
      </c>
      <c r="J25" s="94"/>
      <c r="K25" s="94"/>
      <c r="L25" s="95"/>
      <c r="M25" s="96"/>
    </row>
    <row r="26" spans="1:13" s="78" customFormat="1">
      <c r="A26" s="566">
        <v>45838</v>
      </c>
      <c r="B26" s="99" t="s">
        <v>80</v>
      </c>
      <c r="C26" s="99"/>
      <c r="D26" s="77"/>
      <c r="E26" s="77">
        <v>-600</v>
      </c>
      <c r="F26" s="77"/>
      <c r="G26" s="77"/>
      <c r="H26" s="77">
        <f t="shared" si="0"/>
        <v>-55308.520000000004</v>
      </c>
      <c r="J26" s="94"/>
      <c r="K26" s="94"/>
      <c r="L26" s="95"/>
      <c r="M26" s="96"/>
    </row>
    <row r="27" spans="1:13" s="78" customFormat="1">
      <c r="A27" s="566">
        <v>45838</v>
      </c>
      <c r="B27" s="99" t="s">
        <v>81</v>
      </c>
      <c r="C27" s="99"/>
      <c r="D27" s="77"/>
      <c r="E27" s="77">
        <v>-800</v>
      </c>
      <c r="F27" s="77"/>
      <c r="G27" s="77"/>
      <c r="H27" s="77">
        <f t="shared" si="0"/>
        <v>-55308.520000000004</v>
      </c>
      <c r="J27" s="94"/>
      <c r="K27" s="94"/>
      <c r="L27" s="95"/>
      <c r="M27" s="96"/>
    </row>
    <row r="28" spans="1:13" s="78" customFormat="1">
      <c r="B28" s="3"/>
      <c r="C28" s="3"/>
      <c r="D28" s="77"/>
      <c r="E28" s="77"/>
      <c r="F28" s="77"/>
      <c r="G28" s="77"/>
      <c r="H28" s="77">
        <f t="shared" si="0"/>
        <v>-55308.520000000004</v>
      </c>
    </row>
    <row r="29" spans="1:13" s="78" customFormat="1">
      <c r="D29" s="77"/>
      <c r="E29" s="77"/>
      <c r="F29" s="77"/>
      <c r="G29" s="77"/>
      <c r="H29" s="77">
        <f t="shared" si="0"/>
        <v>-55308.520000000004</v>
      </c>
    </row>
    <row r="30" spans="1:13">
      <c r="A30" s="100"/>
      <c r="B30" s="101" t="s">
        <v>94</v>
      </c>
      <c r="C30" s="101"/>
      <c r="H30" s="77">
        <f t="shared" si="0"/>
        <v>-55308.520000000004</v>
      </c>
      <c r="I30" s="78"/>
      <c r="J30" s="78"/>
    </row>
    <row r="31" spans="1:13">
      <c r="A31" s="100"/>
      <c r="H31" s="77">
        <f t="shared" si="0"/>
        <v>-55308.520000000004</v>
      </c>
    </row>
    <row r="32" spans="1:13" s="78" customFormat="1">
      <c r="A32"/>
      <c r="B32"/>
      <c r="C32"/>
      <c r="D32" s="77"/>
      <c r="E32" s="77"/>
      <c r="F32" s="77"/>
      <c r="G32" s="77"/>
      <c r="H32" s="77">
        <f t="shared" si="0"/>
        <v>-55308.520000000004</v>
      </c>
      <c r="I32"/>
      <c r="J32"/>
    </row>
    <row r="33" spans="1:14" s="78" customFormat="1">
      <c r="A33" s="98"/>
      <c r="D33" s="77"/>
      <c r="E33" s="77"/>
      <c r="F33" s="77"/>
      <c r="G33" s="77"/>
      <c r="H33" s="77"/>
    </row>
    <row r="34" spans="1:14" s="77" customFormat="1">
      <c r="A34" s="88"/>
      <c r="B34" s="78"/>
      <c r="C34" s="78"/>
      <c r="I34" s="78"/>
      <c r="J34" s="78"/>
      <c r="K34" s="78"/>
      <c r="L34" s="78"/>
      <c r="M34" s="78"/>
      <c r="N34" s="78"/>
    </row>
    <row r="35" spans="1:14" s="77" customFormat="1">
      <c r="B35" s="102"/>
      <c r="K35" s="78"/>
      <c r="L35" s="78"/>
      <c r="M35" s="78"/>
      <c r="N35" s="78"/>
    </row>
    <row r="36" spans="1:14">
      <c r="A36" s="103"/>
      <c r="B36" s="104" t="s">
        <v>83</v>
      </c>
      <c r="C36" s="103"/>
      <c r="E36" s="77">
        <f>SUM(E37:E68)</f>
        <v>-21573.620000000003</v>
      </c>
      <c r="I36" s="77"/>
      <c r="J36" s="77"/>
    </row>
    <row r="37" spans="1:14" s="77" customFormat="1">
      <c r="A37"/>
      <c r="B37"/>
      <c r="C37"/>
      <c r="I37"/>
      <c r="J37"/>
      <c r="K37" s="78"/>
      <c r="L37" s="78"/>
      <c r="M37" s="78"/>
      <c r="N37" s="78"/>
    </row>
    <row r="38" spans="1:14" s="77" customFormat="1">
      <c r="A38" s="88">
        <v>45715</v>
      </c>
      <c r="B38" s="90" t="s">
        <v>1637</v>
      </c>
      <c r="C38" s="90">
        <v>5938.68</v>
      </c>
      <c r="D38" s="90" t="s">
        <v>567</v>
      </c>
      <c r="E38" s="90">
        <v>-989.78</v>
      </c>
      <c r="K38" s="78"/>
      <c r="L38" s="78"/>
      <c r="M38" s="78"/>
      <c r="N38" s="78"/>
    </row>
    <row r="39" spans="1:14" s="77" customFormat="1">
      <c r="A39" s="100">
        <v>45790</v>
      </c>
      <c r="B39" s="107" t="s">
        <v>338</v>
      </c>
      <c r="C39" s="90">
        <v>1407.46</v>
      </c>
      <c r="D39" s="90" t="s">
        <v>694</v>
      </c>
      <c r="E39" s="90">
        <v>-234.58</v>
      </c>
      <c r="K39" s="78"/>
      <c r="L39" s="78"/>
      <c r="M39" s="78"/>
      <c r="N39" s="78"/>
    </row>
    <row r="40" spans="1:14" s="77" customFormat="1">
      <c r="A40" s="88"/>
      <c r="K40" s="78"/>
      <c r="L40" s="78"/>
      <c r="M40" s="78"/>
      <c r="N40" s="78"/>
    </row>
    <row r="41" spans="1:14">
      <c r="A41" s="88">
        <v>45772</v>
      </c>
      <c r="B41" s="77" t="s">
        <v>1786</v>
      </c>
      <c r="C41" s="77"/>
      <c r="E41" s="77">
        <v>-700</v>
      </c>
      <c r="I41" s="77"/>
      <c r="J41" s="77"/>
    </row>
    <row r="42" spans="1:14" s="77" customFormat="1">
      <c r="A42" s="386">
        <v>45772</v>
      </c>
      <c r="B42" t="s">
        <v>1787</v>
      </c>
      <c r="C42"/>
      <c r="E42" s="77">
        <v>-1200</v>
      </c>
      <c r="I42"/>
      <c r="J42"/>
      <c r="K42" s="78"/>
      <c r="L42" s="78"/>
      <c r="M42" s="78"/>
      <c r="N42" s="78"/>
    </row>
    <row r="43" spans="1:14" s="77" customFormat="1">
      <c r="A43" s="100"/>
      <c r="B43" s="106" t="s">
        <v>1823</v>
      </c>
      <c r="C43" s="106"/>
      <c r="E43" s="77">
        <v>-2820</v>
      </c>
      <c r="K43" s="78"/>
      <c r="L43" s="78"/>
      <c r="M43" s="78"/>
      <c r="N43" s="78"/>
    </row>
    <row r="44" spans="1:14" s="90" customFormat="1">
      <c r="A44" s="100">
        <v>45777</v>
      </c>
      <c r="B44" s="106" t="s">
        <v>1612</v>
      </c>
      <c r="C44" s="106"/>
      <c r="E44" s="90">
        <v>-80</v>
      </c>
      <c r="K44" s="78"/>
      <c r="L44" s="78"/>
      <c r="M44" s="78"/>
      <c r="N44" s="78"/>
    </row>
    <row r="45" spans="1:14" s="77" customFormat="1">
      <c r="A45" s="100"/>
      <c r="B45" s="106" t="s">
        <v>129</v>
      </c>
      <c r="C45" s="106"/>
      <c r="D45" s="77">
        <v>7461.57</v>
      </c>
      <c r="K45" s="78"/>
      <c r="L45" s="78"/>
      <c r="M45" s="78"/>
      <c r="N45" s="78"/>
    </row>
    <row r="46" spans="1:14" s="77" customFormat="1">
      <c r="A46" s="100">
        <v>45783</v>
      </c>
      <c r="B46" s="107"/>
      <c r="C46" s="106"/>
      <c r="E46" s="77">
        <v>-250</v>
      </c>
      <c r="K46" s="78"/>
      <c r="L46" s="78"/>
      <c r="M46" s="78"/>
      <c r="N46" s="78"/>
    </row>
    <row r="47" spans="1:14" s="77" customFormat="1">
      <c r="A47" s="100">
        <v>45788</v>
      </c>
      <c r="B47" s="107" t="s">
        <v>1824</v>
      </c>
      <c r="C47" s="106"/>
      <c r="E47" s="77">
        <v>-300</v>
      </c>
      <c r="K47" s="78"/>
      <c r="L47" s="78"/>
      <c r="M47" s="78"/>
      <c r="N47" s="78"/>
    </row>
    <row r="48" spans="1:14" s="77" customFormat="1">
      <c r="A48" s="100">
        <v>45788</v>
      </c>
      <c r="B48" s="107" t="s">
        <v>1825</v>
      </c>
      <c r="E48" s="77">
        <v>-600</v>
      </c>
      <c r="K48" s="78"/>
      <c r="L48" s="78"/>
      <c r="M48" s="78"/>
      <c r="N48" s="78"/>
    </row>
    <row r="49" spans="1:14" s="90" customFormat="1">
      <c r="A49" s="100">
        <v>45789</v>
      </c>
      <c r="B49" s="107" t="s">
        <v>1826</v>
      </c>
      <c r="E49" s="90">
        <v>-3441</v>
      </c>
      <c r="K49" s="78"/>
      <c r="L49" s="78"/>
      <c r="M49" s="78"/>
      <c r="N49" s="78"/>
    </row>
    <row r="50" spans="1:14" s="90" customFormat="1">
      <c r="A50" s="100">
        <v>45789</v>
      </c>
      <c r="B50" s="107" t="s">
        <v>1827</v>
      </c>
      <c r="E50" s="90">
        <v>-800</v>
      </c>
      <c r="K50" s="78"/>
      <c r="L50" s="78"/>
      <c r="M50" s="78"/>
      <c r="N50" s="78"/>
    </row>
    <row r="51" spans="1:14" s="90" customFormat="1">
      <c r="A51" s="100">
        <v>45791</v>
      </c>
      <c r="B51" s="107" t="s">
        <v>1828</v>
      </c>
      <c r="E51" s="90">
        <v>-800</v>
      </c>
      <c r="K51" s="78"/>
      <c r="L51" s="78"/>
      <c r="M51" s="78"/>
      <c r="N51" s="78"/>
    </row>
    <row r="52" spans="1:14" s="90" customFormat="1">
      <c r="A52" s="100">
        <v>45791</v>
      </c>
      <c r="B52" s="107" t="s">
        <v>1834</v>
      </c>
      <c r="E52" s="90">
        <v>-25</v>
      </c>
      <c r="K52" s="78"/>
      <c r="L52" s="78"/>
      <c r="M52" s="78"/>
      <c r="N52" s="78"/>
    </row>
    <row r="53" spans="1:14" s="90" customFormat="1">
      <c r="A53" s="100">
        <v>45791</v>
      </c>
      <c r="B53" s="107" t="s">
        <v>1835</v>
      </c>
      <c r="E53" s="90">
        <v>-25</v>
      </c>
      <c r="K53" s="78"/>
      <c r="L53" s="78"/>
      <c r="M53" s="78"/>
      <c r="N53" s="78"/>
    </row>
    <row r="54" spans="1:14" s="90" customFormat="1">
      <c r="A54" s="100">
        <v>45792</v>
      </c>
      <c r="B54" s="107" t="s">
        <v>1830</v>
      </c>
      <c r="E54" s="90">
        <v>-200</v>
      </c>
      <c r="K54" s="78"/>
      <c r="L54" s="78"/>
      <c r="M54" s="78"/>
      <c r="N54" s="78"/>
    </row>
    <row r="55" spans="1:14" s="90" customFormat="1">
      <c r="A55" s="100">
        <v>45792</v>
      </c>
      <c r="B55" s="107" t="s">
        <v>1831</v>
      </c>
      <c r="E55" s="90">
        <v>-1610</v>
      </c>
      <c r="K55" s="78"/>
      <c r="L55" s="78"/>
      <c r="M55" s="78"/>
      <c r="N55" s="78"/>
    </row>
    <row r="56" spans="1:14" s="90" customFormat="1">
      <c r="A56" s="100">
        <v>45793</v>
      </c>
      <c r="B56" s="107" t="s">
        <v>591</v>
      </c>
      <c r="E56" s="90">
        <v>-491</v>
      </c>
      <c r="K56" s="78"/>
      <c r="L56" s="78"/>
      <c r="M56" s="78"/>
      <c r="N56" s="78"/>
    </row>
    <row r="57" spans="1:14" s="90" customFormat="1">
      <c r="A57" s="100">
        <v>45794</v>
      </c>
      <c r="B57" s="107" t="s">
        <v>1830</v>
      </c>
      <c r="E57" s="90">
        <v>-240</v>
      </c>
      <c r="K57" s="78"/>
      <c r="L57" s="78"/>
      <c r="M57" s="78"/>
      <c r="N57" s="78"/>
    </row>
    <row r="58" spans="1:14" s="77" customFormat="1">
      <c r="A58" s="100">
        <v>45795</v>
      </c>
      <c r="B58" s="107" t="s">
        <v>1829</v>
      </c>
      <c r="C58" s="106"/>
      <c r="E58" s="77">
        <v>-25</v>
      </c>
      <c r="K58" s="78"/>
      <c r="L58" s="78"/>
      <c r="M58" s="78"/>
      <c r="N58" s="78"/>
    </row>
    <row r="59" spans="1:14" s="90" customFormat="1">
      <c r="A59" s="100">
        <v>45795</v>
      </c>
      <c r="B59" s="107" t="s">
        <v>1832</v>
      </c>
      <c r="C59" s="106"/>
      <c r="E59" s="90">
        <v>-660</v>
      </c>
      <c r="K59" s="78"/>
      <c r="L59" s="78"/>
      <c r="M59" s="78"/>
      <c r="N59" s="78"/>
    </row>
    <row r="60" spans="1:14" s="90" customFormat="1">
      <c r="A60" s="100">
        <v>45795</v>
      </c>
      <c r="B60" s="107" t="s">
        <v>1836</v>
      </c>
      <c r="C60" s="106"/>
      <c r="E60" s="90">
        <v>-95</v>
      </c>
      <c r="K60" s="78"/>
      <c r="L60" s="78"/>
      <c r="M60" s="78"/>
      <c r="N60" s="78"/>
    </row>
    <row r="61" spans="1:14" s="90" customFormat="1">
      <c r="A61" s="100">
        <v>45795</v>
      </c>
      <c r="B61" s="107" t="s">
        <v>1833</v>
      </c>
      <c r="C61" s="106"/>
      <c r="E61" s="90">
        <v>-25</v>
      </c>
      <c r="K61" s="78"/>
      <c r="L61" s="78"/>
      <c r="M61" s="78"/>
      <c r="N61" s="78"/>
    </row>
    <row r="62" spans="1:14" s="90" customFormat="1">
      <c r="A62" s="100">
        <v>45796</v>
      </c>
      <c r="B62" s="107" t="s">
        <v>127</v>
      </c>
      <c r="C62" s="106"/>
      <c r="E62" s="90">
        <v>-576.58000000000004</v>
      </c>
      <c r="K62" s="78"/>
      <c r="L62" s="78"/>
      <c r="M62" s="78"/>
      <c r="N62" s="78"/>
    </row>
    <row r="63" spans="1:14" s="90" customFormat="1">
      <c r="A63" s="100">
        <v>45796</v>
      </c>
      <c r="B63" s="107" t="s">
        <v>651</v>
      </c>
      <c r="C63" s="106"/>
      <c r="E63" s="90">
        <v>-370</v>
      </c>
      <c r="K63" s="78"/>
      <c r="L63" s="78"/>
      <c r="M63" s="78"/>
      <c r="N63" s="78"/>
    </row>
    <row r="64" spans="1:14" s="77" customFormat="1">
      <c r="A64" s="100">
        <v>45797</v>
      </c>
      <c r="B64" s="3" t="s">
        <v>1612</v>
      </c>
      <c r="E64" s="77">
        <v>-80</v>
      </c>
      <c r="K64" s="78"/>
      <c r="L64" s="78"/>
      <c r="M64" s="78"/>
      <c r="N64" s="78"/>
    </row>
    <row r="65" spans="1:14" s="90" customFormat="1">
      <c r="A65" s="100">
        <v>45799</v>
      </c>
      <c r="B65" s="92" t="s">
        <v>1839</v>
      </c>
      <c r="E65" s="90">
        <v>-2345</v>
      </c>
      <c r="K65" s="78"/>
      <c r="L65" s="78"/>
      <c r="M65" s="78"/>
      <c r="N65" s="78"/>
    </row>
    <row r="66" spans="1:14" s="90" customFormat="1">
      <c r="A66" s="100">
        <v>45799</v>
      </c>
      <c r="B66" s="92" t="s">
        <v>1837</v>
      </c>
      <c r="E66" s="90">
        <v>-54</v>
      </c>
      <c r="K66" s="78"/>
      <c r="L66" s="78"/>
      <c r="M66" s="78"/>
      <c r="N66" s="78"/>
    </row>
    <row r="67" spans="1:14" s="90" customFormat="1">
      <c r="A67" s="100">
        <v>45800</v>
      </c>
      <c r="B67" s="92" t="s">
        <v>1838</v>
      </c>
      <c r="E67" s="90">
        <v>-2345</v>
      </c>
      <c r="K67" s="78"/>
      <c r="L67" s="78"/>
      <c r="M67" s="78"/>
      <c r="N67" s="78"/>
    </row>
    <row r="68" spans="1:14" s="90" customFormat="1">
      <c r="A68" s="100">
        <v>45802</v>
      </c>
      <c r="B68" s="92" t="s">
        <v>127</v>
      </c>
      <c r="E68" s="90">
        <v>-191.68</v>
      </c>
      <c r="K68" s="78"/>
      <c r="L68" s="78"/>
      <c r="M68" s="78"/>
      <c r="N68" s="78"/>
    </row>
    <row r="69" spans="1:14" s="90" customFormat="1" ht="15">
      <c r="A69" s="100"/>
      <c r="B69" s="92"/>
      <c r="E69" s="105" t="s">
        <v>84</v>
      </c>
      <c r="K69" s="78"/>
      <c r="L69" s="78"/>
      <c r="M69" s="78"/>
      <c r="N69" s="78"/>
    </row>
    <row r="70" spans="1:14" s="90" customFormat="1">
      <c r="A70" s="100"/>
      <c r="B70" s="92"/>
      <c r="K70" s="78"/>
      <c r="L70" s="78"/>
      <c r="M70" s="78"/>
      <c r="N70" s="78"/>
    </row>
    <row r="71" spans="1:14" s="90" customFormat="1">
      <c r="A71" s="100"/>
      <c r="B71" s="92"/>
      <c r="K71" s="78"/>
      <c r="L71" s="78"/>
      <c r="M71" s="78"/>
      <c r="N71" s="78"/>
    </row>
    <row r="72" spans="1:14" s="90" customFormat="1">
      <c r="A72" s="100"/>
      <c r="B72" s="92"/>
      <c r="K72" s="78"/>
      <c r="L72" s="78"/>
      <c r="M72" s="78"/>
      <c r="N72" s="78"/>
    </row>
    <row r="73" spans="1:14" s="77" customFormat="1">
      <c r="A73" s="100"/>
      <c r="B73" s="106"/>
      <c r="C73" s="106"/>
      <c r="K73" s="78"/>
      <c r="L73" s="78"/>
      <c r="M73" s="78"/>
      <c r="N73" s="78"/>
    </row>
    <row r="74" spans="1:14" s="77" customFormat="1">
      <c r="A74" s="103"/>
      <c r="B74" s="104" t="s">
        <v>85</v>
      </c>
      <c r="C74" s="103"/>
      <c r="E74" s="77">
        <f>SUM(E75:E80)</f>
        <v>-625</v>
      </c>
      <c r="K74" s="78"/>
      <c r="L74" s="78"/>
      <c r="M74" s="78"/>
      <c r="N74" s="78"/>
    </row>
    <row r="75" spans="1:14" s="77" customFormat="1">
      <c r="A75" s="100"/>
      <c r="B75" s="106"/>
      <c r="C75" s="106"/>
      <c r="K75" s="78"/>
      <c r="L75" s="78"/>
      <c r="M75" s="78"/>
      <c r="N75" s="78"/>
    </row>
    <row r="76" spans="1:14" s="77" customFormat="1">
      <c r="K76" s="78"/>
      <c r="L76" s="78"/>
      <c r="M76" s="78"/>
      <c r="N76" s="78"/>
    </row>
    <row r="77" spans="1:14" s="77" customFormat="1">
      <c r="A77" s="98">
        <v>45728</v>
      </c>
      <c r="B77" s="90" t="s">
        <v>1687</v>
      </c>
      <c r="C77" s="11"/>
      <c r="D77" s="90" t="s">
        <v>1719</v>
      </c>
      <c r="E77" s="90">
        <v>-625</v>
      </c>
      <c r="K77" s="78"/>
      <c r="L77" s="78"/>
      <c r="M77" s="78"/>
      <c r="N77" s="78"/>
    </row>
    <row r="78" spans="1:14" s="77" customFormat="1" ht="15">
      <c r="A78" s="100"/>
      <c r="B78" s="3"/>
      <c r="C78" s="106"/>
      <c r="E78" s="105" t="s">
        <v>84</v>
      </c>
      <c r="K78" s="78"/>
      <c r="L78" s="78"/>
      <c r="M78" s="78"/>
      <c r="N78" s="78"/>
    </row>
    <row r="79" spans="1:14" s="77" customFormat="1">
      <c r="A79" s="100"/>
      <c r="B79" s="3"/>
      <c r="C79" s="106"/>
      <c r="K79" s="78"/>
      <c r="L79" s="78"/>
      <c r="M79" s="78"/>
      <c r="N79" s="78"/>
    </row>
    <row r="80" spans="1:14" s="77" customFormat="1">
      <c r="A80" s="100"/>
      <c r="B80" s="3"/>
      <c r="C80" s="106"/>
      <c r="K80" s="78"/>
      <c r="L80" s="78"/>
      <c r="M80" s="78"/>
      <c r="N80" s="78"/>
    </row>
    <row r="81" spans="1:14" s="77" customFormat="1">
      <c r="A81" s="100"/>
      <c r="B81" s="3"/>
      <c r="C81" s="106"/>
      <c r="K81" s="78"/>
      <c r="L81" s="78"/>
      <c r="M81" s="78"/>
      <c r="N81" s="78"/>
    </row>
    <row r="82" spans="1:14" s="77" customFormat="1">
      <c r="A82" s="100"/>
      <c r="B82" s="3"/>
      <c r="C82" s="106"/>
      <c r="K82" s="78"/>
      <c r="L82" s="78"/>
      <c r="M82" s="78"/>
      <c r="N82" s="78"/>
    </row>
    <row r="83" spans="1:14" s="77" customFormat="1">
      <c r="A83" s="100"/>
      <c r="B83" s="3"/>
      <c r="C83" s="106"/>
      <c r="K83" s="78"/>
      <c r="L83" s="78"/>
      <c r="M83" s="78"/>
      <c r="N83" s="78"/>
    </row>
    <row r="84" spans="1:14" s="77" customFormat="1">
      <c r="A84" s="100"/>
      <c r="B84" s="3"/>
      <c r="C84" s="106"/>
      <c r="K84" s="78"/>
      <c r="L84" s="78"/>
      <c r="M84" s="78"/>
      <c r="N84" s="78"/>
    </row>
    <row r="85" spans="1:14" s="77" customFormat="1">
      <c r="A85" s="100"/>
      <c r="B85" s="3"/>
      <c r="C85" s="106"/>
      <c r="K85" s="78"/>
      <c r="L85" s="78"/>
      <c r="M85" s="78"/>
      <c r="N85" s="78"/>
    </row>
    <row r="86" spans="1:14" s="77" customFormat="1">
      <c r="A86" s="100"/>
      <c r="B86" s="3"/>
      <c r="C86" s="106"/>
      <c r="K86" s="78"/>
      <c r="L86" s="78"/>
      <c r="M86" s="78"/>
      <c r="N86" s="78"/>
    </row>
    <row r="87" spans="1:14" s="77" customFormat="1">
      <c r="A87" s="113" t="s">
        <v>1852</v>
      </c>
      <c r="B87" s="104" t="s">
        <v>136</v>
      </c>
      <c r="C87" s="103">
        <v>2025</v>
      </c>
      <c r="D87" s="90"/>
      <c r="E87" s="90"/>
      <c r="F87" s="90"/>
      <c r="G87" s="90">
        <f>SUM(G91:G116)</f>
        <v>590916.54</v>
      </c>
      <c r="H87" s="90"/>
      <c r="I87" s="90"/>
      <c r="J87" s="11"/>
      <c r="K87" s="78"/>
      <c r="L87" s="78"/>
      <c r="M87" s="78"/>
      <c r="N87" s="78"/>
    </row>
    <row r="88" spans="1:14" s="77" customFormat="1">
      <c r="A88" s="113"/>
      <c r="B88" s="104"/>
      <c r="C88" s="103"/>
      <c r="D88" s="90"/>
      <c r="E88" s="90"/>
      <c r="F88" s="90"/>
      <c r="G88" s="90"/>
      <c r="H88" s="90"/>
      <c r="I88" s="90"/>
      <c r="J88" s="11"/>
      <c r="K88" s="78"/>
      <c r="L88" s="78"/>
      <c r="M88" s="78"/>
      <c r="N88" s="78"/>
    </row>
    <row r="89" spans="1:14" s="77" customFormat="1">
      <c r="A89" s="113"/>
      <c r="B89" s="104"/>
      <c r="C89" s="103"/>
      <c r="D89" s="90"/>
      <c r="E89" s="90" t="s">
        <v>137</v>
      </c>
      <c r="F89" s="90"/>
      <c r="G89" s="90"/>
      <c r="H89" s="90"/>
      <c r="I89" s="90"/>
      <c r="J89" s="11"/>
      <c r="K89" s="78"/>
      <c r="L89" s="78"/>
      <c r="M89" s="78"/>
      <c r="N89" s="78"/>
    </row>
    <row r="90" spans="1:14" s="77" customFormat="1">
      <c r="A90" s="100"/>
      <c r="B90" s="90" t="s">
        <v>77</v>
      </c>
      <c r="C90" s="90"/>
      <c r="D90" s="90"/>
      <c r="E90" s="90"/>
      <c r="F90" s="90"/>
      <c r="G90" s="90">
        <v>0</v>
      </c>
      <c r="H90" s="90"/>
      <c r="I90" s="90"/>
      <c r="J90" s="11"/>
      <c r="K90" s="78"/>
      <c r="L90" s="78"/>
      <c r="M90" s="78"/>
      <c r="N90" s="78"/>
    </row>
    <row r="91" spans="1:14" s="77" customFormat="1">
      <c r="A91" s="100"/>
      <c r="B91" s="90" t="s">
        <v>78</v>
      </c>
      <c r="C91" s="90"/>
      <c r="D91" s="90"/>
      <c r="E91" s="90"/>
      <c r="F91" s="90"/>
      <c r="G91" s="90">
        <v>0</v>
      </c>
      <c r="H91" s="90"/>
      <c r="I91" s="90"/>
      <c r="J91" s="11"/>
      <c r="K91" s="78"/>
      <c r="L91" s="78"/>
      <c r="M91" s="78"/>
      <c r="N91" s="78"/>
    </row>
    <row r="92" spans="1:14" s="77" customFormat="1">
      <c r="A92" s="539">
        <v>45777</v>
      </c>
      <c r="B92" s="90" t="s">
        <v>1739</v>
      </c>
      <c r="C92" s="90"/>
      <c r="D92" s="90"/>
      <c r="E92" s="90">
        <v>122830</v>
      </c>
      <c r="F92" s="90">
        <v>-35000</v>
      </c>
      <c r="G92" s="90">
        <f>E92+F92</f>
        <v>87830</v>
      </c>
      <c r="H92" s="90"/>
      <c r="I92" s="90"/>
      <c r="J92" s="11"/>
      <c r="K92" s="78"/>
      <c r="L92" s="78"/>
      <c r="M92" s="78"/>
      <c r="N92" s="78"/>
    </row>
    <row r="93" spans="1:14" s="77" customFormat="1">
      <c r="A93" s="539"/>
      <c r="B93" s="90" t="s">
        <v>1740</v>
      </c>
      <c r="C93" s="90"/>
      <c r="D93" s="90"/>
      <c r="E93" s="90"/>
      <c r="F93" s="90"/>
      <c r="G93" s="90">
        <f>D73</f>
        <v>0</v>
      </c>
      <c r="H93" s="90"/>
      <c r="I93" s="90"/>
      <c r="J93" s="11"/>
      <c r="K93" s="78"/>
      <c r="L93" s="78"/>
      <c r="M93" s="78"/>
      <c r="N93" s="78"/>
    </row>
    <row r="94" spans="1:14">
      <c r="A94" s="539">
        <v>45777</v>
      </c>
      <c r="B94" s="90" t="s">
        <v>139</v>
      </c>
      <c r="C94" s="12"/>
      <c r="D94" s="12"/>
      <c r="E94" s="90"/>
      <c r="F94" s="90"/>
      <c r="G94" s="17">
        <v>6171</v>
      </c>
      <c r="H94" s="90"/>
      <c r="I94" s="90"/>
      <c r="J94" s="11"/>
    </row>
    <row r="95" spans="1:14">
      <c r="A95" s="539">
        <v>45777</v>
      </c>
      <c r="B95" s="90" t="s">
        <v>140</v>
      </c>
      <c r="C95" s="12"/>
      <c r="D95" s="12"/>
      <c r="E95" s="90"/>
      <c r="F95" s="90"/>
      <c r="G95" s="17">
        <v>300</v>
      </c>
      <c r="H95" s="90"/>
      <c r="I95" s="90"/>
      <c r="J95" s="11"/>
    </row>
    <row r="96" spans="1:14">
      <c r="A96" s="100"/>
      <c r="B96" s="90"/>
      <c r="C96" s="12"/>
      <c r="D96" s="12"/>
      <c r="E96" s="90"/>
      <c r="F96" s="90"/>
      <c r="G96" s="17"/>
      <c r="H96" s="90"/>
      <c r="I96" s="90" t="s">
        <v>1686</v>
      </c>
      <c r="J96" s="11"/>
    </row>
    <row r="97" spans="1:10">
      <c r="A97" s="100">
        <v>45620</v>
      </c>
      <c r="B97" s="82" t="s">
        <v>1604</v>
      </c>
      <c r="C97" s="114"/>
      <c r="D97" s="114">
        <v>32.549999999999997</v>
      </c>
      <c r="E97" s="116">
        <f t="shared" ref="E97:E100" si="1">D97*C97</f>
        <v>0</v>
      </c>
      <c r="F97" s="90">
        <v>47</v>
      </c>
      <c r="G97" s="17">
        <f t="shared" ref="G97" si="2">F97*C97</f>
        <v>0</v>
      </c>
      <c r="H97" s="90"/>
      <c r="I97" s="90">
        <f t="shared" ref="I97" si="3">G97-E97</f>
        <v>0</v>
      </c>
      <c r="J97" s="11"/>
    </row>
    <row r="98" spans="1:10">
      <c r="A98" s="100">
        <v>45620</v>
      </c>
      <c r="B98" s="82" t="s">
        <v>1604</v>
      </c>
      <c r="C98" s="114">
        <v>1000</v>
      </c>
      <c r="D98" s="114">
        <v>32.549999999999997</v>
      </c>
      <c r="E98" s="116">
        <f t="shared" si="1"/>
        <v>32549.999999999996</v>
      </c>
      <c r="F98" s="90">
        <f>F97</f>
        <v>47</v>
      </c>
      <c r="G98" s="17">
        <f>F98*C98</f>
        <v>47000</v>
      </c>
      <c r="H98" s="90"/>
      <c r="I98" s="90">
        <f>G98-E98</f>
        <v>14450.000000000004</v>
      </c>
      <c r="J98" s="11"/>
    </row>
    <row r="99" spans="1:10">
      <c r="A99" s="100">
        <v>45659</v>
      </c>
      <c r="B99" s="82" t="s">
        <v>1603</v>
      </c>
      <c r="C99" s="114">
        <v>4000</v>
      </c>
      <c r="D99" s="115">
        <v>30.86</v>
      </c>
      <c r="E99" s="116">
        <f t="shared" si="1"/>
        <v>123440</v>
      </c>
      <c r="F99" s="90">
        <f>F98</f>
        <v>47</v>
      </c>
      <c r="G99" s="17">
        <f t="shared" ref="G99" si="4">F99*C99</f>
        <v>188000</v>
      </c>
      <c r="H99" s="419">
        <f>SUM(G98:G99)</f>
        <v>235000</v>
      </c>
      <c r="I99" s="90">
        <f t="shared" ref="I99" si="5">G99-E99</f>
        <v>64560</v>
      </c>
      <c r="J99" s="11"/>
    </row>
    <row r="100" spans="1:10" ht="13.5" thickBot="1">
      <c r="A100" s="100">
        <v>45804</v>
      </c>
      <c r="B100" s="82" t="s">
        <v>236</v>
      </c>
      <c r="C100" s="114">
        <v>35</v>
      </c>
      <c r="D100" s="115">
        <v>1025.3286370000001</v>
      </c>
      <c r="E100" s="116">
        <f t="shared" si="1"/>
        <v>35886.502295000006</v>
      </c>
      <c r="F100" s="90"/>
      <c r="G100" s="17"/>
      <c r="H100" s="419"/>
      <c r="I100" s="90"/>
      <c r="J100" s="11"/>
    </row>
    <row r="101" spans="1:10" ht="13.5" thickBot="1">
      <c r="A101" s="100"/>
      <c r="B101" s="90"/>
      <c r="C101" s="12"/>
      <c r="D101" s="12"/>
      <c r="E101" s="90">
        <f>SUM(E97:E99)</f>
        <v>155990</v>
      </c>
      <c r="F101" s="90"/>
      <c r="G101" s="90"/>
      <c r="H101" s="117">
        <f>(SUM(G97:G99))-(SUM(E97:E99))</f>
        <v>79010</v>
      </c>
      <c r="I101" s="117">
        <f>SUM(I97:I99)</f>
        <v>79010</v>
      </c>
      <c r="J101" s="11"/>
    </row>
    <row r="102" spans="1:10">
      <c r="A102" s="100"/>
      <c r="B102" s="90"/>
      <c r="C102" s="12"/>
      <c r="D102" s="12"/>
      <c r="E102" s="90"/>
      <c r="F102" s="90"/>
      <c r="G102" s="90"/>
      <c r="H102" s="90"/>
      <c r="I102" s="90"/>
      <c r="J102" s="11"/>
    </row>
    <row r="103" spans="1:10">
      <c r="A103" s="100">
        <v>45345</v>
      </c>
      <c r="B103" s="82" t="s">
        <v>143</v>
      </c>
      <c r="C103" s="118">
        <v>125000</v>
      </c>
      <c r="D103" s="83">
        <v>1.0399430000000001</v>
      </c>
      <c r="E103" s="116">
        <f>D103*C103</f>
        <v>129992.87500000001</v>
      </c>
      <c r="F103" s="404">
        <v>0.89723200000000003</v>
      </c>
      <c r="G103" s="17">
        <f>F103*C103</f>
        <v>112154</v>
      </c>
      <c r="H103" s="90"/>
      <c r="I103" s="90">
        <f t="shared" ref="I103:I106" si="6">G103-E103</f>
        <v>-17838.875000000015</v>
      </c>
      <c r="J103" s="11"/>
    </row>
    <row r="104" spans="1:10">
      <c r="A104" s="100">
        <v>45400</v>
      </c>
      <c r="B104" s="82" t="s">
        <v>144</v>
      </c>
      <c r="C104" s="114">
        <v>10</v>
      </c>
      <c r="D104" s="83">
        <v>135</v>
      </c>
      <c r="E104" s="116">
        <f>D104*C104</f>
        <v>1350</v>
      </c>
      <c r="F104" s="90">
        <v>133.80000000000001</v>
      </c>
      <c r="G104" s="17">
        <f>F104*C104</f>
        <v>1338</v>
      </c>
      <c r="H104" s="90"/>
      <c r="I104" s="90">
        <f t="shared" si="6"/>
        <v>-12</v>
      </c>
      <c r="J104" s="11"/>
    </row>
    <row r="105" spans="1:10">
      <c r="A105" s="100">
        <v>45418</v>
      </c>
      <c r="B105" s="82" t="s">
        <v>145</v>
      </c>
      <c r="C105" s="114">
        <v>38</v>
      </c>
      <c r="D105" s="83">
        <v>30.5</v>
      </c>
      <c r="E105" s="116">
        <f>D105*C105</f>
        <v>1159</v>
      </c>
      <c r="F105" s="90">
        <v>14.91</v>
      </c>
      <c r="G105" s="17">
        <f>F105*C105</f>
        <v>566.58000000000004</v>
      </c>
      <c r="H105" s="90"/>
      <c r="I105" s="90">
        <f t="shared" si="6"/>
        <v>-592.41999999999996</v>
      </c>
      <c r="J105" s="11"/>
    </row>
    <row r="106" spans="1:10" ht="13.5" thickBot="1">
      <c r="A106" s="100">
        <v>45418</v>
      </c>
      <c r="B106" s="82" t="s">
        <v>146</v>
      </c>
      <c r="C106" s="114">
        <v>26</v>
      </c>
      <c r="D106" s="83">
        <v>37.115000000000002</v>
      </c>
      <c r="E106" s="116">
        <f>D106*C106</f>
        <v>964.99</v>
      </c>
      <c r="F106" s="90">
        <v>22.96</v>
      </c>
      <c r="G106" s="17">
        <f>F106*C106</f>
        <v>596.96</v>
      </c>
      <c r="H106" s="419">
        <f>SUM(G103:G106)</f>
        <v>114655.54000000001</v>
      </c>
      <c r="I106" s="90">
        <f t="shared" si="6"/>
        <v>-368.03</v>
      </c>
      <c r="J106" s="11"/>
    </row>
    <row r="107" spans="1:10" ht="13.5" thickBot="1">
      <c r="A107" s="100"/>
      <c r="B107" s="90"/>
      <c r="C107" s="12"/>
      <c r="D107" s="12"/>
      <c r="E107" s="90">
        <f>SUM(E103:E106)</f>
        <v>133466.86499999999</v>
      </c>
      <c r="F107" s="90"/>
      <c r="G107" s="90"/>
      <c r="H107" s="117">
        <f>(SUM(G103:G106))-(SUM(E103:E106))</f>
        <v>-18811.324999999983</v>
      </c>
      <c r="I107" s="90"/>
      <c r="J107" s="11"/>
    </row>
    <row r="108" spans="1:10">
      <c r="A108" s="100"/>
      <c r="B108" s="90"/>
      <c r="C108" s="90"/>
      <c r="D108" s="90"/>
      <c r="E108" s="17"/>
      <c r="F108" s="90"/>
      <c r="G108" s="90"/>
      <c r="H108" s="90"/>
      <c r="I108" s="90"/>
      <c r="J108" s="11"/>
    </row>
    <row r="109" spans="1:10">
      <c r="A109" s="100">
        <v>45509</v>
      </c>
      <c r="B109" s="82" t="s">
        <v>1732</v>
      </c>
      <c r="C109" s="114">
        <v>1</v>
      </c>
      <c r="D109" s="83">
        <v>2500</v>
      </c>
      <c r="E109" s="116">
        <f>D109*C109</f>
        <v>2500</v>
      </c>
      <c r="F109" s="90">
        <v>4100</v>
      </c>
      <c r="G109" s="17">
        <f>C109*F109</f>
        <v>4100</v>
      </c>
      <c r="H109" s="90"/>
      <c r="I109" s="90">
        <f t="shared" ref="I109:I111" si="7">G109-E109</f>
        <v>1600</v>
      </c>
      <c r="J109" s="11"/>
    </row>
    <row r="110" spans="1:10">
      <c r="A110" s="100">
        <v>45509</v>
      </c>
      <c r="B110" s="82" t="s">
        <v>148</v>
      </c>
      <c r="C110" s="114">
        <v>16</v>
      </c>
      <c r="D110" s="83">
        <v>4100</v>
      </c>
      <c r="E110" s="116">
        <f>D110*C110</f>
        <v>65600</v>
      </c>
      <c r="F110" s="90">
        <f>F109*1.73</f>
        <v>7093</v>
      </c>
      <c r="G110" s="17">
        <f>C110*F110</f>
        <v>113488</v>
      </c>
      <c r="H110" s="90"/>
      <c r="I110" s="90">
        <f t="shared" si="7"/>
        <v>47888</v>
      </c>
      <c r="J110" s="11"/>
    </row>
    <row r="111" spans="1:10" ht="13.5" thickBot="1">
      <c r="A111" s="100">
        <v>45509</v>
      </c>
      <c r="B111" s="82" t="s">
        <v>149</v>
      </c>
      <c r="C111" s="114">
        <v>1</v>
      </c>
      <c r="D111" s="83">
        <v>16200</v>
      </c>
      <c r="E111" s="116">
        <f>D111*C111</f>
        <v>16200</v>
      </c>
      <c r="F111" s="90">
        <f>F110*4</f>
        <v>28372</v>
      </c>
      <c r="G111" s="17">
        <f>C111*F111</f>
        <v>28372</v>
      </c>
      <c r="H111" s="419">
        <f>SUM(G109:G111)</f>
        <v>145960</v>
      </c>
      <c r="I111" s="90">
        <f t="shared" si="7"/>
        <v>12172</v>
      </c>
      <c r="J111" s="11"/>
    </row>
    <row r="112" spans="1:10" ht="13.5" thickBot="1">
      <c r="A112" s="100"/>
      <c r="B112" s="90"/>
      <c r="C112" s="12"/>
      <c r="D112" s="12"/>
      <c r="E112" s="90">
        <f>SUM(E109:E111)</f>
        <v>84300</v>
      </c>
      <c r="F112" s="90"/>
      <c r="G112" s="90"/>
      <c r="H112" s="117">
        <f>(SUM(G109:G111))-(SUM(E109:E111))</f>
        <v>61660</v>
      </c>
      <c r="I112" s="90"/>
      <c r="J112" s="11"/>
    </row>
    <row r="113" spans="1:12">
      <c r="A113" s="100"/>
      <c r="B113" s="90" t="s">
        <v>150</v>
      </c>
      <c r="C113" s="120">
        <v>33.250599999999999</v>
      </c>
      <c r="D113" s="12"/>
      <c r="E113" s="90"/>
      <c r="F113" s="90"/>
      <c r="G113" s="17"/>
      <c r="H113" s="90"/>
      <c r="I113" s="90"/>
      <c r="J113" s="11"/>
    </row>
    <row r="114" spans="1:12">
      <c r="A114" s="100"/>
      <c r="B114" s="90" t="s">
        <v>151</v>
      </c>
      <c r="C114" s="120">
        <v>36.854999999999997</v>
      </c>
      <c r="D114" s="12"/>
      <c r="E114" s="90"/>
      <c r="F114" s="90"/>
      <c r="G114" s="17"/>
      <c r="H114" s="90"/>
      <c r="I114" s="90"/>
      <c r="J114" s="11"/>
    </row>
    <row r="115" spans="1:12">
      <c r="A115" s="100"/>
      <c r="B115" s="90" t="s">
        <v>152</v>
      </c>
      <c r="C115" s="12"/>
      <c r="D115" s="12"/>
      <c r="E115" s="90"/>
      <c r="F115" s="90"/>
      <c r="G115" s="17">
        <v>0</v>
      </c>
      <c r="H115" s="90"/>
      <c r="I115" s="90"/>
      <c r="J115" s="11"/>
    </row>
    <row r="116" spans="1:12" ht="13.5" thickBot="1">
      <c r="A116" s="100"/>
      <c r="B116" s="90" t="s">
        <v>153</v>
      </c>
      <c r="C116" s="12"/>
      <c r="D116" s="12"/>
      <c r="E116" s="90"/>
      <c r="F116" s="90"/>
      <c r="G116" s="17">
        <v>1000</v>
      </c>
      <c r="H116" s="90"/>
      <c r="I116" s="90"/>
      <c r="J116" s="11"/>
    </row>
    <row r="117" spans="1:12" ht="13.5" thickBot="1">
      <c r="A117" s="100"/>
      <c r="B117" s="90"/>
      <c r="C117" s="90"/>
      <c r="D117" s="90"/>
      <c r="E117" s="121"/>
      <c r="F117" s="122"/>
      <c r="G117" s="123" t="s">
        <v>154</v>
      </c>
      <c r="H117" s="429">
        <f>H112+H107+H101</f>
        <v>121858.67500000002</v>
      </c>
      <c r="I117" s="90"/>
      <c r="J117" s="11"/>
    </row>
    <row r="118" spans="1:12" ht="13.5" thickBot="1">
      <c r="A118" s="100"/>
      <c r="B118" s="90"/>
      <c r="C118" s="124"/>
      <c r="D118" s="92"/>
      <c r="E118" s="90"/>
      <c r="F118" s="90"/>
      <c r="G118" s="124"/>
      <c r="H118" s="90"/>
      <c r="I118" s="90"/>
      <c r="J118" s="11"/>
    </row>
    <row r="119" spans="1:12" ht="13.5" thickBot="1">
      <c r="A119" s="100"/>
      <c r="B119" s="90"/>
      <c r="C119" s="124"/>
      <c r="D119" s="18" t="s">
        <v>155</v>
      </c>
      <c r="E119" s="90"/>
      <c r="F119" s="90"/>
      <c r="G119" s="482">
        <f>SUM(G91:G116)</f>
        <v>590916.54</v>
      </c>
      <c r="H119" s="90"/>
      <c r="I119" s="90"/>
      <c r="J119" s="11"/>
    </row>
    <row r="120" spans="1:12">
      <c r="A120" s="100"/>
      <c r="B120" s="90"/>
      <c r="C120" s="126" t="str">
        <f>A87</f>
        <v>TEMMUZ  2025 e</v>
      </c>
      <c r="D120" s="126" t="s">
        <v>156</v>
      </c>
      <c r="E120" s="90"/>
      <c r="F120" s="90"/>
      <c r="G120" s="127"/>
      <c r="H120" s="90"/>
      <c r="I120" s="90"/>
      <c r="J120" s="11"/>
    </row>
    <row r="121" spans="1:12">
      <c r="A121" s="100"/>
      <c r="B121" s="11"/>
      <c r="C121" s="438"/>
      <c r="D121" s="439"/>
      <c r="E121" s="405"/>
      <c r="F121" s="405"/>
      <c r="G121" s="409"/>
      <c r="H121" s="90"/>
      <c r="I121" s="90"/>
      <c r="J121" s="11"/>
    </row>
    <row r="122" spans="1:12">
      <c r="A122" s="90"/>
      <c r="B122" s="90" t="s">
        <v>1685</v>
      </c>
      <c r="C122" s="90"/>
      <c r="D122" s="90"/>
      <c r="E122" s="90"/>
      <c r="F122" s="90"/>
      <c r="G122" s="90"/>
      <c r="H122" s="90" t="s">
        <v>1676</v>
      </c>
      <c r="I122" s="11" t="s">
        <v>1676</v>
      </c>
      <c r="J122" s="78" t="s">
        <v>1677</v>
      </c>
      <c r="K122" s="78" t="s">
        <v>1678</v>
      </c>
      <c r="L122" s="78" t="s">
        <v>1679</v>
      </c>
    </row>
    <row r="123" spans="1:12">
      <c r="A123" s="100">
        <v>45620</v>
      </c>
      <c r="B123" s="82" t="s">
        <v>1604</v>
      </c>
      <c r="C123" s="114"/>
      <c r="D123" s="114"/>
      <c r="E123" s="116">
        <f t="shared" ref="E123" si="8">D123*C123</f>
        <v>0</v>
      </c>
      <c r="F123" s="90">
        <v>42.86</v>
      </c>
      <c r="G123" s="17">
        <f t="shared" ref="G123" si="9">F123*C123</f>
        <v>0</v>
      </c>
      <c r="H123" s="90">
        <f>G123-E123</f>
        <v>0</v>
      </c>
      <c r="I123" s="443" t="e">
        <f>(H123-H124)/E123</f>
        <v>#DIV/0!</v>
      </c>
      <c r="J123" s="100">
        <v>45721</v>
      </c>
      <c r="K123" s="78">
        <f>J123-A123</f>
        <v>101</v>
      </c>
      <c r="L123" s="443" t="e">
        <f>I123/K123*30</f>
        <v>#DIV/0!</v>
      </c>
    </row>
    <row r="124" spans="1:12">
      <c r="A124" s="100"/>
      <c r="B124" s="82"/>
      <c r="C124" s="114" t="s">
        <v>1731</v>
      </c>
      <c r="D124" s="115"/>
      <c r="E124" s="116"/>
      <c r="F124" s="90" t="s">
        <v>1730</v>
      </c>
      <c r="G124" s="17">
        <v>-257.16000000000003</v>
      </c>
      <c r="H124" s="90"/>
      <c r="I124" s="90"/>
      <c r="J124" s="475"/>
      <c r="L124" s="443"/>
    </row>
    <row r="125" spans="1:12">
      <c r="A125" s="100">
        <v>45812</v>
      </c>
      <c r="B125" s="82" t="s">
        <v>236</v>
      </c>
      <c r="C125" s="114">
        <v>10</v>
      </c>
      <c r="D125" s="115">
        <v>1025.3286370000001</v>
      </c>
      <c r="E125" s="116">
        <f t="shared" ref="E125" si="10">D125*C125</f>
        <v>10253.286370000002</v>
      </c>
      <c r="F125" s="115">
        <v>1035.7262459999999</v>
      </c>
      <c r="G125" s="17">
        <f t="shared" ref="G125" si="11">F125*C125</f>
        <v>10357.26246</v>
      </c>
      <c r="H125" s="90">
        <f>G125-E125</f>
        <v>103.97608999999829</v>
      </c>
      <c r="I125" s="11"/>
      <c r="J125" s="78"/>
    </row>
    <row r="126" spans="1:12">
      <c r="A126" s="100"/>
      <c r="B126" s="82" t="s">
        <v>1730</v>
      </c>
      <c r="C126" s="114"/>
      <c r="D126" s="115"/>
      <c r="E126" s="116"/>
      <c r="F126" s="404"/>
      <c r="G126" s="17"/>
      <c r="H126" s="90">
        <v>-163.46</v>
      </c>
      <c r="I126" s="443"/>
      <c r="J126" s="100"/>
      <c r="L126" s="443"/>
    </row>
    <row r="127" spans="1:12">
      <c r="A127" s="406">
        <v>45818</v>
      </c>
      <c r="B127" s="82" t="s">
        <v>1819</v>
      </c>
      <c r="C127" s="114">
        <v>25</v>
      </c>
      <c r="D127" s="115">
        <v>1025.3286370000001</v>
      </c>
      <c r="E127" s="116">
        <f t="shared" ref="E127" si="12">D127*C127</f>
        <v>25633.215925</v>
      </c>
      <c r="F127" s="90">
        <v>1043.4576589999999</v>
      </c>
      <c r="G127" s="17">
        <f t="shared" ref="G127" si="13">F127*C127</f>
        <v>26086.441475</v>
      </c>
      <c r="H127" s="90">
        <f>G127-E127</f>
        <v>453.2255499999992</v>
      </c>
      <c r="I127" s="90"/>
      <c r="J127" s="475"/>
    </row>
    <row r="128" spans="1:12" ht="13.5" thickBot="1">
      <c r="A128" s="407"/>
      <c r="B128" s="82" t="s">
        <v>1730</v>
      </c>
      <c r="C128" s="407" t="s">
        <v>1820</v>
      </c>
      <c r="D128" s="405"/>
      <c r="E128" s="405"/>
      <c r="F128" s="405"/>
      <c r="G128" s="405"/>
      <c r="H128" s="407">
        <v>-427.99</v>
      </c>
      <c r="I128" s="11"/>
      <c r="J128" s="78"/>
    </row>
    <row r="129" spans="1:14">
      <c r="A129" s="428"/>
      <c r="B129" s="428"/>
      <c r="C129" s="428"/>
      <c r="D129" s="417"/>
      <c r="E129" s="417"/>
      <c r="F129" s="417"/>
      <c r="G129" s="417">
        <f>SUM(G123:G128)</f>
        <v>36186.543935000002</v>
      </c>
      <c r="H129" s="480">
        <f>SUM(H123:H128)</f>
        <v>-34.248360000002549</v>
      </c>
      <c r="I129" s="11"/>
      <c r="J129" s="78"/>
    </row>
    <row r="130" spans="1:14">
      <c r="A130" s="11"/>
      <c r="B130" s="11"/>
      <c r="C130" s="11"/>
      <c r="D130" s="90"/>
      <c r="E130" s="90"/>
      <c r="F130" s="90"/>
      <c r="G130" s="90"/>
      <c r="H130" s="90"/>
      <c r="I130" s="11"/>
      <c r="J130" s="11"/>
    </row>
    <row r="131" spans="1:14">
      <c r="A131" s="98"/>
      <c r="B131" s="11"/>
      <c r="C131" s="11"/>
      <c r="D131" s="90"/>
      <c r="E131" s="90"/>
      <c r="F131" s="90"/>
      <c r="G131" s="90"/>
      <c r="H131" s="90"/>
      <c r="I131" s="11"/>
      <c r="J131" s="11"/>
    </row>
    <row r="132" spans="1:14" ht="18">
      <c r="A132" s="493" t="s">
        <v>1745</v>
      </c>
      <c r="B132" s="11"/>
      <c r="C132" s="11"/>
      <c r="D132" s="90"/>
      <c r="E132" s="90"/>
      <c r="F132" s="90"/>
      <c r="G132" s="90"/>
      <c r="H132" s="90"/>
      <c r="I132" s="11"/>
      <c r="J132" s="11"/>
    </row>
    <row r="133" spans="1:14" ht="15.75">
      <c r="A133" s="98"/>
      <c r="B133" s="476">
        <f>1-76.4616%</f>
        <v>0.23538399999999993</v>
      </c>
      <c r="C133" s="477">
        <v>0.76461599999999996</v>
      </c>
      <c r="D133" s="404"/>
      <c r="E133" s="90"/>
      <c r="F133" s="90"/>
      <c r="G133" s="90"/>
      <c r="H133" s="90"/>
      <c r="I133" s="11"/>
      <c r="J133" s="11"/>
    </row>
    <row r="134" spans="1:14" ht="15.75">
      <c r="A134" s="98"/>
      <c r="B134" s="476" t="s">
        <v>1889</v>
      </c>
      <c r="C134" s="477"/>
      <c r="D134" s="404"/>
      <c r="E134" s="90"/>
      <c r="F134" s="90"/>
      <c r="G134" s="90"/>
      <c r="H134" s="90"/>
      <c r="I134" s="11"/>
      <c r="J134" s="11"/>
    </row>
    <row r="135" spans="1:14" ht="15.75">
      <c r="A135" s="98"/>
      <c r="B135" s="476" t="s">
        <v>1746</v>
      </c>
      <c r="C135" s="477"/>
      <c r="D135" s="404"/>
      <c r="E135" s="90"/>
      <c r="F135" s="90"/>
      <c r="G135" s="90"/>
      <c r="H135" s="90"/>
      <c r="I135" s="11"/>
      <c r="J135" s="11"/>
    </row>
    <row r="136" spans="1:14" ht="15.75">
      <c r="A136" s="98"/>
      <c r="B136" s="476" t="s">
        <v>1749</v>
      </c>
      <c r="C136" s="477"/>
      <c r="D136" s="404"/>
      <c r="E136" s="90"/>
      <c r="F136" s="90"/>
      <c r="G136" s="90"/>
      <c r="H136" s="90"/>
      <c r="I136" s="11"/>
      <c r="J136" s="11"/>
    </row>
    <row r="137" spans="1:14" ht="15.75">
      <c r="A137" s="98"/>
      <c r="B137" s="476" t="s">
        <v>1748</v>
      </c>
      <c r="C137" s="477"/>
      <c r="D137" s="404"/>
      <c r="E137" s="90"/>
      <c r="F137" s="90"/>
      <c r="G137" s="90"/>
      <c r="H137" s="90"/>
      <c r="I137" s="11"/>
      <c r="J137" s="11"/>
    </row>
    <row r="138" spans="1:14" ht="16.5" thickBot="1">
      <c r="A138" s="98"/>
      <c r="B138" s="476"/>
      <c r="C138" s="11" t="s">
        <v>1751</v>
      </c>
      <c r="D138" s="11" t="s">
        <v>1750</v>
      </c>
      <c r="E138" s="90" t="s">
        <v>1742</v>
      </c>
      <c r="F138" s="490">
        <v>138749.76000000001</v>
      </c>
      <c r="G138" s="11" t="s">
        <v>1743</v>
      </c>
      <c r="H138" s="90" t="s">
        <v>3</v>
      </c>
      <c r="I138" s="11"/>
      <c r="J138" s="11"/>
    </row>
    <row r="139" spans="1:14" ht="13.5" thickBot="1">
      <c r="A139" s="100"/>
      <c r="B139" s="82" t="s">
        <v>1887</v>
      </c>
      <c r="C139" s="118">
        <v>160</v>
      </c>
      <c r="D139" s="384">
        <f>C139</f>
        <v>160</v>
      </c>
      <c r="E139" s="83">
        <v>872.26</v>
      </c>
      <c r="F139" s="491">
        <f>E139*D139</f>
        <v>139561.60000000001</v>
      </c>
      <c r="G139" s="481">
        <v>962.89330700000005</v>
      </c>
      <c r="H139" s="569">
        <f>G139*C139</f>
        <v>154062.92912000002</v>
      </c>
      <c r="I139" s="12">
        <f>H139</f>
        <v>154062.92912000002</v>
      </c>
      <c r="J139" s="11"/>
    </row>
    <row r="140" spans="1:14" ht="13.5" thickBot="1">
      <c r="A140" s="100"/>
      <c r="B140" s="82" t="s">
        <v>1886</v>
      </c>
      <c r="C140" s="118">
        <v>78</v>
      </c>
      <c r="D140" s="384">
        <f>D139+C140</f>
        <v>238</v>
      </c>
      <c r="E140" s="83">
        <v>872.26</v>
      </c>
      <c r="F140" s="491">
        <f t="shared" ref="F140:F146" si="14">E140*D140</f>
        <v>207597.88</v>
      </c>
      <c r="G140" s="403">
        <f>G141</f>
        <v>962.89330700000005</v>
      </c>
      <c r="H140" s="569">
        <f>G140*C140</f>
        <v>75105.677946000011</v>
      </c>
      <c r="I140" s="12">
        <f>I139+H140</f>
        <v>229168.60706600003</v>
      </c>
      <c r="J140" s="11"/>
    </row>
    <row r="141" spans="1:14" ht="13.5" thickBot="1">
      <c r="A141" s="489">
        <v>45755</v>
      </c>
      <c r="B141" s="492" t="s">
        <v>1853</v>
      </c>
      <c r="C141" s="118">
        <v>-21</v>
      </c>
      <c r="D141" s="384">
        <f>D140+C141</f>
        <v>217</v>
      </c>
      <c r="E141" s="83">
        <v>872.26</v>
      </c>
      <c r="F141" s="491">
        <f t="shared" si="14"/>
        <v>189280.41999999998</v>
      </c>
      <c r="G141" s="403">
        <f>G139</f>
        <v>962.89330700000005</v>
      </c>
      <c r="H141" s="570">
        <f>G141*C141</f>
        <v>-20220.759447</v>
      </c>
      <c r="I141" s="12">
        <f>I140+H141</f>
        <v>208947.84761900004</v>
      </c>
      <c r="J141" s="11"/>
    </row>
    <row r="142" spans="1:14" ht="13.5" thickBot="1">
      <c r="A142" s="100"/>
      <c r="B142" s="82" t="s">
        <v>1744</v>
      </c>
      <c r="C142" s="567"/>
      <c r="D142" s="384">
        <f t="shared" ref="D142:D146" si="15">D141+C142</f>
        <v>217</v>
      </c>
      <c r="E142" s="83">
        <v>872.26</v>
      </c>
      <c r="F142" s="491">
        <f t="shared" si="14"/>
        <v>189280.41999999998</v>
      </c>
      <c r="G142" s="403">
        <f>G140</f>
        <v>962.89330700000005</v>
      </c>
      <c r="H142" s="384">
        <v>-300.32</v>
      </c>
      <c r="I142" s="12">
        <f>I141+H142</f>
        <v>208647.52761900003</v>
      </c>
      <c r="J142" s="11"/>
    </row>
    <row r="143" spans="1:14" s="11" customFormat="1" ht="13.5" thickBot="1">
      <c r="A143" s="489">
        <v>45786</v>
      </c>
      <c r="B143" s="492" t="s">
        <v>1854</v>
      </c>
      <c r="C143" s="568">
        <v>-20</v>
      </c>
      <c r="D143" s="384">
        <f t="shared" si="15"/>
        <v>197</v>
      </c>
      <c r="E143" s="83">
        <v>872.26</v>
      </c>
      <c r="F143" s="491">
        <f t="shared" si="14"/>
        <v>171835.22</v>
      </c>
      <c r="G143" s="403">
        <v>1000.86</v>
      </c>
      <c r="H143" s="570">
        <f>G143*C143</f>
        <v>-20017.2</v>
      </c>
      <c r="I143" s="12">
        <f>I142+H143</f>
        <v>188630.32761900002</v>
      </c>
      <c r="K143" s="78"/>
      <c r="L143" s="78"/>
      <c r="M143" s="78"/>
      <c r="N143" s="78"/>
    </row>
    <row r="144" spans="1:14" s="11" customFormat="1" ht="13.5" thickBot="1">
      <c r="A144" s="489"/>
      <c r="B144" s="492"/>
      <c r="C144" s="568"/>
      <c r="D144" s="384">
        <f t="shared" si="15"/>
        <v>197</v>
      </c>
      <c r="E144" s="83">
        <v>872.26</v>
      </c>
      <c r="F144" s="491">
        <f t="shared" si="14"/>
        <v>171835.22</v>
      </c>
      <c r="G144" s="403">
        <v>1000.86</v>
      </c>
      <c r="H144" s="570">
        <v>-257.18</v>
      </c>
      <c r="I144" s="12">
        <f t="shared" ref="I144:I146" si="16">I143+H144</f>
        <v>188373.14761900002</v>
      </c>
      <c r="K144" s="78"/>
      <c r="L144" s="78"/>
      <c r="M144" s="78"/>
      <c r="N144" s="78"/>
    </row>
    <row r="145" spans="1:14" s="11" customFormat="1" ht="13.5" thickBot="1">
      <c r="A145" s="100">
        <v>45818</v>
      </c>
      <c r="B145" s="492" t="s">
        <v>1855</v>
      </c>
      <c r="C145" s="567">
        <v>-20</v>
      </c>
      <c r="D145" s="384">
        <f t="shared" si="15"/>
        <v>177</v>
      </c>
      <c r="E145" s="83">
        <v>872.26</v>
      </c>
      <c r="F145" s="491">
        <f t="shared" si="14"/>
        <v>154390.01999999999</v>
      </c>
      <c r="G145" s="403">
        <v>1043.4576589999999</v>
      </c>
      <c r="H145" s="570">
        <f>G145*C145</f>
        <v>-20869.153179999998</v>
      </c>
      <c r="I145" s="12">
        <f t="shared" si="16"/>
        <v>167503.99443900003</v>
      </c>
      <c r="K145" s="78"/>
      <c r="L145" s="78"/>
      <c r="M145" s="78"/>
      <c r="N145" s="78"/>
    </row>
    <row r="146" spans="1:14" s="11" customFormat="1" ht="13.5" thickBot="1">
      <c r="A146" s="100"/>
      <c r="B146" s="82"/>
      <c r="C146" s="567"/>
      <c r="D146" s="384">
        <f t="shared" si="15"/>
        <v>177</v>
      </c>
      <c r="E146" s="83">
        <v>872.26</v>
      </c>
      <c r="F146" s="491">
        <f t="shared" si="14"/>
        <v>154390.01999999999</v>
      </c>
      <c r="G146" s="403">
        <v>1043.4576589999999</v>
      </c>
      <c r="H146" s="384">
        <v>-342.39</v>
      </c>
      <c r="I146" s="12">
        <f t="shared" si="16"/>
        <v>167161.60443900002</v>
      </c>
      <c r="K146" s="78"/>
      <c r="L146" s="78"/>
      <c r="M146" s="78"/>
      <c r="N146" s="78"/>
    </row>
    <row r="147" spans="1:14" s="11" customFormat="1" ht="13.5" thickBot="1">
      <c r="A147" s="100"/>
      <c r="B147" s="492" t="s">
        <v>1856</v>
      </c>
      <c r="C147" s="388">
        <v>-20</v>
      </c>
      <c r="D147" s="90">
        <f t="shared" ref="D147:D148" si="17">D146+C147</f>
        <v>157</v>
      </c>
      <c r="E147" s="83">
        <v>872.26</v>
      </c>
      <c r="F147" s="491">
        <f t="shared" ref="F147:F148" si="18">E147*D147</f>
        <v>136944.82</v>
      </c>
      <c r="G147" s="403">
        <v>1080</v>
      </c>
      <c r="H147" s="141">
        <f>G147*C147</f>
        <v>-21600</v>
      </c>
      <c r="I147" s="12">
        <f t="shared" ref="I147:I148" si="19">I146+H147</f>
        <v>145561.60443900002</v>
      </c>
      <c r="K147" s="78"/>
      <c r="L147" s="78"/>
      <c r="M147" s="78"/>
      <c r="N147" s="78"/>
    </row>
    <row r="148" spans="1:14" s="11" customFormat="1" ht="13.5" thickBot="1">
      <c r="A148" s="100"/>
      <c r="B148" s="82"/>
      <c r="C148" s="388"/>
      <c r="D148" s="90">
        <f t="shared" si="17"/>
        <v>157</v>
      </c>
      <c r="E148" s="83">
        <v>872.26</v>
      </c>
      <c r="F148" s="491">
        <f t="shared" si="18"/>
        <v>136944.82</v>
      </c>
      <c r="G148" s="403">
        <v>1080</v>
      </c>
      <c r="H148" s="90"/>
      <c r="I148" s="12">
        <f t="shared" si="19"/>
        <v>145561.60443900002</v>
      </c>
      <c r="K148" s="78"/>
      <c r="L148" s="78"/>
      <c r="M148" s="78"/>
      <c r="N148" s="78"/>
    </row>
    <row r="149" spans="1:14" s="11" customFormat="1" ht="13.5" thickBot="1">
      <c r="A149" s="100"/>
      <c r="B149" s="492" t="s">
        <v>1857</v>
      </c>
      <c r="C149" s="388">
        <v>-20</v>
      </c>
      <c r="D149" s="90">
        <f t="shared" ref="D149:D160" si="20">D148+C149</f>
        <v>137</v>
      </c>
      <c r="E149" s="83">
        <v>872.26</v>
      </c>
      <c r="F149" s="491">
        <f t="shared" ref="F149:F160" si="21">E149*D149</f>
        <v>119499.62</v>
      </c>
      <c r="G149" s="403">
        <v>1120</v>
      </c>
      <c r="H149" s="141">
        <f>G149*C149</f>
        <v>-22400</v>
      </c>
      <c r="I149" s="12">
        <f t="shared" ref="I149:I160" si="22">I148+H149</f>
        <v>123161.60443900002</v>
      </c>
      <c r="K149" s="78"/>
      <c r="L149" s="78"/>
      <c r="M149" s="78"/>
      <c r="N149" s="78"/>
    </row>
    <row r="150" spans="1:14" s="11" customFormat="1" ht="13.5" thickBot="1">
      <c r="A150" s="100"/>
      <c r="B150" s="82"/>
      <c r="C150" s="388"/>
      <c r="D150" s="90">
        <f t="shared" si="20"/>
        <v>137</v>
      </c>
      <c r="E150" s="83">
        <v>872.26</v>
      </c>
      <c r="F150" s="491">
        <f t="shared" si="21"/>
        <v>119499.62</v>
      </c>
      <c r="G150" s="403">
        <v>1120</v>
      </c>
      <c r="H150" s="90"/>
      <c r="I150" s="12">
        <f t="shared" si="22"/>
        <v>123161.60443900002</v>
      </c>
      <c r="K150" s="78"/>
      <c r="L150" s="78"/>
      <c r="M150" s="78"/>
      <c r="N150" s="78"/>
    </row>
    <row r="151" spans="1:14" s="11" customFormat="1" ht="13.5" thickBot="1">
      <c r="A151" s="100"/>
      <c r="B151" s="492" t="s">
        <v>1858</v>
      </c>
      <c r="C151" s="388">
        <v>-20</v>
      </c>
      <c r="D151" s="90">
        <f t="shared" si="20"/>
        <v>117</v>
      </c>
      <c r="E151" s="83">
        <v>872.26</v>
      </c>
      <c r="F151" s="491">
        <f t="shared" si="21"/>
        <v>102054.42</v>
      </c>
      <c r="G151" s="403">
        <v>1160</v>
      </c>
      <c r="H151" s="141">
        <f>G151*C151</f>
        <v>-23200</v>
      </c>
      <c r="I151" s="12">
        <f t="shared" si="22"/>
        <v>99961.604439000017</v>
      </c>
      <c r="K151" s="78"/>
      <c r="L151" s="78"/>
      <c r="M151" s="78"/>
      <c r="N151" s="78"/>
    </row>
    <row r="152" spans="1:14" s="11" customFormat="1" ht="13.5" thickBot="1">
      <c r="A152" s="100"/>
      <c r="B152" s="82"/>
      <c r="C152" s="388"/>
      <c r="D152" s="90">
        <f t="shared" si="20"/>
        <v>117</v>
      </c>
      <c r="E152" s="83">
        <v>872.26</v>
      </c>
      <c r="F152" s="491">
        <f t="shared" si="21"/>
        <v>102054.42</v>
      </c>
      <c r="G152" s="403">
        <v>1160</v>
      </c>
      <c r="H152" s="90"/>
      <c r="I152" s="12">
        <f t="shared" si="22"/>
        <v>99961.604439000017</v>
      </c>
      <c r="K152" s="78"/>
      <c r="L152" s="78"/>
      <c r="M152" s="78"/>
      <c r="N152" s="78"/>
    </row>
    <row r="153" spans="1:14" s="11" customFormat="1" ht="13.5" thickBot="1">
      <c r="A153" s="100"/>
      <c r="B153" s="492" t="s">
        <v>1859</v>
      </c>
      <c r="C153" s="388">
        <v>-17</v>
      </c>
      <c r="D153" s="90">
        <f t="shared" si="20"/>
        <v>100</v>
      </c>
      <c r="E153" s="83">
        <v>872.26</v>
      </c>
      <c r="F153" s="491">
        <f t="shared" si="21"/>
        <v>87226</v>
      </c>
      <c r="G153" s="403">
        <v>1200</v>
      </c>
      <c r="H153" s="141">
        <f>G153*C153</f>
        <v>-20400</v>
      </c>
      <c r="I153" s="12">
        <f t="shared" si="22"/>
        <v>79561.604439000017</v>
      </c>
      <c r="K153" s="78"/>
      <c r="L153" s="78"/>
      <c r="M153" s="78"/>
      <c r="N153" s="78"/>
    </row>
    <row r="154" spans="1:14" s="11" customFormat="1" ht="13.5" thickBot="1">
      <c r="A154" s="100"/>
      <c r="B154" s="82"/>
      <c r="C154" s="388"/>
      <c r="D154" s="90">
        <f t="shared" si="20"/>
        <v>100</v>
      </c>
      <c r="E154" s="83">
        <v>872.26</v>
      </c>
      <c r="F154" s="491">
        <f t="shared" si="21"/>
        <v>87226</v>
      </c>
      <c r="G154" s="403">
        <v>1200</v>
      </c>
      <c r="H154" s="90"/>
      <c r="I154" s="12">
        <f t="shared" si="22"/>
        <v>79561.604439000017</v>
      </c>
      <c r="K154" s="78"/>
      <c r="L154" s="78"/>
      <c r="M154" s="78"/>
      <c r="N154" s="78"/>
    </row>
    <row r="155" spans="1:14" s="11" customFormat="1" ht="13.5" thickBot="1">
      <c r="A155" s="100"/>
      <c r="B155" s="492" t="s">
        <v>1860</v>
      </c>
      <c r="C155" s="388">
        <v>-20</v>
      </c>
      <c r="D155" s="90">
        <f t="shared" si="20"/>
        <v>80</v>
      </c>
      <c r="E155" s="83">
        <v>872.26</v>
      </c>
      <c r="F155" s="491">
        <f t="shared" si="21"/>
        <v>69780.800000000003</v>
      </c>
      <c r="G155" s="403">
        <v>1240</v>
      </c>
      <c r="H155" s="141">
        <f>G155*C155</f>
        <v>-24800</v>
      </c>
      <c r="I155" s="12">
        <f t="shared" si="22"/>
        <v>54761.604439000017</v>
      </c>
      <c r="K155" s="78"/>
      <c r="L155" s="78"/>
      <c r="M155" s="78"/>
      <c r="N155" s="78"/>
    </row>
    <row r="156" spans="1:14" s="11" customFormat="1" ht="13.5" thickBot="1">
      <c r="A156" s="100"/>
      <c r="B156" s="82"/>
      <c r="C156" s="388"/>
      <c r="D156" s="90">
        <f t="shared" si="20"/>
        <v>80</v>
      </c>
      <c r="E156" s="83">
        <v>872.26</v>
      </c>
      <c r="F156" s="491">
        <f t="shared" si="21"/>
        <v>69780.800000000003</v>
      </c>
      <c r="G156" s="403">
        <v>1240</v>
      </c>
      <c r="H156" s="90"/>
      <c r="I156" s="12">
        <f t="shared" si="22"/>
        <v>54761.604439000017</v>
      </c>
      <c r="K156" s="78"/>
      <c r="L156" s="78"/>
      <c r="M156" s="78"/>
      <c r="N156" s="78"/>
    </row>
    <row r="157" spans="1:14" s="11" customFormat="1" ht="13.5" thickBot="1">
      <c r="A157" s="100"/>
      <c r="B157" s="492" t="s">
        <v>1861</v>
      </c>
      <c r="C157" s="388">
        <v>-20</v>
      </c>
      <c r="D157" s="90">
        <f t="shared" si="20"/>
        <v>60</v>
      </c>
      <c r="E157" s="83">
        <v>872.26</v>
      </c>
      <c r="F157" s="491">
        <f t="shared" si="21"/>
        <v>52335.6</v>
      </c>
      <c r="G157" s="403">
        <v>1280</v>
      </c>
      <c r="H157" s="141">
        <f>G157*C157</f>
        <v>-25600</v>
      </c>
      <c r="I157" s="12">
        <f t="shared" si="22"/>
        <v>29161.604439000017</v>
      </c>
      <c r="K157" s="78"/>
      <c r="L157" s="78"/>
      <c r="M157" s="78"/>
      <c r="N157" s="78"/>
    </row>
    <row r="158" spans="1:14" s="11" customFormat="1" ht="13.5" thickBot="1">
      <c r="A158" s="100"/>
      <c r="B158" s="82"/>
      <c r="C158" s="388"/>
      <c r="D158" s="90">
        <f t="shared" si="20"/>
        <v>60</v>
      </c>
      <c r="E158" s="83">
        <v>872.26</v>
      </c>
      <c r="F158" s="491">
        <f t="shared" si="21"/>
        <v>52335.6</v>
      </c>
      <c r="G158" s="403">
        <v>1280</v>
      </c>
      <c r="H158" s="90"/>
      <c r="I158" s="12">
        <f t="shared" si="22"/>
        <v>29161.604439000017</v>
      </c>
      <c r="K158" s="78"/>
      <c r="L158" s="78"/>
      <c r="M158" s="78"/>
      <c r="N158" s="78"/>
    </row>
    <row r="159" spans="1:14" s="11" customFormat="1" ht="13.5" thickBot="1">
      <c r="A159" s="100"/>
      <c r="B159" s="492" t="s">
        <v>1862</v>
      </c>
      <c r="C159" s="388">
        <v>-20</v>
      </c>
      <c r="D159" s="90">
        <f t="shared" si="20"/>
        <v>40</v>
      </c>
      <c r="E159" s="83">
        <v>872.26</v>
      </c>
      <c r="F159" s="491">
        <f t="shared" si="21"/>
        <v>34890.400000000001</v>
      </c>
      <c r="G159" s="403">
        <v>1300</v>
      </c>
      <c r="H159" s="141">
        <f>G159*C159</f>
        <v>-26000</v>
      </c>
      <c r="I159" s="12">
        <f t="shared" si="22"/>
        <v>3161.604439000017</v>
      </c>
      <c r="K159" s="78"/>
      <c r="L159" s="78"/>
      <c r="M159" s="78"/>
      <c r="N159" s="78"/>
    </row>
    <row r="160" spans="1:14" s="11" customFormat="1" ht="13.5" thickBot="1">
      <c r="A160" s="100"/>
      <c r="B160" s="82"/>
      <c r="C160" s="388"/>
      <c r="D160" s="90">
        <f t="shared" si="20"/>
        <v>40</v>
      </c>
      <c r="E160" s="83">
        <v>872.26</v>
      </c>
      <c r="F160" s="491">
        <f t="shared" si="21"/>
        <v>34890.400000000001</v>
      </c>
      <c r="G160" s="403">
        <v>1300</v>
      </c>
      <c r="H160" s="90"/>
      <c r="I160" s="12">
        <f t="shared" si="22"/>
        <v>3161.604439000017</v>
      </c>
      <c r="K160" s="78"/>
      <c r="L160" s="78"/>
      <c r="M160" s="78"/>
      <c r="N160" s="78"/>
    </row>
    <row r="161" spans="1:14" s="11" customFormat="1" ht="13.5" thickBot="1">
      <c r="A161" s="100"/>
      <c r="B161" s="492" t="s">
        <v>1863</v>
      </c>
      <c r="C161" s="388">
        <v>-20</v>
      </c>
      <c r="D161" s="90">
        <f t="shared" ref="D161:D164" si="23">D160+C161</f>
        <v>20</v>
      </c>
      <c r="E161" s="83">
        <v>872.26</v>
      </c>
      <c r="F161" s="491">
        <f t="shared" ref="F161:F164" si="24">E161*D161</f>
        <v>17445.2</v>
      </c>
      <c r="G161" s="403">
        <v>1330</v>
      </c>
      <c r="H161" s="141">
        <f>G161*C161</f>
        <v>-26600</v>
      </c>
      <c r="I161" s="12">
        <f t="shared" ref="I161:I164" si="25">I160+H161</f>
        <v>-23438.395560999983</v>
      </c>
      <c r="K161" s="78"/>
      <c r="L161" s="78"/>
      <c r="M161" s="78"/>
      <c r="N161" s="78"/>
    </row>
    <row r="162" spans="1:14" s="11" customFormat="1" ht="13.5" thickBot="1">
      <c r="A162" s="100"/>
      <c r="B162" s="82"/>
      <c r="C162" s="388"/>
      <c r="D162" s="90">
        <f t="shared" si="23"/>
        <v>20</v>
      </c>
      <c r="E162" s="83">
        <v>872.26</v>
      </c>
      <c r="F162" s="491">
        <f t="shared" si="24"/>
        <v>17445.2</v>
      </c>
      <c r="G162" s="403">
        <v>1330</v>
      </c>
      <c r="H162" s="90"/>
      <c r="I162" s="12">
        <f t="shared" si="25"/>
        <v>-23438.395560999983</v>
      </c>
      <c r="K162" s="78"/>
      <c r="L162" s="78"/>
      <c r="M162" s="78"/>
      <c r="N162" s="78"/>
    </row>
    <row r="163" spans="1:14" s="11" customFormat="1" ht="13.5" thickBot="1">
      <c r="A163" s="100"/>
      <c r="B163" s="492" t="s">
        <v>1864</v>
      </c>
      <c r="C163" s="388">
        <v>-20</v>
      </c>
      <c r="D163" s="90">
        <f t="shared" si="23"/>
        <v>0</v>
      </c>
      <c r="E163" s="83">
        <v>872.26</v>
      </c>
      <c r="F163" s="491">
        <f t="shared" si="24"/>
        <v>0</v>
      </c>
      <c r="G163" s="403">
        <v>1360</v>
      </c>
      <c r="H163" s="141">
        <f>G163*C163</f>
        <v>-27200</v>
      </c>
      <c r="I163" s="12">
        <f t="shared" si="25"/>
        <v>-50638.395560999983</v>
      </c>
      <c r="K163" s="78"/>
      <c r="L163" s="78"/>
      <c r="M163" s="78"/>
      <c r="N163" s="78"/>
    </row>
    <row r="164" spans="1:14" s="11" customFormat="1">
      <c r="A164" s="100"/>
      <c r="B164" s="82"/>
      <c r="C164" s="388"/>
      <c r="D164" s="90">
        <f t="shared" si="23"/>
        <v>0</v>
      </c>
      <c r="E164" s="83">
        <v>872.26</v>
      </c>
      <c r="F164" s="491">
        <f t="shared" si="24"/>
        <v>0</v>
      </c>
      <c r="G164" s="403">
        <v>1360</v>
      </c>
      <c r="H164" s="90"/>
      <c r="I164" s="12">
        <f t="shared" si="25"/>
        <v>-50638.395560999983</v>
      </c>
      <c r="K164" s="78"/>
      <c r="L164" s="78"/>
      <c r="M164" s="78"/>
      <c r="N164" s="78"/>
    </row>
    <row r="165" spans="1:14" s="11" customFormat="1">
      <c r="A165" s="100"/>
      <c r="B165" s="82"/>
      <c r="C165" s="388"/>
      <c r="D165" s="90"/>
      <c r="E165" s="83"/>
      <c r="F165" s="491"/>
      <c r="G165" s="403"/>
      <c r="H165" s="90"/>
      <c r="I165" s="12"/>
      <c r="K165" s="78"/>
      <c r="L165" s="78"/>
      <c r="M165" s="78"/>
      <c r="N165" s="78"/>
    </row>
    <row r="166" spans="1:14" s="11" customFormat="1">
      <c r="A166" s="549"/>
      <c r="B166" s="466"/>
      <c r="C166" s="550"/>
      <c r="D166" s="551"/>
      <c r="E166" s="405"/>
      <c r="F166" s="409"/>
      <c r="G166" s="551"/>
      <c r="H166" s="552">
        <f>SUM(H141:H165)</f>
        <v>-279807.00262699998</v>
      </c>
      <c r="I166" s="440"/>
      <c r="K166" s="78"/>
      <c r="L166" s="78"/>
      <c r="M166" s="78"/>
      <c r="N166" s="78"/>
    </row>
    <row r="167" spans="1:14">
      <c r="A167" s="553"/>
      <c r="B167" s="407"/>
      <c r="C167" s="408"/>
      <c r="D167" s="405"/>
      <c r="E167" s="405"/>
      <c r="F167" s="405"/>
      <c r="G167" s="405"/>
      <c r="H167" s="409"/>
      <c r="I167" s="90"/>
      <c r="J167" s="11"/>
    </row>
    <row r="168" spans="1:14">
      <c r="A168" s="100"/>
      <c r="B168" s="90" t="s">
        <v>1888</v>
      </c>
      <c r="C168" s="438"/>
      <c r="D168" s="439"/>
      <c r="E168" s="405"/>
      <c r="F168" s="405"/>
      <c r="G168" s="409"/>
      <c r="H168" s="90"/>
      <c r="I168" s="90"/>
      <c r="J168" s="11"/>
    </row>
    <row r="169" spans="1:14">
      <c r="A169" s="98"/>
      <c r="B169" s="11"/>
      <c r="C169" s="11"/>
      <c r="D169" s="90"/>
      <c r="E169" s="90"/>
      <c r="F169" s="90"/>
      <c r="G169" s="90"/>
      <c r="H169" s="90"/>
      <c r="I169" s="11"/>
      <c r="J169" s="11"/>
    </row>
    <row r="170" spans="1:14">
      <c r="A170" s="98"/>
      <c r="B170" s="11"/>
      <c r="C170" s="11"/>
      <c r="D170" s="90"/>
      <c r="E170" s="90"/>
      <c r="F170" s="90"/>
      <c r="G170" s="90"/>
      <c r="H170" s="90"/>
      <c r="I170" s="11"/>
      <c r="J170" s="11"/>
    </row>
    <row r="171" spans="1:14">
      <c r="A171" s="98"/>
      <c r="B171" s="11"/>
      <c r="C171" s="11"/>
      <c r="D171" s="90"/>
      <c r="E171" s="90"/>
      <c r="F171" s="90"/>
      <c r="G171" s="90"/>
      <c r="H171" s="90"/>
      <c r="I171" s="11"/>
      <c r="J171" s="11"/>
    </row>
    <row r="172" spans="1:14">
      <c r="A172" s="98"/>
      <c r="B172" s="11"/>
      <c r="C172" s="11"/>
      <c r="D172" s="90"/>
      <c r="E172" s="90"/>
      <c r="F172" s="90"/>
      <c r="G172" s="90"/>
      <c r="H172" s="90"/>
      <c r="I172" s="11"/>
      <c r="J172" s="11"/>
    </row>
    <row r="173" spans="1:14">
      <c r="A173" s="98"/>
      <c r="B173" s="11"/>
      <c r="C173" s="11"/>
      <c r="D173" s="90"/>
      <c r="E173" s="90"/>
      <c r="F173" s="90"/>
      <c r="G173" s="90"/>
      <c r="H173" s="90"/>
      <c r="I173" s="11"/>
      <c r="J173" s="11"/>
    </row>
    <row r="174" spans="1:14">
      <c r="A174" s="98"/>
      <c r="B174" s="11"/>
      <c r="C174" s="11"/>
      <c r="D174" s="90"/>
      <c r="E174" s="90"/>
      <c r="F174" s="90"/>
      <c r="G174" s="90"/>
      <c r="H174" s="90"/>
      <c r="I174" s="11"/>
      <c r="J174" s="11"/>
    </row>
    <row r="175" spans="1:14">
      <c r="A175" s="98"/>
      <c r="B175" s="11"/>
      <c r="C175" s="11"/>
      <c r="D175" s="90"/>
      <c r="E175" s="90"/>
      <c r="F175" s="90"/>
      <c r="G175" s="90"/>
      <c r="H175" s="90"/>
      <c r="I175" s="11"/>
      <c r="J175" s="11"/>
    </row>
    <row r="176" spans="1:14">
      <c r="A176" s="98"/>
      <c r="B176" s="11"/>
      <c r="C176" s="11"/>
      <c r="D176" s="90"/>
      <c r="E176" s="90"/>
      <c r="F176" s="90"/>
      <c r="G176" s="90"/>
      <c r="H176" s="90"/>
      <c r="I176" s="11"/>
      <c r="J176" s="11"/>
    </row>
    <row r="177" spans="1:10">
      <c r="A177" s="98"/>
      <c r="B177" s="11"/>
      <c r="C177" s="11"/>
      <c r="D177" s="90"/>
      <c r="E177" s="90"/>
      <c r="F177" s="90"/>
      <c r="G177" s="90"/>
      <c r="H177" s="90"/>
      <c r="I177" s="11"/>
      <c r="J177" s="11"/>
    </row>
    <row r="178" spans="1:10">
      <c r="A178" s="98"/>
      <c r="B178" s="11"/>
      <c r="C178" s="11"/>
      <c r="D178" s="90"/>
      <c r="E178" s="90"/>
      <c r="F178" s="90"/>
      <c r="G178" s="90"/>
      <c r="H178" s="90"/>
      <c r="I178" s="11"/>
      <c r="J178" s="11"/>
    </row>
    <row r="179" spans="1:10">
      <c r="A179" s="98"/>
      <c r="B179" s="11"/>
      <c r="C179" s="11"/>
      <c r="D179" s="90"/>
      <c r="E179" s="90"/>
      <c r="F179" s="90"/>
      <c r="G179" s="90"/>
      <c r="H179" s="90"/>
      <c r="I179" s="11"/>
      <c r="J179" s="11"/>
    </row>
    <row r="180" spans="1:10">
      <c r="A180" s="98"/>
      <c r="B180" s="11"/>
      <c r="C180" s="11"/>
      <c r="D180" s="90"/>
      <c r="E180" s="90"/>
      <c r="F180" s="90"/>
      <c r="G180" s="90"/>
      <c r="H180" s="90"/>
      <c r="I180" s="11"/>
      <c r="J180" s="11"/>
    </row>
  </sheetData>
  <conditionalFormatting sqref="F109:F111">
    <cfRule type="cellIs" dxfId="71" priority="12" operator="lessThan">
      <formula>D109</formula>
    </cfRule>
  </conditionalFormatting>
  <conditionalFormatting sqref="F104:F106">
    <cfRule type="cellIs" dxfId="70" priority="13" operator="lessThan">
      <formula>D104</formula>
    </cfRule>
  </conditionalFormatting>
  <conditionalFormatting sqref="F99">
    <cfRule type="cellIs" dxfId="69" priority="14" operator="lessThan">
      <formula>D99</formula>
    </cfRule>
  </conditionalFormatting>
  <conditionalFormatting sqref="F98">
    <cfRule type="cellIs" dxfId="68" priority="15" operator="lessThan">
      <formula>D98</formula>
    </cfRule>
  </conditionalFormatting>
  <conditionalFormatting sqref="F124">
    <cfRule type="cellIs" dxfId="67" priority="11" operator="lessThan">
      <formula>D124</formula>
    </cfRule>
  </conditionalFormatting>
  <conditionalFormatting sqref="F126">
    <cfRule type="cellIs" dxfId="66" priority="10" operator="lessThan">
      <formula>D126</formula>
    </cfRule>
  </conditionalFormatting>
  <conditionalFormatting sqref="F97">
    <cfRule type="cellIs" dxfId="65" priority="9" operator="lessThan">
      <formula>D97</formula>
    </cfRule>
  </conditionalFormatting>
  <conditionalFormatting sqref="F123">
    <cfRule type="cellIs" dxfId="64" priority="8" operator="lessThan">
      <formula>D123</formula>
    </cfRule>
  </conditionalFormatting>
  <conditionalFormatting sqref="F103">
    <cfRule type="cellIs" dxfId="63" priority="7" operator="lessThan">
      <formula>D103</formula>
    </cfRule>
  </conditionalFormatting>
  <conditionalFormatting sqref="F100">
    <cfRule type="cellIs" dxfId="62" priority="4" operator="lessThan">
      <formula>D100</formula>
    </cfRule>
  </conditionalFormatting>
  <conditionalFormatting sqref="F127">
    <cfRule type="cellIs" dxfId="61" priority="3" operator="lessThan">
      <formula>D127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0.79998168889431442"/>
  </sheetPr>
  <dimension ref="A1:N172"/>
  <sheetViews>
    <sheetView zoomScale="175" zoomScaleNormal="175" workbookViewId="0">
      <selection activeCell="D144" sqref="D14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9.140625" bestFit="1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95</v>
      </c>
      <c r="C2" s="79" t="s">
        <v>67</v>
      </c>
      <c r="D2" s="77">
        <f>SUM(D4:D25)</f>
        <v>15000</v>
      </c>
      <c r="E2" s="77">
        <f>SUM(E4:E25)</f>
        <v>-59780.37</v>
      </c>
      <c r="F2" s="77">
        <f>SUM(F4:F25)</f>
        <v>19054.879999999997</v>
      </c>
      <c r="G2" s="77">
        <f>SUM(G4:G25)</f>
        <v>-60755.16</v>
      </c>
      <c r="H2" s="77">
        <f>F2+G2</f>
        <v>-41700.280000000006</v>
      </c>
    </row>
    <row r="3" spans="1:14">
      <c r="B3" s="18"/>
    </row>
    <row r="4" spans="1:14">
      <c r="B4" s="41"/>
      <c r="H4" s="77">
        <f t="shared" ref="H4:H14" si="0">H3+F4+G4</f>
        <v>0</v>
      </c>
    </row>
    <row r="5" spans="1:14">
      <c r="B5" s="41"/>
      <c r="C5" s="8"/>
      <c r="D5" s="87"/>
      <c r="E5" s="87"/>
      <c r="F5" s="87"/>
      <c r="G5" s="87"/>
      <c r="H5" s="87">
        <f t="shared" si="0"/>
        <v>0</v>
      </c>
    </row>
    <row r="6" spans="1:14">
      <c r="A6" s="411">
        <v>45749</v>
      </c>
      <c r="B6" s="391" t="s">
        <v>70</v>
      </c>
      <c r="C6" s="391"/>
      <c r="D6" s="387"/>
      <c r="E6" s="387">
        <v>-2117.06</v>
      </c>
      <c r="F6" s="87"/>
      <c r="G6" s="87">
        <v>-2116.98</v>
      </c>
      <c r="H6" s="87">
        <f t="shared" si="0"/>
        <v>-2116.98</v>
      </c>
    </row>
    <row r="7" spans="1:14">
      <c r="A7" s="390">
        <v>45782</v>
      </c>
      <c r="B7" s="393" t="s">
        <v>68</v>
      </c>
      <c r="C7" s="392"/>
      <c r="D7" s="387"/>
      <c r="E7" s="387">
        <f>E31</f>
        <v>-7461.47</v>
      </c>
      <c r="F7" s="87"/>
      <c r="G7" s="87">
        <f>E7</f>
        <v>-7461.47</v>
      </c>
      <c r="H7" s="87">
        <f t="shared" si="0"/>
        <v>-9578.4500000000007</v>
      </c>
    </row>
    <row r="8" spans="1:14" s="11" customFormat="1">
      <c r="A8" s="390">
        <v>45782</v>
      </c>
      <c r="B8" s="393" t="s">
        <v>1813</v>
      </c>
      <c r="C8" s="392">
        <v>24.09</v>
      </c>
      <c r="D8" s="387"/>
      <c r="E8" s="387">
        <f>E32</f>
        <v>0</v>
      </c>
      <c r="F8" s="87"/>
      <c r="G8" s="87">
        <v>-1064.8699999999999</v>
      </c>
      <c r="H8" s="87">
        <f t="shared" si="0"/>
        <v>-10643.32</v>
      </c>
      <c r="K8" s="78"/>
      <c r="L8" s="78"/>
      <c r="M8" s="78"/>
      <c r="N8" s="78"/>
    </row>
    <row r="9" spans="1:14">
      <c r="A9" s="547">
        <v>45782</v>
      </c>
      <c r="B9" s="393" t="s">
        <v>69</v>
      </c>
      <c r="C9" s="392"/>
      <c r="D9" s="387"/>
      <c r="E9" s="387">
        <f>E56</f>
        <v>-8801.84</v>
      </c>
      <c r="F9" s="87"/>
      <c r="G9" s="87">
        <f>E9</f>
        <v>-8801.84</v>
      </c>
      <c r="H9" s="87">
        <f t="shared" si="0"/>
        <v>-19445.16</v>
      </c>
      <c r="I9" s="78"/>
    </row>
    <row r="10" spans="1:14">
      <c r="A10" s="548">
        <v>45786</v>
      </c>
      <c r="B10" s="391" t="s">
        <v>1595</v>
      </c>
      <c r="C10" s="391"/>
      <c r="D10" s="387"/>
      <c r="E10" s="387">
        <v>-17500</v>
      </c>
      <c r="F10" s="87"/>
      <c r="G10" s="87">
        <v>-17500</v>
      </c>
      <c r="H10" s="87">
        <f t="shared" si="0"/>
        <v>-36945.160000000003</v>
      </c>
    </row>
    <row r="11" spans="1:14">
      <c r="A11" s="392"/>
      <c r="B11" s="393" t="s">
        <v>72</v>
      </c>
      <c r="C11" s="392"/>
      <c r="D11" s="387"/>
      <c r="E11" s="387">
        <v>0</v>
      </c>
      <c r="F11" s="87"/>
      <c r="G11" s="87"/>
      <c r="H11" s="87">
        <f t="shared" si="0"/>
        <v>-36945.160000000003</v>
      </c>
    </row>
    <row r="12" spans="1:14" s="78" customFormat="1">
      <c r="A12" s="390">
        <v>45797</v>
      </c>
      <c r="B12" s="410" t="s">
        <v>73</v>
      </c>
      <c r="C12" s="387">
        <v>1604.97</v>
      </c>
      <c r="D12" s="387" t="s">
        <v>323</v>
      </c>
      <c r="E12" s="387">
        <v>-1000</v>
      </c>
      <c r="F12" s="87"/>
      <c r="G12" s="87">
        <v>-1265</v>
      </c>
      <c r="H12" s="87">
        <f t="shared" si="0"/>
        <v>-38210.160000000003</v>
      </c>
    </row>
    <row r="13" spans="1:14" s="78" customFormat="1">
      <c r="A13" s="390">
        <v>45797</v>
      </c>
      <c r="B13" s="410" t="s">
        <v>74</v>
      </c>
      <c r="C13" s="410">
        <v>47.55</v>
      </c>
      <c r="D13" s="387" t="s">
        <v>323</v>
      </c>
      <c r="E13" s="387">
        <v>-200</v>
      </c>
      <c r="F13" s="87"/>
      <c r="G13" s="87">
        <v>-35</v>
      </c>
      <c r="H13" s="87">
        <f t="shared" si="0"/>
        <v>-38245.160000000003</v>
      </c>
    </row>
    <row r="14" spans="1:14" s="78" customFormat="1">
      <c r="A14" s="390"/>
      <c r="B14" s="391" t="s">
        <v>75</v>
      </c>
      <c r="C14" s="391"/>
      <c r="D14" s="387"/>
      <c r="E14" s="387">
        <v>-200</v>
      </c>
      <c r="F14" s="87"/>
      <c r="G14" s="87"/>
      <c r="H14" s="87">
        <f t="shared" si="0"/>
        <v>-38245.160000000003</v>
      </c>
    </row>
    <row r="15" spans="1:14" s="78" customFormat="1">
      <c r="A15" s="390"/>
      <c r="B15" s="392" t="s">
        <v>76</v>
      </c>
      <c r="C15" s="392"/>
      <c r="D15" s="387">
        <v>15000</v>
      </c>
      <c r="E15" s="387"/>
      <c r="F15" s="87">
        <v>15054.88</v>
      </c>
      <c r="G15" s="87"/>
      <c r="H15" s="87">
        <f t="shared" ref="H15:H25" si="1">H14+F15+G15</f>
        <v>-23190.280000000006</v>
      </c>
      <c r="J15" s="94"/>
      <c r="K15" s="94"/>
      <c r="L15" s="95"/>
      <c r="M15" s="96"/>
    </row>
    <row r="16" spans="1:14" s="78" customFormat="1">
      <c r="A16" s="425">
        <v>45804</v>
      </c>
      <c r="B16" s="392" t="s">
        <v>77</v>
      </c>
      <c r="C16" s="392"/>
      <c r="D16" s="387"/>
      <c r="E16" s="387">
        <v>-7500</v>
      </c>
      <c r="F16" s="87"/>
      <c r="G16" s="87">
        <v>-7505</v>
      </c>
      <c r="H16" s="87">
        <f t="shared" si="1"/>
        <v>-30695.280000000006</v>
      </c>
      <c r="J16" s="94"/>
      <c r="K16" s="94"/>
      <c r="L16" s="95"/>
      <c r="M16" s="96"/>
    </row>
    <row r="17" spans="1:14" s="78" customFormat="1">
      <c r="A17" s="425">
        <v>45804</v>
      </c>
      <c r="B17" s="392" t="s">
        <v>78</v>
      </c>
      <c r="C17" s="392"/>
      <c r="D17" s="387"/>
      <c r="E17" s="387">
        <v>-7500</v>
      </c>
      <c r="F17" s="87"/>
      <c r="G17" s="87">
        <v>-7505</v>
      </c>
      <c r="H17" s="87">
        <f t="shared" si="1"/>
        <v>-38200.280000000006</v>
      </c>
      <c r="J17" s="94"/>
      <c r="K17" s="94"/>
      <c r="L17" s="95"/>
      <c r="M17" s="96"/>
    </row>
    <row r="18" spans="1:14" s="78" customFormat="1">
      <c r="A18" s="387"/>
      <c r="B18" s="392" t="s">
        <v>79</v>
      </c>
      <c r="C18" s="392"/>
      <c r="D18" s="387"/>
      <c r="E18" s="387">
        <v>-7500</v>
      </c>
      <c r="F18" s="87"/>
      <c r="G18" s="87">
        <v>-7500</v>
      </c>
      <c r="H18" s="87">
        <f t="shared" si="1"/>
        <v>-45700.280000000006</v>
      </c>
      <c r="J18" s="94"/>
      <c r="K18" s="94"/>
      <c r="L18" s="95"/>
      <c r="M18" s="96"/>
    </row>
    <row r="19" spans="1:14" s="78" customFormat="1">
      <c r="A19" s="413">
        <v>45804</v>
      </c>
      <c r="B19" s="415" t="s">
        <v>98</v>
      </c>
      <c r="C19" s="415" t="s">
        <v>1790</v>
      </c>
      <c r="D19" s="384" t="s">
        <v>1840</v>
      </c>
      <c r="E19" s="384"/>
      <c r="F19" s="77"/>
      <c r="G19" s="77"/>
      <c r="H19" s="87">
        <f t="shared" si="1"/>
        <v>-45700.280000000006</v>
      </c>
      <c r="J19" s="94"/>
      <c r="K19" s="94"/>
      <c r="L19" s="95"/>
      <c r="M19" s="96"/>
    </row>
    <row r="20" spans="1:14" s="78" customFormat="1">
      <c r="A20" s="413"/>
      <c r="B20" s="415"/>
      <c r="C20" s="415"/>
      <c r="D20" s="384"/>
      <c r="E20" s="384"/>
      <c r="F20" s="90"/>
      <c r="G20" s="90"/>
      <c r="H20" s="87">
        <f t="shared" si="1"/>
        <v>-45700.280000000006</v>
      </c>
      <c r="J20" s="94"/>
      <c r="K20" s="94"/>
      <c r="L20" s="95"/>
      <c r="M20" s="96"/>
    </row>
    <row r="21" spans="1:14" s="78" customFormat="1">
      <c r="A21" s="413">
        <v>45808</v>
      </c>
      <c r="B21" s="415" t="s">
        <v>1850</v>
      </c>
      <c r="C21" s="415"/>
      <c r="D21" s="384"/>
      <c r="E21" s="384"/>
      <c r="F21" s="90">
        <v>4000</v>
      </c>
      <c r="G21" s="90"/>
      <c r="H21" s="87">
        <f t="shared" si="1"/>
        <v>-41700.280000000006</v>
      </c>
      <c r="J21" s="94"/>
      <c r="K21" s="94"/>
      <c r="L21" s="95"/>
      <c r="M21" s="96"/>
    </row>
    <row r="22" spans="1:14" s="78" customFormat="1">
      <c r="A22" s="98"/>
      <c r="B22" s="3"/>
      <c r="C22" s="3"/>
      <c r="D22" s="77"/>
      <c r="E22" s="77"/>
      <c r="F22" s="77"/>
      <c r="G22" s="77"/>
      <c r="H22" s="87">
        <f t="shared" si="1"/>
        <v>-41700.280000000006</v>
      </c>
      <c r="J22" s="94"/>
      <c r="K22" s="94"/>
      <c r="L22" s="95"/>
      <c r="M22" s="96"/>
    </row>
    <row r="23" spans="1:14">
      <c r="A23" s="100"/>
      <c r="B23" s="101" t="s">
        <v>96</v>
      </c>
      <c r="C23" s="101"/>
      <c r="H23" s="87">
        <f t="shared" si="1"/>
        <v>-41700.280000000006</v>
      </c>
      <c r="I23" s="78"/>
      <c r="J23" s="78"/>
    </row>
    <row r="24" spans="1:14">
      <c r="A24" s="100"/>
      <c r="H24" s="87">
        <f t="shared" si="1"/>
        <v>-41700.280000000006</v>
      </c>
    </row>
    <row r="25" spans="1:14" s="78" customFormat="1">
      <c r="A25"/>
      <c r="B25"/>
      <c r="C25"/>
      <c r="D25" s="77"/>
      <c r="E25" s="77"/>
      <c r="F25" s="77"/>
      <c r="G25" s="77"/>
      <c r="H25" s="87">
        <f t="shared" si="1"/>
        <v>-41700.280000000006</v>
      </c>
      <c r="I25"/>
      <c r="J25"/>
    </row>
    <row r="26" spans="1:14" s="78" customFormat="1">
      <c r="B26" s="101"/>
      <c r="C26" s="101"/>
      <c r="D26" s="77"/>
      <c r="E26" s="77"/>
      <c r="F26" s="77"/>
      <c r="G26" s="77"/>
      <c r="H26" s="77"/>
      <c r="J26" s="94"/>
      <c r="K26" s="94"/>
      <c r="L26" s="95"/>
      <c r="M26" s="96"/>
    </row>
    <row r="27" spans="1:14" s="78" customFormat="1">
      <c r="B27" s="101"/>
      <c r="C27" s="101"/>
      <c r="D27" s="77"/>
      <c r="E27" s="77"/>
      <c r="F27" s="77"/>
      <c r="G27" s="77"/>
      <c r="H27" s="77"/>
      <c r="J27" s="94"/>
      <c r="K27" s="94"/>
      <c r="L27" s="95"/>
      <c r="M27" s="96"/>
    </row>
    <row r="28" spans="1:14" s="78" customFormat="1">
      <c r="A28" s="98"/>
      <c r="D28" s="77"/>
      <c r="E28" s="77"/>
      <c r="F28" s="77"/>
      <c r="G28" s="77"/>
      <c r="H28" s="77"/>
    </row>
    <row r="29" spans="1:14" s="77" customFormat="1">
      <c r="A29" s="88"/>
      <c r="B29" s="78"/>
      <c r="C29" s="78"/>
      <c r="I29" s="78"/>
      <c r="J29" s="78"/>
      <c r="K29" s="78"/>
      <c r="L29" s="78"/>
      <c r="M29" s="78"/>
      <c r="N29" s="78"/>
    </row>
    <row r="30" spans="1:14" s="77" customFormat="1">
      <c r="B30" s="102"/>
      <c r="I30" s="77" t="s">
        <v>1821</v>
      </c>
      <c r="K30" s="78"/>
      <c r="L30" s="78"/>
      <c r="M30" s="78"/>
      <c r="N30" s="78"/>
    </row>
    <row r="31" spans="1:14">
      <c r="A31" s="103"/>
      <c r="B31" s="104" t="s">
        <v>83</v>
      </c>
      <c r="C31" s="103"/>
      <c r="E31" s="77">
        <f>SUM(E32:E47)</f>
        <v>-7461.47</v>
      </c>
      <c r="I31" s="77">
        <v>8850</v>
      </c>
      <c r="J31" s="77" t="s">
        <v>1814</v>
      </c>
    </row>
    <row r="32" spans="1:14" s="77" customFormat="1">
      <c r="A32"/>
      <c r="B32"/>
      <c r="C32"/>
      <c r="I32" s="77">
        <v>48000</v>
      </c>
      <c r="J32" t="s">
        <v>1815</v>
      </c>
      <c r="K32" s="78"/>
      <c r="L32" s="78"/>
      <c r="M32" s="78"/>
      <c r="N32" s="78"/>
    </row>
    <row r="33" spans="1:14" s="77" customFormat="1">
      <c r="A33" s="88"/>
      <c r="I33" s="77">
        <v>6000</v>
      </c>
      <c r="J33" s="77" t="s">
        <v>1816</v>
      </c>
      <c r="K33" s="78"/>
      <c r="L33" s="78"/>
      <c r="M33" s="78"/>
      <c r="N33" s="78"/>
    </row>
    <row r="34" spans="1:14" s="77" customFormat="1">
      <c r="A34" s="88">
        <v>45715</v>
      </c>
      <c r="B34" s="90" t="s">
        <v>1637</v>
      </c>
      <c r="C34" s="90">
        <v>5938.68</v>
      </c>
      <c r="D34" s="90" t="s">
        <v>615</v>
      </c>
      <c r="E34" s="90">
        <v>-989.78</v>
      </c>
      <c r="I34" s="77">
        <v>3000</v>
      </c>
      <c r="J34" s="77" t="s">
        <v>1817</v>
      </c>
      <c r="K34" s="78"/>
      <c r="L34" s="78"/>
      <c r="M34" s="78"/>
      <c r="N34" s="78"/>
    </row>
    <row r="35" spans="1:14" s="77" customFormat="1">
      <c r="A35" s="88"/>
      <c r="I35" s="77">
        <v>5000</v>
      </c>
      <c r="J35" s="77" t="s">
        <v>1818</v>
      </c>
      <c r="K35" s="78"/>
      <c r="L35" s="78"/>
      <c r="M35" s="78"/>
      <c r="N35" s="78"/>
    </row>
    <row r="36" spans="1:14">
      <c r="A36" s="88">
        <v>45751</v>
      </c>
      <c r="B36" s="77" t="s">
        <v>129</v>
      </c>
      <c r="D36" s="77">
        <v>123984.02</v>
      </c>
      <c r="I36" s="77">
        <f>SUM(I31:I35)</f>
        <v>70850</v>
      </c>
      <c r="J36" s="77"/>
    </row>
    <row r="37" spans="1:14" s="77" customFormat="1">
      <c r="A37" s="386">
        <v>45751</v>
      </c>
      <c r="B37" t="s">
        <v>445</v>
      </c>
      <c r="C37"/>
      <c r="E37" s="77">
        <v>-672.4</v>
      </c>
      <c r="I37" s="90">
        <v>2</v>
      </c>
      <c r="J37" s="540">
        <v>0.5</v>
      </c>
      <c r="K37" s="78"/>
      <c r="L37" s="78"/>
      <c r="M37" s="78"/>
      <c r="N37" s="78"/>
    </row>
    <row r="38" spans="1:14" s="77" customFormat="1">
      <c r="A38" s="100">
        <v>45754</v>
      </c>
      <c r="B38" s="106" t="s">
        <v>1779</v>
      </c>
      <c r="C38" s="106"/>
      <c r="E38" s="77">
        <v>-3740</v>
      </c>
      <c r="I38" s="77">
        <f>I36/I37</f>
        <v>35425</v>
      </c>
      <c r="K38" s="78"/>
      <c r="L38" s="78"/>
      <c r="M38" s="78"/>
      <c r="N38" s="78"/>
    </row>
    <row r="39" spans="1:14" s="77" customFormat="1">
      <c r="A39" s="100">
        <v>45756</v>
      </c>
      <c r="B39" s="106" t="s">
        <v>1780</v>
      </c>
      <c r="C39" s="106"/>
      <c r="E39" s="77">
        <v>-390</v>
      </c>
      <c r="I39" s="77">
        <f>I38/J39</f>
        <v>5060.7142857142853</v>
      </c>
      <c r="J39" s="77">
        <v>7</v>
      </c>
      <c r="K39" s="78"/>
      <c r="L39" s="78"/>
      <c r="M39" s="78"/>
      <c r="N39" s="78"/>
    </row>
    <row r="40" spans="1:14" s="77" customFormat="1">
      <c r="A40" s="100">
        <v>45764</v>
      </c>
      <c r="B40" s="107" t="s">
        <v>1781</v>
      </c>
      <c r="C40" s="106"/>
      <c r="E40" s="77">
        <v>-138.81</v>
      </c>
      <c r="I40" s="90">
        <f>I38/J40</f>
        <v>8856.25</v>
      </c>
      <c r="J40" s="77">
        <v>4</v>
      </c>
      <c r="K40" s="78"/>
      <c r="L40" s="78"/>
      <c r="M40" s="78"/>
      <c r="N40" s="78"/>
    </row>
    <row r="41" spans="1:14" s="77" customFormat="1">
      <c r="A41" s="100">
        <v>45766</v>
      </c>
      <c r="B41" s="107" t="s">
        <v>1612</v>
      </c>
      <c r="C41" s="106"/>
      <c r="E41" s="77">
        <v>-80</v>
      </c>
      <c r="J41" s="77" t="s">
        <v>1822</v>
      </c>
      <c r="K41" s="78"/>
      <c r="L41" s="78"/>
      <c r="M41" s="78"/>
      <c r="N41" s="78"/>
    </row>
    <row r="42" spans="1:14" s="77" customFormat="1">
      <c r="A42" s="100">
        <v>45767</v>
      </c>
      <c r="B42" s="107" t="s">
        <v>1782</v>
      </c>
      <c r="E42" s="77">
        <v>-140</v>
      </c>
      <c r="K42" s="78"/>
      <c r="L42" s="78"/>
      <c r="M42" s="78"/>
      <c r="N42" s="78"/>
    </row>
    <row r="43" spans="1:14" s="77" customFormat="1">
      <c r="A43" s="100">
        <v>45770</v>
      </c>
      <c r="B43" s="107" t="s">
        <v>1783</v>
      </c>
      <c r="C43" s="106"/>
      <c r="E43" s="77">
        <v>-300</v>
      </c>
      <c r="K43" s="78"/>
      <c r="L43" s="78"/>
      <c r="M43" s="78"/>
      <c r="N43" s="78"/>
    </row>
    <row r="44" spans="1:14" s="77" customFormat="1">
      <c r="A44" s="100">
        <v>45770</v>
      </c>
      <c r="B44" s="3" t="s">
        <v>1781</v>
      </c>
      <c r="E44" s="77">
        <v>-372.15</v>
      </c>
      <c r="K44" s="78"/>
      <c r="L44" s="78"/>
      <c r="M44" s="78"/>
      <c r="N44" s="78"/>
    </row>
    <row r="45" spans="1:14" s="90" customFormat="1">
      <c r="A45" s="100">
        <v>45771</v>
      </c>
      <c r="B45" s="92" t="s">
        <v>1784</v>
      </c>
      <c r="E45" s="90">
        <v>-250</v>
      </c>
      <c r="K45" s="78"/>
      <c r="L45" s="78"/>
      <c r="M45" s="78"/>
      <c r="N45" s="78"/>
    </row>
    <row r="46" spans="1:14" s="90" customFormat="1">
      <c r="A46" s="100">
        <v>45771</v>
      </c>
      <c r="B46" s="92" t="s">
        <v>1781</v>
      </c>
      <c r="E46" s="90">
        <v>-208.33</v>
      </c>
      <c r="K46" s="78"/>
      <c r="L46" s="78"/>
      <c r="M46" s="78"/>
      <c r="N46" s="78"/>
    </row>
    <row r="47" spans="1:14" s="90" customFormat="1">
      <c r="A47" s="100">
        <v>45772</v>
      </c>
      <c r="B47" s="92" t="s">
        <v>1785</v>
      </c>
      <c r="E47" s="90">
        <v>-180</v>
      </c>
      <c r="K47" s="78"/>
      <c r="L47" s="78"/>
      <c r="M47" s="78"/>
      <c r="N47" s="78"/>
    </row>
    <row r="48" spans="1:14" s="90" customFormat="1" ht="15">
      <c r="A48" s="100"/>
      <c r="B48" s="92"/>
      <c r="E48" s="105" t="s">
        <v>84</v>
      </c>
      <c r="K48" s="78"/>
      <c r="L48" s="78"/>
      <c r="M48" s="78"/>
      <c r="N48" s="78"/>
    </row>
    <row r="49" spans="1:14" s="90" customFormat="1">
      <c r="A49" s="100"/>
      <c r="B49" s="92"/>
      <c r="C49" s="90" t="s">
        <v>807</v>
      </c>
      <c r="K49" s="78"/>
      <c r="L49" s="78"/>
      <c r="M49" s="78"/>
      <c r="N49" s="78"/>
    </row>
    <row r="50" spans="1:14" s="90" customFormat="1">
      <c r="A50" s="100">
        <v>45752</v>
      </c>
      <c r="B50" s="92" t="s">
        <v>1788</v>
      </c>
      <c r="C50" s="90">
        <v>-15.6</v>
      </c>
      <c r="K50" s="78"/>
      <c r="L50" s="78"/>
      <c r="M50" s="78"/>
      <c r="N50" s="78"/>
    </row>
    <row r="51" spans="1:14" s="90" customFormat="1">
      <c r="A51" s="100">
        <v>45752</v>
      </c>
      <c r="B51" s="92" t="s">
        <v>1789</v>
      </c>
      <c r="C51" s="90">
        <v>-8.49</v>
      </c>
      <c r="K51" s="78"/>
      <c r="L51" s="78"/>
      <c r="M51" s="78"/>
      <c r="N51" s="78"/>
    </row>
    <row r="52" spans="1:14" s="90" customFormat="1">
      <c r="A52" s="100"/>
      <c r="B52" s="92"/>
      <c r="K52" s="78"/>
      <c r="L52" s="78"/>
      <c r="M52" s="78"/>
      <c r="N52" s="78"/>
    </row>
    <row r="53" spans="1:14" s="90" customFormat="1">
      <c r="A53" s="100"/>
      <c r="B53" s="92"/>
      <c r="K53" s="78"/>
      <c r="L53" s="78"/>
      <c r="M53" s="78"/>
      <c r="N53" s="78"/>
    </row>
    <row r="54" spans="1:14" s="90" customFormat="1">
      <c r="A54" s="100"/>
      <c r="B54" s="92"/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3"/>
      <c r="B56" s="104" t="s">
        <v>85</v>
      </c>
      <c r="C56" s="103"/>
      <c r="E56" s="77">
        <f>SUM(E57:E82)</f>
        <v>-8801.84</v>
      </c>
      <c r="K56" s="78"/>
      <c r="L56" s="78"/>
      <c r="M56" s="78"/>
      <c r="N56" s="78"/>
    </row>
    <row r="57" spans="1:14" s="77" customFormat="1">
      <c r="A57" s="100"/>
      <c r="B57" s="106"/>
      <c r="C57" s="106"/>
      <c r="K57" s="78"/>
      <c r="L57" s="78"/>
      <c r="M57" s="78"/>
      <c r="N57" s="78"/>
    </row>
    <row r="58" spans="1:14" s="77" customFormat="1">
      <c r="A58" s="100"/>
      <c r="B58" s="106"/>
      <c r="C58" s="106"/>
      <c r="K58" s="78"/>
      <c r="L58" s="78"/>
      <c r="M58" s="78"/>
      <c r="N58" s="78"/>
    </row>
    <row r="59" spans="1:14" s="77" customFormat="1">
      <c r="K59" s="78"/>
      <c r="L59" s="78"/>
      <c r="M59" s="78"/>
      <c r="N59" s="78"/>
    </row>
    <row r="60" spans="1:14" s="77" customFormat="1">
      <c r="A60" s="98">
        <v>45728</v>
      </c>
      <c r="B60" s="90" t="s">
        <v>1687</v>
      </c>
      <c r="C60" s="11"/>
      <c r="D60" s="90" t="s">
        <v>1718</v>
      </c>
      <c r="E60" s="90">
        <v>-625</v>
      </c>
      <c r="K60" s="78"/>
      <c r="L60" s="78"/>
      <c r="M60" s="78"/>
      <c r="N60" s="78"/>
    </row>
    <row r="61" spans="1:14" s="77" customFormat="1">
      <c r="A61" s="430">
        <v>45692</v>
      </c>
      <c r="B61" s="90" t="s">
        <v>1662</v>
      </c>
      <c r="C61" s="90"/>
      <c r="D61" s="90" t="s">
        <v>954</v>
      </c>
      <c r="E61" s="90">
        <v>-600.14</v>
      </c>
      <c r="K61" s="78"/>
      <c r="L61" s="78"/>
      <c r="M61" s="78"/>
      <c r="N61" s="78"/>
    </row>
    <row r="62" spans="1:14" s="77" customFormat="1">
      <c r="A62" s="430">
        <v>45692</v>
      </c>
      <c r="B62" s="90" t="s">
        <v>1662</v>
      </c>
      <c r="C62" s="90"/>
      <c r="D62" s="90" t="s">
        <v>954</v>
      </c>
      <c r="E62" s="90">
        <v>-2500.3000000000002</v>
      </c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>
        <v>45743</v>
      </c>
      <c r="B64" s="3" t="s">
        <v>129</v>
      </c>
      <c r="C64" s="106"/>
      <c r="D64" s="77">
        <v>19953.18</v>
      </c>
      <c r="K64" s="78"/>
      <c r="L64" s="78"/>
      <c r="M64" s="78"/>
      <c r="N64" s="78"/>
    </row>
    <row r="65" spans="1:14" s="77" customFormat="1">
      <c r="A65" s="100">
        <v>45744</v>
      </c>
      <c r="B65" s="3" t="s">
        <v>1798</v>
      </c>
      <c r="C65" s="106"/>
      <c r="E65" s="77">
        <v>-1300</v>
      </c>
      <c r="K65" s="78"/>
      <c r="L65" s="78"/>
      <c r="M65" s="78"/>
      <c r="N65" s="78"/>
    </row>
    <row r="66" spans="1:14" s="77" customFormat="1">
      <c r="A66" s="100">
        <v>45749</v>
      </c>
      <c r="B66" s="3"/>
      <c r="C66" s="106"/>
      <c r="E66" s="77">
        <v>-335</v>
      </c>
      <c r="K66" s="78"/>
      <c r="L66" s="78"/>
      <c r="M66" s="78"/>
      <c r="N66" s="78"/>
    </row>
    <row r="67" spans="1:14" s="77" customFormat="1">
      <c r="A67" s="100">
        <v>45750</v>
      </c>
      <c r="B67" s="3" t="s">
        <v>1799</v>
      </c>
      <c r="C67" s="106"/>
      <c r="E67" s="77">
        <v>-129.99</v>
      </c>
      <c r="K67" s="78"/>
      <c r="L67" s="78"/>
      <c r="M67" s="78"/>
      <c r="N67" s="78"/>
    </row>
    <row r="68" spans="1:14" s="77" customFormat="1">
      <c r="A68" s="100">
        <v>45756</v>
      </c>
      <c r="B68" s="3" t="s">
        <v>1801</v>
      </c>
      <c r="C68" s="106"/>
      <c r="E68" s="77">
        <v>-360</v>
      </c>
      <c r="K68" s="78"/>
      <c r="L68" s="78"/>
      <c r="M68" s="78"/>
      <c r="N68" s="78"/>
    </row>
    <row r="69" spans="1:14" s="77" customFormat="1">
      <c r="A69" s="100">
        <v>45756</v>
      </c>
      <c r="B69" s="3" t="s">
        <v>1800</v>
      </c>
      <c r="C69" s="106"/>
      <c r="E69" s="77">
        <v>-1425</v>
      </c>
      <c r="K69" s="78"/>
      <c r="L69" s="78"/>
      <c r="M69" s="78"/>
      <c r="N69" s="78"/>
    </row>
    <row r="70" spans="1:14" s="90" customFormat="1">
      <c r="A70" s="100">
        <v>45757</v>
      </c>
      <c r="B70" s="92" t="s">
        <v>1802</v>
      </c>
      <c r="C70" s="106"/>
      <c r="E70" s="90">
        <v>-120</v>
      </c>
      <c r="K70" s="78"/>
      <c r="L70" s="78"/>
      <c r="M70" s="78"/>
      <c r="N70" s="78"/>
    </row>
    <row r="71" spans="1:14" s="90" customFormat="1">
      <c r="A71" s="100">
        <v>45758</v>
      </c>
      <c r="B71" s="92" t="s">
        <v>1803</v>
      </c>
      <c r="C71" s="106"/>
      <c r="E71" s="90">
        <v>-406.41</v>
      </c>
      <c r="K71" s="78"/>
      <c r="L71" s="78"/>
      <c r="M71" s="78"/>
      <c r="N71" s="78"/>
    </row>
    <row r="72" spans="1:14" s="90" customFormat="1">
      <c r="A72" s="100">
        <v>45759</v>
      </c>
      <c r="B72" s="92" t="s">
        <v>1804</v>
      </c>
      <c r="C72" s="106"/>
      <c r="E72" s="90">
        <v>-50</v>
      </c>
      <c r="K72" s="78"/>
      <c r="L72" s="78"/>
      <c r="M72" s="78"/>
      <c r="N72" s="78"/>
    </row>
    <row r="73" spans="1:14" s="90" customFormat="1">
      <c r="A73" s="100">
        <v>45757</v>
      </c>
      <c r="B73" s="92" t="s">
        <v>1782</v>
      </c>
      <c r="C73" s="106"/>
      <c r="E73" s="90">
        <v>-210</v>
      </c>
      <c r="K73" s="78"/>
      <c r="L73" s="78"/>
      <c r="M73" s="78"/>
      <c r="N73" s="78"/>
    </row>
    <row r="74" spans="1:14" s="90" customFormat="1">
      <c r="A74" s="100">
        <v>45762</v>
      </c>
      <c r="B74" s="92" t="s">
        <v>131</v>
      </c>
      <c r="C74" s="106"/>
      <c r="E74" s="90">
        <v>-250</v>
      </c>
      <c r="K74" s="78"/>
      <c r="L74" s="78"/>
      <c r="M74" s="78"/>
      <c r="N74" s="78"/>
    </row>
    <row r="75" spans="1:14" s="90" customFormat="1">
      <c r="A75" s="100">
        <v>45764</v>
      </c>
      <c r="B75" s="92" t="s">
        <v>1805</v>
      </c>
      <c r="C75" s="106"/>
      <c r="E75" s="90">
        <v>-120</v>
      </c>
      <c r="K75" s="78"/>
      <c r="L75" s="78"/>
      <c r="M75" s="78"/>
      <c r="N75" s="78"/>
    </row>
    <row r="76" spans="1:14" s="90" customFormat="1">
      <c r="A76" s="100">
        <v>45764</v>
      </c>
      <c r="B76" s="92" t="s">
        <v>651</v>
      </c>
      <c r="C76" s="106"/>
      <c r="E76" s="90">
        <v>-370</v>
      </c>
      <c r="K76" s="78"/>
      <c r="L76" s="78"/>
      <c r="M76" s="78"/>
      <c r="N76" s="78"/>
    </row>
    <row r="77" spans="1:14" s="77" customFormat="1" ht="15">
      <c r="A77" s="100"/>
      <c r="B77" s="3"/>
      <c r="C77" s="106"/>
      <c r="E77" s="105" t="s">
        <v>84</v>
      </c>
      <c r="K77" s="78"/>
      <c r="L77" s="78"/>
      <c r="M77" s="78"/>
      <c r="N77" s="78"/>
    </row>
    <row r="78" spans="1:14" s="77" customFormat="1">
      <c r="A78" s="100"/>
      <c r="B78" s="3"/>
      <c r="C78" s="106"/>
      <c r="K78" s="78"/>
      <c r="L78" s="78"/>
      <c r="M78" s="78"/>
      <c r="N78" s="78"/>
    </row>
    <row r="79" spans="1:14" s="77" customFormat="1">
      <c r="A79" s="100"/>
      <c r="B79" s="3"/>
      <c r="C79" s="106"/>
      <c r="K79" s="78"/>
      <c r="L79" s="78"/>
      <c r="M79" s="78"/>
      <c r="N79" s="78"/>
    </row>
    <row r="80" spans="1:14" s="77" customFormat="1">
      <c r="A80" s="100"/>
      <c r="B80" s="3"/>
      <c r="C80" s="106"/>
      <c r="K80" s="78"/>
      <c r="L80" s="78"/>
      <c r="M80" s="78"/>
      <c r="N80" s="78"/>
    </row>
    <row r="81" spans="1:14" s="77" customFormat="1">
      <c r="A81" s="100"/>
      <c r="B81" s="3"/>
      <c r="C81" s="106"/>
      <c r="K81" s="78"/>
      <c r="L81" s="78"/>
      <c r="M81" s="78"/>
      <c r="N81" s="78"/>
    </row>
    <row r="82" spans="1:14" s="77" customFormat="1">
      <c r="A82" s="100"/>
      <c r="B82" s="3"/>
      <c r="C82" s="106"/>
      <c r="K82" s="78"/>
      <c r="L82" s="78"/>
      <c r="M82" s="78"/>
      <c r="N82" s="78"/>
    </row>
    <row r="83" spans="1:14">
      <c r="A83" s="100"/>
      <c r="B83" s="3"/>
      <c r="C83" s="77"/>
      <c r="I83" s="77"/>
      <c r="J83" s="77"/>
    </row>
    <row r="94" spans="1:14">
      <c r="A94" s="113" t="s">
        <v>1807</v>
      </c>
      <c r="B94" s="104" t="s">
        <v>136</v>
      </c>
      <c r="C94" s="103">
        <v>2025</v>
      </c>
      <c r="D94" s="90"/>
      <c r="E94" s="90"/>
      <c r="F94" s="90"/>
      <c r="G94" s="90">
        <f>SUM(G98:G126)</f>
        <v>628200.125</v>
      </c>
      <c r="H94" s="90"/>
      <c r="I94" s="90"/>
      <c r="J94" s="11"/>
    </row>
    <row r="95" spans="1:14">
      <c r="A95" s="113"/>
      <c r="B95" s="104"/>
      <c r="C95" s="103"/>
      <c r="D95" s="90"/>
      <c r="E95" s="90"/>
      <c r="F95" s="90"/>
      <c r="G95" s="90"/>
      <c r="H95" s="90"/>
      <c r="I95" s="90"/>
      <c r="J95" s="11"/>
    </row>
    <row r="96" spans="1:14">
      <c r="A96" s="113"/>
      <c r="B96" s="104"/>
      <c r="C96" s="103"/>
      <c r="D96" s="90"/>
      <c r="E96" s="90" t="s">
        <v>137</v>
      </c>
      <c r="F96" s="90"/>
      <c r="G96" s="90"/>
      <c r="H96" s="90"/>
      <c r="I96" s="90"/>
      <c r="J96" s="11"/>
    </row>
    <row r="97" spans="1:14">
      <c r="A97" s="100"/>
      <c r="B97" s="90" t="s">
        <v>77</v>
      </c>
      <c r="C97" s="90"/>
      <c r="D97" s="90"/>
      <c r="E97" s="90"/>
      <c r="F97" s="90"/>
      <c r="G97" s="90">
        <v>0</v>
      </c>
      <c r="H97" s="90"/>
      <c r="I97" s="90"/>
      <c r="J97" s="11"/>
    </row>
    <row r="98" spans="1:14">
      <c r="A98" s="100"/>
      <c r="B98" s="90" t="s">
        <v>78</v>
      </c>
      <c r="C98" s="90"/>
      <c r="D98" s="90"/>
      <c r="E98" s="90"/>
      <c r="F98" s="90"/>
      <c r="G98" s="90">
        <v>0</v>
      </c>
      <c r="H98" s="90"/>
      <c r="I98" s="90"/>
      <c r="J98" s="11"/>
    </row>
    <row r="99" spans="1:14">
      <c r="A99" s="539">
        <v>45777</v>
      </c>
      <c r="B99" s="90" t="s">
        <v>1739</v>
      </c>
      <c r="C99" s="90"/>
      <c r="D99" s="90"/>
      <c r="E99" s="90">
        <v>122830</v>
      </c>
      <c r="F99" s="90"/>
      <c r="G99" s="90">
        <f>E99+F99</f>
        <v>122830</v>
      </c>
      <c r="H99" s="90"/>
      <c r="I99" s="90"/>
      <c r="J99" s="11"/>
    </row>
    <row r="100" spans="1:14">
      <c r="A100" s="539"/>
      <c r="B100" s="90" t="s">
        <v>1740</v>
      </c>
      <c r="C100" s="90"/>
      <c r="D100" s="90"/>
      <c r="E100" s="90"/>
      <c r="F100" s="90"/>
      <c r="G100" s="90">
        <f>D80</f>
        <v>0</v>
      </c>
      <c r="H100" s="90"/>
      <c r="I100" s="90"/>
      <c r="J100" s="11"/>
    </row>
    <row r="101" spans="1:14">
      <c r="A101" s="539">
        <v>45777</v>
      </c>
      <c r="B101" s="90" t="s">
        <v>139</v>
      </c>
      <c r="C101" s="12"/>
      <c r="D101" s="12"/>
      <c r="E101" s="90"/>
      <c r="F101" s="90"/>
      <c r="G101" s="17">
        <v>6171</v>
      </c>
      <c r="H101" s="90"/>
      <c r="I101" s="90"/>
      <c r="J101" s="11"/>
    </row>
    <row r="102" spans="1:14">
      <c r="A102" s="539">
        <v>45777</v>
      </c>
      <c r="B102" s="90" t="s">
        <v>140</v>
      </c>
      <c r="C102" s="12"/>
      <c r="D102" s="12"/>
      <c r="E102" s="90"/>
      <c r="F102" s="90"/>
      <c r="G102" s="17">
        <v>300</v>
      </c>
      <c r="H102" s="90"/>
      <c r="I102" s="90"/>
      <c r="J102" s="11"/>
    </row>
    <row r="103" spans="1:14">
      <c r="A103" s="100"/>
      <c r="B103" s="90"/>
      <c r="C103" s="12"/>
      <c r="D103" s="12"/>
      <c r="E103" s="90"/>
      <c r="F103" s="90"/>
      <c r="G103" s="17"/>
      <c r="H103" s="90"/>
      <c r="I103" s="90" t="s">
        <v>1686</v>
      </c>
      <c r="J103" s="11"/>
    </row>
    <row r="104" spans="1:14">
      <c r="A104" s="100">
        <v>45620</v>
      </c>
      <c r="B104" s="82" t="s">
        <v>1604</v>
      </c>
      <c r="C104" s="114"/>
      <c r="D104" s="114">
        <v>32.549999999999997</v>
      </c>
      <c r="E104" s="116">
        <f t="shared" ref="E104:E107" si="2">D104*C104</f>
        <v>0</v>
      </c>
      <c r="F104" s="90">
        <v>47</v>
      </c>
      <c r="G104" s="17">
        <f t="shared" ref="G104" si="3">F104*C104</f>
        <v>0</v>
      </c>
      <c r="H104" s="90"/>
      <c r="I104" s="90">
        <f t="shared" ref="I104" si="4">G104-E104</f>
        <v>0</v>
      </c>
      <c r="J104" s="11"/>
    </row>
    <row r="105" spans="1:14">
      <c r="A105" s="100">
        <v>45620</v>
      </c>
      <c r="B105" s="82" t="s">
        <v>1604</v>
      </c>
      <c r="C105" s="114">
        <v>1000</v>
      </c>
      <c r="D105" s="114">
        <v>32.549999999999997</v>
      </c>
      <c r="E105" s="116">
        <f t="shared" si="2"/>
        <v>32549.999999999996</v>
      </c>
      <c r="F105" s="90">
        <f>F104</f>
        <v>47</v>
      </c>
      <c r="G105" s="17">
        <f>F105*C105</f>
        <v>47000</v>
      </c>
      <c r="H105" s="90"/>
      <c r="I105" s="90">
        <f>G105-E105</f>
        <v>14450.000000000004</v>
      </c>
      <c r="J105" s="11"/>
    </row>
    <row r="106" spans="1:14">
      <c r="A106" s="100">
        <v>45659</v>
      </c>
      <c r="B106" s="82" t="s">
        <v>1603</v>
      </c>
      <c r="C106" s="114">
        <v>4000</v>
      </c>
      <c r="D106" s="115">
        <v>30.86</v>
      </c>
      <c r="E106" s="116">
        <f t="shared" si="2"/>
        <v>123440</v>
      </c>
      <c r="F106" s="90">
        <f>F105</f>
        <v>47</v>
      </c>
      <c r="G106" s="17">
        <f t="shared" ref="G106:G107" si="5">F106*C106</f>
        <v>188000</v>
      </c>
      <c r="H106" s="419">
        <f>SUM(G105:G106)</f>
        <v>235000</v>
      </c>
      <c r="I106" s="90">
        <f t="shared" ref="I106:I107" si="6">G106-E106</f>
        <v>64560</v>
      </c>
      <c r="J106" s="11"/>
    </row>
    <row r="107" spans="1:14">
      <c r="A107" s="100">
        <v>45772</v>
      </c>
      <c r="B107" s="82" t="s">
        <v>236</v>
      </c>
      <c r="C107" s="114">
        <v>0</v>
      </c>
      <c r="D107" s="115">
        <v>983.06700000000001</v>
      </c>
      <c r="E107" s="116">
        <f t="shared" si="2"/>
        <v>0</v>
      </c>
      <c r="F107" s="90">
        <v>1000.855116</v>
      </c>
      <c r="G107" s="17">
        <f t="shared" si="5"/>
        <v>0</v>
      </c>
      <c r="H107" s="419"/>
      <c r="I107" s="90">
        <f t="shared" si="6"/>
        <v>0</v>
      </c>
      <c r="J107" s="11"/>
    </row>
    <row r="108" spans="1:14" s="11" customFormat="1">
      <c r="A108" s="100">
        <v>45772</v>
      </c>
      <c r="B108" s="82" t="s">
        <v>236</v>
      </c>
      <c r="C108" s="114">
        <v>0</v>
      </c>
      <c r="D108" s="115">
        <v>983.06700000000001</v>
      </c>
      <c r="E108" s="116">
        <f t="shared" ref="E108" si="7">D108*C108</f>
        <v>0</v>
      </c>
      <c r="F108" s="90">
        <v>1000.855116</v>
      </c>
      <c r="G108" s="17">
        <f t="shared" ref="G108" si="8">F108*C108</f>
        <v>0</v>
      </c>
      <c r="H108" s="419"/>
      <c r="I108" s="90"/>
      <c r="K108" s="78"/>
      <c r="L108" s="78"/>
      <c r="M108" s="78"/>
      <c r="N108" s="78"/>
    </row>
    <row r="109" spans="1:14" s="11" customFormat="1">
      <c r="A109" s="100">
        <v>45786</v>
      </c>
      <c r="B109" s="82" t="s">
        <v>1819</v>
      </c>
      <c r="C109" s="114">
        <v>24</v>
      </c>
      <c r="D109" s="115">
        <v>983.06700000000001</v>
      </c>
      <c r="E109" s="116">
        <f t="shared" ref="E109" si="9">D109*C109</f>
        <v>23593.608</v>
      </c>
      <c r="F109" s="90">
        <v>1000.855116</v>
      </c>
      <c r="G109" s="17"/>
      <c r="H109" s="419"/>
      <c r="I109" s="90"/>
      <c r="K109" s="78"/>
      <c r="L109" s="78"/>
      <c r="M109" s="78"/>
      <c r="N109" s="78"/>
    </row>
    <row r="110" spans="1:14" s="11" customFormat="1" ht="13.5" thickBot="1">
      <c r="A110" s="100">
        <v>45782</v>
      </c>
      <c r="B110" s="82" t="s">
        <v>1812</v>
      </c>
      <c r="C110" s="114">
        <v>16</v>
      </c>
      <c r="D110" s="115">
        <v>983.06700000000001</v>
      </c>
      <c r="E110" s="116">
        <f t="shared" ref="E110" si="10">D110*C110</f>
        <v>15729.072</v>
      </c>
      <c r="F110" s="90">
        <v>1000.855116</v>
      </c>
      <c r="G110" s="17"/>
      <c r="H110" s="419"/>
      <c r="I110" s="90"/>
      <c r="K110" s="78"/>
      <c r="L110" s="78"/>
      <c r="M110" s="78"/>
      <c r="N110" s="78"/>
    </row>
    <row r="111" spans="1:14" ht="13.5" thickBot="1">
      <c r="A111" s="100"/>
      <c r="B111" s="90"/>
      <c r="C111" s="12"/>
      <c r="D111" s="12"/>
      <c r="E111" s="90">
        <f>SUM(E104:E106)</f>
        <v>155990</v>
      </c>
      <c r="F111" s="90"/>
      <c r="G111" s="90"/>
      <c r="H111" s="117">
        <f>(SUM(G104:G106))-(SUM(E104:E106))</f>
        <v>79010</v>
      </c>
      <c r="I111" s="117">
        <f>SUM(I104:I106)</f>
        <v>79010</v>
      </c>
      <c r="J111" s="11"/>
    </row>
    <row r="112" spans="1:14">
      <c r="A112" s="100"/>
      <c r="B112" s="90"/>
      <c r="C112" s="12"/>
      <c r="D112" s="12"/>
      <c r="E112" s="90"/>
      <c r="F112" s="90"/>
      <c r="G112" s="90"/>
      <c r="H112" s="90"/>
      <c r="I112" s="90"/>
      <c r="J112" s="11"/>
    </row>
    <row r="113" spans="1:10">
      <c r="A113" s="100">
        <v>45345</v>
      </c>
      <c r="B113" s="82" t="s">
        <v>143</v>
      </c>
      <c r="C113" s="118">
        <v>125000</v>
      </c>
      <c r="D113" s="83">
        <v>1.0399430000000001</v>
      </c>
      <c r="E113" s="116">
        <f>D113*C113</f>
        <v>129992.87500000001</v>
      </c>
      <c r="F113" s="404">
        <v>0.91677699999999995</v>
      </c>
      <c r="G113" s="17">
        <f>F113*C113</f>
        <v>114597.125</v>
      </c>
      <c r="H113" s="90"/>
      <c r="I113" s="90">
        <f t="shared" ref="I113:I116" si="11">G113-E113</f>
        <v>-15395.750000000015</v>
      </c>
      <c r="J113" s="11"/>
    </row>
    <row r="114" spans="1:10">
      <c r="A114" s="100">
        <v>45400</v>
      </c>
      <c r="B114" s="82" t="s">
        <v>144</v>
      </c>
      <c r="C114" s="114">
        <v>10</v>
      </c>
      <c r="D114" s="83">
        <v>135</v>
      </c>
      <c r="E114" s="116">
        <f>D114*C114</f>
        <v>1350</v>
      </c>
      <c r="F114" s="90">
        <v>120</v>
      </c>
      <c r="G114" s="17">
        <f>F114*C114</f>
        <v>1200</v>
      </c>
      <c r="H114" s="90"/>
      <c r="I114" s="90">
        <f t="shared" si="11"/>
        <v>-150</v>
      </c>
      <c r="J114" s="11"/>
    </row>
    <row r="115" spans="1:10">
      <c r="A115" s="100">
        <v>45418</v>
      </c>
      <c r="B115" s="82" t="s">
        <v>145</v>
      </c>
      <c r="C115" s="114">
        <v>38</v>
      </c>
      <c r="D115" s="83">
        <v>30.5</v>
      </c>
      <c r="E115" s="116">
        <f>D115*C115</f>
        <v>1159</v>
      </c>
      <c r="F115" s="90">
        <v>15</v>
      </c>
      <c r="G115" s="17">
        <f>F115*C115</f>
        <v>570</v>
      </c>
      <c r="H115" s="90"/>
      <c r="I115" s="90">
        <f t="shared" si="11"/>
        <v>-589</v>
      </c>
      <c r="J115" s="11"/>
    </row>
    <row r="116" spans="1:10" ht="13.5" thickBot="1">
      <c r="A116" s="100">
        <v>45418</v>
      </c>
      <c r="B116" s="82" t="s">
        <v>146</v>
      </c>
      <c r="C116" s="114">
        <v>26</v>
      </c>
      <c r="D116" s="83">
        <v>37.115000000000002</v>
      </c>
      <c r="E116" s="116">
        <f>D116*C116</f>
        <v>964.99</v>
      </c>
      <c r="F116" s="90">
        <v>22</v>
      </c>
      <c r="G116" s="17">
        <f>F116*C116</f>
        <v>572</v>
      </c>
      <c r="H116" s="419">
        <f>SUM(G113:G116)</f>
        <v>116939.125</v>
      </c>
      <c r="I116" s="90">
        <f t="shared" si="11"/>
        <v>-392.99</v>
      </c>
      <c r="J116" s="11"/>
    </row>
    <row r="117" spans="1:10" ht="13.5" thickBot="1">
      <c r="A117" s="100"/>
      <c r="B117" s="90"/>
      <c r="C117" s="12"/>
      <c r="D117" s="12"/>
      <c r="E117" s="90">
        <f>SUM(E113:E116)</f>
        <v>133466.86499999999</v>
      </c>
      <c r="F117" s="90"/>
      <c r="G117" s="90"/>
      <c r="H117" s="117">
        <f>(SUM(G113:G116))-(SUM(E113:E116))</f>
        <v>-16527.739999999991</v>
      </c>
      <c r="I117" s="90"/>
      <c r="J117" s="11"/>
    </row>
    <row r="118" spans="1:10">
      <c r="A118" s="100"/>
      <c r="B118" s="90"/>
      <c r="C118" s="90"/>
      <c r="D118" s="90"/>
      <c r="E118" s="17"/>
      <c r="F118" s="90"/>
      <c r="G118" s="90"/>
      <c r="H118" s="90"/>
      <c r="I118" s="90"/>
      <c r="J118" s="11"/>
    </row>
    <row r="119" spans="1:10">
      <c r="A119" s="100">
        <v>45509</v>
      </c>
      <c r="B119" s="82" t="s">
        <v>1732</v>
      </c>
      <c r="C119" s="114">
        <v>1</v>
      </c>
      <c r="D119" s="83">
        <v>2500</v>
      </c>
      <c r="E119" s="116">
        <f>D119*C119</f>
        <v>2500</v>
      </c>
      <c r="F119" s="90">
        <v>4100</v>
      </c>
      <c r="G119" s="17">
        <f>C119*F119</f>
        <v>4100</v>
      </c>
      <c r="H119" s="90"/>
      <c r="I119" s="90">
        <f t="shared" ref="I119:I121" si="12">G119-E119</f>
        <v>1600</v>
      </c>
      <c r="J119" s="11"/>
    </row>
    <row r="120" spans="1:10">
      <c r="A120" s="100">
        <v>45509</v>
      </c>
      <c r="B120" s="82" t="s">
        <v>148</v>
      </c>
      <c r="C120" s="114">
        <v>16</v>
      </c>
      <c r="D120" s="83">
        <v>4100</v>
      </c>
      <c r="E120" s="116">
        <f>D120*C120</f>
        <v>65600</v>
      </c>
      <c r="F120" s="90">
        <f>F119*1.73</f>
        <v>7093</v>
      </c>
      <c r="G120" s="17">
        <f>C120*F120</f>
        <v>113488</v>
      </c>
      <c r="H120" s="90"/>
      <c r="I120" s="90">
        <f t="shared" si="12"/>
        <v>47888</v>
      </c>
      <c r="J120" s="11"/>
    </row>
    <row r="121" spans="1:10" ht="13.5" thickBot="1">
      <c r="A121" s="100">
        <v>45509</v>
      </c>
      <c r="B121" s="82" t="s">
        <v>149</v>
      </c>
      <c r="C121" s="114">
        <v>1</v>
      </c>
      <c r="D121" s="83">
        <v>16200</v>
      </c>
      <c r="E121" s="116">
        <f>D121*C121</f>
        <v>16200</v>
      </c>
      <c r="F121" s="90">
        <f>F120*4</f>
        <v>28372</v>
      </c>
      <c r="G121" s="17">
        <f>C121*F121</f>
        <v>28372</v>
      </c>
      <c r="H121" s="419">
        <f>SUM(G119:G121)</f>
        <v>145960</v>
      </c>
      <c r="I121" s="90">
        <f t="shared" si="12"/>
        <v>12172</v>
      </c>
      <c r="J121" s="11"/>
    </row>
    <row r="122" spans="1:10" ht="13.5" thickBot="1">
      <c r="A122" s="100"/>
      <c r="B122" s="90"/>
      <c r="C122" s="12"/>
      <c r="D122" s="12"/>
      <c r="E122" s="90">
        <f>SUM(E119:E121)</f>
        <v>84300</v>
      </c>
      <c r="F122" s="90"/>
      <c r="G122" s="90"/>
      <c r="H122" s="117">
        <f>(SUM(G119:G121))-(SUM(E119:E121))</f>
        <v>61660</v>
      </c>
      <c r="I122" s="90"/>
      <c r="J122" s="11"/>
    </row>
    <row r="123" spans="1:10">
      <c r="A123" s="100"/>
      <c r="B123" s="90" t="s">
        <v>150</v>
      </c>
      <c r="C123" s="120">
        <v>33.250599999999999</v>
      </c>
      <c r="D123" s="12"/>
      <c r="E123" s="90"/>
      <c r="F123" s="90"/>
      <c r="G123" s="17"/>
      <c r="H123" s="90"/>
      <c r="I123" s="90"/>
      <c r="J123" s="11"/>
    </row>
    <row r="124" spans="1:10">
      <c r="A124" s="100"/>
      <c r="B124" s="90" t="s">
        <v>151</v>
      </c>
      <c r="C124" s="120">
        <v>36.854999999999997</v>
      </c>
      <c r="D124" s="12"/>
      <c r="E124" s="90"/>
      <c r="F124" s="90"/>
      <c r="G124" s="17"/>
      <c r="H124" s="90"/>
      <c r="I124" s="90"/>
      <c r="J124" s="11"/>
    </row>
    <row r="125" spans="1:10">
      <c r="A125" s="100"/>
      <c r="B125" s="90" t="s">
        <v>152</v>
      </c>
      <c r="C125" s="12"/>
      <c r="D125" s="12"/>
      <c r="E125" s="90"/>
      <c r="F125" s="90"/>
      <c r="G125" s="17">
        <v>0</v>
      </c>
      <c r="H125" s="90"/>
      <c r="I125" s="90"/>
      <c r="J125" s="11"/>
    </row>
    <row r="126" spans="1:10" ht="13.5" thickBot="1">
      <c r="A126" s="100"/>
      <c r="B126" s="90" t="s">
        <v>153</v>
      </c>
      <c r="C126" s="12"/>
      <c r="D126" s="12"/>
      <c r="E126" s="90"/>
      <c r="F126" s="90"/>
      <c r="G126" s="17">
        <v>1000</v>
      </c>
      <c r="H126" s="90"/>
      <c r="I126" s="90"/>
      <c r="J126" s="11"/>
    </row>
    <row r="127" spans="1:10" ht="13.5" thickBot="1">
      <c r="A127" s="100"/>
      <c r="B127" s="90"/>
      <c r="C127" s="90"/>
      <c r="D127" s="90"/>
      <c r="E127" s="121"/>
      <c r="F127" s="122"/>
      <c r="G127" s="123" t="s">
        <v>154</v>
      </c>
      <c r="H127" s="429">
        <f>H122+H117+H111</f>
        <v>124142.26000000001</v>
      </c>
      <c r="I127" s="90"/>
      <c r="J127" s="11"/>
    </row>
    <row r="128" spans="1:10" ht="13.5" thickBot="1">
      <c r="A128" s="100"/>
      <c r="B128" s="90"/>
      <c r="C128" s="124"/>
      <c r="D128" s="92"/>
      <c r="E128" s="90"/>
      <c r="F128" s="90"/>
      <c r="G128" s="124"/>
      <c r="H128" s="90"/>
      <c r="I128" s="90"/>
      <c r="J128" s="11"/>
    </row>
    <row r="129" spans="1:13" ht="13.5" thickBot="1">
      <c r="A129" s="100"/>
      <c r="B129" s="90"/>
      <c r="C129" s="124"/>
      <c r="D129" s="18" t="s">
        <v>155</v>
      </c>
      <c r="E129" s="90"/>
      <c r="F129" s="90"/>
      <c r="G129" s="482">
        <f>SUM(G98:G126)</f>
        <v>628200.125</v>
      </c>
      <c r="H129" s="90"/>
      <c r="I129" s="90"/>
      <c r="J129" s="11"/>
    </row>
    <row r="130" spans="1:13">
      <c r="A130" s="100"/>
      <c r="B130" s="90"/>
      <c r="C130" s="126" t="str">
        <f>A94</f>
        <v>HAZİRAN 2025 e</v>
      </c>
      <c r="D130" s="126" t="s">
        <v>156</v>
      </c>
      <c r="E130" s="90"/>
      <c r="F130" s="90"/>
      <c r="G130" s="127"/>
      <c r="H130" s="90"/>
      <c r="I130" s="90"/>
      <c r="J130" s="11"/>
    </row>
    <row r="131" spans="1:13">
      <c r="A131" s="100"/>
      <c r="B131" s="11"/>
      <c r="C131" s="438"/>
      <c r="D131" s="439"/>
      <c r="E131" s="405"/>
      <c r="F131" s="405"/>
      <c r="G131" s="409"/>
      <c r="H131" s="90"/>
      <c r="I131" s="90"/>
      <c r="J131" s="11"/>
    </row>
    <row r="132" spans="1:13">
      <c r="A132" s="90"/>
      <c r="B132" s="90" t="s">
        <v>1685</v>
      </c>
      <c r="C132" s="90"/>
      <c r="D132" s="90"/>
      <c r="E132" s="90"/>
      <c r="F132" s="90"/>
      <c r="G132" s="90"/>
      <c r="H132" s="90"/>
      <c r="I132" s="90" t="s">
        <v>1676</v>
      </c>
      <c r="J132" s="11" t="s">
        <v>1676</v>
      </c>
      <c r="K132" s="78" t="s">
        <v>1677</v>
      </c>
      <c r="L132" s="78" t="s">
        <v>1678</v>
      </c>
      <c r="M132" s="78" t="s">
        <v>1679</v>
      </c>
    </row>
    <row r="133" spans="1:13">
      <c r="A133" s="100">
        <v>45620</v>
      </c>
      <c r="B133" s="82" t="s">
        <v>1604</v>
      </c>
      <c r="C133" s="114">
        <v>3000</v>
      </c>
      <c r="D133" s="114">
        <v>32.549999999999997</v>
      </c>
      <c r="E133" s="116">
        <f t="shared" ref="E133" si="13">D133*C133</f>
        <v>97649.999999999985</v>
      </c>
      <c r="F133" s="90">
        <v>42.86</v>
      </c>
      <c r="G133" s="17">
        <f t="shared" ref="G133" si="14">F133*C133</f>
        <v>128580</v>
      </c>
      <c r="H133" s="90"/>
      <c r="I133" s="90">
        <f t="shared" ref="I133" si="15">G133-E133</f>
        <v>30930.000000000015</v>
      </c>
      <c r="J133" s="443">
        <f>(I133-I134)/E133</f>
        <v>0.31674347158218147</v>
      </c>
      <c r="K133" s="100">
        <v>45721</v>
      </c>
      <c r="L133" s="78">
        <f>K133-A133</f>
        <v>101</v>
      </c>
      <c r="M133" s="443">
        <f>J133/L133*30</f>
        <v>9.4082219281836091E-2</v>
      </c>
    </row>
    <row r="134" spans="1:13">
      <c r="A134" s="100"/>
      <c r="B134" s="82"/>
      <c r="C134" s="114" t="s">
        <v>1731</v>
      </c>
      <c r="D134" s="115"/>
      <c r="E134" s="116"/>
      <c r="F134" s="90" t="s">
        <v>1730</v>
      </c>
      <c r="G134" s="17">
        <v>-257.16000000000003</v>
      </c>
      <c r="H134" s="90"/>
      <c r="I134" s="90"/>
      <c r="J134" s="90"/>
      <c r="K134" s="475"/>
      <c r="M134" s="443"/>
    </row>
    <row r="135" spans="1:13">
      <c r="A135" s="100">
        <v>45772</v>
      </c>
      <c r="B135" s="82" t="s">
        <v>236</v>
      </c>
      <c r="C135" s="114">
        <v>16</v>
      </c>
      <c r="D135" s="115">
        <v>983.06700000000001</v>
      </c>
      <c r="E135" s="116">
        <f t="shared" ref="E135" si="16">D135*C135</f>
        <v>15729.072</v>
      </c>
      <c r="F135" s="90">
        <v>995.40553</v>
      </c>
      <c r="G135" s="17">
        <f t="shared" ref="G135" si="17">F135*C135</f>
        <v>15926.48848</v>
      </c>
      <c r="H135" s="419"/>
      <c r="I135" s="90">
        <f t="shared" ref="I135" si="18">G135-E135</f>
        <v>197.41647999999986</v>
      </c>
      <c r="J135" s="11"/>
    </row>
    <row r="136" spans="1:13">
      <c r="A136" s="100"/>
      <c r="B136" s="82" t="s">
        <v>1730</v>
      </c>
      <c r="C136" s="114"/>
      <c r="D136" s="115"/>
      <c r="E136" s="116"/>
      <c r="F136" s="404"/>
      <c r="G136" s="17"/>
      <c r="H136" s="90"/>
      <c r="I136" s="90">
        <v>-197.03</v>
      </c>
      <c r="J136" s="443"/>
      <c r="K136" s="100"/>
      <c r="M136" s="443"/>
    </row>
    <row r="137" spans="1:13">
      <c r="A137" s="406"/>
      <c r="B137" s="82" t="s">
        <v>1819</v>
      </c>
      <c r="C137" s="114">
        <v>24</v>
      </c>
      <c r="D137" s="115">
        <v>983.06700000000001</v>
      </c>
      <c r="E137" s="116">
        <f t="shared" ref="E137" si="19">D137*C137</f>
        <v>23593.608</v>
      </c>
      <c r="F137" s="90">
        <v>1000.855116</v>
      </c>
      <c r="G137" s="17">
        <f t="shared" ref="G137" si="20">F137*C137</f>
        <v>24020.522784000001</v>
      </c>
      <c r="H137" s="419"/>
      <c r="I137" s="90">
        <f t="shared" ref="I137" si="21">G137-E137</f>
        <v>426.91478400000051</v>
      </c>
      <c r="J137" s="90"/>
      <c r="K137" s="475"/>
    </row>
    <row r="138" spans="1:13" ht="13.5" thickBot="1">
      <c r="A138" s="407"/>
      <c r="B138" s="82" t="s">
        <v>1730</v>
      </c>
      <c r="C138" s="407" t="s">
        <v>1820</v>
      </c>
      <c r="D138" s="405"/>
      <c r="E138" s="405"/>
      <c r="F138" s="405"/>
      <c r="G138" s="405"/>
      <c r="H138" s="405"/>
      <c r="I138" s="407">
        <v>-308.62</v>
      </c>
      <c r="J138" s="11"/>
    </row>
    <row r="139" spans="1:13">
      <c r="A139" s="428"/>
      <c r="B139" s="428"/>
      <c r="C139" s="428"/>
      <c r="D139" s="417"/>
      <c r="E139" s="417"/>
      <c r="F139" s="417"/>
      <c r="G139" s="417">
        <f>SUM(G133:G138)</f>
        <v>168269.851264</v>
      </c>
      <c r="H139" s="417"/>
      <c r="I139" s="480">
        <f>SUM(I133:I138)</f>
        <v>31048.681264000017</v>
      </c>
      <c r="J139" s="11"/>
    </row>
    <row r="140" spans="1:13">
      <c r="A140" s="11"/>
      <c r="B140" s="11"/>
      <c r="C140" s="11"/>
      <c r="D140" s="90"/>
      <c r="E140" s="90"/>
      <c r="F140" s="90"/>
      <c r="G140" s="90"/>
      <c r="H140" s="90"/>
      <c r="I140" s="11"/>
      <c r="J140" s="11"/>
    </row>
    <row r="141" spans="1:13">
      <c r="A141" s="98"/>
      <c r="B141" s="11"/>
      <c r="C141" s="11"/>
      <c r="D141" s="90"/>
      <c r="E141" s="90"/>
      <c r="F141" s="90"/>
      <c r="G141" s="90"/>
      <c r="H141" s="90"/>
      <c r="I141" s="11"/>
      <c r="J141" s="11"/>
    </row>
    <row r="142" spans="1:13" ht="18">
      <c r="A142" s="493" t="s">
        <v>1745</v>
      </c>
      <c r="B142" s="11"/>
      <c r="C142" s="11"/>
      <c r="D142" s="90"/>
      <c r="E142" s="90"/>
      <c r="F142" s="90"/>
      <c r="G142" s="90"/>
      <c r="H142" s="90"/>
      <c r="I142" s="11"/>
      <c r="J142" s="11"/>
    </row>
    <row r="143" spans="1:13" ht="15.75">
      <c r="A143" s="98"/>
      <c r="B143" s="476">
        <f>1-76.4616%</f>
        <v>0.23538399999999993</v>
      </c>
      <c r="C143" s="477">
        <v>0.76461599999999996</v>
      </c>
      <c r="D143" s="404"/>
      <c r="E143" s="90"/>
      <c r="F143" s="90"/>
      <c r="G143" s="90"/>
      <c r="H143" s="90"/>
      <c r="I143" s="11"/>
      <c r="J143" s="11"/>
    </row>
    <row r="144" spans="1:13" ht="15.75">
      <c r="A144" s="98"/>
      <c r="B144" s="476" t="s">
        <v>1747</v>
      </c>
      <c r="C144" s="477"/>
      <c r="D144" s="404"/>
      <c r="E144" s="90"/>
      <c r="F144" s="90"/>
      <c r="G144" s="90"/>
      <c r="H144" s="90"/>
      <c r="I144" s="11"/>
      <c r="J144" s="11"/>
    </row>
    <row r="145" spans="1:14" ht="15.75">
      <c r="A145" s="98"/>
      <c r="B145" s="476" t="s">
        <v>1746</v>
      </c>
      <c r="C145" s="477"/>
      <c r="D145" s="404"/>
      <c r="E145" s="90"/>
      <c r="F145" s="90"/>
      <c r="G145" s="90"/>
      <c r="H145" s="90"/>
      <c r="I145" s="11"/>
      <c r="J145" s="11"/>
    </row>
    <row r="146" spans="1:14" ht="15.75">
      <c r="A146" s="98"/>
      <c r="B146" s="476" t="s">
        <v>1749</v>
      </c>
      <c r="C146" s="477"/>
      <c r="D146" s="404"/>
      <c r="E146" s="90"/>
      <c r="F146" s="90"/>
      <c r="G146" s="90"/>
      <c r="H146" s="90"/>
      <c r="I146" s="11"/>
      <c r="J146" s="11"/>
    </row>
    <row r="147" spans="1:14" ht="15.75">
      <c r="A147" s="98"/>
      <c r="B147" s="476" t="s">
        <v>1748</v>
      </c>
      <c r="C147" s="477"/>
      <c r="D147" s="404"/>
      <c r="E147" s="90"/>
      <c r="F147" s="90"/>
      <c r="G147" s="90"/>
      <c r="H147" s="90"/>
      <c r="I147" s="11"/>
      <c r="J147" s="11"/>
    </row>
    <row r="148" spans="1:14" ht="16.5" thickBot="1">
      <c r="A148" s="98"/>
      <c r="B148" s="476"/>
      <c r="C148" s="11" t="s">
        <v>1751</v>
      </c>
      <c r="D148" s="11" t="s">
        <v>1750</v>
      </c>
      <c r="E148" s="90" t="s">
        <v>1742</v>
      </c>
      <c r="F148" s="490">
        <v>138749.76000000001</v>
      </c>
      <c r="G148" s="11" t="s">
        <v>1743</v>
      </c>
      <c r="H148" s="90" t="s">
        <v>3</v>
      </c>
      <c r="I148" s="11"/>
      <c r="J148" s="11"/>
    </row>
    <row r="149" spans="1:14" ht="13.5" thickBot="1">
      <c r="A149" s="100"/>
      <c r="B149" s="82" t="s">
        <v>1752</v>
      </c>
      <c r="C149" s="118">
        <v>160</v>
      </c>
      <c r="D149" s="90">
        <f>C149</f>
        <v>160</v>
      </c>
      <c r="E149" s="83">
        <v>872.26</v>
      </c>
      <c r="F149" s="491">
        <f>E149*C149</f>
        <v>139561.60000000001</v>
      </c>
      <c r="G149" s="481">
        <v>962.89330700000005</v>
      </c>
      <c r="H149" s="17">
        <f>G149*C149</f>
        <v>154062.92912000002</v>
      </c>
      <c r="I149" s="12">
        <f>H149</f>
        <v>154062.92912000002</v>
      </c>
      <c r="J149" s="11"/>
    </row>
    <row r="150" spans="1:14" ht="13.5" thickBot="1">
      <c r="A150" s="100"/>
      <c r="B150" s="82" t="s">
        <v>1753</v>
      </c>
      <c r="C150" s="118">
        <v>78</v>
      </c>
      <c r="D150" s="90">
        <f>D149+C150</f>
        <v>238</v>
      </c>
      <c r="E150" s="83">
        <v>872.26</v>
      </c>
      <c r="F150" s="491">
        <f>E150*C150</f>
        <v>68036.28</v>
      </c>
      <c r="G150" s="403">
        <f>G151</f>
        <v>962.89330700000005</v>
      </c>
      <c r="H150" s="17">
        <f>G150*C150</f>
        <v>75105.677946000011</v>
      </c>
      <c r="I150" s="12">
        <f>I149+H150</f>
        <v>229168.60706600003</v>
      </c>
      <c r="J150" s="11"/>
    </row>
    <row r="151" spans="1:14" ht="13.5" thickBot="1">
      <c r="A151" s="489">
        <v>45755</v>
      </c>
      <c r="B151" s="492" t="s">
        <v>1741</v>
      </c>
      <c r="C151" s="118">
        <v>-21</v>
      </c>
      <c r="D151" s="90">
        <f>D150+C151</f>
        <v>217</v>
      </c>
      <c r="E151" s="83">
        <v>872.26</v>
      </c>
      <c r="F151" s="449">
        <f>E151*C151</f>
        <v>-18317.46</v>
      </c>
      <c r="G151" s="403">
        <f>G149</f>
        <v>962.89330700000005</v>
      </c>
      <c r="H151" s="141">
        <f>G151*C151</f>
        <v>-20220.759447</v>
      </c>
      <c r="I151" s="12">
        <f>I150+H151</f>
        <v>208947.84761900004</v>
      </c>
      <c r="J151" s="11"/>
    </row>
    <row r="152" spans="1:14" ht="13.5" thickBot="1">
      <c r="A152" s="100"/>
      <c r="B152" s="82" t="s">
        <v>1744</v>
      </c>
      <c r="C152" s="388"/>
      <c r="D152" s="90"/>
      <c r="E152" s="83"/>
      <c r="F152" s="90"/>
      <c r="G152" s="90"/>
      <c r="H152" s="90">
        <v>-300.32</v>
      </c>
      <c r="I152" s="12">
        <f>I151+H152</f>
        <v>208647.52761900003</v>
      </c>
      <c r="J152" s="11"/>
    </row>
    <row r="153" spans="1:14" ht="13.5" thickBot="1">
      <c r="A153" s="542">
        <v>45777</v>
      </c>
      <c r="B153" s="543" t="s">
        <v>1806</v>
      </c>
      <c r="C153" s="544">
        <v>219</v>
      </c>
      <c r="D153" s="545"/>
      <c r="E153" s="545"/>
      <c r="F153" s="545"/>
      <c r="G153" s="481">
        <f>G151</f>
        <v>962.89330700000005</v>
      </c>
      <c r="H153" s="546">
        <f>G153*C153</f>
        <v>210873.63423300002</v>
      </c>
      <c r="I153" s="461"/>
      <c r="J153" s="11"/>
    </row>
    <row r="154" spans="1:14" s="11" customFormat="1" ht="13.5" thickBot="1">
      <c r="A154" s="489">
        <v>45786</v>
      </c>
      <c r="B154" s="492" t="s">
        <v>1741</v>
      </c>
      <c r="C154" s="118">
        <v>-20</v>
      </c>
      <c r="D154" s="90">
        <f>D153+C154</f>
        <v>-20</v>
      </c>
      <c r="E154" s="83">
        <v>872.26</v>
      </c>
      <c r="F154" s="449">
        <f>E154*C154</f>
        <v>-17445.2</v>
      </c>
      <c r="G154" s="90">
        <v>1000.86</v>
      </c>
      <c r="H154" s="541">
        <f>G154*C154</f>
        <v>-20017.2</v>
      </c>
      <c r="I154" s="12">
        <f>I152+H154</f>
        <v>188630.32761900002</v>
      </c>
      <c r="K154" s="78"/>
      <c r="L154" s="78"/>
      <c r="M154" s="78"/>
      <c r="N154" s="78"/>
    </row>
    <row r="155" spans="1:14" s="11" customFormat="1" ht="13.5" thickBot="1">
      <c r="A155" s="539"/>
      <c r="B155" s="82" t="s">
        <v>1744</v>
      </c>
      <c r="C155" s="118"/>
      <c r="D155" s="90"/>
      <c r="E155" s="90"/>
      <c r="F155" s="90"/>
      <c r="G155" s="90"/>
      <c r="H155" s="17">
        <v>-257.18</v>
      </c>
      <c r="I155" s="90"/>
      <c r="K155" s="78"/>
      <c r="L155" s="78"/>
      <c r="M155" s="78"/>
      <c r="N155" s="78"/>
    </row>
    <row r="156" spans="1:14" s="11" customFormat="1" ht="13.5" thickBot="1">
      <c r="A156" s="542">
        <v>45786</v>
      </c>
      <c r="B156" s="543" t="s">
        <v>1806</v>
      </c>
      <c r="C156" s="544">
        <v>199</v>
      </c>
      <c r="D156" s="545"/>
      <c r="E156" s="545"/>
      <c r="F156" s="545"/>
      <c r="G156" s="545">
        <v>1000.86</v>
      </c>
      <c r="H156" s="546">
        <f>G156*C156</f>
        <v>199171.14</v>
      </c>
      <c r="I156" s="461"/>
      <c r="K156" s="78"/>
      <c r="L156" s="78"/>
      <c r="M156" s="78"/>
      <c r="N156" s="78"/>
    </row>
    <row r="157" spans="1:14" s="11" customFormat="1">
      <c r="A157" s="539"/>
      <c r="B157" s="82"/>
      <c r="C157" s="118"/>
      <c r="D157" s="90"/>
      <c r="E157" s="90"/>
      <c r="F157" s="90"/>
      <c r="G157" s="90"/>
      <c r="H157" s="17"/>
      <c r="I157" s="90"/>
      <c r="K157" s="78"/>
      <c r="L157" s="78"/>
      <c r="M157" s="78"/>
      <c r="N157" s="78"/>
    </row>
    <row r="158" spans="1:14">
      <c r="A158" s="100"/>
      <c r="B158" s="90" t="s">
        <v>1684</v>
      </c>
      <c r="C158" s="438"/>
      <c r="D158" s="439"/>
      <c r="E158" s="405"/>
      <c r="F158" s="405"/>
      <c r="G158" s="409"/>
      <c r="H158" s="90"/>
      <c r="I158" s="90"/>
      <c r="J158" s="11"/>
    </row>
    <row r="159" spans="1:14">
      <c r="A159" s="98"/>
      <c r="B159" s="11"/>
      <c r="C159" s="11"/>
      <c r="D159" s="90"/>
      <c r="E159" s="90"/>
      <c r="F159" s="90"/>
      <c r="G159" s="90"/>
      <c r="H159" s="90"/>
      <c r="I159" s="11"/>
      <c r="J159" s="11"/>
    </row>
    <row r="160" spans="1:14">
      <c r="A160" s="98"/>
      <c r="B160" s="11"/>
      <c r="C160" s="11"/>
      <c r="D160" s="90"/>
      <c r="E160" s="90"/>
      <c r="F160" s="90"/>
      <c r="G160" s="90"/>
      <c r="H160" s="90"/>
      <c r="I160" s="11"/>
      <c r="J160" s="11"/>
    </row>
    <row r="161" spans="1:10">
      <c r="A161" s="98"/>
      <c r="B161" s="11"/>
      <c r="C161" s="11"/>
      <c r="D161" s="90"/>
      <c r="E161" s="90"/>
      <c r="F161" s="90"/>
      <c r="G161" s="90"/>
      <c r="H161" s="90"/>
      <c r="I161" s="11"/>
      <c r="J161" s="11"/>
    </row>
    <row r="162" spans="1:10">
      <c r="A162" s="98"/>
      <c r="B162" s="11"/>
      <c r="C162" s="11"/>
      <c r="D162" s="90"/>
      <c r="E162" s="90"/>
      <c r="F162" s="90"/>
      <c r="G162" s="90"/>
      <c r="H162" s="90"/>
      <c r="I162" s="11"/>
      <c r="J162" s="11"/>
    </row>
    <row r="163" spans="1:10">
      <c r="A163" s="98"/>
      <c r="B163" s="11"/>
      <c r="C163" s="11"/>
      <c r="D163" s="90"/>
      <c r="E163" s="90"/>
      <c r="F163" s="90"/>
      <c r="G163" s="90"/>
      <c r="H163" s="90"/>
      <c r="I163" s="11"/>
      <c r="J163" s="11"/>
    </row>
    <row r="164" spans="1:10">
      <c r="A164" s="98"/>
      <c r="B164" s="11"/>
      <c r="C164" s="11"/>
      <c r="D164" s="90"/>
      <c r="E164" s="90"/>
      <c r="F164" s="90"/>
      <c r="G164" s="90"/>
      <c r="H164" s="90"/>
      <c r="I164" s="11"/>
      <c r="J164" s="11"/>
    </row>
    <row r="165" spans="1:10">
      <c r="A165" s="98"/>
      <c r="B165" s="11"/>
      <c r="C165" s="11"/>
      <c r="D165" s="90"/>
      <c r="E165" s="90"/>
      <c r="F165" s="90"/>
      <c r="G165" s="90"/>
      <c r="H165" s="90"/>
      <c r="I165" s="11"/>
      <c r="J165" s="11"/>
    </row>
    <row r="166" spans="1:10">
      <c r="A166" s="98"/>
      <c r="B166" s="11"/>
      <c r="C166" s="11"/>
      <c r="D166" s="90"/>
      <c r="E166" s="90"/>
      <c r="F166" s="90"/>
      <c r="G166" s="90"/>
      <c r="H166" s="90"/>
      <c r="I166" s="11"/>
      <c r="J166" s="11"/>
    </row>
    <row r="167" spans="1:10">
      <c r="A167" s="98"/>
      <c r="B167" s="11"/>
      <c r="C167" s="11"/>
      <c r="D167" s="90"/>
      <c r="E167" s="90"/>
      <c r="F167" s="90"/>
      <c r="G167" s="90"/>
      <c r="H167" s="90"/>
      <c r="I167" s="11"/>
      <c r="J167" s="11"/>
    </row>
    <row r="168" spans="1:10">
      <c r="A168" s="98"/>
      <c r="B168" s="11"/>
      <c r="C168" s="11"/>
      <c r="D168" s="90"/>
      <c r="E168" s="90"/>
      <c r="F168" s="90"/>
      <c r="G168" s="90"/>
      <c r="H168" s="90"/>
      <c r="I168" s="11"/>
      <c r="J168" s="11"/>
    </row>
    <row r="169" spans="1:10">
      <c r="A169" s="98"/>
      <c r="B169" s="11"/>
      <c r="C169" s="11"/>
      <c r="D169" s="90"/>
      <c r="E169" s="90"/>
      <c r="F169" s="90"/>
      <c r="G169" s="90"/>
      <c r="H169" s="90"/>
      <c r="I169" s="11"/>
      <c r="J169" s="11"/>
    </row>
    <row r="170" spans="1:10">
      <c r="A170" s="98"/>
      <c r="B170" s="11"/>
      <c r="C170" s="11"/>
      <c r="D170" s="90"/>
      <c r="E170" s="90"/>
      <c r="F170" s="90"/>
      <c r="G170" s="90"/>
      <c r="H170" s="90"/>
      <c r="I170" s="11"/>
      <c r="J170" s="11"/>
    </row>
    <row r="171" spans="1:10">
      <c r="A171" s="98"/>
      <c r="B171" s="11"/>
      <c r="C171" s="11"/>
      <c r="D171" s="90"/>
      <c r="E171" s="90"/>
      <c r="F171" s="90"/>
      <c r="G171" s="90"/>
      <c r="H171" s="90"/>
      <c r="I171" s="11"/>
      <c r="J171" s="11"/>
    </row>
    <row r="172" spans="1:10">
      <c r="A172" s="98"/>
      <c r="B172" s="11"/>
      <c r="C172" s="11"/>
      <c r="D172" s="90"/>
      <c r="E172" s="90"/>
      <c r="F172" s="90"/>
      <c r="G172" s="90"/>
      <c r="H172" s="90"/>
      <c r="I172" s="11"/>
      <c r="J172" s="11"/>
    </row>
  </sheetData>
  <conditionalFormatting sqref="F119:F121">
    <cfRule type="cellIs" dxfId="60" priority="16" operator="lessThan">
      <formula>D119</formula>
    </cfRule>
  </conditionalFormatting>
  <conditionalFormatting sqref="F114:F116">
    <cfRule type="cellIs" dxfId="59" priority="17" operator="lessThan">
      <formula>D114</formula>
    </cfRule>
  </conditionalFormatting>
  <conditionalFormatting sqref="F106">
    <cfRule type="cellIs" dxfId="58" priority="18" operator="lessThan">
      <formula>D106</formula>
    </cfRule>
  </conditionalFormatting>
  <conditionalFormatting sqref="F105">
    <cfRule type="cellIs" dxfId="57" priority="19" operator="lessThan">
      <formula>D105</formula>
    </cfRule>
  </conditionalFormatting>
  <conditionalFormatting sqref="F134">
    <cfRule type="cellIs" dxfId="56" priority="15" operator="lessThan">
      <formula>D134</formula>
    </cfRule>
  </conditionalFormatting>
  <conditionalFormatting sqref="F136">
    <cfRule type="cellIs" dxfId="55" priority="13" operator="lessThan">
      <formula>D136</formula>
    </cfRule>
  </conditionalFormatting>
  <conditionalFormatting sqref="F104">
    <cfRule type="cellIs" dxfId="54" priority="11" operator="lessThan">
      <formula>D104</formula>
    </cfRule>
  </conditionalFormatting>
  <conditionalFormatting sqref="F133">
    <cfRule type="cellIs" dxfId="53" priority="10" operator="lessThan">
      <formula>D133</formula>
    </cfRule>
  </conditionalFormatting>
  <conditionalFormatting sqref="F113">
    <cfRule type="cellIs" dxfId="52" priority="9" operator="lessThan">
      <formula>D113</formula>
    </cfRule>
  </conditionalFormatting>
  <conditionalFormatting sqref="F135">
    <cfRule type="cellIs" dxfId="51" priority="6" operator="lessThan">
      <formula>D135</formula>
    </cfRule>
  </conditionalFormatting>
  <conditionalFormatting sqref="F107">
    <cfRule type="cellIs" dxfId="50" priority="4" operator="lessThan">
      <formula>D107</formula>
    </cfRule>
  </conditionalFormatting>
  <conditionalFormatting sqref="F109">
    <cfRule type="cellIs" dxfId="49" priority="5" operator="lessThan">
      <formula>D109</formula>
    </cfRule>
  </conditionalFormatting>
  <conditionalFormatting sqref="F137">
    <cfRule type="cellIs" dxfId="48" priority="3" operator="lessThan">
      <formula>D137</formula>
    </cfRule>
  </conditionalFormatting>
  <conditionalFormatting sqref="F108">
    <cfRule type="cellIs" dxfId="47" priority="2" operator="lessThan">
      <formula>D108</formula>
    </cfRule>
  </conditionalFormatting>
  <conditionalFormatting sqref="F110">
    <cfRule type="cellIs" dxfId="46" priority="1" operator="lessThan">
      <formula>D110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0.79998168889431442"/>
  </sheetPr>
  <dimension ref="A1:W239"/>
  <sheetViews>
    <sheetView topLeftCell="A69" zoomScale="145" zoomScaleNormal="145" workbookViewId="0">
      <selection activeCell="E22" sqref="E22"/>
    </sheetView>
  </sheetViews>
  <sheetFormatPr defaultColWidth="12.28515625" defaultRowHeight="12.75"/>
  <cols>
    <col min="1" max="1" width="12.28515625" style="98"/>
    <col min="2" max="2" width="34.140625" customWidth="1"/>
    <col min="3" max="3" width="9.42578125" customWidth="1"/>
    <col min="4" max="4" width="11" style="77" customWidth="1"/>
    <col min="5" max="5" width="11.42578125" style="77" customWidth="1"/>
    <col min="6" max="6" width="11.7109375" style="77" customWidth="1"/>
    <col min="7" max="7" width="12.42578125" style="77" customWidth="1"/>
    <col min="8" max="8" width="11.140625" style="77" bestFit="1" customWidth="1"/>
    <col min="9" max="9" width="11" customWidth="1"/>
    <col min="10" max="10" width="8.5703125" bestFit="1" customWidth="1"/>
    <col min="11" max="11" width="10.5703125" style="78" bestFit="1" customWidth="1"/>
    <col min="12" max="12" width="7.28515625" style="78" bestFit="1" customWidth="1"/>
    <col min="13" max="13" width="7.42578125" style="78" bestFit="1" customWidth="1"/>
    <col min="14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430" t="s">
        <v>97</v>
      </c>
      <c r="C2" s="79" t="s">
        <v>67</v>
      </c>
      <c r="D2" s="77">
        <f>SUM(D4:D30)</f>
        <v>15000</v>
      </c>
      <c r="E2" s="77">
        <f>SUM(E4:E30)</f>
        <v>-191614.26</v>
      </c>
      <c r="F2" s="77">
        <f>SUM(F4:F30)</f>
        <v>15054.88</v>
      </c>
      <c r="G2" s="77">
        <f>SUM(G4:G30)</f>
        <v>-191809.25000000003</v>
      </c>
      <c r="H2" s="77">
        <f>F2+G2</f>
        <v>-176754.37000000002</v>
      </c>
    </row>
    <row r="3" spans="1:14">
      <c r="B3" s="18"/>
    </row>
    <row r="4" spans="1:14">
      <c r="B4" s="41"/>
      <c r="H4" s="77">
        <f>H3+F4+G4</f>
        <v>0</v>
      </c>
    </row>
    <row r="5" spans="1:14">
      <c r="A5" s="430"/>
      <c r="F5" s="90"/>
      <c r="G5" s="90"/>
      <c r="H5" s="90">
        <f>H4+F5+G5</f>
        <v>0</v>
      </c>
    </row>
    <row r="6" spans="1:14">
      <c r="A6" s="425">
        <v>45749</v>
      </c>
      <c r="B6" s="391" t="s">
        <v>70</v>
      </c>
      <c r="C6" s="391"/>
      <c r="D6" s="387"/>
      <c r="E6" s="387">
        <v>-2117.06</v>
      </c>
      <c r="F6" s="87"/>
      <c r="G6" s="87">
        <v>-2116.98</v>
      </c>
      <c r="H6" s="87">
        <f>H5+F6+G6</f>
        <v>-2116.98</v>
      </c>
    </row>
    <row r="7" spans="1:14">
      <c r="A7" s="425">
        <v>45750</v>
      </c>
      <c r="B7" s="393" t="s">
        <v>1717</v>
      </c>
      <c r="C7" s="392"/>
      <c r="D7" s="387"/>
      <c r="E7" s="387">
        <f>E50</f>
        <v>-19953.18</v>
      </c>
      <c r="F7" s="87"/>
      <c r="G7" s="87">
        <f>E7</f>
        <v>-19953.18</v>
      </c>
      <c r="H7" s="87">
        <f t="shared" ref="H7:H12" si="0">H6+F7+G7</f>
        <v>-22070.16</v>
      </c>
    </row>
    <row r="8" spans="1:14" s="11" customFormat="1">
      <c r="A8" s="425">
        <v>45720</v>
      </c>
      <c r="B8" s="393" t="s">
        <v>68</v>
      </c>
      <c r="C8" s="392"/>
      <c r="D8" s="387"/>
      <c r="E8" s="387">
        <f>E33</f>
        <v>-123984.02000000002</v>
      </c>
      <c r="F8" s="87"/>
      <c r="G8" s="87">
        <f>E8</f>
        <v>-123984.02000000002</v>
      </c>
      <c r="H8" s="87">
        <f t="shared" si="0"/>
        <v>-146054.18000000002</v>
      </c>
      <c r="K8" s="78"/>
      <c r="L8" s="78"/>
      <c r="M8" s="78"/>
      <c r="N8" s="78"/>
    </row>
    <row r="9" spans="1:14">
      <c r="A9" s="425">
        <v>45754</v>
      </c>
      <c r="B9" s="391" t="s">
        <v>1724</v>
      </c>
      <c r="C9" s="392"/>
      <c r="D9" s="387"/>
      <c r="E9" s="387"/>
      <c r="F9" s="87"/>
      <c r="G9" s="87">
        <v>-672.4</v>
      </c>
      <c r="H9" s="87">
        <f t="shared" si="0"/>
        <v>-146726.58000000002</v>
      </c>
    </row>
    <row r="10" spans="1:14">
      <c r="A10" s="425">
        <v>45755</v>
      </c>
      <c r="B10" s="391" t="s">
        <v>1594</v>
      </c>
      <c r="C10" s="391"/>
      <c r="D10" s="387"/>
      <c r="E10" s="387">
        <v>-17500</v>
      </c>
      <c r="F10" s="87"/>
      <c r="G10" s="87">
        <v>-17500</v>
      </c>
      <c r="H10" s="87">
        <f t="shared" si="0"/>
        <v>-164226.58000000002</v>
      </c>
    </row>
    <row r="11" spans="1:14">
      <c r="A11" s="472"/>
      <c r="B11" s="8"/>
      <c r="C11" s="8"/>
      <c r="D11" s="87"/>
      <c r="E11" s="87"/>
      <c r="F11" s="87"/>
      <c r="G11" s="87"/>
      <c r="H11" s="87">
        <f t="shared" si="0"/>
        <v>-164226.58000000002</v>
      </c>
    </row>
    <row r="12" spans="1:14">
      <c r="A12" s="472"/>
      <c r="B12" s="8"/>
      <c r="C12" s="8"/>
      <c r="D12" s="87"/>
      <c r="E12" s="87"/>
      <c r="F12" s="87"/>
      <c r="G12" s="87"/>
      <c r="H12" s="87">
        <f t="shared" si="0"/>
        <v>-164226.58000000002</v>
      </c>
    </row>
    <row r="13" spans="1:14" s="78" customFormat="1">
      <c r="A13" s="413"/>
      <c r="B13" s="393" t="s">
        <v>72</v>
      </c>
      <c r="C13" s="392"/>
      <c r="D13" s="387"/>
      <c r="E13" s="387">
        <v>0</v>
      </c>
      <c r="F13" s="77"/>
      <c r="G13" s="77"/>
      <c r="H13" s="90">
        <f t="shared" ref="H13" si="1">H12+F13+G13</f>
        <v>-164226.58000000002</v>
      </c>
      <c r="I13"/>
      <c r="J13"/>
    </row>
    <row r="14" spans="1:14" s="78" customFormat="1">
      <c r="A14" s="413">
        <v>45763</v>
      </c>
      <c r="B14" s="538" t="s">
        <v>73</v>
      </c>
      <c r="C14" s="538"/>
      <c r="D14" s="384"/>
      <c r="E14" s="384">
        <v>-1000</v>
      </c>
      <c r="F14" s="77"/>
      <c r="G14" s="77">
        <v>-1175</v>
      </c>
      <c r="H14" s="90">
        <f t="shared" ref="H14:H18" si="2">H13+F14+G14</f>
        <v>-165401.58000000002</v>
      </c>
    </row>
    <row r="15" spans="1:14" s="78" customFormat="1">
      <c r="A15" s="413">
        <v>45763</v>
      </c>
      <c r="B15" s="538" t="s">
        <v>74</v>
      </c>
      <c r="C15" s="538"/>
      <c r="D15" s="384"/>
      <c r="E15" s="384">
        <v>-200</v>
      </c>
      <c r="F15" s="77"/>
      <c r="G15" s="77">
        <v>-30</v>
      </c>
      <c r="H15" s="90">
        <f t="shared" si="2"/>
        <v>-165431.58000000002</v>
      </c>
    </row>
    <row r="16" spans="1:14" s="78" customFormat="1">
      <c r="A16" s="413">
        <v>45777</v>
      </c>
      <c r="B16" s="434" t="s">
        <v>75</v>
      </c>
      <c r="C16" s="434"/>
      <c r="D16" s="384"/>
      <c r="E16" s="384">
        <v>-200</v>
      </c>
      <c r="F16" s="384"/>
      <c r="G16" s="384">
        <v>-185.67</v>
      </c>
      <c r="H16" s="90">
        <f t="shared" si="2"/>
        <v>-165617.25000000003</v>
      </c>
    </row>
    <row r="17" spans="1:14" s="78" customFormat="1">
      <c r="A17" s="425"/>
      <c r="B17" s="392" t="s">
        <v>76</v>
      </c>
      <c r="C17" s="392"/>
      <c r="D17" s="387">
        <v>15000</v>
      </c>
      <c r="E17" s="387"/>
      <c r="F17" s="387">
        <v>15054.88</v>
      </c>
      <c r="G17" s="77"/>
      <c r="H17" s="77">
        <f t="shared" si="2"/>
        <v>-150562.37000000002</v>
      </c>
      <c r="J17" s="94"/>
      <c r="K17" s="94"/>
      <c r="L17" s="95"/>
      <c r="M17" s="96"/>
    </row>
    <row r="18" spans="1:14" s="78" customFormat="1">
      <c r="A18" s="413"/>
      <c r="B18" s="392" t="s">
        <v>77</v>
      </c>
      <c r="C18" s="392"/>
      <c r="D18" s="387"/>
      <c r="E18" s="387">
        <v>-7500</v>
      </c>
      <c r="F18" s="87"/>
      <c r="G18" s="87">
        <v>-7504</v>
      </c>
      <c r="H18" s="87">
        <f t="shared" si="2"/>
        <v>-158066.37000000002</v>
      </c>
      <c r="J18" s="94"/>
      <c r="K18" s="94"/>
      <c r="L18" s="95"/>
      <c r="M18" s="96"/>
    </row>
    <row r="19" spans="1:14" s="78" customFormat="1">
      <c r="A19" s="413"/>
      <c r="B19" s="392" t="s">
        <v>78</v>
      </c>
      <c r="C19" s="392"/>
      <c r="D19" s="387"/>
      <c r="E19" s="387">
        <v>-7500</v>
      </c>
      <c r="F19" s="87"/>
      <c r="G19" s="87">
        <v>-7504</v>
      </c>
      <c r="H19" s="87">
        <f t="shared" ref="H19:H23" si="3">H18+F19+G19</f>
        <v>-165570.37000000002</v>
      </c>
      <c r="J19" s="94"/>
      <c r="K19" s="94"/>
      <c r="L19" s="95"/>
      <c r="M19" s="96"/>
    </row>
    <row r="20" spans="1:14" s="78" customFormat="1">
      <c r="A20" s="413"/>
      <c r="B20" s="392" t="s">
        <v>79</v>
      </c>
      <c r="C20" s="392"/>
      <c r="D20" s="387"/>
      <c r="E20" s="387">
        <v>-7500</v>
      </c>
      <c r="F20" s="87"/>
      <c r="G20" s="87">
        <v>-7500</v>
      </c>
      <c r="H20" s="87">
        <f t="shared" si="3"/>
        <v>-173070.37000000002</v>
      </c>
      <c r="J20" s="94"/>
      <c r="K20" s="94"/>
      <c r="L20" s="95"/>
      <c r="M20" s="96"/>
    </row>
    <row r="21" spans="1:14" s="78" customFormat="1">
      <c r="A21" s="425">
        <v>45744</v>
      </c>
      <c r="B21" s="392" t="s">
        <v>98</v>
      </c>
      <c r="C21" s="392" t="s">
        <v>101</v>
      </c>
      <c r="D21" s="387" t="s">
        <v>390</v>
      </c>
      <c r="E21" s="387">
        <v>-1380</v>
      </c>
      <c r="F21" s="77"/>
      <c r="G21" s="77"/>
      <c r="H21" s="90">
        <f t="shared" si="3"/>
        <v>-173070.37000000002</v>
      </c>
      <c r="J21" s="94"/>
      <c r="K21" s="94"/>
      <c r="L21" s="95"/>
      <c r="M21" s="96"/>
    </row>
    <row r="22" spans="1:14" s="78" customFormat="1">
      <c r="A22" s="425">
        <v>45776</v>
      </c>
      <c r="B22" s="392" t="s">
        <v>98</v>
      </c>
      <c r="C22" s="392" t="s">
        <v>324</v>
      </c>
      <c r="D22" s="387" t="s">
        <v>390</v>
      </c>
      <c r="E22" s="387">
        <v>-1380</v>
      </c>
      <c r="F22" s="77"/>
      <c r="G22" s="77"/>
      <c r="H22" s="90">
        <f t="shared" si="3"/>
        <v>-173070.37000000002</v>
      </c>
      <c r="J22" s="94"/>
      <c r="K22" s="94"/>
      <c r="L22" s="95"/>
      <c r="M22" s="96"/>
    </row>
    <row r="23" spans="1:14" s="78" customFormat="1">
      <c r="A23" s="413">
        <v>45775</v>
      </c>
      <c r="B23" s="434" t="s">
        <v>80</v>
      </c>
      <c r="C23" s="434"/>
      <c r="D23" s="384"/>
      <c r="E23" s="384">
        <v>-600</v>
      </c>
      <c r="F23" s="77"/>
      <c r="G23" s="77">
        <v>-335</v>
      </c>
      <c r="H23" s="90">
        <f t="shared" si="3"/>
        <v>-173405.37000000002</v>
      </c>
      <c r="J23" s="94"/>
      <c r="K23" s="94"/>
      <c r="L23" s="95"/>
      <c r="M23" s="96"/>
    </row>
    <row r="24" spans="1:14" s="78" customFormat="1">
      <c r="A24" s="413">
        <v>45775</v>
      </c>
      <c r="B24" s="434" t="s">
        <v>81</v>
      </c>
      <c r="C24" s="434"/>
      <c r="D24" s="384"/>
      <c r="E24" s="384">
        <v>-800</v>
      </c>
      <c r="F24" s="77"/>
      <c r="G24" s="77">
        <v>-560</v>
      </c>
      <c r="H24" s="77">
        <f t="shared" ref="H24:H29" si="4">H23+F24+G24</f>
        <v>-173965.37000000002</v>
      </c>
      <c r="J24" s="94"/>
      <c r="K24" s="94"/>
      <c r="L24" s="95"/>
      <c r="M24" s="96"/>
    </row>
    <row r="25" spans="1:14" s="78" customFormat="1">
      <c r="A25" s="413">
        <v>45764</v>
      </c>
      <c r="B25" s="434" t="s">
        <v>455</v>
      </c>
      <c r="C25" s="415"/>
      <c r="D25" s="384"/>
      <c r="E25" s="384"/>
      <c r="F25" s="77"/>
      <c r="G25" s="77">
        <v>-70</v>
      </c>
      <c r="H25" s="77">
        <f t="shared" si="4"/>
        <v>-174035.37000000002</v>
      </c>
    </row>
    <row r="26" spans="1:14" s="78" customFormat="1">
      <c r="A26" s="98"/>
      <c r="D26" s="77"/>
      <c r="E26" s="77"/>
      <c r="F26" s="77"/>
      <c r="G26" s="77"/>
      <c r="H26" s="77">
        <f t="shared" si="4"/>
        <v>-174035.37000000002</v>
      </c>
    </row>
    <row r="27" spans="1:14">
      <c r="B27" s="101" t="s">
        <v>99</v>
      </c>
      <c r="C27" s="101"/>
      <c r="H27" s="77">
        <f t="shared" si="4"/>
        <v>-174035.37000000002</v>
      </c>
      <c r="I27" s="78"/>
      <c r="J27" s="78"/>
    </row>
    <row r="28" spans="1:14">
      <c r="A28" s="413">
        <v>45764</v>
      </c>
      <c r="B28" s="420" t="s">
        <v>1778</v>
      </c>
      <c r="C28" s="420"/>
      <c r="D28" s="384"/>
      <c r="E28" s="384"/>
      <c r="F28" s="384"/>
      <c r="G28" s="384">
        <v>-2500</v>
      </c>
      <c r="H28" s="77">
        <f t="shared" si="4"/>
        <v>-176535.37000000002</v>
      </c>
    </row>
    <row r="29" spans="1:14">
      <c r="A29" s="413">
        <v>45777</v>
      </c>
      <c r="B29" s="420" t="s">
        <v>1808</v>
      </c>
      <c r="C29" s="420"/>
      <c r="D29" s="384"/>
      <c r="E29" s="384"/>
      <c r="G29" s="77">
        <v>-219</v>
      </c>
      <c r="H29" s="77">
        <f t="shared" si="4"/>
        <v>-176754.37000000002</v>
      </c>
    </row>
    <row r="30" spans="1:14" s="78" customFormat="1">
      <c r="A30" s="98"/>
      <c r="B30"/>
      <c r="C30"/>
      <c r="D30" s="77"/>
      <c r="E30" s="77"/>
      <c r="F30" s="77"/>
      <c r="G30" s="77"/>
      <c r="H30" s="77"/>
      <c r="I30"/>
      <c r="J30"/>
    </row>
    <row r="31" spans="1:14" s="77" customFormat="1">
      <c r="A31" s="98"/>
      <c r="B31" s="78"/>
      <c r="C31" s="78"/>
      <c r="I31" s="78"/>
      <c r="J31" s="78"/>
      <c r="K31" s="78"/>
      <c r="L31" s="78"/>
      <c r="M31" s="78"/>
      <c r="N31" s="78"/>
    </row>
    <row r="32" spans="1:14" s="77" customFormat="1">
      <c r="A32" s="430"/>
      <c r="B32" s="102"/>
      <c r="K32" s="78"/>
      <c r="L32" s="78"/>
      <c r="M32" s="78"/>
      <c r="N32" s="78"/>
    </row>
    <row r="33" spans="1:14">
      <c r="A33" s="431"/>
      <c r="B33" s="104" t="s">
        <v>83</v>
      </c>
      <c r="C33" s="103"/>
      <c r="E33" s="77">
        <f>SUM(E35:E45)</f>
        <v>-123984.02000000002</v>
      </c>
      <c r="I33" s="77"/>
      <c r="J33" s="77"/>
    </row>
    <row r="34" spans="1:14" s="77" customFormat="1">
      <c r="A34" s="98"/>
      <c r="B34"/>
      <c r="C34"/>
      <c r="I34"/>
      <c r="J34"/>
      <c r="K34" s="78"/>
      <c r="L34" s="78"/>
      <c r="M34" s="78"/>
      <c r="N34" s="78"/>
    </row>
    <row r="35" spans="1:14" s="90" customFormat="1">
      <c r="A35" s="98">
        <v>45713</v>
      </c>
      <c r="B35" s="11" t="s">
        <v>1714</v>
      </c>
      <c r="C35" s="11" t="s">
        <v>1700</v>
      </c>
      <c r="E35" s="90">
        <v>-291.36</v>
      </c>
      <c r="F35" s="90">
        <v>1</v>
      </c>
      <c r="I35" s="11"/>
      <c r="J35" s="11"/>
      <c r="K35" s="78"/>
      <c r="L35" s="78"/>
      <c r="M35" s="78"/>
      <c r="N35" s="78"/>
    </row>
    <row r="36" spans="1:14" s="90" customFormat="1">
      <c r="A36" s="98"/>
      <c r="B36" s="11"/>
      <c r="C36" s="11"/>
      <c r="I36" s="11"/>
      <c r="J36" s="11"/>
      <c r="K36" s="78"/>
      <c r="L36" s="78"/>
      <c r="M36" s="78"/>
      <c r="N36" s="78"/>
    </row>
    <row r="37" spans="1:14" s="77" customFormat="1">
      <c r="A37" s="98">
        <v>45715</v>
      </c>
      <c r="B37" s="90" t="s">
        <v>1637</v>
      </c>
      <c r="C37" s="90">
        <v>5938.68</v>
      </c>
      <c r="D37" s="90" t="s">
        <v>659</v>
      </c>
      <c r="E37" s="90">
        <v>-989.78</v>
      </c>
      <c r="F37" s="77">
        <v>1</v>
      </c>
      <c r="K37" s="78"/>
      <c r="L37" s="78"/>
      <c r="M37" s="78"/>
      <c r="N37" s="78"/>
    </row>
    <row r="38" spans="1:14" s="77" customFormat="1">
      <c r="A38" s="98">
        <v>45716</v>
      </c>
      <c r="B38" s="77" t="s">
        <v>1672</v>
      </c>
      <c r="E38" s="77">
        <v>-1023.05</v>
      </c>
      <c r="F38" s="77">
        <v>1</v>
      </c>
      <c r="K38" s="78"/>
      <c r="L38" s="78"/>
      <c r="M38" s="78"/>
      <c r="N38" s="78"/>
    </row>
    <row r="39" spans="1:14" s="77" customFormat="1">
      <c r="A39" s="98">
        <v>45716</v>
      </c>
      <c r="B39" s="90" t="s">
        <v>1672</v>
      </c>
      <c r="E39" s="77">
        <v>-118966.5</v>
      </c>
      <c r="F39" s="77">
        <v>1</v>
      </c>
      <c r="K39" s="78"/>
      <c r="L39" s="78"/>
      <c r="M39" s="78"/>
      <c r="N39" s="78"/>
    </row>
    <row r="40" spans="1:14">
      <c r="A40" s="98">
        <v>45716</v>
      </c>
      <c r="B40" s="90" t="s">
        <v>1701</v>
      </c>
      <c r="C40" s="90"/>
      <c r="D40" s="90"/>
      <c r="E40" s="90">
        <v>-1380</v>
      </c>
      <c r="F40" s="90">
        <v>1</v>
      </c>
      <c r="I40" s="77"/>
      <c r="J40" s="77"/>
    </row>
    <row r="41" spans="1:14" s="77" customFormat="1">
      <c r="A41" s="430">
        <v>45723</v>
      </c>
      <c r="B41" s="77" t="s">
        <v>129</v>
      </c>
      <c r="D41" s="77">
        <v>19043.61</v>
      </c>
      <c r="I41"/>
      <c r="J41"/>
      <c r="K41" s="78"/>
      <c r="L41" s="78"/>
      <c r="M41" s="78"/>
      <c r="N41" s="78"/>
    </row>
    <row r="42" spans="1:14" s="77" customFormat="1">
      <c r="A42" s="98">
        <v>45741</v>
      </c>
      <c r="B42" s="106" t="s">
        <v>539</v>
      </c>
      <c r="C42" s="106"/>
      <c r="E42" s="77">
        <v>-1262</v>
      </c>
      <c r="F42" s="77">
        <v>1</v>
      </c>
      <c r="K42" s="78"/>
      <c r="L42" s="78"/>
      <c r="M42" s="78"/>
      <c r="N42" s="78"/>
    </row>
    <row r="43" spans="1:14" s="77" customFormat="1">
      <c r="B43" s="77" t="s">
        <v>544</v>
      </c>
      <c r="E43" s="77">
        <v>-4.7699999999999996</v>
      </c>
      <c r="K43" s="78"/>
      <c r="L43" s="78"/>
      <c r="M43" s="78"/>
      <c r="N43" s="78"/>
    </row>
    <row r="44" spans="1:14" s="77" customFormat="1">
      <c r="A44" s="98"/>
      <c r="B44" s="107" t="s">
        <v>544</v>
      </c>
      <c r="C44" s="106"/>
      <c r="E44" s="77">
        <v>-3.46</v>
      </c>
      <c r="K44" s="78"/>
      <c r="L44" s="78"/>
      <c r="M44" s="78"/>
      <c r="N44" s="78"/>
    </row>
    <row r="45" spans="1:14" s="77" customFormat="1">
      <c r="A45" s="98"/>
      <c r="B45" s="107" t="s">
        <v>1066</v>
      </c>
      <c r="C45" s="106"/>
      <c r="E45" s="77">
        <v>-63.1</v>
      </c>
      <c r="K45" s="78"/>
      <c r="L45" s="78"/>
      <c r="M45" s="78"/>
      <c r="N45" s="78"/>
    </row>
    <row r="46" spans="1:14" s="77" customFormat="1" ht="15">
      <c r="A46" s="98"/>
      <c r="B46" s="107"/>
      <c r="E46" s="105" t="s">
        <v>84</v>
      </c>
      <c r="K46" s="78"/>
      <c r="L46" s="78"/>
      <c r="M46" s="78"/>
      <c r="N46" s="78"/>
    </row>
    <row r="47" spans="1:14" s="77" customFormat="1">
      <c r="A47" s="98"/>
      <c r="B47" s="107"/>
      <c r="C47" s="106"/>
      <c r="K47" s="78"/>
      <c r="L47" s="78"/>
      <c r="M47" s="78"/>
      <c r="N47" s="78"/>
    </row>
    <row r="48" spans="1:14" s="77" customFormat="1">
      <c r="K48" s="78"/>
      <c r="L48" s="78"/>
      <c r="M48" s="78"/>
      <c r="N48" s="78"/>
    </row>
    <row r="49" spans="1:14" s="77" customFormat="1">
      <c r="A49" s="98"/>
      <c r="B49" s="106"/>
      <c r="C49" s="106"/>
      <c r="K49" s="78"/>
      <c r="L49" s="78"/>
      <c r="M49" s="78"/>
      <c r="N49" s="78"/>
    </row>
    <row r="50" spans="1:14" s="77" customFormat="1">
      <c r="A50" s="431"/>
      <c r="B50" s="104" t="s">
        <v>85</v>
      </c>
      <c r="C50" s="103"/>
      <c r="E50" s="77">
        <f>SUM(E51:E74)</f>
        <v>-19953.18</v>
      </c>
      <c r="K50" s="78"/>
      <c r="L50" s="78"/>
      <c r="M50" s="78"/>
      <c r="N50" s="78"/>
    </row>
    <row r="51" spans="1:14" s="77" customFormat="1">
      <c r="A51" s="98"/>
      <c r="B51" s="106"/>
      <c r="C51" s="106"/>
      <c r="K51" s="78"/>
      <c r="L51" s="78"/>
      <c r="M51" s="78"/>
      <c r="N51" s="78"/>
    </row>
    <row r="52" spans="1:14" s="77" customFormat="1">
      <c r="A52" s="98"/>
      <c r="B52" s="106"/>
      <c r="C52" s="106"/>
      <c r="K52" s="78"/>
      <c r="L52" s="78"/>
      <c r="M52" s="78"/>
      <c r="N52" s="78"/>
    </row>
    <row r="53" spans="1:14" s="77" customFormat="1">
      <c r="K53" s="78"/>
      <c r="L53" s="78"/>
      <c r="M53" s="78"/>
      <c r="N53" s="78"/>
    </row>
    <row r="54" spans="1:14" s="77" customFormat="1">
      <c r="A54" s="98">
        <v>45728</v>
      </c>
      <c r="B54" s="90" t="s">
        <v>1687</v>
      </c>
      <c r="C54"/>
      <c r="D54" s="77" t="s">
        <v>1688</v>
      </c>
      <c r="E54" s="77">
        <v>-625</v>
      </c>
      <c r="K54" s="78"/>
      <c r="L54" s="78"/>
      <c r="M54" s="78"/>
      <c r="N54" s="78"/>
    </row>
    <row r="55" spans="1:14" s="77" customFormat="1">
      <c r="A55" s="430">
        <v>45692</v>
      </c>
      <c r="B55" s="90" t="s">
        <v>1662</v>
      </c>
      <c r="C55" s="90"/>
      <c r="D55" s="90" t="s">
        <v>990</v>
      </c>
      <c r="E55" s="90">
        <v>-600.13</v>
      </c>
      <c r="K55" s="78"/>
      <c r="L55" s="78"/>
      <c r="M55" s="78"/>
      <c r="N55" s="78"/>
    </row>
    <row r="56" spans="1:14" s="90" customFormat="1">
      <c r="A56" s="430">
        <v>45692</v>
      </c>
      <c r="B56" s="90" t="s">
        <v>1662</v>
      </c>
      <c r="D56" s="90" t="s">
        <v>990</v>
      </c>
      <c r="E56" s="90">
        <v>-2500.3000000000002</v>
      </c>
      <c r="K56" s="78"/>
      <c r="L56" s="78"/>
      <c r="M56" s="78"/>
      <c r="N56" s="78"/>
    </row>
    <row r="57" spans="1:14" s="90" customFormat="1">
      <c r="A57" s="98"/>
      <c r="B57" s="92"/>
      <c r="C57" s="106"/>
      <c r="K57" s="78"/>
      <c r="L57" s="78"/>
      <c r="M57" s="78"/>
      <c r="N57" s="78"/>
    </row>
    <row r="58" spans="1:14" s="77" customFormat="1">
      <c r="A58" s="98">
        <v>45737</v>
      </c>
      <c r="B58" s="77" t="s">
        <v>1689</v>
      </c>
      <c r="E58" s="77">
        <v>-2350</v>
      </c>
      <c r="K58" s="78"/>
      <c r="L58" s="78"/>
      <c r="M58" s="78"/>
      <c r="N58" s="78"/>
    </row>
    <row r="59" spans="1:14" s="77" customFormat="1">
      <c r="A59" s="98">
        <v>45737</v>
      </c>
      <c r="B59" s="77" t="s">
        <v>1690</v>
      </c>
      <c r="E59" s="77">
        <v>-1800</v>
      </c>
      <c r="K59" s="78"/>
      <c r="L59" s="78"/>
      <c r="M59" s="78"/>
      <c r="N59" s="78"/>
    </row>
    <row r="60" spans="1:14" s="77" customFormat="1">
      <c r="A60" s="98">
        <v>45714</v>
      </c>
      <c r="B60" s="3" t="s">
        <v>1612</v>
      </c>
      <c r="C60" s="106"/>
      <c r="E60" s="77">
        <v>-80</v>
      </c>
      <c r="K60" s="78"/>
      <c r="L60" s="78"/>
      <c r="M60" s="78"/>
      <c r="N60" s="78"/>
    </row>
    <row r="61" spans="1:14" s="77" customFormat="1">
      <c r="A61" s="98">
        <v>45716</v>
      </c>
      <c r="B61" s="3" t="s">
        <v>1691</v>
      </c>
      <c r="C61" s="106"/>
      <c r="E61" s="77">
        <v>-120</v>
      </c>
      <c r="K61" s="78"/>
      <c r="L61" s="78"/>
      <c r="M61" s="78"/>
      <c r="N61" s="78"/>
    </row>
    <row r="62" spans="1:14" s="77" customFormat="1">
      <c r="A62" s="98">
        <v>45716</v>
      </c>
      <c r="B62" s="77" t="s">
        <v>1612</v>
      </c>
      <c r="E62" s="77">
        <v>-360</v>
      </c>
      <c r="K62" s="78"/>
      <c r="L62" s="78"/>
      <c r="M62" s="78"/>
      <c r="N62" s="78"/>
    </row>
    <row r="63" spans="1:14" s="77" customFormat="1">
      <c r="A63" s="430">
        <v>45717</v>
      </c>
      <c r="B63" s="77" t="s">
        <v>1692</v>
      </c>
      <c r="E63" s="77">
        <v>-500</v>
      </c>
      <c r="K63" s="78"/>
      <c r="L63" s="78"/>
      <c r="M63" s="78"/>
      <c r="N63" s="78"/>
    </row>
    <row r="64" spans="1:14" s="77" customFormat="1">
      <c r="A64" s="98">
        <v>45721</v>
      </c>
      <c r="B64" s="3" t="s">
        <v>129</v>
      </c>
      <c r="C64" s="106"/>
      <c r="D64" s="77">
        <v>14628.183000000001</v>
      </c>
      <c r="K64" s="78"/>
      <c r="L64" s="78"/>
      <c r="M64" s="78"/>
      <c r="N64" s="78"/>
    </row>
    <row r="65" spans="1:14" s="77" customFormat="1" ht="13.5" thickBot="1">
      <c r="A65" s="98"/>
      <c r="B65" s="3"/>
      <c r="C65" s="106"/>
      <c r="K65" s="78"/>
      <c r="L65" s="78"/>
      <c r="M65" s="78"/>
      <c r="N65" s="78"/>
    </row>
    <row r="66" spans="1:14" s="77" customFormat="1">
      <c r="A66" s="98">
        <v>45728</v>
      </c>
      <c r="B66" s="3" t="s">
        <v>1693</v>
      </c>
      <c r="C66" s="106"/>
      <c r="D66" s="458">
        <v>1400</v>
      </c>
      <c r="E66" s="77">
        <v>-1400</v>
      </c>
      <c r="K66" s="78"/>
      <c r="L66" s="78"/>
      <c r="M66" s="78"/>
      <c r="N66" s="78"/>
    </row>
    <row r="67" spans="1:14" s="77" customFormat="1">
      <c r="A67" s="98">
        <v>45728</v>
      </c>
      <c r="B67" s="3" t="s">
        <v>1694</v>
      </c>
      <c r="C67" s="106"/>
      <c r="D67" s="459">
        <v>4150</v>
      </c>
      <c r="E67" s="77">
        <v>-4150</v>
      </c>
      <c r="K67" s="78"/>
      <c r="L67" s="78"/>
      <c r="M67" s="78"/>
      <c r="N67" s="78"/>
    </row>
    <row r="68" spans="1:14" s="77" customFormat="1">
      <c r="A68" s="98">
        <v>45733</v>
      </c>
      <c r="B68" s="92" t="s">
        <v>1695</v>
      </c>
      <c r="C68" s="106"/>
      <c r="D68" s="459">
        <v>2500</v>
      </c>
      <c r="E68" s="77">
        <v>-2500</v>
      </c>
      <c r="K68" s="78"/>
      <c r="L68" s="78"/>
      <c r="M68" s="78"/>
      <c r="N68" s="78"/>
    </row>
    <row r="69" spans="1:14" s="77" customFormat="1">
      <c r="A69" s="98">
        <v>45733</v>
      </c>
      <c r="B69" s="3" t="s">
        <v>1696</v>
      </c>
      <c r="C69" s="106"/>
      <c r="D69" s="459">
        <v>1400</v>
      </c>
      <c r="E69" s="77">
        <v>-1400</v>
      </c>
      <c r="K69" s="78"/>
      <c r="L69" s="78"/>
      <c r="M69" s="78"/>
      <c r="N69" s="78"/>
    </row>
    <row r="70" spans="1:14" s="77" customFormat="1">
      <c r="A70" s="98">
        <v>45739</v>
      </c>
      <c r="B70" s="3" t="s">
        <v>1697</v>
      </c>
      <c r="C70" s="106"/>
      <c r="D70" s="459">
        <v>1200</v>
      </c>
      <c r="E70" s="77">
        <v>-1000</v>
      </c>
      <c r="K70" s="78"/>
      <c r="L70" s="78"/>
      <c r="M70" s="78"/>
      <c r="N70" s="78"/>
    </row>
    <row r="71" spans="1:14" s="77" customFormat="1">
      <c r="A71" s="98">
        <v>45739</v>
      </c>
      <c r="B71" s="3" t="s">
        <v>1698</v>
      </c>
      <c r="C71" s="106"/>
      <c r="D71" s="459"/>
      <c r="E71" s="77">
        <v>-550</v>
      </c>
      <c r="K71" s="78"/>
      <c r="L71" s="78"/>
      <c r="M71" s="78"/>
      <c r="N71" s="78"/>
    </row>
    <row r="72" spans="1:14" s="77" customFormat="1">
      <c r="A72" s="98"/>
      <c r="B72" s="3" t="s">
        <v>1699</v>
      </c>
      <c r="D72" s="459"/>
      <c r="E72" s="77">
        <v>-17.75</v>
      </c>
      <c r="K72" s="78"/>
      <c r="L72" s="78"/>
      <c r="M72" s="78"/>
      <c r="N72" s="78"/>
    </row>
    <row r="73" spans="1:14" ht="15">
      <c r="B73" s="3"/>
      <c r="C73" s="106"/>
      <c r="D73" s="459"/>
      <c r="E73" s="105" t="s">
        <v>84</v>
      </c>
      <c r="I73" s="77"/>
      <c r="J73" s="77"/>
    </row>
    <row r="74" spans="1:14" ht="13.5" thickBot="1">
      <c r="D74" s="459"/>
    </row>
    <row r="75" spans="1:14" ht="13.5" thickBot="1">
      <c r="B75" s="462" t="s">
        <v>1707</v>
      </c>
      <c r="C75" s="151"/>
      <c r="D75" s="117">
        <f>SUM(D66:D74)</f>
        <v>10650</v>
      </c>
    </row>
    <row r="76" spans="1:14">
      <c r="A76" s="457">
        <v>45740</v>
      </c>
      <c r="B76" s="407" t="s">
        <v>1708</v>
      </c>
      <c r="C76" s="407"/>
      <c r="D76" s="464">
        <v>8500</v>
      </c>
      <c r="E76" s="405"/>
      <c r="F76" s="405"/>
    </row>
    <row r="77" spans="1:14">
      <c r="A77" s="457">
        <v>45740</v>
      </c>
      <c r="B77" s="407" t="s">
        <v>1709</v>
      </c>
      <c r="C77" s="407"/>
      <c r="D77" s="465">
        <v>90000</v>
      </c>
      <c r="E77" s="405"/>
      <c r="F77" s="405"/>
    </row>
    <row r="78" spans="1:14">
      <c r="A78" s="457">
        <v>45728</v>
      </c>
      <c r="B78" s="407" t="s">
        <v>1710</v>
      </c>
      <c r="C78" s="407"/>
      <c r="D78" s="465">
        <v>1500</v>
      </c>
      <c r="E78" s="405"/>
      <c r="F78" s="405"/>
    </row>
    <row r="79" spans="1:14">
      <c r="B79" s="466" t="s">
        <v>1715</v>
      </c>
      <c r="D79" s="459">
        <v>3750</v>
      </c>
    </row>
    <row r="80" spans="1:14">
      <c r="A80" s="98">
        <v>45743</v>
      </c>
      <c r="B80" s="471" t="s">
        <v>1723</v>
      </c>
      <c r="C80" s="468"/>
      <c r="D80" s="470">
        <v>1600</v>
      </c>
    </row>
    <row r="81" spans="1:14">
      <c r="B81" s="467" t="s">
        <v>1712</v>
      </c>
      <c r="C81" s="468"/>
      <c r="D81" s="469">
        <v>25000</v>
      </c>
    </row>
    <row r="82" spans="1:14" s="11" customFormat="1">
      <c r="A82" s="98">
        <v>45761</v>
      </c>
      <c r="B82" s="494" t="s">
        <v>1754</v>
      </c>
      <c r="C82" s="495"/>
      <c r="D82" s="496">
        <v>4500</v>
      </c>
      <c r="E82" s="90"/>
      <c r="F82" s="90"/>
      <c r="G82" s="90"/>
      <c r="H82" s="90"/>
      <c r="K82" s="78"/>
      <c r="L82" s="78"/>
      <c r="M82" s="78"/>
      <c r="N82" s="78"/>
    </row>
    <row r="83" spans="1:14" s="11" customFormat="1">
      <c r="A83" s="98">
        <v>45772</v>
      </c>
      <c r="B83" s="467" t="s">
        <v>1777</v>
      </c>
      <c r="C83" s="468"/>
      <c r="D83" s="469">
        <v>700</v>
      </c>
      <c r="E83" s="90"/>
      <c r="F83" s="90"/>
      <c r="G83" s="90"/>
      <c r="H83" s="90"/>
      <c r="K83" s="78"/>
      <c r="L83" s="78"/>
      <c r="M83" s="78"/>
      <c r="N83" s="78"/>
    </row>
    <row r="84" spans="1:14">
      <c r="A84" s="98">
        <v>45772</v>
      </c>
      <c r="B84" t="s">
        <v>1791</v>
      </c>
      <c r="D84" s="459">
        <v>700</v>
      </c>
    </row>
    <row r="85" spans="1:14" s="11" customFormat="1">
      <c r="A85" s="98">
        <v>45772</v>
      </c>
      <c r="B85" s="11" t="s">
        <v>1792</v>
      </c>
      <c r="D85" s="459">
        <v>1200</v>
      </c>
      <c r="E85" s="90"/>
      <c r="F85" s="90"/>
      <c r="G85" s="90"/>
      <c r="H85" s="90"/>
      <c r="K85" s="78"/>
      <c r="L85" s="78"/>
      <c r="M85" s="78"/>
      <c r="N85" s="78"/>
    </row>
    <row r="86" spans="1:14" s="11" customFormat="1">
      <c r="A86" s="98"/>
      <c r="B86" s="11" t="s">
        <v>1793</v>
      </c>
      <c r="D86" s="459"/>
      <c r="E86" s="90"/>
      <c r="F86" s="90"/>
      <c r="G86" s="90"/>
      <c r="H86" s="90"/>
      <c r="K86" s="78"/>
      <c r="L86" s="78"/>
      <c r="M86" s="78"/>
      <c r="N86" s="78"/>
    </row>
    <row r="87" spans="1:14" s="11" customFormat="1">
      <c r="A87" s="98"/>
      <c r="B87" s="11" t="s">
        <v>1794</v>
      </c>
      <c r="D87" s="459"/>
      <c r="E87" s="90"/>
      <c r="F87" s="90"/>
      <c r="G87" s="90"/>
      <c r="H87" s="90"/>
      <c r="K87" s="78"/>
      <c r="L87" s="78"/>
      <c r="M87" s="78"/>
      <c r="N87" s="78"/>
    </row>
    <row r="88" spans="1:14" s="11" customFormat="1">
      <c r="A88" s="98"/>
      <c r="B88" s="11" t="s">
        <v>1795</v>
      </c>
      <c r="D88" s="459"/>
      <c r="E88" s="90"/>
      <c r="F88" s="90"/>
      <c r="G88" s="90"/>
      <c r="H88" s="90"/>
      <c r="K88" s="78"/>
      <c r="L88" s="78"/>
      <c r="M88" s="78"/>
      <c r="N88" s="78"/>
    </row>
    <row r="89" spans="1:14" s="11" customFormat="1">
      <c r="A89" s="98"/>
      <c r="B89" s="11" t="s">
        <v>1796</v>
      </c>
      <c r="D89" s="459"/>
      <c r="E89" s="90"/>
      <c r="F89" s="90"/>
      <c r="G89" s="90"/>
      <c r="H89" s="90"/>
      <c r="K89" s="78"/>
      <c r="L89" s="78"/>
      <c r="M89" s="78"/>
      <c r="N89" s="78"/>
    </row>
    <row r="90" spans="1:14" s="11" customFormat="1">
      <c r="A90" s="98"/>
      <c r="B90" s="11" t="s">
        <v>1797</v>
      </c>
      <c r="D90" s="459"/>
      <c r="E90" s="90"/>
      <c r="F90" s="90"/>
      <c r="G90" s="90"/>
      <c r="H90" s="90"/>
      <c r="K90" s="78"/>
      <c r="L90" s="78"/>
      <c r="M90" s="78"/>
      <c r="N90" s="78"/>
    </row>
    <row r="91" spans="1:14" ht="13.5" thickBot="1">
      <c r="D91" s="460"/>
    </row>
    <row r="92" spans="1:14" ht="13.5" thickBot="1">
      <c r="B92" s="462" t="s">
        <v>1711</v>
      </c>
      <c r="C92" s="463"/>
      <c r="D92" s="461">
        <f>SUM(D75:D91)</f>
        <v>148100</v>
      </c>
    </row>
    <row r="106" spans="1:23">
      <c r="A106" s="113" t="s">
        <v>1729</v>
      </c>
      <c r="B106" s="104" t="s">
        <v>136</v>
      </c>
      <c r="C106" s="103">
        <v>2025</v>
      </c>
      <c r="D106" s="90"/>
      <c r="E106" s="90"/>
      <c r="F106" s="90"/>
      <c r="G106" s="90">
        <f>SUM(G110:G135)</f>
        <v>798246.41619999986</v>
      </c>
      <c r="H106" s="90"/>
      <c r="I106" s="90"/>
      <c r="J106" s="11"/>
      <c r="O106" s="11"/>
      <c r="P106" s="11"/>
      <c r="Q106" s="11"/>
      <c r="R106" s="11"/>
      <c r="S106" s="11"/>
      <c r="T106" s="11"/>
      <c r="U106" s="11"/>
      <c r="V106" s="11"/>
      <c r="W106" s="11"/>
    </row>
    <row r="107" spans="1:23">
      <c r="A107" s="113"/>
      <c r="B107" s="104"/>
      <c r="C107" s="103"/>
      <c r="D107" s="90"/>
      <c r="E107" s="90"/>
      <c r="F107" s="90"/>
      <c r="G107" s="90"/>
      <c r="H107" s="90"/>
      <c r="I107" s="90"/>
      <c r="J107" s="11"/>
      <c r="O107" s="11"/>
      <c r="P107" s="11"/>
      <c r="Q107" s="11"/>
      <c r="R107" s="11"/>
      <c r="S107" s="11"/>
      <c r="T107" s="11"/>
      <c r="U107" s="11"/>
      <c r="V107" s="11"/>
      <c r="W107" s="11"/>
    </row>
    <row r="108" spans="1:23">
      <c r="A108" s="113"/>
      <c r="B108" s="104"/>
      <c r="C108" s="103"/>
      <c r="D108" s="90"/>
      <c r="E108" s="90" t="s">
        <v>137</v>
      </c>
      <c r="F108" s="90"/>
      <c r="G108" s="90"/>
      <c r="H108" s="90"/>
      <c r="I108" s="90"/>
      <c r="J108" s="11"/>
      <c r="O108" s="11"/>
      <c r="P108" s="11"/>
      <c r="Q108" s="11"/>
      <c r="R108" s="11"/>
      <c r="S108" s="11"/>
      <c r="T108" s="11"/>
      <c r="U108" s="11"/>
      <c r="V108" s="11"/>
      <c r="W108" s="11"/>
    </row>
    <row r="109" spans="1:23">
      <c r="A109" s="100"/>
      <c r="B109" s="90" t="s">
        <v>77</v>
      </c>
      <c r="C109" s="90"/>
      <c r="D109" s="90"/>
      <c r="E109" s="90"/>
      <c r="F109" s="90"/>
      <c r="G109" s="90">
        <v>0</v>
      </c>
      <c r="H109" s="90"/>
      <c r="I109" s="90"/>
      <c r="J109" s="11"/>
      <c r="O109" s="11"/>
      <c r="P109" s="11"/>
      <c r="Q109" s="11"/>
      <c r="R109" s="11"/>
      <c r="S109" s="11"/>
      <c r="T109" s="11"/>
      <c r="U109" s="11"/>
      <c r="V109" s="11"/>
      <c r="W109" s="11"/>
    </row>
    <row r="110" spans="1:23">
      <c r="A110" s="100"/>
      <c r="B110" s="90" t="s">
        <v>78</v>
      </c>
      <c r="C110" s="90"/>
      <c r="D110" s="90"/>
      <c r="E110" s="90"/>
      <c r="F110" s="90"/>
      <c r="G110" s="90">
        <v>0</v>
      </c>
      <c r="H110" s="90"/>
      <c r="I110" s="90"/>
      <c r="J110" s="11"/>
      <c r="O110" s="11"/>
      <c r="P110" s="11"/>
      <c r="Q110" s="11"/>
      <c r="R110" s="11"/>
      <c r="S110" s="11"/>
      <c r="T110" s="11"/>
      <c r="U110" s="11"/>
      <c r="V110" s="11"/>
      <c r="W110" s="11"/>
    </row>
    <row r="111" spans="1:23">
      <c r="A111" s="100">
        <v>45777</v>
      </c>
      <c r="B111" s="90" t="s">
        <v>1739</v>
      </c>
      <c r="C111" s="90"/>
      <c r="D111" s="90"/>
      <c r="E111" s="90">
        <v>159330</v>
      </c>
      <c r="F111" s="90">
        <v>-36500</v>
      </c>
      <c r="G111" s="90">
        <f>E111+F111</f>
        <v>122830</v>
      </c>
      <c r="H111" s="90"/>
      <c r="I111" s="90"/>
      <c r="J111" s="11"/>
      <c r="O111" s="11"/>
      <c r="P111" s="11"/>
      <c r="Q111" s="11"/>
      <c r="R111" s="11"/>
      <c r="S111" s="11"/>
      <c r="T111" s="11"/>
      <c r="U111" s="11"/>
      <c r="V111" s="11"/>
      <c r="W111" s="11"/>
    </row>
    <row r="112" spans="1:23" s="11" customFormat="1">
      <c r="A112" s="100"/>
      <c r="B112" s="90" t="s">
        <v>1740</v>
      </c>
      <c r="C112" s="90"/>
      <c r="D112" s="90"/>
      <c r="E112" s="90"/>
      <c r="F112" s="90"/>
      <c r="G112" s="90">
        <f>D92</f>
        <v>148100</v>
      </c>
      <c r="H112" s="90"/>
      <c r="I112" s="90"/>
      <c r="K112" s="78"/>
      <c r="L112" s="78"/>
      <c r="M112" s="78"/>
      <c r="N112" s="78"/>
    </row>
    <row r="113" spans="1:23">
      <c r="A113" s="100">
        <v>45749</v>
      </c>
      <c r="B113" s="90" t="s">
        <v>139</v>
      </c>
      <c r="C113" s="12"/>
      <c r="D113" s="12"/>
      <c r="E113" s="90"/>
      <c r="F113" s="90"/>
      <c r="G113" s="17">
        <v>6171</v>
      </c>
      <c r="H113" s="90"/>
      <c r="I113" s="90"/>
      <c r="J113" s="11"/>
      <c r="O113" s="11"/>
      <c r="P113" s="11"/>
      <c r="Q113" s="11"/>
      <c r="R113" s="11"/>
      <c r="S113" s="11"/>
      <c r="T113" s="11"/>
      <c r="U113" s="11"/>
      <c r="V113" s="11"/>
      <c r="W113" s="11"/>
    </row>
    <row r="114" spans="1:23">
      <c r="A114" s="100">
        <v>45749</v>
      </c>
      <c r="B114" s="90" t="s">
        <v>140</v>
      </c>
      <c r="C114" s="12"/>
      <c r="D114" s="12"/>
      <c r="E114" s="90"/>
      <c r="F114" s="90"/>
      <c r="G114" s="17">
        <v>300</v>
      </c>
      <c r="H114" s="90"/>
      <c r="I114" s="90"/>
      <c r="J114" s="11"/>
      <c r="O114" s="11"/>
      <c r="P114" s="11"/>
      <c r="Q114" s="11"/>
      <c r="R114" s="11"/>
      <c r="S114" s="11"/>
      <c r="T114" s="11"/>
      <c r="U114" s="11"/>
      <c r="V114" s="11"/>
      <c r="W114" s="11"/>
    </row>
    <row r="115" spans="1:23">
      <c r="A115" s="100"/>
      <c r="B115" s="90"/>
      <c r="C115" s="12"/>
      <c r="D115" s="12"/>
      <c r="E115" s="90"/>
      <c r="F115" s="90"/>
      <c r="G115" s="17"/>
      <c r="H115" s="90"/>
      <c r="I115" s="90" t="s">
        <v>1686</v>
      </c>
      <c r="J115" s="11"/>
      <c r="O115" s="11"/>
      <c r="P115" s="11"/>
      <c r="Q115" s="11"/>
      <c r="R115" s="11"/>
      <c r="S115" s="11"/>
      <c r="T115" s="11"/>
      <c r="U115" s="11"/>
      <c r="V115" s="11"/>
      <c r="W115" s="11"/>
    </row>
    <row r="116" spans="1:23" s="11" customFormat="1">
      <c r="A116" s="100">
        <v>45620</v>
      </c>
      <c r="B116" s="82" t="s">
        <v>1604</v>
      </c>
      <c r="C116" s="114"/>
      <c r="D116" s="114">
        <v>32.549999999999997</v>
      </c>
      <c r="E116" s="116">
        <f t="shared" ref="E116" si="5">D116*C116</f>
        <v>0</v>
      </c>
      <c r="F116" s="90">
        <v>45.3</v>
      </c>
      <c r="G116" s="17">
        <f t="shared" ref="G116" si="6">F116*C116</f>
        <v>0</v>
      </c>
      <c r="H116" s="90"/>
      <c r="I116" s="90">
        <f t="shared" ref="I116" si="7">G116-E116</f>
        <v>0</v>
      </c>
      <c r="K116" s="78"/>
      <c r="L116" s="78"/>
      <c r="M116" s="78"/>
      <c r="N116" s="78"/>
    </row>
    <row r="117" spans="1:23">
      <c r="A117" s="100">
        <v>45620</v>
      </c>
      <c r="B117" s="82" t="s">
        <v>1604</v>
      </c>
      <c r="C117" s="114">
        <v>1000</v>
      </c>
      <c r="D117" s="114">
        <v>32.549999999999997</v>
      </c>
      <c r="E117" s="116">
        <f t="shared" ref="E117:E118" si="8">D117*C117</f>
        <v>32549.999999999996</v>
      </c>
      <c r="F117" s="90">
        <f>F116</f>
        <v>45.3</v>
      </c>
      <c r="G117" s="17">
        <f>F117*C117</f>
        <v>45300</v>
      </c>
      <c r="H117" s="90"/>
      <c r="I117" s="90">
        <f>G117-E117</f>
        <v>12750.000000000004</v>
      </c>
      <c r="J117" s="11"/>
      <c r="O117" s="11"/>
      <c r="P117" s="11"/>
      <c r="Q117" s="11"/>
      <c r="R117" s="11"/>
      <c r="S117" s="11"/>
      <c r="T117" s="11"/>
      <c r="U117" s="11"/>
      <c r="V117" s="11"/>
      <c r="W117" s="11"/>
    </row>
    <row r="118" spans="1:23">
      <c r="A118" s="100">
        <v>45659</v>
      </c>
      <c r="B118" s="82" t="s">
        <v>1603</v>
      </c>
      <c r="C118" s="114">
        <v>4000</v>
      </c>
      <c r="D118" s="115">
        <v>30.86</v>
      </c>
      <c r="E118" s="116">
        <f t="shared" si="8"/>
        <v>123440</v>
      </c>
      <c r="F118" s="90">
        <f>F117</f>
        <v>45.3</v>
      </c>
      <c r="G118" s="17">
        <f t="shared" ref="G118" si="9">F118*C118</f>
        <v>181200</v>
      </c>
      <c r="H118" s="419">
        <f>SUM(G117:G118)</f>
        <v>226500</v>
      </c>
      <c r="I118" s="90">
        <f t="shared" ref="I118" si="10">G118-E118</f>
        <v>57760</v>
      </c>
      <c r="J118" s="11"/>
      <c r="O118" s="11"/>
      <c r="P118" s="11"/>
      <c r="Q118" s="11"/>
      <c r="R118" s="11"/>
      <c r="S118" s="11"/>
      <c r="T118" s="11"/>
      <c r="U118" s="11"/>
      <c r="V118" s="11"/>
      <c r="W118" s="11"/>
    </row>
    <row r="119" spans="1:23" s="11" customFormat="1" ht="13.5" thickBot="1">
      <c r="A119" s="100">
        <v>45772</v>
      </c>
      <c r="B119" s="82" t="s">
        <v>236</v>
      </c>
      <c r="C119" s="114">
        <v>40</v>
      </c>
      <c r="D119" s="115">
        <v>983.06700000000001</v>
      </c>
      <c r="E119" s="116">
        <f t="shared" ref="E119" si="11">D119*C119</f>
        <v>39322.68</v>
      </c>
      <c r="F119" s="90">
        <v>988.94078000000002</v>
      </c>
      <c r="G119" s="17">
        <f t="shared" ref="G119" si="12">F119*C119</f>
        <v>39557.631200000003</v>
      </c>
      <c r="H119" s="419"/>
      <c r="I119" s="90">
        <f t="shared" ref="I119" si="13">G119-E119</f>
        <v>234.95120000000315</v>
      </c>
      <c r="K119" s="78"/>
      <c r="L119" s="78"/>
      <c r="M119" s="78"/>
      <c r="N119" s="78"/>
    </row>
    <row r="120" spans="1:23" ht="13.5" thickBot="1">
      <c r="A120" s="100"/>
      <c r="B120" s="90"/>
      <c r="C120" s="12"/>
      <c r="D120" s="12"/>
      <c r="E120" s="90">
        <f>SUM(E116:E118)</f>
        <v>155990</v>
      </c>
      <c r="F120" s="90"/>
      <c r="G120" s="90"/>
      <c r="H120" s="117">
        <f>(SUM(G116:G118))-(SUM(E116:E118))</f>
        <v>70510</v>
      </c>
      <c r="I120" s="117">
        <f>SUM(I116:I118)</f>
        <v>70510</v>
      </c>
      <c r="J120" s="11"/>
      <c r="O120" s="11"/>
      <c r="P120" s="11"/>
      <c r="Q120" s="11"/>
      <c r="R120" s="11"/>
      <c r="S120" s="11"/>
      <c r="T120" s="11"/>
      <c r="U120" s="11"/>
      <c r="V120" s="11"/>
      <c r="W120" s="11"/>
    </row>
    <row r="121" spans="1:23">
      <c r="A121" s="100"/>
      <c r="B121" s="90"/>
      <c r="C121" s="12"/>
      <c r="D121" s="12"/>
      <c r="E121" s="90"/>
      <c r="F121" s="90"/>
      <c r="G121" s="90"/>
      <c r="H121" s="90"/>
      <c r="I121" s="90"/>
      <c r="J121" s="11"/>
      <c r="O121" s="11"/>
      <c r="P121" s="11"/>
      <c r="Q121" s="11"/>
      <c r="R121" s="11"/>
      <c r="S121" s="11"/>
      <c r="T121" s="11"/>
      <c r="U121" s="11"/>
      <c r="V121" s="11"/>
      <c r="W121" s="11"/>
    </row>
    <row r="122" spans="1:23">
      <c r="A122" s="100">
        <v>45345</v>
      </c>
      <c r="B122" s="82" t="s">
        <v>143</v>
      </c>
      <c r="C122" s="118">
        <v>125000</v>
      </c>
      <c r="D122" s="83">
        <v>1.0399430000000001</v>
      </c>
      <c r="E122" s="116">
        <f>D122*C122</f>
        <v>129992.87500000001</v>
      </c>
      <c r="F122" s="404">
        <v>0.90134499999999995</v>
      </c>
      <c r="G122" s="17">
        <f>F122*C122</f>
        <v>112668.125</v>
      </c>
      <c r="H122" s="90"/>
      <c r="I122" s="90">
        <f t="shared" ref="I122:I125" si="14">G122-E122</f>
        <v>-17324.750000000015</v>
      </c>
      <c r="J122" s="11"/>
      <c r="O122" s="11"/>
      <c r="P122" s="11"/>
      <c r="Q122" s="11"/>
      <c r="R122" s="11"/>
      <c r="S122" s="11"/>
      <c r="T122" s="11"/>
      <c r="U122" s="11"/>
      <c r="V122" s="11"/>
      <c r="W122" s="11"/>
    </row>
    <row r="123" spans="1:23">
      <c r="A123" s="100">
        <v>45400</v>
      </c>
      <c r="B123" s="82" t="s">
        <v>144</v>
      </c>
      <c r="C123" s="114">
        <v>10</v>
      </c>
      <c r="D123" s="83">
        <v>135</v>
      </c>
      <c r="E123" s="116">
        <f>D123*C123</f>
        <v>1350</v>
      </c>
      <c r="F123" s="90">
        <v>109.4</v>
      </c>
      <c r="G123" s="17">
        <f>F123*C123</f>
        <v>1094</v>
      </c>
      <c r="H123" s="90"/>
      <c r="I123" s="90">
        <f t="shared" si="14"/>
        <v>-256</v>
      </c>
      <c r="J123" s="11"/>
      <c r="O123" s="11"/>
      <c r="P123" s="11"/>
      <c r="Q123" s="11"/>
      <c r="R123" s="11"/>
      <c r="S123" s="11"/>
      <c r="T123" s="11"/>
      <c r="U123" s="11"/>
      <c r="V123" s="11"/>
      <c r="W123" s="11"/>
    </row>
    <row r="124" spans="1:23">
      <c r="A124" s="100">
        <v>45418</v>
      </c>
      <c r="B124" s="82" t="s">
        <v>145</v>
      </c>
      <c r="C124" s="114">
        <v>38</v>
      </c>
      <c r="D124" s="83">
        <v>30.5</v>
      </c>
      <c r="E124" s="116">
        <f>D124*C124</f>
        <v>1159</v>
      </c>
      <c r="F124" s="90">
        <v>15.67</v>
      </c>
      <c r="G124" s="17">
        <f>F124*C124</f>
        <v>595.46</v>
      </c>
      <c r="H124" s="90"/>
      <c r="I124" s="90">
        <f t="shared" si="14"/>
        <v>-563.54</v>
      </c>
      <c r="J124" s="11"/>
      <c r="O124" s="11"/>
      <c r="P124" s="11"/>
      <c r="Q124" s="11"/>
      <c r="R124" s="11"/>
      <c r="S124" s="11"/>
      <c r="T124" s="11"/>
      <c r="U124" s="11"/>
      <c r="V124" s="11"/>
      <c r="W124" s="11"/>
    </row>
    <row r="125" spans="1:23" ht="13.5" thickBot="1">
      <c r="A125" s="100">
        <v>45418</v>
      </c>
      <c r="B125" s="82" t="s">
        <v>146</v>
      </c>
      <c r="C125" s="114">
        <v>26</v>
      </c>
      <c r="D125" s="83">
        <v>37.115000000000002</v>
      </c>
      <c r="E125" s="116">
        <f>D125*C125</f>
        <v>964.99</v>
      </c>
      <c r="F125" s="90">
        <v>22.7</v>
      </c>
      <c r="G125" s="17">
        <f>F125*C125</f>
        <v>590.19999999999993</v>
      </c>
      <c r="H125" s="419">
        <f>SUM(G122:G125)</f>
        <v>114947.785</v>
      </c>
      <c r="I125" s="90">
        <f t="shared" si="14"/>
        <v>-374.79000000000008</v>
      </c>
      <c r="J125" s="11"/>
      <c r="O125" s="11"/>
      <c r="P125" s="11"/>
      <c r="Q125" s="11"/>
      <c r="R125" s="11"/>
      <c r="S125" s="11"/>
      <c r="T125" s="11"/>
      <c r="U125" s="11"/>
      <c r="V125" s="11"/>
      <c r="W125" s="11"/>
    </row>
    <row r="126" spans="1:23" ht="13.5" thickBot="1">
      <c r="A126" s="100"/>
      <c r="B126" s="90"/>
      <c r="C126" s="12"/>
      <c r="D126" s="12"/>
      <c r="E126" s="90">
        <f>SUM(E122:E125)</f>
        <v>133466.86499999999</v>
      </c>
      <c r="F126" s="90"/>
      <c r="G126" s="90"/>
      <c r="H126" s="117">
        <f>(SUM(G122:G125))-(SUM(E122:E125))</f>
        <v>-18519.079999999987</v>
      </c>
      <c r="I126" s="90"/>
      <c r="J126" s="11"/>
      <c r="O126" s="11"/>
      <c r="P126" s="11"/>
      <c r="Q126" s="11"/>
      <c r="R126" s="11"/>
      <c r="S126" s="11"/>
      <c r="T126" s="11"/>
      <c r="U126" s="11"/>
      <c r="V126" s="11"/>
      <c r="W126" s="11"/>
    </row>
    <row r="127" spans="1:23">
      <c r="A127" s="100"/>
      <c r="B127" s="90"/>
      <c r="C127" s="90"/>
      <c r="D127" s="90"/>
      <c r="E127" s="17"/>
      <c r="F127" s="90"/>
      <c r="G127" s="90"/>
      <c r="H127" s="90"/>
      <c r="I127" s="90"/>
      <c r="J127" s="11"/>
      <c r="O127" s="11"/>
      <c r="P127" s="11"/>
      <c r="Q127" s="11"/>
      <c r="R127" s="11"/>
      <c r="S127" s="11"/>
      <c r="T127" s="11"/>
      <c r="U127" s="11"/>
      <c r="V127" s="11"/>
      <c r="W127" s="11"/>
    </row>
    <row r="128" spans="1:23">
      <c r="A128" s="100">
        <v>45509</v>
      </c>
      <c r="B128" s="82" t="s">
        <v>1732</v>
      </c>
      <c r="C128" s="114">
        <v>1</v>
      </c>
      <c r="D128" s="83">
        <v>2500</v>
      </c>
      <c r="E128" s="116">
        <f>D128*C128</f>
        <v>2500</v>
      </c>
      <c r="F128" s="90">
        <v>3900</v>
      </c>
      <c r="G128" s="17">
        <f>C128*F128</f>
        <v>3900</v>
      </c>
      <c r="H128" s="90"/>
      <c r="I128" s="90">
        <f t="shared" ref="I128:I130" si="15">G128-E128</f>
        <v>1400</v>
      </c>
      <c r="J128" s="11"/>
      <c r="O128" s="11"/>
      <c r="P128" s="11"/>
      <c r="Q128" s="11"/>
      <c r="R128" s="11"/>
      <c r="S128" s="11"/>
      <c r="T128" s="11"/>
      <c r="U128" s="11"/>
      <c r="V128" s="11"/>
      <c r="W128" s="11"/>
    </row>
    <row r="129" spans="1:23">
      <c r="A129" s="100">
        <v>45509</v>
      </c>
      <c r="B129" s="82" t="s">
        <v>148</v>
      </c>
      <c r="C129" s="114">
        <v>16</v>
      </c>
      <c r="D129" s="83">
        <v>4100</v>
      </c>
      <c r="E129" s="116">
        <f>D129*C129</f>
        <v>65600</v>
      </c>
      <c r="F129" s="90">
        <f>F128*1.73</f>
        <v>6747</v>
      </c>
      <c r="G129" s="17">
        <f>C129*F129</f>
        <v>107952</v>
      </c>
      <c r="H129" s="90"/>
      <c r="I129" s="90">
        <f t="shared" si="15"/>
        <v>42352</v>
      </c>
      <c r="J129" s="11"/>
      <c r="O129" s="11"/>
      <c r="P129" s="11"/>
      <c r="Q129" s="11"/>
      <c r="R129" s="11"/>
      <c r="S129" s="11"/>
      <c r="T129" s="11"/>
      <c r="U129" s="11"/>
      <c r="V129" s="11"/>
      <c r="W129" s="11"/>
    </row>
    <row r="130" spans="1:23" ht="13.5" thickBot="1">
      <c r="A130" s="100">
        <v>45509</v>
      </c>
      <c r="B130" s="82" t="s">
        <v>149</v>
      </c>
      <c r="C130" s="114">
        <v>1</v>
      </c>
      <c r="D130" s="83">
        <v>16200</v>
      </c>
      <c r="E130" s="116">
        <f>D130*C130</f>
        <v>16200</v>
      </c>
      <c r="F130" s="90">
        <f>F129*4</f>
        <v>26988</v>
      </c>
      <c r="G130" s="17">
        <f>C130*F130</f>
        <v>26988</v>
      </c>
      <c r="H130" s="419">
        <f>SUM(G128:G130)</f>
        <v>138840</v>
      </c>
      <c r="I130" s="90">
        <f t="shared" si="15"/>
        <v>10788</v>
      </c>
      <c r="J130" s="11"/>
      <c r="O130" s="11"/>
      <c r="P130" s="11"/>
      <c r="Q130" s="11"/>
      <c r="R130" s="11"/>
      <c r="S130" s="11"/>
      <c r="T130" s="11"/>
      <c r="U130" s="11"/>
      <c r="V130" s="11"/>
      <c r="W130" s="11"/>
    </row>
    <row r="131" spans="1:23" ht="13.5" thickBot="1">
      <c r="A131" s="100"/>
      <c r="B131" s="90"/>
      <c r="C131" s="12"/>
      <c r="D131" s="12"/>
      <c r="E131" s="90">
        <f>SUM(E128:E130)</f>
        <v>84300</v>
      </c>
      <c r="F131" s="90"/>
      <c r="G131" s="90"/>
      <c r="H131" s="117">
        <f>(SUM(G128:G130))-(SUM(E128:E130))</f>
        <v>54540</v>
      </c>
      <c r="I131" s="90"/>
      <c r="J131" s="11"/>
      <c r="O131" s="11"/>
      <c r="P131" s="11"/>
      <c r="Q131" s="11"/>
      <c r="R131" s="11"/>
      <c r="S131" s="11"/>
      <c r="T131" s="11"/>
      <c r="U131" s="11"/>
      <c r="V131" s="11"/>
      <c r="W131" s="11"/>
    </row>
    <row r="132" spans="1:23">
      <c r="A132" s="100"/>
      <c r="B132" s="90" t="s">
        <v>150</v>
      </c>
      <c r="C132" s="120">
        <v>33.250599999999999</v>
      </c>
      <c r="D132" s="12"/>
      <c r="E132" s="90"/>
      <c r="F132" s="90"/>
      <c r="G132" s="17"/>
      <c r="H132" s="90"/>
      <c r="I132" s="90"/>
      <c r="J132" s="11"/>
      <c r="O132" s="11"/>
      <c r="P132" s="11"/>
      <c r="Q132" s="11"/>
      <c r="R132" s="11"/>
      <c r="S132" s="11"/>
      <c r="T132" s="11"/>
      <c r="U132" s="11"/>
      <c r="V132" s="11"/>
      <c r="W132" s="11"/>
    </row>
    <row r="133" spans="1:23">
      <c r="A133" s="100"/>
      <c r="B133" s="90" t="s">
        <v>151</v>
      </c>
      <c r="C133" s="120">
        <v>36.854999999999997</v>
      </c>
      <c r="D133" s="12"/>
      <c r="E133" s="90"/>
      <c r="F133" s="90"/>
      <c r="G133" s="17"/>
      <c r="H133" s="90"/>
      <c r="I133" s="90"/>
      <c r="J133" s="11"/>
      <c r="O133" s="11"/>
      <c r="P133" s="11"/>
      <c r="Q133" s="11"/>
      <c r="R133" s="11"/>
      <c r="S133" s="11"/>
      <c r="T133" s="11"/>
      <c r="U133" s="11"/>
      <c r="V133" s="11"/>
      <c r="W133" s="11"/>
    </row>
    <row r="134" spans="1:23">
      <c r="A134" s="100"/>
      <c r="B134" s="90" t="s">
        <v>152</v>
      </c>
      <c r="C134" s="12"/>
      <c r="D134" s="12"/>
      <c r="E134" s="90"/>
      <c r="F134" s="90"/>
      <c r="G134" s="17">
        <v>0</v>
      </c>
      <c r="H134" s="90"/>
      <c r="I134" s="90"/>
      <c r="J134" s="11"/>
      <c r="O134" s="11"/>
      <c r="P134" s="11"/>
      <c r="Q134" s="11"/>
      <c r="R134" s="11"/>
      <c r="S134" s="11"/>
      <c r="T134" s="11"/>
      <c r="U134" s="11"/>
      <c r="V134" s="11"/>
      <c r="W134" s="11"/>
    </row>
    <row r="135" spans="1:23" ht="13.5" thickBot="1">
      <c r="A135" s="100"/>
      <c r="B135" s="90" t="s">
        <v>153</v>
      </c>
      <c r="C135" s="12"/>
      <c r="D135" s="12"/>
      <c r="E135" s="90"/>
      <c r="F135" s="90"/>
      <c r="G135" s="17">
        <v>1000</v>
      </c>
      <c r="H135" s="90"/>
      <c r="I135" s="90"/>
      <c r="J135" s="11"/>
      <c r="O135" s="11"/>
      <c r="P135" s="11"/>
      <c r="Q135" s="11"/>
      <c r="R135" s="11"/>
      <c r="S135" s="11"/>
      <c r="T135" s="11"/>
      <c r="U135" s="11"/>
      <c r="V135" s="11"/>
      <c r="W135" s="11"/>
    </row>
    <row r="136" spans="1:23" ht="13.5" thickBot="1">
      <c r="A136" s="100"/>
      <c r="B136" s="90"/>
      <c r="C136" s="90"/>
      <c r="D136" s="90"/>
      <c r="E136" s="121"/>
      <c r="F136" s="122"/>
      <c r="G136" s="123" t="s">
        <v>154</v>
      </c>
      <c r="H136" s="429">
        <f>H131+H126+H120</f>
        <v>106530.92000000001</v>
      </c>
      <c r="I136" s="90"/>
      <c r="J136" s="11"/>
      <c r="O136" s="11"/>
      <c r="P136" s="11"/>
      <c r="Q136" s="11"/>
      <c r="R136" s="11"/>
      <c r="S136" s="11"/>
      <c r="T136" s="11"/>
      <c r="U136" s="11"/>
      <c r="V136" s="11"/>
      <c r="W136" s="11"/>
    </row>
    <row r="137" spans="1:23" ht="13.5" thickBot="1">
      <c r="A137" s="100"/>
      <c r="B137" s="90"/>
      <c r="C137" s="124"/>
      <c r="D137" s="92"/>
      <c r="E137" s="90"/>
      <c r="F137" s="90"/>
      <c r="G137" s="124"/>
      <c r="H137" s="90"/>
      <c r="I137" s="90"/>
      <c r="J137" s="11"/>
      <c r="O137" s="11"/>
      <c r="P137" s="11"/>
      <c r="Q137" s="11"/>
      <c r="R137" s="11"/>
      <c r="S137" s="11"/>
      <c r="T137" s="11"/>
      <c r="U137" s="11"/>
      <c r="V137" s="11"/>
      <c r="W137" s="11"/>
    </row>
    <row r="138" spans="1:23" ht="13.5" thickBot="1">
      <c r="A138" s="100"/>
      <c r="B138" s="90"/>
      <c r="C138" s="124"/>
      <c r="D138" s="18" t="s">
        <v>155</v>
      </c>
      <c r="E138" s="90"/>
      <c r="F138" s="90"/>
      <c r="G138" s="482">
        <f>SUM(G110:G135)</f>
        <v>798246.41619999986</v>
      </c>
      <c r="H138" s="90"/>
      <c r="I138" s="90"/>
      <c r="J138" s="11"/>
      <c r="O138" s="11"/>
      <c r="P138" s="11"/>
      <c r="Q138" s="11"/>
      <c r="R138" s="11"/>
      <c r="S138" s="11"/>
      <c r="T138" s="11"/>
      <c r="U138" s="11"/>
      <c r="V138" s="11"/>
      <c r="W138" s="11"/>
    </row>
    <row r="139" spans="1:23">
      <c r="A139" s="100"/>
      <c r="B139" s="90"/>
      <c r="C139" s="126" t="str">
        <f>A106</f>
        <v>MAYIS 2025 e</v>
      </c>
      <c r="D139" s="126" t="s">
        <v>156</v>
      </c>
      <c r="E139" s="90"/>
      <c r="F139" s="90"/>
      <c r="G139" s="127"/>
      <c r="H139" s="90"/>
      <c r="I139" s="90"/>
      <c r="J139" s="11"/>
      <c r="O139" s="11"/>
      <c r="P139" s="11"/>
      <c r="Q139" s="11"/>
      <c r="R139" s="11"/>
      <c r="S139" s="11"/>
      <c r="T139" s="11"/>
      <c r="U139" s="11"/>
      <c r="V139" s="11"/>
      <c r="W139" s="11"/>
    </row>
    <row r="140" spans="1:23">
      <c r="A140" s="100"/>
      <c r="B140" s="11"/>
      <c r="C140" s="438"/>
      <c r="D140" s="439"/>
      <c r="E140" s="405"/>
      <c r="F140" s="405"/>
      <c r="G140" s="409"/>
      <c r="H140" s="90"/>
      <c r="I140" s="90"/>
      <c r="J140" s="11"/>
      <c r="O140" s="11"/>
      <c r="P140" s="11"/>
      <c r="Q140" s="11"/>
      <c r="R140" s="11"/>
      <c r="S140" s="11"/>
      <c r="T140" s="11"/>
      <c r="U140" s="11"/>
      <c r="V140" s="11"/>
      <c r="W140" s="11"/>
    </row>
    <row r="141" spans="1:23">
      <c r="A141" s="90"/>
      <c r="B141" s="90" t="s">
        <v>1685</v>
      </c>
      <c r="C141" s="90"/>
      <c r="D141" s="90"/>
      <c r="E141" s="90"/>
      <c r="F141" s="90"/>
      <c r="G141" s="90"/>
      <c r="H141" s="90"/>
      <c r="I141" s="90" t="s">
        <v>1676</v>
      </c>
      <c r="J141" s="11" t="s">
        <v>1676</v>
      </c>
      <c r="K141" s="78" t="s">
        <v>1677</v>
      </c>
      <c r="L141" s="78" t="s">
        <v>1678</v>
      </c>
      <c r="M141" s="78" t="s">
        <v>1679</v>
      </c>
      <c r="O141" s="11"/>
      <c r="P141" s="11"/>
      <c r="Q141" s="11"/>
      <c r="R141" s="11"/>
      <c r="S141" s="11"/>
      <c r="T141" s="11"/>
      <c r="U141" s="11"/>
      <c r="V141" s="11"/>
      <c r="W141" s="11"/>
    </row>
    <row r="142" spans="1:23">
      <c r="A142" s="100">
        <v>45620</v>
      </c>
      <c r="B142" s="82" t="s">
        <v>1604</v>
      </c>
      <c r="C142" s="114">
        <v>3000</v>
      </c>
      <c r="D142" s="114">
        <v>32.549999999999997</v>
      </c>
      <c r="E142" s="116">
        <f t="shared" ref="E142" si="16">D142*C142</f>
        <v>97649.999999999985</v>
      </c>
      <c r="F142" s="90">
        <v>42.86</v>
      </c>
      <c r="G142" s="17">
        <f t="shared" ref="G142" si="17">F142*C142</f>
        <v>128580</v>
      </c>
      <c r="H142" s="90"/>
      <c r="I142" s="90">
        <f t="shared" ref="I142" si="18">G142-E142</f>
        <v>30930.000000000015</v>
      </c>
      <c r="J142" s="443">
        <f>(I142-I143)/E142</f>
        <v>0.31674347158218147</v>
      </c>
      <c r="K142" s="100">
        <v>45721</v>
      </c>
      <c r="L142" s="78">
        <f>K142-A142</f>
        <v>101</v>
      </c>
      <c r="M142" s="443">
        <f>J142/L142*30</f>
        <v>9.4082219281836091E-2</v>
      </c>
      <c r="O142" s="11"/>
      <c r="P142" s="11"/>
      <c r="Q142" s="11"/>
      <c r="R142" s="11"/>
      <c r="S142" s="11"/>
      <c r="T142" s="11"/>
      <c r="U142" s="11"/>
      <c r="V142" s="11"/>
      <c r="W142" s="11"/>
    </row>
    <row r="143" spans="1:23">
      <c r="A143" s="100"/>
      <c r="B143" s="82"/>
      <c r="C143" s="114" t="s">
        <v>1731</v>
      </c>
      <c r="D143" s="115"/>
      <c r="E143" s="116"/>
      <c r="F143" s="90" t="s">
        <v>1730</v>
      </c>
      <c r="G143" s="17">
        <v>-257.16000000000003</v>
      </c>
      <c r="H143" s="90"/>
      <c r="I143" s="90"/>
      <c r="J143" s="90"/>
      <c r="K143" s="475"/>
      <c r="M143" s="443"/>
      <c r="O143" s="11"/>
      <c r="P143" s="11"/>
      <c r="Q143" s="11"/>
      <c r="R143" s="11"/>
      <c r="S143" s="11"/>
      <c r="T143" s="11"/>
      <c r="U143" s="11"/>
      <c r="V143" s="11"/>
      <c r="W143" s="11"/>
    </row>
    <row r="144" spans="1:23">
      <c r="A144" s="100"/>
      <c r="B144" s="82"/>
      <c r="C144" s="114"/>
      <c r="D144" s="115"/>
      <c r="E144" s="116"/>
      <c r="F144" s="404"/>
      <c r="G144" s="17">
        <v>-12.86</v>
      </c>
      <c r="H144" s="90"/>
      <c r="I144" s="90">
        <f>G144+G143</f>
        <v>-270.02000000000004</v>
      </c>
      <c r="J144" s="11"/>
      <c r="O144" s="11"/>
      <c r="P144" s="11"/>
      <c r="Q144" s="11"/>
      <c r="R144" s="11"/>
      <c r="S144" s="11"/>
      <c r="T144" s="11"/>
      <c r="U144" s="11"/>
      <c r="V144" s="11"/>
      <c r="W144" s="11"/>
    </row>
    <row r="145" spans="1:23">
      <c r="A145" s="100"/>
      <c r="B145" s="82"/>
      <c r="C145" s="114"/>
      <c r="D145" s="115"/>
      <c r="E145" s="116"/>
      <c r="F145" s="404"/>
      <c r="G145" s="17"/>
      <c r="H145" s="90"/>
      <c r="I145" s="90"/>
      <c r="J145" s="443"/>
      <c r="K145" s="100"/>
      <c r="M145" s="443"/>
      <c r="O145" s="11"/>
      <c r="P145" s="11"/>
      <c r="Q145" s="11"/>
      <c r="R145" s="11"/>
      <c r="S145" s="11"/>
      <c r="T145" s="11"/>
      <c r="U145" s="11"/>
      <c r="V145" s="11"/>
      <c r="W145" s="11"/>
    </row>
    <row r="146" spans="1:23">
      <c r="A146" s="406"/>
      <c r="B146" s="407"/>
      <c r="C146" s="455"/>
      <c r="D146" s="456"/>
      <c r="E146" s="409"/>
      <c r="F146" s="405"/>
      <c r="G146" s="409"/>
      <c r="H146" s="405"/>
      <c r="I146" s="405"/>
      <c r="J146" s="90"/>
      <c r="K146" s="475"/>
      <c r="O146" s="11"/>
      <c r="P146" s="11"/>
      <c r="Q146" s="11"/>
      <c r="R146" s="11"/>
      <c r="S146" s="11"/>
      <c r="T146" s="11"/>
      <c r="U146" s="11"/>
      <c r="V146" s="11"/>
      <c r="W146" s="11"/>
    </row>
    <row r="147" spans="1:23" ht="13.5" thickBot="1">
      <c r="A147" s="407"/>
      <c r="B147" s="407"/>
      <c r="C147" s="407"/>
      <c r="D147" s="405"/>
      <c r="E147" s="405"/>
      <c r="F147" s="405"/>
      <c r="G147" s="405"/>
      <c r="H147" s="405"/>
      <c r="I147" s="407"/>
      <c r="J147" s="11"/>
      <c r="O147" s="11"/>
      <c r="P147" s="11"/>
      <c r="Q147" s="11"/>
      <c r="R147" s="11"/>
      <c r="S147" s="11"/>
      <c r="T147" s="11"/>
      <c r="U147" s="11"/>
      <c r="V147" s="11"/>
      <c r="W147" s="11"/>
    </row>
    <row r="148" spans="1:23">
      <c r="A148" s="428"/>
      <c r="B148" s="428"/>
      <c r="C148" s="428"/>
      <c r="D148" s="417"/>
      <c r="E148" s="417"/>
      <c r="F148" s="417"/>
      <c r="G148" s="417">
        <f>SUM(G142:G147)</f>
        <v>128309.98</v>
      </c>
      <c r="H148" s="417"/>
      <c r="I148" s="480">
        <f>SUM(I142:I147)</f>
        <v>30659.980000000014</v>
      </c>
      <c r="J148" s="11"/>
      <c r="O148" s="11"/>
      <c r="P148" s="11"/>
      <c r="Q148" s="11"/>
      <c r="R148" s="11"/>
      <c r="S148" s="11"/>
      <c r="T148" s="11"/>
      <c r="U148" s="11"/>
      <c r="V148" s="11"/>
      <c r="W148" s="11"/>
    </row>
    <row r="149" spans="1:23">
      <c r="A149" s="11"/>
      <c r="B149" s="11"/>
      <c r="C149" s="11"/>
      <c r="D149" s="90"/>
      <c r="E149" s="90"/>
      <c r="F149" s="90"/>
      <c r="G149" s="90"/>
      <c r="H149" s="90"/>
      <c r="I149" s="11"/>
      <c r="J149" s="11"/>
      <c r="O149" s="11"/>
      <c r="P149" s="11"/>
      <c r="Q149" s="11"/>
      <c r="R149" s="11"/>
      <c r="S149" s="11"/>
      <c r="T149" s="11"/>
      <c r="U149" s="11"/>
      <c r="V149" s="11"/>
      <c r="W149" s="11"/>
    </row>
    <row r="150" spans="1:23">
      <c r="B150" s="11"/>
      <c r="C150" s="11"/>
      <c r="D150" s="90"/>
      <c r="E150" s="90"/>
      <c r="F150" s="90"/>
      <c r="G150" s="90"/>
      <c r="H150" s="90"/>
      <c r="I150" s="11"/>
      <c r="J150" s="11"/>
      <c r="O150" s="11"/>
      <c r="P150" s="11"/>
      <c r="Q150" s="11"/>
      <c r="R150" s="11"/>
      <c r="S150" s="11"/>
      <c r="T150" s="11"/>
      <c r="U150" s="11"/>
      <c r="V150" s="11"/>
      <c r="W150" s="11"/>
    </row>
    <row r="151" spans="1:23" ht="18">
      <c r="A151" s="493" t="s">
        <v>1745</v>
      </c>
    </row>
    <row r="152" spans="1:23" ht="15.75">
      <c r="B152" s="476">
        <f>1-76.4616%</f>
        <v>0.23538399999999993</v>
      </c>
      <c r="C152" s="477">
        <v>0.76461599999999996</v>
      </c>
      <c r="D152" s="404"/>
      <c r="J152" s="11"/>
      <c r="O152" s="11"/>
      <c r="P152" s="11"/>
      <c r="Q152" s="11"/>
      <c r="R152" s="11"/>
      <c r="S152" s="11"/>
      <c r="T152" s="11"/>
      <c r="U152" s="11"/>
      <c r="V152" s="11"/>
      <c r="W152" s="11"/>
    </row>
    <row r="153" spans="1:23" s="11" customFormat="1" ht="15.75">
      <c r="A153" s="98"/>
      <c r="B153" s="476" t="s">
        <v>1747</v>
      </c>
      <c r="C153" s="477"/>
      <c r="D153" s="404"/>
      <c r="E153" s="90"/>
      <c r="F153" s="90"/>
      <c r="G153" s="90"/>
      <c r="H153" s="90"/>
      <c r="K153" s="78"/>
      <c r="L153" s="78"/>
      <c r="M153" s="78"/>
      <c r="N153" s="78"/>
    </row>
    <row r="154" spans="1:23" s="11" customFormat="1" ht="15.75">
      <c r="A154" s="98"/>
      <c r="B154" s="476" t="s">
        <v>1746</v>
      </c>
      <c r="C154" s="477"/>
      <c r="D154" s="404"/>
      <c r="E154" s="90"/>
      <c r="F154" s="90"/>
      <c r="G154" s="90"/>
      <c r="H154" s="90"/>
      <c r="K154" s="78"/>
      <c r="L154" s="78"/>
      <c r="M154" s="78"/>
      <c r="N154" s="78"/>
    </row>
    <row r="155" spans="1:23" s="11" customFormat="1" ht="15.75">
      <c r="A155" s="98"/>
      <c r="B155" s="476" t="s">
        <v>1749</v>
      </c>
      <c r="C155" s="477"/>
      <c r="D155" s="404"/>
      <c r="E155" s="90"/>
      <c r="F155" s="90"/>
      <c r="G155" s="90"/>
      <c r="H155" s="90"/>
      <c r="K155" s="78"/>
      <c r="L155" s="78"/>
      <c r="M155" s="78"/>
      <c r="N155" s="78"/>
    </row>
    <row r="156" spans="1:23" s="11" customFormat="1" ht="15.75">
      <c r="A156" s="98"/>
      <c r="B156" s="476" t="s">
        <v>1748</v>
      </c>
      <c r="C156" s="477"/>
      <c r="D156" s="404"/>
      <c r="E156" s="90"/>
      <c r="F156" s="90"/>
      <c r="G156" s="90"/>
      <c r="H156" s="90"/>
      <c r="K156" s="78"/>
      <c r="L156" s="78"/>
      <c r="M156" s="78"/>
      <c r="N156" s="78"/>
    </row>
    <row r="157" spans="1:23" s="11" customFormat="1" ht="16.5" thickBot="1">
      <c r="A157" s="98"/>
      <c r="B157" s="476"/>
      <c r="C157" s="11" t="s">
        <v>1751</v>
      </c>
      <c r="D157" s="11" t="s">
        <v>1750</v>
      </c>
      <c r="E157" s="90" t="s">
        <v>1742</v>
      </c>
      <c r="F157" s="490">
        <v>138749.76000000001</v>
      </c>
      <c r="G157" s="11" t="s">
        <v>1743</v>
      </c>
      <c r="H157" s="90" t="s">
        <v>3</v>
      </c>
      <c r="K157" s="78"/>
      <c r="L157" s="78"/>
      <c r="M157" s="78"/>
      <c r="N157" s="78"/>
    </row>
    <row r="158" spans="1:23" ht="13.5" thickBot="1">
      <c r="A158" s="100"/>
      <c r="B158" s="82" t="s">
        <v>1752</v>
      </c>
      <c r="C158" s="118">
        <v>160</v>
      </c>
      <c r="D158" s="77">
        <f>C158</f>
        <v>160</v>
      </c>
      <c r="E158" s="83">
        <v>872.26</v>
      </c>
      <c r="F158" s="491">
        <f>E158*C158</f>
        <v>139561.60000000001</v>
      </c>
      <c r="G158" s="481">
        <v>962.89330700000005</v>
      </c>
      <c r="H158" s="17">
        <f>G158*C158</f>
        <v>154062.92912000002</v>
      </c>
      <c r="I158" s="12">
        <f>H158</f>
        <v>154062.92912000002</v>
      </c>
      <c r="J158" s="11"/>
      <c r="O158" s="11"/>
      <c r="P158" s="11"/>
      <c r="Q158" s="11"/>
      <c r="R158" s="11"/>
      <c r="S158" s="11"/>
      <c r="T158" s="11"/>
      <c r="U158" s="11"/>
      <c r="V158" s="11"/>
      <c r="W158" s="11"/>
    </row>
    <row r="159" spans="1:23" s="11" customFormat="1">
      <c r="A159" s="100"/>
      <c r="B159" s="82" t="s">
        <v>1753</v>
      </c>
      <c r="C159" s="118">
        <v>78</v>
      </c>
      <c r="D159" s="77">
        <f>D158+C159</f>
        <v>238</v>
      </c>
      <c r="E159" s="83">
        <v>872.26</v>
      </c>
      <c r="F159" s="491">
        <f>E159*C159</f>
        <v>68036.28</v>
      </c>
      <c r="G159" s="403">
        <f>G160</f>
        <v>962.89330700000005</v>
      </c>
      <c r="H159" s="17">
        <f>G159*C159</f>
        <v>75105.677946000011</v>
      </c>
      <c r="I159" s="12">
        <f>I158+H159</f>
        <v>229168.60706600003</v>
      </c>
      <c r="K159" s="78"/>
      <c r="L159" s="78"/>
      <c r="M159" s="78"/>
      <c r="N159" s="78"/>
    </row>
    <row r="160" spans="1:23">
      <c r="A160" s="489">
        <v>45755</v>
      </c>
      <c r="B160" s="492" t="s">
        <v>1741</v>
      </c>
      <c r="C160" s="118">
        <v>-21</v>
      </c>
      <c r="D160" s="90">
        <f>D159+C160</f>
        <v>217</v>
      </c>
      <c r="E160" s="83">
        <v>872.26</v>
      </c>
      <c r="F160" s="449">
        <f>E160*C160</f>
        <v>-18317.46</v>
      </c>
      <c r="G160" s="403">
        <f>G158</f>
        <v>962.89330700000005</v>
      </c>
      <c r="H160" s="17">
        <f>G160*C160</f>
        <v>-20220.759447</v>
      </c>
      <c r="I160" s="12">
        <f>I159+H160</f>
        <v>208947.84761900004</v>
      </c>
      <c r="J160" s="11"/>
      <c r="O160" s="11"/>
      <c r="P160" s="11"/>
      <c r="Q160" s="11"/>
      <c r="R160" s="11"/>
      <c r="S160" s="11"/>
      <c r="T160" s="11"/>
      <c r="U160" s="11"/>
      <c r="V160" s="11"/>
      <c r="W160" s="11"/>
    </row>
    <row r="161" spans="1:23">
      <c r="A161" s="100"/>
      <c r="B161" s="82" t="s">
        <v>1744</v>
      </c>
      <c r="C161" s="388"/>
      <c r="E161" s="83"/>
      <c r="H161" s="77">
        <v>-300.32</v>
      </c>
      <c r="I161" s="12">
        <f>I160+H161</f>
        <v>208647.52761900003</v>
      </c>
      <c r="J161" s="11"/>
      <c r="O161" s="11"/>
      <c r="P161" s="11"/>
      <c r="Q161" s="11"/>
      <c r="R161" s="11"/>
      <c r="S161" s="11"/>
      <c r="T161" s="11"/>
      <c r="U161" s="11"/>
      <c r="V161" s="11"/>
      <c r="W161" s="11"/>
    </row>
    <row r="162" spans="1:23">
      <c r="A162" s="100">
        <v>45777</v>
      </c>
      <c r="B162" s="82" t="s">
        <v>1806</v>
      </c>
      <c r="C162" s="118">
        <v>219</v>
      </c>
      <c r="G162" s="77">
        <v>988.94078000000002</v>
      </c>
      <c r="H162" s="17">
        <f>G162*C162</f>
        <v>216578.03082000001</v>
      </c>
      <c r="I162" s="90"/>
      <c r="J162" s="11"/>
      <c r="O162" s="11"/>
      <c r="P162" s="11"/>
      <c r="Q162" s="11"/>
      <c r="R162" s="11"/>
      <c r="S162" s="11"/>
      <c r="T162" s="11"/>
      <c r="U162" s="11"/>
      <c r="V162" s="11"/>
      <c r="W162" s="11"/>
    </row>
    <row r="163" spans="1:23">
      <c r="A163" s="100"/>
      <c r="B163" s="90" t="s">
        <v>1684</v>
      </c>
      <c r="C163" s="438"/>
      <c r="D163" s="439"/>
      <c r="E163" s="405"/>
      <c r="F163" s="405"/>
      <c r="G163" s="409"/>
      <c r="H163" s="90"/>
      <c r="I163" s="90"/>
      <c r="J163" s="11"/>
      <c r="O163" s="11"/>
      <c r="P163" s="11"/>
      <c r="Q163" s="11"/>
      <c r="R163" s="11"/>
      <c r="S163" s="11"/>
      <c r="T163" s="11"/>
      <c r="U163" s="11"/>
      <c r="V163" s="11"/>
      <c r="W163" s="11"/>
    </row>
    <row r="164" spans="1:23">
      <c r="B164" s="11"/>
      <c r="C164" s="11"/>
      <c r="D164" s="90"/>
      <c r="E164" s="90"/>
      <c r="F164" s="90"/>
      <c r="G164" s="90"/>
      <c r="H164" s="90"/>
      <c r="I164" s="11"/>
      <c r="J164" s="11"/>
      <c r="O164" s="11"/>
      <c r="P164" s="11"/>
      <c r="Q164" s="11"/>
      <c r="R164" s="11"/>
      <c r="S164" s="11"/>
      <c r="T164" s="11"/>
      <c r="U164" s="11"/>
      <c r="V164" s="11"/>
      <c r="W164" s="11"/>
    </row>
    <row r="165" spans="1:23">
      <c r="B165" s="11"/>
      <c r="C165" s="11"/>
      <c r="D165" s="90"/>
      <c r="E165" s="90"/>
      <c r="F165" s="90"/>
      <c r="G165" s="90"/>
      <c r="H165" s="90"/>
      <c r="I165" s="11"/>
      <c r="J165" s="11"/>
      <c r="O165" s="11"/>
      <c r="P165" s="11"/>
      <c r="Q165" s="11"/>
      <c r="R165" s="11"/>
      <c r="S165" s="11"/>
      <c r="T165" s="11"/>
      <c r="U165" s="11"/>
      <c r="V165" s="11"/>
      <c r="W165" s="11"/>
    </row>
    <row r="166" spans="1:23">
      <c r="B166" s="11"/>
      <c r="C166" s="11"/>
      <c r="D166" s="90"/>
      <c r="E166" s="90"/>
      <c r="F166" s="90"/>
      <c r="G166" s="90"/>
      <c r="H166" s="90"/>
      <c r="I166" s="11"/>
      <c r="J166" s="11"/>
      <c r="O166" s="11"/>
      <c r="P166" s="11"/>
      <c r="Q166" s="11"/>
      <c r="R166" s="11"/>
      <c r="S166" s="11"/>
      <c r="T166" s="11"/>
      <c r="U166" s="11"/>
      <c r="V166" s="11"/>
      <c r="W166" s="11"/>
    </row>
    <row r="167" spans="1:23">
      <c r="B167" s="11"/>
      <c r="C167" s="11"/>
      <c r="D167" s="90"/>
      <c r="E167" s="90"/>
      <c r="F167" s="90"/>
      <c r="G167" s="90"/>
      <c r="H167" s="90"/>
      <c r="I167" s="11"/>
      <c r="J167" s="11"/>
      <c r="O167" s="11"/>
      <c r="P167" s="11"/>
      <c r="Q167" s="11"/>
      <c r="R167" s="11"/>
      <c r="S167" s="11"/>
      <c r="T167" s="11"/>
      <c r="U167" s="11"/>
      <c r="V167" s="11"/>
      <c r="W167" s="11"/>
    </row>
    <row r="168" spans="1:23">
      <c r="B168" s="11"/>
      <c r="C168" s="11"/>
      <c r="D168" s="90"/>
      <c r="E168" s="90"/>
      <c r="F168" s="90"/>
      <c r="G168" s="90"/>
      <c r="H168" s="90"/>
      <c r="I168" s="11"/>
      <c r="J168" s="11"/>
      <c r="O168" s="11"/>
      <c r="P168" s="11"/>
      <c r="Q168" s="11"/>
      <c r="R168" s="11"/>
      <c r="S168" s="11"/>
      <c r="T168" s="11"/>
      <c r="U168" s="11"/>
      <c r="V168" s="11"/>
      <c r="W168" s="11"/>
    </row>
    <row r="169" spans="1:23">
      <c r="B169" s="11"/>
      <c r="C169" s="11"/>
      <c r="D169" s="90"/>
      <c r="E169" s="90"/>
      <c r="F169" s="90"/>
      <c r="G169" s="90"/>
      <c r="H169" s="90"/>
      <c r="I169" s="11"/>
      <c r="J169" s="11"/>
      <c r="O169" s="11"/>
      <c r="P169" s="11"/>
      <c r="Q169" s="11"/>
      <c r="R169" s="11"/>
      <c r="S169" s="11"/>
      <c r="T169" s="11"/>
      <c r="U169" s="11"/>
      <c r="V169" s="11"/>
      <c r="W169" s="11"/>
    </row>
    <row r="170" spans="1:23">
      <c r="B170" s="11"/>
      <c r="C170" s="11"/>
      <c r="D170" s="90"/>
      <c r="E170" s="90"/>
      <c r="F170" s="90"/>
      <c r="G170" s="90"/>
      <c r="H170" s="90"/>
      <c r="I170" s="11"/>
      <c r="J170" s="11"/>
      <c r="O170" s="11"/>
      <c r="P170" s="11"/>
      <c r="Q170" s="11"/>
      <c r="R170" s="11"/>
      <c r="S170" s="11"/>
      <c r="T170" s="11"/>
      <c r="U170" s="11"/>
      <c r="V170" s="11"/>
      <c r="W170" s="11"/>
    </row>
    <row r="171" spans="1:23">
      <c r="B171" s="11"/>
      <c r="C171" s="11"/>
      <c r="D171" s="90"/>
      <c r="E171" s="90"/>
      <c r="F171" s="90"/>
      <c r="G171" s="90"/>
      <c r="H171" s="90"/>
      <c r="I171" s="11"/>
      <c r="J171" s="11"/>
      <c r="O171" s="11"/>
      <c r="P171" s="11"/>
      <c r="Q171" s="11"/>
      <c r="R171" s="11"/>
      <c r="S171" s="11"/>
      <c r="T171" s="11"/>
      <c r="U171" s="11"/>
      <c r="V171" s="11"/>
      <c r="W171" s="11"/>
    </row>
    <row r="172" spans="1:23">
      <c r="B172" s="11"/>
      <c r="C172" s="11"/>
      <c r="D172" s="90"/>
      <c r="E172" s="90"/>
      <c r="F172" s="90"/>
      <c r="G172" s="90"/>
      <c r="H172" s="90"/>
      <c r="I172" s="11"/>
      <c r="J172" s="11"/>
      <c r="O172" s="11"/>
      <c r="P172" s="11"/>
      <c r="Q172" s="11"/>
      <c r="R172" s="11"/>
      <c r="S172" s="11"/>
      <c r="T172" s="11"/>
      <c r="U172" s="11"/>
      <c r="V172" s="11"/>
      <c r="W172" s="11"/>
    </row>
    <row r="173" spans="1:23">
      <c r="B173" s="11"/>
      <c r="C173" s="11"/>
      <c r="D173" s="90"/>
      <c r="E173" s="90"/>
      <c r="F173" s="90"/>
      <c r="G173" s="90"/>
      <c r="H173" s="90"/>
      <c r="I173" s="11"/>
      <c r="J173" s="11"/>
      <c r="O173" s="11"/>
      <c r="P173" s="11"/>
      <c r="Q173" s="11"/>
      <c r="R173" s="11"/>
      <c r="S173" s="11"/>
      <c r="T173" s="11"/>
      <c r="U173" s="11"/>
      <c r="V173" s="11"/>
      <c r="W173" s="11"/>
    </row>
    <row r="174" spans="1:23">
      <c r="B174" s="11"/>
      <c r="C174" s="11"/>
      <c r="D174" s="90"/>
      <c r="E174" s="90"/>
      <c r="F174" s="90"/>
      <c r="G174" s="90"/>
      <c r="H174" s="90"/>
      <c r="I174" s="11"/>
      <c r="J174" s="11"/>
      <c r="O174" s="11"/>
      <c r="P174" s="11"/>
      <c r="Q174" s="11"/>
      <c r="R174" s="11"/>
      <c r="S174" s="11"/>
      <c r="T174" s="11"/>
      <c r="U174" s="11"/>
      <c r="V174" s="11"/>
      <c r="W174" s="11"/>
    </row>
    <row r="175" spans="1:23">
      <c r="B175" s="11"/>
      <c r="C175" s="11"/>
      <c r="D175" s="90"/>
      <c r="E175" s="90"/>
      <c r="F175" s="90"/>
      <c r="G175" s="90"/>
      <c r="H175" s="90"/>
      <c r="I175" s="11"/>
      <c r="J175" s="11"/>
      <c r="O175" s="11"/>
      <c r="P175" s="11"/>
      <c r="Q175" s="11"/>
      <c r="R175" s="11"/>
      <c r="S175" s="11"/>
      <c r="T175" s="11"/>
      <c r="U175" s="11"/>
      <c r="V175" s="11"/>
      <c r="W175" s="11"/>
    </row>
    <row r="176" spans="1:23">
      <c r="B176" s="11"/>
      <c r="C176" s="11"/>
      <c r="D176" s="90"/>
      <c r="E176" s="90"/>
      <c r="F176" s="90"/>
      <c r="G176" s="90"/>
      <c r="H176" s="90"/>
      <c r="I176" s="11"/>
      <c r="J176" s="11"/>
      <c r="O176" s="11"/>
      <c r="P176" s="11"/>
      <c r="Q176" s="11"/>
      <c r="R176" s="11"/>
      <c r="S176" s="11"/>
      <c r="T176" s="11"/>
      <c r="U176" s="11"/>
      <c r="V176" s="11"/>
      <c r="W176" s="11"/>
    </row>
    <row r="177" spans="2:23">
      <c r="B177" s="11"/>
      <c r="C177" s="11"/>
      <c r="D177" s="90"/>
      <c r="E177" s="90"/>
      <c r="F177" s="90"/>
      <c r="G177" s="90"/>
      <c r="H177" s="90"/>
      <c r="I177" s="11"/>
      <c r="J177" s="11"/>
      <c r="O177" s="11"/>
      <c r="P177" s="11"/>
      <c r="Q177" s="11"/>
      <c r="R177" s="11"/>
      <c r="S177" s="11"/>
      <c r="T177" s="11"/>
      <c r="U177" s="11"/>
      <c r="V177" s="11"/>
      <c r="W177" s="11"/>
    </row>
    <row r="178" spans="2:23">
      <c r="B178" s="11"/>
      <c r="C178" s="11"/>
      <c r="D178" s="90"/>
      <c r="E178" s="90"/>
      <c r="F178" s="90"/>
      <c r="G178" s="90"/>
      <c r="H178" s="90"/>
      <c r="I178" s="11"/>
      <c r="J178" s="11"/>
      <c r="O178" s="11"/>
      <c r="P178" s="11"/>
      <c r="Q178" s="11"/>
      <c r="R178" s="11"/>
      <c r="S178" s="11"/>
      <c r="T178" s="11"/>
      <c r="U178" s="11"/>
      <c r="V178" s="11"/>
      <c r="W178" s="11"/>
    </row>
    <row r="179" spans="2:23">
      <c r="B179" s="11"/>
      <c r="C179" s="11"/>
      <c r="D179" s="90"/>
      <c r="E179" s="90"/>
      <c r="F179" s="90"/>
      <c r="G179" s="90"/>
      <c r="H179" s="90"/>
      <c r="I179" s="11"/>
      <c r="J179" s="11"/>
      <c r="O179" s="11"/>
      <c r="P179" s="11"/>
      <c r="Q179" s="11"/>
      <c r="R179" s="11"/>
      <c r="S179" s="11"/>
      <c r="T179" s="11"/>
      <c r="U179" s="11"/>
      <c r="V179" s="11"/>
      <c r="W179" s="11"/>
    </row>
    <row r="180" spans="2:23">
      <c r="B180" s="11"/>
      <c r="C180" s="11"/>
      <c r="D180" s="90"/>
      <c r="E180" s="90"/>
      <c r="F180" s="90"/>
      <c r="G180" s="90"/>
      <c r="H180" s="90"/>
      <c r="I180" s="11"/>
      <c r="J180" s="11"/>
      <c r="O180" s="11"/>
      <c r="P180" s="11"/>
      <c r="Q180" s="11"/>
      <c r="R180" s="11"/>
      <c r="S180" s="11"/>
      <c r="T180" s="11"/>
      <c r="U180" s="11"/>
      <c r="V180" s="11"/>
      <c r="W180" s="11"/>
    </row>
    <row r="181" spans="2:23">
      <c r="B181" s="11"/>
      <c r="C181" s="11"/>
      <c r="D181" s="90"/>
      <c r="E181" s="90"/>
      <c r="F181" s="90"/>
      <c r="G181" s="90"/>
      <c r="H181" s="90"/>
      <c r="I181" s="11"/>
      <c r="J181" s="11"/>
      <c r="O181" s="11"/>
      <c r="P181" s="11"/>
      <c r="Q181" s="11"/>
      <c r="R181" s="11"/>
      <c r="S181" s="11"/>
      <c r="T181" s="11"/>
      <c r="U181" s="11"/>
      <c r="V181" s="11"/>
      <c r="W181" s="11"/>
    </row>
    <row r="182" spans="2:23">
      <c r="B182" s="11"/>
      <c r="C182" s="11"/>
      <c r="D182" s="90"/>
      <c r="E182" s="90"/>
      <c r="F182" s="90"/>
      <c r="G182" s="90"/>
      <c r="H182" s="90"/>
      <c r="I182" s="11"/>
      <c r="J182" s="11"/>
      <c r="O182" s="11"/>
      <c r="P182" s="11"/>
      <c r="Q182" s="11"/>
      <c r="R182" s="11"/>
      <c r="S182" s="11"/>
      <c r="T182" s="11"/>
      <c r="U182" s="11"/>
      <c r="V182" s="11"/>
      <c r="W182" s="11"/>
    </row>
    <row r="183" spans="2:23">
      <c r="B183" s="11"/>
      <c r="C183" s="11"/>
      <c r="D183" s="90"/>
      <c r="E183" s="90"/>
      <c r="F183" s="90"/>
      <c r="G183" s="90"/>
      <c r="H183" s="90"/>
      <c r="I183" s="11"/>
      <c r="J183" s="11"/>
      <c r="O183" s="11"/>
      <c r="P183" s="11"/>
      <c r="Q183" s="11"/>
      <c r="R183" s="11"/>
      <c r="S183" s="11"/>
      <c r="T183" s="11"/>
      <c r="U183" s="11"/>
      <c r="V183" s="11"/>
      <c r="W183" s="11"/>
    </row>
    <row r="184" spans="2:23">
      <c r="B184" s="11"/>
      <c r="C184" s="11"/>
      <c r="D184" s="90"/>
      <c r="E184" s="90"/>
      <c r="F184" s="90"/>
      <c r="G184" s="90"/>
      <c r="H184" s="90"/>
      <c r="I184" s="11"/>
      <c r="J184" s="11"/>
      <c r="O184" s="11"/>
      <c r="P184" s="11"/>
      <c r="Q184" s="11"/>
      <c r="R184" s="11"/>
      <c r="S184" s="11"/>
      <c r="T184" s="11"/>
      <c r="U184" s="11"/>
      <c r="V184" s="11"/>
      <c r="W184" s="11"/>
    </row>
    <row r="185" spans="2:23">
      <c r="B185" s="11"/>
      <c r="C185" s="11"/>
      <c r="D185" s="90"/>
      <c r="E185" s="90"/>
      <c r="F185" s="90"/>
      <c r="G185" s="90"/>
      <c r="H185" s="90"/>
      <c r="I185" s="11"/>
      <c r="J185" s="11"/>
      <c r="O185" s="11"/>
      <c r="P185" s="11"/>
      <c r="Q185" s="11"/>
      <c r="R185" s="11"/>
      <c r="S185" s="11"/>
      <c r="T185" s="11"/>
      <c r="U185" s="11"/>
      <c r="V185" s="11"/>
      <c r="W185" s="11"/>
    </row>
    <row r="186" spans="2:23">
      <c r="B186" s="11"/>
      <c r="C186" s="11"/>
      <c r="D186" s="90"/>
      <c r="E186" s="90"/>
      <c r="F186" s="90"/>
      <c r="G186" s="90"/>
      <c r="H186" s="90"/>
      <c r="I186" s="11"/>
      <c r="J186" s="11"/>
      <c r="O186" s="11"/>
      <c r="P186" s="11"/>
      <c r="Q186" s="11"/>
      <c r="R186" s="11"/>
      <c r="S186" s="11"/>
      <c r="T186" s="11"/>
      <c r="U186" s="11"/>
      <c r="V186" s="11"/>
      <c r="W186" s="11"/>
    </row>
    <row r="187" spans="2:23">
      <c r="B187" s="11"/>
      <c r="C187" s="11"/>
      <c r="D187" s="90"/>
      <c r="E187" s="90"/>
      <c r="F187" s="90"/>
      <c r="G187" s="90"/>
      <c r="H187" s="90"/>
      <c r="I187" s="11"/>
      <c r="J187" s="11"/>
      <c r="O187" s="11"/>
      <c r="P187" s="11"/>
      <c r="Q187" s="11"/>
      <c r="R187" s="11"/>
      <c r="S187" s="11"/>
      <c r="T187" s="11"/>
      <c r="U187" s="11"/>
      <c r="V187" s="11"/>
      <c r="W187" s="11"/>
    </row>
    <row r="188" spans="2:23">
      <c r="B188" s="11"/>
      <c r="C188" s="11"/>
      <c r="D188" s="90"/>
      <c r="E188" s="90"/>
      <c r="F188" s="90"/>
      <c r="G188" s="90"/>
      <c r="H188" s="90"/>
      <c r="I188" s="11"/>
      <c r="J188" s="11"/>
      <c r="O188" s="11"/>
      <c r="P188" s="11"/>
      <c r="Q188" s="11"/>
      <c r="R188" s="11"/>
      <c r="S188" s="11"/>
      <c r="T188" s="11"/>
      <c r="U188" s="11"/>
      <c r="V188" s="11"/>
      <c r="W188" s="11"/>
    </row>
    <row r="189" spans="2:23">
      <c r="B189" s="11"/>
      <c r="C189" s="11"/>
      <c r="D189" s="90"/>
      <c r="E189" s="90"/>
      <c r="F189" s="90"/>
      <c r="G189" s="90"/>
      <c r="H189" s="90"/>
      <c r="I189" s="11"/>
      <c r="J189" s="11"/>
      <c r="O189" s="11"/>
      <c r="P189" s="11"/>
      <c r="Q189" s="11"/>
      <c r="R189" s="11"/>
      <c r="S189" s="11"/>
      <c r="T189" s="11"/>
      <c r="U189" s="11"/>
      <c r="V189" s="11"/>
      <c r="W189" s="11"/>
    </row>
    <row r="190" spans="2:23">
      <c r="B190" s="11"/>
      <c r="C190" s="11"/>
      <c r="D190" s="90"/>
      <c r="E190" s="90"/>
      <c r="F190" s="90"/>
      <c r="G190" s="90"/>
      <c r="H190" s="90"/>
      <c r="I190" s="11"/>
      <c r="J190" s="11"/>
      <c r="O190" s="11"/>
      <c r="P190" s="11"/>
      <c r="Q190" s="11"/>
      <c r="R190" s="11"/>
      <c r="S190" s="11"/>
      <c r="T190" s="11"/>
      <c r="U190" s="11"/>
      <c r="V190" s="11"/>
      <c r="W190" s="11"/>
    </row>
    <row r="191" spans="2:23">
      <c r="B191" s="11"/>
      <c r="C191" s="11"/>
      <c r="D191" s="90"/>
      <c r="E191" s="90"/>
      <c r="F191" s="90"/>
      <c r="G191" s="90"/>
      <c r="H191" s="90"/>
      <c r="I191" s="11"/>
      <c r="J191" s="11"/>
      <c r="O191" s="11"/>
      <c r="P191" s="11"/>
      <c r="Q191" s="11"/>
      <c r="R191" s="11"/>
      <c r="S191" s="11"/>
      <c r="T191" s="11"/>
      <c r="U191" s="11"/>
      <c r="V191" s="11"/>
      <c r="W191" s="11"/>
    </row>
    <row r="192" spans="2:23">
      <c r="B192" s="11"/>
      <c r="C192" s="11"/>
      <c r="D192" s="90"/>
      <c r="E192" s="90"/>
      <c r="F192" s="90"/>
      <c r="G192" s="90"/>
      <c r="H192" s="90"/>
      <c r="I192" s="11"/>
      <c r="J192" s="11"/>
      <c r="O192" s="11"/>
      <c r="P192" s="11"/>
      <c r="Q192" s="11"/>
      <c r="R192" s="11"/>
      <c r="S192" s="11"/>
      <c r="T192" s="11"/>
      <c r="U192" s="11"/>
      <c r="V192" s="11"/>
      <c r="W192" s="11"/>
    </row>
    <row r="193" spans="2:23">
      <c r="B193" s="11"/>
      <c r="C193" s="11"/>
      <c r="D193" s="90"/>
      <c r="E193" s="90"/>
      <c r="F193" s="90"/>
      <c r="G193" s="90"/>
      <c r="H193" s="90"/>
      <c r="I193" s="11"/>
      <c r="J193" s="11"/>
      <c r="O193" s="11"/>
      <c r="P193" s="11"/>
      <c r="Q193" s="11"/>
      <c r="R193" s="11"/>
      <c r="S193" s="11"/>
      <c r="T193" s="11"/>
      <c r="U193" s="11"/>
      <c r="V193" s="11"/>
      <c r="W193" s="11"/>
    </row>
    <row r="194" spans="2:23">
      <c r="B194" s="11"/>
      <c r="C194" s="11"/>
      <c r="D194" s="90"/>
      <c r="E194" s="90"/>
      <c r="F194" s="90"/>
      <c r="G194" s="90"/>
      <c r="H194" s="90"/>
      <c r="I194" s="11"/>
      <c r="J194" s="11"/>
      <c r="O194" s="11"/>
      <c r="P194" s="11"/>
      <c r="Q194" s="11"/>
      <c r="R194" s="11"/>
      <c r="S194" s="11"/>
      <c r="T194" s="11"/>
      <c r="U194" s="11"/>
      <c r="V194" s="11"/>
      <c r="W194" s="11"/>
    </row>
    <row r="195" spans="2:23">
      <c r="B195" s="11"/>
      <c r="C195" s="11"/>
      <c r="D195" s="90"/>
      <c r="E195" s="90"/>
      <c r="F195" s="90"/>
      <c r="G195" s="90"/>
      <c r="H195" s="90"/>
      <c r="I195" s="11"/>
      <c r="J195" s="11"/>
      <c r="O195" s="11"/>
      <c r="P195" s="11"/>
      <c r="Q195" s="11"/>
      <c r="R195" s="11"/>
      <c r="S195" s="11"/>
      <c r="T195" s="11"/>
      <c r="U195" s="11"/>
      <c r="V195" s="11"/>
      <c r="W195" s="11"/>
    </row>
    <row r="196" spans="2:23">
      <c r="B196" s="11"/>
      <c r="C196" s="11"/>
      <c r="D196" s="90"/>
      <c r="E196" s="90"/>
      <c r="F196" s="90"/>
      <c r="G196" s="90"/>
      <c r="H196" s="90"/>
      <c r="I196" s="11"/>
      <c r="J196" s="11"/>
      <c r="O196" s="11"/>
      <c r="P196" s="11"/>
      <c r="Q196" s="11"/>
      <c r="R196" s="11"/>
      <c r="S196" s="11"/>
      <c r="T196" s="11"/>
      <c r="U196" s="11"/>
      <c r="V196" s="11"/>
      <c r="W196" s="11"/>
    </row>
    <row r="197" spans="2:23">
      <c r="B197" s="11"/>
      <c r="C197" s="11"/>
      <c r="D197" s="90"/>
      <c r="E197" s="90"/>
      <c r="F197" s="90"/>
      <c r="G197" s="90"/>
      <c r="H197" s="90"/>
      <c r="I197" s="11"/>
      <c r="J197" s="11"/>
      <c r="O197" s="11"/>
      <c r="P197" s="11"/>
      <c r="Q197" s="11"/>
      <c r="R197" s="11"/>
      <c r="S197" s="11"/>
      <c r="T197" s="11"/>
      <c r="U197" s="11"/>
      <c r="V197" s="11"/>
      <c r="W197" s="11"/>
    </row>
    <row r="198" spans="2:23">
      <c r="B198" s="11"/>
      <c r="C198" s="11"/>
      <c r="D198" s="90"/>
      <c r="E198" s="90"/>
      <c r="F198" s="90"/>
      <c r="G198" s="90"/>
      <c r="H198" s="90"/>
      <c r="I198" s="11"/>
      <c r="J198" s="11"/>
      <c r="O198" s="11"/>
      <c r="P198" s="11"/>
      <c r="Q198" s="11"/>
      <c r="R198" s="11"/>
      <c r="S198" s="11"/>
      <c r="T198" s="11"/>
      <c r="U198" s="11"/>
      <c r="V198" s="11"/>
      <c r="W198" s="11"/>
    </row>
    <row r="199" spans="2:23">
      <c r="B199" s="11"/>
      <c r="C199" s="11"/>
      <c r="D199" s="90"/>
      <c r="E199" s="90"/>
      <c r="F199" s="90"/>
      <c r="G199" s="90"/>
      <c r="H199" s="90"/>
      <c r="I199" s="11"/>
      <c r="J199" s="11"/>
      <c r="O199" s="11"/>
      <c r="P199" s="11"/>
      <c r="Q199" s="11"/>
      <c r="R199" s="11"/>
      <c r="S199" s="11"/>
      <c r="T199" s="11"/>
      <c r="U199" s="11"/>
      <c r="V199" s="11"/>
      <c r="W199" s="11"/>
    </row>
    <row r="200" spans="2:23">
      <c r="B200" s="11"/>
      <c r="C200" s="11"/>
      <c r="D200" s="90"/>
      <c r="E200" s="90"/>
      <c r="F200" s="90"/>
      <c r="G200" s="90"/>
      <c r="H200" s="90"/>
      <c r="I200" s="11"/>
      <c r="J200" s="11"/>
      <c r="O200" s="11"/>
      <c r="P200" s="11"/>
      <c r="Q200" s="11"/>
      <c r="R200" s="11"/>
      <c r="S200" s="11"/>
      <c r="T200" s="11"/>
      <c r="U200" s="11"/>
      <c r="V200" s="11"/>
      <c r="W200" s="11"/>
    </row>
    <row r="201" spans="2:23">
      <c r="B201" s="11"/>
      <c r="C201" s="11"/>
      <c r="D201" s="90"/>
      <c r="E201" s="90"/>
      <c r="F201" s="90"/>
      <c r="G201" s="90"/>
      <c r="H201" s="90"/>
      <c r="I201" s="11"/>
      <c r="J201" s="11"/>
      <c r="O201" s="11"/>
      <c r="P201" s="11"/>
      <c r="Q201" s="11"/>
      <c r="R201" s="11"/>
      <c r="S201" s="11"/>
      <c r="T201" s="11"/>
      <c r="U201" s="11"/>
      <c r="V201" s="11"/>
      <c r="W201" s="11"/>
    </row>
    <row r="202" spans="2:23">
      <c r="B202" s="11"/>
      <c r="C202" s="11"/>
      <c r="D202" s="90"/>
      <c r="E202" s="90"/>
      <c r="F202" s="90"/>
      <c r="G202" s="90"/>
      <c r="H202" s="90"/>
      <c r="I202" s="11"/>
      <c r="J202" s="11"/>
      <c r="O202" s="11"/>
      <c r="P202" s="11"/>
      <c r="Q202" s="11"/>
      <c r="R202" s="11"/>
      <c r="S202" s="11"/>
      <c r="T202" s="11"/>
      <c r="U202" s="11"/>
      <c r="V202" s="11"/>
      <c r="W202" s="11"/>
    </row>
    <row r="203" spans="2:23">
      <c r="B203" s="11"/>
      <c r="C203" s="11"/>
      <c r="D203" s="90"/>
      <c r="E203" s="90"/>
      <c r="F203" s="90"/>
      <c r="G203" s="90"/>
      <c r="H203" s="90"/>
      <c r="I203" s="11"/>
      <c r="J203" s="11"/>
      <c r="O203" s="11"/>
      <c r="P203" s="11"/>
      <c r="Q203" s="11"/>
      <c r="R203" s="11"/>
      <c r="S203" s="11"/>
      <c r="T203" s="11"/>
      <c r="U203" s="11"/>
      <c r="V203" s="11"/>
      <c r="W203" s="11"/>
    </row>
    <row r="204" spans="2:23">
      <c r="B204" s="11"/>
      <c r="C204" s="11"/>
      <c r="D204" s="90"/>
      <c r="E204" s="90"/>
      <c r="F204" s="90"/>
      <c r="G204" s="90"/>
      <c r="H204" s="90"/>
      <c r="I204" s="11"/>
      <c r="J204" s="11"/>
      <c r="O204" s="11"/>
      <c r="P204" s="11"/>
      <c r="Q204" s="11"/>
      <c r="R204" s="11"/>
      <c r="S204" s="11"/>
      <c r="T204" s="11"/>
      <c r="U204" s="11"/>
      <c r="V204" s="11"/>
      <c r="W204" s="11"/>
    </row>
    <row r="205" spans="2:23">
      <c r="B205" s="11"/>
      <c r="C205" s="11"/>
      <c r="D205" s="90"/>
      <c r="E205" s="90"/>
      <c r="F205" s="90"/>
      <c r="G205" s="90"/>
      <c r="H205" s="90"/>
      <c r="I205" s="11"/>
      <c r="J205" s="11"/>
      <c r="O205" s="11"/>
      <c r="P205" s="11"/>
      <c r="Q205" s="11"/>
      <c r="R205" s="11"/>
      <c r="S205" s="11"/>
      <c r="T205" s="11"/>
      <c r="U205" s="11"/>
      <c r="V205" s="11"/>
      <c r="W205" s="11"/>
    </row>
    <row r="206" spans="2:23">
      <c r="B206" s="11"/>
      <c r="C206" s="11"/>
      <c r="D206" s="90"/>
      <c r="E206" s="90"/>
      <c r="F206" s="90"/>
      <c r="G206" s="90"/>
      <c r="H206" s="90"/>
      <c r="I206" s="11"/>
      <c r="J206" s="11"/>
      <c r="O206" s="11"/>
      <c r="P206" s="11"/>
      <c r="Q206" s="11"/>
      <c r="R206" s="11"/>
      <c r="S206" s="11"/>
      <c r="T206" s="11"/>
      <c r="U206" s="11"/>
      <c r="V206" s="11"/>
      <c r="W206" s="11"/>
    </row>
    <row r="207" spans="2:23">
      <c r="B207" s="11"/>
      <c r="C207" s="11"/>
      <c r="D207" s="90"/>
      <c r="E207" s="90"/>
      <c r="F207" s="90"/>
      <c r="G207" s="90"/>
      <c r="H207" s="90"/>
      <c r="I207" s="11"/>
      <c r="J207" s="11"/>
      <c r="O207" s="11"/>
      <c r="P207" s="11"/>
      <c r="Q207" s="11"/>
      <c r="R207" s="11"/>
      <c r="S207" s="11"/>
      <c r="T207" s="11"/>
      <c r="U207" s="11"/>
      <c r="V207" s="11"/>
      <c r="W207" s="11"/>
    </row>
    <row r="208" spans="2:23">
      <c r="B208" s="11"/>
      <c r="C208" s="11"/>
      <c r="D208" s="90"/>
      <c r="E208" s="90"/>
      <c r="F208" s="90"/>
      <c r="G208" s="90"/>
      <c r="H208" s="90"/>
      <c r="I208" s="11"/>
      <c r="J208" s="11"/>
      <c r="O208" s="11"/>
      <c r="P208" s="11"/>
      <c r="Q208" s="11"/>
      <c r="R208" s="11"/>
      <c r="S208" s="11"/>
      <c r="T208" s="11"/>
      <c r="U208" s="11"/>
      <c r="V208" s="11"/>
      <c r="W208" s="11"/>
    </row>
    <row r="209" spans="2:23">
      <c r="B209" s="11"/>
      <c r="C209" s="11"/>
      <c r="D209" s="90"/>
      <c r="E209" s="90"/>
      <c r="F209" s="90"/>
      <c r="G209" s="90"/>
      <c r="H209" s="90"/>
      <c r="I209" s="11"/>
      <c r="J209" s="11"/>
      <c r="O209" s="11"/>
      <c r="P209" s="11"/>
      <c r="Q209" s="11"/>
      <c r="R209" s="11"/>
      <c r="S209" s="11"/>
      <c r="T209" s="11"/>
      <c r="U209" s="11"/>
      <c r="V209" s="11"/>
      <c r="W209" s="11"/>
    </row>
    <row r="210" spans="2:23">
      <c r="B210" s="11"/>
      <c r="C210" s="11"/>
      <c r="D210" s="90"/>
      <c r="E210" s="90"/>
      <c r="F210" s="90"/>
      <c r="G210" s="90"/>
      <c r="H210" s="90"/>
      <c r="I210" s="11"/>
      <c r="J210" s="11"/>
      <c r="O210" s="11"/>
      <c r="P210" s="11"/>
      <c r="Q210" s="11"/>
      <c r="R210" s="11"/>
      <c r="S210" s="11"/>
      <c r="T210" s="11"/>
      <c r="U210" s="11"/>
      <c r="V210" s="11"/>
      <c r="W210" s="11"/>
    </row>
    <row r="211" spans="2:23">
      <c r="B211" s="11"/>
      <c r="C211" s="11"/>
      <c r="D211" s="90"/>
      <c r="E211" s="90"/>
      <c r="F211" s="90"/>
      <c r="G211" s="90"/>
      <c r="H211" s="90"/>
      <c r="I211" s="11"/>
      <c r="J211" s="11"/>
      <c r="O211" s="11"/>
      <c r="P211" s="11"/>
      <c r="Q211" s="11"/>
      <c r="R211" s="11"/>
      <c r="S211" s="11"/>
      <c r="T211" s="11"/>
      <c r="U211" s="11"/>
      <c r="V211" s="11"/>
      <c r="W211" s="11"/>
    </row>
    <row r="212" spans="2:23">
      <c r="B212" s="11"/>
      <c r="C212" s="11"/>
      <c r="D212" s="90"/>
      <c r="E212" s="90"/>
      <c r="F212" s="90"/>
      <c r="G212" s="90"/>
      <c r="H212" s="90"/>
      <c r="I212" s="11"/>
      <c r="J212" s="11"/>
      <c r="O212" s="11"/>
      <c r="P212" s="11"/>
      <c r="Q212" s="11"/>
      <c r="R212" s="11"/>
      <c r="S212" s="11"/>
      <c r="T212" s="11"/>
      <c r="U212" s="11"/>
      <c r="V212" s="11"/>
      <c r="W212" s="11"/>
    </row>
    <row r="213" spans="2:23">
      <c r="B213" s="11"/>
      <c r="C213" s="11"/>
      <c r="D213" s="90"/>
      <c r="E213" s="90"/>
      <c r="F213" s="90"/>
      <c r="G213" s="90"/>
      <c r="H213" s="90"/>
      <c r="I213" s="11"/>
      <c r="J213" s="11"/>
      <c r="O213" s="11"/>
      <c r="P213" s="11"/>
      <c r="Q213" s="11"/>
      <c r="R213" s="11"/>
      <c r="S213" s="11"/>
      <c r="T213" s="11"/>
      <c r="U213" s="11"/>
      <c r="V213" s="11"/>
      <c r="W213" s="11"/>
    </row>
    <row r="214" spans="2:23">
      <c r="B214" s="11"/>
      <c r="C214" s="11"/>
      <c r="D214" s="90"/>
      <c r="E214" s="90"/>
      <c r="F214" s="90"/>
      <c r="G214" s="90"/>
      <c r="H214" s="90"/>
      <c r="I214" s="11"/>
      <c r="J214" s="11"/>
      <c r="O214" s="11"/>
      <c r="P214" s="11"/>
      <c r="Q214" s="11"/>
      <c r="R214" s="11"/>
      <c r="S214" s="11"/>
      <c r="T214" s="11"/>
      <c r="U214" s="11"/>
      <c r="V214" s="11"/>
      <c r="W214" s="11"/>
    </row>
    <row r="215" spans="2:23">
      <c r="B215" s="11"/>
      <c r="C215" s="11"/>
      <c r="D215" s="90"/>
      <c r="E215" s="90"/>
      <c r="F215" s="90"/>
      <c r="G215" s="90"/>
      <c r="H215" s="90"/>
      <c r="I215" s="11"/>
      <c r="J215" s="11"/>
      <c r="O215" s="11"/>
      <c r="P215" s="11"/>
      <c r="Q215" s="11"/>
      <c r="R215" s="11"/>
      <c r="S215" s="11"/>
      <c r="T215" s="11"/>
      <c r="U215" s="11"/>
      <c r="V215" s="11"/>
      <c r="W215" s="11"/>
    </row>
    <row r="216" spans="2:23">
      <c r="B216" s="11"/>
      <c r="C216" s="11"/>
      <c r="D216" s="90"/>
      <c r="E216" s="90"/>
      <c r="F216" s="90"/>
      <c r="G216" s="90"/>
      <c r="H216" s="90"/>
      <c r="I216" s="11"/>
      <c r="J216" s="11"/>
      <c r="O216" s="11"/>
      <c r="P216" s="11"/>
      <c r="Q216" s="11"/>
      <c r="R216" s="11"/>
      <c r="S216" s="11"/>
      <c r="T216" s="11"/>
      <c r="U216" s="11"/>
      <c r="V216" s="11"/>
      <c r="W216" s="11"/>
    </row>
    <row r="217" spans="2:23">
      <c r="B217" s="11"/>
      <c r="C217" s="11"/>
      <c r="D217" s="90"/>
      <c r="E217" s="90"/>
      <c r="F217" s="90"/>
      <c r="G217" s="90"/>
      <c r="H217" s="90"/>
      <c r="I217" s="11"/>
      <c r="J217" s="11"/>
      <c r="O217" s="11"/>
      <c r="P217" s="11"/>
      <c r="Q217" s="11"/>
      <c r="R217" s="11"/>
      <c r="S217" s="11"/>
      <c r="T217" s="11"/>
      <c r="U217" s="11"/>
      <c r="V217" s="11"/>
      <c r="W217" s="11"/>
    </row>
    <row r="218" spans="2:23">
      <c r="B218" s="11"/>
      <c r="C218" s="11"/>
      <c r="D218" s="90"/>
      <c r="E218" s="90"/>
      <c r="F218" s="90"/>
      <c r="G218" s="90"/>
      <c r="H218" s="90"/>
      <c r="I218" s="11"/>
      <c r="J218" s="11"/>
      <c r="O218" s="11"/>
      <c r="P218" s="11"/>
      <c r="Q218" s="11"/>
      <c r="R218" s="11"/>
      <c r="S218" s="11"/>
      <c r="T218" s="11"/>
      <c r="U218" s="11"/>
      <c r="V218" s="11"/>
      <c r="W218" s="11"/>
    </row>
    <row r="219" spans="2:23">
      <c r="B219" s="11"/>
      <c r="C219" s="11"/>
      <c r="D219" s="90"/>
      <c r="E219" s="90"/>
      <c r="F219" s="90"/>
      <c r="G219" s="90"/>
      <c r="H219" s="90"/>
      <c r="I219" s="11"/>
      <c r="J219" s="11"/>
      <c r="O219" s="11"/>
      <c r="P219" s="11"/>
      <c r="Q219" s="11"/>
      <c r="R219" s="11"/>
      <c r="S219" s="11"/>
      <c r="T219" s="11"/>
      <c r="U219" s="11"/>
      <c r="V219" s="11"/>
      <c r="W219" s="11"/>
    </row>
    <row r="220" spans="2:23">
      <c r="B220" s="11"/>
      <c r="C220" s="11"/>
      <c r="D220" s="90"/>
      <c r="E220" s="90"/>
      <c r="F220" s="90"/>
      <c r="G220" s="90"/>
      <c r="H220" s="90"/>
      <c r="I220" s="11"/>
      <c r="J220" s="11"/>
      <c r="O220" s="11"/>
      <c r="P220" s="11"/>
      <c r="Q220" s="11"/>
      <c r="R220" s="11"/>
      <c r="S220" s="11"/>
      <c r="T220" s="11"/>
      <c r="U220" s="11"/>
      <c r="V220" s="11"/>
      <c r="W220" s="11"/>
    </row>
    <row r="221" spans="2:23">
      <c r="B221" s="11"/>
      <c r="C221" s="11"/>
      <c r="D221" s="90"/>
      <c r="E221" s="90"/>
      <c r="F221" s="90"/>
      <c r="G221" s="90"/>
      <c r="H221" s="90"/>
      <c r="I221" s="11"/>
      <c r="J221" s="11"/>
      <c r="O221" s="11"/>
      <c r="P221" s="11"/>
      <c r="Q221" s="11"/>
      <c r="R221" s="11"/>
      <c r="S221" s="11"/>
      <c r="T221" s="11"/>
      <c r="U221" s="11"/>
      <c r="V221" s="11"/>
      <c r="W221" s="11"/>
    </row>
    <row r="222" spans="2:23">
      <c r="B222" s="11"/>
      <c r="C222" s="11"/>
      <c r="D222" s="90"/>
      <c r="E222" s="90"/>
      <c r="F222" s="90"/>
      <c r="G222" s="90"/>
      <c r="H222" s="90"/>
      <c r="I222" s="11"/>
      <c r="J222" s="11"/>
      <c r="O222" s="11"/>
      <c r="P222" s="11"/>
      <c r="Q222" s="11"/>
      <c r="R222" s="11"/>
      <c r="S222" s="11"/>
      <c r="T222" s="11"/>
      <c r="U222" s="11"/>
      <c r="V222" s="11"/>
      <c r="W222" s="11"/>
    </row>
    <row r="223" spans="2:23">
      <c r="B223" s="11"/>
      <c r="C223" s="11"/>
      <c r="D223" s="90"/>
      <c r="E223" s="90"/>
      <c r="F223" s="90"/>
      <c r="G223" s="90"/>
      <c r="H223" s="90"/>
      <c r="I223" s="11"/>
      <c r="J223" s="11"/>
      <c r="O223" s="11"/>
      <c r="P223" s="11"/>
      <c r="Q223" s="11"/>
      <c r="R223" s="11"/>
      <c r="S223" s="11"/>
      <c r="T223" s="11"/>
      <c r="U223" s="11"/>
      <c r="V223" s="11"/>
      <c r="W223" s="11"/>
    </row>
    <row r="224" spans="2:23">
      <c r="B224" s="11"/>
      <c r="C224" s="11"/>
      <c r="D224" s="90"/>
      <c r="E224" s="90"/>
      <c r="F224" s="90"/>
      <c r="G224" s="90"/>
      <c r="H224" s="90"/>
      <c r="I224" s="11"/>
      <c r="J224" s="11"/>
      <c r="O224" s="11"/>
      <c r="P224" s="11"/>
      <c r="Q224" s="11"/>
      <c r="R224" s="11"/>
      <c r="S224" s="11"/>
      <c r="T224" s="11"/>
      <c r="U224" s="11"/>
      <c r="V224" s="11"/>
      <c r="W224" s="11"/>
    </row>
    <row r="225" spans="2:23">
      <c r="B225" s="11"/>
      <c r="C225" s="11"/>
      <c r="D225" s="90"/>
      <c r="E225" s="90"/>
      <c r="F225" s="90"/>
      <c r="G225" s="90"/>
      <c r="H225" s="90"/>
      <c r="I225" s="11"/>
      <c r="J225" s="11"/>
      <c r="O225" s="11"/>
      <c r="P225" s="11"/>
      <c r="Q225" s="11"/>
      <c r="R225" s="11"/>
      <c r="S225" s="11"/>
      <c r="T225" s="11"/>
      <c r="U225" s="11"/>
      <c r="V225" s="11"/>
      <c r="W225" s="11"/>
    </row>
    <row r="226" spans="2:23">
      <c r="B226" s="11"/>
      <c r="C226" s="11"/>
      <c r="D226" s="90"/>
      <c r="E226" s="90"/>
      <c r="F226" s="90"/>
      <c r="G226" s="90"/>
      <c r="H226" s="90"/>
      <c r="I226" s="11"/>
      <c r="J226" s="11"/>
      <c r="O226" s="11"/>
      <c r="P226" s="11"/>
      <c r="Q226" s="11"/>
      <c r="R226" s="11"/>
      <c r="S226" s="11"/>
      <c r="T226" s="11"/>
      <c r="U226" s="11"/>
      <c r="V226" s="11"/>
      <c r="W226" s="11"/>
    </row>
    <row r="227" spans="2:23">
      <c r="B227" s="11"/>
      <c r="C227" s="11"/>
      <c r="D227" s="90"/>
      <c r="E227" s="90"/>
      <c r="F227" s="90"/>
      <c r="G227" s="90"/>
      <c r="H227" s="90"/>
      <c r="I227" s="11"/>
      <c r="J227" s="11"/>
      <c r="O227" s="11"/>
      <c r="P227" s="11"/>
      <c r="Q227" s="11"/>
      <c r="R227" s="11"/>
      <c r="S227" s="11"/>
      <c r="T227" s="11"/>
      <c r="U227" s="11"/>
      <c r="V227" s="11"/>
      <c r="W227" s="11"/>
    </row>
    <row r="228" spans="2:23">
      <c r="B228" s="11"/>
      <c r="C228" s="11"/>
      <c r="D228" s="90"/>
      <c r="E228" s="90"/>
      <c r="F228" s="90"/>
      <c r="G228" s="90"/>
      <c r="H228" s="90"/>
      <c r="I228" s="11"/>
      <c r="J228" s="11"/>
      <c r="O228" s="11"/>
      <c r="P228" s="11"/>
      <c r="Q228" s="11"/>
      <c r="R228" s="11"/>
      <c r="S228" s="11"/>
      <c r="T228" s="11"/>
      <c r="U228" s="11"/>
      <c r="V228" s="11"/>
      <c r="W228" s="11"/>
    </row>
    <row r="229" spans="2:23">
      <c r="B229" s="11"/>
      <c r="C229" s="11"/>
      <c r="D229" s="90"/>
      <c r="E229" s="90"/>
      <c r="F229" s="90"/>
      <c r="G229" s="90"/>
      <c r="H229" s="90"/>
      <c r="I229" s="11"/>
      <c r="J229" s="11"/>
      <c r="O229" s="11"/>
      <c r="P229" s="11"/>
      <c r="Q229" s="11"/>
      <c r="R229" s="11"/>
      <c r="S229" s="11"/>
      <c r="T229" s="11"/>
      <c r="U229" s="11"/>
      <c r="V229" s="11"/>
      <c r="W229" s="11"/>
    </row>
    <row r="230" spans="2:23">
      <c r="B230" s="11"/>
      <c r="C230" s="11"/>
      <c r="D230" s="90"/>
      <c r="E230" s="90"/>
      <c r="F230" s="90"/>
      <c r="G230" s="90"/>
      <c r="H230" s="90"/>
      <c r="I230" s="11"/>
      <c r="J230" s="11"/>
      <c r="O230" s="11"/>
      <c r="P230" s="11"/>
      <c r="Q230" s="11"/>
      <c r="R230" s="11"/>
      <c r="S230" s="11"/>
      <c r="T230" s="11"/>
      <c r="U230" s="11"/>
      <c r="V230" s="11"/>
      <c r="W230" s="11"/>
    </row>
    <row r="231" spans="2:23">
      <c r="B231" s="11"/>
      <c r="C231" s="11"/>
      <c r="D231" s="90"/>
      <c r="E231" s="90"/>
      <c r="F231" s="90"/>
      <c r="G231" s="90"/>
      <c r="H231" s="90"/>
      <c r="I231" s="11"/>
      <c r="J231" s="11"/>
      <c r="O231" s="11"/>
      <c r="P231" s="11"/>
      <c r="Q231" s="11"/>
      <c r="R231" s="11"/>
      <c r="S231" s="11"/>
      <c r="T231" s="11"/>
      <c r="U231" s="11"/>
      <c r="V231" s="11"/>
      <c r="W231" s="11"/>
    </row>
    <row r="232" spans="2:23">
      <c r="B232" s="11"/>
      <c r="C232" s="11"/>
      <c r="D232" s="90"/>
      <c r="E232" s="90"/>
      <c r="F232" s="90"/>
      <c r="G232" s="90"/>
      <c r="H232" s="90"/>
      <c r="I232" s="11"/>
      <c r="J232" s="11"/>
      <c r="O232" s="11"/>
      <c r="P232" s="11"/>
      <c r="Q232" s="11"/>
      <c r="R232" s="11"/>
      <c r="S232" s="11"/>
      <c r="T232" s="11"/>
      <c r="U232" s="11"/>
      <c r="V232" s="11"/>
      <c r="W232" s="11"/>
    </row>
    <row r="233" spans="2:23">
      <c r="B233" s="11"/>
      <c r="C233" s="11"/>
      <c r="D233" s="90"/>
      <c r="E233" s="90"/>
      <c r="F233" s="90"/>
      <c r="G233" s="90"/>
      <c r="H233" s="90"/>
      <c r="I233" s="11"/>
      <c r="J233" s="11"/>
      <c r="O233" s="11"/>
      <c r="P233" s="11"/>
      <c r="Q233" s="11"/>
      <c r="R233" s="11"/>
      <c r="S233" s="11"/>
      <c r="T233" s="11"/>
      <c r="U233" s="11"/>
      <c r="V233" s="11"/>
      <c r="W233" s="11"/>
    </row>
    <row r="234" spans="2:23">
      <c r="B234" s="11"/>
      <c r="C234" s="11"/>
      <c r="D234" s="90"/>
      <c r="E234" s="90"/>
      <c r="F234" s="90"/>
      <c r="G234" s="90"/>
      <c r="H234" s="90"/>
      <c r="I234" s="11"/>
      <c r="J234" s="11"/>
      <c r="O234" s="11"/>
      <c r="P234" s="11"/>
      <c r="Q234" s="11"/>
      <c r="R234" s="11"/>
      <c r="S234" s="11"/>
      <c r="T234" s="11"/>
      <c r="U234" s="11"/>
      <c r="V234" s="11"/>
      <c r="W234" s="11"/>
    </row>
    <row r="235" spans="2:23">
      <c r="B235" s="11"/>
      <c r="C235" s="11"/>
      <c r="D235" s="90"/>
      <c r="E235" s="90"/>
      <c r="F235" s="90"/>
      <c r="G235" s="90"/>
      <c r="H235" s="90"/>
      <c r="I235" s="11"/>
      <c r="J235" s="11"/>
      <c r="O235" s="11"/>
      <c r="P235" s="11"/>
      <c r="Q235" s="11"/>
      <c r="R235" s="11"/>
      <c r="S235" s="11"/>
      <c r="T235" s="11"/>
      <c r="U235" s="11"/>
      <c r="V235" s="11"/>
      <c r="W235" s="11"/>
    </row>
    <row r="236" spans="2:23">
      <c r="B236" s="11"/>
      <c r="C236" s="11"/>
      <c r="D236" s="90"/>
      <c r="E236" s="90"/>
      <c r="F236" s="90"/>
      <c r="G236" s="90"/>
      <c r="H236" s="90"/>
      <c r="I236" s="11"/>
      <c r="J236" s="11"/>
      <c r="O236" s="11"/>
      <c r="P236" s="11"/>
      <c r="Q236" s="11"/>
      <c r="R236" s="11"/>
      <c r="S236" s="11"/>
      <c r="T236" s="11"/>
      <c r="U236" s="11"/>
      <c r="V236" s="11"/>
      <c r="W236" s="11"/>
    </row>
    <row r="237" spans="2:23">
      <c r="B237" s="11"/>
      <c r="C237" s="11"/>
      <c r="D237" s="90"/>
      <c r="E237" s="90"/>
      <c r="F237" s="90"/>
      <c r="G237" s="90"/>
      <c r="H237" s="90"/>
      <c r="I237" s="11"/>
      <c r="J237" s="11"/>
      <c r="O237" s="11"/>
      <c r="P237" s="11"/>
      <c r="Q237" s="11"/>
      <c r="R237" s="11"/>
      <c r="S237" s="11"/>
      <c r="T237" s="11"/>
      <c r="U237" s="11"/>
      <c r="V237" s="11"/>
      <c r="W237" s="11"/>
    </row>
    <row r="238" spans="2:23">
      <c r="B238" s="11"/>
      <c r="C238" s="11"/>
      <c r="D238" s="90"/>
      <c r="E238" s="90"/>
      <c r="F238" s="90"/>
      <c r="G238" s="90"/>
      <c r="H238" s="90"/>
      <c r="I238" s="11"/>
      <c r="J238" s="11"/>
      <c r="O238" s="11"/>
      <c r="P238" s="11"/>
      <c r="Q238" s="11"/>
      <c r="R238" s="11"/>
      <c r="S238" s="11"/>
      <c r="T238" s="11"/>
      <c r="U238" s="11"/>
      <c r="V238" s="11"/>
      <c r="W238" s="11"/>
    </row>
    <row r="239" spans="2:23">
      <c r="B239" s="11"/>
      <c r="C239" s="11"/>
      <c r="D239" s="90"/>
      <c r="E239" s="90"/>
      <c r="F239" s="90"/>
      <c r="G239" s="90"/>
      <c r="H239" s="90"/>
      <c r="I239" s="11"/>
      <c r="J239" s="11"/>
      <c r="O239" s="11"/>
      <c r="P239" s="11"/>
      <c r="Q239" s="11"/>
      <c r="R239" s="11"/>
      <c r="S239" s="11"/>
      <c r="T239" s="11"/>
      <c r="U239" s="11"/>
      <c r="V239" s="11"/>
      <c r="W239" s="11"/>
    </row>
  </sheetData>
  <conditionalFormatting sqref="F128:F130">
    <cfRule type="cellIs" dxfId="45" priority="11" operator="lessThan">
      <formula>D128</formula>
    </cfRule>
  </conditionalFormatting>
  <conditionalFormatting sqref="F123:F125">
    <cfRule type="cellIs" dxfId="44" priority="12" operator="lessThan">
      <formula>D123</formula>
    </cfRule>
  </conditionalFormatting>
  <conditionalFormatting sqref="F118">
    <cfRule type="cellIs" dxfId="43" priority="13" operator="lessThan">
      <formula>D118</formula>
    </cfRule>
  </conditionalFormatting>
  <conditionalFormatting sqref="F117">
    <cfRule type="cellIs" dxfId="42" priority="14" operator="lessThan">
      <formula>D117</formula>
    </cfRule>
  </conditionalFormatting>
  <conditionalFormatting sqref="F143">
    <cfRule type="cellIs" dxfId="41" priority="10" operator="lessThan">
      <formula>D143</formula>
    </cfRule>
  </conditionalFormatting>
  <conditionalFormatting sqref="F146">
    <cfRule type="cellIs" dxfId="40" priority="9" operator="lessThan">
      <formula>D146</formula>
    </cfRule>
  </conditionalFormatting>
  <conditionalFormatting sqref="F145">
    <cfRule type="cellIs" dxfId="39" priority="6" operator="lessThan">
      <formula>D145</formula>
    </cfRule>
  </conditionalFormatting>
  <conditionalFormatting sqref="F144">
    <cfRule type="cellIs" dxfId="38" priority="5" operator="lessThan">
      <formula>D144</formula>
    </cfRule>
  </conditionalFormatting>
  <conditionalFormatting sqref="F116">
    <cfRule type="cellIs" dxfId="37" priority="4" operator="lessThan">
      <formula>D116</formula>
    </cfRule>
  </conditionalFormatting>
  <conditionalFormatting sqref="F142">
    <cfRule type="cellIs" dxfId="36" priority="3" operator="lessThan">
      <formula>D142</formula>
    </cfRule>
  </conditionalFormatting>
  <conditionalFormatting sqref="F122">
    <cfRule type="cellIs" dxfId="35" priority="2" operator="lessThan">
      <formula>D122</formula>
    </cfRule>
  </conditionalFormatting>
  <conditionalFormatting sqref="F119">
    <cfRule type="cellIs" dxfId="34" priority="1" operator="lessThan">
      <formula>D119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7" tint="0.79998168889431442"/>
  </sheetPr>
  <dimension ref="A1:N174"/>
  <sheetViews>
    <sheetView topLeftCell="A15" zoomScale="160" zoomScaleNormal="160" workbookViewId="0">
      <selection activeCell="G123" sqref="G123"/>
    </sheetView>
  </sheetViews>
  <sheetFormatPr defaultColWidth="12.28515625" defaultRowHeight="12.75"/>
  <cols>
    <col min="1" max="1" width="12.28515625" style="98"/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8.42578125" bestFit="1" customWidth="1"/>
    <col min="11" max="11" width="10.5703125" style="78" bestFit="1" customWidth="1"/>
    <col min="12" max="12" width="6.28515625" style="78" bestFit="1" customWidth="1"/>
    <col min="13" max="13" width="7.42578125" style="78" bestFit="1" customWidth="1"/>
    <col min="14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430" t="s">
        <v>100</v>
      </c>
      <c r="C2" s="79" t="s">
        <v>67</v>
      </c>
      <c r="D2" s="77">
        <f>SUM(D4:D36)</f>
        <v>30000</v>
      </c>
      <c r="E2" s="77">
        <f>SUM(E4:E36)</f>
        <v>-79968.850000000006</v>
      </c>
      <c r="F2" s="77">
        <f>SUM(F4:F36)</f>
        <v>32994.19</v>
      </c>
      <c r="G2" s="77">
        <f>SUM(G4:G40)</f>
        <v>-186074.69999999998</v>
      </c>
      <c r="H2" s="77">
        <f>F2+G2</f>
        <v>-153080.50999999998</v>
      </c>
    </row>
    <row r="3" spans="1:14">
      <c r="B3" s="18"/>
    </row>
    <row r="4" spans="1:14">
      <c r="B4" s="41"/>
      <c r="H4" s="77">
        <f t="shared" ref="H4:H37" si="0">H3+F4+G4</f>
        <v>0</v>
      </c>
    </row>
    <row r="5" spans="1:14" s="11" customFormat="1">
      <c r="A5" s="98"/>
      <c r="B5" s="41"/>
      <c r="D5" s="90"/>
      <c r="E5" s="90"/>
      <c r="F5" s="90"/>
      <c r="G5" s="90"/>
      <c r="H5" s="90">
        <f t="shared" si="0"/>
        <v>0</v>
      </c>
      <c r="K5" s="78"/>
      <c r="L5" s="78"/>
      <c r="M5" s="78"/>
      <c r="N5" s="78"/>
    </row>
    <row r="6" spans="1:14" s="11" customFormat="1">
      <c r="A6" s="425">
        <v>45718</v>
      </c>
      <c r="B6" s="451" t="s">
        <v>1675</v>
      </c>
      <c r="C6" s="392"/>
      <c r="D6" s="387"/>
      <c r="E6" s="387"/>
      <c r="F6" s="387"/>
      <c r="G6" s="387">
        <v>-213.25</v>
      </c>
      <c r="H6" s="87">
        <f t="shared" si="0"/>
        <v>-213.25</v>
      </c>
      <c r="K6" s="78"/>
      <c r="L6" s="78"/>
      <c r="M6" s="78"/>
      <c r="N6" s="78"/>
    </row>
    <row r="7" spans="1:14" s="11" customFormat="1">
      <c r="A7" s="425"/>
      <c r="B7" s="393" t="s">
        <v>72</v>
      </c>
      <c r="C7" s="392"/>
      <c r="D7" s="387"/>
      <c r="E7" s="387">
        <v>0</v>
      </c>
      <c r="F7" s="87"/>
      <c r="G7" s="87"/>
      <c r="H7" s="87">
        <f t="shared" si="0"/>
        <v>-213.25</v>
      </c>
      <c r="K7" s="78"/>
      <c r="L7" s="78"/>
      <c r="M7" s="78"/>
      <c r="N7" s="78"/>
    </row>
    <row r="8" spans="1:14">
      <c r="A8" s="425">
        <v>45721</v>
      </c>
      <c r="B8" s="391" t="s">
        <v>70</v>
      </c>
      <c r="C8" s="391"/>
      <c r="D8" s="387"/>
      <c r="E8" s="387">
        <v>-2117.06</v>
      </c>
      <c r="F8" s="87"/>
      <c r="G8" s="87">
        <v>-2116.98</v>
      </c>
      <c r="H8" s="87">
        <f t="shared" si="0"/>
        <v>-2330.23</v>
      </c>
    </row>
    <row r="9" spans="1:14">
      <c r="A9" s="425">
        <v>45722</v>
      </c>
      <c r="B9" s="393" t="s">
        <v>69</v>
      </c>
      <c r="C9" s="392"/>
      <c r="D9" s="387"/>
      <c r="E9" s="387">
        <f>E67</f>
        <v>-14628.179999999997</v>
      </c>
      <c r="F9" s="87"/>
      <c r="G9" s="87">
        <f>E9</f>
        <v>-14628.179999999997</v>
      </c>
      <c r="H9" s="87">
        <f t="shared" si="0"/>
        <v>-16958.409999999996</v>
      </c>
    </row>
    <row r="10" spans="1:14">
      <c r="A10" s="425">
        <v>45723</v>
      </c>
      <c r="B10" s="393" t="s">
        <v>68</v>
      </c>
      <c r="C10" s="392"/>
      <c r="D10" s="387"/>
      <c r="E10" s="387">
        <f>E43</f>
        <v>-19043.61</v>
      </c>
      <c r="F10" s="87"/>
      <c r="G10" s="87">
        <f>E10</f>
        <v>-19043.61</v>
      </c>
      <c r="H10" s="87">
        <f t="shared" si="0"/>
        <v>-36002.019999999997</v>
      </c>
    </row>
    <row r="11" spans="1:14">
      <c r="A11" s="452">
        <v>45721</v>
      </c>
      <c r="B11" s="453" t="s">
        <v>106</v>
      </c>
      <c r="C11" s="453"/>
      <c r="D11" s="454">
        <v>15000</v>
      </c>
      <c r="E11" s="454"/>
      <c r="F11" s="454">
        <v>15000</v>
      </c>
      <c r="G11" s="87"/>
      <c r="H11" s="87">
        <f t="shared" si="0"/>
        <v>-21002.019999999997</v>
      </c>
    </row>
    <row r="12" spans="1:14">
      <c r="A12" s="425">
        <v>45723</v>
      </c>
      <c r="B12" s="391" t="s">
        <v>1593</v>
      </c>
      <c r="C12" s="391"/>
      <c r="D12" s="387"/>
      <c r="E12" s="387">
        <v>-17500</v>
      </c>
      <c r="F12" s="87"/>
      <c r="G12" s="87">
        <v>-17500</v>
      </c>
      <c r="H12" s="87">
        <f t="shared" si="0"/>
        <v>-38502.019999999997</v>
      </c>
    </row>
    <row r="13" spans="1:14" s="78" customFormat="1">
      <c r="A13" s="425">
        <v>45734</v>
      </c>
      <c r="B13" s="410" t="s">
        <v>73</v>
      </c>
      <c r="C13" s="410"/>
      <c r="D13" s="387"/>
      <c r="E13" s="387">
        <v>-1000</v>
      </c>
      <c r="F13" s="87"/>
      <c r="G13" s="87">
        <v>-2645</v>
      </c>
      <c r="H13" s="87">
        <f t="shared" si="0"/>
        <v>-41147.019999999997</v>
      </c>
    </row>
    <row r="14" spans="1:14" s="78" customFormat="1">
      <c r="A14" s="425">
        <v>45733</v>
      </c>
      <c r="B14" s="410" t="s">
        <v>74</v>
      </c>
      <c r="C14" s="410"/>
      <c r="D14" s="387"/>
      <c r="E14" s="387">
        <v>-200</v>
      </c>
      <c r="F14" s="87"/>
      <c r="G14" s="87">
        <v>-25</v>
      </c>
      <c r="H14" s="87">
        <f t="shared" si="0"/>
        <v>-41172.019999999997</v>
      </c>
    </row>
    <row r="15" spans="1:14" s="78" customFormat="1">
      <c r="A15" s="87"/>
      <c r="B15" s="87"/>
      <c r="C15" s="87"/>
      <c r="D15" s="87"/>
      <c r="E15" s="87"/>
      <c r="F15" s="87"/>
      <c r="G15" s="87"/>
      <c r="H15" s="87">
        <f t="shared" si="0"/>
        <v>-41172.019999999997</v>
      </c>
    </row>
    <row r="16" spans="1:14" s="78" customFormat="1">
      <c r="A16" s="425"/>
      <c r="B16" s="392" t="s">
        <v>76</v>
      </c>
      <c r="C16" s="392"/>
      <c r="D16" s="387">
        <v>15000</v>
      </c>
      <c r="E16" s="87"/>
      <c r="F16" s="87">
        <v>14994.19</v>
      </c>
      <c r="G16" s="87"/>
      <c r="H16" s="87">
        <f t="shared" si="0"/>
        <v>-26177.829999999994</v>
      </c>
      <c r="J16" s="94"/>
      <c r="K16" s="94"/>
      <c r="L16" s="95"/>
      <c r="M16" s="96"/>
    </row>
    <row r="17" spans="1:13" s="78" customFormat="1">
      <c r="A17" s="425"/>
      <c r="B17" s="392" t="s">
        <v>1716</v>
      </c>
      <c r="C17" s="392"/>
      <c r="D17" s="387"/>
      <c r="E17" s="387"/>
      <c r="F17" s="387">
        <v>3000</v>
      </c>
      <c r="G17" s="87"/>
      <c r="H17" s="87">
        <f t="shared" si="0"/>
        <v>-23177.829999999994</v>
      </c>
      <c r="J17" s="94"/>
      <c r="K17" s="94"/>
      <c r="L17" s="95"/>
      <c r="M17" s="96"/>
    </row>
    <row r="18" spans="1:13" s="78" customFormat="1">
      <c r="A18" s="472"/>
      <c r="B18" s="392" t="s">
        <v>77</v>
      </c>
      <c r="C18" s="392"/>
      <c r="D18" s="387"/>
      <c r="E18" s="387">
        <v>-7500</v>
      </c>
      <c r="F18" s="87"/>
      <c r="G18" s="87">
        <v>-9003</v>
      </c>
      <c r="H18" s="87">
        <f t="shared" si="0"/>
        <v>-32180.829999999994</v>
      </c>
      <c r="J18" s="94"/>
      <c r="K18" s="94"/>
      <c r="L18" s="95"/>
      <c r="M18" s="96"/>
    </row>
    <row r="19" spans="1:13" s="78" customFormat="1">
      <c r="A19" s="472"/>
      <c r="B19" s="392" t="s">
        <v>78</v>
      </c>
      <c r="C19" s="392"/>
      <c r="D19" s="387"/>
      <c r="E19" s="387">
        <v>-7500</v>
      </c>
      <c r="F19" s="87"/>
      <c r="G19" s="87">
        <v>-7503</v>
      </c>
      <c r="H19" s="87">
        <f t="shared" si="0"/>
        <v>-39683.829999999994</v>
      </c>
      <c r="J19" s="94"/>
      <c r="K19" s="94"/>
      <c r="L19" s="95"/>
      <c r="M19" s="96"/>
    </row>
    <row r="20" spans="1:13" s="78" customFormat="1">
      <c r="A20" s="472"/>
      <c r="B20" s="392" t="s">
        <v>1726</v>
      </c>
      <c r="C20" s="392"/>
      <c r="D20" s="387"/>
      <c r="E20" s="387"/>
      <c r="F20" s="387"/>
      <c r="G20" s="387">
        <v>-1400</v>
      </c>
      <c r="H20" s="87">
        <f t="shared" si="0"/>
        <v>-41083.829999999994</v>
      </c>
      <c r="J20" s="94"/>
      <c r="K20" s="94"/>
      <c r="L20" s="95"/>
      <c r="M20" s="96"/>
    </row>
    <row r="21" spans="1:13" s="78" customFormat="1">
      <c r="A21" s="472"/>
      <c r="B21" s="392" t="s">
        <v>79</v>
      </c>
      <c r="C21" s="392"/>
      <c r="D21" s="387"/>
      <c r="E21" s="387">
        <v>-7500</v>
      </c>
      <c r="F21" s="87"/>
      <c r="G21" s="87">
        <v>-7500</v>
      </c>
      <c r="H21" s="87">
        <f t="shared" si="0"/>
        <v>-48583.829999999994</v>
      </c>
      <c r="J21" s="94"/>
      <c r="K21" s="94"/>
      <c r="L21" s="95"/>
      <c r="M21" s="96"/>
    </row>
    <row r="22" spans="1:13" s="78" customFormat="1">
      <c r="A22" s="98"/>
      <c r="B22" s="3"/>
      <c r="C22" s="3"/>
      <c r="D22" s="77"/>
      <c r="E22" s="77"/>
      <c r="F22" s="77"/>
      <c r="G22" s="77"/>
      <c r="H22" s="87">
        <f t="shared" si="0"/>
        <v>-48583.829999999994</v>
      </c>
      <c r="J22" s="94"/>
      <c r="K22" s="94"/>
      <c r="L22" s="95"/>
      <c r="M22" s="96"/>
    </row>
    <row r="23" spans="1:13" s="78" customFormat="1">
      <c r="A23" s="98"/>
      <c r="B23" s="92"/>
      <c r="C23" s="92"/>
      <c r="D23" s="90"/>
      <c r="E23" s="90"/>
      <c r="F23" s="77"/>
      <c r="G23" s="77"/>
      <c r="H23" s="87">
        <f t="shared" si="0"/>
        <v>-48583.829999999994</v>
      </c>
      <c r="J23" s="94"/>
      <c r="K23" s="94"/>
      <c r="L23" s="95"/>
      <c r="M23" s="96"/>
    </row>
    <row r="24" spans="1:13" s="78" customFormat="1">
      <c r="A24" s="474">
        <v>45716</v>
      </c>
      <c r="B24" s="416" t="s">
        <v>98</v>
      </c>
      <c r="C24" s="416" t="s">
        <v>1597</v>
      </c>
      <c r="D24" s="417"/>
      <c r="E24" s="417">
        <v>-1380</v>
      </c>
      <c r="F24" s="90"/>
      <c r="G24" s="90"/>
      <c r="H24" s="90">
        <f t="shared" si="0"/>
        <v>-48583.829999999994</v>
      </c>
      <c r="J24" s="94"/>
      <c r="K24" s="94"/>
      <c r="L24" s="95"/>
      <c r="M24" s="96"/>
    </row>
    <row r="25" spans="1:13" s="78" customFormat="1">
      <c r="A25" s="425">
        <v>45744</v>
      </c>
      <c r="B25" s="391" t="s">
        <v>80</v>
      </c>
      <c r="C25" s="391"/>
      <c r="D25" s="387"/>
      <c r="E25" s="387">
        <v>-600</v>
      </c>
      <c r="F25" s="87"/>
      <c r="G25" s="87">
        <v>-340</v>
      </c>
      <c r="H25" s="87">
        <f t="shared" si="0"/>
        <v>-48923.829999999994</v>
      </c>
      <c r="J25" s="94"/>
      <c r="K25" s="94"/>
      <c r="L25" s="95"/>
      <c r="M25" s="96"/>
    </row>
    <row r="26" spans="1:13" s="78" customFormat="1">
      <c r="A26" s="425">
        <v>45744</v>
      </c>
      <c r="B26" s="391" t="s">
        <v>81</v>
      </c>
      <c r="C26" s="391"/>
      <c r="D26" s="387"/>
      <c r="E26" s="387">
        <v>-800</v>
      </c>
      <c r="F26" s="87"/>
      <c r="G26" s="87">
        <v>-565</v>
      </c>
      <c r="H26" s="87">
        <f t="shared" si="0"/>
        <v>-49488.829999999994</v>
      </c>
      <c r="J26" s="94"/>
      <c r="K26" s="94"/>
      <c r="L26" s="95"/>
      <c r="M26" s="96"/>
    </row>
    <row r="27" spans="1:13" s="78" customFormat="1">
      <c r="A27" s="472"/>
      <c r="B27" s="101" t="s">
        <v>102</v>
      </c>
      <c r="C27" s="8"/>
      <c r="D27" s="87"/>
      <c r="E27" s="87"/>
      <c r="F27" s="87"/>
      <c r="G27" s="87"/>
      <c r="H27" s="87">
        <f t="shared" si="0"/>
        <v>-49488.829999999994</v>
      </c>
    </row>
    <row r="28" spans="1:13" s="78" customFormat="1">
      <c r="A28" s="472"/>
      <c r="B28" s="101"/>
      <c r="C28" s="8"/>
      <c r="D28" s="87"/>
      <c r="E28" s="87"/>
      <c r="F28" s="87"/>
      <c r="G28" s="87"/>
      <c r="H28" s="87">
        <f t="shared" si="0"/>
        <v>-49488.829999999994</v>
      </c>
    </row>
    <row r="29" spans="1:13" s="78" customFormat="1">
      <c r="A29" s="472"/>
      <c r="B29" s="101"/>
      <c r="C29" s="8"/>
      <c r="D29" s="87"/>
      <c r="E29" s="87"/>
      <c r="F29" s="87"/>
      <c r="G29" s="87"/>
      <c r="H29" s="87">
        <f t="shared" si="0"/>
        <v>-49488.829999999994</v>
      </c>
    </row>
    <row r="30" spans="1:13" s="78" customFormat="1">
      <c r="A30" s="425">
        <v>45741</v>
      </c>
      <c r="B30" s="391" t="s">
        <v>75</v>
      </c>
      <c r="C30" s="391"/>
      <c r="D30" s="387"/>
      <c r="E30" s="387">
        <v>-200</v>
      </c>
      <c r="F30" s="87"/>
      <c r="G30" s="87">
        <v>-565.88</v>
      </c>
      <c r="H30" s="87">
        <f t="shared" si="0"/>
        <v>-50054.709999999992</v>
      </c>
    </row>
    <row r="31" spans="1:13" s="78" customFormat="1">
      <c r="A31" s="425"/>
      <c r="B31" s="387" t="s">
        <v>1706</v>
      </c>
      <c r="C31" s="387"/>
      <c r="D31" s="387"/>
      <c r="E31" s="387"/>
      <c r="F31" s="387"/>
      <c r="G31" s="387">
        <v>-2800</v>
      </c>
      <c r="H31" s="87">
        <f t="shared" si="0"/>
        <v>-52854.709999999992</v>
      </c>
    </row>
    <row r="32" spans="1:13">
      <c r="A32" s="425">
        <v>45743</v>
      </c>
      <c r="B32" s="393" t="s">
        <v>1675</v>
      </c>
      <c r="C32" s="392"/>
      <c r="D32" s="423"/>
      <c r="E32" s="423"/>
      <c r="F32" s="87"/>
      <c r="G32" s="87">
        <v>-213</v>
      </c>
      <c r="H32" s="87">
        <f t="shared" si="0"/>
        <v>-53067.709999999992</v>
      </c>
      <c r="I32" s="78"/>
      <c r="J32" s="78"/>
    </row>
    <row r="33" spans="1:14">
      <c r="A33" s="425">
        <v>45740</v>
      </c>
      <c r="B33" s="392" t="s">
        <v>1703</v>
      </c>
      <c r="C33" s="392"/>
      <c r="D33" s="387"/>
      <c r="E33" s="387"/>
      <c r="F33" s="387"/>
      <c r="G33" s="387">
        <v>-8500</v>
      </c>
      <c r="H33" s="87">
        <f t="shared" si="0"/>
        <v>-61567.709999999992</v>
      </c>
    </row>
    <row r="34" spans="1:14">
      <c r="A34" s="425">
        <v>45740</v>
      </c>
      <c r="B34" s="392" t="s">
        <v>1702</v>
      </c>
      <c r="C34" s="392"/>
      <c r="D34" s="387"/>
      <c r="E34" s="387"/>
      <c r="F34" s="387"/>
      <c r="G34" s="387">
        <v>-90000</v>
      </c>
      <c r="H34" s="87">
        <f t="shared" si="0"/>
        <v>-151567.71</v>
      </c>
    </row>
    <row r="35" spans="1:14">
      <c r="A35" s="425"/>
      <c r="B35" s="392" t="s">
        <v>1704</v>
      </c>
      <c r="C35" s="392" t="s">
        <v>1713</v>
      </c>
      <c r="D35" s="387"/>
      <c r="E35" s="387"/>
      <c r="F35" s="387"/>
      <c r="G35" s="387">
        <v>-12.8</v>
      </c>
      <c r="H35" s="87">
        <f t="shared" si="0"/>
        <v>-151580.50999999998</v>
      </c>
    </row>
    <row r="36" spans="1:14" s="78" customFormat="1">
      <c r="A36" s="425">
        <v>45728</v>
      </c>
      <c r="B36" s="392" t="s">
        <v>1705</v>
      </c>
      <c r="C36" s="392"/>
      <c r="D36" s="387"/>
      <c r="E36" s="387"/>
      <c r="F36" s="387"/>
      <c r="G36" s="387">
        <v>-1500</v>
      </c>
      <c r="H36" s="87">
        <f t="shared" si="0"/>
        <v>-153080.50999999998</v>
      </c>
      <c r="I36"/>
      <c r="J36"/>
    </row>
    <row r="37" spans="1:14" s="78" customFormat="1">
      <c r="A37" s="472"/>
      <c r="B37" s="87"/>
      <c r="C37" s="87"/>
      <c r="D37" s="87"/>
      <c r="E37" s="87"/>
      <c r="F37" s="87"/>
      <c r="G37" s="87"/>
      <c r="H37" s="87">
        <f t="shared" si="0"/>
        <v>-153080.50999999998</v>
      </c>
    </row>
    <row r="38" spans="1:14" s="77" customFormat="1">
      <c r="A38" s="98"/>
      <c r="B38" s="78"/>
      <c r="C38" s="78"/>
      <c r="I38" s="78"/>
      <c r="J38" s="78"/>
      <c r="K38" s="78"/>
      <c r="L38" s="78"/>
      <c r="M38" s="78"/>
      <c r="N38" s="78"/>
    </row>
    <row r="39" spans="1:14" s="90" customFormat="1">
      <c r="A39" s="98"/>
      <c r="B39" s="78"/>
      <c r="C39" s="78"/>
      <c r="I39" s="78"/>
      <c r="J39" s="78"/>
      <c r="K39" s="78"/>
      <c r="L39" s="78"/>
      <c r="M39" s="78"/>
      <c r="N39" s="78"/>
    </row>
    <row r="40" spans="1:14" s="90" customFormat="1">
      <c r="A40" s="98"/>
      <c r="B40" s="78"/>
      <c r="C40" s="78"/>
      <c r="I40" s="78"/>
      <c r="J40" s="78"/>
      <c r="K40" s="78"/>
      <c r="L40" s="78"/>
      <c r="M40" s="78"/>
      <c r="N40" s="78"/>
    </row>
    <row r="41" spans="1:14" s="90" customFormat="1">
      <c r="A41" s="98"/>
      <c r="B41" s="78"/>
      <c r="C41" s="78"/>
      <c r="I41" s="78"/>
      <c r="J41" s="78"/>
      <c r="K41" s="78"/>
      <c r="L41" s="78"/>
      <c r="M41" s="78"/>
      <c r="N41" s="78"/>
    </row>
    <row r="42" spans="1:14" s="77" customFormat="1">
      <c r="A42" s="430"/>
      <c r="B42" s="102"/>
      <c r="K42" s="78"/>
      <c r="L42" s="78"/>
      <c r="M42" s="78"/>
      <c r="N42" s="78"/>
    </row>
    <row r="43" spans="1:14">
      <c r="A43" s="431"/>
      <c r="B43" s="104" t="s">
        <v>83</v>
      </c>
      <c r="C43" s="103"/>
      <c r="E43" s="77">
        <f>SUM(E44:E61)</f>
        <v>-19043.61</v>
      </c>
      <c r="I43" s="77"/>
      <c r="J43" s="77"/>
    </row>
    <row r="44" spans="1:14" s="77" customFormat="1">
      <c r="A44" s="98"/>
      <c r="B44"/>
      <c r="C44"/>
      <c r="I44"/>
      <c r="J44"/>
      <c r="K44" s="78"/>
      <c r="L44" s="78"/>
      <c r="M44" s="78"/>
      <c r="N44" s="78"/>
    </row>
    <row r="45" spans="1:14" s="77" customFormat="1">
      <c r="A45" s="98">
        <v>45715</v>
      </c>
      <c r="B45" s="90" t="s">
        <v>1637</v>
      </c>
      <c r="C45" s="90">
        <v>5938.7</v>
      </c>
      <c r="D45" s="90" t="s">
        <v>694</v>
      </c>
      <c r="E45" s="90">
        <v>-989.78</v>
      </c>
      <c r="F45" s="77">
        <v>0</v>
      </c>
      <c r="K45" s="78"/>
      <c r="L45" s="78"/>
      <c r="M45" s="78"/>
      <c r="N45" s="78"/>
    </row>
    <row r="46" spans="1:14" s="77" customFormat="1">
      <c r="A46" s="98">
        <v>45715</v>
      </c>
      <c r="B46" s="77" t="s">
        <v>1631</v>
      </c>
      <c r="E46" s="77">
        <v>-2820</v>
      </c>
      <c r="F46" s="77">
        <v>0</v>
      </c>
      <c r="K46" s="78"/>
      <c r="L46" s="78"/>
      <c r="M46" s="78"/>
      <c r="N46" s="78"/>
    </row>
    <row r="47" spans="1:14" s="77" customFormat="1">
      <c r="A47" s="98">
        <v>45715</v>
      </c>
      <c r="B47" s="77" t="s">
        <v>1633</v>
      </c>
      <c r="E47" s="77">
        <v>-3196.34</v>
      </c>
      <c r="F47" s="77">
        <v>0</v>
      </c>
      <c r="K47" s="78"/>
      <c r="L47" s="78"/>
      <c r="M47" s="78"/>
      <c r="N47" s="78"/>
    </row>
    <row r="48" spans="1:14">
      <c r="A48" s="98">
        <v>45715</v>
      </c>
      <c r="B48" s="90" t="s">
        <v>1632</v>
      </c>
      <c r="C48" s="77"/>
      <c r="E48" s="77">
        <v>-467.95</v>
      </c>
      <c r="F48" s="77">
        <v>0</v>
      </c>
      <c r="I48" s="77"/>
      <c r="J48" s="77"/>
    </row>
    <row r="49" spans="1:14" s="77" customFormat="1">
      <c r="A49" s="98">
        <v>45715</v>
      </c>
      <c r="B49" s="90" t="s">
        <v>1635</v>
      </c>
      <c r="C49"/>
      <c r="I49"/>
      <c r="J49"/>
      <c r="K49" s="78"/>
      <c r="L49" s="78"/>
      <c r="M49" s="78"/>
      <c r="N49" s="78"/>
    </row>
    <row r="50" spans="1:14" s="77" customFormat="1">
      <c r="A50" s="98"/>
      <c r="B50" s="106"/>
      <c r="C50" s="106"/>
      <c r="K50" s="78"/>
      <c r="L50" s="78"/>
      <c r="M50" s="78"/>
      <c r="N50" s="78"/>
    </row>
    <row r="51" spans="1:14" s="77" customFormat="1">
      <c r="A51" s="98">
        <v>45691</v>
      </c>
      <c r="B51" s="106" t="s">
        <v>1650</v>
      </c>
      <c r="C51" s="106"/>
      <c r="E51" s="77">
        <v>-1580</v>
      </c>
      <c r="F51" s="77">
        <v>0</v>
      </c>
      <c r="K51" s="78"/>
      <c r="L51" s="78"/>
      <c r="M51" s="78"/>
      <c r="N51" s="78"/>
    </row>
    <row r="52" spans="1:14" s="77" customFormat="1">
      <c r="A52" s="98">
        <v>45691</v>
      </c>
      <c r="B52" s="107" t="s">
        <v>1649</v>
      </c>
      <c r="C52" s="106"/>
      <c r="E52" s="77">
        <v>-1338</v>
      </c>
      <c r="F52" s="77">
        <v>0</v>
      </c>
      <c r="K52" s="78"/>
      <c r="L52" s="78"/>
      <c r="M52" s="78"/>
      <c r="N52" s="78"/>
    </row>
    <row r="53" spans="1:14" s="77" customFormat="1">
      <c r="A53" s="98">
        <v>45691</v>
      </c>
      <c r="B53" s="107" t="s">
        <v>1651</v>
      </c>
      <c r="C53" s="106"/>
      <c r="E53" s="77">
        <v>-1200</v>
      </c>
      <c r="F53" s="77">
        <v>0</v>
      </c>
      <c r="K53" s="78"/>
      <c r="L53" s="78"/>
      <c r="M53" s="78"/>
      <c r="N53" s="78"/>
    </row>
    <row r="54" spans="1:14" s="77" customFormat="1">
      <c r="A54" s="98">
        <v>45691</v>
      </c>
      <c r="B54" s="107" t="s">
        <v>1657</v>
      </c>
      <c r="E54" s="77">
        <v>-1300.54</v>
      </c>
      <c r="F54" s="77">
        <v>0</v>
      </c>
      <c r="K54" s="78"/>
      <c r="L54" s="78"/>
      <c r="M54" s="78"/>
      <c r="N54" s="78"/>
    </row>
    <row r="55" spans="1:14" s="77" customFormat="1">
      <c r="A55" s="98">
        <v>45689</v>
      </c>
      <c r="B55" s="107" t="s">
        <v>1652</v>
      </c>
      <c r="C55" s="106"/>
      <c r="E55" s="77">
        <v>-3720</v>
      </c>
      <c r="F55" s="77">
        <v>0</v>
      </c>
      <c r="K55" s="78"/>
      <c r="L55" s="78"/>
      <c r="M55" s="78"/>
      <c r="N55" s="78"/>
    </row>
    <row r="56" spans="1:14" s="77" customFormat="1">
      <c r="A56" s="98">
        <v>45699</v>
      </c>
      <c r="B56" s="3" t="s">
        <v>1665</v>
      </c>
      <c r="E56" s="77">
        <v>-2235</v>
      </c>
      <c r="F56" s="77">
        <v>0</v>
      </c>
      <c r="K56" s="78"/>
      <c r="L56" s="78"/>
      <c r="M56" s="78"/>
      <c r="N56" s="78"/>
    </row>
    <row r="57" spans="1:14" s="90" customFormat="1">
      <c r="A57" s="98">
        <v>45703</v>
      </c>
      <c r="B57" s="92" t="s">
        <v>1667</v>
      </c>
      <c r="E57" s="90">
        <v>-196</v>
      </c>
      <c r="F57" s="90">
        <v>0</v>
      </c>
      <c r="K57" s="78"/>
      <c r="L57" s="78"/>
      <c r="M57" s="78"/>
      <c r="N57" s="78"/>
    </row>
    <row r="58" spans="1:14" s="90" customFormat="1" ht="15">
      <c r="A58" s="98"/>
      <c r="B58" s="92"/>
      <c r="E58" s="105" t="s">
        <v>84</v>
      </c>
      <c r="K58" s="78"/>
      <c r="L58" s="78"/>
      <c r="M58" s="78"/>
      <c r="N58" s="78"/>
    </row>
    <row r="59" spans="1:14" s="90" customFormat="1">
      <c r="A59" s="98"/>
      <c r="B59" s="92"/>
      <c r="K59" s="78"/>
      <c r="L59" s="78"/>
      <c r="M59" s="78"/>
      <c r="N59" s="78"/>
    </row>
    <row r="60" spans="1:14" s="90" customFormat="1">
      <c r="A60" s="98"/>
      <c r="B60" s="92"/>
      <c r="K60" s="78"/>
      <c r="L60" s="78"/>
      <c r="M60" s="78"/>
      <c r="N60" s="78"/>
    </row>
    <row r="61" spans="1:14" s="90" customFormat="1">
      <c r="A61" s="98"/>
      <c r="B61" s="92"/>
      <c r="K61" s="78"/>
      <c r="L61" s="78"/>
      <c r="M61" s="78"/>
      <c r="N61" s="78"/>
    </row>
    <row r="62" spans="1:14" s="90" customFormat="1">
      <c r="A62" s="98"/>
      <c r="B62" s="92"/>
      <c r="K62" s="78"/>
      <c r="L62" s="78"/>
      <c r="M62" s="78"/>
      <c r="N62" s="78"/>
    </row>
    <row r="63" spans="1:14" s="90" customFormat="1">
      <c r="A63" s="98"/>
      <c r="B63" s="92"/>
      <c r="K63" s="78"/>
      <c r="L63" s="78"/>
      <c r="M63" s="78"/>
      <c r="N63" s="78"/>
    </row>
    <row r="64" spans="1:14" s="90" customFormat="1">
      <c r="A64" s="98"/>
      <c r="K64" s="78"/>
      <c r="L64" s="78"/>
      <c r="M64" s="78"/>
      <c r="N64" s="78"/>
    </row>
    <row r="65" spans="1:14" s="90" customFormat="1">
      <c r="A65" s="98"/>
      <c r="B65" s="92"/>
      <c r="K65" s="78"/>
      <c r="L65" s="78"/>
      <c r="M65" s="78"/>
      <c r="N65" s="78"/>
    </row>
    <row r="66" spans="1:14" s="77" customFormat="1">
      <c r="A66" s="98"/>
      <c r="B66" s="106"/>
      <c r="C66" s="106"/>
      <c r="K66" s="78"/>
      <c r="L66" s="78"/>
      <c r="M66" s="78"/>
      <c r="N66" s="78"/>
    </row>
    <row r="67" spans="1:14" s="77" customFormat="1">
      <c r="A67" s="431"/>
      <c r="B67" s="104" t="s">
        <v>85</v>
      </c>
      <c r="C67" s="103"/>
      <c r="E67" s="77">
        <f>SUM(E68:E101)</f>
        <v>-14628.179999999997</v>
      </c>
      <c r="K67" s="78"/>
      <c r="L67" s="78"/>
      <c r="M67" s="78"/>
      <c r="N67" s="78"/>
    </row>
    <row r="68" spans="1:14" s="77" customFormat="1">
      <c r="A68" s="98"/>
      <c r="B68" s="106"/>
      <c r="C68" s="106"/>
      <c r="K68" s="78"/>
      <c r="L68" s="78"/>
      <c r="M68" s="78"/>
      <c r="N68" s="78"/>
    </row>
    <row r="69" spans="1:14" s="77" customFormat="1">
      <c r="A69" s="430"/>
      <c r="F69" s="90"/>
      <c r="K69" s="78"/>
      <c r="L69" s="78"/>
      <c r="M69" s="78"/>
      <c r="N69" s="78"/>
    </row>
    <row r="70" spans="1:14" s="90" customFormat="1">
      <c r="A70" s="430">
        <v>45692</v>
      </c>
      <c r="B70" s="90" t="s">
        <v>1662</v>
      </c>
      <c r="D70" s="90" t="s">
        <v>1042</v>
      </c>
      <c r="E70" s="90">
        <v>-600.13</v>
      </c>
      <c r="K70" s="78"/>
      <c r="L70" s="78"/>
      <c r="M70" s="78"/>
      <c r="N70" s="78"/>
    </row>
    <row r="71" spans="1:14" s="90" customFormat="1">
      <c r="A71" s="430">
        <v>45692</v>
      </c>
      <c r="B71" s="90" t="s">
        <v>1662</v>
      </c>
      <c r="D71" s="90" t="s">
        <v>1042</v>
      </c>
      <c r="E71" s="90">
        <v>-2500.3000000000002</v>
      </c>
      <c r="K71" s="78"/>
      <c r="L71" s="78"/>
      <c r="M71" s="78"/>
      <c r="N71" s="78"/>
    </row>
    <row r="72" spans="1:14" s="90" customFormat="1">
      <c r="A72" s="430"/>
      <c r="K72" s="78"/>
      <c r="L72" s="78"/>
      <c r="M72" s="78"/>
      <c r="N72" s="78"/>
    </row>
    <row r="73" spans="1:14" s="90" customFormat="1">
      <c r="A73" s="430"/>
      <c r="K73" s="78"/>
      <c r="L73" s="78"/>
      <c r="M73" s="78"/>
      <c r="N73" s="78"/>
    </row>
    <row r="74" spans="1:14" s="90" customFormat="1">
      <c r="A74" s="430"/>
      <c r="K74" s="78"/>
      <c r="L74" s="78"/>
      <c r="M74" s="78"/>
      <c r="N74" s="78"/>
    </row>
    <row r="75" spans="1:14" s="90" customFormat="1">
      <c r="A75" s="98">
        <v>45681</v>
      </c>
      <c r="B75" s="92" t="s">
        <v>1623</v>
      </c>
      <c r="C75" s="106"/>
      <c r="E75" s="90">
        <v>-1798</v>
      </c>
      <c r="F75" s="77"/>
      <c r="K75" s="78"/>
      <c r="L75" s="78"/>
      <c r="M75" s="78"/>
      <c r="N75" s="78"/>
    </row>
    <row r="76" spans="1:14" s="90" customFormat="1">
      <c r="A76" s="98"/>
      <c r="B76" s="92" t="s">
        <v>533</v>
      </c>
      <c r="C76" s="106"/>
      <c r="E76" s="90">
        <v>1.8</v>
      </c>
      <c r="K76" s="78"/>
      <c r="L76" s="78"/>
      <c r="M76" s="78"/>
      <c r="N76" s="78"/>
    </row>
    <row r="77" spans="1:14" s="90" customFormat="1">
      <c r="A77" s="98">
        <v>45681</v>
      </c>
      <c r="B77" s="92" t="s">
        <v>1624</v>
      </c>
      <c r="C77" s="106"/>
      <c r="E77" s="90">
        <v>-700</v>
      </c>
      <c r="K77" s="78"/>
      <c r="L77" s="78"/>
      <c r="M77" s="78"/>
      <c r="N77" s="78"/>
    </row>
    <row r="78" spans="1:14" s="90" customFormat="1">
      <c r="A78" s="98">
        <v>45681</v>
      </c>
      <c r="B78" s="92" t="s">
        <v>1622</v>
      </c>
      <c r="C78" s="106"/>
      <c r="E78" s="90">
        <v>-120</v>
      </c>
      <c r="K78" s="78"/>
      <c r="L78" s="78"/>
      <c r="M78" s="78"/>
      <c r="N78" s="78"/>
    </row>
    <row r="79" spans="1:14" s="90" customFormat="1">
      <c r="A79" s="98">
        <v>45682</v>
      </c>
      <c r="B79" s="92" t="s">
        <v>1612</v>
      </c>
      <c r="C79" s="106"/>
      <c r="E79" s="90">
        <v>-70</v>
      </c>
      <c r="K79" s="78"/>
      <c r="L79" s="78"/>
      <c r="M79" s="78"/>
      <c r="N79" s="78"/>
    </row>
    <row r="80" spans="1:14" s="90" customFormat="1">
      <c r="A80" s="98">
        <v>45682</v>
      </c>
      <c r="B80" s="92" t="s">
        <v>1625</v>
      </c>
      <c r="C80" s="106"/>
      <c r="E80" s="90">
        <v>-699.99</v>
      </c>
      <c r="K80" s="78"/>
      <c r="L80" s="78"/>
      <c r="M80" s="78"/>
      <c r="N80" s="78"/>
    </row>
    <row r="81" spans="1:14" s="90" customFormat="1">
      <c r="A81" s="98">
        <v>45684</v>
      </c>
      <c r="B81" s="92" t="s">
        <v>1612</v>
      </c>
      <c r="C81" s="106"/>
      <c r="E81" s="90">
        <v>-70</v>
      </c>
      <c r="K81" s="78"/>
      <c r="L81" s="78"/>
      <c r="M81" s="78"/>
      <c r="N81" s="78"/>
    </row>
    <row r="82" spans="1:14" s="90" customFormat="1">
      <c r="A82" s="98">
        <v>45686</v>
      </c>
      <c r="B82" s="90" t="s">
        <v>1660</v>
      </c>
      <c r="E82" s="90">
        <v>-3600</v>
      </c>
      <c r="K82" s="78"/>
      <c r="L82" s="78"/>
      <c r="M82" s="78"/>
      <c r="N82" s="78"/>
    </row>
    <row r="83" spans="1:14" s="90" customFormat="1">
      <c r="A83" s="98">
        <v>45691</v>
      </c>
      <c r="B83" s="3" t="s">
        <v>129</v>
      </c>
      <c r="C83" s="106">
        <v>18950.04</v>
      </c>
      <c r="K83" s="78"/>
      <c r="L83" s="78"/>
      <c r="M83" s="78"/>
      <c r="N83" s="78"/>
    </row>
    <row r="84" spans="1:14" s="90" customFormat="1">
      <c r="A84" s="98">
        <v>45691</v>
      </c>
      <c r="B84" s="92" t="s">
        <v>129</v>
      </c>
      <c r="C84" s="106">
        <v>10153.299999999999</v>
      </c>
      <c r="K84" s="78"/>
      <c r="L84" s="78"/>
      <c r="M84" s="78"/>
      <c r="N84" s="78"/>
    </row>
    <row r="85" spans="1:14" s="90" customFormat="1">
      <c r="A85" s="430">
        <v>45694</v>
      </c>
      <c r="B85" s="90" t="s">
        <v>1612</v>
      </c>
      <c r="E85" s="90">
        <v>-70</v>
      </c>
      <c r="K85" s="78"/>
      <c r="L85" s="78"/>
      <c r="M85" s="78"/>
      <c r="N85" s="78"/>
    </row>
    <row r="86" spans="1:14" s="90" customFormat="1">
      <c r="A86" s="430">
        <v>45695</v>
      </c>
      <c r="B86" s="90" t="s">
        <v>1661</v>
      </c>
      <c r="E86" s="90">
        <v>-200</v>
      </c>
      <c r="K86" s="78"/>
      <c r="L86" s="78"/>
      <c r="M86" s="78"/>
      <c r="N86" s="78"/>
    </row>
    <row r="87" spans="1:14" s="77" customFormat="1">
      <c r="A87" s="430">
        <v>45696</v>
      </c>
      <c r="B87" s="77" t="s">
        <v>1663</v>
      </c>
      <c r="E87" s="77">
        <v>-550</v>
      </c>
      <c r="K87" s="78"/>
      <c r="L87" s="78"/>
      <c r="M87" s="78"/>
      <c r="N87" s="78"/>
    </row>
    <row r="88" spans="1:14" s="77" customFormat="1">
      <c r="A88" s="430">
        <v>45697</v>
      </c>
      <c r="B88" s="77" t="s">
        <v>1664</v>
      </c>
      <c r="E88" s="77">
        <v>-329.97</v>
      </c>
      <c r="K88" s="78"/>
      <c r="L88" s="78"/>
      <c r="M88" s="78"/>
      <c r="N88" s="78"/>
    </row>
    <row r="89" spans="1:14" s="77" customFormat="1">
      <c r="A89" s="430">
        <v>45699</v>
      </c>
      <c r="B89" s="77" t="s">
        <v>1668</v>
      </c>
      <c r="E89" s="77">
        <v>-200</v>
      </c>
      <c r="K89" s="78"/>
      <c r="L89" s="78"/>
      <c r="M89" s="78"/>
      <c r="N89" s="78"/>
    </row>
    <row r="90" spans="1:14" s="77" customFormat="1">
      <c r="A90" s="430">
        <v>45700</v>
      </c>
      <c r="B90" s="77" t="s">
        <v>1612</v>
      </c>
      <c r="E90" s="77">
        <v>-70</v>
      </c>
      <c r="K90" s="78"/>
      <c r="L90" s="78"/>
      <c r="M90" s="78"/>
      <c r="N90" s="78"/>
    </row>
    <row r="91" spans="1:14" s="77" customFormat="1">
      <c r="A91" s="430">
        <v>45701</v>
      </c>
      <c r="B91" s="77" t="s">
        <v>1613</v>
      </c>
      <c r="E91" s="77">
        <v>-230</v>
      </c>
      <c r="K91" s="78"/>
      <c r="L91" s="78"/>
      <c r="M91" s="78"/>
      <c r="N91" s="78"/>
    </row>
    <row r="92" spans="1:14" s="77" customFormat="1">
      <c r="A92" s="430">
        <v>45702</v>
      </c>
      <c r="B92" s="77" t="s">
        <v>483</v>
      </c>
      <c r="E92" s="77">
        <v>-250</v>
      </c>
      <c r="K92" s="78"/>
      <c r="L92" s="78"/>
      <c r="M92" s="78"/>
      <c r="N92" s="78"/>
    </row>
    <row r="93" spans="1:14" s="77" customFormat="1">
      <c r="A93" s="430">
        <v>45703</v>
      </c>
      <c r="B93" s="77" t="s">
        <v>1669</v>
      </c>
      <c r="E93" s="77">
        <v>-210</v>
      </c>
      <c r="K93" s="78"/>
      <c r="L93" s="78"/>
      <c r="M93" s="78"/>
      <c r="N93" s="78"/>
    </row>
    <row r="94" spans="1:14" s="77" customFormat="1">
      <c r="A94" s="98">
        <v>45704</v>
      </c>
      <c r="B94" s="3" t="s">
        <v>127</v>
      </c>
      <c r="C94" s="106"/>
      <c r="E94" s="77">
        <v>-467.38</v>
      </c>
      <c r="K94" s="78"/>
      <c r="L94" s="78"/>
      <c r="M94" s="78"/>
      <c r="N94" s="78"/>
    </row>
    <row r="95" spans="1:14" s="90" customFormat="1">
      <c r="A95" s="98">
        <v>45705</v>
      </c>
      <c r="B95" s="92" t="s">
        <v>1670</v>
      </c>
      <c r="C95" s="106"/>
      <c r="E95" s="90">
        <v>-350</v>
      </c>
      <c r="K95" s="78"/>
      <c r="L95" s="78"/>
      <c r="M95" s="78"/>
      <c r="N95" s="78"/>
    </row>
    <row r="96" spans="1:14" s="90" customFormat="1">
      <c r="A96" s="98">
        <v>45704</v>
      </c>
      <c r="B96" s="92"/>
      <c r="C96" s="106"/>
      <c r="E96" s="90">
        <v>-33</v>
      </c>
      <c r="K96" s="78"/>
      <c r="L96" s="78"/>
      <c r="M96" s="78"/>
      <c r="N96" s="78"/>
    </row>
    <row r="97" spans="1:14" s="90" customFormat="1">
      <c r="A97" s="98">
        <v>45705</v>
      </c>
      <c r="B97" s="92" t="s">
        <v>410</v>
      </c>
      <c r="C97" s="106"/>
      <c r="E97" s="90">
        <v>-380</v>
      </c>
      <c r="K97" s="78"/>
      <c r="L97" s="78"/>
      <c r="M97" s="78"/>
      <c r="N97" s="78"/>
    </row>
    <row r="98" spans="1:14" s="90" customFormat="1">
      <c r="A98" s="98">
        <v>45706</v>
      </c>
      <c r="B98" s="92" t="s">
        <v>1612</v>
      </c>
      <c r="C98" s="106"/>
      <c r="E98" s="90">
        <v>-400</v>
      </c>
      <c r="K98" s="78"/>
      <c r="L98" s="78"/>
      <c r="M98" s="78"/>
      <c r="N98" s="78"/>
    </row>
    <row r="99" spans="1:14" s="90" customFormat="1">
      <c r="A99" s="98">
        <v>45706</v>
      </c>
      <c r="B99" s="92" t="s">
        <v>127</v>
      </c>
      <c r="C99" s="106"/>
      <c r="E99" s="90">
        <v>-215.21</v>
      </c>
      <c r="K99" s="78"/>
      <c r="L99" s="78"/>
      <c r="M99" s="78"/>
      <c r="N99" s="78"/>
    </row>
    <row r="100" spans="1:14" s="77" customFormat="1">
      <c r="A100" s="98">
        <v>45709</v>
      </c>
      <c r="B100" s="3" t="s">
        <v>1671</v>
      </c>
      <c r="C100" s="106"/>
      <c r="E100" s="77">
        <v>-120</v>
      </c>
      <c r="K100" s="78"/>
      <c r="L100" s="78"/>
      <c r="M100" s="78"/>
      <c r="N100" s="78"/>
    </row>
    <row r="101" spans="1:14" s="77" customFormat="1">
      <c r="A101" s="98">
        <v>45710</v>
      </c>
      <c r="B101" s="3" t="s">
        <v>127</v>
      </c>
      <c r="C101" s="106"/>
      <c r="E101" s="77">
        <v>-396</v>
      </c>
      <c r="K101" s="78"/>
      <c r="L101" s="78"/>
      <c r="M101" s="78"/>
      <c r="N101" s="78"/>
    </row>
    <row r="102" spans="1:14" s="77" customFormat="1" ht="15">
      <c r="A102" s="98"/>
      <c r="B102" s="3"/>
      <c r="C102" s="106"/>
      <c r="E102" s="105" t="s">
        <v>84</v>
      </c>
      <c r="K102" s="78"/>
      <c r="L102" s="78"/>
      <c r="M102" s="78"/>
      <c r="N102" s="78"/>
    </row>
    <row r="103" spans="1:14" s="77" customFormat="1">
      <c r="A103" s="98"/>
      <c r="B103" s="3"/>
      <c r="C103" s="106"/>
      <c r="K103" s="78"/>
      <c r="L103" s="78"/>
      <c r="M103" s="78"/>
      <c r="N103" s="78"/>
    </row>
    <row r="104" spans="1:14" s="77" customFormat="1">
      <c r="A104" s="98"/>
      <c r="C104" s="106"/>
      <c r="K104" s="78"/>
      <c r="L104" s="78"/>
      <c r="M104" s="78"/>
      <c r="N104" s="78"/>
    </row>
    <row r="105" spans="1:14" s="77" customFormat="1">
      <c r="A105" s="98"/>
      <c r="B105" s="3"/>
      <c r="C105" s="106"/>
      <c r="K105" s="78"/>
      <c r="L105" s="78"/>
      <c r="M105" s="78"/>
      <c r="N105" s="78"/>
    </row>
    <row r="106" spans="1:14" s="77" customFormat="1">
      <c r="A106" s="98"/>
      <c r="B106" s="3"/>
      <c r="C106" s="106"/>
      <c r="K106" s="78"/>
      <c r="L106" s="78"/>
      <c r="M106" s="78"/>
      <c r="N106" s="78"/>
    </row>
    <row r="107" spans="1:14" s="77" customFormat="1">
      <c r="A107" s="98"/>
      <c r="B107" s="3"/>
      <c r="C107" s="106"/>
      <c r="K107" s="78"/>
      <c r="L107" s="78"/>
      <c r="M107" s="78"/>
      <c r="N107" s="78"/>
    </row>
    <row r="108" spans="1:14">
      <c r="B108" s="3"/>
      <c r="C108" s="106"/>
      <c r="I108" s="77"/>
      <c r="J108" s="77"/>
    </row>
    <row r="117" spans="1:14">
      <c r="A117" s="113" t="s">
        <v>1674</v>
      </c>
      <c r="B117" s="104" t="s">
        <v>136</v>
      </c>
      <c r="C117" s="103">
        <v>2025</v>
      </c>
      <c r="D117" s="90"/>
      <c r="E117" s="90"/>
      <c r="F117" s="90"/>
      <c r="G117" s="90">
        <f>SUM(G121:G148)</f>
        <v>773509.50500000012</v>
      </c>
      <c r="H117" s="90"/>
      <c r="I117" s="90"/>
    </row>
    <row r="118" spans="1:14">
      <c r="A118" s="113"/>
      <c r="B118" s="104"/>
      <c r="C118" s="103"/>
      <c r="D118" s="90"/>
      <c r="E118" s="90"/>
      <c r="F118" s="90"/>
      <c r="G118" s="90"/>
      <c r="H118" s="90"/>
      <c r="I118" s="90"/>
    </row>
    <row r="119" spans="1:14">
      <c r="A119" s="113"/>
      <c r="B119" s="104"/>
      <c r="C119" s="103"/>
      <c r="D119" s="90"/>
      <c r="E119" s="90" t="s">
        <v>137</v>
      </c>
      <c r="F119" s="90"/>
      <c r="G119" s="90"/>
      <c r="H119" s="90"/>
      <c r="I119" s="90"/>
    </row>
    <row r="120" spans="1:14">
      <c r="A120" s="100"/>
      <c r="B120" s="90" t="s">
        <v>77</v>
      </c>
      <c r="C120" s="90"/>
      <c r="D120" s="90"/>
      <c r="E120" s="90"/>
      <c r="F120" s="90"/>
      <c r="G120" s="90">
        <v>0</v>
      </c>
      <c r="H120" s="90"/>
      <c r="I120" s="90"/>
    </row>
    <row r="121" spans="1:14">
      <c r="A121" s="100"/>
      <c r="B121" s="90" t="s">
        <v>78</v>
      </c>
      <c r="C121" s="90"/>
      <c r="D121" s="90"/>
      <c r="E121" s="90"/>
      <c r="F121" s="90"/>
      <c r="G121" s="90">
        <v>0</v>
      </c>
      <c r="H121" s="90"/>
      <c r="I121" s="90"/>
    </row>
    <row r="122" spans="1:14">
      <c r="A122" s="100">
        <v>45747</v>
      </c>
      <c r="B122" s="90" t="s">
        <v>1739</v>
      </c>
      <c r="C122" s="90"/>
      <c r="D122" s="90"/>
      <c r="E122" s="90"/>
      <c r="F122" s="90"/>
      <c r="G122" s="90">
        <v>159330</v>
      </c>
      <c r="H122" s="90"/>
      <c r="I122" s="90"/>
    </row>
    <row r="123" spans="1:14">
      <c r="A123" s="100">
        <v>45721</v>
      </c>
      <c r="B123" s="90" t="s">
        <v>139</v>
      </c>
      <c r="C123" s="12"/>
      <c r="D123" s="12"/>
      <c r="E123" s="90"/>
      <c r="F123" s="90"/>
      <c r="G123" s="17">
        <v>34010.300000000003</v>
      </c>
      <c r="H123" s="90"/>
      <c r="I123" s="90"/>
    </row>
    <row r="124" spans="1:14" s="11" customFormat="1">
      <c r="A124" s="100">
        <v>45721</v>
      </c>
      <c r="B124" s="90"/>
      <c r="C124" s="12"/>
      <c r="D124" s="12"/>
      <c r="E124" s="90"/>
      <c r="F124" s="90" t="s">
        <v>1681</v>
      </c>
      <c r="G124" s="17">
        <v>0</v>
      </c>
      <c r="H124" s="90"/>
      <c r="I124" s="90"/>
      <c r="K124" s="78"/>
      <c r="L124" s="78"/>
      <c r="M124" s="78"/>
      <c r="N124" s="78"/>
    </row>
    <row r="125" spans="1:14">
      <c r="A125" s="100">
        <v>45721</v>
      </c>
      <c r="B125" s="90" t="s">
        <v>140</v>
      </c>
      <c r="C125" s="12"/>
      <c r="D125" s="12"/>
      <c r="E125" s="90"/>
      <c r="F125" s="90"/>
      <c r="G125" s="17">
        <v>500</v>
      </c>
      <c r="H125" s="90"/>
      <c r="I125" s="90"/>
    </row>
    <row r="126" spans="1:14">
      <c r="A126" s="100"/>
      <c r="B126" s="90"/>
      <c r="C126" s="12"/>
      <c r="D126" s="12"/>
      <c r="E126" s="90"/>
      <c r="F126" s="90"/>
      <c r="G126" s="17"/>
      <c r="H126" s="90"/>
      <c r="I126" s="90" t="s">
        <v>1686</v>
      </c>
    </row>
    <row r="127" spans="1:14">
      <c r="A127" s="445">
        <v>45667</v>
      </c>
      <c r="B127" s="446" t="s">
        <v>141</v>
      </c>
      <c r="C127" s="447"/>
      <c r="D127" s="448">
        <v>872.26366499999995</v>
      </c>
      <c r="E127" s="449">
        <f t="shared" ref="E127:E132" si="1">D127*C127</f>
        <v>0</v>
      </c>
      <c r="F127" s="473">
        <v>949.42488000000003</v>
      </c>
      <c r="G127" s="450">
        <f t="shared" ref="G127:G132" si="2">F127*C127</f>
        <v>0</v>
      </c>
      <c r="H127" s="417"/>
      <c r="I127" s="417">
        <f t="shared" ref="I127:I132" si="3">G127-E127</f>
        <v>0</v>
      </c>
      <c r="M127" s="444"/>
    </row>
    <row r="128" spans="1:14">
      <c r="A128" s="445">
        <v>45672</v>
      </c>
      <c r="B128" s="446" t="s">
        <v>141</v>
      </c>
      <c r="C128" s="447"/>
      <c r="D128" s="448">
        <v>877.65409299999999</v>
      </c>
      <c r="E128" s="449">
        <f t="shared" si="1"/>
        <v>0</v>
      </c>
      <c r="F128" s="473">
        <f>F127</f>
        <v>949.42488000000003</v>
      </c>
      <c r="G128" s="450">
        <f t="shared" si="2"/>
        <v>0</v>
      </c>
      <c r="H128" s="417"/>
      <c r="I128" s="417">
        <f t="shared" si="3"/>
        <v>0</v>
      </c>
    </row>
    <row r="129" spans="1:14">
      <c r="A129" s="445">
        <v>45680</v>
      </c>
      <c r="B129" s="446" t="s">
        <v>1602</v>
      </c>
      <c r="C129" s="447"/>
      <c r="D129" s="448">
        <v>305</v>
      </c>
      <c r="E129" s="449">
        <f>D129*C129</f>
        <v>0</v>
      </c>
      <c r="F129" s="417">
        <v>323.75</v>
      </c>
      <c r="G129" s="450">
        <f>F129*C129</f>
        <v>0</v>
      </c>
      <c r="H129" s="417"/>
      <c r="I129" s="417">
        <f>G129-E129</f>
        <v>0</v>
      </c>
      <c r="J129" s="443"/>
      <c r="K129" s="100"/>
      <c r="M129" s="443"/>
    </row>
    <row r="130" spans="1:14" s="11" customFormat="1">
      <c r="A130" s="445">
        <v>45721</v>
      </c>
      <c r="B130" s="446" t="s">
        <v>1602</v>
      </c>
      <c r="C130" s="447"/>
      <c r="D130" s="448"/>
      <c r="E130" s="449"/>
      <c r="F130" s="417"/>
      <c r="G130" s="450"/>
      <c r="H130" s="417"/>
      <c r="I130" s="417">
        <v>-81.59</v>
      </c>
      <c r="J130" s="78"/>
      <c r="K130" s="443"/>
      <c r="L130" s="78"/>
      <c r="M130" s="443"/>
      <c r="N130" s="78"/>
    </row>
    <row r="131" spans="1:14">
      <c r="A131" s="100">
        <v>45620</v>
      </c>
      <c r="B131" s="82" t="s">
        <v>1604</v>
      </c>
      <c r="C131" s="114">
        <v>4000</v>
      </c>
      <c r="D131" s="114">
        <v>32.549999999999997</v>
      </c>
      <c r="E131" s="116">
        <f t="shared" si="1"/>
        <v>130199.99999999999</v>
      </c>
      <c r="F131" s="90">
        <v>41.73</v>
      </c>
      <c r="G131" s="17">
        <f t="shared" si="2"/>
        <v>166920</v>
      </c>
      <c r="H131" s="90"/>
      <c r="I131" s="90">
        <f t="shared" si="3"/>
        <v>36720.000000000015</v>
      </c>
    </row>
    <row r="132" spans="1:14" ht="13.5" thickBot="1">
      <c r="A132" s="100">
        <v>45659</v>
      </c>
      <c r="B132" s="82" t="s">
        <v>1603</v>
      </c>
      <c r="C132" s="114">
        <v>4000</v>
      </c>
      <c r="D132" s="115">
        <v>30.86</v>
      </c>
      <c r="E132" s="116">
        <f t="shared" si="1"/>
        <v>123440</v>
      </c>
      <c r="F132" s="90">
        <f>F131</f>
        <v>41.73</v>
      </c>
      <c r="G132" s="17">
        <f t="shared" si="2"/>
        <v>166920</v>
      </c>
      <c r="H132" s="419">
        <f>SUM(G127:G132)</f>
        <v>333840</v>
      </c>
      <c r="I132" s="90">
        <f t="shared" si="3"/>
        <v>43480</v>
      </c>
    </row>
    <row r="133" spans="1:14" ht="13.5" thickBot="1">
      <c r="A133" s="100"/>
      <c r="B133" s="90"/>
      <c r="C133" s="12"/>
      <c r="D133" s="12"/>
      <c r="E133" s="90">
        <f>SUM(E127:E132)</f>
        <v>253640</v>
      </c>
      <c r="F133" s="90"/>
      <c r="G133" s="17"/>
      <c r="H133" s="117">
        <f>(SUM(G127:G132))-(SUM(E127:E132))</f>
        <v>80200</v>
      </c>
      <c r="I133" s="117">
        <f>SUM(I127:I132)</f>
        <v>80118.410000000018</v>
      </c>
    </row>
    <row r="134" spans="1:14">
      <c r="A134" s="100"/>
      <c r="B134" s="90"/>
      <c r="C134" s="12"/>
      <c r="D134" s="12"/>
      <c r="E134" s="90"/>
      <c r="F134" s="90"/>
      <c r="G134" s="90"/>
      <c r="H134" s="90"/>
      <c r="I134" s="90"/>
    </row>
    <row r="135" spans="1:14">
      <c r="A135" s="100">
        <v>45345</v>
      </c>
      <c r="B135" s="82" t="s">
        <v>143</v>
      </c>
      <c r="C135" s="118">
        <v>125000</v>
      </c>
      <c r="D135" s="83">
        <v>1.0399430000000001</v>
      </c>
      <c r="E135" s="116">
        <f>D135*C135</f>
        <v>129992.87500000001</v>
      </c>
      <c r="F135" s="119">
        <v>0.88676500000000003</v>
      </c>
      <c r="G135" s="17">
        <f>F135*C135</f>
        <v>110845.625</v>
      </c>
      <c r="H135" s="90"/>
      <c r="I135" s="90">
        <f t="shared" ref="I135:I138" si="4">G135-E135</f>
        <v>-19147.250000000015</v>
      </c>
    </row>
    <row r="136" spans="1:14">
      <c r="A136" s="100">
        <v>45400</v>
      </c>
      <c r="B136" s="82" t="s">
        <v>144</v>
      </c>
      <c r="C136" s="114">
        <v>10</v>
      </c>
      <c r="D136" s="83">
        <v>135</v>
      </c>
      <c r="E136" s="116">
        <f>D136*C136</f>
        <v>1350</v>
      </c>
      <c r="F136" s="90">
        <v>106.3</v>
      </c>
      <c r="G136" s="17">
        <f>F136*C136</f>
        <v>1063</v>
      </c>
      <c r="H136" s="90"/>
      <c r="I136" s="90">
        <f t="shared" si="4"/>
        <v>-287</v>
      </c>
    </row>
    <row r="137" spans="1:14">
      <c r="A137" s="100">
        <v>45418</v>
      </c>
      <c r="B137" s="82" t="s">
        <v>145</v>
      </c>
      <c r="C137" s="114">
        <v>38</v>
      </c>
      <c r="D137" s="83">
        <v>30.5</v>
      </c>
      <c r="E137" s="116">
        <f>D137*C137</f>
        <v>1159</v>
      </c>
      <c r="F137" s="90">
        <v>15.31</v>
      </c>
      <c r="G137" s="17">
        <f>F137*C137</f>
        <v>581.78</v>
      </c>
      <c r="H137" s="90"/>
      <c r="I137" s="90">
        <f t="shared" si="4"/>
        <v>-577.22</v>
      </c>
    </row>
    <row r="138" spans="1:14" ht="13.5" thickBot="1">
      <c r="A138" s="100">
        <v>45418</v>
      </c>
      <c r="B138" s="82" t="s">
        <v>146</v>
      </c>
      <c r="C138" s="114">
        <v>26</v>
      </c>
      <c r="D138" s="83">
        <v>37.115000000000002</v>
      </c>
      <c r="E138" s="116">
        <f>D138*C138</f>
        <v>964.99</v>
      </c>
      <c r="F138" s="90">
        <v>23.8</v>
      </c>
      <c r="G138" s="17">
        <f>F138*C138</f>
        <v>618.80000000000007</v>
      </c>
      <c r="H138" s="419">
        <f>SUM(G135:G138)</f>
        <v>113109.205</v>
      </c>
      <c r="I138" s="90">
        <f t="shared" si="4"/>
        <v>-346.18999999999994</v>
      </c>
    </row>
    <row r="139" spans="1:14" ht="13.5" thickBot="1">
      <c r="A139" s="100"/>
      <c r="B139" s="90"/>
      <c r="C139" s="12"/>
      <c r="D139" s="12"/>
      <c r="E139" s="90">
        <f>SUM(E135:E138)</f>
        <v>133466.86499999999</v>
      </c>
      <c r="F139" s="90"/>
      <c r="G139" s="90"/>
      <c r="H139" s="117">
        <f>(SUM(G135:G138))-(SUM(E135:E138))</f>
        <v>-20357.659999999989</v>
      </c>
      <c r="I139" s="90"/>
    </row>
    <row r="140" spans="1:14">
      <c r="A140" s="100"/>
      <c r="B140" s="90"/>
      <c r="C140" s="90"/>
      <c r="D140" s="90"/>
      <c r="E140" s="17"/>
      <c r="F140" s="90"/>
      <c r="G140" s="90"/>
      <c r="H140" s="90"/>
      <c r="I140" s="90"/>
    </row>
    <row r="141" spans="1:14">
      <c r="A141" s="100">
        <v>45509</v>
      </c>
      <c r="B141" s="82" t="s">
        <v>1725</v>
      </c>
      <c r="C141" s="114">
        <v>1</v>
      </c>
      <c r="D141" s="83">
        <v>2500</v>
      </c>
      <c r="E141" s="116">
        <f>D141*C141</f>
        <v>2500</v>
      </c>
      <c r="F141" s="90">
        <v>3700</v>
      </c>
      <c r="G141" s="17">
        <f>C141*F141</f>
        <v>3700</v>
      </c>
      <c r="H141" s="90"/>
      <c r="I141" s="90">
        <f t="shared" ref="I141:I143" si="5">G141-E141</f>
        <v>1200</v>
      </c>
    </row>
    <row r="142" spans="1:14">
      <c r="A142" s="100">
        <v>45509</v>
      </c>
      <c r="B142" s="82" t="s">
        <v>148</v>
      </c>
      <c r="C142" s="114">
        <v>16</v>
      </c>
      <c r="D142" s="83">
        <v>4100</v>
      </c>
      <c r="E142" s="116">
        <f>D142*C142</f>
        <v>65600</v>
      </c>
      <c r="F142" s="90">
        <f>F141*1.73</f>
        <v>6401</v>
      </c>
      <c r="G142" s="17">
        <f>C142*F142</f>
        <v>102416</v>
      </c>
      <c r="H142" s="90"/>
      <c r="I142" s="90">
        <f t="shared" si="5"/>
        <v>36816</v>
      </c>
    </row>
    <row r="143" spans="1:14" ht="13.5" thickBot="1">
      <c r="A143" s="100">
        <v>45509</v>
      </c>
      <c r="B143" s="82" t="s">
        <v>149</v>
      </c>
      <c r="C143" s="114">
        <v>1</v>
      </c>
      <c r="D143" s="83">
        <v>16200</v>
      </c>
      <c r="E143" s="116">
        <f>D143*C143</f>
        <v>16200</v>
      </c>
      <c r="F143" s="90">
        <f>F142*4</f>
        <v>25604</v>
      </c>
      <c r="G143" s="17">
        <f>C143*F143</f>
        <v>25604</v>
      </c>
      <c r="H143" s="419">
        <f>SUM(G141:G143)</f>
        <v>131720</v>
      </c>
      <c r="I143" s="90">
        <f t="shared" si="5"/>
        <v>9404</v>
      </c>
    </row>
    <row r="144" spans="1:14" ht="13.5" thickBot="1">
      <c r="A144" s="100"/>
      <c r="B144" s="90"/>
      <c r="C144" s="12"/>
      <c r="D144" s="12"/>
      <c r="E144" s="90">
        <f>SUM(E141:E143)</f>
        <v>84300</v>
      </c>
      <c r="F144" s="90"/>
      <c r="G144" s="90"/>
      <c r="H144" s="117">
        <f>(SUM(G141:G143))-(SUM(E141:E143))</f>
        <v>47420</v>
      </c>
      <c r="I144" s="90"/>
    </row>
    <row r="145" spans="1:14">
      <c r="A145" s="100"/>
      <c r="B145" s="90" t="s">
        <v>150</v>
      </c>
      <c r="C145" s="120">
        <v>33.250599999999999</v>
      </c>
      <c r="D145" s="12"/>
      <c r="E145" s="90"/>
      <c r="F145" s="90"/>
      <c r="G145" s="17"/>
      <c r="H145" s="90"/>
      <c r="I145" s="90"/>
    </row>
    <row r="146" spans="1:14">
      <c r="A146" s="100"/>
      <c r="B146" s="90" t="s">
        <v>151</v>
      </c>
      <c r="C146" s="120">
        <v>36.854999999999997</v>
      </c>
      <c r="D146" s="12"/>
      <c r="E146" s="90"/>
      <c r="F146" s="90"/>
      <c r="G146" s="17"/>
      <c r="H146" s="90"/>
      <c r="I146" s="90"/>
    </row>
    <row r="147" spans="1:14">
      <c r="A147" s="100"/>
      <c r="B147" s="90" t="s">
        <v>152</v>
      </c>
      <c r="C147" s="12"/>
      <c r="D147" s="12"/>
      <c r="E147" s="90"/>
      <c r="F147" s="90"/>
      <c r="G147" s="17">
        <v>0</v>
      </c>
      <c r="H147" s="90"/>
      <c r="I147" s="90"/>
    </row>
    <row r="148" spans="1:14" ht="13.5" thickBot="1">
      <c r="A148" s="100"/>
      <c r="B148" s="90" t="s">
        <v>153</v>
      </c>
      <c r="C148" s="12"/>
      <c r="D148" s="12"/>
      <c r="E148" s="90"/>
      <c r="F148" s="90"/>
      <c r="G148" s="17">
        <v>1000</v>
      </c>
      <c r="H148" s="90"/>
      <c r="I148" s="90"/>
    </row>
    <row r="149" spans="1:14" ht="13.5" thickBot="1">
      <c r="A149" s="100"/>
      <c r="B149" s="90"/>
      <c r="C149" s="90"/>
      <c r="D149" s="90"/>
      <c r="E149" s="121"/>
      <c r="F149" s="122"/>
      <c r="G149" s="123" t="s">
        <v>154</v>
      </c>
      <c r="H149" s="429">
        <f>H144+H139+H133</f>
        <v>107262.34000000001</v>
      </c>
      <c r="I149" s="90"/>
    </row>
    <row r="150" spans="1:14">
      <c r="A150" s="100"/>
      <c r="B150" s="90"/>
      <c r="C150" s="124"/>
      <c r="D150" s="92"/>
      <c r="E150" s="90"/>
      <c r="F150" s="90"/>
      <c r="G150" s="124"/>
      <c r="H150" s="90"/>
      <c r="I150" s="90"/>
    </row>
    <row r="151" spans="1:14">
      <c r="A151" s="100"/>
      <c r="B151" s="90"/>
      <c r="C151" s="124"/>
      <c r="D151" s="18" t="s">
        <v>155</v>
      </c>
      <c r="E151" s="90"/>
      <c r="F151" s="90"/>
      <c r="G151" s="9">
        <f>SUM(G121:G148)</f>
        <v>773509.50500000012</v>
      </c>
      <c r="H151" s="90"/>
      <c r="I151" s="90"/>
    </row>
    <row r="152" spans="1:14">
      <c r="A152" s="100"/>
      <c r="B152" s="90"/>
      <c r="C152" s="126" t="str">
        <f>A117</f>
        <v>NİSAN 2025 e</v>
      </c>
      <c r="D152" s="126" t="s">
        <v>156</v>
      </c>
      <c r="E152" s="90"/>
      <c r="F152" s="90"/>
      <c r="G152" s="127"/>
      <c r="H152" s="90"/>
      <c r="I152" s="90"/>
    </row>
    <row r="153" spans="1:14">
      <c r="A153" s="100"/>
      <c r="B153" s="405"/>
      <c r="C153" s="438"/>
      <c r="D153" s="439"/>
      <c r="E153" s="405"/>
      <c r="F153" s="405"/>
      <c r="G153" s="409"/>
      <c r="H153" s="405"/>
      <c r="I153" s="90"/>
    </row>
    <row r="154" spans="1:14">
      <c r="A154" s="100">
        <v>45747</v>
      </c>
      <c r="B154" s="82" t="s">
        <v>1683</v>
      </c>
      <c r="C154" s="118">
        <v>240</v>
      </c>
      <c r="D154" s="83">
        <v>872.26366499999995</v>
      </c>
      <c r="E154" s="116">
        <f>D154*C154</f>
        <v>209343.27959999998</v>
      </c>
      <c r="F154" s="403">
        <f>F128</f>
        <v>949.42488000000003</v>
      </c>
      <c r="H154" s="90"/>
    </row>
    <row r="155" spans="1:14" s="11" customFormat="1">
      <c r="A155" s="100"/>
      <c r="B155" s="82">
        <v>2024</v>
      </c>
      <c r="C155" s="118">
        <v>100</v>
      </c>
      <c r="D155" s="83">
        <v>872.26</v>
      </c>
      <c r="E155" s="116">
        <f>D155*C155</f>
        <v>87226</v>
      </c>
      <c r="F155" s="403">
        <f>F154</f>
        <v>949.42488000000003</v>
      </c>
      <c r="G155" s="17"/>
      <c r="H155" s="90"/>
      <c r="I155" s="90"/>
      <c r="K155" s="78"/>
      <c r="L155" s="78"/>
      <c r="M155" s="78"/>
      <c r="N155" s="78"/>
    </row>
    <row r="156" spans="1:14" s="11" customFormat="1">
      <c r="A156" s="100"/>
      <c r="B156" s="82" t="s">
        <v>1727</v>
      </c>
      <c r="C156" s="118">
        <v>25</v>
      </c>
      <c r="D156" s="83">
        <v>872.26</v>
      </c>
      <c r="E156" s="116">
        <f>D156*C156</f>
        <v>21806.5</v>
      </c>
      <c r="F156" s="403">
        <f>F155</f>
        <v>949.42488000000003</v>
      </c>
      <c r="G156" s="17"/>
      <c r="H156" s="90"/>
      <c r="I156" s="90"/>
      <c r="K156" s="78"/>
      <c r="L156" s="78"/>
      <c r="M156" s="78"/>
      <c r="N156" s="78"/>
    </row>
    <row r="157" spans="1:14" s="11" customFormat="1" ht="15.75">
      <c r="A157" s="100"/>
      <c r="B157" s="476">
        <f>1-76.4616%</f>
        <v>0.23538399999999993</v>
      </c>
      <c r="C157" s="388">
        <f>219/12*B157</f>
        <v>4.2957579999999984</v>
      </c>
      <c r="D157" s="83">
        <v>5</v>
      </c>
      <c r="E157" s="116">
        <f>C157*D157</f>
        <v>21.478789999999993</v>
      </c>
      <c r="F157" s="403"/>
      <c r="G157" s="17"/>
      <c r="H157" s="90"/>
      <c r="I157" s="90"/>
      <c r="K157" s="78"/>
      <c r="L157" s="78"/>
      <c r="M157" s="78"/>
      <c r="N157" s="78"/>
    </row>
    <row r="158" spans="1:14" s="11" customFormat="1">
      <c r="A158" s="100"/>
      <c r="B158" s="82" t="s">
        <v>1728</v>
      </c>
      <c r="C158" s="118">
        <v>25</v>
      </c>
      <c r="D158" s="83">
        <v>872.26</v>
      </c>
      <c r="E158" s="116">
        <f>D158*C158</f>
        <v>21806.5</v>
      </c>
      <c r="F158" s="403">
        <f>F156</f>
        <v>949.42488000000003</v>
      </c>
      <c r="G158" s="17"/>
      <c r="H158" s="90"/>
      <c r="I158" s="90"/>
      <c r="K158" s="78"/>
      <c r="L158" s="78"/>
      <c r="M158" s="78"/>
      <c r="N158" s="78"/>
    </row>
    <row r="159" spans="1:14" s="11" customFormat="1">
      <c r="A159" s="100"/>
      <c r="B159" s="82"/>
      <c r="C159" s="388">
        <f>290/12*B157</f>
        <v>5.6884466666666649</v>
      </c>
      <c r="D159" s="83">
        <v>4</v>
      </c>
      <c r="E159" s="116">
        <f>C159*D159</f>
        <v>22.753786666666659</v>
      </c>
      <c r="F159" s="403"/>
      <c r="G159" s="17"/>
      <c r="H159" s="90"/>
      <c r="I159" s="90"/>
      <c r="K159" s="78"/>
      <c r="L159" s="78"/>
      <c r="M159" s="78"/>
      <c r="N159" s="78"/>
    </row>
    <row r="160" spans="1:14" s="11" customFormat="1">
      <c r="A160" s="100"/>
      <c r="B160" s="82"/>
      <c r="C160" s="116">
        <f>C158+C156+C155</f>
        <v>150</v>
      </c>
      <c r="D160" s="83">
        <v>872.26</v>
      </c>
      <c r="E160" s="116">
        <f>E158+E156+E155</f>
        <v>130839</v>
      </c>
      <c r="F160" s="403">
        <f>F158</f>
        <v>949.42488000000003</v>
      </c>
      <c r="G160" s="17">
        <f>F160*C160</f>
        <v>142413.73200000002</v>
      </c>
      <c r="H160" s="90"/>
      <c r="I160" s="90">
        <f>G160-E160</f>
        <v>11574.732000000018</v>
      </c>
      <c r="K160" s="78"/>
      <c r="L160" s="78"/>
      <c r="M160" s="78"/>
      <c r="N160" s="78"/>
    </row>
    <row r="161" spans="1:14" s="11" customFormat="1">
      <c r="A161" s="100"/>
      <c r="B161" s="82"/>
      <c r="C161" s="388"/>
      <c r="D161" s="83"/>
      <c r="E161" s="116"/>
      <c r="F161" s="403"/>
      <c r="G161" s="17"/>
      <c r="H161" s="90"/>
      <c r="I161" s="90"/>
      <c r="K161" s="78"/>
      <c r="L161" s="78"/>
      <c r="M161" s="78"/>
      <c r="N161" s="78"/>
    </row>
    <row r="162" spans="1:14">
      <c r="A162" s="100"/>
      <c r="B162" s="90" t="s">
        <v>1684</v>
      </c>
      <c r="C162" s="438"/>
      <c r="D162" s="439"/>
      <c r="E162" s="405"/>
      <c r="F162" s="405"/>
      <c r="G162" s="409"/>
      <c r="H162" s="90"/>
      <c r="I162" s="90"/>
    </row>
    <row r="163" spans="1:14" s="11" customFormat="1">
      <c r="A163" s="100"/>
      <c r="B163" s="90"/>
      <c r="C163" s="438"/>
      <c r="D163" s="439"/>
      <c r="E163" s="405"/>
      <c r="F163" s="405"/>
      <c r="G163" s="409"/>
      <c r="H163" s="90"/>
      <c r="I163" s="90"/>
      <c r="K163" s="78"/>
      <c r="L163" s="78"/>
      <c r="M163" s="78"/>
      <c r="N163" s="78"/>
    </row>
    <row r="164" spans="1:14" s="11" customFormat="1">
      <c r="A164" s="100"/>
      <c r="B164" s="90"/>
      <c r="C164" s="478">
        <v>0.76461599999999996</v>
      </c>
      <c r="D164" s="439"/>
      <c r="E164" s="405"/>
      <c r="F164" s="405"/>
      <c r="G164" s="409"/>
      <c r="H164" s="90"/>
      <c r="I164" s="90"/>
      <c r="K164" s="78"/>
      <c r="L164" s="78"/>
      <c r="M164" s="78"/>
      <c r="N164" s="78"/>
    </row>
    <row r="165" spans="1:14" s="11" customFormat="1">
      <c r="A165" s="100"/>
      <c r="C165" s="438"/>
      <c r="D165" s="439"/>
      <c r="E165" s="405"/>
      <c r="F165" s="405"/>
      <c r="G165" s="409"/>
      <c r="H165" s="90"/>
      <c r="I165" s="90"/>
      <c r="K165" s="78"/>
      <c r="L165" s="78"/>
      <c r="M165" s="78"/>
      <c r="N165" s="78"/>
    </row>
    <row r="166" spans="1:14">
      <c r="A166" s="90"/>
      <c r="B166" s="90" t="s">
        <v>1685</v>
      </c>
      <c r="C166" s="90"/>
      <c r="D166" s="90"/>
      <c r="E166" s="90"/>
      <c r="F166" s="90"/>
      <c r="G166" s="90"/>
      <c r="H166" s="90"/>
      <c r="I166" s="90" t="s">
        <v>1676</v>
      </c>
      <c r="J166" t="s">
        <v>1676</v>
      </c>
      <c r="K166" s="78" t="s">
        <v>1677</v>
      </c>
      <c r="L166" s="78" t="s">
        <v>1678</v>
      </c>
      <c r="M166" s="78" t="s">
        <v>1679</v>
      </c>
    </row>
    <row r="167" spans="1:14">
      <c r="A167" s="100">
        <v>45680</v>
      </c>
      <c r="B167" s="82" t="s">
        <v>1682</v>
      </c>
      <c r="C167" s="114">
        <v>120</v>
      </c>
      <c r="D167" s="115">
        <v>305</v>
      </c>
      <c r="E167" s="116">
        <f>D167*C167</f>
        <v>36600</v>
      </c>
      <c r="F167" s="90">
        <v>323.75</v>
      </c>
      <c r="G167" s="17">
        <f>F167*C167</f>
        <v>38850</v>
      </c>
      <c r="H167" s="90"/>
      <c r="I167" s="90">
        <f>G167-E167</f>
        <v>2250</v>
      </c>
      <c r="J167" s="443">
        <f>(I167-I168)/E167</f>
        <v>6.3704644808743174E-2</v>
      </c>
      <c r="K167" s="100">
        <v>45721</v>
      </c>
      <c r="L167" s="78">
        <f>K167-A167</f>
        <v>41</v>
      </c>
      <c r="M167" s="443">
        <f>J167/L167*30</f>
        <v>4.6613154738104762E-2</v>
      </c>
    </row>
    <row r="168" spans="1:14">
      <c r="A168" s="100">
        <v>45721</v>
      </c>
      <c r="B168" s="82" t="s">
        <v>1602</v>
      </c>
      <c r="C168" s="114"/>
      <c r="D168" s="115"/>
      <c r="E168" s="116"/>
      <c r="F168" s="90"/>
      <c r="G168" s="17"/>
      <c r="H168" s="90"/>
      <c r="I168" s="90">
        <v>-81.59</v>
      </c>
      <c r="J168" s="90">
        <f>I167-I168</f>
        <v>2331.59</v>
      </c>
      <c r="K168" s="475" t="s">
        <v>1680</v>
      </c>
      <c r="M168" s="443"/>
    </row>
    <row r="169" spans="1:14">
      <c r="A169" s="100">
        <v>45667</v>
      </c>
      <c r="B169" s="82" t="s">
        <v>141</v>
      </c>
      <c r="C169" s="114">
        <v>50</v>
      </c>
      <c r="D169" s="115">
        <v>872.26366499999995</v>
      </c>
      <c r="E169" s="116">
        <f t="shared" ref="E169:E170" si="6">D169*C169</f>
        <v>43613.183249999995</v>
      </c>
      <c r="F169" s="404">
        <v>948.605186</v>
      </c>
      <c r="G169" s="17">
        <f t="shared" ref="G169:G170" si="7">F169*C169</f>
        <v>47430.259299999998</v>
      </c>
      <c r="H169" s="90"/>
      <c r="I169" s="90">
        <f t="shared" ref="I169:I170" si="8">G169-E169</f>
        <v>3817.0760500000033</v>
      </c>
    </row>
    <row r="170" spans="1:14">
      <c r="A170" s="100">
        <v>45672</v>
      </c>
      <c r="B170" s="82" t="s">
        <v>141</v>
      </c>
      <c r="C170" s="114">
        <v>50</v>
      </c>
      <c r="D170" s="115">
        <v>877.65409299999999</v>
      </c>
      <c r="E170" s="116">
        <f t="shared" si="6"/>
        <v>43882.70465</v>
      </c>
      <c r="F170" s="404">
        <f>F169</f>
        <v>948.605186</v>
      </c>
      <c r="G170" s="17">
        <f t="shared" si="7"/>
        <v>47430.259299999998</v>
      </c>
      <c r="H170" s="90"/>
      <c r="I170" s="90">
        <f t="shared" si="8"/>
        <v>3547.5546499999982</v>
      </c>
      <c r="J170" s="443">
        <f>(I169+I170-I171)/(E170+E169)</f>
        <v>9.2896373704895008E-2</v>
      </c>
      <c r="K170" s="100">
        <v>45736</v>
      </c>
      <c r="L170" s="78">
        <f>K170-A170</f>
        <v>64</v>
      </c>
      <c r="M170" s="443">
        <f>J170/L170*30</f>
        <v>4.3545175174169531E-2</v>
      </c>
    </row>
    <row r="171" spans="1:14">
      <c r="A171" s="406"/>
      <c r="B171" s="407"/>
      <c r="C171" s="455"/>
      <c r="D171" s="456"/>
      <c r="E171" s="409"/>
      <c r="F171" s="405"/>
      <c r="G171" s="409"/>
      <c r="H171" s="405"/>
      <c r="I171" s="405">
        <v>-763.42</v>
      </c>
      <c r="J171" s="90">
        <f>I170+I169-I171</f>
        <v>8128.0507000000016</v>
      </c>
      <c r="K171" s="475" t="s">
        <v>1680</v>
      </c>
    </row>
    <row r="172" spans="1:14" ht="13.5" thickBot="1">
      <c r="A172" s="407"/>
      <c r="B172" s="407"/>
      <c r="C172" s="407"/>
      <c r="D172" s="405"/>
      <c r="E172" s="405"/>
      <c r="F172" s="405"/>
      <c r="G172" s="405"/>
      <c r="H172" s="405"/>
      <c r="I172" s="407"/>
    </row>
    <row r="173" spans="1:14">
      <c r="A173" s="428"/>
      <c r="B173" s="428"/>
      <c r="C173" s="428"/>
      <c r="D173" s="417"/>
      <c r="E173" s="417"/>
      <c r="F173" s="417"/>
      <c r="G173" s="417"/>
      <c r="H173" s="417"/>
      <c r="I173" s="480">
        <f>SUM(I167:I172)</f>
        <v>8769.6207000000013</v>
      </c>
    </row>
    <row r="174" spans="1:14">
      <c r="A174" s="11"/>
      <c r="B174" s="11"/>
      <c r="C174" s="11"/>
      <c r="D174" s="90"/>
      <c r="E174" s="90"/>
      <c r="F174" s="90"/>
      <c r="G174" s="90"/>
      <c r="H174" s="90"/>
      <c r="I174" s="11"/>
    </row>
  </sheetData>
  <conditionalFormatting sqref="F141:F143">
    <cfRule type="cellIs" dxfId="33" priority="13" operator="lessThan">
      <formula>D141</formula>
    </cfRule>
  </conditionalFormatting>
  <conditionalFormatting sqref="F136:F138">
    <cfRule type="cellIs" dxfId="32" priority="14" operator="lessThan">
      <formula>D136</formula>
    </cfRule>
  </conditionalFormatting>
  <conditionalFormatting sqref="F132">
    <cfRule type="cellIs" dxfId="31" priority="15" operator="lessThan">
      <formula>D132</formula>
    </cfRule>
  </conditionalFormatting>
  <conditionalFormatting sqref="F131">
    <cfRule type="cellIs" dxfId="30" priority="16" operator="lessThan">
      <formula>D131</formula>
    </cfRule>
  </conditionalFormatting>
  <conditionalFormatting sqref="F128">
    <cfRule type="cellIs" dxfId="29" priority="17" operator="lessThan">
      <formula>D128</formula>
    </cfRule>
  </conditionalFormatting>
  <conditionalFormatting sqref="F167:F168">
    <cfRule type="cellIs" dxfId="28" priority="12" operator="lessThan">
      <formula>D167</formula>
    </cfRule>
  </conditionalFormatting>
  <conditionalFormatting sqref="F171">
    <cfRule type="cellIs" dxfId="27" priority="9" operator="lessThan">
      <formula>D171</formula>
    </cfRule>
  </conditionalFormatting>
  <conditionalFormatting sqref="F127">
    <cfRule type="cellIs" dxfId="26" priority="6" operator="lessThan">
      <formula>D127</formula>
    </cfRule>
  </conditionalFormatting>
  <conditionalFormatting sqref="F129:F130">
    <cfRule type="cellIs" dxfId="25" priority="3" operator="lessThan">
      <formula>D129</formula>
    </cfRule>
  </conditionalFormatting>
  <conditionalFormatting sqref="F169">
    <cfRule type="cellIs" dxfId="24" priority="1" operator="lessThan">
      <formula>D169</formula>
    </cfRule>
  </conditionalFormatting>
  <conditionalFormatting sqref="F170">
    <cfRule type="cellIs" dxfId="23" priority="2" operator="lessThan">
      <formula>D170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7" tint="0.79998168889431442"/>
  </sheetPr>
  <dimension ref="A1:N173"/>
  <sheetViews>
    <sheetView topLeftCell="A9" zoomScale="145" zoomScaleNormal="145" workbookViewId="0">
      <selection activeCell="E54" sqref="E5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5" width="12.28515625" style="77"/>
    <col min="6" max="6" width="15" style="77" bestFit="1" customWidth="1"/>
    <col min="7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103</v>
      </c>
      <c r="C2" s="79" t="s">
        <v>67</v>
      </c>
      <c r="D2" s="77">
        <f>SUM(D4:D31)</f>
        <v>45000</v>
      </c>
      <c r="E2" s="77">
        <f>SUM(E4:E32)</f>
        <v>-75400.399999999994</v>
      </c>
      <c r="F2" s="77">
        <f>SUM(F4:F32)</f>
        <v>30054.879999999997</v>
      </c>
      <c r="G2" s="77">
        <f>SUM(G4:G32)</f>
        <v>-96628.72</v>
      </c>
      <c r="H2" s="77">
        <f>F2+G2</f>
        <v>-66573.84</v>
      </c>
    </row>
    <row r="3" spans="1:14">
      <c r="B3" s="18"/>
    </row>
    <row r="4" spans="1:14">
      <c r="B4" s="41"/>
      <c r="H4" s="77">
        <f t="shared" ref="H4:H32" si="0">H3+F4+G4</f>
        <v>0</v>
      </c>
    </row>
    <row r="5" spans="1:14">
      <c r="B5" s="41"/>
      <c r="H5" s="77">
        <f t="shared" si="0"/>
        <v>0</v>
      </c>
    </row>
    <row r="6" spans="1:14">
      <c r="A6" s="80"/>
      <c r="B6" s="81"/>
      <c r="C6" s="82"/>
      <c r="D6" s="83"/>
      <c r="E6" s="83"/>
      <c r="H6" s="77">
        <f t="shared" si="0"/>
        <v>0</v>
      </c>
    </row>
    <row r="7" spans="1:14">
      <c r="A7" s="84">
        <v>45692</v>
      </c>
      <c r="B7" s="81" t="s">
        <v>68</v>
      </c>
      <c r="C7" s="85"/>
      <c r="D7" s="86"/>
      <c r="E7" s="86">
        <f>E37</f>
        <v>0</v>
      </c>
      <c r="F7" s="87"/>
      <c r="G7" s="87">
        <f>E7</f>
        <v>0</v>
      </c>
      <c r="H7" s="90">
        <f t="shared" si="0"/>
        <v>0</v>
      </c>
    </row>
    <row r="8" spans="1:14">
      <c r="A8" s="80">
        <v>45691</v>
      </c>
      <c r="B8" s="81" t="s">
        <v>69</v>
      </c>
      <c r="C8" s="85"/>
      <c r="D8" s="86"/>
      <c r="E8" s="86">
        <f>E52</f>
        <v>-29103.34</v>
      </c>
      <c r="F8" s="87"/>
      <c r="G8" s="87">
        <f>E8</f>
        <v>-29103.34</v>
      </c>
      <c r="H8" s="90">
        <f t="shared" si="0"/>
        <v>-29103.34</v>
      </c>
    </row>
    <row r="9" spans="1:14">
      <c r="A9" s="422">
        <v>45873</v>
      </c>
      <c r="B9" s="428" t="s">
        <v>1648</v>
      </c>
      <c r="C9" s="420"/>
      <c r="D9" s="384"/>
      <c r="E9" s="384"/>
      <c r="F9" s="384"/>
      <c r="G9" s="387">
        <v>-18000</v>
      </c>
      <c r="H9" s="90">
        <f t="shared" si="0"/>
        <v>-47103.34</v>
      </c>
    </row>
    <row r="10" spans="1:14">
      <c r="A10" s="390">
        <v>45692</v>
      </c>
      <c r="B10" s="391" t="s">
        <v>70</v>
      </c>
      <c r="C10" s="391"/>
      <c r="D10" s="387"/>
      <c r="E10" s="387">
        <v>-2117.06</v>
      </c>
      <c r="F10" s="87"/>
      <c r="G10" s="87">
        <v>-2116.98</v>
      </c>
      <c r="H10" s="87">
        <f t="shared" si="0"/>
        <v>-49220.32</v>
      </c>
    </row>
    <row r="11" spans="1:14" s="11" customFormat="1">
      <c r="A11" s="390">
        <v>45699</v>
      </c>
      <c r="B11" s="391" t="s">
        <v>1592</v>
      </c>
      <c r="C11" s="391"/>
      <c r="D11" s="387"/>
      <c r="E11" s="387">
        <v>-17500</v>
      </c>
      <c r="F11" s="77"/>
      <c r="G11" s="87">
        <v>-17500</v>
      </c>
      <c r="H11" s="87">
        <f t="shared" si="0"/>
        <v>-66720.320000000007</v>
      </c>
      <c r="K11" s="78"/>
      <c r="L11" s="78"/>
      <c r="M11" s="78"/>
      <c r="N11" s="78"/>
    </row>
    <row r="12" spans="1:14" s="11" customFormat="1">
      <c r="A12" s="390">
        <v>45699</v>
      </c>
      <c r="B12" s="391" t="s">
        <v>75</v>
      </c>
      <c r="C12" s="391"/>
      <c r="D12" s="387"/>
      <c r="E12" s="387">
        <v>-200</v>
      </c>
      <c r="F12" s="77"/>
      <c r="G12" s="87">
        <v>-391.01</v>
      </c>
      <c r="H12" s="87">
        <f t="shared" si="0"/>
        <v>-67111.33</v>
      </c>
      <c r="K12" s="78"/>
      <c r="L12" s="78"/>
      <c r="M12" s="78"/>
      <c r="N12" s="78"/>
    </row>
    <row r="13" spans="1:14" s="11" customFormat="1">
      <c r="A13" s="411"/>
      <c r="B13" s="432" t="s">
        <v>72</v>
      </c>
      <c r="C13" s="415"/>
      <c r="D13" s="384"/>
      <c r="E13" s="384">
        <v>0</v>
      </c>
      <c r="F13" s="90"/>
      <c r="G13" s="90"/>
      <c r="H13" s="87">
        <f t="shared" si="0"/>
        <v>-67111.33</v>
      </c>
      <c r="K13" s="78"/>
      <c r="L13" s="78"/>
      <c r="M13" s="78"/>
      <c r="N13" s="78"/>
    </row>
    <row r="14" spans="1:14" s="78" customFormat="1">
      <c r="A14" s="390">
        <v>45705</v>
      </c>
      <c r="B14" s="435" t="s">
        <v>113</v>
      </c>
      <c r="C14" s="435"/>
      <c r="D14" s="436">
        <v>15000</v>
      </c>
      <c r="E14" s="436"/>
      <c r="F14" s="436">
        <v>15000</v>
      </c>
      <c r="G14" s="87"/>
      <c r="H14" s="87">
        <f t="shared" si="0"/>
        <v>-52111.33</v>
      </c>
      <c r="I14"/>
      <c r="J14"/>
    </row>
    <row r="15" spans="1:14" s="78" customFormat="1">
      <c r="A15" s="390">
        <v>45705</v>
      </c>
      <c r="B15" s="410" t="s">
        <v>73</v>
      </c>
      <c r="C15" s="410"/>
      <c r="D15" s="387"/>
      <c r="E15" s="387">
        <v>-1000</v>
      </c>
      <c r="F15" s="87"/>
      <c r="G15" s="87">
        <v>-2305</v>
      </c>
      <c r="H15" s="87">
        <f t="shared" si="0"/>
        <v>-54416.33</v>
      </c>
    </row>
    <row r="16" spans="1:14" s="78" customFormat="1">
      <c r="A16" s="390">
        <v>45705</v>
      </c>
      <c r="B16" s="410" t="s">
        <v>74</v>
      </c>
      <c r="C16" s="410"/>
      <c r="D16" s="387"/>
      <c r="E16" s="387">
        <v>-200</v>
      </c>
      <c r="F16" s="87"/>
      <c r="G16" s="87">
        <v>-40</v>
      </c>
      <c r="H16" s="87">
        <f t="shared" si="0"/>
        <v>-54456.33</v>
      </c>
    </row>
    <row r="17" spans="1:13" s="78" customFormat="1">
      <c r="A17" s="390">
        <v>45709</v>
      </c>
      <c r="B17" s="433" t="s">
        <v>1666</v>
      </c>
      <c r="C17" s="433"/>
      <c r="D17" s="387"/>
      <c r="E17" s="387"/>
      <c r="F17" s="387"/>
      <c r="G17" s="387">
        <v>-2391.39</v>
      </c>
      <c r="H17" s="87">
        <f t="shared" si="0"/>
        <v>-56847.72</v>
      </c>
    </row>
    <row r="18" spans="1:13" s="78" customFormat="1">
      <c r="A18" s="88"/>
      <c r="H18" s="87">
        <f t="shared" si="0"/>
        <v>-56847.72</v>
      </c>
    </row>
    <row r="19" spans="1:13" s="78" customFormat="1">
      <c r="A19" s="411"/>
      <c r="B19" s="415" t="s">
        <v>76</v>
      </c>
      <c r="C19" s="415"/>
      <c r="D19" s="384">
        <v>15000</v>
      </c>
      <c r="E19" s="384"/>
      <c r="F19" s="77">
        <v>15054.88</v>
      </c>
      <c r="G19" s="77"/>
      <c r="H19" s="87">
        <f t="shared" si="0"/>
        <v>-41792.840000000004</v>
      </c>
      <c r="J19" s="94"/>
      <c r="K19" s="94"/>
      <c r="L19" s="95"/>
      <c r="M19" s="96"/>
    </row>
    <row r="20" spans="1:13" s="78" customFormat="1">
      <c r="A20" s="414"/>
      <c r="B20" s="415" t="s">
        <v>77</v>
      </c>
      <c r="C20" s="415"/>
      <c r="D20" s="384"/>
      <c r="E20" s="384">
        <v>-7500</v>
      </c>
      <c r="F20" s="77"/>
      <c r="G20" s="77">
        <v>-7502</v>
      </c>
      <c r="H20" s="87">
        <f t="shared" si="0"/>
        <v>-49294.840000000004</v>
      </c>
      <c r="J20" s="94"/>
      <c r="K20" s="94"/>
      <c r="L20" s="95"/>
      <c r="M20" s="96"/>
    </row>
    <row r="21" spans="1:13" s="78" customFormat="1">
      <c r="A21" s="414"/>
      <c r="B21" s="415" t="s">
        <v>78</v>
      </c>
      <c r="C21" s="415"/>
      <c r="D21" s="384"/>
      <c r="E21" s="384">
        <v>-7500</v>
      </c>
      <c r="F21" s="77"/>
      <c r="G21" s="77">
        <v>-7502</v>
      </c>
      <c r="H21" s="87">
        <f t="shared" si="0"/>
        <v>-56796.840000000004</v>
      </c>
      <c r="J21" s="94"/>
      <c r="K21" s="94"/>
      <c r="L21" s="95"/>
      <c r="M21" s="96"/>
    </row>
    <row r="22" spans="1:13" s="78" customFormat="1">
      <c r="A22" s="414"/>
      <c r="B22" s="415" t="s">
        <v>79</v>
      </c>
      <c r="C22" s="415"/>
      <c r="D22" s="384"/>
      <c r="E22" s="384">
        <v>-7500</v>
      </c>
      <c r="F22" s="77"/>
      <c r="G22" s="77">
        <v>-7502</v>
      </c>
      <c r="H22" s="87">
        <f t="shared" si="0"/>
        <v>-64298.840000000004</v>
      </c>
      <c r="J22" s="94"/>
      <c r="K22" s="94"/>
      <c r="L22" s="95"/>
      <c r="M22" s="96"/>
    </row>
    <row r="23" spans="1:13" s="78" customFormat="1">
      <c r="A23" s="414"/>
      <c r="B23" s="415"/>
      <c r="C23" s="415"/>
      <c r="D23" s="384"/>
      <c r="E23" s="384"/>
      <c r="F23" s="77"/>
      <c r="G23" s="77"/>
      <c r="H23" s="87">
        <f t="shared" si="0"/>
        <v>-64298.840000000004</v>
      </c>
      <c r="J23" s="94"/>
      <c r="K23" s="94"/>
      <c r="L23" s="95"/>
      <c r="M23" s="96"/>
    </row>
    <row r="24" spans="1:13" s="78" customFormat="1">
      <c r="A24" s="412"/>
      <c r="B24" s="415"/>
      <c r="C24" s="415"/>
      <c r="D24" s="384"/>
      <c r="E24" s="384"/>
      <c r="F24" s="77"/>
      <c r="G24" s="77"/>
      <c r="H24" s="87">
        <f t="shared" si="0"/>
        <v>-64298.840000000004</v>
      </c>
      <c r="J24" s="94"/>
      <c r="K24" s="94"/>
      <c r="L24" s="95"/>
      <c r="M24" s="96"/>
    </row>
    <row r="25" spans="1:13" s="78" customFormat="1">
      <c r="A25" s="413">
        <v>45716</v>
      </c>
      <c r="B25" s="415" t="s">
        <v>98</v>
      </c>
      <c r="C25" s="415" t="s">
        <v>1673</v>
      </c>
      <c r="D25" s="384"/>
      <c r="E25" s="384">
        <v>-1380</v>
      </c>
      <c r="F25" s="77"/>
      <c r="G25" s="77">
        <v>-1380</v>
      </c>
      <c r="H25" s="87">
        <f t="shared" si="0"/>
        <v>-65678.84</v>
      </c>
      <c r="J25" s="94"/>
      <c r="K25" s="94"/>
      <c r="L25" s="95"/>
      <c r="M25" s="96"/>
    </row>
    <row r="26" spans="1:13" s="78" customFormat="1">
      <c r="A26" s="413">
        <v>45716</v>
      </c>
      <c r="B26" s="434" t="s">
        <v>80</v>
      </c>
      <c r="C26" s="434"/>
      <c r="D26" s="384"/>
      <c r="E26" s="384">
        <v>-600</v>
      </c>
      <c r="F26" s="77"/>
      <c r="G26" s="77">
        <v>-325</v>
      </c>
      <c r="H26" s="77">
        <f t="shared" si="0"/>
        <v>-66003.839999999997</v>
      </c>
      <c r="J26" s="94"/>
      <c r="K26" s="94"/>
      <c r="L26" s="95"/>
      <c r="M26" s="96"/>
    </row>
    <row r="27" spans="1:13" s="78" customFormat="1">
      <c r="A27" s="413">
        <v>45716</v>
      </c>
      <c r="B27" s="434" t="s">
        <v>81</v>
      </c>
      <c r="C27" s="434"/>
      <c r="D27" s="384"/>
      <c r="E27" s="384">
        <v>-800</v>
      </c>
      <c r="F27" s="77"/>
      <c r="G27" s="77">
        <v>-570</v>
      </c>
      <c r="H27" s="77">
        <f t="shared" si="0"/>
        <v>-66573.84</v>
      </c>
      <c r="J27" s="94"/>
      <c r="K27" s="94"/>
      <c r="L27" s="95"/>
      <c r="M27" s="96"/>
    </row>
    <row r="28" spans="1:13" s="78" customFormat="1">
      <c r="B28" s="416" t="s">
        <v>106</v>
      </c>
      <c r="C28" s="416"/>
      <c r="D28" s="417">
        <v>15000</v>
      </c>
      <c r="E28" s="77"/>
      <c r="F28" s="77"/>
      <c r="G28" s="77"/>
      <c r="H28" s="77">
        <f t="shared" si="0"/>
        <v>-66573.84</v>
      </c>
    </row>
    <row r="29" spans="1:13" s="78" customFormat="1">
      <c r="D29" s="77"/>
      <c r="E29" s="77"/>
      <c r="F29" s="77"/>
      <c r="G29" s="77"/>
      <c r="H29" s="77">
        <f t="shared" si="0"/>
        <v>-66573.84</v>
      </c>
    </row>
    <row r="30" spans="1:13">
      <c r="A30" s="100"/>
      <c r="B30" s="101" t="s">
        <v>1654</v>
      </c>
      <c r="C30" s="101"/>
      <c r="H30" s="77">
        <f t="shared" si="0"/>
        <v>-66573.84</v>
      </c>
      <c r="I30" s="78"/>
      <c r="J30" s="78"/>
    </row>
    <row r="31" spans="1:13">
      <c r="A31" s="100"/>
      <c r="H31" s="77">
        <f t="shared" si="0"/>
        <v>-66573.84</v>
      </c>
    </row>
    <row r="32" spans="1:13" s="78" customFormat="1">
      <c r="A32"/>
      <c r="E32" s="77"/>
      <c r="F32" s="77"/>
      <c r="G32" s="77"/>
      <c r="H32" s="77">
        <f t="shared" si="0"/>
        <v>-66573.84</v>
      </c>
      <c r="I32"/>
      <c r="J32"/>
    </row>
    <row r="33" spans="1:14" s="78" customFormat="1">
      <c r="B33" s="101"/>
      <c r="C33" s="101"/>
      <c r="D33" s="77"/>
      <c r="E33" s="77"/>
      <c r="F33" s="77"/>
      <c r="G33" s="77"/>
      <c r="H33" s="77"/>
      <c r="J33" s="94"/>
      <c r="K33" s="94"/>
      <c r="L33" s="95"/>
      <c r="M33" s="96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H35" s="77">
        <v>15000</v>
      </c>
      <c r="I35" s="78"/>
      <c r="J35" s="78"/>
      <c r="K35" s="78"/>
      <c r="L35" s="78"/>
      <c r="M35" s="78"/>
      <c r="N35" s="78"/>
    </row>
    <row r="36" spans="1:14" s="77" customFormat="1">
      <c r="B36" s="102"/>
      <c r="G36" s="77" t="s">
        <v>1655</v>
      </c>
      <c r="H36" s="424">
        <v>0.5635</v>
      </c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0</v>
      </c>
      <c r="H37" s="77">
        <f>H36*H35</f>
        <v>8452.5</v>
      </c>
      <c r="I37" s="77"/>
      <c r="J37" s="77"/>
    </row>
    <row r="38" spans="1:14" s="77" customFormat="1" ht="15">
      <c r="A38"/>
      <c r="B38"/>
      <c r="C38"/>
      <c r="E38" s="105" t="s">
        <v>84</v>
      </c>
      <c r="G38" s="77" t="s">
        <v>1656</v>
      </c>
      <c r="H38" s="77">
        <f>SUM(H37+H35)</f>
        <v>23452.5</v>
      </c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/>
      <c r="I42" s="77"/>
      <c r="J42" s="77"/>
    </row>
    <row r="43" spans="1:14" s="77" customFormat="1">
      <c r="A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107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3"/>
      <c r="B52" s="104" t="s">
        <v>85</v>
      </c>
      <c r="C52" s="103"/>
      <c r="E52" s="77">
        <f>SUM(E53:E98)</f>
        <v>-29103.34</v>
      </c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90" customFormat="1">
      <c r="A54" s="100"/>
      <c r="B54" s="106"/>
      <c r="C54" s="106"/>
      <c r="K54" s="78"/>
      <c r="L54" s="78"/>
      <c r="M54" s="78"/>
      <c r="N54" s="78"/>
    </row>
    <row r="55" spans="1:14" s="90" customFormat="1">
      <c r="A55" s="100"/>
      <c r="B55" s="106"/>
      <c r="C55" s="106"/>
      <c r="K55" s="78"/>
      <c r="L55" s="78"/>
      <c r="M55" s="78"/>
      <c r="N55" s="78"/>
    </row>
    <row r="56" spans="1:14" s="90" customFormat="1">
      <c r="A56" s="100">
        <v>46018</v>
      </c>
      <c r="B56" s="106" t="s">
        <v>1628</v>
      </c>
      <c r="C56" s="106"/>
      <c r="E56" s="90">
        <v>-135</v>
      </c>
      <c r="K56" s="78"/>
      <c r="L56" s="78"/>
      <c r="M56" s="78"/>
      <c r="N56" s="78"/>
    </row>
    <row r="57" spans="1:14" s="90" customFormat="1">
      <c r="A57" s="100">
        <v>46016</v>
      </c>
      <c r="B57" s="106" t="s">
        <v>1627</v>
      </c>
      <c r="C57" s="106"/>
      <c r="E57" s="90">
        <v>-240</v>
      </c>
      <c r="K57" s="78"/>
      <c r="L57" s="78"/>
      <c r="M57" s="78"/>
      <c r="N57" s="78"/>
    </row>
    <row r="58" spans="1:14" s="77" customFormat="1">
      <c r="A58" s="100">
        <v>46015</v>
      </c>
      <c r="B58" s="106" t="s">
        <v>1626</v>
      </c>
      <c r="C58" s="106"/>
      <c r="E58" s="77">
        <v>-550</v>
      </c>
      <c r="K58" s="78"/>
      <c r="L58" s="78"/>
      <c r="M58" s="78"/>
      <c r="N58" s="78"/>
    </row>
    <row r="59" spans="1:14" s="77" customFormat="1">
      <c r="A59" s="100">
        <v>46020</v>
      </c>
      <c r="B59" s="3" t="s">
        <v>1608</v>
      </c>
      <c r="C59" s="106"/>
      <c r="E59" s="77">
        <v>-12762</v>
      </c>
      <c r="F59" s="77">
        <v>0</v>
      </c>
      <c r="K59" s="78"/>
      <c r="L59" s="78"/>
      <c r="M59" s="78"/>
      <c r="N59" s="78"/>
    </row>
    <row r="60" spans="1:14" s="77" customFormat="1">
      <c r="A60" s="100">
        <v>46021</v>
      </c>
      <c r="B60" s="3" t="s">
        <v>1607</v>
      </c>
      <c r="C60" s="106"/>
      <c r="E60" s="77">
        <v>-120</v>
      </c>
      <c r="K60" s="78"/>
      <c r="L60" s="78"/>
      <c r="M60" s="78"/>
      <c r="N60" s="78"/>
    </row>
    <row r="61" spans="1:14" s="77" customFormat="1">
      <c r="A61" s="100">
        <v>46022</v>
      </c>
      <c r="B61" s="92" t="s">
        <v>1610</v>
      </c>
      <c r="C61" s="106"/>
      <c r="E61" s="77">
        <v>-3741</v>
      </c>
      <c r="F61" s="77">
        <v>0</v>
      </c>
      <c r="K61" s="78"/>
      <c r="L61" s="78"/>
      <c r="M61" s="78"/>
      <c r="N61" s="78"/>
    </row>
    <row r="62" spans="1:14" s="77" customFormat="1">
      <c r="A62" s="100">
        <v>46022</v>
      </c>
      <c r="B62" s="92" t="s">
        <v>1609</v>
      </c>
      <c r="C62" s="106"/>
      <c r="E62" s="77">
        <v>-3741</v>
      </c>
      <c r="F62" s="77">
        <v>0</v>
      </c>
      <c r="K62" s="78"/>
      <c r="L62" s="78"/>
      <c r="M62" s="78"/>
      <c r="N62" s="78"/>
    </row>
    <row r="63" spans="1:14" s="77" customFormat="1">
      <c r="A63" s="100">
        <v>46022</v>
      </c>
      <c r="B63" s="3" t="s">
        <v>1611</v>
      </c>
      <c r="C63" s="106"/>
      <c r="E63" s="77">
        <v>-560</v>
      </c>
      <c r="K63" s="78"/>
      <c r="L63" s="78"/>
      <c r="M63" s="78"/>
      <c r="N63" s="78"/>
    </row>
    <row r="64" spans="1:14" s="90" customFormat="1">
      <c r="A64" s="100">
        <v>45658</v>
      </c>
      <c r="B64" s="92" t="s">
        <v>127</v>
      </c>
      <c r="C64" s="106"/>
      <c r="E64" s="90">
        <v>-177.87</v>
      </c>
      <c r="K64" s="78"/>
      <c r="L64" s="78"/>
      <c r="M64" s="78"/>
      <c r="N64" s="78"/>
    </row>
    <row r="65" spans="1:14" s="77" customFormat="1">
      <c r="A65" s="100">
        <v>45658</v>
      </c>
      <c r="B65" s="3" t="s">
        <v>1629</v>
      </c>
      <c r="C65" s="106"/>
      <c r="D65" s="77">
        <v>69.13</v>
      </c>
      <c r="K65" s="78"/>
      <c r="L65" s="78"/>
      <c r="M65" s="78"/>
      <c r="N65" s="78"/>
    </row>
    <row r="66" spans="1:14" s="77" customFormat="1">
      <c r="A66" s="100">
        <v>45659</v>
      </c>
      <c r="B66" s="92" t="s">
        <v>127</v>
      </c>
      <c r="C66" s="106"/>
      <c r="E66" s="77">
        <v>-470</v>
      </c>
      <c r="K66" s="78"/>
      <c r="L66" s="78"/>
      <c r="M66" s="78"/>
      <c r="N66" s="78"/>
    </row>
    <row r="67" spans="1:14" s="77" customFormat="1">
      <c r="A67" s="100">
        <v>45660</v>
      </c>
      <c r="B67" s="3" t="s">
        <v>1612</v>
      </c>
      <c r="C67" s="106"/>
      <c r="E67" s="77">
        <v>-70</v>
      </c>
      <c r="K67" s="78"/>
      <c r="L67" s="78"/>
      <c r="M67" s="78"/>
      <c r="N67" s="78"/>
    </row>
    <row r="68" spans="1:14" s="90" customFormat="1">
      <c r="A68" s="100">
        <v>45660</v>
      </c>
      <c r="B68" s="92" t="s">
        <v>129</v>
      </c>
      <c r="C68" s="106"/>
      <c r="D68" s="90">
        <v>7885.34</v>
      </c>
      <c r="K68" s="78"/>
      <c r="L68" s="78"/>
      <c r="M68" s="78"/>
      <c r="N68" s="78"/>
    </row>
    <row r="69" spans="1:14" s="77" customFormat="1">
      <c r="A69" s="100">
        <v>45664</v>
      </c>
      <c r="B69" s="3" t="s">
        <v>1613</v>
      </c>
      <c r="C69" s="106"/>
      <c r="E69" s="77">
        <v>-230</v>
      </c>
      <c r="K69" s="78"/>
      <c r="L69" s="78"/>
      <c r="M69" s="78"/>
      <c r="N69" s="78"/>
    </row>
    <row r="70" spans="1:14" s="90" customFormat="1">
      <c r="A70" s="100">
        <v>45666</v>
      </c>
      <c r="B70" s="92" t="s">
        <v>1612</v>
      </c>
      <c r="C70" s="106"/>
      <c r="E70" s="90">
        <v>-70</v>
      </c>
      <c r="K70" s="78"/>
      <c r="L70" s="78"/>
      <c r="M70" s="78"/>
      <c r="N70" s="78"/>
    </row>
    <row r="71" spans="1:14" s="90" customFormat="1">
      <c r="A71" s="100">
        <v>45667</v>
      </c>
      <c r="B71" s="92" t="s">
        <v>1614</v>
      </c>
      <c r="C71" s="106"/>
      <c r="E71" s="90">
        <v>-1000</v>
      </c>
      <c r="F71" s="90">
        <v>0</v>
      </c>
      <c r="K71" s="78"/>
      <c r="L71" s="78"/>
      <c r="M71" s="78"/>
      <c r="N71" s="78"/>
    </row>
    <row r="72" spans="1:14" s="90" customFormat="1">
      <c r="A72" s="100">
        <v>45667</v>
      </c>
      <c r="B72" s="92" t="s">
        <v>1615</v>
      </c>
      <c r="C72" s="106"/>
      <c r="E72" s="90">
        <v>-75</v>
      </c>
      <c r="K72" s="78"/>
      <c r="L72" s="78"/>
      <c r="M72" s="78"/>
      <c r="N72" s="78"/>
    </row>
    <row r="73" spans="1:14" s="90" customFormat="1">
      <c r="A73" s="100">
        <v>45667</v>
      </c>
      <c r="B73" s="92" t="s">
        <v>1616</v>
      </c>
      <c r="C73" s="106"/>
      <c r="E73" s="90">
        <v>-400</v>
      </c>
      <c r="K73" s="78"/>
      <c r="L73" s="78"/>
      <c r="M73" s="78"/>
      <c r="N73" s="78"/>
    </row>
    <row r="74" spans="1:14" s="90" customFormat="1">
      <c r="A74" s="100">
        <v>45669</v>
      </c>
      <c r="B74" s="92" t="s">
        <v>1617</v>
      </c>
      <c r="C74" s="106"/>
      <c r="E74" s="90">
        <v>-2529.9699999999998</v>
      </c>
      <c r="K74" s="78"/>
      <c r="L74" s="78"/>
      <c r="M74" s="78"/>
      <c r="N74" s="78"/>
    </row>
    <row r="75" spans="1:14" s="90" customFormat="1">
      <c r="A75" s="100">
        <v>45669</v>
      </c>
      <c r="B75" s="92" t="s">
        <v>1618</v>
      </c>
      <c r="C75" s="106"/>
      <c r="E75" s="90">
        <v>-970</v>
      </c>
      <c r="K75" s="78"/>
      <c r="L75" s="78"/>
      <c r="M75" s="78"/>
      <c r="N75" s="78"/>
    </row>
    <row r="76" spans="1:14" s="77" customFormat="1">
      <c r="A76" s="100">
        <v>45669</v>
      </c>
      <c r="B76" s="92" t="s">
        <v>1619</v>
      </c>
      <c r="C76" s="106"/>
      <c r="E76" s="77">
        <v>-970</v>
      </c>
      <c r="K76" s="78"/>
      <c r="L76" s="78"/>
      <c r="M76" s="78"/>
      <c r="N76" s="78"/>
    </row>
    <row r="77" spans="1:14" s="77" customFormat="1">
      <c r="A77" s="100">
        <v>45670</v>
      </c>
      <c r="B77" s="3" t="s">
        <v>1615</v>
      </c>
      <c r="C77" s="106"/>
      <c r="E77" s="77">
        <v>-60</v>
      </c>
      <c r="K77" s="78"/>
      <c r="L77" s="78"/>
      <c r="M77" s="78"/>
      <c r="N77" s="78"/>
    </row>
    <row r="78" spans="1:14" s="90" customFormat="1">
      <c r="A78" s="100">
        <v>45672</v>
      </c>
      <c r="B78" s="92" t="s">
        <v>1621</v>
      </c>
      <c r="C78" s="106"/>
      <c r="E78" s="90">
        <v>-794</v>
      </c>
      <c r="F78" s="90">
        <v>0</v>
      </c>
      <c r="K78" s="78"/>
      <c r="L78" s="78"/>
      <c r="M78" s="78"/>
      <c r="N78" s="78"/>
    </row>
    <row r="79" spans="1:14" s="90" customFormat="1">
      <c r="A79" s="100">
        <v>45672</v>
      </c>
      <c r="B79" s="92" t="s">
        <v>1620</v>
      </c>
      <c r="C79" s="106"/>
      <c r="E79" s="90">
        <v>1762</v>
      </c>
      <c r="F79" s="90">
        <v>0</v>
      </c>
      <c r="K79" s="78"/>
      <c r="L79" s="78"/>
      <c r="M79" s="78"/>
      <c r="N79" s="78"/>
    </row>
    <row r="80" spans="1:14" s="90" customFormat="1">
      <c r="A80" s="100">
        <v>45672</v>
      </c>
      <c r="B80" s="92" t="s">
        <v>1607</v>
      </c>
      <c r="C80" s="106"/>
      <c r="E80" s="90">
        <v>-120</v>
      </c>
      <c r="K80" s="78"/>
      <c r="L80" s="78"/>
      <c r="M80" s="78"/>
      <c r="N80" s="78"/>
    </row>
    <row r="81" spans="1:14" s="90" customFormat="1">
      <c r="A81" s="100">
        <v>45673</v>
      </c>
      <c r="B81" s="92" t="s">
        <v>1612</v>
      </c>
      <c r="C81" s="106"/>
      <c r="E81" s="90">
        <v>-70</v>
      </c>
      <c r="K81" s="78"/>
      <c r="L81" s="78"/>
      <c r="M81" s="78"/>
      <c r="N81" s="78"/>
    </row>
    <row r="82" spans="1:14" s="90" customFormat="1">
      <c r="A82" s="100">
        <v>45673</v>
      </c>
      <c r="B82" s="92" t="s">
        <v>410</v>
      </c>
      <c r="C82" s="106"/>
      <c r="E82" s="90">
        <v>-385</v>
      </c>
      <c r="K82" s="78"/>
      <c r="L82" s="78"/>
      <c r="M82" s="78"/>
      <c r="N82" s="78"/>
    </row>
    <row r="83" spans="1:14" s="90" customFormat="1">
      <c r="A83" s="100">
        <v>45674</v>
      </c>
      <c r="B83" s="92" t="s">
        <v>134</v>
      </c>
      <c r="C83" s="106"/>
      <c r="E83" s="90">
        <v>-100</v>
      </c>
      <c r="K83" s="78"/>
      <c r="L83" s="78"/>
      <c r="M83" s="78"/>
      <c r="N83" s="78"/>
    </row>
    <row r="84" spans="1:14" s="90" customFormat="1">
      <c r="A84" s="100">
        <v>45677</v>
      </c>
      <c r="B84" s="92" t="s">
        <v>1613</v>
      </c>
      <c r="C84" s="106"/>
      <c r="E84" s="90">
        <v>-230</v>
      </c>
      <c r="K84" s="78"/>
      <c r="L84" s="78"/>
      <c r="M84" s="78"/>
      <c r="N84" s="78"/>
    </row>
    <row r="85" spans="1:14" s="90" customFormat="1">
      <c r="A85" s="100">
        <v>45677</v>
      </c>
      <c r="B85" s="92" t="s">
        <v>127</v>
      </c>
      <c r="C85" s="106"/>
      <c r="E85" s="90">
        <v>-174.5</v>
      </c>
      <c r="K85" s="78"/>
      <c r="L85" s="78"/>
      <c r="M85" s="78"/>
      <c r="N85" s="78"/>
    </row>
    <row r="86" spans="1:14" s="90" customFormat="1">
      <c r="A86" s="100">
        <v>45678</v>
      </c>
      <c r="B86" s="92" t="s">
        <v>1622</v>
      </c>
      <c r="C86" s="106"/>
      <c r="E86" s="90">
        <v>-120</v>
      </c>
      <c r="K86" s="78"/>
      <c r="L86" s="78"/>
      <c r="M86" s="78"/>
      <c r="N86" s="78"/>
    </row>
    <row r="87" spans="1:14" s="90" customFormat="1" ht="15">
      <c r="E87" s="105" t="s">
        <v>84</v>
      </c>
      <c r="K87" s="78"/>
      <c r="L87" s="78"/>
      <c r="M87" s="78"/>
      <c r="N87" s="78"/>
    </row>
    <row r="88" spans="1:14" s="90" customFormat="1">
      <c r="K88" s="78"/>
      <c r="L88" s="78"/>
      <c r="M88" s="78"/>
      <c r="N88" s="78"/>
    </row>
    <row r="89" spans="1:14" s="90" customFormat="1">
      <c r="K89" s="78"/>
      <c r="L89" s="78"/>
      <c r="M89" s="78"/>
      <c r="N89" s="78"/>
    </row>
    <row r="90" spans="1:14" s="90" customFormat="1">
      <c r="K90" s="78"/>
      <c r="L90" s="78"/>
      <c r="M90" s="78"/>
      <c r="N90" s="78"/>
    </row>
    <row r="91" spans="1:14" s="90" customFormat="1">
      <c r="K91" s="78"/>
      <c r="L91" s="78"/>
      <c r="M91" s="78"/>
      <c r="N91" s="78"/>
    </row>
    <row r="92" spans="1:14" s="90" customFormat="1">
      <c r="A92" s="100"/>
      <c r="B92" s="92"/>
      <c r="C92" s="106"/>
      <c r="K92" s="78"/>
      <c r="L92" s="78"/>
      <c r="M92" s="78"/>
      <c r="N92" s="78"/>
    </row>
    <row r="93" spans="1:14" s="77" customFormat="1">
      <c r="A93" s="100"/>
      <c r="B93" s="3"/>
      <c r="C93" s="106"/>
      <c r="K93" s="78"/>
      <c r="L93" s="78"/>
      <c r="M93" s="78"/>
      <c r="N93" s="78"/>
    </row>
    <row r="94" spans="1:14" s="77" customFormat="1">
      <c r="A94" s="100"/>
      <c r="B94" s="3"/>
      <c r="C94" s="106"/>
      <c r="K94" s="78"/>
      <c r="L94" s="78"/>
      <c r="M94" s="78"/>
      <c r="N94" s="78"/>
    </row>
    <row r="95" spans="1:14" s="77" customFormat="1">
      <c r="A95" s="100"/>
      <c r="B95" s="3"/>
      <c r="C95" s="106"/>
      <c r="K95" s="78"/>
      <c r="L95" s="78"/>
      <c r="M95" s="78"/>
      <c r="N95" s="78"/>
    </row>
    <row r="96" spans="1:14" s="77" customFormat="1">
      <c r="A96" s="100"/>
      <c r="B96" s="3"/>
      <c r="C96" s="106"/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>
      <c r="A98" s="100"/>
      <c r="B98" s="3"/>
      <c r="C98" s="106"/>
      <c r="I98" s="77"/>
      <c r="J98" s="77"/>
    </row>
    <row r="112" spans="1:14">
      <c r="A112" s="113" t="s">
        <v>1643</v>
      </c>
      <c r="B112" s="104" t="s">
        <v>136</v>
      </c>
      <c r="C112" s="103">
        <v>2025</v>
      </c>
      <c r="D112" s="90"/>
      <c r="E112" s="90"/>
      <c r="F112" s="90"/>
      <c r="G112" s="90">
        <f>SUM(G116:G142)</f>
        <v>857724.06030999997</v>
      </c>
      <c r="H112" s="90"/>
      <c r="I112" s="90"/>
    </row>
    <row r="113" spans="1:14">
      <c r="A113" s="113"/>
      <c r="B113" s="104"/>
      <c r="C113" s="103"/>
      <c r="D113" s="90"/>
      <c r="E113" s="90"/>
      <c r="F113" s="90"/>
      <c r="G113" s="90"/>
      <c r="H113" s="90"/>
      <c r="I113" s="90"/>
    </row>
    <row r="114" spans="1:14">
      <c r="A114" s="113"/>
      <c r="B114" s="104"/>
      <c r="C114" s="103"/>
      <c r="D114" s="90"/>
      <c r="E114" s="90" t="s">
        <v>137</v>
      </c>
      <c r="F114" s="90"/>
      <c r="G114" s="90"/>
      <c r="H114" s="90"/>
      <c r="I114" s="90"/>
    </row>
    <row r="115" spans="1:14">
      <c r="A115" s="100"/>
      <c r="B115" s="90" t="s">
        <v>77</v>
      </c>
      <c r="C115" s="90"/>
      <c r="D115" s="90"/>
      <c r="E115" s="90"/>
      <c r="F115" s="90"/>
      <c r="G115" s="90">
        <v>0</v>
      </c>
      <c r="H115" s="90"/>
      <c r="I115" s="90"/>
    </row>
    <row r="116" spans="1:14">
      <c r="A116" s="100"/>
      <c r="B116" s="90" t="s">
        <v>78</v>
      </c>
      <c r="C116" s="90"/>
      <c r="D116" s="90"/>
      <c r="E116" s="90"/>
      <c r="F116" s="90"/>
      <c r="G116" s="90">
        <v>0</v>
      </c>
      <c r="H116" s="90"/>
      <c r="I116" s="90"/>
    </row>
    <row r="117" spans="1:14">
      <c r="A117" s="100">
        <v>45716</v>
      </c>
      <c r="B117" s="90" t="s">
        <v>1739</v>
      </c>
      <c r="C117" s="90"/>
      <c r="D117" s="90"/>
      <c r="E117" s="90"/>
      <c r="F117" s="90"/>
      <c r="G117" s="90">
        <v>195330</v>
      </c>
      <c r="H117" s="90"/>
      <c r="I117" s="90"/>
    </row>
    <row r="118" spans="1:14">
      <c r="A118" s="100">
        <v>45716</v>
      </c>
      <c r="B118" s="90" t="s">
        <v>139</v>
      </c>
      <c r="C118" s="12"/>
      <c r="D118" s="12"/>
      <c r="E118" s="90"/>
      <c r="F118" s="90"/>
      <c r="G118" s="17">
        <v>35797.120000000003</v>
      </c>
      <c r="H118" s="90"/>
      <c r="I118" s="90"/>
    </row>
    <row r="119" spans="1:14">
      <c r="A119" s="100"/>
      <c r="B119" s="90" t="s">
        <v>140</v>
      </c>
      <c r="C119" s="12"/>
      <c r="D119" s="12"/>
      <c r="E119" s="90"/>
      <c r="F119" s="90"/>
      <c r="G119" s="17">
        <v>500</v>
      </c>
      <c r="H119" s="90"/>
      <c r="I119" s="90"/>
    </row>
    <row r="120" spans="1:14">
      <c r="A120" s="100"/>
      <c r="B120" s="90"/>
      <c r="C120" s="12"/>
      <c r="D120" s="12"/>
      <c r="E120" s="90"/>
      <c r="F120" s="90"/>
      <c r="G120" s="17"/>
      <c r="H120" s="90"/>
      <c r="I120" s="90"/>
    </row>
    <row r="121" spans="1:14" s="11" customFormat="1">
      <c r="A121" s="100">
        <v>45667</v>
      </c>
      <c r="B121" s="82" t="s">
        <v>141</v>
      </c>
      <c r="C121" s="114">
        <v>50</v>
      </c>
      <c r="D121" s="115">
        <v>872.26366499999995</v>
      </c>
      <c r="E121" s="116">
        <f t="shared" ref="E121" si="1">D121*C121</f>
        <v>43613.183249999995</v>
      </c>
      <c r="F121" s="404">
        <v>924.55062199999998</v>
      </c>
      <c r="G121" s="17">
        <f t="shared" ref="G121" si="2">F121*C121</f>
        <v>46227.5311</v>
      </c>
      <c r="H121" s="90"/>
      <c r="I121" s="90">
        <f t="shared" ref="I121" si="3">G121-E121</f>
        <v>2614.3478500000056</v>
      </c>
      <c r="K121" s="78"/>
      <c r="L121" s="78"/>
      <c r="M121" s="78"/>
      <c r="N121" s="78"/>
    </row>
    <row r="122" spans="1:14">
      <c r="A122" s="100">
        <v>45672</v>
      </c>
      <c r="B122" s="82" t="s">
        <v>141</v>
      </c>
      <c r="C122" s="114">
        <v>55</v>
      </c>
      <c r="D122" s="115">
        <v>877.65409299999999</v>
      </c>
      <c r="E122" s="116">
        <f t="shared" ref="E122:E125" si="4">D122*C122</f>
        <v>48270.975115000001</v>
      </c>
      <c r="F122" s="404">
        <f>F121</f>
        <v>924.55062199999998</v>
      </c>
      <c r="G122" s="17">
        <f t="shared" ref="G122:G125" si="5">F122*C122</f>
        <v>50850.284209999998</v>
      </c>
      <c r="H122" s="90"/>
      <c r="I122" s="90">
        <f t="shared" ref="I122:I125" si="6">G122-E122</f>
        <v>2579.3090949999969</v>
      </c>
    </row>
    <row r="123" spans="1:14">
      <c r="A123" s="100">
        <v>45680</v>
      </c>
      <c r="B123" s="82" t="s">
        <v>1602</v>
      </c>
      <c r="C123" s="114">
        <v>120</v>
      </c>
      <c r="D123" s="115">
        <v>305</v>
      </c>
      <c r="E123" s="116">
        <f t="shared" si="4"/>
        <v>36600</v>
      </c>
      <c r="F123" s="90">
        <v>308</v>
      </c>
      <c r="G123" s="17">
        <f t="shared" si="5"/>
        <v>36960</v>
      </c>
      <c r="H123" s="90"/>
      <c r="I123" s="90">
        <f t="shared" si="6"/>
        <v>360</v>
      </c>
    </row>
    <row r="124" spans="1:14">
      <c r="A124" s="100">
        <v>45620</v>
      </c>
      <c r="B124" s="82" t="s">
        <v>1604</v>
      </c>
      <c r="C124" s="114">
        <v>4000</v>
      </c>
      <c r="D124" s="114">
        <v>32.549999999999997</v>
      </c>
      <c r="E124" s="116">
        <f t="shared" si="4"/>
        <v>130199.99999999999</v>
      </c>
      <c r="F124" s="90">
        <v>34.47</v>
      </c>
      <c r="G124" s="17">
        <f t="shared" si="5"/>
        <v>137880</v>
      </c>
      <c r="H124" s="90"/>
      <c r="I124" s="90">
        <f t="shared" si="6"/>
        <v>7680.0000000000146</v>
      </c>
    </row>
    <row r="125" spans="1:14" ht="13.5" thickBot="1">
      <c r="A125" s="100">
        <v>45659</v>
      </c>
      <c r="B125" s="82" t="s">
        <v>1603</v>
      </c>
      <c r="C125" s="114">
        <v>4000</v>
      </c>
      <c r="D125" s="115">
        <v>30.86</v>
      </c>
      <c r="E125" s="116">
        <f t="shared" si="4"/>
        <v>123440</v>
      </c>
      <c r="F125" s="90">
        <f>F124</f>
        <v>34.47</v>
      </c>
      <c r="G125" s="17">
        <f t="shared" si="5"/>
        <v>137880</v>
      </c>
      <c r="H125" s="419">
        <f>SUM(G121:G125)</f>
        <v>409797.81530999998</v>
      </c>
      <c r="I125" s="90">
        <f t="shared" si="6"/>
        <v>14440</v>
      </c>
    </row>
    <row r="126" spans="1:14" ht="15.75" thickBot="1">
      <c r="A126" s="100"/>
      <c r="B126" s="90"/>
      <c r="C126" s="12"/>
      <c r="D126" s="12"/>
      <c r="E126" s="90">
        <f>SUM(E121:E125)</f>
        <v>382124.15836499998</v>
      </c>
      <c r="F126" s="105" t="s">
        <v>84</v>
      </c>
      <c r="G126" s="17"/>
      <c r="H126" s="117">
        <f>(SUM(G121:G125))-(SUM(E121:E125))</f>
        <v>27673.656944999995</v>
      </c>
      <c r="I126" s="117">
        <f>SUM(I121:I125)</f>
        <v>27673.656945000017</v>
      </c>
    </row>
    <row r="127" spans="1:14">
      <c r="A127" s="100"/>
      <c r="B127" s="90"/>
      <c r="C127" s="12"/>
      <c r="D127" s="12"/>
      <c r="E127" s="90"/>
      <c r="F127" s="90"/>
      <c r="G127" s="90"/>
      <c r="H127" s="90"/>
      <c r="I127" s="90"/>
    </row>
    <row r="128" spans="1:14">
      <c r="A128" s="100">
        <v>45509</v>
      </c>
      <c r="B128" s="82" t="s">
        <v>147</v>
      </c>
      <c r="C128" s="114">
        <v>1</v>
      </c>
      <c r="D128" s="83">
        <v>2500</v>
      </c>
      <c r="E128" s="116">
        <f>D128*C128</f>
        <v>2500</v>
      </c>
      <c r="F128" s="90">
        <v>3283</v>
      </c>
      <c r="G128" s="17">
        <f>C128*F128</f>
        <v>3283</v>
      </c>
      <c r="H128" s="90"/>
      <c r="I128" s="90">
        <f t="shared" ref="I128:I130" si="7">G128-E128</f>
        <v>783</v>
      </c>
    </row>
    <row r="129" spans="1:14">
      <c r="A129" s="100">
        <v>45509</v>
      </c>
      <c r="B129" s="82" t="s">
        <v>148</v>
      </c>
      <c r="C129" s="114">
        <v>16</v>
      </c>
      <c r="D129" s="83">
        <v>4100</v>
      </c>
      <c r="E129" s="116">
        <f>D129*C129</f>
        <v>65600</v>
      </c>
      <c r="F129" s="90">
        <f>F128*1.73</f>
        <v>5679.59</v>
      </c>
      <c r="G129" s="17">
        <f>C129*F129</f>
        <v>90873.44</v>
      </c>
      <c r="H129" s="90"/>
      <c r="I129" s="90">
        <f t="shared" si="7"/>
        <v>25273.440000000002</v>
      </c>
    </row>
    <row r="130" spans="1:14" ht="13.5" thickBot="1">
      <c r="A130" s="100">
        <v>45509</v>
      </c>
      <c r="B130" s="82" t="s">
        <v>149</v>
      </c>
      <c r="C130" s="114">
        <v>1</v>
      </c>
      <c r="D130" s="83">
        <v>16200</v>
      </c>
      <c r="E130" s="116">
        <f>D130*C130</f>
        <v>16200</v>
      </c>
      <c r="F130" s="90">
        <f>F129*4</f>
        <v>22718.36</v>
      </c>
      <c r="G130" s="17">
        <f>C130*F130</f>
        <v>22718.36</v>
      </c>
      <c r="H130" s="419">
        <f>SUM(G128:G130)</f>
        <v>116874.8</v>
      </c>
      <c r="I130" s="90">
        <f t="shared" si="7"/>
        <v>6518.3600000000006</v>
      </c>
    </row>
    <row r="131" spans="1:14" ht="13.5" thickBot="1">
      <c r="A131" s="100"/>
      <c r="B131" s="90"/>
      <c r="C131" s="12"/>
      <c r="D131" s="12"/>
      <c r="E131" s="90">
        <f>SUM(E128:E130)</f>
        <v>84300</v>
      </c>
      <c r="F131" s="90"/>
      <c r="G131" s="90"/>
      <c r="H131" s="117">
        <f>(SUM(G128:G130))-(SUM(E128:E130))</f>
        <v>32574.800000000003</v>
      </c>
      <c r="I131" s="90"/>
    </row>
    <row r="132" spans="1:14" s="11" customFormat="1">
      <c r="A132" s="100"/>
      <c r="B132" s="90"/>
      <c r="C132" s="12"/>
      <c r="D132" s="12"/>
      <c r="E132" s="90"/>
      <c r="F132" s="90"/>
      <c r="G132" s="90"/>
      <c r="H132" s="90"/>
      <c r="I132" s="90"/>
      <c r="K132" s="78"/>
      <c r="L132" s="78"/>
      <c r="M132" s="78"/>
      <c r="N132" s="78"/>
    </row>
    <row r="133" spans="1:14">
      <c r="A133" s="100">
        <v>45345</v>
      </c>
      <c r="B133" s="82" t="s">
        <v>143</v>
      </c>
      <c r="C133" s="118">
        <v>125000</v>
      </c>
      <c r="D133" s="83">
        <v>1.0399430000000001</v>
      </c>
      <c r="E133" s="116">
        <f>D133*C133</f>
        <v>129992.87500000001</v>
      </c>
      <c r="F133" s="119">
        <v>0.76836099999999996</v>
      </c>
      <c r="G133" s="17">
        <f>F133*C133</f>
        <v>96045.125</v>
      </c>
      <c r="H133" s="90"/>
      <c r="I133" s="90">
        <f t="shared" ref="I133:I136" si="8">G133-E133</f>
        <v>-33947.750000000015</v>
      </c>
    </row>
    <row r="134" spans="1:14">
      <c r="A134" s="100">
        <v>45400</v>
      </c>
      <c r="B134" s="82" t="s">
        <v>144</v>
      </c>
      <c r="C134" s="114">
        <v>10</v>
      </c>
      <c r="D134" s="83">
        <v>135</v>
      </c>
      <c r="E134" s="116">
        <f>D134*C134</f>
        <v>1350</v>
      </c>
      <c r="F134" s="90">
        <v>112.6</v>
      </c>
      <c r="G134" s="17">
        <f>F134*C134</f>
        <v>1126</v>
      </c>
      <c r="H134" s="90"/>
      <c r="I134" s="90">
        <f t="shared" si="8"/>
        <v>-224</v>
      </c>
    </row>
    <row r="135" spans="1:14">
      <c r="A135" s="100">
        <v>45418</v>
      </c>
      <c r="B135" s="82" t="s">
        <v>145</v>
      </c>
      <c r="C135" s="114">
        <v>38</v>
      </c>
      <c r="D135" s="83">
        <v>30.5</v>
      </c>
      <c r="E135" s="116">
        <f>D135*C135</f>
        <v>1159</v>
      </c>
      <c r="F135" s="90">
        <v>16.899999999999999</v>
      </c>
      <c r="G135" s="17">
        <f>F135*C135</f>
        <v>642.19999999999993</v>
      </c>
      <c r="H135" s="90"/>
      <c r="I135" s="90">
        <f t="shared" si="8"/>
        <v>-516.80000000000007</v>
      </c>
    </row>
    <row r="136" spans="1:14" ht="13.5" thickBot="1">
      <c r="A136" s="100">
        <v>45418</v>
      </c>
      <c r="B136" s="82" t="s">
        <v>146</v>
      </c>
      <c r="C136" s="114">
        <v>26</v>
      </c>
      <c r="D136" s="83">
        <v>37.115000000000002</v>
      </c>
      <c r="E136" s="116">
        <f>D136*C136</f>
        <v>964.99</v>
      </c>
      <c r="F136" s="90">
        <v>23.5</v>
      </c>
      <c r="G136" s="17">
        <f>F136*C136</f>
        <v>611</v>
      </c>
      <c r="H136" s="419">
        <f>SUM(G133:G136)</f>
        <v>98424.324999999997</v>
      </c>
      <c r="I136" s="90">
        <f t="shared" si="8"/>
        <v>-353.99</v>
      </c>
    </row>
    <row r="137" spans="1:14" ht="15.75" thickBot="1">
      <c r="A137" s="100"/>
      <c r="B137" s="90"/>
      <c r="C137" s="12"/>
      <c r="D137" s="12"/>
      <c r="E137" s="90">
        <f>SUM(E133:E136)</f>
        <v>133466.86499999999</v>
      </c>
      <c r="F137" s="105" t="s">
        <v>84</v>
      </c>
      <c r="G137" s="90"/>
      <c r="H137" s="117">
        <f>(SUM(G133:G136))-(SUM(E133:E136))</f>
        <v>-35042.539999999994</v>
      </c>
      <c r="I137" s="90"/>
    </row>
    <row r="138" spans="1:14">
      <c r="A138" s="100"/>
      <c r="B138" s="90"/>
      <c r="C138" s="90"/>
      <c r="D138" s="90"/>
      <c r="E138" s="17"/>
      <c r="F138" s="90"/>
      <c r="G138" s="90"/>
      <c r="H138" s="90"/>
      <c r="I138" s="90"/>
    </row>
    <row r="139" spans="1:14">
      <c r="A139" s="100"/>
      <c r="B139" s="90" t="s">
        <v>150</v>
      </c>
      <c r="C139" s="120">
        <v>33.250599999999999</v>
      </c>
      <c r="D139" s="12"/>
      <c r="E139" s="90"/>
      <c r="F139" s="90"/>
      <c r="G139" s="17"/>
      <c r="H139" s="90"/>
      <c r="I139" s="90"/>
    </row>
    <row r="140" spans="1:14" ht="15">
      <c r="A140" s="100"/>
      <c r="B140" s="90" t="s">
        <v>151</v>
      </c>
      <c r="C140" s="120">
        <v>36.854999999999997</v>
      </c>
      <c r="D140" s="12"/>
      <c r="E140" s="90"/>
      <c r="F140" s="105" t="s">
        <v>84</v>
      </c>
      <c r="G140" s="17"/>
      <c r="H140" s="90"/>
      <c r="I140" s="90"/>
    </row>
    <row r="141" spans="1:14">
      <c r="A141" s="100"/>
      <c r="B141" s="90" t="s">
        <v>152</v>
      </c>
      <c r="C141" s="12"/>
      <c r="D141" s="12"/>
      <c r="E141" s="90"/>
      <c r="F141" s="90"/>
      <c r="G141" s="17">
        <v>0</v>
      </c>
      <c r="H141" s="90"/>
      <c r="I141" s="90"/>
    </row>
    <row r="142" spans="1:14" ht="13.5" thickBot="1">
      <c r="A142" s="100"/>
      <c r="B142" s="90" t="s">
        <v>153</v>
      </c>
      <c r="C142" s="12"/>
      <c r="D142" s="12"/>
      <c r="E142" s="90"/>
      <c r="F142" s="90"/>
      <c r="G142" s="17">
        <v>1000</v>
      </c>
      <c r="H142" s="90"/>
      <c r="I142" s="90"/>
    </row>
    <row r="143" spans="1:14" ht="16.5" thickBot="1">
      <c r="A143" s="100"/>
      <c r="B143" s="90"/>
      <c r="C143" s="90"/>
      <c r="D143" s="90"/>
      <c r="E143" s="121"/>
      <c r="F143" s="122"/>
      <c r="G143" s="123" t="s">
        <v>154</v>
      </c>
      <c r="H143" s="441">
        <f>H131+H137+H126</f>
        <v>25205.916945000004</v>
      </c>
      <c r="I143" s="90"/>
    </row>
    <row r="144" spans="1:14">
      <c r="A144" s="100"/>
      <c r="B144" s="90"/>
      <c r="C144" s="124"/>
      <c r="D144" s="92"/>
      <c r="E144" s="90"/>
      <c r="F144" s="90"/>
      <c r="G144" s="124"/>
      <c r="H144" s="90"/>
      <c r="I144" s="90"/>
    </row>
    <row r="145" spans="1:14" ht="15">
      <c r="A145" s="100"/>
      <c r="B145" s="90"/>
      <c r="C145" s="124"/>
      <c r="D145" s="18" t="s">
        <v>155</v>
      </c>
      <c r="E145" s="90"/>
      <c r="F145" s="105" t="s">
        <v>84</v>
      </c>
      <c r="G145" s="9">
        <f>SUM(G116:G142)</f>
        <v>857724.06030999997</v>
      </c>
      <c r="H145" s="90"/>
      <c r="I145" s="90"/>
    </row>
    <row r="146" spans="1:14">
      <c r="A146" s="100"/>
      <c r="B146" s="90"/>
      <c r="C146" s="125" t="str">
        <f>A112</f>
        <v>MART 2025 e</v>
      </c>
      <c r="D146" s="126" t="s">
        <v>156</v>
      </c>
      <c r="E146" s="90"/>
      <c r="F146" s="90"/>
      <c r="G146" s="127"/>
      <c r="H146" s="90"/>
      <c r="I146" s="90"/>
    </row>
    <row r="147" spans="1:14" s="11" customFormat="1">
      <c r="A147" s="100"/>
      <c r="B147" s="90"/>
      <c r="C147" s="438"/>
      <c r="D147" s="439"/>
      <c r="E147" s="405"/>
      <c r="F147" s="405"/>
      <c r="G147" s="409"/>
      <c r="H147" s="405"/>
      <c r="I147" s="90"/>
      <c r="K147" s="78"/>
      <c r="L147" s="78"/>
      <c r="M147" s="78"/>
      <c r="N147" s="78"/>
    </row>
    <row r="148" spans="1:14" s="11" customFormat="1">
      <c r="A148" s="100">
        <v>45667</v>
      </c>
      <c r="B148" s="82" t="s">
        <v>1606</v>
      </c>
      <c r="C148" s="118">
        <v>240</v>
      </c>
      <c r="D148" s="83">
        <v>872.26366499999995</v>
      </c>
      <c r="E148" s="116">
        <f>D148*C148</f>
        <v>209343.27959999998</v>
      </c>
      <c r="F148" s="403">
        <f>F122</f>
        <v>924.55062199999998</v>
      </c>
      <c r="G148" s="17">
        <f>F148*C148</f>
        <v>221892.14927999998</v>
      </c>
      <c r="H148" s="90"/>
      <c r="I148" s="90">
        <f>G148-E148</f>
        <v>12548.869680000003</v>
      </c>
      <c r="K148" s="78"/>
      <c r="L148" s="78"/>
      <c r="M148" s="78"/>
      <c r="N148" s="78"/>
    </row>
    <row r="149" spans="1:14" s="11" customFormat="1">
      <c r="A149" s="100"/>
      <c r="B149" s="90" t="s">
        <v>1684</v>
      </c>
      <c r="C149" s="438"/>
      <c r="D149" s="439"/>
      <c r="E149" s="405"/>
      <c r="F149" s="405"/>
      <c r="G149" s="409"/>
      <c r="H149" s="90"/>
      <c r="I149" s="90"/>
      <c r="K149" s="78"/>
      <c r="L149" s="78"/>
      <c r="M149" s="78"/>
      <c r="N149" s="78"/>
    </row>
    <row r="150" spans="1:14">
      <c r="A150" s="90"/>
      <c r="B150" s="90"/>
      <c r="C150" s="90"/>
      <c r="D150" s="90"/>
      <c r="E150" s="90"/>
      <c r="F150" s="90"/>
      <c r="G150" s="90"/>
      <c r="H150" s="90"/>
      <c r="I150" s="90"/>
    </row>
    <row r="151" spans="1:14">
      <c r="A151" s="100">
        <v>45691</v>
      </c>
      <c r="B151" s="82" t="s">
        <v>1644</v>
      </c>
      <c r="C151" s="114"/>
      <c r="D151" s="115">
        <v>752.55561799999998</v>
      </c>
      <c r="E151" s="116">
        <f>D151*C151</f>
        <v>0</v>
      </c>
      <c r="F151" s="403">
        <v>899.26057400000002</v>
      </c>
      <c r="G151" s="17">
        <f>F151*C151</f>
        <v>0</v>
      </c>
      <c r="H151" s="90"/>
      <c r="I151" s="90">
        <f>G151-E151</f>
        <v>0</v>
      </c>
    </row>
    <row r="152" spans="1:14">
      <c r="A152" s="396">
        <v>45680</v>
      </c>
      <c r="B152" s="397" t="s">
        <v>1647</v>
      </c>
      <c r="C152" s="398">
        <v>-25</v>
      </c>
      <c r="D152" s="399">
        <v>752.55561799999998</v>
      </c>
      <c r="E152" s="400">
        <f>D152*C152</f>
        <v>-18813.890449999999</v>
      </c>
      <c r="F152" s="401">
        <v>899.26057400000002</v>
      </c>
      <c r="G152" s="402">
        <f>F152*C152</f>
        <v>-22481.514350000001</v>
      </c>
      <c r="H152" s="401"/>
      <c r="I152" s="401">
        <f>E152-G152</f>
        <v>3667.6239000000023</v>
      </c>
    </row>
    <row r="153" spans="1:14">
      <c r="A153" s="396">
        <v>45680</v>
      </c>
      <c r="B153" s="397" t="s">
        <v>1605</v>
      </c>
      <c r="C153" s="398"/>
      <c r="D153" s="399"/>
      <c r="E153" s="400">
        <v>299.37</v>
      </c>
      <c r="F153" s="401"/>
      <c r="G153" s="402"/>
      <c r="H153" s="401"/>
      <c r="I153" s="401">
        <f>G153-E153</f>
        <v>-299.37</v>
      </c>
    </row>
    <row r="154" spans="1:14" s="11" customFormat="1">
      <c r="A154" s="100">
        <v>45691</v>
      </c>
      <c r="B154" s="82" t="s">
        <v>1645</v>
      </c>
      <c r="C154" s="114"/>
      <c r="D154" s="115">
        <v>872.26366499999995</v>
      </c>
      <c r="E154" s="116">
        <f>D154*C154</f>
        <v>0</v>
      </c>
      <c r="F154" s="404">
        <f>F160</f>
        <v>907.06739800000003</v>
      </c>
      <c r="G154" s="17">
        <f>F154*C154</f>
        <v>0</v>
      </c>
      <c r="H154" s="90"/>
      <c r="I154" s="90">
        <f>G154-E154</f>
        <v>0</v>
      </c>
      <c r="K154" s="78"/>
      <c r="L154" s="78"/>
      <c r="M154" s="78"/>
      <c r="N154" s="78"/>
    </row>
    <row r="155" spans="1:14">
      <c r="A155" s="396">
        <v>45680</v>
      </c>
      <c r="B155" s="397" t="s">
        <v>141</v>
      </c>
      <c r="C155" s="398">
        <v>-9</v>
      </c>
      <c r="D155" s="115">
        <v>872.26366499999995</v>
      </c>
      <c r="E155" s="400">
        <f>D155*C155</f>
        <v>-7850.372985</v>
      </c>
      <c r="F155" s="401">
        <v>899.26057400000002</v>
      </c>
      <c r="G155" s="402">
        <f>F155*C155</f>
        <v>-8093.3451660000001</v>
      </c>
      <c r="H155" s="401"/>
      <c r="I155" s="401">
        <f>E155-G155</f>
        <v>242.97218100000009</v>
      </c>
    </row>
    <row r="156" spans="1:14">
      <c r="A156" s="396">
        <v>45680</v>
      </c>
      <c r="B156" s="397" t="s">
        <v>1605</v>
      </c>
      <c r="C156" s="398"/>
      <c r="D156" s="399"/>
      <c r="E156" s="400"/>
      <c r="F156" s="401"/>
      <c r="G156" s="402"/>
      <c r="H156" s="401"/>
      <c r="I156" s="401"/>
    </row>
    <row r="157" spans="1:14" s="11" customFormat="1">
      <c r="A157" s="100">
        <v>45692</v>
      </c>
      <c r="B157" s="82" t="s">
        <v>1645</v>
      </c>
      <c r="C157" s="114"/>
      <c r="D157" s="115">
        <v>872.26366499999995</v>
      </c>
      <c r="E157" s="116">
        <f>D157*C157</f>
        <v>0</v>
      </c>
      <c r="F157" s="404">
        <v>900.29758900000002</v>
      </c>
      <c r="G157" s="17">
        <f>F157*C157</f>
        <v>0</v>
      </c>
      <c r="H157" s="90"/>
      <c r="I157" s="90">
        <f>G157-E157</f>
        <v>0</v>
      </c>
      <c r="K157" s="78"/>
      <c r="L157" s="78"/>
      <c r="M157" s="78"/>
      <c r="N157" s="78"/>
    </row>
    <row r="158" spans="1:14" s="11" customFormat="1">
      <c r="A158" s="396">
        <v>45692</v>
      </c>
      <c r="B158" s="397" t="s">
        <v>1646</v>
      </c>
      <c r="C158" s="398">
        <v>-25</v>
      </c>
      <c r="D158" s="399">
        <v>872.26366499999995</v>
      </c>
      <c r="E158" s="400">
        <f t="shared" ref="E158" si="9">D158*C158</f>
        <v>-21806.591624999997</v>
      </c>
      <c r="F158" s="421">
        <v>900.29758900000002</v>
      </c>
      <c r="G158" s="402">
        <f t="shared" ref="G158" si="10">F158*C158</f>
        <v>-22507.439725</v>
      </c>
      <c r="H158" s="401"/>
      <c r="I158" s="401">
        <f>E158-G158</f>
        <v>700.84810000000289</v>
      </c>
      <c r="K158" s="78"/>
      <c r="L158" s="78"/>
      <c r="M158" s="78"/>
      <c r="N158" s="78"/>
    </row>
    <row r="159" spans="1:14" s="11" customFormat="1">
      <c r="A159" s="396">
        <v>45680</v>
      </c>
      <c r="B159" s="397" t="s">
        <v>1605</v>
      </c>
      <c r="C159" s="398"/>
      <c r="D159" s="399"/>
      <c r="E159" s="400"/>
      <c r="F159" s="401"/>
      <c r="G159" s="402"/>
      <c r="H159" s="401"/>
      <c r="I159" s="401">
        <v>-70.09</v>
      </c>
      <c r="K159" s="78"/>
      <c r="L159" s="78"/>
      <c r="M159" s="78"/>
      <c r="N159" s="78"/>
    </row>
    <row r="160" spans="1:14" s="11" customFormat="1">
      <c r="A160" s="100">
        <v>45699</v>
      </c>
      <c r="B160" s="82" t="s">
        <v>1659</v>
      </c>
      <c r="C160" s="114"/>
      <c r="D160" s="115">
        <v>872.26366499999995</v>
      </c>
      <c r="E160" s="116">
        <f>D160*C160</f>
        <v>0</v>
      </c>
      <c r="F160" s="404">
        <v>907.06739800000003</v>
      </c>
      <c r="G160" s="17">
        <f>F160*C160</f>
        <v>0</v>
      </c>
      <c r="H160" s="90"/>
      <c r="I160" s="90">
        <f>G160-E160</f>
        <v>0</v>
      </c>
      <c r="K160" s="78"/>
      <c r="L160" s="78"/>
      <c r="M160" s="78"/>
      <c r="N160" s="78"/>
    </row>
    <row r="161" spans="1:14" s="11" customFormat="1">
      <c r="A161" s="396">
        <v>45692</v>
      </c>
      <c r="B161" s="397" t="s">
        <v>1658</v>
      </c>
      <c r="C161" s="398">
        <v>-21</v>
      </c>
      <c r="D161" s="399">
        <v>872.26366499999995</v>
      </c>
      <c r="E161" s="400">
        <f t="shared" ref="E161" si="11">D161*C161</f>
        <v>-18317.536964999999</v>
      </c>
      <c r="F161" s="421">
        <v>907.06739800000003</v>
      </c>
      <c r="G161" s="402">
        <f t="shared" ref="G161" si="12">F161*C161</f>
        <v>-19048.415358000002</v>
      </c>
      <c r="H161" s="401"/>
      <c r="I161" s="401">
        <f>E161-G161</f>
        <v>730.87839300000269</v>
      </c>
      <c r="K161" s="78"/>
      <c r="L161" s="78"/>
      <c r="M161" s="78"/>
      <c r="N161" s="78"/>
    </row>
    <row r="162" spans="1:14" s="11" customFormat="1">
      <c r="A162" s="396">
        <v>45699</v>
      </c>
      <c r="B162" s="397" t="s">
        <v>1605</v>
      </c>
      <c r="C162" s="398"/>
      <c r="D162" s="399"/>
      <c r="E162" s="400"/>
      <c r="F162" s="401"/>
      <c r="G162" s="402"/>
      <c r="H162" s="401"/>
      <c r="I162" s="401">
        <v>-73.09</v>
      </c>
      <c r="K162" s="78"/>
      <c r="L162" s="78"/>
      <c r="M162" s="78"/>
      <c r="N162" s="78"/>
    </row>
    <row r="163" spans="1:14" s="11" customFormat="1">
      <c r="A163" s="396"/>
      <c r="B163" s="397"/>
      <c r="C163" s="398"/>
      <c r="D163" s="399"/>
      <c r="E163" s="400"/>
      <c r="F163" s="401"/>
      <c r="G163" s="402"/>
      <c r="H163" s="401"/>
      <c r="I163" s="401"/>
      <c r="K163" s="78"/>
      <c r="L163" s="78"/>
      <c r="M163" s="78"/>
      <c r="N163" s="78"/>
    </row>
    <row r="164" spans="1:14" s="11" customFormat="1">
      <c r="A164" s="396"/>
      <c r="B164" s="397"/>
      <c r="C164" s="398"/>
      <c r="D164" s="399"/>
      <c r="E164" s="400"/>
      <c r="F164" s="401"/>
      <c r="G164" s="402"/>
      <c r="H164" s="401"/>
      <c r="I164" s="401"/>
      <c r="K164" s="78"/>
      <c r="L164" s="78"/>
      <c r="M164" s="78"/>
      <c r="N164" s="78"/>
    </row>
    <row r="166" spans="1:14">
      <c r="A166" s="428"/>
      <c r="B166" s="428"/>
      <c r="C166" s="428"/>
      <c r="D166" s="417"/>
      <c r="E166" s="417"/>
      <c r="F166" s="417"/>
      <c r="G166" s="417"/>
      <c r="H166" s="417"/>
      <c r="I166" s="479">
        <f>SUM(I152:I165)</f>
        <v>4899.7725740000078</v>
      </c>
    </row>
    <row r="173" spans="1:14">
      <c r="F173" s="404">
        <v>900.29758900000002</v>
      </c>
    </row>
  </sheetData>
  <conditionalFormatting sqref="F128:F130 F159 F156 F152:F153">
    <cfRule type="cellIs" dxfId="22" priority="12" operator="lessThan">
      <formula>D128</formula>
    </cfRule>
  </conditionalFormatting>
  <conditionalFormatting sqref="F134:F136">
    <cfRule type="cellIs" dxfId="21" priority="13" operator="lessThan">
      <formula>D134</formula>
    </cfRule>
  </conditionalFormatting>
  <conditionalFormatting sqref="F125">
    <cfRule type="cellIs" dxfId="20" priority="14" operator="lessThan">
      <formula>D125</formula>
    </cfRule>
  </conditionalFormatting>
  <conditionalFormatting sqref="F124">
    <cfRule type="cellIs" dxfId="19" priority="15" operator="lessThan">
      <formula>D124</formula>
    </cfRule>
  </conditionalFormatting>
  <conditionalFormatting sqref="F160 F122">
    <cfRule type="cellIs" dxfId="18" priority="16" operator="lessThan">
      <formula>D122</formula>
    </cfRule>
  </conditionalFormatting>
  <conditionalFormatting sqref="F123">
    <cfRule type="cellIs" dxfId="17" priority="11" operator="lessThan">
      <formula>D123</formula>
    </cfRule>
  </conditionalFormatting>
  <conditionalFormatting sqref="F163:F164">
    <cfRule type="cellIs" dxfId="16" priority="9" operator="lessThan">
      <formula>D163</formula>
    </cfRule>
  </conditionalFormatting>
  <conditionalFormatting sqref="F154">
    <cfRule type="cellIs" dxfId="15" priority="8" operator="lessThan">
      <formula>D154</formula>
    </cfRule>
  </conditionalFormatting>
  <conditionalFormatting sqref="F155">
    <cfRule type="cellIs" dxfId="14" priority="7" operator="lessThan">
      <formula>D155</formula>
    </cfRule>
  </conditionalFormatting>
  <conditionalFormatting sqref="F157">
    <cfRule type="cellIs" dxfId="13" priority="6" operator="lessThan">
      <formula>D157</formula>
    </cfRule>
  </conditionalFormatting>
  <conditionalFormatting sqref="F173">
    <cfRule type="cellIs" dxfId="12" priority="5" operator="lessThan">
      <formula>D173</formula>
    </cfRule>
  </conditionalFormatting>
  <conditionalFormatting sqref="F158">
    <cfRule type="cellIs" dxfId="11" priority="4" operator="lessThan">
      <formula>D158</formula>
    </cfRule>
  </conditionalFormatting>
  <conditionalFormatting sqref="F121">
    <cfRule type="cellIs" dxfId="10" priority="3" operator="lessThan">
      <formula>D121</formula>
    </cfRule>
  </conditionalFormatting>
  <conditionalFormatting sqref="F162">
    <cfRule type="cellIs" dxfId="9" priority="2" operator="lessThan">
      <formula>D162</formula>
    </cfRule>
  </conditionalFormatting>
  <conditionalFormatting sqref="F161">
    <cfRule type="cellIs" dxfId="8" priority="1" operator="lessThan">
      <formula>D161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7" tint="0.79998168889431442"/>
  </sheetPr>
  <dimension ref="A1:N191"/>
  <sheetViews>
    <sheetView topLeftCell="A15" zoomScale="160" zoomScaleNormal="160" workbookViewId="0">
      <selection activeCell="B112" sqref="B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9" max="9" width="11.7109375" bestFit="1" customWidth="1"/>
    <col min="10" max="10" width="8.42578125" bestFit="1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107</v>
      </c>
      <c r="C2" s="79" t="s">
        <v>67</v>
      </c>
      <c r="D2" s="77">
        <f>SUM(D4:D44)</f>
        <v>398664</v>
      </c>
      <c r="E2" s="90">
        <f t="shared" ref="E2:G2" si="0">SUM(E4:E44)</f>
        <v>-55562.400000000001</v>
      </c>
      <c r="F2" s="90">
        <f t="shared" si="0"/>
        <v>320054.88</v>
      </c>
      <c r="G2" s="90">
        <f t="shared" si="0"/>
        <v>-59018.87</v>
      </c>
      <c r="H2" s="77">
        <f>F2+G2</f>
        <v>261036.01</v>
      </c>
    </row>
    <row r="3" spans="1:8">
      <c r="B3" s="18"/>
    </row>
    <row r="4" spans="1:8">
      <c r="B4" s="41"/>
      <c r="H4" s="87">
        <f>H3+F4+G4</f>
        <v>0</v>
      </c>
    </row>
    <row r="5" spans="1:8">
      <c r="B5" s="41"/>
      <c r="H5" s="87">
        <f>H4+F5+G5</f>
        <v>0</v>
      </c>
    </row>
    <row r="6" spans="1:8">
      <c r="A6" s="80">
        <v>45660</v>
      </c>
      <c r="B6" s="81" t="s">
        <v>104</v>
      </c>
      <c r="C6" s="82"/>
      <c r="D6" s="83"/>
      <c r="E6" s="83"/>
      <c r="H6" s="87">
        <f>H5+F6+G6</f>
        <v>0</v>
      </c>
    </row>
    <row r="7" spans="1:8">
      <c r="A7" s="80">
        <v>45660</v>
      </c>
      <c r="B7" s="81" t="s">
        <v>108</v>
      </c>
      <c r="C7" s="85"/>
      <c r="D7" s="86">
        <v>353664</v>
      </c>
      <c r="E7" s="86"/>
      <c r="F7" s="387">
        <v>290000</v>
      </c>
      <c r="H7" s="87">
        <f>H6+F7+G7</f>
        <v>290000</v>
      </c>
    </row>
    <row r="8" spans="1:8">
      <c r="A8" s="80"/>
      <c r="B8" s="81" t="s">
        <v>109</v>
      </c>
      <c r="C8" s="85"/>
      <c r="D8" s="86"/>
      <c r="E8" s="86"/>
      <c r="F8" s="87"/>
      <c r="H8" s="87">
        <f t="shared" ref="H8:H27" si="1">H7+F8+G8</f>
        <v>290000</v>
      </c>
    </row>
    <row r="9" spans="1:8">
      <c r="A9" s="84">
        <v>45660</v>
      </c>
      <c r="B9" s="81" t="s">
        <v>68</v>
      </c>
      <c r="C9" s="85"/>
      <c r="D9" s="86"/>
      <c r="E9" s="86">
        <f>E67</f>
        <v>0</v>
      </c>
      <c r="F9" s="87"/>
      <c r="G9" s="87">
        <f>E9</f>
        <v>0</v>
      </c>
      <c r="H9" s="87">
        <f t="shared" si="1"/>
        <v>290000</v>
      </c>
    </row>
    <row r="10" spans="1:8">
      <c r="A10" s="80">
        <v>45660</v>
      </c>
      <c r="B10" s="81" t="s">
        <v>69</v>
      </c>
      <c r="C10" s="85"/>
      <c r="D10" s="86"/>
      <c r="E10" s="86">
        <f>E82</f>
        <v>-7885.3399999999992</v>
      </c>
      <c r="F10" s="87"/>
      <c r="G10" s="87">
        <f>E10</f>
        <v>-7885.3399999999992</v>
      </c>
      <c r="H10" s="87">
        <f t="shared" si="1"/>
        <v>282114.65999999997</v>
      </c>
    </row>
    <row r="11" spans="1:8">
      <c r="G11" s="87"/>
      <c r="H11" s="87">
        <f t="shared" si="1"/>
        <v>282114.65999999997</v>
      </c>
    </row>
    <row r="12" spans="1:8">
      <c r="A12" s="390"/>
      <c r="B12" s="391" t="s">
        <v>70</v>
      </c>
      <c r="C12" s="391"/>
      <c r="D12" s="387"/>
      <c r="E12" s="387">
        <v>-2117.06</v>
      </c>
      <c r="F12" s="87"/>
      <c r="G12" s="87">
        <f>E12</f>
        <v>-2117.06</v>
      </c>
      <c r="H12" s="87">
        <f t="shared" si="1"/>
        <v>279997.59999999998</v>
      </c>
    </row>
    <row r="13" spans="1:8">
      <c r="A13" s="392"/>
      <c r="B13" s="391" t="s">
        <v>1591</v>
      </c>
      <c r="C13" s="391"/>
      <c r="D13" s="387"/>
      <c r="E13" s="387">
        <v>-17500</v>
      </c>
      <c r="F13" s="87"/>
      <c r="G13" s="87">
        <f>E13</f>
        <v>-17500</v>
      </c>
      <c r="H13" s="87">
        <f t="shared" si="1"/>
        <v>262497.59999999998</v>
      </c>
    </row>
    <row r="14" spans="1:8">
      <c r="A14" s="392"/>
      <c r="B14" s="393" t="s">
        <v>72</v>
      </c>
      <c r="C14" s="392"/>
      <c r="D14" s="387"/>
      <c r="E14" s="387">
        <v>0</v>
      </c>
      <c r="F14" s="87"/>
      <c r="G14" s="87">
        <v>0</v>
      </c>
      <c r="H14" s="87">
        <f t="shared" si="1"/>
        <v>262497.59999999998</v>
      </c>
    </row>
    <row r="15" spans="1:8">
      <c r="A15" s="390">
        <v>45671</v>
      </c>
      <c r="B15" s="385" t="s">
        <v>1583</v>
      </c>
      <c r="C15" s="394"/>
      <c r="D15" s="395">
        <v>15000</v>
      </c>
      <c r="E15" s="387"/>
      <c r="F15" s="387">
        <v>15000</v>
      </c>
      <c r="G15" s="87"/>
      <c r="H15" s="87">
        <f t="shared" si="1"/>
        <v>277497.59999999998</v>
      </c>
    </row>
    <row r="16" spans="1:8">
      <c r="A16" s="88"/>
      <c r="B16" s="3"/>
      <c r="C16" s="3"/>
      <c r="H16" s="87">
        <f t="shared" si="1"/>
        <v>277497.59999999998</v>
      </c>
    </row>
    <row r="17" spans="1:13" s="78" customFormat="1">
      <c r="A17" s="390">
        <v>45677</v>
      </c>
      <c r="B17" s="410" t="s">
        <v>73</v>
      </c>
      <c r="C17" s="410"/>
      <c r="D17" s="387"/>
      <c r="E17" s="387">
        <v>-1000</v>
      </c>
      <c r="F17" s="87"/>
      <c r="G17" s="87">
        <v>-2390</v>
      </c>
      <c r="H17" s="87">
        <f t="shared" si="1"/>
        <v>275107.59999999998</v>
      </c>
    </row>
    <row r="18" spans="1:13" s="78" customFormat="1">
      <c r="A18" s="390">
        <v>45677</v>
      </c>
      <c r="B18" s="410" t="s">
        <v>74</v>
      </c>
      <c r="C18" s="410"/>
      <c r="D18" s="387"/>
      <c r="E18" s="387">
        <v>-200</v>
      </c>
      <c r="F18" s="87"/>
      <c r="G18" s="87">
        <v>-25</v>
      </c>
      <c r="H18" s="87">
        <f t="shared" si="1"/>
        <v>275082.59999999998</v>
      </c>
    </row>
    <row r="19" spans="1:13" s="78" customFormat="1">
      <c r="A19" s="390">
        <v>45677</v>
      </c>
      <c r="B19" s="391" t="s">
        <v>75</v>
      </c>
      <c r="C19" s="391"/>
      <c r="D19" s="387"/>
      <c r="E19" s="387">
        <v>-200</v>
      </c>
      <c r="F19" s="87"/>
      <c r="G19" s="87">
        <v>-288.97000000000003</v>
      </c>
      <c r="H19" s="87">
        <f t="shared" si="1"/>
        <v>274793.63</v>
      </c>
    </row>
    <row r="20" spans="1:13" s="78" customFormat="1">
      <c r="A20" s="88"/>
      <c r="E20" s="90"/>
      <c r="F20" s="77"/>
      <c r="G20" s="77"/>
      <c r="H20" s="87">
        <f t="shared" si="1"/>
        <v>274793.63</v>
      </c>
      <c r="J20" s="94"/>
      <c r="K20" s="94"/>
      <c r="L20" s="95"/>
      <c r="M20" s="96"/>
    </row>
    <row r="21" spans="1:13" s="78" customFormat="1">
      <c r="A21" s="411">
        <v>45684</v>
      </c>
      <c r="B21" s="392" t="s">
        <v>1601</v>
      </c>
      <c r="C21" s="392"/>
      <c r="D21" s="387"/>
      <c r="E21" s="387"/>
      <c r="F21" s="87"/>
      <c r="G21" s="87">
        <v>-4000</v>
      </c>
      <c r="H21" s="87">
        <f t="shared" si="1"/>
        <v>270793.63</v>
      </c>
      <c r="J21" s="94"/>
      <c r="K21" s="94"/>
      <c r="L21" s="95"/>
      <c r="M21" s="96"/>
    </row>
    <row r="22" spans="1:13" s="78" customFormat="1">
      <c r="A22" s="411">
        <v>45684</v>
      </c>
      <c r="B22" s="392" t="s">
        <v>77</v>
      </c>
      <c r="C22" s="392"/>
      <c r="D22" s="387"/>
      <c r="E22" s="387">
        <v>-7500</v>
      </c>
      <c r="F22" s="87"/>
      <c r="G22" s="87">
        <v>-7501</v>
      </c>
      <c r="H22" s="87">
        <f t="shared" si="1"/>
        <v>263292.63</v>
      </c>
      <c r="J22" s="94"/>
      <c r="K22" s="94"/>
      <c r="L22" s="95"/>
      <c r="M22" s="96"/>
    </row>
    <row r="23" spans="1:13" s="78" customFormat="1">
      <c r="A23" s="411">
        <v>45684</v>
      </c>
      <c r="B23" s="392" t="s">
        <v>78</v>
      </c>
      <c r="C23" s="392"/>
      <c r="D23" s="387"/>
      <c r="E23" s="387">
        <v>-7500</v>
      </c>
      <c r="F23" s="87"/>
      <c r="G23" s="87">
        <v>-7501</v>
      </c>
      <c r="H23" s="87">
        <f t="shared" si="1"/>
        <v>255791.63</v>
      </c>
      <c r="J23" s="94"/>
      <c r="K23" s="94"/>
      <c r="L23" s="95"/>
      <c r="M23" s="96"/>
    </row>
    <row r="24" spans="1:13" s="78" customFormat="1">
      <c r="A24" s="411">
        <v>45684</v>
      </c>
      <c r="B24" s="392" t="s">
        <v>79</v>
      </c>
      <c r="C24" s="392"/>
      <c r="D24" s="387"/>
      <c r="E24" s="387">
        <v>-7500</v>
      </c>
      <c r="F24" s="87"/>
      <c r="G24" s="87">
        <v>-7500</v>
      </c>
      <c r="H24" s="87">
        <f t="shared" si="1"/>
        <v>248291.63</v>
      </c>
      <c r="J24" s="94"/>
      <c r="K24" s="94"/>
      <c r="L24" s="95"/>
      <c r="M24" s="96"/>
    </row>
    <row r="25" spans="1:13" s="78" customFormat="1">
      <c r="A25" s="411">
        <v>45684</v>
      </c>
      <c r="B25" s="392" t="s">
        <v>1630</v>
      </c>
      <c r="C25" s="392"/>
      <c r="D25" s="387"/>
      <c r="E25" s="387"/>
      <c r="F25" s="87"/>
      <c r="G25" s="87">
        <v>-1000</v>
      </c>
      <c r="H25" s="87">
        <f t="shared" si="1"/>
        <v>247291.63</v>
      </c>
      <c r="J25" s="94"/>
      <c r="K25" s="94"/>
      <c r="L25" s="95"/>
      <c r="M25" s="96"/>
    </row>
    <row r="26" spans="1:13" s="78" customFormat="1">
      <c r="A26" s="412">
        <v>45655</v>
      </c>
      <c r="B26" s="392" t="s">
        <v>98</v>
      </c>
      <c r="C26" s="392" t="s">
        <v>1598</v>
      </c>
      <c r="D26" s="387"/>
      <c r="E26" s="387">
        <v>-1380</v>
      </c>
      <c r="F26" s="87"/>
      <c r="G26" s="87"/>
      <c r="H26" s="87">
        <f t="shared" si="1"/>
        <v>247291.63</v>
      </c>
      <c r="J26" s="94"/>
      <c r="K26" s="94"/>
      <c r="L26" s="95"/>
      <c r="M26" s="96"/>
    </row>
    <row r="27" spans="1:13" s="78" customFormat="1">
      <c r="A27" s="413">
        <v>45686</v>
      </c>
      <c r="B27" s="392" t="s">
        <v>98</v>
      </c>
      <c r="C27" s="392" t="s">
        <v>1599</v>
      </c>
      <c r="D27" s="387"/>
      <c r="E27" s="387">
        <v>-1380</v>
      </c>
      <c r="F27" s="87"/>
      <c r="G27" s="87"/>
      <c r="H27" s="87">
        <f t="shared" si="1"/>
        <v>247291.63</v>
      </c>
      <c r="J27" s="94"/>
      <c r="K27" s="94"/>
      <c r="L27" s="95"/>
      <c r="M27" s="96"/>
    </row>
    <row r="28" spans="1:13" s="78" customFormat="1">
      <c r="A28" s="411">
        <v>45684</v>
      </c>
      <c r="B28" s="392" t="s">
        <v>1634</v>
      </c>
      <c r="C28" s="392"/>
      <c r="D28" s="387"/>
      <c r="E28" s="387"/>
      <c r="F28" s="87"/>
      <c r="G28" s="87"/>
      <c r="H28" s="90">
        <f t="shared" ref="H28:H37" si="2">H27+F28+G28</f>
        <v>247291.63</v>
      </c>
      <c r="J28" s="94"/>
      <c r="K28" s="94"/>
      <c r="L28" s="95"/>
      <c r="M28" s="96"/>
    </row>
    <row r="29" spans="1:13" s="78" customFormat="1">
      <c r="A29" s="98"/>
      <c r="B29" s="392" t="s">
        <v>1600</v>
      </c>
      <c r="C29" s="415" t="s">
        <v>625</v>
      </c>
      <c r="D29" s="384"/>
      <c r="E29" s="384"/>
      <c r="F29" s="90"/>
      <c r="G29" s="90"/>
      <c r="H29" s="90">
        <f t="shared" si="2"/>
        <v>247291.63</v>
      </c>
      <c r="J29" s="94"/>
      <c r="K29" s="94"/>
      <c r="L29" s="95"/>
      <c r="M29" s="96"/>
    </row>
    <row r="30" spans="1:13" s="78" customFormat="1">
      <c r="A30" s="98"/>
      <c r="B30" s="92"/>
      <c r="C30" s="92"/>
      <c r="D30" s="90"/>
      <c r="E30" s="90"/>
      <c r="F30" s="90"/>
      <c r="G30" s="90"/>
      <c r="H30" s="90">
        <f t="shared" si="2"/>
        <v>247291.63</v>
      </c>
      <c r="J30" s="94"/>
      <c r="K30" s="94"/>
      <c r="L30" s="95"/>
      <c r="M30" s="96"/>
    </row>
    <row r="31" spans="1:13" s="78" customFormat="1">
      <c r="A31" s="425">
        <v>45688</v>
      </c>
      <c r="B31" s="391" t="s">
        <v>80</v>
      </c>
      <c r="C31" s="391"/>
      <c r="D31" s="387"/>
      <c r="E31" s="387">
        <v>-600</v>
      </c>
      <c r="F31" s="423"/>
      <c r="G31" s="423">
        <v>-425</v>
      </c>
      <c r="H31" s="87">
        <f t="shared" si="2"/>
        <v>246866.63</v>
      </c>
      <c r="J31" s="94"/>
      <c r="K31" s="94"/>
      <c r="L31" s="95"/>
      <c r="M31" s="96"/>
    </row>
    <row r="32" spans="1:13" s="78" customFormat="1">
      <c r="A32" s="425">
        <v>45688</v>
      </c>
      <c r="B32" s="391" t="s">
        <v>81</v>
      </c>
      <c r="C32" s="391"/>
      <c r="D32" s="387"/>
      <c r="E32" s="387">
        <v>-800</v>
      </c>
      <c r="F32" s="423"/>
      <c r="G32" s="423">
        <v>-680</v>
      </c>
      <c r="H32" s="87">
        <f t="shared" si="2"/>
        <v>246186.63</v>
      </c>
      <c r="J32" s="94"/>
      <c r="K32" s="94"/>
      <c r="L32" s="95"/>
      <c r="M32" s="96"/>
    </row>
    <row r="33" spans="1:13" s="78" customFormat="1">
      <c r="A33" s="425">
        <v>45688</v>
      </c>
      <c r="B33" s="387" t="s">
        <v>1636</v>
      </c>
      <c r="C33" s="387"/>
      <c r="D33" s="387"/>
      <c r="E33" s="387"/>
      <c r="F33" s="423"/>
      <c r="G33" s="423">
        <v>-205.5</v>
      </c>
      <c r="H33" s="87">
        <f t="shared" si="2"/>
        <v>245981.13</v>
      </c>
      <c r="J33" s="94"/>
      <c r="K33" s="94"/>
      <c r="L33" s="95"/>
      <c r="M33" s="96"/>
    </row>
    <row r="34" spans="1:13" s="78" customFormat="1">
      <c r="B34" s="416" t="s">
        <v>113</v>
      </c>
      <c r="C34" s="416"/>
      <c r="D34" s="417">
        <v>15000</v>
      </c>
      <c r="E34" s="77"/>
      <c r="F34" s="77"/>
      <c r="G34" s="77"/>
      <c r="H34" s="90">
        <f t="shared" si="2"/>
        <v>245981.13</v>
      </c>
    </row>
    <row r="35" spans="1:13" s="78" customFormat="1">
      <c r="A35" s="414"/>
      <c r="B35" s="392" t="s">
        <v>76</v>
      </c>
      <c r="C35" s="392"/>
      <c r="D35" s="387">
        <v>15000</v>
      </c>
      <c r="E35" s="387"/>
      <c r="F35" s="387">
        <v>15054.88</v>
      </c>
      <c r="G35" s="77"/>
      <c r="H35" s="90">
        <f t="shared" si="2"/>
        <v>261036.01</v>
      </c>
    </row>
    <row r="36" spans="1:13" s="78" customFormat="1">
      <c r="A36" s="396"/>
      <c r="B36" s="426" t="s">
        <v>1653</v>
      </c>
      <c r="C36" s="427"/>
      <c r="D36" s="77"/>
      <c r="E36" s="77"/>
      <c r="F36" s="77"/>
      <c r="G36" s="77"/>
      <c r="H36" s="90">
        <f t="shared" si="2"/>
        <v>261036.01</v>
      </c>
    </row>
    <row r="37" spans="1:13">
      <c r="A37" s="100"/>
      <c r="H37" s="90">
        <f t="shared" si="2"/>
        <v>261036.01</v>
      </c>
    </row>
    <row r="38" spans="1:13">
      <c r="H38" s="90"/>
    </row>
    <row r="39" spans="1:13">
      <c r="H39" s="90"/>
    </row>
    <row r="40" spans="1:13">
      <c r="A40" s="98"/>
      <c r="F40" s="109"/>
      <c r="H40" s="90"/>
    </row>
    <row r="41" spans="1:13">
      <c r="H41" s="90"/>
    </row>
    <row r="42" spans="1:13">
      <c r="A42" s="98"/>
      <c r="H42" s="90"/>
    </row>
    <row r="43" spans="1:13">
      <c r="A43" s="98"/>
      <c r="H43" s="90"/>
    </row>
    <row r="44" spans="1:13">
      <c r="A44" s="98"/>
    </row>
    <row r="45" spans="1:13">
      <c r="A45" s="98"/>
    </row>
    <row r="46" spans="1:13">
      <c r="B46" s="101"/>
      <c r="C46" s="101"/>
    </row>
    <row r="47" spans="1:13">
      <c r="B47" s="99" t="s">
        <v>114</v>
      </c>
      <c r="C47" s="101"/>
    </row>
    <row r="48" spans="1:13">
      <c r="B48" s="99" t="s">
        <v>115</v>
      </c>
      <c r="C48" s="101"/>
    </row>
    <row r="49" spans="1:13">
      <c r="B49" s="101" t="s">
        <v>116</v>
      </c>
      <c r="C49" s="101"/>
    </row>
    <row r="50" spans="1:13">
      <c r="B50" s="101" t="s">
        <v>117</v>
      </c>
      <c r="C50" s="101"/>
    </row>
    <row r="51" spans="1:13">
      <c r="B51" s="101" t="s">
        <v>118</v>
      </c>
      <c r="C51" s="101"/>
    </row>
    <row r="52" spans="1:13">
      <c r="B52" s="101"/>
      <c r="C52" s="101"/>
    </row>
    <row r="53" spans="1:13" s="78" customFormat="1">
      <c r="F53" s="78">
        <f>E59</f>
        <v>93450</v>
      </c>
      <c r="H53" s="77"/>
      <c r="J53" s="94"/>
      <c r="K53" s="94"/>
      <c r="L53" s="95"/>
      <c r="M53" s="96"/>
    </row>
    <row r="54" spans="1:13" s="78" customFormat="1">
      <c r="B54" s="110" t="s">
        <v>119</v>
      </c>
      <c r="C54" s="78">
        <v>8</v>
      </c>
      <c r="D54" s="94">
        <v>250</v>
      </c>
      <c r="E54" s="78">
        <f>D54*C54</f>
        <v>2000</v>
      </c>
      <c r="F54" s="78">
        <f>F53-E54</f>
        <v>91450</v>
      </c>
      <c r="G54" s="78" t="s">
        <v>120</v>
      </c>
      <c r="H54" s="77"/>
      <c r="J54" s="94"/>
      <c r="K54" s="94"/>
      <c r="L54" s="95"/>
      <c r="M54" s="96"/>
    </row>
    <row r="55" spans="1:13" s="78" customFormat="1">
      <c r="B55" s="110" t="s">
        <v>121</v>
      </c>
      <c r="C55" s="94">
        <v>2</v>
      </c>
      <c r="D55" s="94">
        <v>250</v>
      </c>
      <c r="E55" s="78">
        <f>D55*C55</f>
        <v>500</v>
      </c>
      <c r="F55" s="78">
        <f>F54-E55</f>
        <v>90950</v>
      </c>
      <c r="G55" s="78" t="s">
        <v>120</v>
      </c>
      <c r="H55" s="77"/>
      <c r="J55" s="94"/>
      <c r="K55" s="94"/>
      <c r="L55" s="95"/>
      <c r="M55" s="96"/>
    </row>
    <row r="56" spans="1:13" s="78" customFormat="1">
      <c r="B56" s="110" t="s">
        <v>122</v>
      </c>
      <c r="C56" s="78">
        <v>11</v>
      </c>
      <c r="D56" s="78">
        <v>250</v>
      </c>
      <c r="E56" s="78">
        <f>D56*C56</f>
        <v>2750</v>
      </c>
      <c r="F56" s="78">
        <f>F55-E56</f>
        <v>88200</v>
      </c>
      <c r="G56" s="78" t="s">
        <v>120</v>
      </c>
      <c r="H56" s="77"/>
      <c r="J56" s="94"/>
      <c r="K56" s="94"/>
      <c r="L56" s="95"/>
      <c r="M56" s="96"/>
    </row>
    <row r="57" spans="1:13" s="78" customFormat="1">
      <c r="B57" s="110" t="s">
        <v>123</v>
      </c>
      <c r="C57" s="77">
        <v>1</v>
      </c>
      <c r="D57" s="77">
        <v>8595</v>
      </c>
      <c r="E57" s="77">
        <f>D57*C57</f>
        <v>8595</v>
      </c>
      <c r="F57" s="78">
        <f>F56-E57</f>
        <v>79605</v>
      </c>
      <c r="G57" s="3" t="s">
        <v>124</v>
      </c>
      <c r="H57" s="77"/>
      <c r="J57" s="94"/>
      <c r="K57" s="94"/>
      <c r="L57" s="95"/>
      <c r="M57" s="96"/>
    </row>
    <row r="58" spans="1:13" s="78" customFormat="1">
      <c r="B58" s="110" t="s">
        <v>123</v>
      </c>
      <c r="C58" s="77">
        <v>9</v>
      </c>
      <c r="D58" s="77">
        <v>8845</v>
      </c>
      <c r="E58" s="77">
        <f>D58*C58</f>
        <v>79605</v>
      </c>
      <c r="F58" s="78">
        <f>F57-E58</f>
        <v>0</v>
      </c>
      <c r="G58" s="3" t="s">
        <v>124</v>
      </c>
      <c r="H58" s="77"/>
      <c r="J58" s="94"/>
      <c r="K58" s="94"/>
      <c r="L58" s="95"/>
      <c r="M58" s="96"/>
    </row>
    <row r="59" spans="1:13" s="78" customFormat="1">
      <c r="B59" s="94"/>
      <c r="C59" s="94"/>
      <c r="D59" s="111" t="s">
        <v>67</v>
      </c>
      <c r="E59" s="112">
        <f>SUM(E54:E58)</f>
        <v>93450</v>
      </c>
      <c r="H59" s="77"/>
      <c r="J59" s="94"/>
      <c r="K59" s="94"/>
      <c r="L59" s="95"/>
      <c r="M59" s="96"/>
    </row>
    <row r="60" spans="1:13" s="78" customFormat="1">
      <c r="B60" s="94"/>
      <c r="C60" s="94"/>
      <c r="D60" s="95"/>
      <c r="E60" s="96"/>
      <c r="H60" s="90"/>
      <c r="J60" s="94"/>
      <c r="K60" s="94"/>
      <c r="L60" s="95"/>
      <c r="M60" s="96"/>
    </row>
    <row r="61" spans="1:13" s="78" customFormat="1">
      <c r="B61" s="101" t="s">
        <v>1143</v>
      </c>
      <c r="C61" s="94"/>
      <c r="D61" s="95"/>
      <c r="E61" s="97">
        <v>45016</v>
      </c>
      <c r="G61" s="97">
        <v>45672</v>
      </c>
      <c r="J61" s="94"/>
      <c r="K61" s="94"/>
      <c r="L61" s="95"/>
      <c r="M61" s="96"/>
    </row>
    <row r="62" spans="1:13" s="78" customFormat="1">
      <c r="B62" s="8" t="s">
        <v>1145</v>
      </c>
      <c r="C62" s="388">
        <v>3085.73</v>
      </c>
      <c r="D62" s="388" t="s">
        <v>806</v>
      </c>
      <c r="E62" s="78">
        <v>18.78</v>
      </c>
      <c r="F62" s="78">
        <f>E62*C62</f>
        <v>57950.009400000003</v>
      </c>
      <c r="G62" s="388">
        <v>35.5</v>
      </c>
      <c r="H62" s="388">
        <f>G62*C62</f>
        <v>109543.41499999999</v>
      </c>
      <c r="J62" s="94"/>
      <c r="K62" s="94"/>
      <c r="L62" s="95"/>
      <c r="M62" s="96"/>
    </row>
    <row r="63" spans="1:13" s="78" customFormat="1">
      <c r="B63" s="8" t="s">
        <v>1146</v>
      </c>
      <c r="C63" s="388">
        <v>49.12</v>
      </c>
      <c r="D63" s="388" t="s">
        <v>233</v>
      </c>
      <c r="E63" s="78">
        <v>1179.83</v>
      </c>
      <c r="F63" s="78">
        <f>E63*C63</f>
        <v>57953.249599999996</v>
      </c>
      <c r="G63" s="388">
        <v>3075</v>
      </c>
      <c r="H63" s="388">
        <f>G63*C63</f>
        <v>151044</v>
      </c>
      <c r="J63" s="94"/>
      <c r="K63" s="94"/>
      <c r="L63" s="95"/>
      <c r="M63" s="96"/>
    </row>
    <row r="64" spans="1:13" s="78" customFormat="1">
      <c r="A64" s="98"/>
      <c r="B64" s="101" t="s">
        <v>1147</v>
      </c>
      <c r="C64" s="388"/>
      <c r="D64" s="388"/>
      <c r="E64" s="388"/>
      <c r="F64" s="388"/>
      <c r="G64" s="388"/>
      <c r="H64" s="77"/>
    </row>
    <row r="65" spans="1:14" s="78" customFormat="1">
      <c r="A65" s="88"/>
      <c r="B65" s="101" t="s">
        <v>1148</v>
      </c>
      <c r="C65" s="388"/>
      <c r="D65" s="388"/>
      <c r="E65" s="388"/>
      <c r="F65" s="388"/>
      <c r="G65" s="388"/>
      <c r="H65" s="77"/>
    </row>
    <row r="66" spans="1:14" s="77" customFormat="1">
      <c r="B66" s="102"/>
      <c r="K66" s="78"/>
      <c r="L66" s="78"/>
      <c r="M66" s="78"/>
      <c r="N66" s="78"/>
    </row>
    <row r="67" spans="1:14" s="77" customFormat="1">
      <c r="A67" s="103"/>
      <c r="B67" s="104" t="s">
        <v>83</v>
      </c>
      <c r="C67" s="103"/>
      <c r="E67" s="77">
        <f>SUM(E68:E79)</f>
        <v>0</v>
      </c>
      <c r="K67" s="78"/>
      <c r="L67" s="78"/>
      <c r="M67" s="78"/>
      <c r="N67" s="78"/>
    </row>
    <row r="68" spans="1:14" ht="15">
      <c r="B68" t="s">
        <v>125</v>
      </c>
      <c r="E68" s="105" t="s">
        <v>84</v>
      </c>
    </row>
    <row r="69" spans="1:14" s="77" customFormat="1">
      <c r="A69" s="88"/>
      <c r="K69" s="78"/>
      <c r="L69" s="78"/>
      <c r="M69" s="78"/>
      <c r="N69" s="78"/>
    </row>
    <row r="70" spans="1:14" s="77" customFormat="1">
      <c r="A70" s="88">
        <v>45715</v>
      </c>
      <c r="B70" s="77" t="s">
        <v>1642</v>
      </c>
      <c r="C70" s="77">
        <v>5938.68</v>
      </c>
      <c r="D70" s="77" t="s">
        <v>1638</v>
      </c>
      <c r="K70" s="78"/>
      <c r="L70" s="78"/>
      <c r="M70" s="78"/>
      <c r="N70" s="78"/>
    </row>
    <row r="71" spans="1:14" s="77" customFormat="1">
      <c r="A71" s="88"/>
      <c r="K71" s="78"/>
      <c r="L71" s="78"/>
      <c r="M71" s="78"/>
      <c r="N71" s="78"/>
    </row>
    <row r="72" spans="1:14" s="77" customFormat="1">
      <c r="A72" s="88"/>
      <c r="B72" s="77" t="s">
        <v>1640</v>
      </c>
      <c r="K72" s="78"/>
      <c r="L72" s="78"/>
      <c r="M72" s="78"/>
      <c r="N72" s="78"/>
    </row>
    <row r="73" spans="1:14">
      <c r="B73" s="77">
        <v>989.78</v>
      </c>
      <c r="C73" s="77">
        <v>6</v>
      </c>
      <c r="D73" s="77">
        <f>C73*B73</f>
        <v>5938.68</v>
      </c>
    </row>
    <row r="74" spans="1:14" s="77" customFormat="1">
      <c r="A74" s="100"/>
      <c r="B74" s="77">
        <f>D74/C73/2</f>
        <v>469.89833333333337</v>
      </c>
      <c r="D74" s="77">
        <f>D73-299.9</f>
        <v>5638.7800000000007</v>
      </c>
      <c r="K74" s="78"/>
      <c r="L74" s="78"/>
      <c r="M74" s="78"/>
      <c r="N74" s="78"/>
    </row>
    <row r="75" spans="1:14" s="77" customFormat="1">
      <c r="A75" s="100"/>
      <c r="B75" s="77" t="s">
        <v>1639</v>
      </c>
      <c r="K75" s="78"/>
      <c r="L75" s="78"/>
      <c r="M75" s="78"/>
      <c r="N75" s="78"/>
    </row>
    <row r="76" spans="1:14" s="77" customFormat="1">
      <c r="A76" s="100"/>
      <c r="B76" s="77" t="s">
        <v>1641</v>
      </c>
      <c r="D76" s="418">
        <f>D73-D74</f>
        <v>299.89999999999964</v>
      </c>
      <c r="K76" s="78"/>
      <c r="L76" s="78"/>
      <c r="M76" s="78"/>
      <c r="N76" s="78"/>
    </row>
    <row r="77" spans="1:14" s="77" customFormat="1">
      <c r="A77" s="100"/>
      <c r="K77" s="78"/>
      <c r="L77" s="78"/>
      <c r="M77" s="78"/>
      <c r="N77" s="78"/>
    </row>
    <row r="78" spans="1:14" s="77" customFormat="1">
      <c r="A78" s="100"/>
      <c r="K78" s="78"/>
      <c r="L78" s="78"/>
      <c r="M78" s="78"/>
      <c r="N78" s="78"/>
    </row>
    <row r="79" spans="1:14" s="77" customFormat="1">
      <c r="A79" s="100"/>
      <c r="B79" s="107"/>
      <c r="C79" s="106"/>
      <c r="K79" s="78"/>
      <c r="L79" s="78"/>
      <c r="M79" s="78"/>
      <c r="N79" s="78"/>
    </row>
    <row r="80" spans="1:14" s="77" customFormat="1">
      <c r="A80" s="100"/>
      <c r="B80" s="3"/>
      <c r="K80" s="78"/>
      <c r="L80" s="78"/>
      <c r="M80" s="78"/>
      <c r="N80" s="78"/>
    </row>
    <row r="81" spans="1:14" s="77" customFormat="1">
      <c r="A81" s="100"/>
      <c r="B81" s="106"/>
      <c r="C81" s="106"/>
      <c r="K81" s="78"/>
      <c r="L81" s="78"/>
      <c r="M81" s="78"/>
      <c r="N81" s="78"/>
    </row>
    <row r="82" spans="1:14" s="77" customFormat="1">
      <c r="A82" s="103"/>
      <c r="B82" s="104" t="s">
        <v>85</v>
      </c>
      <c r="C82" s="103"/>
      <c r="E82" s="77">
        <f>SUM(E83:E101)</f>
        <v>-7885.3399999999992</v>
      </c>
      <c r="K82" s="78"/>
      <c r="L82" s="78"/>
      <c r="M82" s="78"/>
      <c r="N82" s="78"/>
    </row>
    <row r="83" spans="1:14" s="77" customFormat="1">
      <c r="A83" s="100"/>
      <c r="B83" s="106"/>
      <c r="C83" s="106"/>
      <c r="K83" s="78"/>
      <c r="L83" s="78"/>
      <c r="M83" s="78"/>
      <c r="N83" s="78"/>
    </row>
    <row r="84" spans="1:14" s="77" customFormat="1">
      <c r="A84" s="100">
        <v>45630</v>
      </c>
      <c r="B84" s="106" t="s">
        <v>126</v>
      </c>
      <c r="C84" s="106"/>
      <c r="E84" s="77">
        <v>-4408.95</v>
      </c>
      <c r="K84" s="78"/>
      <c r="L84" s="78"/>
      <c r="M84" s="78"/>
      <c r="N84" s="78"/>
    </row>
    <row r="85" spans="1:14" s="77" customFormat="1">
      <c r="A85" s="100"/>
      <c r="B85" s="3" t="s">
        <v>127</v>
      </c>
      <c r="C85" s="106"/>
      <c r="E85" s="77">
        <v>-215.45</v>
      </c>
      <c r="K85" s="78"/>
      <c r="L85" s="78"/>
      <c r="M85" s="78"/>
      <c r="N85" s="78"/>
    </row>
    <row r="86" spans="1:14" s="77" customFormat="1">
      <c r="A86" s="100">
        <v>45621</v>
      </c>
      <c r="B86" s="3" t="s">
        <v>128</v>
      </c>
      <c r="C86" s="106"/>
      <c r="E86" s="77">
        <v>-200</v>
      </c>
      <c r="K86" s="78"/>
      <c r="L86" s="78"/>
      <c r="M86" s="78"/>
      <c r="N86" s="78"/>
    </row>
    <row r="87" spans="1:14" s="77" customFormat="1">
      <c r="A87" s="100">
        <v>45630</v>
      </c>
      <c r="B87" s="3" t="s">
        <v>129</v>
      </c>
      <c r="C87" s="106">
        <v>9239.0300000000007</v>
      </c>
      <c r="E87" s="77">
        <v>-250</v>
      </c>
      <c r="K87" s="78"/>
      <c r="L87" s="78"/>
      <c r="M87" s="78"/>
      <c r="N87" s="78"/>
    </row>
    <row r="88" spans="1:14" s="77" customFormat="1">
      <c r="A88" s="100"/>
      <c r="B88" s="3" t="s">
        <v>127</v>
      </c>
      <c r="C88" s="106"/>
      <c r="E88" s="77">
        <v>-230.94</v>
      </c>
      <c r="K88" s="78"/>
      <c r="L88" s="78"/>
      <c r="M88" s="78"/>
      <c r="N88" s="78"/>
    </row>
    <row r="89" spans="1:14" s="77" customFormat="1">
      <c r="A89" s="100"/>
      <c r="B89" s="3" t="s">
        <v>130</v>
      </c>
      <c r="C89" s="106"/>
      <c r="E89" s="77">
        <v>-600</v>
      </c>
      <c r="K89" s="78"/>
      <c r="L89" s="78"/>
      <c r="M89" s="78"/>
      <c r="N89" s="78"/>
    </row>
    <row r="90" spans="1:14" s="77" customFormat="1">
      <c r="A90" s="100">
        <v>45633</v>
      </c>
      <c r="B90" s="3" t="s">
        <v>131</v>
      </c>
      <c r="C90" s="106"/>
      <c r="E90" s="77">
        <v>-200</v>
      </c>
      <c r="K90" s="78"/>
      <c r="L90" s="78"/>
      <c r="M90" s="78"/>
      <c r="N90" s="78"/>
    </row>
    <row r="91" spans="1:14" s="77" customFormat="1">
      <c r="A91" s="100"/>
      <c r="B91" s="3" t="s">
        <v>132</v>
      </c>
      <c r="C91" s="106"/>
      <c r="E91" s="77">
        <v>-500</v>
      </c>
      <c r="K91" s="78"/>
      <c r="L91" s="78"/>
      <c r="M91" s="78"/>
      <c r="N91" s="78"/>
    </row>
    <row r="92" spans="1:14" s="77" customFormat="1">
      <c r="A92" s="100"/>
      <c r="B92" s="3" t="s">
        <v>133</v>
      </c>
      <c r="C92" s="106"/>
      <c r="E92" s="77">
        <v>-630</v>
      </c>
      <c r="K92" s="78"/>
      <c r="L92" s="78"/>
      <c r="M92" s="78"/>
      <c r="N92" s="78"/>
    </row>
    <row r="93" spans="1:14" s="77" customFormat="1">
      <c r="A93" s="100"/>
      <c r="B93" s="3" t="s">
        <v>134</v>
      </c>
      <c r="C93" s="106"/>
      <c r="E93" s="77">
        <v>-50</v>
      </c>
      <c r="K93" s="78"/>
      <c r="L93" s="78"/>
      <c r="M93" s="78"/>
      <c r="N93" s="78"/>
    </row>
    <row r="94" spans="1:14" s="77" customFormat="1">
      <c r="A94" s="100"/>
      <c r="B94" s="3" t="s">
        <v>132</v>
      </c>
      <c r="C94" s="106"/>
      <c r="E94" s="77">
        <v>-500</v>
      </c>
      <c r="K94" s="78"/>
      <c r="L94" s="78"/>
      <c r="M94" s="78"/>
      <c r="N94" s="78"/>
    </row>
    <row r="95" spans="1:14" s="77" customFormat="1">
      <c r="A95" s="100">
        <v>45649</v>
      </c>
      <c r="B95" s="3" t="s">
        <v>86</v>
      </c>
      <c r="C95" s="106"/>
      <c r="E95" s="77">
        <v>-100</v>
      </c>
      <c r="K95" s="78"/>
      <c r="L95" s="78"/>
      <c r="M95" s="78"/>
      <c r="N95" s="78"/>
    </row>
    <row r="96" spans="1:14" s="77" customFormat="1" ht="15">
      <c r="A96" s="100"/>
      <c r="B96" s="3"/>
      <c r="C96" s="106"/>
      <c r="E96" s="105" t="s">
        <v>84</v>
      </c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 s="77" customFormat="1">
      <c r="A98" s="100"/>
      <c r="B98" s="3"/>
      <c r="C98" s="106"/>
      <c r="K98" s="78"/>
      <c r="L98" s="78"/>
      <c r="M98" s="78"/>
      <c r="N98" s="78"/>
    </row>
    <row r="99" spans="1:14" s="77" customFormat="1">
      <c r="A99" s="100"/>
      <c r="B99" s="3"/>
      <c r="C99" s="106"/>
      <c r="K99" s="78"/>
      <c r="L99" s="78"/>
      <c r="M99" s="78"/>
      <c r="N99" s="78"/>
    </row>
    <row r="100" spans="1:14" s="77" customFormat="1">
      <c r="A100" s="100"/>
      <c r="B100" s="3"/>
      <c r="C100" s="106"/>
      <c r="K100" s="78"/>
      <c r="L100" s="78"/>
      <c r="M100" s="78"/>
      <c r="N100" s="78"/>
    </row>
    <row r="101" spans="1:14" s="77" customFormat="1">
      <c r="A101" s="100"/>
      <c r="B101" s="3"/>
      <c r="C101" s="106"/>
      <c r="K101" s="78"/>
      <c r="L101" s="78"/>
      <c r="M101" s="78"/>
      <c r="N101" s="78"/>
    </row>
    <row r="102" spans="1:14" s="77" customFormat="1">
      <c r="A102" s="100"/>
      <c r="B102" s="3"/>
      <c r="K102" s="78"/>
      <c r="L102" s="78"/>
      <c r="M102" s="78"/>
      <c r="N102" s="78"/>
    </row>
    <row r="103" spans="1:14" s="77" customFormat="1">
      <c r="A103" s="100"/>
      <c r="B103" s="3"/>
      <c r="C103" s="106"/>
      <c r="K103" s="78"/>
      <c r="L103" s="78"/>
      <c r="M103" s="78"/>
      <c r="N103" s="78"/>
    </row>
    <row r="104" spans="1:14" s="77" customFormat="1">
      <c r="A104" s="100"/>
      <c r="B104" s="3"/>
      <c r="C104" s="106"/>
      <c r="K104" s="78"/>
      <c r="L104" s="78"/>
      <c r="M104" s="78"/>
      <c r="N104" s="78"/>
    </row>
    <row r="105" spans="1:14" s="77" customFormat="1">
      <c r="A105" s="100"/>
      <c r="B105" s="3"/>
      <c r="C105" s="106"/>
      <c r="K105" s="78"/>
      <c r="L105" s="78"/>
      <c r="M105" s="78"/>
      <c r="N105" s="78"/>
    </row>
    <row r="107" spans="1:14" s="77" customFormat="1">
      <c r="A107" s="113" t="s">
        <v>135</v>
      </c>
      <c r="B107" s="104" t="s">
        <v>136</v>
      </c>
      <c r="C107" s="103">
        <v>2025</v>
      </c>
      <c r="G107" s="77">
        <f>SUM(G111:G139)</f>
        <v>906718.19331999996</v>
      </c>
      <c r="K107" s="78"/>
      <c r="L107" s="78"/>
      <c r="M107" s="78"/>
      <c r="N107" s="78"/>
    </row>
    <row r="108" spans="1:14" s="77" customFormat="1">
      <c r="A108" s="113"/>
      <c r="B108" s="104"/>
      <c r="C108" s="103"/>
      <c r="K108" s="78"/>
      <c r="L108" s="78"/>
      <c r="M108" s="78"/>
      <c r="N108" s="78"/>
    </row>
    <row r="109" spans="1:14" s="77" customFormat="1">
      <c r="A109" s="113"/>
      <c r="B109" s="104"/>
      <c r="C109" s="103"/>
      <c r="E109" s="77" t="s">
        <v>137</v>
      </c>
      <c r="K109" s="78"/>
      <c r="L109" s="78"/>
      <c r="M109" s="78"/>
      <c r="N109" s="78"/>
    </row>
    <row r="110" spans="1:14" s="77" customFormat="1">
      <c r="A110" s="100"/>
      <c r="B110" s="77" t="s">
        <v>77</v>
      </c>
      <c r="G110" s="77">
        <v>0</v>
      </c>
      <c r="K110" s="78"/>
      <c r="L110" s="78"/>
      <c r="M110" s="78"/>
      <c r="N110" s="78"/>
    </row>
    <row r="111" spans="1:14" s="77" customFormat="1">
      <c r="A111" s="100"/>
      <c r="B111" s="77" t="s">
        <v>78</v>
      </c>
      <c r="G111" s="77">
        <v>0</v>
      </c>
      <c r="K111" s="78"/>
      <c r="L111" s="78"/>
      <c r="M111" s="78"/>
      <c r="N111" s="78"/>
    </row>
    <row r="112" spans="1:14" s="77" customFormat="1">
      <c r="A112" s="100">
        <v>45691</v>
      </c>
      <c r="B112" s="77" t="s">
        <v>1739</v>
      </c>
      <c r="G112" s="77">
        <v>221330</v>
      </c>
      <c r="K112" s="78"/>
      <c r="L112" s="78"/>
      <c r="M112" s="78"/>
      <c r="N112" s="78"/>
    </row>
    <row r="113" spans="1:14" s="77" customFormat="1">
      <c r="A113" s="100">
        <v>45691</v>
      </c>
      <c r="B113" s="77" t="s">
        <v>139</v>
      </c>
      <c r="C113" s="2"/>
      <c r="D113" s="2"/>
      <c r="G113" s="17">
        <v>5000</v>
      </c>
      <c r="K113" s="78"/>
      <c r="L113" s="78"/>
      <c r="M113" s="78"/>
      <c r="N113" s="78"/>
    </row>
    <row r="114" spans="1:14" s="77" customFormat="1">
      <c r="A114" s="100"/>
      <c r="B114" s="77" t="s">
        <v>140</v>
      </c>
      <c r="C114" s="2"/>
      <c r="D114" s="2"/>
      <c r="G114" s="17"/>
      <c r="K114" s="78"/>
      <c r="L114" s="78"/>
      <c r="M114" s="78"/>
      <c r="N114" s="78"/>
    </row>
    <row r="115" spans="1:14" s="77" customFormat="1">
      <c r="A115" s="100"/>
      <c r="C115" s="2"/>
      <c r="D115" s="2"/>
      <c r="G115" s="17"/>
      <c r="K115" s="78"/>
      <c r="L115" s="78"/>
      <c r="M115" s="78"/>
      <c r="N115" s="78"/>
    </row>
    <row r="116" spans="1:14" s="77" customFormat="1">
      <c r="A116" s="100"/>
      <c r="C116" s="2"/>
      <c r="D116" s="2"/>
      <c r="G116" s="17"/>
      <c r="K116" s="78"/>
      <c r="L116" s="78"/>
      <c r="M116" s="78"/>
      <c r="N116" s="78"/>
    </row>
    <row r="117" spans="1:14" s="77" customFormat="1">
      <c r="A117" s="100">
        <v>45553</v>
      </c>
      <c r="B117" s="82" t="s">
        <v>141</v>
      </c>
      <c r="C117" s="114">
        <v>25</v>
      </c>
      <c r="D117" s="115">
        <v>752.55561799999998</v>
      </c>
      <c r="E117" s="116">
        <f t="shared" ref="E117:E122" si="3">D117*C117</f>
        <v>18813.890449999999</v>
      </c>
      <c r="F117" s="403">
        <v>899.26057400000002</v>
      </c>
      <c r="G117" s="17">
        <f t="shared" ref="G117:G122" si="4">F117*C117</f>
        <v>22481.514350000001</v>
      </c>
      <c r="I117" s="77">
        <f>G117-E117</f>
        <v>3667.6239000000023</v>
      </c>
      <c r="K117" s="78"/>
      <c r="L117" s="78"/>
      <c r="M117" s="78"/>
      <c r="N117" s="78"/>
    </row>
    <row r="118" spans="1:14" s="77" customFormat="1">
      <c r="A118" s="100">
        <v>45667</v>
      </c>
      <c r="B118" s="82" t="s">
        <v>141</v>
      </c>
      <c r="C118" s="114">
        <v>100</v>
      </c>
      <c r="D118" s="115">
        <v>872.26366499999995</v>
      </c>
      <c r="E118" s="116">
        <f t="shared" si="3"/>
        <v>87226.366499999989</v>
      </c>
      <c r="F118" s="404">
        <f>F117</f>
        <v>899.26057400000002</v>
      </c>
      <c r="G118" s="17">
        <f t="shared" si="4"/>
        <v>89926.057400000005</v>
      </c>
      <c r="I118" s="90">
        <f t="shared" ref="I118:I122" si="5">G118-E118</f>
        <v>2699.690900000016</v>
      </c>
      <c r="K118" s="78"/>
      <c r="L118" s="78"/>
      <c r="M118" s="78"/>
      <c r="N118" s="78"/>
    </row>
    <row r="119" spans="1:14" s="90" customFormat="1">
      <c r="A119" s="100">
        <v>45672</v>
      </c>
      <c r="B119" s="82" t="s">
        <v>141</v>
      </c>
      <c r="C119" s="114">
        <v>55</v>
      </c>
      <c r="D119" s="115">
        <v>877.65409299999999</v>
      </c>
      <c r="E119" s="116">
        <f t="shared" si="3"/>
        <v>48270.975115000001</v>
      </c>
      <c r="F119" s="404">
        <f>F118</f>
        <v>899.26057400000002</v>
      </c>
      <c r="G119" s="17">
        <f t="shared" si="4"/>
        <v>49459.331570000002</v>
      </c>
      <c r="I119" s="90">
        <f t="shared" si="5"/>
        <v>1188.356455000001</v>
      </c>
      <c r="K119" s="78"/>
      <c r="L119" s="78"/>
      <c r="M119" s="78"/>
      <c r="N119" s="78"/>
    </row>
    <row r="120" spans="1:14" s="90" customFormat="1">
      <c r="A120" s="100">
        <v>45680</v>
      </c>
      <c r="B120" s="82" t="s">
        <v>1602</v>
      </c>
      <c r="C120" s="114">
        <v>120</v>
      </c>
      <c r="D120" s="115">
        <v>305</v>
      </c>
      <c r="E120" s="116">
        <f t="shared" si="3"/>
        <v>36600</v>
      </c>
      <c r="F120" s="90">
        <v>313.75</v>
      </c>
      <c r="G120" s="17">
        <f t="shared" si="4"/>
        <v>37650</v>
      </c>
      <c r="I120" s="90">
        <f t="shared" si="5"/>
        <v>1050</v>
      </c>
      <c r="K120" s="78"/>
      <c r="L120" s="78"/>
      <c r="M120" s="78"/>
      <c r="N120" s="78"/>
    </row>
    <row r="121" spans="1:14" s="77" customFormat="1">
      <c r="A121" s="100">
        <v>45620</v>
      </c>
      <c r="B121" s="82" t="s">
        <v>1604</v>
      </c>
      <c r="C121" s="114">
        <v>4000</v>
      </c>
      <c r="D121" s="114">
        <v>32.549999999999997</v>
      </c>
      <c r="E121" s="116">
        <f t="shared" si="3"/>
        <v>130199.99999999999</v>
      </c>
      <c r="F121" s="77">
        <v>33.549999999999997</v>
      </c>
      <c r="G121" s="17">
        <f t="shared" si="4"/>
        <v>134200</v>
      </c>
      <c r="I121" s="90">
        <f t="shared" si="5"/>
        <v>4000.0000000000146</v>
      </c>
      <c r="K121" s="78"/>
      <c r="L121" s="78"/>
      <c r="M121" s="78"/>
      <c r="N121" s="78"/>
    </row>
    <row r="122" spans="1:14" s="77" customFormat="1" ht="13.5" thickBot="1">
      <c r="A122" s="100">
        <v>45659</v>
      </c>
      <c r="B122" s="82" t="s">
        <v>1603</v>
      </c>
      <c r="C122" s="114">
        <v>4000</v>
      </c>
      <c r="D122" s="115">
        <v>30.86</v>
      </c>
      <c r="E122" s="116">
        <f t="shared" si="3"/>
        <v>123440</v>
      </c>
      <c r="F122" s="77">
        <f>F121</f>
        <v>33.549999999999997</v>
      </c>
      <c r="G122" s="17">
        <f t="shared" si="4"/>
        <v>134200</v>
      </c>
      <c r="H122" s="419">
        <f>SUM(G117:G122)</f>
        <v>467916.90332000004</v>
      </c>
      <c r="I122" s="90">
        <f t="shared" si="5"/>
        <v>10760</v>
      </c>
      <c r="K122" s="78"/>
      <c r="L122" s="78"/>
      <c r="M122" s="78"/>
      <c r="N122" s="78"/>
    </row>
    <row r="123" spans="1:14" s="77" customFormat="1" ht="15.75" thickBot="1">
      <c r="A123" s="100"/>
      <c r="C123" s="2"/>
      <c r="D123" s="2"/>
      <c r="E123" s="77">
        <f>SUM(E117:E122)</f>
        <v>444551.23206499999</v>
      </c>
      <c r="F123" s="105" t="s">
        <v>84</v>
      </c>
      <c r="G123" s="17"/>
      <c r="H123" s="117">
        <f>(SUM(G117:G122))-(SUM(E117:E122))</f>
        <v>23365.671255000052</v>
      </c>
      <c r="I123" s="117">
        <f>SUM(I117:I122)</f>
        <v>23365.671255000034</v>
      </c>
      <c r="K123" s="78"/>
      <c r="L123" s="78"/>
      <c r="M123" s="78"/>
      <c r="N123" s="78"/>
    </row>
    <row r="124" spans="1:14" s="77" customFormat="1">
      <c r="A124" s="100"/>
      <c r="C124" s="2"/>
      <c r="D124" s="2"/>
      <c r="K124" s="78"/>
      <c r="L124" s="78"/>
      <c r="M124" s="78"/>
      <c r="N124" s="78"/>
    </row>
    <row r="125" spans="1:14" s="77" customFormat="1">
      <c r="A125" s="100">
        <v>45509</v>
      </c>
      <c r="B125" s="82" t="s">
        <v>147</v>
      </c>
      <c r="C125" s="114">
        <v>1</v>
      </c>
      <c r="D125" s="83">
        <v>2500</v>
      </c>
      <c r="E125" s="116">
        <f>D125*C125</f>
        <v>2500</v>
      </c>
      <c r="F125" s="77">
        <v>3250</v>
      </c>
      <c r="G125" s="17">
        <f>C125*F125</f>
        <v>3250</v>
      </c>
      <c r="I125" s="90">
        <f t="shared" ref="I125:I127" si="6">G125-E125</f>
        <v>750</v>
      </c>
      <c r="K125" s="78"/>
      <c r="L125" s="78"/>
      <c r="M125" s="78"/>
      <c r="N125" s="78"/>
    </row>
    <row r="126" spans="1:14" s="77" customFormat="1">
      <c r="A126" s="100">
        <v>45509</v>
      </c>
      <c r="B126" s="82" t="s">
        <v>148</v>
      </c>
      <c r="C126" s="114">
        <v>16</v>
      </c>
      <c r="D126" s="83">
        <v>4100</v>
      </c>
      <c r="E126" s="116">
        <f>D126*C126</f>
        <v>65600</v>
      </c>
      <c r="F126" s="77">
        <v>5300</v>
      </c>
      <c r="G126" s="17">
        <f>C126*F126</f>
        <v>84800</v>
      </c>
      <c r="I126" s="90">
        <f t="shared" si="6"/>
        <v>19200</v>
      </c>
      <c r="K126" s="78"/>
      <c r="L126" s="78"/>
      <c r="M126" s="78"/>
      <c r="N126" s="78"/>
    </row>
    <row r="127" spans="1:14" s="77" customFormat="1">
      <c r="A127" s="100">
        <v>45509</v>
      </c>
      <c r="B127" s="82" t="s">
        <v>149</v>
      </c>
      <c r="C127" s="114">
        <v>1</v>
      </c>
      <c r="D127" s="83">
        <v>16200</v>
      </c>
      <c r="E127" s="116">
        <f>D127*C127</f>
        <v>16200</v>
      </c>
      <c r="F127" s="77">
        <f>F126*4</f>
        <v>21200</v>
      </c>
      <c r="G127" s="17">
        <f>C127*F127</f>
        <v>21200</v>
      </c>
      <c r="H127" s="419">
        <f>SUM(G125:G127)</f>
        <v>109250</v>
      </c>
      <c r="I127" s="90">
        <f t="shared" si="6"/>
        <v>5000</v>
      </c>
      <c r="K127" s="78"/>
      <c r="L127" s="78"/>
      <c r="M127" s="78"/>
      <c r="N127" s="78"/>
    </row>
    <row r="128" spans="1:14" s="77" customFormat="1" ht="15.75" thickBot="1">
      <c r="A128" s="100"/>
      <c r="C128" s="2"/>
      <c r="D128" s="2"/>
      <c r="E128" s="77">
        <f>SUM(E125:E127)</f>
        <v>84300</v>
      </c>
      <c r="F128" s="105" t="s">
        <v>84</v>
      </c>
      <c r="H128" s="117">
        <f>(SUM(G125:G127))-(SUM(E125:E127))</f>
        <v>24950</v>
      </c>
      <c r="K128" s="78"/>
      <c r="L128" s="78"/>
      <c r="M128" s="78"/>
      <c r="N128" s="78"/>
    </row>
    <row r="129" spans="1:14" s="90" customFormat="1" ht="15">
      <c r="A129" s="100"/>
      <c r="C129" s="12"/>
      <c r="D129" s="12"/>
      <c r="F129" s="182"/>
      <c r="H129" s="440"/>
      <c r="K129" s="78"/>
      <c r="L129" s="78"/>
      <c r="M129" s="78"/>
      <c r="N129" s="78"/>
    </row>
    <row r="130" spans="1:14" s="77" customFormat="1">
      <c r="A130" s="100">
        <v>45345</v>
      </c>
      <c r="B130" s="82" t="s">
        <v>143</v>
      </c>
      <c r="C130" s="118">
        <v>125000</v>
      </c>
      <c r="D130" s="83">
        <v>1.0399430000000001</v>
      </c>
      <c r="E130" s="116">
        <f>D130*C130</f>
        <v>129992.87500000001</v>
      </c>
      <c r="F130" s="119">
        <v>0.79772600000000005</v>
      </c>
      <c r="G130" s="17">
        <f>F130*C130</f>
        <v>99715.75</v>
      </c>
      <c r="I130" s="90">
        <f t="shared" ref="I130" si="7">G130-E130</f>
        <v>-30277.125000000015</v>
      </c>
      <c r="K130" s="78"/>
      <c r="L130" s="78"/>
      <c r="M130" s="78"/>
      <c r="N130" s="78"/>
    </row>
    <row r="131" spans="1:14" s="77" customFormat="1">
      <c r="A131" s="100">
        <v>45400</v>
      </c>
      <c r="B131" s="82" t="s">
        <v>144</v>
      </c>
      <c r="C131" s="114">
        <v>10</v>
      </c>
      <c r="D131" s="83">
        <v>135</v>
      </c>
      <c r="E131" s="116">
        <f>D131*C131</f>
        <v>1350</v>
      </c>
      <c r="F131" s="77">
        <v>118.2</v>
      </c>
      <c r="G131" s="17">
        <f>F131*C131</f>
        <v>1182</v>
      </c>
      <c r="I131" s="90">
        <f t="shared" ref="I131:I133" si="8">G131-E131</f>
        <v>-168</v>
      </c>
      <c r="K131" s="78"/>
      <c r="L131" s="78"/>
      <c r="M131" s="78"/>
      <c r="N131" s="78"/>
    </row>
    <row r="132" spans="1:14" s="77" customFormat="1">
      <c r="A132" s="100">
        <v>45418</v>
      </c>
      <c r="B132" s="82" t="s">
        <v>145</v>
      </c>
      <c r="C132" s="114">
        <v>38</v>
      </c>
      <c r="D132" s="83">
        <v>30.5</v>
      </c>
      <c r="E132" s="116">
        <f>D132*C132</f>
        <v>1159</v>
      </c>
      <c r="F132" s="77">
        <v>17.670000000000002</v>
      </c>
      <c r="G132" s="17">
        <f>F132*C132</f>
        <v>671.46</v>
      </c>
      <c r="I132" s="90">
        <f t="shared" si="8"/>
        <v>-487.53999999999996</v>
      </c>
      <c r="K132" s="78"/>
      <c r="L132" s="78"/>
      <c r="M132" s="78"/>
      <c r="N132" s="78"/>
    </row>
    <row r="133" spans="1:14" s="77" customFormat="1">
      <c r="A133" s="100">
        <v>45418</v>
      </c>
      <c r="B133" s="82" t="s">
        <v>146</v>
      </c>
      <c r="C133" s="114">
        <v>26</v>
      </c>
      <c r="D133" s="83">
        <v>37.115000000000002</v>
      </c>
      <c r="E133" s="116">
        <f>D133*C133</f>
        <v>964.99</v>
      </c>
      <c r="F133" s="77">
        <v>25.08</v>
      </c>
      <c r="G133" s="17">
        <f>F133*C133</f>
        <v>652.07999999999993</v>
      </c>
      <c r="H133" s="419">
        <f>SUM(G130:G133)</f>
        <v>102221.29000000001</v>
      </c>
      <c r="I133" s="90">
        <f t="shared" si="8"/>
        <v>-312.91000000000008</v>
      </c>
      <c r="K133" s="78"/>
      <c r="L133" s="78"/>
      <c r="M133" s="78"/>
      <c r="N133" s="78"/>
    </row>
    <row r="134" spans="1:14" s="77" customFormat="1" ht="15.75" thickBot="1">
      <c r="A134" s="100"/>
      <c r="C134" s="2"/>
      <c r="D134" s="2"/>
      <c r="E134" s="77">
        <f>SUM(E130:E133)</f>
        <v>133466.86499999999</v>
      </c>
      <c r="F134" s="105" t="s">
        <v>84</v>
      </c>
      <c r="H134" s="117">
        <f>(SUM(G130:G133))-(SUM(E130:E133))</f>
        <v>-31245.574999999983</v>
      </c>
      <c r="K134" s="78"/>
      <c r="L134" s="78"/>
      <c r="M134" s="78"/>
      <c r="N134" s="78"/>
    </row>
    <row r="136" spans="1:14" s="77" customFormat="1">
      <c r="A136" s="100"/>
      <c r="B136" s="77" t="s">
        <v>150</v>
      </c>
      <c r="C136" s="120">
        <v>33.250599999999999</v>
      </c>
      <c r="D136" s="2"/>
      <c r="G136" s="17"/>
      <c r="K136" s="78"/>
      <c r="L136" s="78"/>
      <c r="M136" s="78"/>
      <c r="N136" s="78"/>
    </row>
    <row r="137" spans="1:14" s="77" customFormat="1">
      <c r="A137" s="100"/>
      <c r="B137" s="77" t="s">
        <v>151</v>
      </c>
      <c r="C137" s="120">
        <v>36.854999999999997</v>
      </c>
      <c r="D137" s="2"/>
      <c r="G137" s="17"/>
      <c r="K137" s="78"/>
      <c r="L137" s="78"/>
      <c r="M137" s="78"/>
      <c r="N137" s="78"/>
    </row>
    <row r="138" spans="1:14" s="77" customFormat="1">
      <c r="A138" s="100"/>
      <c r="B138" s="77" t="s">
        <v>152</v>
      </c>
      <c r="C138" s="2"/>
      <c r="D138" s="2"/>
      <c r="G138" s="17">
        <v>0</v>
      </c>
      <c r="K138" s="78"/>
      <c r="L138" s="78"/>
      <c r="M138" s="78"/>
      <c r="N138" s="78"/>
    </row>
    <row r="139" spans="1:14" s="77" customFormat="1" ht="13.5" thickBot="1">
      <c r="A139" s="100"/>
      <c r="B139" s="77" t="s">
        <v>153</v>
      </c>
      <c r="C139" s="2"/>
      <c r="D139" s="2"/>
      <c r="G139" s="17">
        <v>1000</v>
      </c>
      <c r="K139" s="78"/>
      <c r="L139" s="78"/>
      <c r="M139" s="78"/>
      <c r="N139" s="78"/>
    </row>
    <row r="140" spans="1:14" s="77" customFormat="1" ht="16.5" thickBot="1">
      <c r="A140" s="100"/>
      <c r="E140" s="121"/>
      <c r="F140" s="122"/>
      <c r="G140" s="123" t="s">
        <v>154</v>
      </c>
      <c r="H140" s="442">
        <f>H128+H134+H123</f>
        <v>17070.09625500007</v>
      </c>
      <c r="K140" s="78"/>
      <c r="L140" s="78"/>
      <c r="M140" s="78"/>
      <c r="N140" s="78"/>
    </row>
    <row r="141" spans="1:14" s="77" customFormat="1">
      <c r="A141" s="100"/>
      <c r="C141" s="124"/>
      <c r="D141" s="3"/>
      <c r="G141" s="124"/>
      <c r="K141" s="78"/>
      <c r="L141" s="78"/>
      <c r="M141" s="78"/>
      <c r="N141" s="78"/>
    </row>
    <row r="142" spans="1:14" s="77" customFormat="1" ht="15">
      <c r="A142" s="100"/>
      <c r="C142" s="124"/>
      <c r="D142" s="18" t="s">
        <v>155</v>
      </c>
      <c r="F142" s="105" t="s">
        <v>84</v>
      </c>
      <c r="G142" s="9">
        <f>SUM(G111:G139)</f>
        <v>906718.19331999996</v>
      </c>
      <c r="K142" s="78"/>
      <c r="L142" s="78"/>
      <c r="M142" s="78"/>
      <c r="N142" s="78"/>
    </row>
    <row r="143" spans="1:14" s="77" customFormat="1">
      <c r="A143" s="100"/>
      <c r="C143" s="125" t="str">
        <f>A107</f>
        <v>ŞUBAT 2025 e</v>
      </c>
      <c r="D143" s="126" t="s">
        <v>156</v>
      </c>
      <c r="G143" s="127"/>
      <c r="K143" s="78"/>
      <c r="L143" s="78"/>
      <c r="M143" s="78"/>
      <c r="N143" s="78"/>
    </row>
    <row r="144" spans="1:14" s="77" customFormat="1">
      <c r="K144" s="78"/>
      <c r="L144" s="78"/>
      <c r="M144" s="78"/>
      <c r="N144" s="78"/>
    </row>
    <row r="145" spans="1:14" s="77" customFormat="1">
      <c r="A145" s="100">
        <v>45667</v>
      </c>
      <c r="B145" s="82" t="s">
        <v>1606</v>
      </c>
      <c r="C145" s="118">
        <v>240</v>
      </c>
      <c r="D145" s="83">
        <v>872.26366499999995</v>
      </c>
      <c r="E145" s="116">
        <f>D145*C145</f>
        <v>209343.27959999998</v>
      </c>
      <c r="F145" s="403">
        <f>F119</f>
        <v>899.26057400000002</v>
      </c>
      <c r="G145" s="17">
        <f>F145*C145</f>
        <v>215822.53776000001</v>
      </c>
      <c r="H145" s="90"/>
      <c r="I145" s="90">
        <f>G145-E145</f>
        <v>6479.2581600000267</v>
      </c>
      <c r="K145" s="78"/>
      <c r="L145" s="78"/>
      <c r="M145" s="78"/>
      <c r="N145" s="78"/>
    </row>
    <row r="146" spans="1:14" s="90" customFormat="1">
      <c r="A146" s="100"/>
      <c r="B146" s="90" t="s">
        <v>1684</v>
      </c>
      <c r="C146" s="408"/>
      <c r="D146" s="405"/>
      <c r="E146" s="409"/>
      <c r="F146" s="437"/>
      <c r="G146" s="17"/>
      <c r="K146" s="78"/>
      <c r="L146" s="78"/>
      <c r="M146" s="78"/>
      <c r="N146" s="78"/>
    </row>
    <row r="147" spans="1:14" s="90" customFormat="1">
      <c r="A147" s="100"/>
      <c r="C147" s="408"/>
      <c r="D147" s="405"/>
      <c r="E147" s="409"/>
      <c r="F147" s="437"/>
      <c r="G147" s="17"/>
      <c r="K147" s="78"/>
      <c r="L147" s="78"/>
      <c r="M147" s="78"/>
      <c r="N147" s="78"/>
    </row>
    <row r="148" spans="1:14" s="90" customFormat="1">
      <c r="A148" s="100"/>
      <c r="C148" s="408"/>
      <c r="D148" s="405"/>
      <c r="E148" s="409"/>
      <c r="F148" s="437"/>
      <c r="G148" s="17"/>
      <c r="K148" s="78"/>
      <c r="L148" s="78"/>
      <c r="M148" s="78"/>
      <c r="N148" s="78"/>
    </row>
    <row r="149" spans="1:14" s="90" customFormat="1">
      <c r="A149" s="100"/>
      <c r="C149" s="408"/>
      <c r="D149" s="405"/>
      <c r="E149" s="409"/>
      <c r="F149" s="437"/>
      <c r="G149" s="17"/>
      <c r="K149" s="78"/>
      <c r="L149" s="78"/>
      <c r="M149" s="78"/>
      <c r="N149" s="78"/>
    </row>
    <row r="150" spans="1:14" s="90" customFormat="1">
      <c r="A150" s="396">
        <v>45680</v>
      </c>
      <c r="B150" s="397" t="s">
        <v>141</v>
      </c>
      <c r="C150" s="398">
        <v>-15</v>
      </c>
      <c r="D150" s="399">
        <v>752.55561799999998</v>
      </c>
      <c r="E150" s="400">
        <f>D150*C150</f>
        <v>-11288.334269999999</v>
      </c>
      <c r="F150" s="401">
        <v>886.51320299999998</v>
      </c>
      <c r="G150" s="402">
        <f>F150*C150</f>
        <v>-13297.698044999999</v>
      </c>
      <c r="H150" s="401"/>
      <c r="I150" s="401">
        <f>E150-G150</f>
        <v>2009.3637749999998</v>
      </c>
      <c r="K150" s="78"/>
      <c r="L150" s="78"/>
      <c r="M150" s="78"/>
      <c r="N150" s="78"/>
    </row>
    <row r="151" spans="1:14" s="90" customFormat="1">
      <c r="A151" s="396">
        <v>45680</v>
      </c>
      <c r="B151" s="397" t="s">
        <v>1605</v>
      </c>
      <c r="C151" s="398"/>
      <c r="D151" s="399"/>
      <c r="E151" s="400">
        <v>150.77000000000001</v>
      </c>
      <c r="F151" s="401"/>
      <c r="G151" s="402"/>
      <c r="H151" s="401"/>
      <c r="I151" s="401">
        <f>G151-E151</f>
        <v>-150.77000000000001</v>
      </c>
      <c r="K151" s="78"/>
      <c r="L151" s="78"/>
      <c r="M151" s="78"/>
      <c r="N151" s="78"/>
    </row>
    <row r="152" spans="1:14" s="90" customFormat="1">
      <c r="K152" s="78"/>
      <c r="L152" s="78"/>
      <c r="M152" s="78"/>
      <c r="N152" s="78"/>
    </row>
    <row r="153" spans="1:14" s="90" customFormat="1">
      <c r="A153" s="428"/>
      <c r="B153" s="428"/>
      <c r="C153" s="428"/>
      <c r="D153" s="417"/>
      <c r="E153" s="417"/>
      <c r="F153" s="417"/>
      <c r="G153" s="417"/>
      <c r="H153" s="417"/>
      <c r="I153" s="479">
        <f>SUM(I150:I152)</f>
        <v>1858.5937749999998</v>
      </c>
      <c r="K153" s="78"/>
      <c r="L153" s="78"/>
      <c r="M153" s="78"/>
      <c r="N153" s="78"/>
    </row>
    <row r="154" spans="1:14" s="90" customFormat="1">
      <c r="K154" s="78"/>
      <c r="L154" s="78"/>
      <c r="M154" s="78"/>
      <c r="N154" s="78"/>
    </row>
    <row r="155" spans="1:14" s="90" customFormat="1">
      <c r="A155" s="405"/>
      <c r="B155" s="405"/>
      <c r="C155" s="405"/>
      <c r="D155" s="405"/>
      <c r="E155" s="405"/>
      <c r="F155" s="405"/>
      <c r="G155" s="405"/>
      <c r="K155" s="78"/>
      <c r="L155" s="78"/>
      <c r="M155" s="78"/>
      <c r="N155" s="78"/>
    </row>
    <row r="156" spans="1:14" s="90" customFormat="1">
      <c r="A156" s="405"/>
      <c r="B156" s="405"/>
      <c r="C156" s="405"/>
      <c r="D156" s="405"/>
      <c r="E156" s="405"/>
      <c r="F156" s="405"/>
      <c r="G156" s="405"/>
      <c r="K156" s="78"/>
      <c r="L156" s="78"/>
      <c r="M156" s="78"/>
      <c r="N156" s="78"/>
    </row>
    <row r="157" spans="1:14" s="77" customFormat="1">
      <c r="A157" s="405"/>
      <c r="B157" s="405"/>
      <c r="C157" s="405"/>
      <c r="D157" s="405"/>
      <c r="E157" s="405"/>
      <c r="F157" s="405"/>
      <c r="G157" s="405"/>
      <c r="K157" s="78"/>
      <c r="L157" s="78"/>
      <c r="M157" s="78"/>
      <c r="N157" s="78"/>
    </row>
    <row r="158" spans="1:14" s="77" customFormat="1">
      <c r="A158" s="405"/>
      <c r="B158" s="405"/>
      <c r="C158" s="405"/>
      <c r="D158" s="405"/>
      <c r="E158" s="405"/>
      <c r="F158" s="405"/>
      <c r="G158" s="405"/>
      <c r="K158" s="78"/>
      <c r="L158" s="78"/>
      <c r="M158" s="78"/>
      <c r="N158" s="78"/>
    </row>
    <row r="159" spans="1:14" s="77" customFormat="1">
      <c r="A159" s="406"/>
      <c r="B159" s="407"/>
      <c r="C159" s="408"/>
      <c r="D159" s="405"/>
      <c r="E159" s="409"/>
      <c r="F159" s="405"/>
      <c r="G159" s="409"/>
      <c r="K159" s="78"/>
      <c r="L159" s="78"/>
      <c r="M159" s="78"/>
      <c r="N159" s="78"/>
    </row>
    <row r="160" spans="1:14" s="77" customFormat="1">
      <c r="A160" s="100"/>
      <c r="K160" s="78"/>
      <c r="L160" s="78"/>
      <c r="M160" s="78"/>
      <c r="N160" s="78"/>
    </row>
    <row r="161" spans="1:12">
      <c r="B161" t="s">
        <v>157</v>
      </c>
      <c r="E161" s="77">
        <v>13006</v>
      </c>
    </row>
    <row r="162" spans="1:12">
      <c r="B162" t="s">
        <v>158</v>
      </c>
      <c r="D162" s="76">
        <v>0.1575</v>
      </c>
      <c r="E162" s="77">
        <f>E161*D162</f>
        <v>2048.4450000000002</v>
      </c>
    </row>
    <row r="163" spans="1:12">
      <c r="B163" t="s">
        <v>159</v>
      </c>
      <c r="E163" s="77">
        <f>SUM(E161:E162)</f>
        <v>15054.445</v>
      </c>
    </row>
    <row r="166" spans="1:12">
      <c r="A166" s="11"/>
      <c r="B166" s="98"/>
      <c r="C166" s="11"/>
      <c r="D166" s="11"/>
      <c r="E166" s="11"/>
      <c r="F166" s="11"/>
      <c r="G166" s="11"/>
      <c r="H166" s="11"/>
      <c r="K166" s="11"/>
      <c r="L166" s="11"/>
    </row>
    <row r="167" spans="1:12">
      <c r="A167" s="11"/>
      <c r="B167" s="98"/>
      <c r="C167" s="11"/>
      <c r="D167" s="11"/>
      <c r="E167" s="11"/>
      <c r="F167" s="11"/>
      <c r="G167" s="11"/>
      <c r="H167" s="11"/>
      <c r="I167" s="11"/>
      <c r="J167" s="11"/>
      <c r="K167" s="11"/>
      <c r="L167" s="11"/>
    </row>
    <row r="168" spans="1:12" ht="15">
      <c r="A168" s="98"/>
      <c r="B168" s="11"/>
      <c r="D168" s="382"/>
      <c r="E168" s="11"/>
      <c r="F168" s="11"/>
      <c r="G168" s="11"/>
      <c r="H168" s="11"/>
      <c r="I168" s="11"/>
      <c r="J168" s="383"/>
    </row>
    <row r="169" spans="1:12" ht="15">
      <c r="A169" s="98"/>
      <c r="B169" s="11"/>
      <c r="D169" s="382"/>
      <c r="E169" s="11"/>
      <c r="F169" s="11"/>
      <c r="G169" s="11"/>
      <c r="H169" s="11"/>
      <c r="I169" s="11"/>
      <c r="J169" s="383"/>
    </row>
    <row r="170" spans="1:12" ht="15">
      <c r="A170" s="98"/>
      <c r="B170" s="11"/>
      <c r="C170" s="11"/>
      <c r="D170" s="382"/>
      <c r="E170" s="11"/>
      <c r="F170" s="11"/>
      <c r="G170" s="11"/>
      <c r="H170" s="11"/>
      <c r="I170" s="11"/>
      <c r="J170" s="11"/>
    </row>
    <row r="171" spans="1:12">
      <c r="A171" s="98"/>
      <c r="B171" s="11"/>
      <c r="C171" s="11"/>
      <c r="D171" s="11"/>
      <c r="E171" s="11"/>
      <c r="F171" s="11"/>
      <c r="G171" s="11"/>
      <c r="H171" s="11"/>
      <c r="I171" s="11"/>
      <c r="J171" s="11"/>
    </row>
    <row r="172" spans="1:12" ht="15">
      <c r="A172" s="98"/>
      <c r="B172" s="11"/>
      <c r="C172" s="11"/>
      <c r="D172" s="382"/>
      <c r="E172" s="11"/>
      <c r="F172" s="11"/>
      <c r="G172" s="11"/>
      <c r="H172" s="11"/>
      <c r="I172" s="11"/>
      <c r="J172" s="11"/>
    </row>
    <row r="173" spans="1:12" ht="15">
      <c r="A173" s="98"/>
      <c r="B173" s="11"/>
      <c r="C173" s="11"/>
      <c r="D173" s="382"/>
      <c r="E173" s="11"/>
      <c r="F173" s="11"/>
      <c r="G173" s="11"/>
      <c r="H173" s="11"/>
      <c r="I173" s="11"/>
      <c r="J173" s="11"/>
    </row>
    <row r="174" spans="1:12">
      <c r="C174" s="77"/>
      <c r="H174"/>
      <c r="J174" s="78"/>
    </row>
    <row r="175" spans="1:12">
      <c r="C175" s="11"/>
      <c r="H175"/>
      <c r="J175" s="78"/>
    </row>
    <row r="176" spans="1:12">
      <c r="C176" s="11"/>
      <c r="H176"/>
      <c r="J176" s="78"/>
    </row>
    <row r="177" spans="3:10">
      <c r="C177" s="11"/>
      <c r="H177"/>
      <c r="J177" s="78"/>
    </row>
    <row r="178" spans="3:10">
      <c r="C178" s="77"/>
      <c r="H178"/>
      <c r="J178" s="78"/>
    </row>
    <row r="179" spans="3:10">
      <c r="C179" s="77"/>
      <c r="H179"/>
      <c r="J179" s="78"/>
    </row>
    <row r="180" spans="3:10">
      <c r="C180" s="77"/>
      <c r="H180"/>
      <c r="J180" s="78"/>
    </row>
    <row r="181" spans="3:10">
      <c r="C181" s="77"/>
      <c r="H181"/>
      <c r="J181" s="78"/>
    </row>
    <row r="182" spans="3:10">
      <c r="C182" s="77"/>
      <c r="H182"/>
      <c r="J182" s="78"/>
    </row>
    <row r="183" spans="3:10">
      <c r="C183" s="77"/>
      <c r="H183"/>
      <c r="J183" s="78"/>
    </row>
    <row r="184" spans="3:10">
      <c r="C184" s="77"/>
      <c r="H184"/>
      <c r="J184" s="78"/>
    </row>
    <row r="185" spans="3:10">
      <c r="C185" s="77"/>
      <c r="H185"/>
      <c r="J185" s="78"/>
    </row>
    <row r="186" spans="3:10">
      <c r="C186" s="77"/>
      <c r="H186"/>
      <c r="J186" s="78"/>
    </row>
    <row r="187" spans="3:10">
      <c r="C187" s="77"/>
      <c r="H187"/>
      <c r="J187" s="78"/>
    </row>
    <row r="188" spans="3:10">
      <c r="C188" s="77"/>
      <c r="H188"/>
      <c r="J188" s="78"/>
    </row>
    <row r="189" spans="3:10">
      <c r="C189" s="77"/>
      <c r="H189"/>
      <c r="J189" s="78"/>
    </row>
    <row r="190" spans="3:10">
      <c r="C190" s="77"/>
      <c r="H190"/>
      <c r="J190" s="78"/>
    </row>
    <row r="191" spans="3:10">
      <c r="C191" s="77"/>
      <c r="H191"/>
      <c r="J191" s="78"/>
    </row>
  </sheetData>
  <conditionalFormatting sqref="F125:F127">
    <cfRule type="cellIs" dxfId="7" priority="8" operator="lessThan">
      <formula>D125</formula>
    </cfRule>
  </conditionalFormatting>
  <conditionalFormatting sqref="F131:F133">
    <cfRule type="cellIs" dxfId="6" priority="9" operator="lessThan">
      <formula>D131</formula>
    </cfRule>
  </conditionalFormatting>
  <conditionalFormatting sqref="F122">
    <cfRule type="cellIs" dxfId="5" priority="10" operator="lessThan">
      <formula>D122</formula>
    </cfRule>
  </conditionalFormatting>
  <conditionalFormatting sqref="F121">
    <cfRule type="cellIs" dxfId="4" priority="11" operator="lessThan">
      <formula>D121</formula>
    </cfRule>
  </conditionalFormatting>
  <conditionalFormatting sqref="F118:F119">
    <cfRule type="cellIs" dxfId="3" priority="12" operator="lessThan">
      <formula>D118</formula>
    </cfRule>
  </conditionalFormatting>
  <conditionalFormatting sqref="I168:I169">
    <cfRule type="expression" dxfId="2" priority="4">
      <formula>H168&gt;0</formula>
    </cfRule>
  </conditionalFormatting>
  <conditionalFormatting sqref="F120">
    <cfRule type="cellIs" dxfId="1" priority="2" operator="lessThan">
      <formula>D120</formula>
    </cfRule>
  </conditionalFormatting>
  <conditionalFormatting sqref="F150:F151">
    <cfRule type="cellIs" dxfId="0" priority="1" operator="lessThan">
      <formula>D150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48"/>
  <sheetViews>
    <sheetView zoomScale="175" zoomScaleNormal="175" workbookViewId="0">
      <selection activeCell="B54" sqref="B54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s="8" t="s">
        <v>4</v>
      </c>
      <c r="F5" s="9">
        <v>1072</v>
      </c>
    </row>
    <row r="6" spans="1:6">
      <c r="A6" s="1">
        <v>45306</v>
      </c>
      <c r="B6" s="8" t="s">
        <v>160</v>
      </c>
      <c r="E6" s="2">
        <v>3450</v>
      </c>
      <c r="F6" s="2">
        <f t="shared" ref="F6:F33" si="0">F5+D6-E6</f>
        <v>-2378</v>
      </c>
    </row>
    <row r="7" spans="1:6">
      <c r="A7" s="1">
        <v>45309</v>
      </c>
      <c r="B7" s="8" t="s">
        <v>161</v>
      </c>
      <c r="D7" s="2">
        <v>899</v>
      </c>
      <c r="F7" s="2">
        <f t="shared" si="0"/>
        <v>-1479</v>
      </c>
    </row>
    <row r="8" spans="1:6">
      <c r="A8" s="1">
        <v>45309</v>
      </c>
      <c r="B8" s="8" t="s">
        <v>162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s="8" t="s">
        <v>163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s="8" t="s">
        <v>164</v>
      </c>
      <c r="C10">
        <v>713.25</v>
      </c>
      <c r="F10" s="2">
        <f t="shared" si="0"/>
        <v>614.65000000000009</v>
      </c>
    </row>
    <row r="11" spans="1:6">
      <c r="B11" s="8" t="s">
        <v>165</v>
      </c>
      <c r="D11" s="2">
        <v>1200</v>
      </c>
      <c r="F11" s="2">
        <f t="shared" si="0"/>
        <v>1814.65</v>
      </c>
    </row>
    <row r="12" spans="1:6">
      <c r="A12" s="1">
        <v>45366</v>
      </c>
      <c r="B12" s="8" t="s">
        <v>166</v>
      </c>
      <c r="D12" s="2">
        <v>4100</v>
      </c>
      <c r="F12" s="2">
        <f t="shared" si="0"/>
        <v>5914.65</v>
      </c>
    </row>
    <row r="13" spans="1:6">
      <c r="A13" s="1">
        <v>45366</v>
      </c>
      <c r="B13" s="8" t="s">
        <v>167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s="8" t="s">
        <v>168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s="8" t="s">
        <v>169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s="8" t="s">
        <v>170</v>
      </c>
      <c r="C16">
        <v>3350</v>
      </c>
      <c r="F16" s="2">
        <f t="shared" si="0"/>
        <v>-396.35000000000036</v>
      </c>
    </row>
    <row r="17" spans="1:6">
      <c r="A17" s="1">
        <v>45412</v>
      </c>
      <c r="B17" s="8" t="s">
        <v>171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s="8" t="s">
        <v>168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s="8" t="s">
        <v>172</v>
      </c>
      <c r="E19" s="2">
        <v>7680</v>
      </c>
      <c r="F19" s="2">
        <f t="shared" si="0"/>
        <v>-8570.35</v>
      </c>
    </row>
    <row r="20" spans="1:6">
      <c r="A20" s="1">
        <v>45427</v>
      </c>
      <c r="B20" s="8" t="s">
        <v>173</v>
      </c>
      <c r="F20" s="2">
        <f t="shared" si="0"/>
        <v>-8570.35</v>
      </c>
    </row>
    <row r="21" spans="1:6">
      <c r="A21" s="1">
        <v>45442</v>
      </c>
      <c r="B21" s="8" t="s">
        <v>174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175</v>
      </c>
      <c r="C22" s="3"/>
      <c r="D22" s="17"/>
      <c r="E22" s="17">
        <v>120000</v>
      </c>
      <c r="F22" s="17">
        <f t="shared" si="0"/>
        <v>-129070.35</v>
      </c>
    </row>
    <row r="23" spans="1:6">
      <c r="A23" s="1">
        <v>45442</v>
      </c>
      <c r="B23" s="3" t="s">
        <v>176</v>
      </c>
      <c r="C23" s="3"/>
      <c r="D23" s="17">
        <v>21000</v>
      </c>
      <c r="E23" s="17"/>
      <c r="F23" s="17">
        <f t="shared" si="0"/>
        <v>-108070.35</v>
      </c>
    </row>
    <row r="24" spans="1:6">
      <c r="A24" s="1">
        <v>45458</v>
      </c>
      <c r="B24" s="8" t="s">
        <v>177</v>
      </c>
      <c r="D24" s="2">
        <v>3450</v>
      </c>
      <c r="F24" s="2">
        <f t="shared" si="0"/>
        <v>-104620.35</v>
      </c>
    </row>
    <row r="25" spans="1:6">
      <c r="A25" s="1">
        <v>45458</v>
      </c>
      <c r="B25" s="8" t="s">
        <v>178</v>
      </c>
      <c r="E25" s="2">
        <v>3467</v>
      </c>
      <c r="F25" s="2">
        <f t="shared" si="0"/>
        <v>-108087.35</v>
      </c>
    </row>
    <row r="26" spans="1:6">
      <c r="A26" s="1">
        <v>45453</v>
      </c>
      <c r="B26" s="8" t="s">
        <v>179</v>
      </c>
      <c r="C26">
        <v>1500</v>
      </c>
      <c r="F26" s="2">
        <f t="shared" si="0"/>
        <v>-108087.35</v>
      </c>
    </row>
    <row r="27" spans="1:6">
      <c r="B27" s="8" t="s">
        <v>180</v>
      </c>
      <c r="C27">
        <v>1300</v>
      </c>
      <c r="F27" s="2">
        <f t="shared" si="0"/>
        <v>-108087.35</v>
      </c>
    </row>
    <row r="28" spans="1:6">
      <c r="A28" s="1">
        <v>45470</v>
      </c>
      <c r="B28" s="8" t="s">
        <v>181</v>
      </c>
      <c r="D28" s="2">
        <v>20150</v>
      </c>
      <c r="F28" s="2">
        <f t="shared" si="0"/>
        <v>-87937.35</v>
      </c>
    </row>
    <row r="29" spans="1:6">
      <c r="A29" s="1">
        <v>45473</v>
      </c>
      <c r="B29" s="8" t="s">
        <v>182</v>
      </c>
      <c r="E29" s="2">
        <v>500</v>
      </c>
      <c r="F29" s="2">
        <f t="shared" si="0"/>
        <v>-88437.35</v>
      </c>
    </row>
    <row r="30" spans="1:6">
      <c r="A30" s="1">
        <v>45487</v>
      </c>
      <c r="B30" s="8" t="s">
        <v>183</v>
      </c>
      <c r="D30" s="2">
        <v>3500</v>
      </c>
      <c r="F30" s="2">
        <f t="shared" si="0"/>
        <v>-84937.35</v>
      </c>
    </row>
    <row r="31" spans="1:6">
      <c r="A31" s="1">
        <v>45487</v>
      </c>
      <c r="B31" s="8" t="s">
        <v>184</v>
      </c>
      <c r="E31" s="2">
        <v>3465.81</v>
      </c>
      <c r="F31" s="2">
        <f t="shared" si="0"/>
        <v>-88403.16</v>
      </c>
    </row>
    <row r="32" spans="1:6">
      <c r="A32" s="1">
        <v>45503</v>
      </c>
      <c r="B32" s="8" t="s">
        <v>185</v>
      </c>
      <c r="D32" s="69"/>
      <c r="E32" s="69">
        <v>3000</v>
      </c>
      <c r="F32" s="69">
        <f t="shared" si="0"/>
        <v>-91403.16</v>
      </c>
    </row>
    <row r="33" spans="1:6">
      <c r="B33" s="3" t="s">
        <v>186</v>
      </c>
      <c r="C33" s="3"/>
      <c r="D33" s="128"/>
      <c r="E33" s="128"/>
      <c r="F33" s="128">
        <f t="shared" si="0"/>
        <v>-91403.16</v>
      </c>
    </row>
    <row r="34" spans="1:6">
      <c r="B34" s="3"/>
      <c r="C34" s="3"/>
      <c r="D34" s="128"/>
      <c r="E34" s="128"/>
      <c r="F34" s="128"/>
    </row>
    <row r="35" spans="1:6">
      <c r="B35" s="129" t="s">
        <v>187</v>
      </c>
      <c r="C35" s="130"/>
      <c r="D35" s="131">
        <v>1466500</v>
      </c>
      <c r="E35" s="132"/>
      <c r="F35" s="133">
        <f>D35-E35</f>
        <v>1466500</v>
      </c>
    </row>
    <row r="36" spans="1:6">
      <c r="B36" s="134" t="s">
        <v>188</v>
      </c>
      <c r="D36" s="2">
        <v>11631</v>
      </c>
      <c r="E36" s="69"/>
      <c r="F36" s="135">
        <f t="shared" ref="F36:F84" si="1">F35+D36-E36</f>
        <v>1478131</v>
      </c>
    </row>
    <row r="37" spans="1:6">
      <c r="B37" s="134" t="s">
        <v>189</v>
      </c>
      <c r="D37" s="2">
        <v>15500</v>
      </c>
      <c r="E37" s="69"/>
      <c r="F37" s="135">
        <f t="shared" si="1"/>
        <v>1493631</v>
      </c>
    </row>
    <row r="38" spans="1:6">
      <c r="B38" s="136" t="s">
        <v>190</v>
      </c>
      <c r="C38" s="137"/>
      <c r="D38" s="138"/>
      <c r="E38" s="139"/>
      <c r="F38" s="140">
        <f t="shared" si="1"/>
        <v>1493631</v>
      </c>
    </row>
    <row r="39" spans="1:6">
      <c r="E39" s="69"/>
      <c r="F39" s="141">
        <f t="shared" si="1"/>
        <v>1493631</v>
      </c>
    </row>
    <row r="40" spans="1:6">
      <c r="B40" s="3" t="s">
        <v>191</v>
      </c>
      <c r="C40" s="3"/>
      <c r="D40" s="17"/>
      <c r="E40" s="128">
        <f>F33*-1</f>
        <v>91403.16</v>
      </c>
      <c r="F40" s="2">
        <f t="shared" si="1"/>
        <v>1402227.84</v>
      </c>
    </row>
    <row r="41" spans="1:6">
      <c r="B41" s="8" t="s">
        <v>192</v>
      </c>
      <c r="E41" s="2">
        <v>11631</v>
      </c>
      <c r="F41" s="2">
        <f t="shared" si="1"/>
        <v>1390596.84</v>
      </c>
    </row>
    <row r="42" spans="1:6">
      <c r="B42" s="8" t="s">
        <v>193</v>
      </c>
      <c r="E42" s="2">
        <v>15500</v>
      </c>
      <c r="F42" s="2">
        <f t="shared" si="1"/>
        <v>1375096.84</v>
      </c>
    </row>
    <row r="43" spans="1:6">
      <c r="B43" s="8" t="s">
        <v>194</v>
      </c>
      <c r="D43" s="69"/>
      <c r="E43" s="2">
        <v>100000</v>
      </c>
      <c r="F43" s="2">
        <f t="shared" si="1"/>
        <v>1275096.8400000001</v>
      </c>
    </row>
    <row r="44" spans="1:6">
      <c r="B44" s="8" t="s">
        <v>195</v>
      </c>
      <c r="E44" s="2">
        <v>75000</v>
      </c>
      <c r="F44" s="2">
        <f t="shared" si="1"/>
        <v>1200096.8400000001</v>
      </c>
    </row>
    <row r="45" spans="1:6">
      <c r="B45" s="8" t="s">
        <v>196</v>
      </c>
      <c r="E45" s="2">
        <v>59783.839999999997</v>
      </c>
      <c r="F45" s="2">
        <f t="shared" si="1"/>
        <v>1140313</v>
      </c>
    </row>
    <row r="46" spans="1:6">
      <c r="B46" s="8" t="s">
        <v>197</v>
      </c>
      <c r="E46" s="2">
        <v>550000</v>
      </c>
      <c r="F46" s="2">
        <f t="shared" si="1"/>
        <v>590313</v>
      </c>
    </row>
    <row r="47" spans="1:6">
      <c r="A47" s="1">
        <v>45509</v>
      </c>
      <c r="B47" s="3" t="s">
        <v>198</v>
      </c>
      <c r="F47" s="2">
        <f t="shared" si="1"/>
        <v>590313</v>
      </c>
    </row>
    <row r="48" spans="1:6">
      <c r="B48" s="3" t="s">
        <v>199</v>
      </c>
      <c r="F48" s="2">
        <f t="shared" si="1"/>
        <v>590313</v>
      </c>
    </row>
    <row r="49" spans="1:6">
      <c r="B49" s="3" t="s">
        <v>200</v>
      </c>
      <c r="F49" s="2">
        <f t="shared" si="1"/>
        <v>590313</v>
      </c>
    </row>
    <row r="50" spans="1:6">
      <c r="B50" s="142" t="s">
        <v>201</v>
      </c>
      <c r="C50" s="142"/>
      <c r="D50" s="143"/>
      <c r="E50" s="143">
        <v>84313</v>
      </c>
      <c r="F50" s="2">
        <f t="shared" si="1"/>
        <v>506000</v>
      </c>
    </row>
    <row r="51" spans="1:6" ht="13.5" thickBot="1">
      <c r="B51" s="8" t="s">
        <v>202</v>
      </c>
      <c r="E51" s="2">
        <v>68000</v>
      </c>
      <c r="F51" s="2">
        <f t="shared" si="1"/>
        <v>438000</v>
      </c>
    </row>
    <row r="52" spans="1:6">
      <c r="B52" s="520" t="s">
        <v>1810</v>
      </c>
      <c r="C52" s="130"/>
      <c r="D52" s="131"/>
      <c r="E52" s="131"/>
      <c r="F52" s="503"/>
    </row>
    <row r="53" spans="1:6" s="11" customFormat="1">
      <c r="A53" s="10"/>
      <c r="B53" s="521" t="s">
        <v>1811</v>
      </c>
      <c r="C53" s="522"/>
      <c r="D53" s="523"/>
      <c r="E53" s="523"/>
      <c r="F53" s="135"/>
    </row>
    <row r="54" spans="1:6">
      <c r="B54" s="521" t="s">
        <v>1756</v>
      </c>
      <c r="C54" s="522"/>
      <c r="D54" s="523"/>
      <c r="E54" s="523"/>
      <c r="F54" s="135"/>
    </row>
    <row r="55" spans="1:6" s="11" customFormat="1">
      <c r="A55" s="10"/>
      <c r="B55" s="521" t="s">
        <v>1757</v>
      </c>
      <c r="C55" s="522"/>
      <c r="D55" s="523"/>
      <c r="E55" s="523"/>
      <c r="F55" s="135"/>
    </row>
    <row r="56" spans="1:6" s="11" customFormat="1">
      <c r="A56" s="10"/>
      <c r="B56" s="521" t="s">
        <v>1755</v>
      </c>
      <c r="C56" s="522"/>
      <c r="D56" s="523"/>
      <c r="E56" s="523"/>
      <c r="F56" s="135"/>
    </row>
    <row r="57" spans="1:6" s="11" customFormat="1" ht="13.5" thickBot="1">
      <c r="A57" s="10"/>
      <c r="B57" s="528"/>
      <c r="C57" s="522">
        <v>2637</v>
      </c>
      <c r="D57" s="521" t="s">
        <v>1758</v>
      </c>
      <c r="E57" s="523"/>
      <c r="F57" s="135"/>
    </row>
    <row r="58" spans="1:6" s="11" customFormat="1" ht="13.5" thickBot="1">
      <c r="A58" s="533"/>
      <c r="B58" s="534" t="s">
        <v>1759</v>
      </c>
      <c r="C58" s="535">
        <f>F59/C57</f>
        <v>166.09783845278727</v>
      </c>
      <c r="D58" s="534" t="s">
        <v>233</v>
      </c>
      <c r="E58" s="536"/>
      <c r="F58" s="537"/>
    </row>
    <row r="59" spans="1:6" s="11" customFormat="1">
      <c r="A59" s="10"/>
      <c r="D59" s="12"/>
      <c r="E59" s="12"/>
      <c r="F59" s="12">
        <f>F51+D59-E59</f>
        <v>438000</v>
      </c>
    </row>
    <row r="60" spans="1:6">
      <c r="A60" s="1">
        <v>45519</v>
      </c>
      <c r="B60" s="8" t="s">
        <v>203</v>
      </c>
      <c r="C60" s="8" t="s">
        <v>120</v>
      </c>
      <c r="E60" s="2">
        <v>30000</v>
      </c>
      <c r="F60" s="12">
        <f t="shared" si="1"/>
        <v>408000</v>
      </c>
    </row>
    <row r="61" spans="1:6">
      <c r="B61" s="8" t="s">
        <v>204</v>
      </c>
      <c r="D61" s="2">
        <v>200</v>
      </c>
      <c r="F61" s="12">
        <f t="shared" si="1"/>
        <v>408200</v>
      </c>
    </row>
    <row r="62" spans="1:6">
      <c r="A62" s="233"/>
      <c r="B62" s="92" t="s">
        <v>205</v>
      </c>
      <c r="C62" s="92"/>
      <c r="D62" s="17"/>
      <c r="E62" s="17">
        <v>1100</v>
      </c>
      <c r="F62" s="17">
        <f t="shared" si="1"/>
        <v>407100</v>
      </c>
    </row>
    <row r="63" spans="1:6">
      <c r="A63" s="144">
        <v>45536</v>
      </c>
      <c r="B63" s="145" t="s">
        <v>206</v>
      </c>
      <c r="C63" s="145" t="s">
        <v>120</v>
      </c>
      <c r="D63" s="146"/>
      <c r="E63" s="146">
        <v>5600</v>
      </c>
      <c r="F63" s="146">
        <f t="shared" si="1"/>
        <v>401500</v>
      </c>
    </row>
    <row r="64" spans="1:6" s="11" customFormat="1">
      <c r="A64" s="529"/>
      <c r="B64" s="530" t="s">
        <v>1769</v>
      </c>
      <c r="C64" s="531">
        <f>36500/2626</f>
        <v>13.8994668697639</v>
      </c>
      <c r="D64" s="532" t="s">
        <v>233</v>
      </c>
      <c r="E64" s="532"/>
      <c r="F64" s="532"/>
    </row>
    <row r="65" spans="1:6">
      <c r="A65" s="144">
        <v>45550</v>
      </c>
      <c r="B65" s="145" t="s">
        <v>207</v>
      </c>
      <c r="C65" s="145" t="s">
        <v>120</v>
      </c>
      <c r="D65" s="146"/>
      <c r="E65" s="146">
        <v>30000</v>
      </c>
      <c r="F65" s="146">
        <f>F63+D65-E65</f>
        <v>371500</v>
      </c>
    </row>
    <row r="66" spans="1:6">
      <c r="A66" s="483">
        <v>45565</v>
      </c>
      <c r="B66" s="484" t="s">
        <v>208</v>
      </c>
      <c r="C66" s="484" t="s">
        <v>209</v>
      </c>
      <c r="D66" s="128"/>
      <c r="E66" s="128">
        <v>6000</v>
      </c>
      <c r="F66" s="128">
        <f t="shared" si="1"/>
        <v>365500</v>
      </c>
    </row>
    <row r="67" spans="1:6" s="11" customFormat="1">
      <c r="A67" s="529"/>
      <c r="B67" s="530" t="s">
        <v>1770</v>
      </c>
      <c r="C67" s="531">
        <f>36000/2801</f>
        <v>12.85255265976437</v>
      </c>
      <c r="D67" s="532" t="s">
        <v>233</v>
      </c>
      <c r="E67" s="532"/>
      <c r="F67" s="532"/>
    </row>
    <row r="68" spans="1:6">
      <c r="A68" s="144">
        <v>45580</v>
      </c>
      <c r="B68" s="145" t="s">
        <v>210</v>
      </c>
      <c r="C68" s="145" t="s">
        <v>120</v>
      </c>
      <c r="D68" s="146"/>
      <c r="E68" s="146">
        <v>30000</v>
      </c>
      <c r="F68" s="146">
        <f>F66+D68-E68</f>
        <v>335500</v>
      </c>
    </row>
    <row r="69" spans="1:6">
      <c r="A69" s="483">
        <v>45595</v>
      </c>
      <c r="B69" s="484" t="s">
        <v>211</v>
      </c>
      <c r="C69" s="484" t="s">
        <v>209</v>
      </c>
      <c r="D69" s="128"/>
      <c r="E69" s="128">
        <v>6000</v>
      </c>
      <c r="F69" s="128">
        <f t="shared" si="1"/>
        <v>329500</v>
      </c>
    </row>
    <row r="70" spans="1:6" s="11" customFormat="1">
      <c r="A70" s="529"/>
      <c r="B70" s="530" t="s">
        <v>1771</v>
      </c>
      <c r="C70" s="531">
        <f>36000/2905</f>
        <v>12.392426850258175</v>
      </c>
      <c r="D70" s="532" t="s">
        <v>233</v>
      </c>
      <c r="E70" s="532"/>
      <c r="F70" s="532"/>
    </row>
    <row r="71" spans="1:6">
      <c r="A71" s="486">
        <v>45611</v>
      </c>
      <c r="B71" s="8" t="s">
        <v>212</v>
      </c>
      <c r="C71" s="67" t="s">
        <v>213</v>
      </c>
      <c r="D71" s="487"/>
      <c r="E71" s="487">
        <v>35800</v>
      </c>
      <c r="F71" s="487">
        <f>F69+D71-E71</f>
        <v>293700</v>
      </c>
    </row>
    <row r="72" spans="1:6">
      <c r="A72" s="486"/>
      <c r="B72" s="8" t="s">
        <v>214</v>
      </c>
      <c r="C72" s="67"/>
      <c r="D72" s="487">
        <v>630</v>
      </c>
      <c r="E72" s="487"/>
      <c r="F72" s="487">
        <f t="shared" si="1"/>
        <v>294330</v>
      </c>
    </row>
    <row r="73" spans="1:6" s="11" customFormat="1">
      <c r="A73" s="485"/>
      <c r="B73" s="92" t="s">
        <v>1590</v>
      </c>
      <c r="C73" s="484"/>
      <c r="D73" s="17">
        <v>1000</v>
      </c>
      <c r="E73" s="17"/>
      <c r="F73" s="17">
        <f t="shared" si="1"/>
        <v>295330</v>
      </c>
    </row>
    <row r="74" spans="1:6" s="11" customFormat="1">
      <c r="A74" s="529"/>
      <c r="B74" s="530" t="s">
        <v>1772</v>
      </c>
      <c r="C74" s="531">
        <f>35800/2898</f>
        <v>12.353347135955831</v>
      </c>
      <c r="D74" s="532" t="s">
        <v>233</v>
      </c>
      <c r="E74" s="532"/>
      <c r="F74" s="532"/>
    </row>
    <row r="75" spans="1:6">
      <c r="A75" s="147">
        <v>45641</v>
      </c>
      <c r="B75" s="82" t="s">
        <v>215</v>
      </c>
      <c r="C75" s="82" t="s">
        <v>216</v>
      </c>
      <c r="D75" s="114"/>
      <c r="E75" s="114">
        <v>38000</v>
      </c>
      <c r="F75" s="389">
        <f>F73+D75-E75</f>
        <v>257330</v>
      </c>
    </row>
    <row r="76" spans="1:6" s="11" customFormat="1">
      <c r="A76" s="529"/>
      <c r="B76" s="530" t="s">
        <v>1773</v>
      </c>
      <c r="C76" s="531">
        <f>38000/2970</f>
        <v>12.794612794612794</v>
      </c>
      <c r="D76" s="532" t="s">
        <v>233</v>
      </c>
      <c r="E76" s="532"/>
      <c r="F76" s="532"/>
    </row>
    <row r="77" spans="1:6">
      <c r="A77" s="1">
        <v>45672</v>
      </c>
      <c r="B77" s="8" t="s">
        <v>7</v>
      </c>
      <c r="C77" s="8" t="s">
        <v>6</v>
      </c>
      <c r="E77" s="2">
        <v>36500</v>
      </c>
      <c r="F77" s="2">
        <f>F75+D77-E77</f>
        <v>220830</v>
      </c>
    </row>
    <row r="78" spans="1:6">
      <c r="A78" s="1">
        <v>45703</v>
      </c>
      <c r="B78" s="8" t="s">
        <v>8</v>
      </c>
      <c r="C78" s="8" t="s">
        <v>6</v>
      </c>
      <c r="E78" s="2">
        <v>36500</v>
      </c>
      <c r="F78" s="2">
        <f t="shared" si="1"/>
        <v>184330</v>
      </c>
    </row>
    <row r="79" spans="1:6">
      <c r="A79" s="1">
        <v>45731</v>
      </c>
      <c r="B79" s="8" t="s">
        <v>9</v>
      </c>
      <c r="C79" s="8" t="s">
        <v>6</v>
      </c>
      <c r="E79" s="2">
        <v>36500</v>
      </c>
      <c r="F79" s="2">
        <f t="shared" si="1"/>
        <v>147830</v>
      </c>
    </row>
    <row r="80" spans="1:6">
      <c r="A80" s="1">
        <v>45762</v>
      </c>
      <c r="B80" s="8" t="s">
        <v>10</v>
      </c>
      <c r="C80" s="8" t="s">
        <v>6</v>
      </c>
      <c r="E80" s="2">
        <v>36500</v>
      </c>
      <c r="F80" s="2">
        <f t="shared" si="1"/>
        <v>111330</v>
      </c>
    </row>
    <row r="81" spans="1:6">
      <c r="A81" s="1">
        <v>45792</v>
      </c>
      <c r="B81" s="8" t="s">
        <v>11</v>
      </c>
      <c r="C81" s="8" t="s">
        <v>6</v>
      </c>
      <c r="E81" s="2">
        <v>36500</v>
      </c>
      <c r="F81" s="2">
        <f t="shared" si="1"/>
        <v>74830</v>
      </c>
    </row>
    <row r="82" spans="1:6">
      <c r="A82" s="1">
        <v>45823</v>
      </c>
      <c r="B82" s="8" t="s">
        <v>12</v>
      </c>
      <c r="C82" s="8" t="s">
        <v>6</v>
      </c>
      <c r="E82" s="2">
        <v>36500</v>
      </c>
      <c r="F82" s="2">
        <f t="shared" si="1"/>
        <v>38330</v>
      </c>
    </row>
    <row r="83" spans="1:6">
      <c r="A83" s="1">
        <v>45853</v>
      </c>
      <c r="B83" s="8" t="s">
        <v>13</v>
      </c>
      <c r="C83" s="8" t="s">
        <v>6</v>
      </c>
      <c r="E83" s="2">
        <v>36500</v>
      </c>
      <c r="F83" s="2">
        <f t="shared" si="1"/>
        <v>1830</v>
      </c>
    </row>
    <row r="84" spans="1:6">
      <c r="E84" s="13"/>
      <c r="F84" s="14">
        <f t="shared" si="1"/>
        <v>1830</v>
      </c>
    </row>
    <row r="85" spans="1:6">
      <c r="E85" s="15"/>
      <c r="F85" s="16" t="s">
        <v>14</v>
      </c>
    </row>
    <row r="91" spans="1:6">
      <c r="B91" s="8" t="s">
        <v>217</v>
      </c>
      <c r="D91" s="2">
        <v>1466500</v>
      </c>
      <c r="F91" s="2">
        <f t="shared" ref="F91:F96" si="2">F90+D91-E91</f>
        <v>1466500</v>
      </c>
    </row>
    <row r="92" spans="1:6">
      <c r="B92" s="8" t="s">
        <v>192</v>
      </c>
      <c r="D92" s="2">
        <v>11631</v>
      </c>
      <c r="F92" s="2">
        <f t="shared" si="2"/>
        <v>1478131</v>
      </c>
    </row>
    <row r="93" spans="1:6">
      <c r="B93" s="8" t="s">
        <v>218</v>
      </c>
      <c r="D93" s="2">
        <v>15500</v>
      </c>
      <c r="F93" s="2">
        <f t="shared" si="2"/>
        <v>1493631</v>
      </c>
    </row>
    <row r="94" spans="1:6">
      <c r="F94" s="2">
        <f t="shared" si="2"/>
        <v>1493631</v>
      </c>
    </row>
    <row r="95" spans="1:6">
      <c r="F95" s="2">
        <f t="shared" si="2"/>
        <v>1493631</v>
      </c>
    </row>
    <row r="96" spans="1:6">
      <c r="B96" s="3" t="s">
        <v>219</v>
      </c>
      <c r="C96" s="3"/>
      <c r="D96" s="17"/>
      <c r="E96" s="17"/>
      <c r="F96" s="17">
        <f t="shared" si="2"/>
        <v>1493631</v>
      </c>
    </row>
    <row r="98" spans="1:6">
      <c r="B98" s="148" t="s">
        <v>220</v>
      </c>
      <c r="C98" s="148" t="s">
        <v>221</v>
      </c>
      <c r="D98" s="149"/>
      <c r="E98" s="150" t="s">
        <v>222</v>
      </c>
      <c r="F98" s="150" t="s">
        <v>223</v>
      </c>
    </row>
    <row r="99" spans="1:6">
      <c r="F99" s="128">
        <f>F96+D99-E99</f>
        <v>1493631</v>
      </c>
    </row>
    <row r="100" spans="1:6">
      <c r="F100" s="2">
        <f t="shared" ref="F100:F106" si="3">F99-E100</f>
        <v>1493631</v>
      </c>
    </row>
    <row r="101" spans="1:6">
      <c r="B101" s="8" t="s">
        <v>224</v>
      </c>
      <c r="C101" s="8" t="s">
        <v>225</v>
      </c>
      <c r="E101" s="2">
        <f>E44+E45</f>
        <v>134783.84</v>
      </c>
      <c r="F101" s="2">
        <f t="shared" si="3"/>
        <v>1358847.16</v>
      </c>
    </row>
    <row r="102" spans="1:6">
      <c r="F102" s="2">
        <f t="shared" si="3"/>
        <v>1358847.16</v>
      </c>
    </row>
    <row r="103" spans="1:6">
      <c r="B103" s="8" t="s">
        <v>226</v>
      </c>
      <c r="C103" s="8" t="s">
        <v>227</v>
      </c>
      <c r="E103" s="2">
        <v>100000</v>
      </c>
      <c r="F103" s="2">
        <f t="shared" si="3"/>
        <v>1258847.1599999999</v>
      </c>
    </row>
    <row r="104" spans="1:6">
      <c r="F104" s="2">
        <f t="shared" si="3"/>
        <v>1258847.1599999999</v>
      </c>
    </row>
    <row r="105" spans="1:6">
      <c r="B105" s="8" t="s">
        <v>188</v>
      </c>
      <c r="C105" s="8" t="s">
        <v>228</v>
      </c>
      <c r="E105" s="2">
        <v>11631</v>
      </c>
      <c r="F105" s="2">
        <f t="shared" si="3"/>
        <v>1247216.1599999999</v>
      </c>
    </row>
    <row r="106" spans="1:6">
      <c r="B106" s="8" t="s">
        <v>189</v>
      </c>
      <c r="C106" s="8" t="s">
        <v>228</v>
      </c>
      <c r="E106" s="2">
        <v>15500</v>
      </c>
      <c r="F106" s="17">
        <f t="shared" si="3"/>
        <v>1231716.1599999999</v>
      </c>
    </row>
    <row r="107" spans="1:6" s="11" customFormat="1" ht="13.5" thickBot="1">
      <c r="A107" s="10"/>
      <c r="B107" s="8" t="s">
        <v>1762</v>
      </c>
      <c r="C107" s="8"/>
      <c r="D107" s="2"/>
      <c r="E107" s="2">
        <f>F33*-1</f>
        <v>91403.16</v>
      </c>
      <c r="F107" s="17">
        <f>F106-E107</f>
        <v>1140313</v>
      </c>
    </row>
    <row r="108" spans="1:6" ht="13.5" thickBot="1">
      <c r="B108" s="121"/>
      <c r="C108" s="151"/>
      <c r="D108" s="152" t="s">
        <v>229</v>
      </c>
      <c r="E108" s="141">
        <f>SUM(E101:E107)</f>
        <v>353318</v>
      </c>
    </row>
    <row r="110" spans="1:6" s="11" customFormat="1">
      <c r="A110" s="10"/>
      <c r="D110" s="12"/>
      <c r="E110" s="12"/>
      <c r="F110" s="17">
        <f>F107</f>
        <v>1140313</v>
      </c>
    </row>
    <row r="111" spans="1:6" s="11" customFormat="1">
      <c r="A111" s="10"/>
      <c r="B111" s="8" t="s">
        <v>1761</v>
      </c>
      <c r="C111" s="8" t="s">
        <v>1763</v>
      </c>
      <c r="D111" s="2"/>
      <c r="E111" s="2">
        <v>550000</v>
      </c>
      <c r="F111" s="17">
        <f>F110-E111</f>
        <v>590313</v>
      </c>
    </row>
    <row r="112" spans="1:6" s="11" customFormat="1">
      <c r="A112" s="10"/>
      <c r="D112" s="12"/>
      <c r="E112" s="12"/>
      <c r="F112" s="17">
        <f t="shared" ref="F112:F116" si="4">F111-E112</f>
        <v>590313</v>
      </c>
    </row>
    <row r="113" spans="1:6" s="11" customFormat="1">
      <c r="A113" s="10"/>
      <c r="D113" s="12"/>
      <c r="E113" s="12"/>
      <c r="F113" s="17">
        <f t="shared" si="4"/>
        <v>590313</v>
      </c>
    </row>
    <row r="114" spans="1:6" s="11" customFormat="1">
      <c r="A114" s="10"/>
      <c r="B114" s="8" t="s">
        <v>231</v>
      </c>
      <c r="C114" s="8" t="s">
        <v>1760</v>
      </c>
      <c r="D114" s="2"/>
      <c r="E114" s="2">
        <v>438000</v>
      </c>
      <c r="F114" s="17">
        <f>F113-E114</f>
        <v>152313</v>
      </c>
    </row>
    <row r="115" spans="1:6" s="11" customFormat="1">
      <c r="A115" s="10"/>
      <c r="B115" s="8"/>
      <c r="C115" s="8"/>
      <c r="D115" s="12"/>
      <c r="E115" s="12"/>
      <c r="F115" s="17">
        <f t="shared" si="4"/>
        <v>152313</v>
      </c>
    </row>
    <row r="116" spans="1:6">
      <c r="F116" s="17">
        <f t="shared" si="4"/>
        <v>152313</v>
      </c>
    </row>
    <row r="117" spans="1:6" ht="13.5" thickBot="1">
      <c r="B117" s="8" t="s">
        <v>1765</v>
      </c>
      <c r="C117" s="8" t="s">
        <v>230</v>
      </c>
      <c r="E117" s="2">
        <v>84313</v>
      </c>
      <c r="F117" s="17">
        <f>F116-E117</f>
        <v>68000</v>
      </c>
    </row>
    <row r="118" spans="1:6">
      <c r="B118" s="129" t="s">
        <v>1764</v>
      </c>
      <c r="C118" s="524" t="s">
        <v>230</v>
      </c>
      <c r="E118" s="2">
        <v>68000</v>
      </c>
      <c r="F118" s="17">
        <f>F117-E118</f>
        <v>0</v>
      </c>
    </row>
    <row r="119" spans="1:6">
      <c r="B119" s="134" t="s">
        <v>1766</v>
      </c>
      <c r="C119" s="525"/>
    </row>
    <row r="120" spans="1:6">
      <c r="B120" s="134" t="s">
        <v>1767</v>
      </c>
      <c r="C120" s="525"/>
    </row>
    <row r="121" spans="1:6" ht="13.5" thickBot="1">
      <c r="B121" s="526" t="s">
        <v>1768</v>
      </c>
      <c r="C121" s="527"/>
    </row>
    <row r="122" spans="1:6" ht="13.5" thickBot="1">
      <c r="B122" s="121"/>
      <c r="C122" s="151"/>
      <c r="D122" s="152" t="s">
        <v>232</v>
      </c>
      <c r="E122" s="141">
        <f>SUM(E117:E121)</f>
        <v>152313</v>
      </c>
    </row>
    <row r="139" spans="2:6">
      <c r="B139" s="8" t="s">
        <v>15</v>
      </c>
    </row>
    <row r="141" spans="2:6">
      <c r="F141" s="2">
        <f t="shared" ref="F141:F146" si="5">F140+D141-E141</f>
        <v>0</v>
      </c>
    </row>
    <row r="142" spans="2:6">
      <c r="B142" s="8" t="s">
        <v>16</v>
      </c>
      <c r="D142" s="2">
        <v>50000</v>
      </c>
      <c r="F142" s="2">
        <f t="shared" si="5"/>
        <v>50000</v>
      </c>
    </row>
    <row r="143" spans="2:6">
      <c r="B143" s="8" t="s">
        <v>17</v>
      </c>
      <c r="D143" s="2">
        <v>140000</v>
      </c>
      <c r="F143" s="2">
        <f t="shared" si="5"/>
        <v>190000</v>
      </c>
    </row>
    <row r="144" spans="2:6">
      <c r="B144" s="8" t="s">
        <v>18</v>
      </c>
      <c r="D144" s="2">
        <v>195000</v>
      </c>
      <c r="F144" s="2">
        <f t="shared" si="5"/>
        <v>385000</v>
      </c>
    </row>
    <row r="145" spans="2:6">
      <c r="B145" s="8" t="s">
        <v>19</v>
      </c>
      <c r="E145" s="2">
        <v>310000</v>
      </c>
      <c r="F145" s="2">
        <f t="shared" si="5"/>
        <v>75000</v>
      </c>
    </row>
    <row r="146" spans="2:6">
      <c r="B146" s="3" t="s">
        <v>20</v>
      </c>
      <c r="C146" s="3"/>
      <c r="D146" s="17"/>
      <c r="E146" s="17"/>
      <c r="F146" s="17">
        <f t="shared" si="5"/>
        <v>75000</v>
      </c>
    </row>
    <row r="147" spans="2:6">
      <c r="B147" s="3" t="s">
        <v>21</v>
      </c>
      <c r="C147" s="3"/>
      <c r="D147" s="17">
        <f>E101-F145</f>
        <v>59783.839999999997</v>
      </c>
      <c r="F147" s="2">
        <f>F145+D147-E147</f>
        <v>134783.84</v>
      </c>
    </row>
    <row r="148" spans="2:6">
      <c r="E148" s="18" t="s">
        <v>22</v>
      </c>
      <c r="F148" s="17">
        <f>F147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J82"/>
  <sheetViews>
    <sheetView topLeftCell="A79" zoomScale="170" zoomScaleNormal="170" workbookViewId="0">
      <selection activeCell="G30" sqref="G30"/>
    </sheetView>
  </sheetViews>
  <sheetFormatPr defaultColWidth="8.7109375" defaultRowHeight="12.75"/>
  <cols>
    <col min="3" max="3" width="35.42578125" customWidth="1"/>
    <col min="6" max="6" width="13" customWidth="1"/>
    <col min="7" max="7" width="13.140625" customWidth="1"/>
    <col min="8" max="8" width="12.140625" customWidth="1"/>
    <col min="10" max="10" width="12.28515625" customWidth="1"/>
  </cols>
  <sheetData>
    <row r="2" spans="1:8">
      <c r="E2" t="s">
        <v>233</v>
      </c>
      <c r="F2">
        <v>2513</v>
      </c>
    </row>
    <row r="3" spans="1:8">
      <c r="E3" t="s">
        <v>234</v>
      </c>
      <c r="F3">
        <v>4100</v>
      </c>
    </row>
    <row r="4" spans="1:8">
      <c r="E4" t="s">
        <v>235</v>
      </c>
      <c r="F4">
        <v>26.15</v>
      </c>
    </row>
    <row r="5" spans="1:8">
      <c r="E5" t="s">
        <v>236</v>
      </c>
    </row>
    <row r="7" spans="1:8">
      <c r="D7" s="153" t="s">
        <v>237</v>
      </c>
      <c r="E7" s="153" t="s">
        <v>238</v>
      </c>
      <c r="F7" s="153" t="s">
        <v>239</v>
      </c>
      <c r="G7" s="153"/>
      <c r="H7" s="153" t="s">
        <v>240</v>
      </c>
    </row>
    <row r="8" spans="1:8">
      <c r="A8" t="s">
        <v>241</v>
      </c>
      <c r="B8" s="1">
        <v>44562</v>
      </c>
      <c r="C8" s="8" t="s">
        <v>242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243</v>
      </c>
      <c r="B9" s="1">
        <v>44562</v>
      </c>
      <c r="C9" s="8" t="s">
        <v>244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s="8" t="s">
        <v>245</v>
      </c>
      <c r="D11">
        <v>779</v>
      </c>
      <c r="E11" s="154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246</v>
      </c>
      <c r="B14" s="1">
        <v>45509</v>
      </c>
      <c r="C14" s="8" t="s">
        <v>247</v>
      </c>
      <c r="D14">
        <v>13</v>
      </c>
      <c r="E14" s="8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s="8" t="s">
        <v>248</v>
      </c>
      <c r="D15">
        <v>6</v>
      </c>
      <c r="E15" s="8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s="8" t="s">
        <v>249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s="8" t="s">
        <v>250</v>
      </c>
      <c r="D17">
        <v>1</v>
      </c>
      <c r="E17" s="8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s="8" t="s">
        <v>251</v>
      </c>
      <c r="D18">
        <v>10</v>
      </c>
      <c r="E18" s="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228</v>
      </c>
      <c r="B20" s="1">
        <v>45509</v>
      </c>
      <c r="C20" s="8" t="s">
        <v>252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s="8" t="s">
        <v>253</v>
      </c>
      <c r="D21">
        <v>5</v>
      </c>
      <c r="E21" s="8">
        <f>$F$2</f>
        <v>2513</v>
      </c>
      <c r="F21" s="2">
        <f t="shared" si="0"/>
        <v>12565</v>
      </c>
      <c r="G21" s="2"/>
      <c r="H21" s="2"/>
    </row>
    <row r="22" spans="1:9">
      <c r="B22" s="1"/>
      <c r="C22" s="8" t="s">
        <v>254</v>
      </c>
      <c r="D22">
        <v>32</v>
      </c>
      <c r="E22" s="154">
        <f>$F$2</f>
        <v>2513</v>
      </c>
      <c r="F22" s="2">
        <f t="shared" si="0"/>
        <v>80416</v>
      </c>
      <c r="G22" s="2"/>
      <c r="H22" s="2">
        <f>H20+F22</f>
        <v>831390.79823399999</v>
      </c>
      <c r="I22" s="8" t="s">
        <v>255</v>
      </c>
    </row>
    <row r="23" spans="1:9">
      <c r="B23" s="1"/>
      <c r="C23" s="8" t="s">
        <v>256</v>
      </c>
      <c r="D23">
        <v>93</v>
      </c>
      <c r="E23" s="154">
        <f>$F$2</f>
        <v>2513</v>
      </c>
      <c r="F23" s="2">
        <f t="shared" si="0"/>
        <v>233709</v>
      </c>
      <c r="G23" s="2"/>
      <c r="H23" s="2">
        <f>H22+F23</f>
        <v>1065099.7982339999</v>
      </c>
      <c r="I23" s="8" t="s">
        <v>255</v>
      </c>
    </row>
    <row r="24" spans="1:9">
      <c r="B24" s="1"/>
      <c r="C24" s="8" t="s">
        <v>257</v>
      </c>
      <c r="D24">
        <v>850</v>
      </c>
      <c r="E24">
        <v>31</v>
      </c>
      <c r="F24" s="2">
        <f t="shared" si="0"/>
        <v>26350</v>
      </c>
      <c r="G24" s="2"/>
      <c r="H24" s="2"/>
      <c r="I24" s="8" t="s">
        <v>255</v>
      </c>
    </row>
    <row r="25" spans="1:9">
      <c r="B25" s="1"/>
      <c r="C25" s="8" t="s">
        <v>258</v>
      </c>
      <c r="D25">
        <v>7500</v>
      </c>
      <c r="E25" s="154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s="8" t="s">
        <v>255</v>
      </c>
    </row>
    <row r="26" spans="1:9">
      <c r="B26" s="1"/>
      <c r="H26" s="2"/>
    </row>
    <row r="27" spans="1:9">
      <c r="A27" t="s">
        <v>77</v>
      </c>
      <c r="B27" t="s">
        <v>259</v>
      </c>
      <c r="C27" t="s">
        <v>235</v>
      </c>
      <c r="D27">
        <v>471</v>
      </c>
      <c r="E27" s="154">
        <f>$F$4</f>
        <v>26.15</v>
      </c>
      <c r="F27" s="2">
        <f>E27*D27</f>
        <v>12316.65</v>
      </c>
      <c r="H27" s="2">
        <f>H25+F27</f>
        <v>1273541.4482339998</v>
      </c>
      <c r="I27" s="8" t="s">
        <v>260</v>
      </c>
    </row>
    <row r="28" spans="1:9">
      <c r="C28" t="s">
        <v>261</v>
      </c>
      <c r="D28">
        <v>31</v>
      </c>
      <c r="E28" s="154">
        <v>709</v>
      </c>
      <c r="F28" s="2">
        <f>E28*D28</f>
        <v>21979</v>
      </c>
      <c r="H28" s="2">
        <f>H27+F28</f>
        <v>1295520.4482339998</v>
      </c>
      <c r="I28" s="8" t="s">
        <v>262</v>
      </c>
    </row>
    <row r="29" spans="1:9">
      <c r="B29" t="s">
        <v>259</v>
      </c>
      <c r="C29" t="s">
        <v>263</v>
      </c>
      <c r="D29">
        <v>30</v>
      </c>
      <c r="E29" s="154">
        <v>722</v>
      </c>
      <c r="F29" s="2">
        <f>E29*D29</f>
        <v>21660</v>
      </c>
      <c r="H29" s="2">
        <f>H28+F29</f>
        <v>1317180.4482339998</v>
      </c>
      <c r="I29" s="8" t="s">
        <v>260</v>
      </c>
    </row>
    <row r="30" spans="1:9">
      <c r="C30" t="s">
        <v>264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s="8" t="s">
        <v>265</v>
      </c>
    </row>
    <row r="31" spans="1:9">
      <c r="B31" t="s">
        <v>259</v>
      </c>
      <c r="C31" t="s">
        <v>266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227</v>
      </c>
      <c r="C33" t="s">
        <v>153</v>
      </c>
      <c r="F33" s="155">
        <v>100000</v>
      </c>
      <c r="G33" s="155">
        <f>F33</f>
        <v>100000</v>
      </c>
      <c r="H33" s="2">
        <f>H32+F33</f>
        <v>1420308.4482339998</v>
      </c>
      <c r="I33" s="8" t="s">
        <v>267</v>
      </c>
    </row>
    <row r="34" spans="1:10">
      <c r="A34" t="s">
        <v>268</v>
      </c>
      <c r="C34" t="s">
        <v>153</v>
      </c>
      <c r="F34" s="155">
        <v>68000</v>
      </c>
      <c r="G34" s="155">
        <v>68000</v>
      </c>
      <c r="H34" s="2">
        <f>H33+F34</f>
        <v>1488308.4482339998</v>
      </c>
      <c r="I34" s="8" t="s">
        <v>267</v>
      </c>
    </row>
    <row r="42" spans="1:10">
      <c r="G42" t="s">
        <v>269</v>
      </c>
      <c r="J42" t="s">
        <v>270</v>
      </c>
    </row>
    <row r="43" spans="1:10">
      <c r="J43">
        <v>1500000</v>
      </c>
    </row>
    <row r="44" spans="1:10">
      <c r="C44" t="s">
        <v>271</v>
      </c>
      <c r="F44" s="155">
        <v>22058</v>
      </c>
      <c r="H44" s="2">
        <f t="shared" ref="H44:H50" si="1">H43+F44-G44</f>
        <v>22058</v>
      </c>
    </row>
    <row r="45" spans="1:10">
      <c r="A45" t="s">
        <v>77</v>
      </c>
      <c r="C45" t="s">
        <v>272</v>
      </c>
      <c r="F45" s="155">
        <v>155000</v>
      </c>
      <c r="H45" s="2">
        <f t="shared" si="1"/>
        <v>177058</v>
      </c>
    </row>
    <row r="46" spans="1:10">
      <c r="C46" t="s">
        <v>273</v>
      </c>
      <c r="F46" s="155"/>
      <c r="G46" s="156">
        <v>50000</v>
      </c>
      <c r="H46" s="2">
        <f t="shared" si="1"/>
        <v>127058</v>
      </c>
      <c r="I46" s="8" t="s">
        <v>120</v>
      </c>
      <c r="J46" s="8">
        <f>J43-G46</f>
        <v>1450000</v>
      </c>
    </row>
    <row r="47" spans="1:10">
      <c r="C47" t="s">
        <v>274</v>
      </c>
      <c r="F47" s="155">
        <v>722</v>
      </c>
      <c r="H47" s="2">
        <f t="shared" si="1"/>
        <v>127780</v>
      </c>
      <c r="I47" s="8" t="s">
        <v>275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276</v>
      </c>
      <c r="F50" s="155">
        <v>12290</v>
      </c>
      <c r="G50" s="2"/>
      <c r="H50" s="17">
        <f t="shared" si="1"/>
        <v>140070</v>
      </c>
      <c r="I50" s="157" t="s">
        <v>267</v>
      </c>
      <c r="J50" s="3">
        <f>J46-G50</f>
        <v>1450000</v>
      </c>
    </row>
    <row r="51" spans="2:10">
      <c r="J51" s="17">
        <f>J50-H50</f>
        <v>1309930</v>
      </c>
    </row>
    <row r="55" spans="2:10">
      <c r="B55" s="1">
        <v>45509</v>
      </c>
      <c r="C55" s="8" t="s">
        <v>277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s="8" t="s">
        <v>275</v>
      </c>
    </row>
    <row r="56" spans="2:10">
      <c r="H56" s="2">
        <f t="shared" si="2"/>
        <v>554317.39240000001</v>
      </c>
    </row>
    <row r="57" spans="2:10">
      <c r="C57" t="s">
        <v>233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57" t="s">
        <v>267</v>
      </c>
    </row>
    <row r="58" spans="2:10">
      <c r="C58" t="s">
        <v>278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57" t="s">
        <v>267</v>
      </c>
    </row>
    <row r="59" spans="2:10">
      <c r="F59" s="2"/>
      <c r="H59" s="2">
        <f t="shared" si="2"/>
        <v>948067.39240000001</v>
      </c>
      <c r="I59" s="157"/>
    </row>
    <row r="60" spans="2:10">
      <c r="C60" t="s">
        <v>279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57" t="s">
        <v>267</v>
      </c>
    </row>
    <row r="61" spans="2:10">
      <c r="C61" t="s">
        <v>280</v>
      </c>
      <c r="F61">
        <v>100000</v>
      </c>
      <c r="H61" s="2">
        <f t="shared" si="2"/>
        <v>1244192.3924</v>
      </c>
      <c r="I61" s="157" t="s">
        <v>267</v>
      </c>
    </row>
    <row r="62" spans="2:10">
      <c r="C62" t="s">
        <v>281</v>
      </c>
      <c r="F62">
        <v>68000</v>
      </c>
      <c r="H62" s="17">
        <f t="shared" si="2"/>
        <v>1312192.3924</v>
      </c>
      <c r="I62" s="157" t="s">
        <v>267</v>
      </c>
    </row>
    <row r="63" spans="2:10">
      <c r="J63" s="17">
        <f>J51</f>
        <v>1309930</v>
      </c>
    </row>
    <row r="64" spans="2:10">
      <c r="J64" s="17">
        <f>J63-H62</f>
        <v>-2262.3924000000115</v>
      </c>
    </row>
    <row r="67" spans="2:9">
      <c r="B67" s="88">
        <v>45512</v>
      </c>
      <c r="C67" s="8" t="s">
        <v>282</v>
      </c>
    </row>
    <row r="69" spans="2:9">
      <c r="C69" t="s">
        <v>271</v>
      </c>
      <c r="F69" s="155">
        <v>127500</v>
      </c>
      <c r="H69" s="17">
        <f t="shared" ref="H69:H82" si="3">H68+F69-G69</f>
        <v>127500</v>
      </c>
    </row>
    <row r="70" spans="2:9">
      <c r="C70" t="s">
        <v>272</v>
      </c>
      <c r="F70" s="155"/>
      <c r="H70" s="17">
        <f t="shared" si="3"/>
        <v>127500</v>
      </c>
    </row>
    <row r="71" spans="2:9">
      <c r="C71" t="s">
        <v>273</v>
      </c>
      <c r="F71" s="155"/>
      <c r="G71" s="156">
        <v>50000</v>
      </c>
      <c r="H71" s="17">
        <f t="shared" si="3"/>
        <v>77500</v>
      </c>
      <c r="I71" s="8" t="s">
        <v>120</v>
      </c>
    </row>
    <row r="72" spans="2:9">
      <c r="C72" t="s">
        <v>274</v>
      </c>
      <c r="F72" s="155">
        <v>722</v>
      </c>
      <c r="H72" s="17">
        <f t="shared" si="3"/>
        <v>78222</v>
      </c>
      <c r="I72" s="8" t="s">
        <v>275</v>
      </c>
    </row>
    <row r="73" spans="2:9">
      <c r="C73" t="s">
        <v>19</v>
      </c>
      <c r="F73" s="155">
        <v>195000</v>
      </c>
      <c r="H73" s="17">
        <f t="shared" si="3"/>
        <v>273222</v>
      </c>
    </row>
    <row r="74" spans="2:9">
      <c r="B74" s="1">
        <v>45509</v>
      </c>
      <c r="C74" s="8" t="s">
        <v>277</v>
      </c>
      <c r="D74">
        <v>1235</v>
      </c>
      <c r="E74">
        <v>711.57560000000001</v>
      </c>
      <c r="F74" s="2">
        <f>E74*D74</f>
        <v>878795.86600000004</v>
      </c>
      <c r="G74" s="2"/>
      <c r="H74" s="17">
        <f t="shared" si="3"/>
        <v>1152017.8659999999</v>
      </c>
      <c r="I74" s="8" t="s">
        <v>275</v>
      </c>
    </row>
    <row r="75" spans="2:9">
      <c r="H75" s="17">
        <f t="shared" si="3"/>
        <v>1152017.8659999999</v>
      </c>
    </row>
    <row r="76" spans="2:9">
      <c r="F76" s="2"/>
      <c r="H76" s="17">
        <f t="shared" si="3"/>
        <v>1152017.8659999999</v>
      </c>
      <c r="I76" s="157" t="s">
        <v>267</v>
      </c>
    </row>
    <row r="77" spans="2:9">
      <c r="C77" t="s">
        <v>283</v>
      </c>
      <c r="F77" s="155">
        <v>12290</v>
      </c>
      <c r="G77" s="2"/>
      <c r="H77" s="17">
        <f t="shared" si="3"/>
        <v>1164307.8659999999</v>
      </c>
      <c r="I77" s="157" t="s">
        <v>267</v>
      </c>
    </row>
    <row r="78" spans="2:9">
      <c r="C78" t="s">
        <v>280</v>
      </c>
      <c r="F78">
        <v>100000</v>
      </c>
      <c r="H78" s="17">
        <f t="shared" si="3"/>
        <v>1264307.8659999999</v>
      </c>
      <c r="I78" s="157" t="s">
        <v>267</v>
      </c>
    </row>
    <row r="79" spans="2:9">
      <c r="C79" t="s">
        <v>281</v>
      </c>
      <c r="F79">
        <v>100000</v>
      </c>
      <c r="H79" s="17">
        <f t="shared" si="3"/>
        <v>1364307.8659999999</v>
      </c>
      <c r="I79" s="157" t="s">
        <v>267</v>
      </c>
    </row>
    <row r="80" spans="2:9">
      <c r="H80" s="17">
        <f t="shared" si="3"/>
        <v>1364307.8659999999</v>
      </c>
    </row>
    <row r="81" spans="3:9">
      <c r="C81" t="s">
        <v>284</v>
      </c>
      <c r="D81">
        <v>7500</v>
      </c>
      <c r="E81">
        <v>26.13</v>
      </c>
      <c r="F81" s="2"/>
      <c r="H81" s="17">
        <f t="shared" si="3"/>
        <v>1364307.8659999999</v>
      </c>
      <c r="I81" s="157" t="s">
        <v>267</v>
      </c>
    </row>
    <row r="82" spans="3:9">
      <c r="C82" t="s">
        <v>278</v>
      </c>
      <c r="D82">
        <v>20</v>
      </c>
      <c r="E82">
        <v>4000</v>
      </c>
      <c r="F82" s="2"/>
      <c r="G82">
        <v>1416500</v>
      </c>
      <c r="H82" s="17">
        <f t="shared" si="3"/>
        <v>-52192.134000000078</v>
      </c>
      <c r="I82" s="157" t="s">
        <v>267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68A1A"/>
  </sheetPr>
  <dimension ref="A1:N135"/>
  <sheetViews>
    <sheetView zoomScale="175" zoomScaleNormal="175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564" t="s">
        <v>26</v>
      </c>
      <c r="M1" s="564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>
        <f>F115/1000</f>
        <v>698.22030499999994</v>
      </c>
    </row>
    <row r="3" spans="1:14">
      <c r="A3" t="s">
        <v>33</v>
      </c>
      <c r="B3" s="32">
        <f>'01_24'!D2</f>
        <v>340464.6</v>
      </c>
      <c r="C3" s="32">
        <f>'01_24'!E2</f>
        <v>-52469.760000000002</v>
      </c>
      <c r="D3" s="33">
        <f>B3+C3</f>
        <v>287994.83999999997</v>
      </c>
      <c r="E3" s="32">
        <f>'01_24'!F2</f>
        <v>194911.58000000002</v>
      </c>
      <c r="F3" s="32">
        <f>'01_24'!G2</f>
        <v>-66377.209999999992</v>
      </c>
      <c r="G3" s="33">
        <f>E3+F3</f>
        <v>128534.37000000002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'01_24'!E118/1000</f>
        <v>813.15151000000003</v>
      </c>
    </row>
    <row r="4" spans="1:14">
      <c r="A4" t="s">
        <v>35</v>
      </c>
      <c r="B4" s="32">
        <f>'02_24'!D2</f>
        <v>19300</v>
      </c>
      <c r="C4" s="32">
        <f>'02_24'!E2</f>
        <v>-65325.849999999991</v>
      </c>
      <c r="D4" s="33">
        <f t="shared" ref="D4:D14" si="0">B4+C4+D3</f>
        <v>241968.99</v>
      </c>
      <c r="E4" s="32">
        <f>'02_24'!F2</f>
        <v>20543.64</v>
      </c>
      <c r="F4" s="32">
        <f>'02_24'!G2</f>
        <v>-69834.739999999991</v>
      </c>
      <c r="G4" s="33">
        <f t="shared" ref="G4:G14" si="1">E4+F4+G3</f>
        <v>79243.270000000033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'02_24'!E111/1000</f>
        <v>809.24983035699995</v>
      </c>
    </row>
    <row r="5" spans="1:14">
      <c r="A5" t="s">
        <v>37</v>
      </c>
      <c r="B5" s="32">
        <f>'03_24'!D2</f>
        <v>12800</v>
      </c>
      <c r="C5" s="32">
        <f>'03_24'!E2</f>
        <v>-114592.82</v>
      </c>
      <c r="D5" s="33">
        <f t="shared" si="0"/>
        <v>140176.16999999998</v>
      </c>
      <c r="E5" s="32">
        <f>'03_24'!F2</f>
        <v>19667.489999999998</v>
      </c>
      <c r="F5" s="32">
        <f>'03_24'!G2</f>
        <v>-116144.16</v>
      </c>
      <c r="G5" s="33">
        <f t="shared" si="1"/>
        <v>-17233.39999999998</v>
      </c>
      <c r="H5" s="34"/>
      <c r="I5" s="35" t="s">
        <v>38</v>
      </c>
      <c r="K5" s="39"/>
      <c r="L5" s="37"/>
      <c r="M5" s="38">
        <f>J5</f>
        <v>0</v>
      </c>
      <c r="N5" s="8">
        <f>'03_24'!E108/1000</f>
        <v>745.85205035699994</v>
      </c>
    </row>
    <row r="6" spans="1:14">
      <c r="A6" t="s">
        <v>39</v>
      </c>
      <c r="B6" s="32">
        <f>'04_24'!D2</f>
        <v>40000</v>
      </c>
      <c r="C6" s="32">
        <f>'04_24'!E2</f>
        <v>-51710.3</v>
      </c>
      <c r="D6" s="33">
        <f t="shared" si="0"/>
        <v>128465.86999999998</v>
      </c>
      <c r="E6" s="32">
        <f>'04_24'!F2</f>
        <v>332427.62</v>
      </c>
      <c r="F6" s="32">
        <f>'04_24'!G2</f>
        <v>-86892.22</v>
      </c>
      <c r="G6" s="33">
        <f t="shared" si="1"/>
        <v>228302</v>
      </c>
      <c r="H6" s="34"/>
      <c r="I6" s="41" t="s">
        <v>40</v>
      </c>
      <c r="K6" s="39"/>
      <c r="L6" s="37"/>
      <c r="M6" s="42">
        <f>E18/1000</f>
        <v>68.505570000000006</v>
      </c>
      <c r="N6" s="8">
        <f>'04_24'!E111/1000</f>
        <v>774.2877365999999</v>
      </c>
    </row>
    <row r="7" spans="1:14">
      <c r="A7" t="s">
        <v>41</v>
      </c>
      <c r="B7" s="32">
        <f>'05_24'!D2</f>
        <v>25000</v>
      </c>
      <c r="C7" s="32">
        <f>'05_24'!E2</f>
        <v>-64525.01</v>
      </c>
      <c r="D7" s="33">
        <f t="shared" si="0"/>
        <v>88940.859999999986</v>
      </c>
      <c r="E7" s="32">
        <f>'05_24'!F2</f>
        <v>25427.620000000003</v>
      </c>
      <c r="F7" s="32">
        <f>'05_24'!G2</f>
        <v>-64483.92</v>
      </c>
      <c r="G7" s="33">
        <f t="shared" si="1"/>
        <v>189245.7</v>
      </c>
      <c r="H7" s="34"/>
      <c r="I7" s="41" t="s">
        <v>42</v>
      </c>
      <c r="K7" s="39"/>
      <c r="L7" s="40"/>
      <c r="M7" s="42">
        <f>E19/1000</f>
        <v>77.935369999999992</v>
      </c>
      <c r="N7" s="8">
        <f>'05_24'!E101/1000</f>
        <v>1018.9678865999999</v>
      </c>
    </row>
    <row r="8" spans="1:14">
      <c r="A8" t="s">
        <v>43</v>
      </c>
      <c r="B8" s="32">
        <f>'06_24'!D2</f>
        <v>33500</v>
      </c>
      <c r="C8" s="32">
        <f>'06_24'!E2</f>
        <v>-77377.563693000004</v>
      </c>
      <c r="D8" s="33">
        <f t="shared" si="0"/>
        <v>45063.296306999982</v>
      </c>
      <c r="E8" s="32">
        <f>'06_24'!F2</f>
        <v>13427.62</v>
      </c>
      <c r="F8" s="32">
        <f>'06_24'!G2</f>
        <v>-97778.153693</v>
      </c>
      <c r="G8" s="33">
        <f t="shared" si="1"/>
        <v>104895.16630700001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'06_24'!E118/1000</f>
        <v>794.30215999999996</v>
      </c>
    </row>
    <row r="9" spans="1:14">
      <c r="A9" t="s">
        <v>45</v>
      </c>
      <c r="B9" s="32">
        <f>'07_24'!D2</f>
        <v>51000</v>
      </c>
      <c r="C9" s="32">
        <f>'07_24'!E2</f>
        <v>-85166.06</v>
      </c>
      <c r="D9" s="33">
        <f t="shared" si="0"/>
        <v>10897.236306999985</v>
      </c>
      <c r="E9" s="32">
        <f>'07_24'!F2</f>
        <v>27984.15</v>
      </c>
      <c r="F9" s="32">
        <f>'07_24'!G2</f>
        <v>-87971.62</v>
      </c>
      <c r="G9" s="33">
        <f t="shared" si="1"/>
        <v>44907.696307000013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'07_24'!E133/1000</f>
        <v>981.30372722800007</v>
      </c>
    </row>
    <row r="10" spans="1:14">
      <c r="A10" t="s">
        <v>47</v>
      </c>
      <c r="B10" s="32">
        <f>'08_24'!D2</f>
        <v>195484.15</v>
      </c>
      <c r="C10" s="32">
        <f>'08_24'!E2</f>
        <v>-88440.670000000013</v>
      </c>
      <c r="D10" s="33">
        <f t="shared" si="0"/>
        <v>117940.71630699997</v>
      </c>
      <c r="E10" s="32">
        <f>'08_24'!F2</f>
        <v>28006.379999999997</v>
      </c>
      <c r="F10" s="32">
        <f>'08_24'!G2</f>
        <v>-88381.87</v>
      </c>
      <c r="G10" s="33">
        <f t="shared" si="1"/>
        <v>-15467.793692999985</v>
      </c>
      <c r="H10" s="34"/>
      <c r="I10" s="35" t="s">
        <v>48</v>
      </c>
      <c r="J10">
        <v>500</v>
      </c>
      <c r="K10" s="39"/>
      <c r="L10" s="40"/>
      <c r="M10" s="38">
        <f>J10*0.13</f>
        <v>65</v>
      </c>
      <c r="N10" s="8">
        <f>'08_24'!E125/1000</f>
        <v>981.30372722800007</v>
      </c>
    </row>
    <row r="11" spans="1:14">
      <c r="A11" t="s">
        <v>49</v>
      </c>
      <c r="B11" s="32">
        <f>'09_24'!D2</f>
        <v>36484.15</v>
      </c>
      <c r="C11" s="32">
        <f>'09_24'!E2</f>
        <v>-81364.900000000009</v>
      </c>
      <c r="D11" s="33">
        <f t="shared" si="0"/>
        <v>73059.966306999966</v>
      </c>
      <c r="E11" s="32">
        <f>'09_24'!F2</f>
        <v>98006.38</v>
      </c>
      <c r="F11" s="32">
        <f>'09_24'!G2</f>
        <v>-69863.539999999994</v>
      </c>
      <c r="G11" s="33">
        <f t="shared" si="1"/>
        <v>12675.046307000026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'09_24'!E101/1000</f>
        <v>749.1965993199999</v>
      </c>
    </row>
    <row r="12" spans="1:14">
      <c r="A12" t="s">
        <v>51</v>
      </c>
      <c r="B12" s="32">
        <f>'10_24'!D2</f>
        <v>27984.15</v>
      </c>
      <c r="C12" s="32">
        <f>'10_24'!E2</f>
        <v>-126233.26999999999</v>
      </c>
      <c r="D12" s="33">
        <f t="shared" si="0"/>
        <v>-25189.153693000029</v>
      </c>
      <c r="E12" s="32">
        <f>'10_24'!F2</f>
        <v>64006.38</v>
      </c>
      <c r="F12" s="32">
        <f>'10_24'!G2</f>
        <v>-123041.59000000001</v>
      </c>
      <c r="G12" s="33">
        <f t="shared" si="1"/>
        <v>-46360.163692999988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'10_24'!E136/1000</f>
        <v>726.05859999999996</v>
      </c>
    </row>
    <row r="13" spans="1:14">
      <c r="A13" t="s">
        <v>53</v>
      </c>
      <c r="B13" s="32">
        <f>'11_24'!D2</f>
        <v>277984.15000000002</v>
      </c>
      <c r="C13" s="32">
        <f>'11_24'!E2</f>
        <v>-182434.39</v>
      </c>
      <c r="D13" s="33">
        <f t="shared" si="0"/>
        <v>70360.60630699998</v>
      </c>
      <c r="E13" s="32">
        <f>'11_24'!F2</f>
        <v>212306.38</v>
      </c>
      <c r="F13" s="32">
        <f>'11_24'!G2</f>
        <v>-220559.32</v>
      </c>
      <c r="G13" s="33">
        <f t="shared" si="1"/>
        <v>-54613.10369299999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'11_24'!E111/1000</f>
        <v>695.35238000000004</v>
      </c>
    </row>
    <row r="14" spans="1:14">
      <c r="A14" t="s">
        <v>55</v>
      </c>
      <c r="B14" s="32">
        <f>'12_24'!D2</f>
        <v>27984.15</v>
      </c>
      <c r="C14" s="32">
        <f>'12_24'!E2</f>
        <v>-62202.759999999995</v>
      </c>
      <c r="D14" s="33">
        <f t="shared" si="0"/>
        <v>36141.996306999987</v>
      </c>
      <c r="E14" s="32">
        <f>'12_24'!F2</f>
        <v>246925.7</v>
      </c>
      <c r="F14" s="32">
        <f>'12_24'!G2</f>
        <v>-130909.75999999999</v>
      </c>
      <c r="G14" s="33">
        <f t="shared" si="1"/>
        <v>61402.836307000027</v>
      </c>
      <c r="H14" s="34"/>
      <c r="I14" s="44" t="s">
        <v>56</v>
      </c>
      <c r="J14" s="45">
        <v>170</v>
      </c>
      <c r="K14" s="39">
        <f>J14*$K$2</f>
        <v>40.015280000000004</v>
      </c>
      <c r="L14" s="40">
        <f>J14-K14</f>
        <v>129.98471999999998</v>
      </c>
      <c r="M14" s="38"/>
      <c r="N14" s="8">
        <f>'12_24'!E125/1000</f>
        <v>676.38337999999999</v>
      </c>
    </row>
    <row r="15" spans="1:14">
      <c r="A15" s="46" t="s">
        <v>57</v>
      </c>
      <c r="B15" s="33">
        <f>SUM(B3:B14)</f>
        <v>1087985.3500000001</v>
      </c>
      <c r="C15" s="33">
        <f>SUM(C3:C14)</f>
        <v>-1051843.353693</v>
      </c>
      <c r="D15" s="33">
        <f>B15+C15</f>
        <v>36141.996307000052</v>
      </c>
      <c r="E15" s="33">
        <f>SUM(E3:E14)</f>
        <v>1283640.9400000002</v>
      </c>
      <c r="F15" s="33">
        <f>SUM(F3:F14)</f>
        <v>-1222238.103693</v>
      </c>
      <c r="G15" s="33">
        <f>E15+F15</f>
        <v>61402.836307000136</v>
      </c>
      <c r="H15" s="47"/>
      <c r="I15" s="48"/>
      <c r="J15" s="49">
        <f>SUM(J3:J14)</f>
        <v>1733</v>
      </c>
      <c r="K15" s="50">
        <f>SUM(K4:K14)</f>
        <v>194.89795200000003</v>
      </c>
      <c r="L15" s="51">
        <f>SUM(L4:L14)</f>
        <v>633.10204799999997</v>
      </c>
      <c r="M15" s="52">
        <f>M10+M8+M6+M5+M3+M7</f>
        <v>447.69094000000001</v>
      </c>
    </row>
    <row r="16" spans="1:14">
      <c r="A16" s="53">
        <v>12</v>
      </c>
      <c r="B16" s="54">
        <f>B15/A16</f>
        <v>90665.445833333346</v>
      </c>
      <c r="C16" s="55">
        <f>C15/A16</f>
        <v>-87653.612807750003</v>
      </c>
      <c r="D16" s="55"/>
      <c r="E16" s="55">
        <f>E15/A16</f>
        <v>106970.07833333335</v>
      </c>
      <c r="F16" s="55">
        <f>F15/A16</f>
        <v>-101853.17530775</v>
      </c>
      <c r="G16" s="55">
        <f>G15/A16</f>
        <v>5116.903025583345</v>
      </c>
      <c r="H16" s="56"/>
      <c r="I16" s="57"/>
      <c r="J16" s="58">
        <f>J15/12</f>
        <v>144.41666666666666</v>
      </c>
      <c r="K16" s="59">
        <f>K15/12</f>
        <v>16.241496000000001</v>
      </c>
      <c r="L16" s="60">
        <f>L15/12</f>
        <v>52.758503999999995</v>
      </c>
      <c r="M16" s="61">
        <f>M15/12</f>
        <v>37.307578333333332</v>
      </c>
      <c r="N16" s="62">
        <f>AVERAGE(N2:N15)</f>
        <v>804.89460712999994</v>
      </c>
    </row>
    <row r="17" spans="2:13">
      <c r="C17" s="2"/>
      <c r="D17" s="2"/>
      <c r="G17" s="63"/>
      <c r="H17" s="63"/>
      <c r="I17" s="35"/>
      <c r="K17" s="2" t="s">
        <v>57</v>
      </c>
      <c r="L17" s="565">
        <f>L15+M15</f>
        <v>1080.7929879999999</v>
      </c>
      <c r="M17" s="565"/>
    </row>
    <row r="18" spans="2:13">
      <c r="D18" s="64" t="s">
        <v>58</v>
      </c>
      <c r="E18" s="2">
        <f>'01_24'!F27+'02_24'!F14+'02_24'!F25+'03_24'!F19+'04_24'!F41+'05_24'!F22+'06_24'!F19+'06_24'!F31+'04_24'!F15</f>
        <v>68505.570000000007</v>
      </c>
      <c r="J18" s="35"/>
      <c r="K18" s="2" t="s">
        <v>59</v>
      </c>
      <c r="L18" s="65"/>
      <c r="M18" s="66">
        <f>L17/12</f>
        <v>90.066082333333327</v>
      </c>
    </row>
    <row r="19" spans="2:13">
      <c r="C19" s="67"/>
      <c r="D19" s="68" t="s">
        <v>60</v>
      </c>
      <c r="E19" s="69">
        <f>'07_24'!F30+'08_24'!F25+'09_24'!F19+'10_24'!F29+'11_24'!F34+'12_24'!F22</f>
        <v>77935.37</v>
      </c>
    </row>
    <row r="20" spans="2:13">
      <c r="D20" s="18" t="s">
        <v>61</v>
      </c>
      <c r="E20" s="17">
        <f>SUM(E18:E19)</f>
        <v>146440.94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>
        <f>(D27/D24)-1</f>
        <v>0.24730089883567064</v>
      </c>
    </row>
    <row r="26" spans="2:13">
      <c r="C26" t="s">
        <v>64</v>
      </c>
    </row>
    <row r="27" spans="2:13">
      <c r="C27" t="s">
        <v>65</v>
      </c>
      <c r="D27">
        <v>13006.38</v>
      </c>
    </row>
    <row r="30" spans="2:13">
      <c r="B30" t="s">
        <v>285</v>
      </c>
    </row>
    <row r="31" spans="2:13">
      <c r="C31" t="s">
        <v>286</v>
      </c>
    </row>
    <row r="32" spans="2:13">
      <c r="C32" t="s">
        <v>287</v>
      </c>
    </row>
    <row r="34" spans="2:3">
      <c r="B34" t="s">
        <v>288</v>
      </c>
    </row>
    <row r="35" spans="2:3">
      <c r="C35" t="s">
        <v>289</v>
      </c>
    </row>
    <row r="36" spans="2:3">
      <c r="C36" t="s">
        <v>290</v>
      </c>
    </row>
    <row r="37" spans="2:3">
      <c r="B37" t="s">
        <v>291</v>
      </c>
    </row>
    <row r="38" spans="2:3">
      <c r="C38" t="s">
        <v>292</v>
      </c>
    </row>
    <row r="39" spans="2:3">
      <c r="C39" t="s">
        <v>293</v>
      </c>
    </row>
    <row r="40" spans="2:3">
      <c r="C40" t="s">
        <v>294</v>
      </c>
    </row>
    <row r="41" spans="2:3">
      <c r="C41" t="s">
        <v>295</v>
      </c>
    </row>
    <row r="42" spans="2:3">
      <c r="C42" t="s">
        <v>296</v>
      </c>
    </row>
    <row r="43" spans="2:3">
      <c r="B43" t="s">
        <v>297</v>
      </c>
    </row>
    <row r="44" spans="2:3">
      <c r="C44" t="s">
        <v>298</v>
      </c>
    </row>
    <row r="115" spans="2:7">
      <c r="B115" s="113" t="s">
        <v>299</v>
      </c>
      <c r="C115" s="104" t="s">
        <v>136</v>
      </c>
      <c r="D115" s="103">
        <v>2023</v>
      </c>
      <c r="E115" s="158"/>
      <c r="F115" s="159">
        <f>SUM(F116:F132)</f>
        <v>698220.30499999993</v>
      </c>
      <c r="G115" s="159"/>
    </row>
    <row r="116" spans="2:7">
      <c r="B116" s="160">
        <v>45290</v>
      </c>
      <c r="C116" s="8" t="s">
        <v>77</v>
      </c>
      <c r="D116" s="2"/>
      <c r="E116" s="2"/>
      <c r="F116" s="17">
        <v>64000</v>
      </c>
    </row>
    <row r="117" spans="2:7">
      <c r="B117" s="160">
        <f t="shared" ref="B117:B126" si="2">B116</f>
        <v>45290</v>
      </c>
      <c r="C117" s="8" t="s">
        <v>78</v>
      </c>
      <c r="D117" s="2"/>
      <c r="E117" s="2"/>
      <c r="F117" s="17">
        <v>218088</v>
      </c>
    </row>
    <row r="118" spans="2:7">
      <c r="B118" s="160">
        <f t="shared" si="2"/>
        <v>45290</v>
      </c>
      <c r="C118" s="8" t="s">
        <v>300</v>
      </c>
      <c r="D118" s="2"/>
      <c r="E118" s="2"/>
      <c r="F118" s="17">
        <v>3609.29</v>
      </c>
    </row>
    <row r="119" spans="2:7">
      <c r="B119" s="160">
        <f t="shared" si="2"/>
        <v>45290</v>
      </c>
      <c r="C119" s="8" t="s">
        <v>301</v>
      </c>
      <c r="D119" s="2"/>
      <c r="E119" s="2"/>
      <c r="F119" s="17">
        <v>122.31</v>
      </c>
    </row>
    <row r="120" spans="2:7">
      <c r="B120" s="160">
        <f t="shared" si="2"/>
        <v>45290</v>
      </c>
      <c r="C120" s="8" t="s">
        <v>302</v>
      </c>
      <c r="E120" s="2"/>
      <c r="F120" s="17">
        <v>6267.13</v>
      </c>
    </row>
    <row r="121" spans="2:7">
      <c r="B121" s="160">
        <f t="shared" si="2"/>
        <v>45290</v>
      </c>
      <c r="C121" s="8" t="s">
        <v>236</v>
      </c>
      <c r="D121" s="2" t="s">
        <v>303</v>
      </c>
      <c r="E121" s="2"/>
      <c r="F121" s="17">
        <v>21088.49</v>
      </c>
    </row>
    <row r="122" spans="2:7">
      <c r="B122" s="160">
        <f t="shared" si="2"/>
        <v>45290</v>
      </c>
      <c r="C122" s="8" t="s">
        <v>304</v>
      </c>
      <c r="D122" s="2" t="s">
        <v>305</v>
      </c>
      <c r="E122" s="2"/>
      <c r="F122" s="17">
        <v>5587.73</v>
      </c>
    </row>
    <row r="123" spans="2:7">
      <c r="B123" s="160">
        <f t="shared" si="2"/>
        <v>45290</v>
      </c>
      <c r="C123" s="8" t="s">
        <v>306</v>
      </c>
      <c r="D123" s="160">
        <v>45295</v>
      </c>
      <c r="E123" s="161">
        <v>-629.36</v>
      </c>
      <c r="F123" s="17">
        <v>4752.22</v>
      </c>
    </row>
    <row r="124" spans="2:7">
      <c r="B124" s="160">
        <f t="shared" si="2"/>
        <v>45290</v>
      </c>
      <c r="C124" s="8" t="s">
        <v>307</v>
      </c>
      <c r="D124" s="160">
        <v>45295</v>
      </c>
      <c r="E124" s="161">
        <v>-52.52</v>
      </c>
      <c r="F124" s="17">
        <v>315.38</v>
      </c>
      <c r="G124" s="63"/>
    </row>
    <row r="125" spans="2:7">
      <c r="B125" s="160">
        <f t="shared" si="2"/>
        <v>45290</v>
      </c>
      <c r="C125" s="8" t="s">
        <v>308</v>
      </c>
      <c r="D125" s="160">
        <v>45295</v>
      </c>
      <c r="E125" s="161">
        <v>-196</v>
      </c>
      <c r="F125" s="17">
        <v>295.8</v>
      </c>
    </row>
    <row r="126" spans="2:7">
      <c r="B126" s="160">
        <f t="shared" si="2"/>
        <v>45290</v>
      </c>
      <c r="C126" s="8" t="s">
        <v>309</v>
      </c>
      <c r="D126" s="160">
        <v>45295</v>
      </c>
      <c r="E126" s="161">
        <v>-669.7</v>
      </c>
      <c r="F126" s="17">
        <v>4239.3</v>
      </c>
    </row>
    <row r="127" spans="2:7">
      <c r="B127" s="160">
        <f>B120</f>
        <v>45290</v>
      </c>
      <c r="C127" s="8" t="s">
        <v>140</v>
      </c>
      <c r="D127" s="2"/>
      <c r="E127" s="2"/>
      <c r="F127" s="17">
        <v>1000</v>
      </c>
    </row>
    <row r="128" spans="2:7">
      <c r="B128" s="160">
        <f>B119</f>
        <v>45290</v>
      </c>
      <c r="C128" s="8" t="s">
        <v>310</v>
      </c>
      <c r="D128" s="2">
        <v>1928.59</v>
      </c>
      <c r="E128" s="2">
        <v>161</v>
      </c>
      <c r="F128" s="17">
        <f>E128*D128</f>
        <v>310502.99</v>
      </c>
    </row>
    <row r="129" spans="2:6">
      <c r="B129" s="160">
        <f>B128</f>
        <v>45290</v>
      </c>
      <c r="C129" s="8" t="s">
        <v>311</v>
      </c>
      <c r="D129" s="162">
        <v>29.2927</v>
      </c>
      <c r="E129" s="2">
        <v>850</v>
      </c>
      <c r="F129" s="17">
        <f>E129*D129</f>
        <v>24898.794999999998</v>
      </c>
    </row>
    <row r="130" spans="2:6">
      <c r="B130" s="160">
        <f>B129</f>
        <v>45290</v>
      </c>
      <c r="C130" s="8" t="s">
        <v>312</v>
      </c>
      <c r="D130" s="162">
        <v>32.028700000000001</v>
      </c>
      <c r="E130" s="2">
        <v>100</v>
      </c>
      <c r="F130" s="17">
        <f>E130*D130</f>
        <v>3202.87</v>
      </c>
    </row>
    <row r="131" spans="2:6">
      <c r="B131" s="160">
        <f>B130</f>
        <v>45290</v>
      </c>
      <c r="C131" s="8" t="s">
        <v>152</v>
      </c>
      <c r="D131" s="2"/>
      <c r="E131" s="2"/>
      <c r="F131" s="17">
        <v>30000</v>
      </c>
    </row>
    <row r="132" spans="2:6">
      <c r="B132" s="160">
        <f>B131</f>
        <v>45290</v>
      </c>
      <c r="C132" s="8" t="s">
        <v>153</v>
      </c>
      <c r="D132" s="2"/>
      <c r="E132" s="2"/>
      <c r="F132" s="17">
        <v>250</v>
      </c>
    </row>
    <row r="133" spans="2:6">
      <c r="D133" s="3" t="str">
        <f>B115</f>
        <v>ARALIK</v>
      </c>
      <c r="E133" s="18" t="s">
        <v>156</v>
      </c>
      <c r="F133" s="163">
        <f>H33</f>
        <v>0</v>
      </c>
    </row>
    <row r="134" spans="2:6">
      <c r="E134" s="3"/>
    </row>
    <row r="135" spans="2:6">
      <c r="E135" s="18" t="s">
        <v>155</v>
      </c>
      <c r="F135" s="9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E2F0D9"/>
  </sheetPr>
  <dimension ref="A1:N196"/>
  <sheetViews>
    <sheetView topLeftCell="A3" zoomScale="145" zoomScaleNormal="145" workbookViewId="0">
      <selection activeCell="B170" sqref="B17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313</v>
      </c>
      <c r="C2" s="79" t="s">
        <v>67</v>
      </c>
      <c r="D2" s="77">
        <f>SUM(D4:D40)</f>
        <v>27984.15</v>
      </c>
      <c r="E2" s="77">
        <f>SUM(E4:E41)</f>
        <v>-62202.759999999995</v>
      </c>
      <c r="F2" s="77">
        <f>SUM(F4:F40)</f>
        <v>246925.7</v>
      </c>
      <c r="G2" s="77">
        <f>SUM(G4:G36)</f>
        <v>-130909.75999999999</v>
      </c>
      <c r="H2" s="77">
        <f>F2+G2</f>
        <v>116015.94000000002</v>
      </c>
    </row>
    <row r="3" spans="1:8">
      <c r="B3" s="18"/>
    </row>
    <row r="4" spans="1:8">
      <c r="B4" s="41"/>
      <c r="H4" s="77">
        <f t="shared" ref="H4:H34" si="0">H3+F4+G4</f>
        <v>0</v>
      </c>
    </row>
    <row r="5" spans="1:8">
      <c r="A5" s="88">
        <v>45631</v>
      </c>
      <c r="B5" s="164" t="s">
        <v>68</v>
      </c>
      <c r="C5" s="82"/>
      <c r="D5" s="83"/>
      <c r="E5" s="83">
        <f>E76</f>
        <v>-1797.23</v>
      </c>
      <c r="G5" s="77">
        <f>E5</f>
        <v>-1797.23</v>
      </c>
      <c r="H5" s="77">
        <f t="shared" si="0"/>
        <v>-1797.23</v>
      </c>
    </row>
    <row r="6" spans="1:8">
      <c r="A6" s="165">
        <v>45630</v>
      </c>
      <c r="B6" s="164" t="s">
        <v>69</v>
      </c>
      <c r="C6" s="82"/>
      <c r="D6" s="83"/>
      <c r="E6" s="83">
        <f>E91</f>
        <v>-9239.0299999999988</v>
      </c>
      <c r="G6" s="77">
        <f>E6</f>
        <v>-9239.0299999999988</v>
      </c>
      <c r="H6" s="77">
        <f t="shared" si="0"/>
        <v>-11036.259999999998</v>
      </c>
    </row>
    <row r="7" spans="1:8">
      <c r="A7" s="88">
        <v>45630</v>
      </c>
      <c r="B7" s="166" t="s">
        <v>70</v>
      </c>
      <c r="C7" s="166"/>
      <c r="D7" s="83"/>
      <c r="E7" s="83">
        <v>-1500</v>
      </c>
      <c r="G7" s="77">
        <v>-1512.13</v>
      </c>
      <c r="H7" s="77">
        <f t="shared" si="0"/>
        <v>-12548.39</v>
      </c>
    </row>
    <row r="8" spans="1:8">
      <c r="B8" s="166" t="s">
        <v>71</v>
      </c>
      <c r="C8" s="166"/>
      <c r="D8" s="83"/>
      <c r="E8" s="83">
        <v>-17500</v>
      </c>
      <c r="G8" s="77">
        <v>-17500</v>
      </c>
      <c r="H8" s="77">
        <f t="shared" si="0"/>
        <v>-30048.39</v>
      </c>
    </row>
    <row r="9" spans="1:8">
      <c r="B9" s="164" t="s">
        <v>72</v>
      </c>
      <c r="C9" s="82"/>
      <c r="D9" s="83"/>
      <c r="E9" s="83">
        <f>E71*-1</f>
        <v>0</v>
      </c>
      <c r="H9" s="77">
        <f t="shared" si="0"/>
        <v>-30048.39</v>
      </c>
    </row>
    <row r="10" spans="1:8">
      <c r="B10" s="82"/>
      <c r="C10" s="82"/>
      <c r="D10" s="83"/>
      <c r="E10" s="83"/>
      <c r="H10" s="77">
        <f t="shared" si="0"/>
        <v>-30048.39</v>
      </c>
    </row>
    <row r="11" spans="1:8">
      <c r="A11" s="88">
        <v>45630</v>
      </c>
      <c r="B11" s="82" t="s">
        <v>98</v>
      </c>
      <c r="C11" s="82" t="s">
        <v>314</v>
      </c>
      <c r="D11" s="83" t="s">
        <v>315</v>
      </c>
      <c r="E11" s="83">
        <v>-1380</v>
      </c>
      <c r="H11" s="77">
        <f t="shared" si="0"/>
        <v>-30048.39</v>
      </c>
    </row>
    <row r="12" spans="1:8">
      <c r="A12" s="88">
        <v>45630</v>
      </c>
      <c r="B12" s="82" t="s">
        <v>98</v>
      </c>
      <c r="C12" s="82" t="s">
        <v>316</v>
      </c>
      <c r="D12" s="83" t="s">
        <v>315</v>
      </c>
      <c r="E12" s="167">
        <v>-1380</v>
      </c>
      <c r="H12" s="77">
        <f t="shared" si="0"/>
        <v>-30048.39</v>
      </c>
    </row>
    <row r="13" spans="1:8">
      <c r="A13" s="88">
        <v>45630</v>
      </c>
      <c r="B13" s="166" t="s">
        <v>317</v>
      </c>
      <c r="C13" s="82"/>
      <c r="D13" s="83" t="s">
        <v>315</v>
      </c>
      <c r="E13" s="167">
        <v>-1415</v>
      </c>
      <c r="H13" s="77">
        <f t="shared" si="0"/>
        <v>-30048.39</v>
      </c>
    </row>
    <row r="14" spans="1:8">
      <c r="A14" s="88">
        <v>45630</v>
      </c>
      <c r="B14" s="166" t="s">
        <v>318</v>
      </c>
      <c r="C14" s="82"/>
      <c r="D14" s="83" t="s">
        <v>315</v>
      </c>
      <c r="E14" s="167">
        <v>-141.5</v>
      </c>
      <c r="H14" s="77">
        <f t="shared" si="0"/>
        <v>-30048.39</v>
      </c>
    </row>
    <row r="15" spans="1:8">
      <c r="B15" s="82" t="s">
        <v>319</v>
      </c>
      <c r="C15" s="82"/>
      <c r="D15" s="83"/>
      <c r="E15" s="83"/>
      <c r="G15" s="77">
        <v>-60000</v>
      </c>
      <c r="H15" s="77">
        <f t="shared" si="0"/>
        <v>-90048.39</v>
      </c>
    </row>
    <row r="16" spans="1:8">
      <c r="B16" s="82" t="s">
        <v>320</v>
      </c>
      <c r="C16" s="82"/>
      <c r="D16" s="83"/>
      <c r="E16" s="83"/>
      <c r="G16" s="77">
        <v>-19000</v>
      </c>
      <c r="H16" s="77">
        <f t="shared" si="0"/>
        <v>-109048.39</v>
      </c>
    </row>
    <row r="17" spans="1:13">
      <c r="B17" s="82" t="s">
        <v>321</v>
      </c>
      <c r="C17" s="168"/>
      <c r="D17" s="83"/>
      <c r="E17" s="83"/>
      <c r="F17" s="77">
        <v>219000</v>
      </c>
      <c r="H17" s="77">
        <f t="shared" si="0"/>
        <v>109951.61</v>
      </c>
    </row>
    <row r="18" spans="1:13">
      <c r="B18" s="82" t="s">
        <v>322</v>
      </c>
      <c r="C18" s="82"/>
      <c r="D18" s="83"/>
      <c r="E18" s="83"/>
      <c r="F18" s="77">
        <v>15000</v>
      </c>
      <c r="H18" s="77">
        <f t="shared" si="0"/>
        <v>124951.61</v>
      </c>
    </row>
    <row r="19" spans="1:13">
      <c r="A19" s="88">
        <v>45642</v>
      </c>
      <c r="B19" s="169" t="s">
        <v>73</v>
      </c>
      <c r="C19" s="169" t="s">
        <v>323</v>
      </c>
      <c r="D19" s="83"/>
      <c r="E19" s="83">
        <v>-300</v>
      </c>
      <c r="G19" s="77">
        <v>-2035</v>
      </c>
      <c r="H19" s="77">
        <f t="shared" si="0"/>
        <v>122916.61</v>
      </c>
    </row>
    <row r="20" spans="1:13">
      <c r="A20" s="88">
        <v>45642</v>
      </c>
      <c r="B20" s="169" t="s">
        <v>74</v>
      </c>
      <c r="C20" s="169" t="s">
        <v>323</v>
      </c>
      <c r="D20" s="83"/>
      <c r="E20" s="83">
        <v>-100</v>
      </c>
      <c r="G20" s="77">
        <v>-40</v>
      </c>
      <c r="H20" s="77">
        <f t="shared" si="0"/>
        <v>122876.61</v>
      </c>
    </row>
    <row r="21" spans="1:13">
      <c r="A21" s="88">
        <v>45638</v>
      </c>
      <c r="B21" s="166" t="s">
        <v>75</v>
      </c>
      <c r="C21" s="166" t="s">
        <v>323</v>
      </c>
      <c r="D21" s="83"/>
      <c r="E21" s="83">
        <v>-150</v>
      </c>
      <c r="G21" s="77">
        <v>-262.37</v>
      </c>
      <c r="H21" s="77">
        <f t="shared" si="0"/>
        <v>122614.24</v>
      </c>
    </row>
    <row r="22" spans="1:13">
      <c r="A22" s="88">
        <v>45653</v>
      </c>
      <c r="B22" s="82" t="s">
        <v>76</v>
      </c>
      <c r="C22" s="82"/>
      <c r="D22" s="167">
        <v>12984.15</v>
      </c>
      <c r="E22" s="83"/>
      <c r="F22" s="77">
        <v>12925.7</v>
      </c>
      <c r="H22" s="77">
        <f t="shared" si="0"/>
        <v>135539.94</v>
      </c>
      <c r="J22" s="94"/>
      <c r="K22" s="94"/>
      <c r="L22" s="95"/>
      <c r="M22" s="96"/>
    </row>
    <row r="23" spans="1:13">
      <c r="B23" s="82" t="s">
        <v>77</v>
      </c>
      <c r="C23" s="82"/>
      <c r="D23" s="83"/>
      <c r="E23" s="83">
        <v>-6500</v>
      </c>
      <c r="G23" s="77">
        <v>-6512</v>
      </c>
      <c r="H23" s="77">
        <f t="shared" si="0"/>
        <v>129027.94</v>
      </c>
      <c r="J23" s="94"/>
      <c r="K23" s="94"/>
      <c r="L23" s="95"/>
      <c r="M23" s="96"/>
    </row>
    <row r="24" spans="1:13">
      <c r="B24" s="82" t="s">
        <v>78</v>
      </c>
      <c r="C24" s="82"/>
      <c r="D24" s="83"/>
      <c r="E24" s="83">
        <v>-6500</v>
      </c>
      <c r="G24" s="77">
        <v>-6512</v>
      </c>
      <c r="H24" s="77">
        <f t="shared" si="0"/>
        <v>122515.94</v>
      </c>
      <c r="J24" s="94"/>
      <c r="K24" s="94"/>
      <c r="L24" s="95"/>
      <c r="M24" s="96"/>
    </row>
    <row r="25" spans="1:13">
      <c r="B25" s="82" t="s">
        <v>79</v>
      </c>
      <c r="C25" s="82"/>
      <c r="D25" s="83"/>
      <c r="E25" s="83">
        <v>-6500</v>
      </c>
      <c r="G25" s="77">
        <v>-6500</v>
      </c>
      <c r="H25" s="77">
        <f t="shared" si="0"/>
        <v>116015.94</v>
      </c>
      <c r="J25" s="94"/>
      <c r="K25" s="94"/>
      <c r="L25" s="95"/>
      <c r="M25" s="96"/>
    </row>
    <row r="26" spans="1:13">
      <c r="H26" s="77">
        <f t="shared" si="0"/>
        <v>116015.94</v>
      </c>
      <c r="J26" s="94"/>
      <c r="K26" s="94"/>
      <c r="L26" s="95"/>
      <c r="M26" s="96"/>
    </row>
    <row r="27" spans="1:13">
      <c r="B27" s="101"/>
      <c r="C27" s="101"/>
      <c r="H27" s="77">
        <f t="shared" si="0"/>
        <v>116015.94</v>
      </c>
      <c r="J27" s="94"/>
      <c r="K27" s="94"/>
      <c r="L27" s="95"/>
      <c r="M27" s="96"/>
    </row>
    <row r="28" spans="1:13">
      <c r="B28" s="166" t="s">
        <v>80</v>
      </c>
      <c r="C28" s="166"/>
      <c r="D28" s="83"/>
      <c r="E28" s="83">
        <v>-400</v>
      </c>
      <c r="H28" s="77">
        <f t="shared" si="0"/>
        <v>116015.94</v>
      </c>
      <c r="J28" s="94"/>
      <c r="K28" s="94"/>
      <c r="L28" s="95"/>
      <c r="M28" s="96"/>
    </row>
    <row r="29" spans="1:13">
      <c r="B29" s="166" t="s">
        <v>81</v>
      </c>
      <c r="C29" s="166"/>
      <c r="D29" s="83"/>
      <c r="E29" s="83">
        <v>-500</v>
      </c>
      <c r="H29" s="77">
        <f t="shared" si="0"/>
        <v>116015.94</v>
      </c>
      <c r="J29" s="94"/>
      <c r="K29" s="94"/>
      <c r="L29" s="95"/>
      <c r="M29" s="96"/>
    </row>
    <row r="30" spans="1:13">
      <c r="A30" s="386">
        <v>45671</v>
      </c>
      <c r="B30" s="385" t="s">
        <v>112</v>
      </c>
      <c r="D30" s="384">
        <v>15000</v>
      </c>
      <c r="H30" s="77">
        <f t="shared" si="0"/>
        <v>116015.94</v>
      </c>
    </row>
    <row r="31" spans="1:13">
      <c r="H31" s="77">
        <f t="shared" si="0"/>
        <v>116015.94</v>
      </c>
    </row>
    <row r="32" spans="1:13">
      <c r="A32" s="100"/>
      <c r="H32" s="77">
        <f t="shared" si="0"/>
        <v>116015.94</v>
      </c>
    </row>
    <row r="33" spans="1:8">
      <c r="A33" s="100"/>
      <c r="H33" s="77">
        <f t="shared" si="0"/>
        <v>116015.94</v>
      </c>
    </row>
    <row r="34" spans="1:8">
      <c r="H34" s="77">
        <f t="shared" si="0"/>
        <v>116015.94</v>
      </c>
    </row>
    <row r="36" spans="1:8">
      <c r="A36" s="98">
        <v>45655</v>
      </c>
      <c r="B36" s="8" t="s">
        <v>98</v>
      </c>
      <c r="C36" s="8" t="s">
        <v>110</v>
      </c>
      <c r="E36" s="77">
        <v>-1380</v>
      </c>
    </row>
    <row r="37" spans="1:8">
      <c r="A37" s="98">
        <v>45686</v>
      </c>
      <c r="B37" s="8" t="s">
        <v>98</v>
      </c>
      <c r="C37" s="8" t="s">
        <v>111</v>
      </c>
      <c r="E37" s="77">
        <v>-1380</v>
      </c>
    </row>
    <row r="38" spans="1:8">
      <c r="A38" s="98">
        <v>45716</v>
      </c>
      <c r="B38" s="8" t="s">
        <v>98</v>
      </c>
      <c r="C38" s="8" t="s">
        <v>105</v>
      </c>
      <c r="E38" s="77">
        <v>-1380</v>
      </c>
    </row>
    <row r="39" spans="1:8">
      <c r="A39" s="98">
        <v>45745</v>
      </c>
      <c r="B39" s="8" t="s">
        <v>98</v>
      </c>
      <c r="C39" s="8" t="s">
        <v>101</v>
      </c>
      <c r="E39" s="77">
        <v>-1380</v>
      </c>
    </row>
    <row r="40" spans="1:8">
      <c r="A40" s="98">
        <v>45776</v>
      </c>
      <c r="B40" s="8" t="s">
        <v>98</v>
      </c>
      <c r="C40" s="8" t="s">
        <v>324</v>
      </c>
      <c r="E40" s="77">
        <v>-1380</v>
      </c>
    </row>
    <row r="41" spans="1:8">
      <c r="A41" s="98"/>
    </row>
    <row r="42" spans="1:8">
      <c r="B42" s="101"/>
      <c r="C42" s="101"/>
    </row>
    <row r="43" spans="1:8">
      <c r="B43" s="99" t="s">
        <v>114</v>
      </c>
      <c r="C43" s="101"/>
    </row>
    <row r="44" spans="1:8">
      <c r="B44" s="99" t="s">
        <v>115</v>
      </c>
      <c r="C44" s="101"/>
    </row>
    <row r="45" spans="1:8">
      <c r="B45" s="101" t="s">
        <v>116</v>
      </c>
      <c r="C45" s="101"/>
    </row>
    <row r="46" spans="1:8">
      <c r="B46" s="101" t="s">
        <v>117</v>
      </c>
      <c r="C46" s="101"/>
    </row>
    <row r="47" spans="1:8">
      <c r="B47" s="101" t="s">
        <v>118</v>
      </c>
      <c r="C47" s="101"/>
    </row>
    <row r="48" spans="1:8">
      <c r="B48" s="101"/>
      <c r="C48" s="101"/>
    </row>
    <row r="49" spans="1:13">
      <c r="C49" s="78"/>
      <c r="D49" s="78"/>
      <c r="E49" s="78"/>
      <c r="F49" s="78">
        <f>E55</f>
        <v>93450</v>
      </c>
      <c r="J49" s="94"/>
      <c r="K49" s="94"/>
      <c r="L49" s="95"/>
      <c r="M49" s="96"/>
    </row>
    <row r="50" spans="1:13">
      <c r="B50" s="110" t="s">
        <v>119</v>
      </c>
      <c r="C50" s="78">
        <v>8</v>
      </c>
      <c r="D50" s="94">
        <v>250</v>
      </c>
      <c r="E50" s="78">
        <f>D50*C50</f>
        <v>2000</v>
      </c>
      <c r="F50" s="78">
        <f>F49-E50</f>
        <v>91450</v>
      </c>
      <c r="G50" s="77" t="s">
        <v>120</v>
      </c>
      <c r="J50" s="94"/>
      <c r="K50" s="94"/>
      <c r="L50" s="95"/>
      <c r="M50" s="96"/>
    </row>
    <row r="51" spans="1:13">
      <c r="B51" s="110" t="s">
        <v>121</v>
      </c>
      <c r="C51" s="94">
        <v>2</v>
      </c>
      <c r="D51" s="94">
        <v>250</v>
      </c>
      <c r="E51" s="78">
        <f>D51*C51</f>
        <v>500</v>
      </c>
      <c r="F51" s="78">
        <f>F50-E51</f>
        <v>90950</v>
      </c>
      <c r="G51" s="77" t="s">
        <v>120</v>
      </c>
      <c r="J51" s="94"/>
      <c r="K51" s="94"/>
      <c r="L51" s="95"/>
      <c r="M51" s="96"/>
    </row>
    <row r="52" spans="1:13">
      <c r="B52" s="110" t="s">
        <v>122</v>
      </c>
      <c r="C52" s="78">
        <v>11</v>
      </c>
      <c r="D52" s="78">
        <v>250</v>
      </c>
      <c r="E52" s="78">
        <f>D52*C52</f>
        <v>2750</v>
      </c>
      <c r="F52" s="78">
        <f>F51-E52</f>
        <v>88200</v>
      </c>
      <c r="G52" s="77" t="s">
        <v>120</v>
      </c>
      <c r="J52" s="94"/>
      <c r="K52" s="94"/>
      <c r="L52" s="95"/>
      <c r="M52" s="96"/>
    </row>
    <row r="53" spans="1:13">
      <c r="B53" s="110" t="s">
        <v>123</v>
      </c>
      <c r="C53" s="77">
        <v>1</v>
      </c>
      <c r="D53" s="77">
        <v>8595</v>
      </c>
      <c r="E53" s="77">
        <f>D53*C53</f>
        <v>8595</v>
      </c>
      <c r="F53" s="78">
        <f>F52-E53</f>
        <v>79605</v>
      </c>
      <c r="G53" s="3" t="s">
        <v>124</v>
      </c>
      <c r="J53" s="94"/>
      <c r="K53" s="94"/>
      <c r="L53" s="95"/>
      <c r="M53" s="96"/>
    </row>
    <row r="54" spans="1:13">
      <c r="B54" s="110" t="s">
        <v>123</v>
      </c>
      <c r="C54" s="77">
        <v>9</v>
      </c>
      <c r="D54" s="77">
        <v>8845</v>
      </c>
      <c r="E54" s="77">
        <f>D54*C54</f>
        <v>79605</v>
      </c>
      <c r="F54" s="78">
        <f>F53-E54</f>
        <v>0</v>
      </c>
      <c r="G54" s="3" t="s">
        <v>124</v>
      </c>
      <c r="J54" s="94"/>
      <c r="K54" s="94"/>
      <c r="L54" s="95"/>
      <c r="M54" s="96"/>
    </row>
    <row r="55" spans="1:13">
      <c r="B55" s="94"/>
      <c r="C55" s="94"/>
      <c r="D55" s="111" t="s">
        <v>67</v>
      </c>
      <c r="E55" s="112">
        <f>SUM(E50:E54)</f>
        <v>93450</v>
      </c>
      <c r="F55" s="78"/>
      <c r="J55" s="94"/>
      <c r="K55" s="94"/>
      <c r="L55" s="95"/>
      <c r="M55" s="96"/>
    </row>
    <row r="56" spans="1:13">
      <c r="B56" s="101"/>
      <c r="C56" s="101"/>
      <c r="J56" s="94"/>
      <c r="K56" s="94"/>
      <c r="L56" s="95"/>
      <c r="M56" s="96"/>
    </row>
    <row r="57" spans="1:13">
      <c r="B57" s="101"/>
      <c r="C57" s="101"/>
      <c r="J57" s="94"/>
      <c r="K57" s="94"/>
      <c r="L57" s="95"/>
      <c r="M57" s="96"/>
    </row>
    <row r="58" spans="1:13">
      <c r="A58" s="98"/>
    </row>
    <row r="59" spans="1:13">
      <c r="A59" s="88"/>
    </row>
    <row r="60" spans="1:13">
      <c r="A60" s="88"/>
    </row>
    <row r="62" spans="1:13">
      <c r="B62" t="s">
        <v>325</v>
      </c>
    </row>
    <row r="63" spans="1:13">
      <c r="A63" s="103" t="s">
        <v>326</v>
      </c>
      <c r="B63" s="103"/>
      <c r="C63" s="103"/>
    </row>
    <row r="64" spans="1:13">
      <c r="A64" s="100"/>
      <c r="C64" s="171"/>
    </row>
    <row r="65" spans="1:5">
      <c r="A65" s="172">
        <v>44929</v>
      </c>
      <c r="B65" s="173" t="s">
        <v>327</v>
      </c>
      <c r="C65" s="103"/>
      <c r="D65" s="77">
        <f>SUM(D66:D71)</f>
        <v>0</v>
      </c>
      <c r="E65" s="77">
        <f>SUM(E66:E71)</f>
        <v>0</v>
      </c>
    </row>
    <row r="66" spans="1:5">
      <c r="A66" s="100"/>
      <c r="B66" s="106" t="s">
        <v>328</v>
      </c>
    </row>
    <row r="67" spans="1:5">
      <c r="B67" t="s">
        <v>329</v>
      </c>
    </row>
    <row r="68" spans="1:5">
      <c r="B68" t="s">
        <v>330</v>
      </c>
    </row>
    <row r="69" spans="1:5">
      <c r="B69" t="s">
        <v>331</v>
      </c>
    </row>
    <row r="70" spans="1:5">
      <c r="B70" t="s">
        <v>332</v>
      </c>
    </row>
    <row r="71" spans="1:5">
      <c r="B71" t="s">
        <v>333</v>
      </c>
      <c r="C71" s="106"/>
    </row>
    <row r="72" spans="1:5">
      <c r="C72" s="106"/>
    </row>
    <row r="74" spans="1:5">
      <c r="B74" s="17"/>
    </row>
    <row r="75" spans="1:5">
      <c r="B75" s="102"/>
    </row>
    <row r="76" spans="1:5">
      <c r="A76" s="103"/>
      <c r="B76" s="104" t="s">
        <v>83</v>
      </c>
      <c r="C76" s="103"/>
      <c r="E76" s="77">
        <f>SUM(E77:E88)</f>
        <v>-1797.23</v>
      </c>
    </row>
    <row r="78" spans="1:5">
      <c r="A78" s="88">
        <v>45373</v>
      </c>
      <c r="B78" s="8" t="s">
        <v>334</v>
      </c>
      <c r="C78">
        <v>10176.39</v>
      </c>
      <c r="D78" s="77" t="s">
        <v>335</v>
      </c>
      <c r="E78" s="77">
        <v>-1130.71</v>
      </c>
    </row>
    <row r="79" spans="1:5">
      <c r="A79" s="88">
        <v>45375</v>
      </c>
      <c r="B79" s="8" t="s">
        <v>336</v>
      </c>
      <c r="C79">
        <v>5999</v>
      </c>
      <c r="D79" s="77" t="s">
        <v>335</v>
      </c>
      <c r="E79" s="77">
        <v>-666.52</v>
      </c>
    </row>
    <row r="80" spans="1:5">
      <c r="A80" s="88"/>
    </row>
    <row r="81" spans="1:5" ht="15">
      <c r="A81" s="88"/>
      <c r="C81" s="105" t="s">
        <v>84</v>
      </c>
    </row>
    <row r="83" spans="1:5">
      <c r="A83" s="100"/>
      <c r="B83" s="106"/>
      <c r="C83" s="106"/>
    </row>
    <row r="84" spans="1:5">
      <c r="A84" s="100"/>
      <c r="B84" s="106"/>
      <c r="C84" s="106"/>
    </row>
    <row r="85" spans="1:5">
      <c r="A85" s="100"/>
      <c r="B85" s="107"/>
      <c r="C85" s="106"/>
    </row>
    <row r="86" spans="1:5">
      <c r="A86" s="100"/>
      <c r="B86" s="107"/>
      <c r="C86" s="106"/>
    </row>
    <row r="87" spans="1:5">
      <c r="A87" s="100"/>
      <c r="B87" s="107"/>
    </row>
    <row r="88" spans="1:5">
      <c r="A88" s="100"/>
      <c r="B88" s="107"/>
      <c r="C88" s="106"/>
    </row>
    <row r="89" spans="1:5">
      <c r="A89" s="100"/>
      <c r="B89" s="3"/>
    </row>
    <row r="90" spans="1:5">
      <c r="A90" s="100"/>
      <c r="B90" s="106"/>
      <c r="C90" s="106"/>
    </row>
    <row r="91" spans="1:5">
      <c r="A91" s="103"/>
      <c r="B91" s="104" t="s">
        <v>85</v>
      </c>
      <c r="C91" s="103"/>
      <c r="E91" s="77">
        <f>SUM(E92:E110)</f>
        <v>-9239.0299999999988</v>
      </c>
    </row>
    <row r="92" spans="1:5">
      <c r="A92" s="100"/>
      <c r="B92" s="106"/>
      <c r="C92" s="106"/>
    </row>
    <row r="93" spans="1:5">
      <c r="A93" s="100"/>
      <c r="B93" s="106"/>
      <c r="C93" s="106"/>
    </row>
    <row r="94" spans="1:5">
      <c r="A94" s="100"/>
      <c r="B94" s="3" t="s">
        <v>337</v>
      </c>
      <c r="C94" s="106"/>
      <c r="E94" s="77">
        <v>-429.88</v>
      </c>
    </row>
    <row r="95" spans="1:5">
      <c r="A95" s="100"/>
      <c r="B95" s="3" t="s">
        <v>338</v>
      </c>
      <c r="C95" s="106"/>
      <c r="E95" s="77">
        <v>-654.99</v>
      </c>
    </row>
    <row r="96" spans="1:5">
      <c r="A96" s="100"/>
      <c r="B96" s="3" t="s">
        <v>339</v>
      </c>
      <c r="C96" s="106"/>
      <c r="E96" s="77">
        <v>-1600</v>
      </c>
    </row>
    <row r="97" spans="1:5">
      <c r="A97" s="100"/>
      <c r="B97" s="3" t="s">
        <v>127</v>
      </c>
      <c r="C97" s="106"/>
      <c r="E97" s="77">
        <v>-125.48</v>
      </c>
    </row>
    <row r="98" spans="1:5">
      <c r="A98" s="100"/>
      <c r="B98" s="3" t="s">
        <v>127</v>
      </c>
      <c r="C98" s="106"/>
      <c r="E98" s="77">
        <v>-297.45</v>
      </c>
    </row>
    <row r="99" spans="1:5">
      <c r="A99" s="100"/>
      <c r="B99" s="3" t="s">
        <v>127</v>
      </c>
      <c r="C99" s="106"/>
      <c r="E99" s="77">
        <v>-174</v>
      </c>
    </row>
    <row r="100" spans="1:5">
      <c r="A100" s="100"/>
      <c r="B100" s="3" t="s">
        <v>127</v>
      </c>
      <c r="C100" s="106"/>
      <c r="E100" s="77">
        <v>-49</v>
      </c>
    </row>
    <row r="101" spans="1:5">
      <c r="A101" s="100"/>
      <c r="B101" s="3" t="s">
        <v>127</v>
      </c>
      <c r="C101" s="106"/>
      <c r="E101" s="77">
        <v>-29.9</v>
      </c>
    </row>
    <row r="102" spans="1:5">
      <c r="A102" s="100"/>
      <c r="B102" s="3" t="s">
        <v>340</v>
      </c>
      <c r="C102" s="106"/>
      <c r="E102" s="77">
        <v>-525</v>
      </c>
    </row>
    <row r="103" spans="1:5">
      <c r="A103" s="100"/>
      <c r="B103" s="3" t="s">
        <v>127</v>
      </c>
      <c r="C103" s="106"/>
      <c r="E103" s="77">
        <v>-257.33</v>
      </c>
    </row>
    <row r="104" spans="1:5">
      <c r="A104" s="100"/>
      <c r="B104" s="3" t="s">
        <v>341</v>
      </c>
      <c r="C104" s="106"/>
      <c r="E104" s="77">
        <v>-84.95</v>
      </c>
    </row>
    <row r="105" spans="1:5">
      <c r="A105" s="100"/>
      <c r="B105" s="3" t="s">
        <v>129</v>
      </c>
      <c r="C105" s="106">
        <v>129000.63</v>
      </c>
    </row>
    <row r="106" spans="1:5">
      <c r="A106" s="100"/>
      <c r="B106" s="3" t="s">
        <v>342</v>
      </c>
      <c r="C106" s="106"/>
      <c r="E106" s="77">
        <v>-500</v>
      </c>
    </row>
    <row r="107" spans="1:5">
      <c r="A107" s="100"/>
      <c r="B107" s="3" t="s">
        <v>341</v>
      </c>
      <c r="C107" s="106"/>
      <c r="E107" s="77">
        <v>-886.3</v>
      </c>
    </row>
    <row r="108" spans="1:5">
      <c r="A108" s="100"/>
      <c r="B108" s="3" t="s">
        <v>341</v>
      </c>
      <c r="C108" s="106"/>
      <c r="E108" s="77">
        <v>-99.75</v>
      </c>
    </row>
    <row r="109" spans="1:5">
      <c r="A109" s="100">
        <v>45606</v>
      </c>
      <c r="B109" s="3" t="s">
        <v>343</v>
      </c>
      <c r="C109" s="106"/>
      <c r="E109" s="77">
        <v>-3525</v>
      </c>
    </row>
    <row r="110" spans="1:5">
      <c r="A110" s="100"/>
      <c r="B110" s="3"/>
      <c r="C110" s="106"/>
    </row>
    <row r="111" spans="1:5" ht="15">
      <c r="A111" s="100"/>
      <c r="B111" s="3"/>
      <c r="C111" s="105" t="s">
        <v>84</v>
      </c>
    </row>
    <row r="112" spans="1:5">
      <c r="A112" s="100"/>
      <c r="B112" s="3"/>
      <c r="C112" s="106"/>
    </row>
    <row r="113" spans="1:5">
      <c r="A113" s="100"/>
      <c r="B113" s="3"/>
      <c r="C113" s="106"/>
    </row>
    <row r="114" spans="1:5">
      <c r="A114" s="100"/>
      <c r="B114" s="3"/>
      <c r="C114" s="106"/>
    </row>
    <row r="115" spans="1:5">
      <c r="A115" s="100"/>
      <c r="B115" s="3"/>
      <c r="C115" s="106"/>
    </row>
    <row r="116" spans="1:5">
      <c r="A116" s="100"/>
      <c r="B116" s="3"/>
      <c r="C116" s="106"/>
    </row>
    <row r="117" spans="1:5">
      <c r="A117" s="100"/>
      <c r="B117" s="3"/>
      <c r="C117" s="106"/>
    </row>
    <row r="118" spans="1:5">
      <c r="A118" s="100"/>
      <c r="B118" s="3"/>
      <c r="C118" s="106"/>
    </row>
    <row r="119" spans="1:5">
      <c r="A119" s="100"/>
      <c r="B119" s="3"/>
      <c r="C119" s="106"/>
    </row>
    <row r="120" spans="1:5">
      <c r="A120" s="100"/>
      <c r="B120" s="3"/>
      <c r="C120" s="106"/>
    </row>
    <row r="121" spans="1:5">
      <c r="A121" s="100"/>
      <c r="B121" s="3"/>
      <c r="C121" s="106"/>
    </row>
    <row r="122" spans="1:5">
      <c r="A122" s="100"/>
      <c r="B122" s="3"/>
      <c r="C122" s="106"/>
    </row>
    <row r="125" spans="1:5">
      <c r="A125" s="113" t="s">
        <v>344</v>
      </c>
      <c r="B125" s="104" t="s">
        <v>136</v>
      </c>
      <c r="C125" s="103">
        <v>2024</v>
      </c>
      <c r="E125" s="77">
        <f>SUM(E126:E148)</f>
        <v>676383.38</v>
      </c>
    </row>
    <row r="126" spans="1:5">
      <c r="A126" s="100"/>
      <c r="B126" s="8" t="s">
        <v>77</v>
      </c>
      <c r="E126" s="77">
        <v>0</v>
      </c>
    </row>
    <row r="127" spans="1:5">
      <c r="A127" s="100"/>
      <c r="B127" s="8" t="s">
        <v>78</v>
      </c>
    </row>
    <row r="128" spans="1:5">
      <c r="A128" s="100"/>
      <c r="B128" s="8" t="s">
        <v>138</v>
      </c>
      <c r="C128" s="488">
        <v>329500</v>
      </c>
      <c r="D128" s="12">
        <v>34170</v>
      </c>
      <c r="E128" s="12">
        <f>C128-D128</f>
        <v>295330</v>
      </c>
    </row>
    <row r="129" spans="1:6">
      <c r="A129" s="100"/>
    </row>
    <row r="130" spans="1:6">
      <c r="A130" s="100"/>
      <c r="B130" s="8" t="s">
        <v>139</v>
      </c>
      <c r="C130" s="2"/>
      <c r="D130" s="2"/>
      <c r="E130" s="17">
        <v>21084</v>
      </c>
    </row>
    <row r="131" spans="1:6">
      <c r="A131" s="100"/>
      <c r="C131" s="2"/>
      <c r="D131" s="2"/>
      <c r="E131" s="17"/>
    </row>
    <row r="132" spans="1:6">
      <c r="A132" s="100"/>
      <c r="B132" s="8" t="s">
        <v>141</v>
      </c>
      <c r="C132" s="2">
        <v>40</v>
      </c>
      <c r="D132" s="174">
        <v>852</v>
      </c>
      <c r="E132" s="17">
        <f>D132*C132</f>
        <v>34080</v>
      </c>
    </row>
    <row r="133" spans="1:6">
      <c r="A133" s="100"/>
      <c r="B133" s="8" t="s">
        <v>142</v>
      </c>
      <c r="C133" s="2">
        <v>4000</v>
      </c>
      <c r="D133" s="2">
        <v>31</v>
      </c>
      <c r="E133" s="17">
        <f>D133*C133</f>
        <v>124000</v>
      </c>
      <c r="F133" s="17">
        <f>SUM(E132:E133)</f>
        <v>158080</v>
      </c>
    </row>
    <row r="134" spans="1:6">
      <c r="A134" s="100"/>
      <c r="C134" s="2"/>
      <c r="D134" s="2"/>
    </row>
    <row r="135" spans="1:6">
      <c r="A135" s="100"/>
      <c r="B135" s="8" t="s">
        <v>143</v>
      </c>
      <c r="C135" s="175">
        <v>125000</v>
      </c>
      <c r="D135" s="174">
        <v>0.77971599999999996</v>
      </c>
      <c r="E135" s="17">
        <f>D135*C135</f>
        <v>97464.5</v>
      </c>
    </row>
    <row r="136" spans="1:6">
      <c r="A136" s="100"/>
      <c r="B136" s="8" t="s">
        <v>144</v>
      </c>
      <c r="C136" s="2">
        <v>10</v>
      </c>
      <c r="D136" s="2">
        <v>103.7</v>
      </c>
      <c r="E136" s="17">
        <f>D136*C136</f>
        <v>1037</v>
      </c>
    </row>
    <row r="137" spans="1:6">
      <c r="A137" s="100"/>
      <c r="B137" s="8" t="s">
        <v>145</v>
      </c>
      <c r="C137" s="2">
        <v>38</v>
      </c>
      <c r="D137" s="2">
        <v>21.42</v>
      </c>
      <c r="E137" s="17">
        <f>D137*C137</f>
        <v>813.96</v>
      </c>
    </row>
    <row r="138" spans="1:6">
      <c r="A138" s="100"/>
      <c r="B138" s="8" t="s">
        <v>146</v>
      </c>
      <c r="C138" s="2">
        <v>26</v>
      </c>
      <c r="D138" s="2">
        <v>25.92</v>
      </c>
      <c r="E138" s="17">
        <f>D138*C138</f>
        <v>673.92000000000007</v>
      </c>
      <c r="F138" s="17">
        <f>SUM(E135:E138)</f>
        <v>99989.38</v>
      </c>
    </row>
    <row r="139" spans="1:6">
      <c r="A139" s="100"/>
      <c r="B139" s="8" t="s">
        <v>140</v>
      </c>
      <c r="C139" s="2"/>
      <c r="D139" s="2"/>
    </row>
    <row r="140" spans="1:6">
      <c r="A140" s="100"/>
    </row>
    <row r="141" spans="1:6">
      <c r="A141" s="100"/>
      <c r="B141" s="8" t="s">
        <v>345</v>
      </c>
      <c r="C141" s="2">
        <v>2900</v>
      </c>
      <c r="D141" s="2">
        <v>1</v>
      </c>
      <c r="E141" s="17">
        <f>D141*C141</f>
        <v>2900</v>
      </c>
    </row>
    <row r="142" spans="1:6">
      <c r="A142" s="100"/>
      <c r="B142" s="8" t="s">
        <v>148</v>
      </c>
      <c r="C142" s="2">
        <v>4900</v>
      </c>
      <c r="D142" s="2">
        <v>16</v>
      </c>
      <c r="E142" s="17">
        <f>D142*C142</f>
        <v>78400</v>
      </c>
    </row>
    <row r="143" spans="1:6">
      <c r="A143" s="100"/>
      <c r="B143" s="8" t="s">
        <v>149</v>
      </c>
      <c r="C143" s="2">
        <v>19600</v>
      </c>
      <c r="D143" s="2">
        <v>1</v>
      </c>
      <c r="E143" s="17">
        <f>D143*C143</f>
        <v>19600</v>
      </c>
      <c r="F143" s="17">
        <f>SUM(E141:E143)</f>
        <v>100900</v>
      </c>
    </row>
    <row r="144" spans="1:6">
      <c r="A144" s="100"/>
      <c r="C144" s="2"/>
      <c r="D144" s="2"/>
    </row>
    <row r="145" spans="1:5">
      <c r="A145" s="100"/>
      <c r="B145" s="8" t="s">
        <v>150</v>
      </c>
      <c r="C145" s="120">
        <v>33.250599999999999</v>
      </c>
      <c r="D145" s="2"/>
      <c r="E145" s="17"/>
    </row>
    <row r="146" spans="1:5">
      <c r="A146" s="100"/>
      <c r="B146" s="8" t="s">
        <v>151</v>
      </c>
      <c r="C146" s="120">
        <v>36.854999999999997</v>
      </c>
      <c r="D146" s="2"/>
      <c r="E146" s="17"/>
    </row>
    <row r="147" spans="1:5">
      <c r="A147" s="100"/>
      <c r="B147" s="8" t="s">
        <v>152</v>
      </c>
      <c r="C147" s="2"/>
      <c r="D147" s="2"/>
      <c r="E147" s="17">
        <v>0</v>
      </c>
    </row>
    <row r="148" spans="1:5">
      <c r="A148" s="100"/>
      <c r="B148" s="8" t="s">
        <v>153</v>
      </c>
      <c r="C148" s="2"/>
      <c r="D148" s="2"/>
      <c r="E148" s="17">
        <v>1000</v>
      </c>
    </row>
    <row r="149" spans="1:5">
      <c r="A149" s="100"/>
      <c r="E149" s="176"/>
    </row>
    <row r="150" spans="1:5">
      <c r="A150" s="100"/>
      <c r="C150" s="124"/>
      <c r="D150" s="3"/>
      <c r="E150" s="124"/>
    </row>
    <row r="151" spans="1:5">
      <c r="A151" s="100"/>
      <c r="C151" s="124"/>
      <c r="D151" s="18" t="s">
        <v>155</v>
      </c>
      <c r="E151" s="9">
        <f>SUM(E126:E148)</f>
        <v>676383.38</v>
      </c>
    </row>
    <row r="152" spans="1:5">
      <c r="A152" s="100"/>
      <c r="C152" s="125" t="str">
        <f>A125</f>
        <v>ARALIKa</v>
      </c>
      <c r="D152" s="126" t="s">
        <v>156</v>
      </c>
      <c r="E152" s="127" t="e">
        <f>#REF!</f>
        <v>#REF!</v>
      </c>
    </row>
    <row r="153" spans="1:5">
      <c r="A153" s="100"/>
    </row>
    <row r="154" spans="1:5">
      <c r="A154" s="100"/>
    </row>
    <row r="155" spans="1:5">
      <c r="A155" s="100"/>
    </row>
    <row r="160" spans="1:5">
      <c r="B160" s="3" t="s">
        <v>346</v>
      </c>
    </row>
    <row r="161" spans="1:8">
      <c r="B161" s="3" t="s">
        <v>347</v>
      </c>
    </row>
    <row r="162" spans="1:8">
      <c r="B162" s="3" t="s">
        <v>348</v>
      </c>
    </row>
    <row r="163" spans="1:8">
      <c r="B163" s="142"/>
    </row>
    <row r="165" spans="1:8">
      <c r="A165" s="113" t="s">
        <v>349</v>
      </c>
      <c r="B165" s="104" t="s">
        <v>136</v>
      </c>
      <c r="C165" s="103">
        <v>2024</v>
      </c>
      <c r="G165" s="77">
        <f>SUM(G169:G192)</f>
        <v>815483.7</v>
      </c>
    </row>
    <row r="166" spans="1:8">
      <c r="A166" s="113"/>
      <c r="B166" s="104"/>
      <c r="C166" s="103"/>
    </row>
    <row r="167" spans="1:8">
      <c r="A167" s="113"/>
      <c r="B167" s="104"/>
      <c r="C167" s="103"/>
      <c r="E167" s="77" t="s">
        <v>137</v>
      </c>
    </row>
    <row r="168" spans="1:8">
      <c r="A168" s="100"/>
      <c r="B168" s="8" t="s">
        <v>77</v>
      </c>
    </row>
    <row r="169" spans="1:8">
      <c r="A169" s="100"/>
      <c r="B169" s="8" t="s">
        <v>78</v>
      </c>
      <c r="G169" s="77">
        <v>0</v>
      </c>
    </row>
    <row r="170" spans="1:8">
      <c r="A170" s="100"/>
      <c r="B170" s="8" t="s">
        <v>246</v>
      </c>
      <c r="E170" s="488">
        <v>295330</v>
      </c>
      <c r="F170" s="12">
        <v>38000</v>
      </c>
      <c r="G170" s="12">
        <f>E170-F170</f>
        <v>257330</v>
      </c>
    </row>
    <row r="171" spans="1:8">
      <c r="A171" s="100"/>
    </row>
    <row r="172" spans="1:8">
      <c r="A172" s="100"/>
      <c r="B172" s="8" t="s">
        <v>139</v>
      </c>
      <c r="C172" s="2"/>
      <c r="D172" s="2"/>
      <c r="G172" s="17">
        <v>195002.23999999999</v>
      </c>
    </row>
    <row r="173" spans="1:8">
      <c r="A173" s="100"/>
      <c r="C173" s="2"/>
      <c r="D173" s="2"/>
      <c r="G173" s="17"/>
    </row>
    <row r="174" spans="1:8">
      <c r="A174" s="100">
        <v>45553</v>
      </c>
      <c r="B174" s="82" t="s">
        <v>141</v>
      </c>
      <c r="C174" s="114">
        <v>40</v>
      </c>
      <c r="D174" s="115">
        <v>752.55561799999998</v>
      </c>
      <c r="E174" s="116">
        <f>D174*C174</f>
        <v>30102.224719999998</v>
      </c>
      <c r="F174" s="77">
        <v>864</v>
      </c>
      <c r="G174" s="17">
        <f>F174*C174</f>
        <v>34560</v>
      </c>
    </row>
    <row r="175" spans="1:8">
      <c r="A175" s="100">
        <v>45620</v>
      </c>
      <c r="B175" s="82" t="s">
        <v>142</v>
      </c>
      <c r="C175" s="114">
        <v>4000</v>
      </c>
      <c r="D175" s="114">
        <v>32.479999999999997</v>
      </c>
      <c r="E175" s="116">
        <f>D175*C175</f>
        <v>129919.99999999999</v>
      </c>
      <c r="F175" s="77">
        <v>30.95</v>
      </c>
      <c r="G175" s="17">
        <f>F175*C175</f>
        <v>123800</v>
      </c>
      <c r="H175" s="17">
        <f>SUM(G174:G175)</f>
        <v>158360</v>
      </c>
    </row>
    <row r="176" spans="1:8">
      <c r="A176" s="100"/>
      <c r="B176" s="82"/>
      <c r="C176" s="114"/>
      <c r="D176" s="114"/>
      <c r="E176" s="116"/>
      <c r="G176" s="17"/>
      <c r="H176" s="17"/>
    </row>
    <row r="177" spans="1:8">
      <c r="A177" s="100"/>
      <c r="C177" s="2"/>
      <c r="D177" s="2"/>
      <c r="E177" s="17"/>
      <c r="F177" s="77">
        <f>(SUM(G174:G175))-(SUM(E174:E175))</f>
        <v>-1662.2247199999983</v>
      </c>
      <c r="G177" s="17"/>
      <c r="H177" s="17"/>
    </row>
    <row r="178" spans="1:8">
      <c r="A178" s="100"/>
      <c r="C178" s="2"/>
      <c r="D178" s="2"/>
    </row>
    <row r="179" spans="1:8">
      <c r="A179" s="100">
        <v>45345</v>
      </c>
      <c r="B179" s="8" t="s">
        <v>143</v>
      </c>
      <c r="C179" s="175">
        <v>125000</v>
      </c>
      <c r="D179" s="77">
        <v>1.0399430000000001</v>
      </c>
      <c r="E179" s="17">
        <f>D179*C179</f>
        <v>129992.87500000001</v>
      </c>
      <c r="F179" s="174">
        <v>0.78469999999999995</v>
      </c>
      <c r="G179" s="17">
        <f>F179*C179</f>
        <v>98087.5</v>
      </c>
    </row>
    <row r="180" spans="1:8">
      <c r="A180" s="100">
        <v>45400</v>
      </c>
      <c r="B180" s="8" t="s">
        <v>144</v>
      </c>
      <c r="C180" s="2">
        <v>10</v>
      </c>
      <c r="D180" s="77">
        <v>135</v>
      </c>
      <c r="E180" s="17">
        <f>D180*C180</f>
        <v>1350</v>
      </c>
      <c r="F180" s="2">
        <v>127.3</v>
      </c>
      <c r="G180" s="17">
        <f>F180*C180</f>
        <v>1273</v>
      </c>
    </row>
    <row r="181" spans="1:8">
      <c r="A181" s="100">
        <v>45418</v>
      </c>
      <c r="B181" s="8" t="s">
        <v>145</v>
      </c>
      <c r="C181" s="2">
        <v>38</v>
      </c>
      <c r="D181" s="77">
        <v>30.5</v>
      </c>
      <c r="E181" s="17">
        <f>D181*C181</f>
        <v>1159</v>
      </c>
      <c r="F181" s="2">
        <v>20.14</v>
      </c>
      <c r="G181" s="17">
        <f>F181*C181</f>
        <v>765.32</v>
      </c>
    </row>
    <row r="182" spans="1:8">
      <c r="A182" s="100">
        <v>45418</v>
      </c>
      <c r="B182" s="8" t="s">
        <v>146</v>
      </c>
      <c r="C182" s="2">
        <v>26</v>
      </c>
      <c r="D182" s="77">
        <v>37.115000000000002</v>
      </c>
      <c r="E182" s="17">
        <f>D182*C182</f>
        <v>964.99</v>
      </c>
      <c r="F182" s="2">
        <v>27.14</v>
      </c>
      <c r="G182" s="17">
        <f>F182*C182</f>
        <v>705.64</v>
      </c>
      <c r="H182" s="17">
        <f>SUM(G179:G182)</f>
        <v>100831.46</v>
      </c>
    </row>
    <row r="183" spans="1:8">
      <c r="A183" s="100"/>
      <c r="B183" s="8" t="s">
        <v>140</v>
      </c>
      <c r="C183" s="2"/>
      <c r="D183" s="2"/>
      <c r="E183" s="17"/>
      <c r="F183" s="77">
        <f>(SUM(G179:G182))-(SUM(E179:E182))</f>
        <v>-32635.404999999984</v>
      </c>
    </row>
    <row r="184" spans="1:8">
      <c r="A184" s="100"/>
      <c r="E184" s="17"/>
    </row>
    <row r="185" spans="1:8">
      <c r="A185" s="100"/>
      <c r="B185" s="8" t="s">
        <v>147</v>
      </c>
      <c r="C185" s="2">
        <v>1</v>
      </c>
      <c r="D185" s="77">
        <v>2500</v>
      </c>
      <c r="E185" s="17">
        <f>D185*C185</f>
        <v>2500</v>
      </c>
      <c r="F185" s="2">
        <v>2960</v>
      </c>
      <c r="G185" s="17">
        <f>C185*F185</f>
        <v>2960</v>
      </c>
    </row>
    <row r="186" spans="1:8">
      <c r="A186" s="100"/>
      <c r="B186" s="8" t="s">
        <v>148</v>
      </c>
      <c r="C186" s="2">
        <v>16</v>
      </c>
      <c r="D186" s="77">
        <v>4100</v>
      </c>
      <c r="E186" s="17">
        <f>D186*C186</f>
        <v>65600</v>
      </c>
      <c r="F186" s="2">
        <v>5000</v>
      </c>
      <c r="G186" s="17">
        <f>C186*F186</f>
        <v>80000</v>
      </c>
    </row>
    <row r="187" spans="1:8">
      <c r="A187" s="100"/>
      <c r="B187" s="8" t="s">
        <v>149</v>
      </c>
      <c r="C187" s="2">
        <v>1</v>
      </c>
      <c r="D187" s="77">
        <v>16200</v>
      </c>
      <c r="E187" s="17">
        <f>D187*C187</f>
        <v>16200</v>
      </c>
      <c r="F187" s="2">
        <v>20000</v>
      </c>
      <c r="G187" s="17">
        <f>C187*F187</f>
        <v>20000</v>
      </c>
      <c r="H187" s="17">
        <f>SUM(G185:G187)</f>
        <v>102960</v>
      </c>
    </row>
    <row r="188" spans="1:8">
      <c r="A188" s="100"/>
      <c r="C188" s="2"/>
      <c r="D188" s="2"/>
      <c r="F188" s="77">
        <f>(SUM(G185:G187))-(SUM(E185:E187))</f>
        <v>18660</v>
      </c>
    </row>
    <row r="189" spans="1:8">
      <c r="A189" s="100"/>
      <c r="B189" s="8" t="s">
        <v>150</v>
      </c>
      <c r="C189" s="120">
        <v>33.250599999999999</v>
      </c>
      <c r="D189" s="2"/>
      <c r="G189" s="17"/>
    </row>
    <row r="190" spans="1:8">
      <c r="A190" s="100"/>
      <c r="B190" s="8" t="s">
        <v>151</v>
      </c>
      <c r="C190" s="120">
        <v>36.854999999999997</v>
      </c>
      <c r="D190" s="2"/>
      <c r="G190" s="17"/>
    </row>
    <row r="191" spans="1:8">
      <c r="A191" s="100"/>
      <c r="B191" s="8" t="s">
        <v>152</v>
      </c>
      <c r="C191" s="2"/>
      <c r="D191" s="2"/>
      <c r="G191" s="17">
        <v>0</v>
      </c>
    </row>
    <row r="192" spans="1:8">
      <c r="A192" s="100"/>
      <c r="B192" s="8" t="s">
        <v>153</v>
      </c>
      <c r="C192" s="2"/>
      <c r="D192" s="2"/>
      <c r="G192" s="17">
        <v>1000</v>
      </c>
    </row>
    <row r="193" spans="1:7">
      <c r="A193" s="100"/>
      <c r="F193" s="77">
        <f>F188+F183+F177</f>
        <v>-15637.629719999983</v>
      </c>
      <c r="G193" s="176"/>
    </row>
    <row r="194" spans="1:7">
      <c r="A194" s="100"/>
      <c r="C194" s="124"/>
      <c r="D194" s="3"/>
      <c r="G194" s="124"/>
    </row>
    <row r="195" spans="1:7">
      <c r="A195" s="100"/>
      <c r="C195" s="124"/>
      <c r="D195" s="18" t="s">
        <v>155</v>
      </c>
      <c r="G195" s="9">
        <f>SUM(G169:G192)</f>
        <v>815483.7</v>
      </c>
    </row>
    <row r="196" spans="1:7">
      <c r="A196" s="100"/>
      <c r="C196" s="125" t="str">
        <f>A165</f>
        <v>OCAK 2025 e</v>
      </c>
      <c r="D196" s="126" t="s">
        <v>156</v>
      </c>
      <c r="G196" s="12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E2F0D9"/>
  </sheetPr>
  <dimension ref="A1:H137"/>
  <sheetViews>
    <sheetView topLeftCell="A13" zoomScale="145" zoomScaleNormal="145" workbookViewId="0">
      <selection activeCell="B114" sqref="B11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350</v>
      </c>
      <c r="C2" s="79" t="s">
        <v>67</v>
      </c>
      <c r="D2" s="77">
        <f>SUM(D4:D38)</f>
        <v>277984.15000000002</v>
      </c>
      <c r="E2" s="77">
        <f>SUM(E4:E38)</f>
        <v>-182434.39</v>
      </c>
      <c r="F2" s="77">
        <f>SUM(F4:F38)</f>
        <v>212306.38</v>
      </c>
      <c r="G2" s="77">
        <f>SUM(G4:G38)</f>
        <v>-220559.32</v>
      </c>
      <c r="H2" s="77">
        <f>F2+G2</f>
        <v>-8252.9400000000023</v>
      </c>
    </row>
    <row r="3" spans="1:8">
      <c r="B3" s="18"/>
    </row>
    <row r="4" spans="1:8">
      <c r="D4" s="78"/>
      <c r="E4" s="78">
        <v>0</v>
      </c>
      <c r="H4" s="77">
        <f t="shared" ref="H4:H36" si="0">H3+F4+G4</f>
        <v>0</v>
      </c>
    </row>
    <row r="5" spans="1:8">
      <c r="D5" s="78"/>
      <c r="E5" s="78">
        <v>0</v>
      </c>
      <c r="H5" s="77">
        <f t="shared" si="0"/>
        <v>0</v>
      </c>
    </row>
    <row r="6" spans="1:8">
      <c r="B6" s="101" t="s">
        <v>351</v>
      </c>
      <c r="C6" s="101" t="s">
        <v>352</v>
      </c>
      <c r="D6" s="78"/>
      <c r="E6" s="78">
        <v>-250</v>
      </c>
      <c r="H6" s="77">
        <f t="shared" si="0"/>
        <v>0</v>
      </c>
    </row>
    <row r="7" spans="1:8">
      <c r="A7" s="165">
        <v>45596</v>
      </c>
      <c r="B7" s="177" t="s">
        <v>69</v>
      </c>
      <c r="D7" s="78"/>
      <c r="E7" s="78">
        <f>E69</f>
        <v>-129000.63</v>
      </c>
      <c r="F7" s="78"/>
      <c r="G7" s="78">
        <v>-129000.63</v>
      </c>
      <c r="H7" s="78">
        <f t="shared" si="0"/>
        <v>-129000.63</v>
      </c>
    </row>
    <row r="8" spans="1:8">
      <c r="A8" s="165">
        <v>45597</v>
      </c>
      <c r="B8" s="101" t="s">
        <v>70</v>
      </c>
      <c r="G8" s="78">
        <v>-1512.13</v>
      </c>
      <c r="H8" s="78">
        <f t="shared" si="0"/>
        <v>-130512.76000000001</v>
      </c>
    </row>
    <row r="9" spans="1:8">
      <c r="A9" s="88">
        <v>45569</v>
      </c>
      <c r="B9" s="178" t="s">
        <v>68</v>
      </c>
      <c r="E9" s="78">
        <f>E54</f>
        <v>-1797.26</v>
      </c>
      <c r="F9" s="78"/>
      <c r="G9" s="78">
        <v>-1797.26</v>
      </c>
      <c r="H9" s="78">
        <f t="shared" si="0"/>
        <v>-132310.02000000002</v>
      </c>
    </row>
    <row r="10" spans="1:8">
      <c r="B10" s="177" t="s">
        <v>72</v>
      </c>
      <c r="D10" s="78"/>
      <c r="E10" s="78">
        <f>E49*-1</f>
        <v>0</v>
      </c>
      <c r="H10" s="77">
        <f t="shared" si="0"/>
        <v>-132310.02000000002</v>
      </c>
    </row>
    <row r="11" spans="1:8">
      <c r="A11" s="88">
        <v>45604</v>
      </c>
      <c r="B11" s="101" t="s">
        <v>353</v>
      </c>
      <c r="C11" s="101"/>
      <c r="E11" s="78">
        <v>-17500</v>
      </c>
      <c r="G11" s="78">
        <v>-17500</v>
      </c>
      <c r="H11" s="77">
        <f t="shared" si="0"/>
        <v>-149810.02000000002</v>
      </c>
    </row>
    <row r="12" spans="1:8">
      <c r="A12" s="88">
        <v>45605</v>
      </c>
      <c r="B12" s="82" t="s">
        <v>354</v>
      </c>
      <c r="C12" s="101"/>
      <c r="E12" s="78"/>
      <c r="F12" s="78">
        <v>15000</v>
      </c>
      <c r="G12" s="78"/>
      <c r="H12" s="77">
        <f t="shared" si="0"/>
        <v>-134810.02000000002</v>
      </c>
    </row>
    <row r="13" spans="1:8">
      <c r="A13" s="88">
        <v>45600</v>
      </c>
      <c r="B13" s="41" t="s">
        <v>355</v>
      </c>
      <c r="C13" s="101"/>
      <c r="E13" s="78"/>
      <c r="F13" s="78"/>
      <c r="G13" s="78">
        <v>-206.3</v>
      </c>
      <c r="H13" s="77">
        <f t="shared" si="0"/>
        <v>-135016.32000000001</v>
      </c>
    </row>
    <row r="14" spans="1:8">
      <c r="B14" s="101" t="s">
        <v>80</v>
      </c>
      <c r="C14" s="101"/>
      <c r="E14" s="78">
        <v>-400</v>
      </c>
      <c r="F14" s="78"/>
      <c r="G14" s="78"/>
      <c r="H14" s="77">
        <f t="shared" si="0"/>
        <v>-135016.32000000001</v>
      </c>
    </row>
    <row r="15" spans="1:8">
      <c r="B15" s="101" t="s">
        <v>81</v>
      </c>
      <c r="C15" s="101"/>
      <c r="E15" s="78">
        <v>-500</v>
      </c>
      <c r="F15" s="78"/>
      <c r="G15" s="78"/>
      <c r="H15" s="77">
        <f t="shared" si="0"/>
        <v>-135016.32000000001</v>
      </c>
    </row>
    <row r="16" spans="1:8">
      <c r="A16" s="88">
        <v>45607</v>
      </c>
      <c r="B16" s="101" t="s">
        <v>356</v>
      </c>
      <c r="E16" s="78"/>
      <c r="F16" s="78">
        <v>148500</v>
      </c>
      <c r="G16" s="78"/>
      <c r="H16" s="77">
        <f t="shared" si="0"/>
        <v>13483.679999999993</v>
      </c>
    </row>
    <row r="17" spans="1:8">
      <c r="B17" s="101"/>
      <c r="C17" s="101"/>
      <c r="E17" s="78"/>
      <c r="F17" s="78"/>
      <c r="G17" s="78"/>
      <c r="H17" s="77">
        <f t="shared" si="0"/>
        <v>13483.679999999993</v>
      </c>
    </row>
    <row r="18" spans="1:8">
      <c r="A18" s="88">
        <v>45617</v>
      </c>
      <c r="B18" s="101" t="s">
        <v>75</v>
      </c>
      <c r="C18" s="101"/>
      <c r="E18" s="78">
        <v>-150</v>
      </c>
      <c r="F18" s="78"/>
      <c r="G18" s="78">
        <v>-146</v>
      </c>
      <c r="H18" s="77">
        <f t="shared" si="0"/>
        <v>13337.679999999993</v>
      </c>
    </row>
    <row r="19" spans="1:8">
      <c r="A19" s="88">
        <v>45614</v>
      </c>
      <c r="B19" s="106" t="s">
        <v>73</v>
      </c>
      <c r="C19" s="106"/>
      <c r="E19" s="78">
        <v>-300</v>
      </c>
      <c r="F19" s="78"/>
      <c r="G19" s="78">
        <v>-850</v>
      </c>
      <c r="H19" s="77">
        <f t="shared" si="0"/>
        <v>12487.679999999993</v>
      </c>
    </row>
    <row r="20" spans="1:8">
      <c r="A20" s="88">
        <v>45614</v>
      </c>
      <c r="B20" s="106" t="s">
        <v>74</v>
      </c>
      <c r="C20" s="106"/>
      <c r="E20" s="78">
        <v>-100</v>
      </c>
      <c r="F20" s="78"/>
      <c r="G20" s="78">
        <v>-25</v>
      </c>
      <c r="H20" s="77">
        <f t="shared" si="0"/>
        <v>12462.679999999993</v>
      </c>
    </row>
    <row r="21" spans="1:8">
      <c r="B21" s="101"/>
      <c r="C21" s="101"/>
      <c r="E21" s="78"/>
      <c r="F21" s="78"/>
      <c r="G21" s="78"/>
      <c r="H21" s="77">
        <f t="shared" si="0"/>
        <v>12462.679999999993</v>
      </c>
    </row>
    <row r="22" spans="1:8">
      <c r="A22" s="88">
        <v>45620</v>
      </c>
      <c r="B22" s="166" t="s">
        <v>357</v>
      </c>
      <c r="E22" s="78"/>
      <c r="F22" s="167">
        <v>35800</v>
      </c>
      <c r="G22" s="78"/>
      <c r="H22" s="77">
        <f t="shared" si="0"/>
        <v>48262.679999999993</v>
      </c>
    </row>
    <row r="23" spans="1:8">
      <c r="A23" s="88">
        <v>45623</v>
      </c>
      <c r="B23" s="8" t="s">
        <v>358</v>
      </c>
      <c r="D23" s="83"/>
      <c r="E23" s="78">
        <v>-10000</v>
      </c>
      <c r="F23" s="78"/>
      <c r="G23" s="78">
        <v>-40000</v>
      </c>
      <c r="H23" s="77">
        <f t="shared" si="0"/>
        <v>8262.679999999993</v>
      </c>
    </row>
    <row r="24" spans="1:8">
      <c r="A24" s="88">
        <v>45625</v>
      </c>
      <c r="B24" s="82" t="s">
        <v>98</v>
      </c>
      <c r="C24" s="82" t="s">
        <v>316</v>
      </c>
      <c r="D24" s="83"/>
      <c r="E24" s="167">
        <v>-1380</v>
      </c>
      <c r="F24" s="78"/>
      <c r="G24" s="78"/>
      <c r="H24" s="77">
        <f t="shared" si="0"/>
        <v>8262.679999999993</v>
      </c>
    </row>
    <row r="25" spans="1:8">
      <c r="A25" s="88">
        <v>45626</v>
      </c>
      <c r="B25" s="166" t="s">
        <v>317</v>
      </c>
      <c r="C25" s="82"/>
      <c r="D25" s="83"/>
      <c r="E25" s="167">
        <v>-1415</v>
      </c>
      <c r="F25" s="78"/>
      <c r="G25" s="78"/>
      <c r="H25" s="77">
        <f t="shared" si="0"/>
        <v>8262.679999999993</v>
      </c>
    </row>
    <row r="26" spans="1:8">
      <c r="A26" s="88">
        <v>45626</v>
      </c>
      <c r="B26" s="166" t="s">
        <v>318</v>
      </c>
      <c r="C26" s="82"/>
      <c r="D26" s="83"/>
      <c r="E26" s="167">
        <v>-141.5</v>
      </c>
      <c r="F26" s="78"/>
      <c r="G26" s="78"/>
      <c r="H26" s="77">
        <f t="shared" si="0"/>
        <v>8262.679999999993</v>
      </c>
    </row>
    <row r="27" spans="1:8">
      <c r="E27" s="78"/>
      <c r="F27" s="78"/>
      <c r="G27" s="78"/>
      <c r="H27" s="77">
        <f t="shared" si="0"/>
        <v>8262.679999999993</v>
      </c>
    </row>
    <row r="28" spans="1:8">
      <c r="B28" t="s">
        <v>359</v>
      </c>
      <c r="E28" s="78"/>
      <c r="F28" s="78"/>
      <c r="G28" s="78">
        <v>-5000</v>
      </c>
      <c r="H28" s="77">
        <f t="shared" si="0"/>
        <v>3262.679999999993</v>
      </c>
    </row>
    <row r="29" spans="1:8">
      <c r="B29" t="s">
        <v>77</v>
      </c>
      <c r="E29" s="78">
        <v>-6500</v>
      </c>
      <c r="F29" s="78"/>
      <c r="G29" s="78">
        <v>-6511</v>
      </c>
      <c r="H29" s="77">
        <f t="shared" si="0"/>
        <v>-3248.320000000007</v>
      </c>
    </row>
    <row r="30" spans="1:8">
      <c r="B30" t="s">
        <v>360</v>
      </c>
      <c r="E30" s="78"/>
      <c r="F30" s="78"/>
      <c r="G30" s="78">
        <v>-5000</v>
      </c>
      <c r="H30" s="77">
        <f t="shared" si="0"/>
        <v>-8248.320000000007</v>
      </c>
    </row>
    <row r="31" spans="1:8">
      <c r="B31" t="s">
        <v>78</v>
      </c>
      <c r="E31" s="78">
        <v>-6500</v>
      </c>
      <c r="F31" s="78"/>
      <c r="G31" s="78">
        <v>-6511</v>
      </c>
      <c r="H31" s="77">
        <f t="shared" si="0"/>
        <v>-14759.320000000007</v>
      </c>
    </row>
    <row r="32" spans="1:8">
      <c r="B32" t="s">
        <v>79</v>
      </c>
      <c r="E32" s="78">
        <v>-6500</v>
      </c>
      <c r="F32" s="78"/>
      <c r="G32" s="78">
        <v>-6500</v>
      </c>
      <c r="H32" s="77">
        <f t="shared" si="0"/>
        <v>-21259.320000000007</v>
      </c>
    </row>
    <row r="33" spans="1:8">
      <c r="H33" s="77">
        <f t="shared" si="0"/>
        <v>-21259.320000000007</v>
      </c>
    </row>
    <row r="34" spans="1:8">
      <c r="B34" t="s">
        <v>76</v>
      </c>
      <c r="D34" s="78">
        <v>12984.15</v>
      </c>
      <c r="F34" s="77">
        <v>13006.38</v>
      </c>
      <c r="H34" s="77">
        <f t="shared" si="0"/>
        <v>-8252.9400000000078</v>
      </c>
    </row>
    <row r="35" spans="1:8">
      <c r="A35" s="100"/>
      <c r="B35" s="82" t="s">
        <v>322</v>
      </c>
      <c r="C35" s="82"/>
      <c r="D35" s="83">
        <v>15000</v>
      </c>
      <c r="H35" s="77">
        <f t="shared" si="0"/>
        <v>-8252.9400000000078</v>
      </c>
    </row>
    <row r="36" spans="1:8">
      <c r="B36" s="82" t="s">
        <v>361</v>
      </c>
      <c r="C36" s="168">
        <v>0.234011</v>
      </c>
      <c r="D36" s="83">
        <v>250000</v>
      </c>
      <c r="H36" s="77">
        <f t="shared" si="0"/>
        <v>-8252.9400000000078</v>
      </c>
    </row>
    <row r="38" spans="1:8" ht="15.75">
      <c r="B38" s="179"/>
    </row>
    <row r="40" spans="1:8">
      <c r="B40" t="s">
        <v>325</v>
      </c>
    </row>
    <row r="41" spans="1:8">
      <c r="A41" s="103" t="s">
        <v>326</v>
      </c>
      <c r="B41" s="103"/>
      <c r="C41" s="103"/>
    </row>
    <row r="42" spans="1:8">
      <c r="A42" s="100"/>
      <c r="C42" s="171"/>
    </row>
    <row r="43" spans="1:8">
      <c r="A43" s="172">
        <v>44929</v>
      </c>
      <c r="B43" s="173" t="s">
        <v>327</v>
      </c>
      <c r="C43" s="103"/>
      <c r="D43" s="77">
        <f>SUM(D44:D49)</f>
        <v>0</v>
      </c>
      <c r="E43" s="77">
        <f>SUM(E44:E49)</f>
        <v>0</v>
      </c>
    </row>
    <row r="44" spans="1:8">
      <c r="A44" s="100"/>
      <c r="B44" s="106" t="s">
        <v>328</v>
      </c>
    </row>
    <row r="45" spans="1:8">
      <c r="B45" t="s">
        <v>329</v>
      </c>
    </row>
    <row r="46" spans="1:8">
      <c r="B46" t="s">
        <v>330</v>
      </c>
    </row>
    <row r="47" spans="1:8">
      <c r="B47" t="s">
        <v>331</v>
      </c>
    </row>
    <row r="48" spans="1:8">
      <c r="B48" t="s">
        <v>332</v>
      </c>
    </row>
    <row r="49" spans="1:5">
      <c r="B49" t="s">
        <v>333</v>
      </c>
      <c r="C49" s="106"/>
    </row>
    <row r="50" spans="1:5">
      <c r="C50" s="106"/>
    </row>
    <row r="52" spans="1:5">
      <c r="B52" s="17"/>
    </row>
    <row r="53" spans="1:5">
      <c r="B53" s="102"/>
    </row>
    <row r="54" spans="1:5">
      <c r="A54" s="103"/>
      <c r="B54" s="104" t="s">
        <v>83</v>
      </c>
      <c r="C54" s="103"/>
      <c r="E54" s="77">
        <f>SUM(E55:E66)</f>
        <v>-1797.26</v>
      </c>
    </row>
    <row r="56" spans="1:5">
      <c r="A56" s="88">
        <v>45373</v>
      </c>
      <c r="B56" s="8" t="s">
        <v>334</v>
      </c>
      <c r="C56">
        <v>10176.39</v>
      </c>
      <c r="D56" s="77" t="s">
        <v>362</v>
      </c>
      <c r="E56" s="77">
        <v>-1130.71</v>
      </c>
    </row>
    <row r="57" spans="1:5">
      <c r="A57" s="88">
        <v>45375</v>
      </c>
      <c r="B57" s="8" t="s">
        <v>336</v>
      </c>
      <c r="C57">
        <v>5999</v>
      </c>
      <c r="D57" s="77" t="s">
        <v>363</v>
      </c>
      <c r="E57" s="77">
        <v>-666.55</v>
      </c>
    </row>
    <row r="58" spans="1:5">
      <c r="A58" s="88"/>
    </row>
    <row r="59" spans="1:5" ht="15">
      <c r="D59" s="105" t="s">
        <v>84</v>
      </c>
    </row>
    <row r="61" spans="1:5">
      <c r="A61" s="100"/>
      <c r="B61" s="106"/>
      <c r="C61" s="106"/>
    </row>
    <row r="62" spans="1:5">
      <c r="A62" s="100"/>
      <c r="B62" s="106"/>
      <c r="C62" s="106"/>
    </row>
    <row r="63" spans="1:5">
      <c r="A63" s="100"/>
      <c r="B63" s="107"/>
      <c r="C63" s="106"/>
    </row>
    <row r="64" spans="1:5">
      <c r="A64" s="100"/>
      <c r="B64" s="107"/>
      <c r="C64" s="106"/>
    </row>
    <row r="65" spans="1:5">
      <c r="A65" s="100"/>
      <c r="B65" s="107"/>
    </row>
    <row r="66" spans="1:5">
      <c r="A66" s="100"/>
      <c r="B66" s="107"/>
      <c r="C66" s="106"/>
    </row>
    <row r="67" spans="1:5">
      <c r="A67" s="100"/>
      <c r="B67" s="3"/>
    </row>
    <row r="68" spans="1:5">
      <c r="A68" s="100"/>
      <c r="B68" s="106"/>
      <c r="C68" s="106"/>
    </row>
    <row r="69" spans="1:5">
      <c r="A69" s="103"/>
      <c r="B69" s="104" t="s">
        <v>85</v>
      </c>
      <c r="C69" s="103"/>
      <c r="E69" s="77">
        <f>SUM(E70:E101)</f>
        <v>-129000.63</v>
      </c>
    </row>
    <row r="70" spans="1:5">
      <c r="A70" s="100"/>
      <c r="B70" s="106"/>
      <c r="C70" s="106"/>
    </row>
    <row r="71" spans="1:5">
      <c r="A71" s="100">
        <v>45560</v>
      </c>
      <c r="B71" s="106" t="s">
        <v>364</v>
      </c>
      <c r="C71" s="106"/>
      <c r="E71" s="77">
        <v>-118966.5</v>
      </c>
    </row>
    <row r="72" spans="1:5">
      <c r="A72" s="100"/>
      <c r="B72" s="106" t="s">
        <v>364</v>
      </c>
      <c r="C72" s="106"/>
      <c r="E72" s="77">
        <v>-277.72000000000003</v>
      </c>
    </row>
    <row r="73" spans="1:5">
      <c r="A73" s="100"/>
      <c r="B73" s="3" t="s">
        <v>365</v>
      </c>
      <c r="C73" s="106"/>
      <c r="E73" s="77">
        <v>-1398.6</v>
      </c>
    </row>
    <row r="74" spans="1:5">
      <c r="A74" s="100"/>
      <c r="B74" s="3" t="s">
        <v>366</v>
      </c>
      <c r="C74" s="106"/>
      <c r="E74" s="77">
        <v>-1855</v>
      </c>
    </row>
    <row r="75" spans="1:5">
      <c r="A75" s="100"/>
      <c r="B75" s="3"/>
      <c r="C75" s="106"/>
    </row>
    <row r="76" spans="1:5">
      <c r="A76" s="100"/>
      <c r="B76" s="3" t="s">
        <v>367</v>
      </c>
      <c r="C76" s="106"/>
      <c r="E76" s="77">
        <v>-480</v>
      </c>
    </row>
    <row r="77" spans="1:5">
      <c r="A77" s="100"/>
      <c r="B77" s="3" t="s">
        <v>368</v>
      </c>
      <c r="C77" s="106"/>
      <c r="E77" s="77">
        <v>-147.80000000000001</v>
      </c>
    </row>
    <row r="78" spans="1:5">
      <c r="A78" s="100"/>
      <c r="B78" s="3" t="s">
        <v>368</v>
      </c>
      <c r="C78" s="106">
        <v>17.59</v>
      </c>
      <c r="E78" s="77">
        <v>-17.59</v>
      </c>
    </row>
    <row r="79" spans="1:5">
      <c r="A79" s="100"/>
      <c r="B79" s="3" t="s">
        <v>369</v>
      </c>
      <c r="C79" s="106">
        <v>330</v>
      </c>
      <c r="E79" s="77">
        <v>-330</v>
      </c>
    </row>
    <row r="80" spans="1:5">
      <c r="A80" s="100"/>
      <c r="B80" s="3" t="s">
        <v>370</v>
      </c>
      <c r="C80" s="106">
        <v>-130</v>
      </c>
      <c r="E80" s="77">
        <v>-130</v>
      </c>
    </row>
    <row r="81" spans="1:5">
      <c r="A81" s="100"/>
      <c r="B81" s="3" t="s">
        <v>269</v>
      </c>
      <c r="C81" s="106"/>
      <c r="D81" s="77">
        <v>71389.3</v>
      </c>
    </row>
    <row r="82" spans="1:5">
      <c r="A82" s="100"/>
      <c r="B82" s="3" t="s">
        <v>371</v>
      </c>
      <c r="C82" s="106"/>
      <c r="E82" s="77">
        <v>-140</v>
      </c>
    </row>
    <row r="83" spans="1:5">
      <c r="A83" s="100"/>
      <c r="B83" s="3" t="s">
        <v>369</v>
      </c>
      <c r="C83" s="106">
        <v>750</v>
      </c>
      <c r="E83" s="77">
        <v>-750</v>
      </c>
    </row>
    <row r="84" spans="1:5">
      <c r="A84" s="100"/>
      <c r="B84" s="3" t="s">
        <v>368</v>
      </c>
      <c r="C84" s="106"/>
      <c r="E84" s="77">
        <v>-253.55</v>
      </c>
    </row>
    <row r="85" spans="1:5">
      <c r="A85" s="100"/>
      <c r="B85" s="3" t="s">
        <v>372</v>
      </c>
      <c r="C85" s="106"/>
      <c r="E85" s="77">
        <v>-250</v>
      </c>
    </row>
    <row r="86" spans="1:5">
      <c r="A86" s="100"/>
      <c r="B86" s="3" t="s">
        <v>373</v>
      </c>
      <c r="C86" s="106"/>
      <c r="E86" s="77">
        <v>-400</v>
      </c>
    </row>
    <row r="87" spans="1:5">
      <c r="A87" s="100"/>
      <c r="B87" s="3" t="s">
        <v>373</v>
      </c>
      <c r="C87" s="106"/>
      <c r="E87" s="77">
        <v>-100</v>
      </c>
    </row>
    <row r="88" spans="1:5">
      <c r="A88" s="100"/>
      <c r="B88" s="3" t="s">
        <v>368</v>
      </c>
      <c r="C88" s="106"/>
      <c r="E88" s="77">
        <v>-68.5</v>
      </c>
    </row>
    <row r="89" spans="1:5">
      <c r="A89" s="100"/>
      <c r="B89" s="3" t="s">
        <v>368</v>
      </c>
      <c r="C89" s="106">
        <v>43.13</v>
      </c>
      <c r="E89" s="77">
        <v>-43.13</v>
      </c>
    </row>
    <row r="90" spans="1:5">
      <c r="A90" s="100"/>
      <c r="B90" s="3" t="s">
        <v>369</v>
      </c>
      <c r="C90" s="106">
        <v>235</v>
      </c>
      <c r="E90" s="77">
        <v>-235</v>
      </c>
    </row>
    <row r="91" spans="1:5">
      <c r="A91" s="100"/>
      <c r="B91" s="3" t="s">
        <v>370</v>
      </c>
      <c r="C91" s="106">
        <v>375</v>
      </c>
      <c r="E91" s="77">
        <v>-375</v>
      </c>
    </row>
    <row r="92" spans="1:5">
      <c r="A92" s="100"/>
      <c r="B92" s="3" t="s">
        <v>368</v>
      </c>
      <c r="C92" s="106">
        <v>79.84</v>
      </c>
      <c r="E92" s="77">
        <v>-79.84</v>
      </c>
    </row>
    <row r="93" spans="1:5">
      <c r="A93" s="100"/>
      <c r="B93" s="3" t="s">
        <v>369</v>
      </c>
      <c r="C93" s="106">
        <v>235</v>
      </c>
      <c r="E93" s="77">
        <v>-235</v>
      </c>
    </row>
    <row r="94" spans="1:5">
      <c r="A94" s="100"/>
      <c r="B94" s="3" t="s">
        <v>370</v>
      </c>
      <c r="C94" s="106">
        <v>210</v>
      </c>
      <c r="E94" s="77">
        <v>-210</v>
      </c>
    </row>
    <row r="95" spans="1:5">
      <c r="A95" s="100"/>
      <c r="B95" s="3" t="s">
        <v>368</v>
      </c>
      <c r="C95" s="106"/>
      <c r="E95" s="77">
        <v>-112.3</v>
      </c>
    </row>
    <row r="96" spans="1:5">
      <c r="A96" s="100"/>
      <c r="B96" s="3" t="s">
        <v>373</v>
      </c>
      <c r="C96" s="106"/>
      <c r="E96" s="77">
        <v>-230</v>
      </c>
    </row>
    <row r="97" spans="1:5">
      <c r="A97" s="100"/>
      <c r="B97" s="3" t="s">
        <v>368</v>
      </c>
      <c r="C97" s="106"/>
      <c r="E97" s="77">
        <v>-187.2</v>
      </c>
    </row>
    <row r="98" spans="1:5">
      <c r="A98" s="100"/>
      <c r="B98" s="3" t="s">
        <v>374</v>
      </c>
      <c r="C98" s="106">
        <v>1062.9000000000001</v>
      </c>
      <c r="E98" s="77">
        <v>-1062.9000000000001</v>
      </c>
    </row>
    <row r="99" spans="1:5">
      <c r="A99" s="100"/>
      <c r="B99" s="3" t="s">
        <v>375</v>
      </c>
      <c r="C99" s="106"/>
      <c r="E99" s="77">
        <v>-240</v>
      </c>
    </row>
    <row r="100" spans="1:5">
      <c r="A100" s="100"/>
      <c r="B100" s="3" t="s">
        <v>376</v>
      </c>
      <c r="C100" s="106"/>
      <c r="E100" s="77">
        <v>-280</v>
      </c>
    </row>
    <row r="101" spans="1:5">
      <c r="B101" s="3" t="s">
        <v>370</v>
      </c>
      <c r="C101">
        <v>145</v>
      </c>
      <c r="E101" s="77">
        <v>-145</v>
      </c>
    </row>
    <row r="102" spans="1:5" ht="15">
      <c r="C102">
        <f>SUM(C77:C101)</f>
        <v>3353.4599999999996</v>
      </c>
      <c r="D102" s="105" t="s">
        <v>84</v>
      </c>
    </row>
    <row r="111" spans="1:5">
      <c r="A111" s="113" t="s">
        <v>377</v>
      </c>
      <c r="B111" s="104" t="s">
        <v>136</v>
      </c>
      <c r="C111" s="103">
        <v>2024</v>
      </c>
      <c r="D111" s="158"/>
      <c r="E111" s="159">
        <f>SUM(E112:E133)</f>
        <v>695352.38</v>
      </c>
    </row>
    <row r="112" spans="1:5">
      <c r="A112" s="160">
        <v>45595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45595</v>
      </c>
      <c r="B113" s="8" t="s">
        <v>378</v>
      </c>
      <c r="C113" s="2"/>
      <c r="D113" s="2"/>
      <c r="E113" s="2">
        <v>0</v>
      </c>
    </row>
    <row r="114" spans="1:5">
      <c r="A114" s="160"/>
      <c r="B114" s="8" t="s">
        <v>379</v>
      </c>
      <c r="C114" s="488">
        <v>365500</v>
      </c>
      <c r="D114" s="12">
        <v>36000</v>
      </c>
      <c r="E114" s="12">
        <f>C114-D114</f>
        <v>329500</v>
      </c>
    </row>
    <row r="115" spans="1:5">
      <c r="A115" s="160">
        <f>A113</f>
        <v>45595</v>
      </c>
      <c r="B115" s="8" t="s">
        <v>139</v>
      </c>
      <c r="C115" s="2"/>
      <c r="D115" s="2"/>
      <c r="E115" s="17">
        <v>6923</v>
      </c>
    </row>
    <row r="116" spans="1:5">
      <c r="A116" s="160">
        <f>A113</f>
        <v>45595</v>
      </c>
      <c r="B116" s="8" t="s">
        <v>141</v>
      </c>
      <c r="C116" s="2">
        <v>40</v>
      </c>
      <c r="D116" s="174">
        <v>830</v>
      </c>
      <c r="E116" s="17">
        <f t="shared" ref="E116:E128" si="1">D116*C116</f>
        <v>33200</v>
      </c>
    </row>
    <row r="117" spans="1:5">
      <c r="A117" s="160">
        <f>A122</f>
        <v>45595</v>
      </c>
      <c r="B117" s="8" t="s">
        <v>380</v>
      </c>
      <c r="C117" s="2">
        <v>4000</v>
      </c>
      <c r="D117" s="2">
        <v>30.96</v>
      </c>
      <c r="E117" s="17">
        <f t="shared" si="1"/>
        <v>123840</v>
      </c>
    </row>
    <row r="118" spans="1:5">
      <c r="A118" s="160">
        <f>A115</f>
        <v>45595</v>
      </c>
      <c r="B118" s="8" t="s">
        <v>143</v>
      </c>
      <c r="C118" s="175">
        <v>125000</v>
      </c>
      <c r="D118" s="174">
        <v>0.77971599999999996</v>
      </c>
      <c r="E118" s="17">
        <f t="shared" si="1"/>
        <v>97464.5</v>
      </c>
    </row>
    <row r="119" spans="1:5">
      <c r="A119" s="160">
        <f>A116</f>
        <v>45595</v>
      </c>
      <c r="B119" s="8" t="s">
        <v>144</v>
      </c>
      <c r="C119" s="2">
        <v>10</v>
      </c>
      <c r="D119" s="2">
        <v>103.7</v>
      </c>
      <c r="E119" s="17">
        <f t="shared" si="1"/>
        <v>1037</v>
      </c>
    </row>
    <row r="120" spans="1:5">
      <c r="A120" s="160">
        <f>A119</f>
        <v>45595</v>
      </c>
      <c r="B120" s="8" t="s">
        <v>145</v>
      </c>
      <c r="C120" s="2">
        <v>38</v>
      </c>
      <c r="D120" s="2">
        <v>21.42</v>
      </c>
      <c r="E120" s="17">
        <f t="shared" si="1"/>
        <v>813.96</v>
      </c>
    </row>
    <row r="121" spans="1:5">
      <c r="A121" s="160">
        <f>A120</f>
        <v>45595</v>
      </c>
      <c r="B121" s="8" t="s">
        <v>146</v>
      </c>
      <c r="C121" s="2">
        <v>26</v>
      </c>
      <c r="D121" s="2">
        <v>25.92</v>
      </c>
      <c r="E121" s="17">
        <f t="shared" si="1"/>
        <v>673.92000000000007</v>
      </c>
    </row>
    <row r="122" spans="1:5">
      <c r="A122" s="160">
        <f>A121</f>
        <v>45595</v>
      </c>
      <c r="B122" s="8" t="s">
        <v>140</v>
      </c>
      <c r="C122" s="2"/>
      <c r="D122" s="2"/>
      <c r="E122" s="17">
        <f t="shared" si="1"/>
        <v>0</v>
      </c>
    </row>
    <row r="123" spans="1:5">
      <c r="E123" s="17">
        <f t="shared" si="1"/>
        <v>0</v>
      </c>
    </row>
    <row r="124" spans="1:5">
      <c r="A124" s="160">
        <f>A117</f>
        <v>45595</v>
      </c>
      <c r="C124" s="2"/>
      <c r="D124" s="2"/>
      <c r="E124" s="17">
        <f t="shared" si="1"/>
        <v>0</v>
      </c>
    </row>
    <row r="125" spans="1:5">
      <c r="A125" s="160">
        <f>A124</f>
        <v>45595</v>
      </c>
      <c r="C125" s="2"/>
      <c r="D125" s="2"/>
      <c r="E125" s="17">
        <f t="shared" si="1"/>
        <v>0</v>
      </c>
    </row>
    <row r="126" spans="1:5">
      <c r="A126" s="160">
        <f>A125</f>
        <v>45595</v>
      </c>
      <c r="B126" s="8" t="s">
        <v>345</v>
      </c>
      <c r="C126" s="2">
        <v>2900</v>
      </c>
      <c r="D126" s="2">
        <v>1</v>
      </c>
      <c r="E126" s="17">
        <f t="shared" si="1"/>
        <v>2900</v>
      </c>
    </row>
    <row r="127" spans="1:5">
      <c r="A127" s="160">
        <f>A126</f>
        <v>45595</v>
      </c>
      <c r="B127" s="8" t="s">
        <v>148</v>
      </c>
      <c r="C127" s="2">
        <v>4900</v>
      </c>
      <c r="D127" s="2">
        <v>16</v>
      </c>
      <c r="E127" s="17">
        <f t="shared" si="1"/>
        <v>78400</v>
      </c>
    </row>
    <row r="128" spans="1:5">
      <c r="A128" s="160">
        <f>A127</f>
        <v>45595</v>
      </c>
      <c r="B128" s="8" t="s">
        <v>149</v>
      </c>
      <c r="C128" s="2">
        <v>19600</v>
      </c>
      <c r="D128" s="2">
        <v>1</v>
      </c>
      <c r="E128" s="17">
        <f t="shared" si="1"/>
        <v>19600</v>
      </c>
    </row>
    <row r="129" spans="1:5">
      <c r="A129" s="160">
        <f>A128</f>
        <v>45595</v>
      </c>
      <c r="C129" s="2"/>
      <c r="D129" s="2"/>
      <c r="E129" s="17"/>
    </row>
    <row r="130" spans="1:5">
      <c r="A130" s="160">
        <f>A126</f>
        <v>45595</v>
      </c>
      <c r="B130" s="8" t="s">
        <v>150</v>
      </c>
      <c r="C130" s="120">
        <v>33.250599999999999</v>
      </c>
      <c r="D130" s="2">
        <v>0</v>
      </c>
      <c r="E130" s="17"/>
    </row>
    <row r="131" spans="1:5">
      <c r="A131" s="160">
        <f>A130</f>
        <v>45595</v>
      </c>
      <c r="B131" s="8" t="s">
        <v>151</v>
      </c>
      <c r="C131" s="120">
        <v>36.854999999999997</v>
      </c>
      <c r="D131" s="2">
        <v>0</v>
      </c>
      <c r="E131" s="17">
        <f>D131*C131</f>
        <v>0</v>
      </c>
    </row>
    <row r="132" spans="1:5">
      <c r="A132" s="160">
        <f>A131</f>
        <v>45595</v>
      </c>
      <c r="B132" s="8" t="s">
        <v>152</v>
      </c>
      <c r="C132" s="2"/>
      <c r="D132" s="2"/>
      <c r="E132" s="17">
        <v>0</v>
      </c>
    </row>
    <row r="133" spans="1:5">
      <c r="A133" s="160">
        <f>A132</f>
        <v>45595</v>
      </c>
      <c r="B133" s="8" t="s">
        <v>153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155</v>
      </c>
      <c r="E136" s="9">
        <f>SUM(E112:E133)</f>
        <v>695352.38</v>
      </c>
    </row>
    <row r="137" spans="1:5">
      <c r="C137" s="125" t="str">
        <f>A111</f>
        <v>KASIMa</v>
      </c>
      <c r="D137" s="126" t="s">
        <v>156</v>
      </c>
      <c r="E137" s="127">
        <f>H12</f>
        <v>-134810.02000000002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E2F0D9"/>
  </sheetPr>
  <dimension ref="A1:H137"/>
  <sheetViews>
    <sheetView topLeftCell="A3" zoomScale="145" zoomScaleNormal="145" workbookViewId="0">
      <selection activeCell="E114" sqref="E114"/>
    </sheetView>
  </sheetViews>
  <sheetFormatPr defaultColWidth="12.28515625" defaultRowHeight="12.75"/>
  <cols>
    <col min="2" max="2" width="35.85546875" customWidth="1"/>
    <col min="3" max="3" width="9.8554687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381</v>
      </c>
      <c r="C2" s="79" t="s">
        <v>67</v>
      </c>
      <c r="D2" s="77">
        <f>SUM(D4:D35)</f>
        <v>27984.15</v>
      </c>
      <c r="E2" s="77">
        <f>SUM(E4:E35)</f>
        <v>-126233.26999999999</v>
      </c>
      <c r="F2" s="77">
        <f>SUM(F4:F35)</f>
        <v>64006.38</v>
      </c>
      <c r="G2" s="77">
        <f>SUM(G4:G35)</f>
        <v>-123041.59000000001</v>
      </c>
      <c r="H2" s="77">
        <f>F2+G2</f>
        <v>-59035.210000000014</v>
      </c>
    </row>
    <row r="3" spans="1:8">
      <c r="B3" s="18"/>
    </row>
    <row r="4" spans="1:8">
      <c r="B4" s="41"/>
      <c r="H4" s="77">
        <f t="shared" ref="H4:H33" si="0">H3+F4+G4</f>
        <v>0</v>
      </c>
    </row>
    <row r="5" spans="1:8">
      <c r="B5" s="101" t="s">
        <v>382</v>
      </c>
      <c r="C5" s="101" t="s">
        <v>352</v>
      </c>
      <c r="D5" s="78"/>
      <c r="E5" s="78">
        <v>-250</v>
      </c>
      <c r="F5" s="78"/>
      <c r="G5" s="78"/>
      <c r="H5" s="77">
        <f t="shared" si="0"/>
        <v>0</v>
      </c>
    </row>
    <row r="6" spans="1:8">
      <c r="A6" s="88">
        <v>45568</v>
      </c>
      <c r="B6" s="101" t="s">
        <v>70</v>
      </c>
      <c r="C6" s="101"/>
      <c r="D6" s="78"/>
      <c r="E6" s="78">
        <v>-1500</v>
      </c>
      <c r="F6" s="78"/>
      <c r="G6" s="78">
        <v>-1513.12</v>
      </c>
      <c r="H6" s="77">
        <f t="shared" si="0"/>
        <v>-1513.12</v>
      </c>
    </row>
    <row r="7" spans="1:8">
      <c r="A7" s="165">
        <v>45569</v>
      </c>
      <c r="B7" s="177" t="s">
        <v>69</v>
      </c>
      <c r="D7" s="78"/>
      <c r="E7" s="78">
        <f>E66</f>
        <v>-71389.3</v>
      </c>
      <c r="F7" s="78"/>
      <c r="G7" s="78">
        <v>-71389.3</v>
      </c>
      <c r="H7" s="77">
        <f t="shared" si="0"/>
        <v>-72902.42</v>
      </c>
    </row>
    <row r="8" spans="1:8">
      <c r="A8" s="88">
        <v>45572</v>
      </c>
      <c r="B8" s="177" t="s">
        <v>68</v>
      </c>
      <c r="D8" s="78"/>
      <c r="E8" s="78">
        <f>E51</f>
        <v>-3066.5699999999997</v>
      </c>
      <c r="F8" s="78"/>
      <c r="G8" s="78">
        <v>-3066.57</v>
      </c>
      <c r="H8" s="77">
        <f t="shared" si="0"/>
        <v>-75968.990000000005</v>
      </c>
    </row>
    <row r="9" spans="1:8">
      <c r="B9" s="177" t="s">
        <v>72</v>
      </c>
      <c r="D9" s="78"/>
      <c r="E9" s="78">
        <f>E46*-1</f>
        <v>0</v>
      </c>
      <c r="F9" s="78"/>
      <c r="G9" s="78">
        <v>0</v>
      </c>
      <c r="H9" s="77">
        <f t="shared" si="0"/>
        <v>-75968.990000000005</v>
      </c>
    </row>
    <row r="10" spans="1:8">
      <c r="A10" s="88">
        <v>45573</v>
      </c>
      <c r="B10" s="101" t="s">
        <v>383</v>
      </c>
      <c r="C10" s="101"/>
      <c r="D10" s="78"/>
      <c r="E10" s="78">
        <v>-17500</v>
      </c>
      <c r="F10" s="78"/>
      <c r="G10" s="78">
        <v>-17500</v>
      </c>
      <c r="H10" s="77">
        <f t="shared" si="0"/>
        <v>-93468.99</v>
      </c>
    </row>
    <row r="11" spans="1:8">
      <c r="A11" s="88">
        <v>45573</v>
      </c>
      <c r="B11" s="101" t="s">
        <v>384</v>
      </c>
      <c r="C11" s="101"/>
      <c r="D11" s="78"/>
      <c r="E11" s="78"/>
      <c r="F11" s="78"/>
      <c r="G11" s="78">
        <v>-7080.3</v>
      </c>
      <c r="H11" s="77">
        <f t="shared" si="0"/>
        <v>-100549.29000000001</v>
      </c>
    </row>
    <row r="12" spans="1:8">
      <c r="A12" s="88">
        <v>45574</v>
      </c>
      <c r="B12" s="170" t="s">
        <v>385</v>
      </c>
      <c r="C12" s="101" t="s">
        <v>386</v>
      </c>
      <c r="E12" s="78"/>
      <c r="F12" s="78">
        <v>15000</v>
      </c>
      <c r="H12" s="77">
        <f t="shared" si="0"/>
        <v>-85549.290000000008</v>
      </c>
    </row>
    <row r="13" spans="1:8">
      <c r="B13" s="101"/>
      <c r="C13" s="101"/>
      <c r="E13" s="78"/>
      <c r="H13" s="77">
        <f t="shared" si="0"/>
        <v>-85549.290000000008</v>
      </c>
    </row>
    <row r="14" spans="1:8">
      <c r="A14" s="88">
        <v>45580</v>
      </c>
      <c r="B14" s="166" t="s">
        <v>387</v>
      </c>
      <c r="C14" s="101"/>
      <c r="E14" s="78"/>
      <c r="F14" s="77">
        <v>30000</v>
      </c>
      <c r="H14" s="77">
        <f t="shared" si="0"/>
        <v>-55549.290000000008</v>
      </c>
    </row>
    <row r="15" spans="1:8">
      <c r="A15" s="88">
        <v>45595</v>
      </c>
      <c r="B15" s="101" t="s">
        <v>80</v>
      </c>
      <c r="C15" s="101"/>
      <c r="D15" s="78"/>
      <c r="E15" s="78">
        <v>-400</v>
      </c>
      <c r="F15" s="78"/>
      <c r="G15" s="78">
        <v>-435</v>
      </c>
      <c r="H15" s="77">
        <f t="shared" si="0"/>
        <v>-55984.290000000008</v>
      </c>
    </row>
    <row r="16" spans="1:8">
      <c r="A16" s="88">
        <v>45595</v>
      </c>
      <c r="B16" s="101" t="s">
        <v>81</v>
      </c>
      <c r="C16" s="101"/>
      <c r="D16" s="78"/>
      <c r="E16" s="78">
        <v>-500</v>
      </c>
      <c r="F16" s="78"/>
      <c r="G16" s="78">
        <v>-785</v>
      </c>
      <c r="H16" s="77">
        <f t="shared" si="0"/>
        <v>-56769.290000000008</v>
      </c>
    </row>
    <row r="17" spans="1:8">
      <c r="A17" s="88">
        <v>45579</v>
      </c>
      <c r="B17" s="101" t="s">
        <v>388</v>
      </c>
      <c r="D17" s="78"/>
      <c r="E17" s="78"/>
      <c r="F17" s="78"/>
      <c r="G17" s="78">
        <v>-65</v>
      </c>
      <c r="H17" s="77">
        <f t="shared" si="0"/>
        <v>-56834.290000000008</v>
      </c>
    </row>
    <row r="18" spans="1:8">
      <c r="B18" s="101" t="s">
        <v>75</v>
      </c>
      <c r="C18" s="101" t="s">
        <v>323</v>
      </c>
      <c r="D18" s="78"/>
      <c r="E18" s="78">
        <v>-150</v>
      </c>
      <c r="F18" s="78"/>
      <c r="G18" s="78"/>
      <c r="H18" s="77">
        <f t="shared" si="0"/>
        <v>-56834.290000000008</v>
      </c>
    </row>
    <row r="19" spans="1:8">
      <c r="A19" s="88">
        <v>45582</v>
      </c>
      <c r="B19" s="106" t="s">
        <v>73</v>
      </c>
      <c r="C19" s="106" t="s">
        <v>323</v>
      </c>
      <c r="D19" s="78"/>
      <c r="E19" s="78">
        <v>-300</v>
      </c>
      <c r="F19" s="78"/>
      <c r="G19" s="78">
        <v>-78</v>
      </c>
      <c r="H19" s="77">
        <f t="shared" si="0"/>
        <v>-56912.290000000008</v>
      </c>
    </row>
    <row r="20" spans="1:8">
      <c r="A20" s="88">
        <v>45582</v>
      </c>
      <c r="B20" s="106" t="s">
        <v>74</v>
      </c>
      <c r="C20" s="106" t="s">
        <v>323</v>
      </c>
      <c r="D20" s="78"/>
      <c r="E20" s="78">
        <v>-100</v>
      </c>
      <c r="F20" s="78"/>
      <c r="G20" s="78">
        <v>-43</v>
      </c>
      <c r="H20" s="77">
        <f t="shared" si="0"/>
        <v>-56955.290000000008</v>
      </c>
    </row>
    <row r="21" spans="1:8">
      <c r="B21" s="101"/>
      <c r="C21" s="101"/>
      <c r="D21" s="78"/>
      <c r="E21" s="78"/>
      <c r="F21" s="78"/>
      <c r="G21" s="78"/>
      <c r="H21" s="77">
        <f t="shared" si="0"/>
        <v>-56955.290000000008</v>
      </c>
    </row>
    <row r="22" spans="1:8">
      <c r="B22" t="s">
        <v>389</v>
      </c>
      <c r="C22" s="78"/>
      <c r="E22" s="78"/>
      <c r="F22" s="78"/>
      <c r="G22" s="78"/>
      <c r="H22" s="77">
        <f t="shared" si="0"/>
        <v>-56955.290000000008</v>
      </c>
    </row>
    <row r="23" spans="1:8">
      <c r="A23" s="88">
        <v>45594</v>
      </c>
      <c r="B23" s="8" t="s">
        <v>98</v>
      </c>
      <c r="C23" s="8" t="s">
        <v>314</v>
      </c>
      <c r="D23" s="78" t="s">
        <v>390</v>
      </c>
      <c r="E23" s="78">
        <v>-1380</v>
      </c>
      <c r="F23" s="78"/>
      <c r="G23" s="78">
        <v>-1380</v>
      </c>
      <c r="H23" s="77">
        <f t="shared" si="0"/>
        <v>-58335.290000000008</v>
      </c>
    </row>
    <row r="24" spans="1:8">
      <c r="A24" s="88">
        <v>45595</v>
      </c>
      <c r="B24" s="8" t="s">
        <v>391</v>
      </c>
      <c r="D24" s="78"/>
      <c r="E24" s="78">
        <v>-197.4</v>
      </c>
      <c r="F24" s="78"/>
      <c r="G24" s="78">
        <v>-206.3</v>
      </c>
      <c r="H24" s="77">
        <f t="shared" si="0"/>
        <v>-58541.590000000011</v>
      </c>
    </row>
    <row r="25" spans="1:8">
      <c r="A25" s="88">
        <v>45593</v>
      </c>
      <c r="B25" s="8" t="s">
        <v>77</v>
      </c>
      <c r="D25" s="78"/>
      <c r="E25" s="78">
        <v>-6500</v>
      </c>
      <c r="F25" s="78"/>
      <c r="G25" s="78">
        <v>-6500</v>
      </c>
      <c r="H25" s="77">
        <f t="shared" si="0"/>
        <v>-65041.590000000011</v>
      </c>
    </row>
    <row r="26" spans="1:8">
      <c r="A26" s="88">
        <v>45593</v>
      </c>
      <c r="B26" s="8" t="s">
        <v>78</v>
      </c>
      <c r="D26" s="78"/>
      <c r="E26" s="78">
        <v>-6500</v>
      </c>
      <c r="F26" s="78"/>
      <c r="G26" s="78">
        <v>-6500</v>
      </c>
      <c r="H26" s="77">
        <f t="shared" si="0"/>
        <v>-71541.590000000011</v>
      </c>
    </row>
    <row r="27" spans="1:8">
      <c r="B27" t="s">
        <v>79</v>
      </c>
      <c r="D27" s="78"/>
      <c r="E27" s="78">
        <v>-6500</v>
      </c>
      <c r="F27" s="78"/>
      <c r="G27" s="78">
        <v>-6500</v>
      </c>
      <c r="H27" s="77">
        <f t="shared" si="0"/>
        <v>-78041.590000000011</v>
      </c>
    </row>
    <row r="28" spans="1:8">
      <c r="D28" s="78"/>
      <c r="E28" s="78"/>
      <c r="F28" s="78"/>
      <c r="G28" s="78"/>
      <c r="H28" s="77">
        <f t="shared" si="0"/>
        <v>-78041.590000000011</v>
      </c>
    </row>
    <row r="29" spans="1:8">
      <c r="A29" s="88">
        <v>45592</v>
      </c>
      <c r="B29" s="8" t="s">
        <v>76</v>
      </c>
      <c r="D29" s="78">
        <v>12984.15</v>
      </c>
      <c r="E29" s="78"/>
      <c r="F29" s="78">
        <v>13006.38</v>
      </c>
      <c r="G29" s="78"/>
      <c r="H29" s="77">
        <f t="shared" si="0"/>
        <v>-65035.210000000014</v>
      </c>
    </row>
    <row r="30" spans="1:8">
      <c r="A30" s="100">
        <v>45590</v>
      </c>
      <c r="B30" s="82" t="s">
        <v>392</v>
      </c>
      <c r="F30" s="77">
        <v>6000</v>
      </c>
      <c r="H30" s="77">
        <f t="shared" si="0"/>
        <v>-59035.210000000014</v>
      </c>
    </row>
    <row r="31" spans="1:8">
      <c r="A31" s="100"/>
      <c r="B31" s="170" t="s">
        <v>354</v>
      </c>
      <c r="C31" s="170"/>
      <c r="D31" s="108">
        <v>15000</v>
      </c>
      <c r="H31" s="77">
        <f t="shared" si="0"/>
        <v>-59035.210000000014</v>
      </c>
    </row>
    <row r="32" spans="1:8">
      <c r="A32" s="100"/>
      <c r="H32" s="77">
        <f t="shared" si="0"/>
        <v>-59035.210000000014</v>
      </c>
    </row>
    <row r="33" spans="1:8">
      <c r="B33" t="s">
        <v>393</v>
      </c>
      <c r="C33" s="171">
        <v>0.234011</v>
      </c>
      <c r="H33" s="77">
        <f t="shared" si="0"/>
        <v>-59035.210000000014</v>
      </c>
    </row>
    <row r="34" spans="1:8">
      <c r="B34" s="170" t="s">
        <v>394</v>
      </c>
      <c r="C34" s="170"/>
      <c r="D34" s="108"/>
      <c r="E34" s="108">
        <v>-10000</v>
      </c>
    </row>
    <row r="35" spans="1:8" ht="15.75">
      <c r="B35" s="179"/>
    </row>
    <row r="37" spans="1:8">
      <c r="B37" t="s">
        <v>325</v>
      </c>
    </row>
    <row r="38" spans="1:8">
      <c r="A38" s="103" t="s">
        <v>326</v>
      </c>
      <c r="B38" s="103"/>
      <c r="C38" s="103"/>
    </row>
    <row r="39" spans="1:8">
      <c r="A39" s="100"/>
      <c r="C39" s="171"/>
    </row>
    <row r="40" spans="1:8">
      <c r="A40" s="172">
        <v>44929</v>
      </c>
      <c r="B40" s="173" t="s">
        <v>327</v>
      </c>
      <c r="C40" s="103"/>
      <c r="D40" s="77">
        <f>SUM(D41:D46)</f>
        <v>0</v>
      </c>
      <c r="E40" s="77">
        <f>SUM(E41:E46)</f>
        <v>0</v>
      </c>
    </row>
    <row r="41" spans="1:8">
      <c r="A41" s="100"/>
      <c r="B41" s="106" t="s">
        <v>328</v>
      </c>
    </row>
    <row r="42" spans="1:8">
      <c r="B42" t="s">
        <v>329</v>
      </c>
    </row>
    <row r="43" spans="1:8">
      <c r="B43" t="s">
        <v>330</v>
      </c>
    </row>
    <row r="44" spans="1:8">
      <c r="B44" t="s">
        <v>331</v>
      </c>
    </row>
    <row r="45" spans="1:8">
      <c r="B45" t="s">
        <v>332</v>
      </c>
    </row>
    <row r="46" spans="1:8">
      <c r="B46" t="s">
        <v>333</v>
      </c>
      <c r="C46" s="106"/>
    </row>
    <row r="47" spans="1:8">
      <c r="C47" s="106"/>
    </row>
    <row r="49" spans="1:5">
      <c r="B49" s="17"/>
    </row>
    <row r="50" spans="1:5">
      <c r="B50" s="102"/>
    </row>
    <row r="51" spans="1:5">
      <c r="A51" s="103"/>
      <c r="B51" s="104" t="s">
        <v>83</v>
      </c>
      <c r="C51" s="103"/>
      <c r="E51" s="77">
        <f>SUM(E52:E63)</f>
        <v>-3066.5699999999997</v>
      </c>
    </row>
    <row r="53" spans="1:5">
      <c r="A53" s="88">
        <v>45373</v>
      </c>
      <c r="B53" s="8" t="s">
        <v>334</v>
      </c>
      <c r="C53">
        <v>10176.39</v>
      </c>
      <c r="D53" s="77" t="s">
        <v>395</v>
      </c>
      <c r="E53" s="77">
        <v>-1130.71</v>
      </c>
    </row>
    <row r="54" spans="1:5">
      <c r="A54" s="88">
        <v>45375</v>
      </c>
      <c r="B54" s="8" t="s">
        <v>336</v>
      </c>
      <c r="C54">
        <v>5999</v>
      </c>
      <c r="D54" s="77" t="s">
        <v>395</v>
      </c>
      <c r="E54" s="77">
        <v>-666.56</v>
      </c>
    </row>
    <row r="55" spans="1:5">
      <c r="A55" s="88"/>
      <c r="B55" s="8" t="s">
        <v>396</v>
      </c>
      <c r="E55" s="77">
        <v>-363.83</v>
      </c>
    </row>
    <row r="56" spans="1:5">
      <c r="B56" t="s">
        <v>397</v>
      </c>
      <c r="E56" s="77">
        <v>-905.47</v>
      </c>
    </row>
    <row r="57" spans="1:5">
      <c r="B57" t="s">
        <v>129</v>
      </c>
      <c r="C57">
        <v>8037.9</v>
      </c>
    </row>
    <row r="58" spans="1:5" ht="15">
      <c r="A58" s="100"/>
      <c r="B58" s="106"/>
      <c r="C58" s="106"/>
      <c r="D58" s="105" t="s">
        <v>84</v>
      </c>
    </row>
    <row r="59" spans="1:5">
      <c r="A59" s="100"/>
      <c r="B59" s="106"/>
      <c r="C59" s="106"/>
    </row>
    <row r="60" spans="1:5">
      <c r="A60" s="100"/>
      <c r="B60" s="107"/>
      <c r="C60" s="106"/>
    </row>
    <row r="61" spans="1:5">
      <c r="A61" s="100"/>
      <c r="B61" s="107"/>
      <c r="C61" s="106"/>
    </row>
    <row r="62" spans="1:5">
      <c r="A62" s="100"/>
      <c r="B62" s="107"/>
    </row>
    <row r="63" spans="1:5">
      <c r="A63" s="100"/>
      <c r="B63" s="107"/>
      <c r="C63" s="106"/>
    </row>
    <row r="64" spans="1:5">
      <c r="A64" s="100"/>
      <c r="B64" s="3"/>
    </row>
    <row r="65" spans="1:5">
      <c r="A65" s="100"/>
      <c r="B65" s="106"/>
      <c r="C65" s="106"/>
    </row>
    <row r="66" spans="1:5">
      <c r="A66" s="103"/>
      <c r="B66" s="104" t="s">
        <v>85</v>
      </c>
      <c r="C66" s="103"/>
      <c r="E66" s="77">
        <f>SUM(E67:E104)</f>
        <v>-71389.3</v>
      </c>
    </row>
    <row r="67" spans="1:5">
      <c r="A67" s="100"/>
      <c r="B67" s="106"/>
      <c r="C67" s="106"/>
    </row>
    <row r="68" spans="1:5">
      <c r="A68" s="100"/>
      <c r="B68" s="106" t="s">
        <v>126</v>
      </c>
      <c r="C68" s="106"/>
      <c r="E68" s="77">
        <v>-3177.5</v>
      </c>
    </row>
    <row r="69" spans="1:5">
      <c r="A69" s="100"/>
      <c r="B69" s="3"/>
      <c r="C69" s="106"/>
      <c r="E69" s="77">
        <v>-56373.38</v>
      </c>
    </row>
    <row r="70" spans="1:5">
      <c r="A70" s="100"/>
      <c r="B70" s="3"/>
      <c r="C70" s="106"/>
      <c r="E70" s="77">
        <v>-256.58999999999997</v>
      </c>
    </row>
    <row r="71" spans="1:5">
      <c r="A71" s="100"/>
      <c r="B71" s="3"/>
      <c r="C71" s="106"/>
    </row>
    <row r="72" spans="1:5">
      <c r="A72" s="100"/>
      <c r="B72" s="3" t="s">
        <v>398</v>
      </c>
      <c r="C72" s="106"/>
      <c r="E72" s="77">
        <v>-1500</v>
      </c>
    </row>
    <row r="73" spans="1:5">
      <c r="A73" s="100"/>
      <c r="B73" s="3" t="s">
        <v>399</v>
      </c>
      <c r="C73" s="106"/>
      <c r="E73" s="77">
        <v>-385</v>
      </c>
    </row>
    <row r="74" spans="1:5">
      <c r="A74" s="100"/>
      <c r="B74" s="3" t="s">
        <v>400</v>
      </c>
      <c r="C74" s="106"/>
      <c r="E74" s="77">
        <v>-195</v>
      </c>
    </row>
    <row r="75" spans="1:5">
      <c r="A75" s="100"/>
      <c r="B75" s="3">
        <v>322.04000000000002</v>
      </c>
      <c r="C75" s="106"/>
      <c r="E75" s="77">
        <v>-322.04000000000002</v>
      </c>
    </row>
    <row r="76" spans="1:5">
      <c r="A76" s="100"/>
      <c r="B76" s="3" t="s">
        <v>401</v>
      </c>
      <c r="C76" s="106"/>
      <c r="E76" s="77">
        <v>-1865</v>
      </c>
    </row>
    <row r="77" spans="1:5">
      <c r="A77" s="100"/>
      <c r="B77" s="3" t="s">
        <v>402</v>
      </c>
      <c r="C77" s="106"/>
      <c r="E77" s="77">
        <v>-80</v>
      </c>
    </row>
    <row r="78" spans="1:5">
      <c r="A78" s="100"/>
      <c r="B78" s="3" t="s">
        <v>403</v>
      </c>
      <c r="C78" s="106"/>
      <c r="E78" s="77">
        <v>-19.5</v>
      </c>
    </row>
    <row r="79" spans="1:5">
      <c r="A79" s="100"/>
      <c r="B79" s="3" t="s">
        <v>404</v>
      </c>
      <c r="C79" s="106"/>
      <c r="E79" s="77">
        <v>-706.97</v>
      </c>
    </row>
    <row r="80" spans="1:5">
      <c r="A80" s="100"/>
      <c r="B80" s="3" t="s">
        <v>405</v>
      </c>
      <c r="C80" s="106"/>
      <c r="E80" s="77">
        <v>-299.99</v>
      </c>
    </row>
    <row r="81" spans="1:5">
      <c r="A81" s="100"/>
      <c r="B81" s="3" t="s">
        <v>406</v>
      </c>
      <c r="C81" s="106"/>
      <c r="E81" s="77">
        <v>-1620</v>
      </c>
    </row>
    <row r="82" spans="1:5">
      <c r="A82" s="100"/>
      <c r="B82" s="3" t="s">
        <v>407</v>
      </c>
      <c r="C82" s="106"/>
      <c r="E82" s="77">
        <v>-66.7</v>
      </c>
    </row>
    <row r="83" spans="1:5">
      <c r="A83" s="100"/>
      <c r="B83" s="3" t="s">
        <v>408</v>
      </c>
      <c r="C83" s="106"/>
      <c r="E83" s="77">
        <v>-45</v>
      </c>
    </row>
    <row r="84" spans="1:5">
      <c r="A84" s="100"/>
      <c r="B84" s="3" t="s">
        <v>409</v>
      </c>
      <c r="C84" s="106">
        <v>69</v>
      </c>
      <c r="E84" s="77">
        <v>-69.66</v>
      </c>
    </row>
    <row r="85" spans="1:5">
      <c r="A85" s="100"/>
      <c r="B85" s="3" t="s">
        <v>410</v>
      </c>
      <c r="C85" s="106">
        <v>250</v>
      </c>
      <c r="E85" s="77">
        <v>-250</v>
      </c>
    </row>
    <row r="86" spans="1:5">
      <c r="A86" s="100"/>
      <c r="B86" s="3" t="s">
        <v>411</v>
      </c>
      <c r="C86" s="106">
        <v>145</v>
      </c>
      <c r="E86" s="77">
        <v>-145</v>
      </c>
    </row>
    <row r="87" spans="1:5">
      <c r="A87" s="100"/>
      <c r="B87" s="3" t="s">
        <v>409</v>
      </c>
      <c r="C87" s="106">
        <v>80</v>
      </c>
      <c r="E87" s="77">
        <v>-79.58</v>
      </c>
    </row>
    <row r="88" spans="1:5">
      <c r="A88" s="100"/>
      <c r="B88" s="3" t="s">
        <v>410</v>
      </c>
      <c r="C88" s="106">
        <v>300</v>
      </c>
      <c r="E88" s="77">
        <v>-300</v>
      </c>
    </row>
    <row r="89" spans="1:5">
      <c r="A89" s="100"/>
      <c r="B89" s="3" t="s">
        <v>129</v>
      </c>
      <c r="C89" s="106"/>
      <c r="D89" s="77">
        <v>21576.400000000001</v>
      </c>
    </row>
    <row r="90" spans="1:5">
      <c r="A90" s="100"/>
      <c r="B90" s="3" t="s">
        <v>409</v>
      </c>
      <c r="C90" s="106">
        <v>50</v>
      </c>
      <c r="E90" s="77">
        <v>-49.3</v>
      </c>
    </row>
    <row r="91" spans="1:5">
      <c r="A91" s="100"/>
      <c r="B91" s="3" t="s">
        <v>412</v>
      </c>
      <c r="C91" s="106"/>
      <c r="E91" s="77">
        <v>-190</v>
      </c>
    </row>
    <row r="92" spans="1:5">
      <c r="A92" s="100"/>
      <c r="B92" s="3" t="s">
        <v>409</v>
      </c>
      <c r="C92" s="106"/>
      <c r="E92" s="77">
        <v>-375.55</v>
      </c>
    </row>
    <row r="93" spans="1:5">
      <c r="A93" s="100"/>
      <c r="B93" s="3" t="s">
        <v>410</v>
      </c>
      <c r="C93" s="106">
        <v>260</v>
      </c>
      <c r="E93" s="77">
        <v>-260</v>
      </c>
    </row>
    <row r="94" spans="1:5">
      <c r="A94" s="100"/>
      <c r="B94" s="3" t="s">
        <v>409</v>
      </c>
      <c r="C94" s="106">
        <v>65.790000000000006</v>
      </c>
      <c r="E94" s="77">
        <v>-65.790000000000006</v>
      </c>
    </row>
    <row r="95" spans="1:5">
      <c r="A95" s="100"/>
      <c r="B95" s="3" t="s">
        <v>410</v>
      </c>
      <c r="C95" s="106">
        <v>330</v>
      </c>
      <c r="E95" s="77">
        <v>-330</v>
      </c>
    </row>
    <row r="96" spans="1:5">
      <c r="A96" s="100"/>
      <c r="B96" s="3" t="s">
        <v>411</v>
      </c>
      <c r="C96" s="106">
        <v>225</v>
      </c>
      <c r="E96" s="77">
        <v>-225</v>
      </c>
    </row>
    <row r="97" spans="1:5">
      <c r="A97" s="100"/>
      <c r="B97" s="3" t="s">
        <v>413</v>
      </c>
      <c r="C97" s="106"/>
      <c r="E97" s="77">
        <v>-410</v>
      </c>
    </row>
    <row r="98" spans="1:5">
      <c r="B98" s="3" t="s">
        <v>414</v>
      </c>
      <c r="E98" s="77">
        <v>-27.25</v>
      </c>
    </row>
    <row r="99" spans="1:5">
      <c r="B99" s="3" t="s">
        <v>415</v>
      </c>
      <c r="E99" s="77">
        <v>-70</v>
      </c>
    </row>
    <row r="100" spans="1:5">
      <c r="B100" s="3" t="s">
        <v>416</v>
      </c>
      <c r="E100" s="77">
        <v>-350</v>
      </c>
    </row>
    <row r="101" spans="1:5">
      <c r="B101" s="3" t="s">
        <v>412</v>
      </c>
      <c r="E101" s="77">
        <v>-420</v>
      </c>
    </row>
    <row r="102" spans="1:5">
      <c r="B102" s="3" t="s">
        <v>417</v>
      </c>
      <c r="E102" s="77">
        <v>-154.5</v>
      </c>
    </row>
    <row r="103" spans="1:5">
      <c r="B103" s="3" t="s">
        <v>412</v>
      </c>
      <c r="E103" s="77">
        <v>-290</v>
      </c>
    </row>
    <row r="104" spans="1:5">
      <c r="B104" s="3" t="s">
        <v>410</v>
      </c>
      <c r="C104">
        <v>415</v>
      </c>
      <c r="E104" s="77">
        <v>-415</v>
      </c>
    </row>
    <row r="105" spans="1:5">
      <c r="B105" s="35" t="s">
        <v>418</v>
      </c>
      <c r="C105" s="8">
        <f>SUM(C81:C104)</f>
        <v>2189.79</v>
      </c>
    </row>
    <row r="106" spans="1:5" ht="15">
      <c r="D106" s="105" t="s">
        <v>84</v>
      </c>
    </row>
    <row r="111" spans="1:5">
      <c r="A111" s="113" t="s">
        <v>419</v>
      </c>
      <c r="B111" s="104" t="s">
        <v>136</v>
      </c>
      <c r="C111" s="103">
        <v>2024</v>
      </c>
      <c r="D111" s="158"/>
      <c r="E111" s="159">
        <f>SUM(E112:E133)</f>
        <v>726058.6</v>
      </c>
    </row>
    <row r="112" spans="1:5">
      <c r="A112" s="160">
        <v>45565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45565</v>
      </c>
      <c r="B113" s="8" t="s">
        <v>378</v>
      </c>
      <c r="C113" s="2"/>
      <c r="D113" s="2"/>
      <c r="E113" s="2">
        <v>0</v>
      </c>
    </row>
    <row r="114" spans="1:5">
      <c r="A114" s="160"/>
      <c r="B114" s="8" t="s">
        <v>1738</v>
      </c>
      <c r="C114" s="488">
        <v>407100</v>
      </c>
      <c r="D114" s="2">
        <v>41600</v>
      </c>
      <c r="E114" s="2">
        <f>C114-D114</f>
        <v>365500</v>
      </c>
    </row>
    <row r="115" spans="1:5">
      <c r="A115" s="160">
        <f>A113</f>
        <v>45565</v>
      </c>
      <c r="B115" s="8" t="s">
        <v>139</v>
      </c>
      <c r="C115" s="2"/>
      <c r="D115" s="2"/>
      <c r="E115" s="17">
        <v>1492</v>
      </c>
    </row>
    <row r="116" spans="1:5">
      <c r="A116" s="160">
        <f>A113</f>
        <v>45565</v>
      </c>
      <c r="B116" s="8" t="s">
        <v>141</v>
      </c>
      <c r="C116" s="2">
        <v>40</v>
      </c>
      <c r="D116" s="174">
        <v>852</v>
      </c>
      <c r="E116" s="17">
        <f t="shared" ref="E116:E122" si="1">D116*C116</f>
        <v>34080</v>
      </c>
    </row>
    <row r="117" spans="1:5">
      <c r="A117" s="160">
        <f>A122</f>
        <v>45565</v>
      </c>
      <c r="B117" s="8" t="s">
        <v>380</v>
      </c>
      <c r="C117" s="2">
        <v>30.96</v>
      </c>
      <c r="D117" s="2">
        <v>4000</v>
      </c>
      <c r="E117" s="17">
        <f t="shared" si="1"/>
        <v>123840</v>
      </c>
    </row>
    <row r="118" spans="1:5">
      <c r="A118" s="160">
        <f>A115</f>
        <v>45565</v>
      </c>
      <c r="B118" s="8" t="s">
        <v>143</v>
      </c>
      <c r="C118" s="175">
        <v>125000</v>
      </c>
      <c r="D118" s="174">
        <v>0.77300000000000002</v>
      </c>
      <c r="E118" s="17">
        <f t="shared" si="1"/>
        <v>96625</v>
      </c>
    </row>
    <row r="119" spans="1:5">
      <c r="A119" s="160">
        <f>A116</f>
        <v>45565</v>
      </c>
      <c r="B119" s="8" t="s">
        <v>144</v>
      </c>
      <c r="C119" s="2">
        <v>10</v>
      </c>
      <c r="D119" s="2">
        <v>124.8</v>
      </c>
      <c r="E119" s="17">
        <f t="shared" si="1"/>
        <v>1248</v>
      </c>
    </row>
    <row r="120" spans="1:5">
      <c r="A120" s="160">
        <f>A119</f>
        <v>45565</v>
      </c>
      <c r="B120" s="8" t="s">
        <v>145</v>
      </c>
      <c r="C120" s="2">
        <v>38</v>
      </c>
      <c r="D120" s="2">
        <v>19.22</v>
      </c>
      <c r="E120" s="17">
        <f t="shared" si="1"/>
        <v>730.3599999999999</v>
      </c>
    </row>
    <row r="121" spans="1:5">
      <c r="A121" s="160">
        <f>A120</f>
        <v>45565</v>
      </c>
      <c r="B121" s="8" t="s">
        <v>146</v>
      </c>
      <c r="C121" s="2">
        <v>26</v>
      </c>
      <c r="D121" s="2">
        <v>24.74</v>
      </c>
      <c r="E121" s="17">
        <f t="shared" si="1"/>
        <v>643.24</v>
      </c>
    </row>
    <row r="122" spans="1:5">
      <c r="A122" s="160">
        <f>A121</f>
        <v>45565</v>
      </c>
      <c r="B122" s="8" t="s">
        <v>140</v>
      </c>
      <c r="C122" s="2"/>
      <c r="D122" s="2"/>
      <c r="E122" s="17">
        <f t="shared" si="1"/>
        <v>0</v>
      </c>
    </row>
    <row r="124" spans="1:5">
      <c r="A124" s="160">
        <f>A117</f>
        <v>45565</v>
      </c>
      <c r="C124" s="2"/>
      <c r="D124" s="2"/>
      <c r="E124" s="17">
        <f>D124*C124</f>
        <v>0</v>
      </c>
    </row>
    <row r="125" spans="1:5">
      <c r="A125" s="160">
        <f>A124</f>
        <v>45565</v>
      </c>
      <c r="C125" s="2"/>
      <c r="D125" s="2"/>
      <c r="E125" s="17">
        <f>D125*C125</f>
        <v>0</v>
      </c>
    </row>
    <row r="126" spans="1:5">
      <c r="A126" s="160">
        <f>A125</f>
        <v>45565</v>
      </c>
      <c r="B126" s="8" t="s">
        <v>420</v>
      </c>
      <c r="C126" s="2">
        <v>2900</v>
      </c>
      <c r="D126" s="2">
        <v>1</v>
      </c>
      <c r="E126" s="17">
        <f>D126*C126</f>
        <v>2900</v>
      </c>
    </row>
    <row r="127" spans="1:5">
      <c r="A127" s="160">
        <f>A126</f>
        <v>45565</v>
      </c>
      <c r="B127" s="8" t="s">
        <v>421</v>
      </c>
      <c r="C127" s="2">
        <v>4900</v>
      </c>
      <c r="D127" s="2">
        <v>16</v>
      </c>
      <c r="E127" s="17">
        <f>D127*C127</f>
        <v>78400</v>
      </c>
    </row>
    <row r="128" spans="1:5">
      <c r="A128" s="160">
        <f>A127</f>
        <v>45565</v>
      </c>
      <c r="B128" s="8" t="s">
        <v>422</v>
      </c>
      <c r="C128" s="2">
        <v>19600</v>
      </c>
      <c r="D128" s="2">
        <v>1</v>
      </c>
      <c r="E128" s="17">
        <f>D128*C128</f>
        <v>19600</v>
      </c>
    </row>
    <row r="129" spans="1:5">
      <c r="A129" s="160">
        <f>A128</f>
        <v>45565</v>
      </c>
      <c r="C129" s="2"/>
      <c r="D129" s="2"/>
      <c r="E129" s="17"/>
    </row>
    <row r="130" spans="1:5">
      <c r="A130" s="160">
        <f>A126</f>
        <v>45565</v>
      </c>
      <c r="B130" s="8" t="s">
        <v>150</v>
      </c>
      <c r="C130" s="120">
        <v>33.250599999999999</v>
      </c>
      <c r="D130" s="2"/>
      <c r="E130" s="17"/>
    </row>
    <row r="131" spans="1:5">
      <c r="A131" s="160">
        <f>A130</f>
        <v>45565</v>
      </c>
      <c r="B131" s="8" t="s">
        <v>151</v>
      </c>
      <c r="C131" s="120">
        <v>36.854999999999997</v>
      </c>
      <c r="D131" s="2"/>
      <c r="E131" s="17">
        <f>D131*C131</f>
        <v>0</v>
      </c>
    </row>
    <row r="132" spans="1:5">
      <c r="A132" s="160">
        <f>A131</f>
        <v>45565</v>
      </c>
      <c r="B132" s="8" t="s">
        <v>152</v>
      </c>
      <c r="C132" s="2"/>
      <c r="D132" s="2"/>
      <c r="E132" s="17">
        <v>0</v>
      </c>
    </row>
    <row r="133" spans="1:5">
      <c r="A133" s="160">
        <f>A132</f>
        <v>45565</v>
      </c>
      <c r="B133" s="8" t="s">
        <v>153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155</v>
      </c>
      <c r="E136" s="9">
        <f>SUM(E112:E133)</f>
        <v>726058.6</v>
      </c>
    </row>
    <row r="137" spans="1:5">
      <c r="C137" s="125" t="str">
        <f>A111</f>
        <v>EKİMe</v>
      </c>
      <c r="D137" s="126" t="s">
        <v>156</v>
      </c>
      <c r="E137" s="127">
        <f>H12</f>
        <v>-85549.290000000008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E2F0D9"/>
  </sheetPr>
  <dimension ref="A1:H127"/>
  <sheetViews>
    <sheetView zoomScale="145" zoomScaleNormal="145" workbookViewId="0">
      <selection activeCell="E112" sqref="E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423</v>
      </c>
      <c r="C2" s="79" t="s">
        <v>67</v>
      </c>
      <c r="D2" s="77">
        <f>SUM(D4:D28)</f>
        <v>36484.15</v>
      </c>
      <c r="E2" s="77">
        <f>SUM(E4:E28)</f>
        <v>-81364.900000000009</v>
      </c>
      <c r="F2" s="77">
        <f>SUM(F4:F28)</f>
        <v>98006.38</v>
      </c>
      <c r="G2" s="77">
        <f>SUM(G4:G28)</f>
        <v>-69863.539999999994</v>
      </c>
      <c r="H2" s="77">
        <f>F2+G2</f>
        <v>28142.840000000011</v>
      </c>
    </row>
    <row r="3" spans="1:8">
      <c r="B3" s="18"/>
    </row>
    <row r="4" spans="1:8">
      <c r="A4" s="88">
        <v>45534</v>
      </c>
      <c r="B4" s="41" t="s">
        <v>424</v>
      </c>
      <c r="D4" s="78"/>
      <c r="E4" s="78">
        <v>-152</v>
      </c>
      <c r="F4" s="78"/>
      <c r="G4" s="78">
        <v>-162.11000000000001</v>
      </c>
      <c r="H4" s="77">
        <f t="shared" ref="H4:H30" si="0">H3+F4+G4</f>
        <v>-162.11000000000001</v>
      </c>
    </row>
    <row r="5" spans="1:8">
      <c r="A5" s="88"/>
      <c r="B5" s="101" t="s">
        <v>425</v>
      </c>
      <c r="C5" s="101" t="s">
        <v>352</v>
      </c>
      <c r="E5" s="78">
        <v>-250</v>
      </c>
      <c r="F5" s="78"/>
      <c r="G5" s="78"/>
      <c r="H5" s="77">
        <f t="shared" si="0"/>
        <v>-162.11000000000001</v>
      </c>
    </row>
    <row r="6" spans="1:8">
      <c r="A6" s="165">
        <v>45538</v>
      </c>
      <c r="B6" s="177" t="s">
        <v>69</v>
      </c>
      <c r="D6" s="78"/>
      <c r="E6" s="78">
        <f>E61</f>
        <v>-21576.400000000001</v>
      </c>
      <c r="F6" s="78"/>
      <c r="G6" s="78">
        <f>E6</f>
        <v>-21576.400000000001</v>
      </c>
      <c r="H6" s="77">
        <f t="shared" si="0"/>
        <v>-21738.510000000002</v>
      </c>
    </row>
    <row r="7" spans="1:8">
      <c r="A7" s="88">
        <v>45539</v>
      </c>
      <c r="B7" s="177" t="s">
        <v>68</v>
      </c>
      <c r="D7" s="78"/>
      <c r="E7" s="78">
        <f>E46</f>
        <v>-8037.9</v>
      </c>
      <c r="F7" s="78"/>
      <c r="G7" s="78">
        <f>E7</f>
        <v>-8037.9</v>
      </c>
      <c r="H7" s="77">
        <f t="shared" si="0"/>
        <v>-29776.410000000003</v>
      </c>
    </row>
    <row r="8" spans="1:8">
      <c r="A8" s="88"/>
      <c r="B8" s="101" t="s">
        <v>70</v>
      </c>
      <c r="C8" s="101"/>
      <c r="E8" s="78">
        <v>-1500</v>
      </c>
      <c r="F8" s="78"/>
      <c r="G8" s="78">
        <v>-1514.73</v>
      </c>
      <c r="H8" s="77">
        <f t="shared" si="0"/>
        <v>-31291.140000000003</v>
      </c>
    </row>
    <row r="9" spans="1:8">
      <c r="A9" s="88"/>
      <c r="B9" s="101" t="s">
        <v>426</v>
      </c>
      <c r="C9" s="101"/>
      <c r="E9" s="78">
        <v>-17500</v>
      </c>
      <c r="F9" s="78"/>
      <c r="G9" s="78">
        <v>-17500</v>
      </c>
      <c r="H9" s="77">
        <f t="shared" si="0"/>
        <v>-48791.14</v>
      </c>
    </row>
    <row r="10" spans="1:8">
      <c r="A10" s="88"/>
      <c r="B10" s="106" t="s">
        <v>72</v>
      </c>
      <c r="E10" s="77">
        <f>E41*-1</f>
        <v>0</v>
      </c>
      <c r="F10" s="78"/>
      <c r="G10" s="78">
        <v>-5</v>
      </c>
      <c r="H10" s="77">
        <f t="shared" si="0"/>
        <v>-48796.14</v>
      </c>
    </row>
    <row r="11" spans="1:8">
      <c r="A11" s="88">
        <v>45544</v>
      </c>
      <c r="B11" s="8" t="s">
        <v>427</v>
      </c>
      <c r="C11" s="8" t="s">
        <v>428</v>
      </c>
      <c r="E11" s="78"/>
      <c r="F11" s="78">
        <v>15000</v>
      </c>
      <c r="G11" s="78"/>
      <c r="H11" s="77">
        <f t="shared" si="0"/>
        <v>-33796.14</v>
      </c>
    </row>
    <row r="12" spans="1:8">
      <c r="A12" s="88">
        <v>45551</v>
      </c>
      <c r="B12" s="106" t="s">
        <v>73</v>
      </c>
      <c r="C12" s="106" t="s">
        <v>323</v>
      </c>
      <c r="E12" s="78">
        <v>-300</v>
      </c>
      <c r="F12" s="78"/>
      <c r="G12" s="78">
        <v>-76</v>
      </c>
      <c r="H12" s="77">
        <f t="shared" si="0"/>
        <v>-33872.14</v>
      </c>
    </row>
    <row r="13" spans="1:8">
      <c r="A13" s="88">
        <v>45551</v>
      </c>
      <c r="B13" s="106" t="s">
        <v>74</v>
      </c>
      <c r="C13" s="106" t="s">
        <v>323</v>
      </c>
      <c r="E13" s="78">
        <v>-100</v>
      </c>
      <c r="F13" s="78"/>
      <c r="G13" s="78">
        <v>-34</v>
      </c>
      <c r="H13" s="77">
        <f t="shared" si="0"/>
        <v>-33906.14</v>
      </c>
    </row>
    <row r="14" spans="1:8">
      <c r="A14" s="88">
        <v>45552</v>
      </c>
      <c r="B14" s="8" t="s">
        <v>429</v>
      </c>
      <c r="F14" s="78">
        <v>34000</v>
      </c>
      <c r="H14" s="77">
        <f t="shared" si="0"/>
        <v>93.860000000000582</v>
      </c>
    </row>
    <row r="15" spans="1:8">
      <c r="A15" s="88">
        <v>45550</v>
      </c>
      <c r="B15" s="82" t="s">
        <v>430</v>
      </c>
      <c r="F15" s="77">
        <v>30000</v>
      </c>
      <c r="H15" s="77">
        <f t="shared" si="0"/>
        <v>30093.86</v>
      </c>
    </row>
    <row r="16" spans="1:8">
      <c r="B16" t="s">
        <v>77</v>
      </c>
      <c r="E16" s="78">
        <v>-6500</v>
      </c>
      <c r="F16" s="78"/>
      <c r="G16" s="78">
        <v>-6500</v>
      </c>
      <c r="H16" s="77">
        <f t="shared" si="0"/>
        <v>23593.86</v>
      </c>
    </row>
    <row r="17" spans="1:8">
      <c r="B17" t="s">
        <v>78</v>
      </c>
      <c r="E17" s="78">
        <v>-6500</v>
      </c>
      <c r="F17" s="78"/>
      <c r="G17" s="78">
        <v>-6500</v>
      </c>
      <c r="H17" s="77">
        <f t="shared" si="0"/>
        <v>17093.86</v>
      </c>
    </row>
    <row r="18" spans="1:8">
      <c r="B18" t="s">
        <v>79</v>
      </c>
      <c r="E18" s="78">
        <v>-6500</v>
      </c>
      <c r="F18" s="78"/>
      <c r="G18" s="78">
        <v>-6500</v>
      </c>
      <c r="H18" s="77">
        <f t="shared" si="0"/>
        <v>10593.86</v>
      </c>
    </row>
    <row r="19" spans="1:8">
      <c r="B19" t="s">
        <v>76</v>
      </c>
      <c r="D19" s="78">
        <v>12984.15</v>
      </c>
      <c r="E19" s="78"/>
      <c r="F19" s="78">
        <v>13006.38</v>
      </c>
      <c r="H19" s="77">
        <f t="shared" si="0"/>
        <v>23600.239999999998</v>
      </c>
    </row>
    <row r="20" spans="1:8">
      <c r="A20" s="100"/>
      <c r="B20" s="101" t="s">
        <v>80</v>
      </c>
      <c r="C20" s="101"/>
      <c r="E20" s="78">
        <v>-400</v>
      </c>
      <c r="F20" s="78"/>
      <c r="G20" s="78">
        <v>-455</v>
      </c>
      <c r="H20" s="77">
        <f t="shared" si="0"/>
        <v>23145.239999999998</v>
      </c>
    </row>
    <row r="21" spans="1:8">
      <c r="A21" s="100">
        <v>45565</v>
      </c>
      <c r="B21" s="101" t="s">
        <v>81</v>
      </c>
      <c r="C21" s="101"/>
      <c r="E21" s="78">
        <v>-500</v>
      </c>
      <c r="F21" s="78"/>
      <c r="G21" s="78">
        <v>-805</v>
      </c>
      <c r="H21" s="77">
        <f t="shared" si="0"/>
        <v>22340.239999999998</v>
      </c>
    </row>
    <row r="22" spans="1:8">
      <c r="A22" s="88">
        <v>45564</v>
      </c>
      <c r="B22" s="8" t="s">
        <v>98</v>
      </c>
      <c r="C22" s="8" t="s">
        <v>431</v>
      </c>
      <c r="D22" s="78" t="s">
        <v>432</v>
      </c>
      <c r="E22" s="77">
        <v>-1398.6</v>
      </c>
      <c r="H22" s="77">
        <f t="shared" si="0"/>
        <v>22340.239999999998</v>
      </c>
    </row>
    <row r="23" spans="1:8">
      <c r="A23" s="88">
        <v>45564</v>
      </c>
      <c r="B23" s="82" t="s">
        <v>433</v>
      </c>
      <c r="D23" s="78"/>
      <c r="F23" s="77">
        <v>6000</v>
      </c>
      <c r="H23" s="77">
        <f t="shared" si="0"/>
        <v>28340.239999999998</v>
      </c>
    </row>
    <row r="24" spans="1:8">
      <c r="A24" s="88">
        <v>45565</v>
      </c>
      <c r="B24" s="8" t="s">
        <v>434</v>
      </c>
      <c r="G24" s="78">
        <v>-197.4</v>
      </c>
      <c r="H24" s="77">
        <f t="shared" si="0"/>
        <v>28142.839999999997</v>
      </c>
    </row>
    <row r="25" spans="1:8">
      <c r="B25" s="170" t="s">
        <v>435</v>
      </c>
      <c r="C25" s="170"/>
      <c r="D25" s="180">
        <v>8500</v>
      </c>
      <c r="H25" s="77">
        <f t="shared" si="0"/>
        <v>28142.839999999997</v>
      </c>
    </row>
    <row r="26" spans="1:8">
      <c r="A26" s="88">
        <v>45574</v>
      </c>
      <c r="B26" s="170" t="s">
        <v>385</v>
      </c>
      <c r="C26" s="170"/>
      <c r="D26" s="83">
        <v>15000</v>
      </c>
      <c r="H26" s="77">
        <f t="shared" si="0"/>
        <v>28142.839999999997</v>
      </c>
    </row>
    <row r="27" spans="1:8">
      <c r="B27" s="170" t="s">
        <v>394</v>
      </c>
      <c r="C27" s="170"/>
      <c r="D27" s="108"/>
      <c r="E27" s="108">
        <v>-10000</v>
      </c>
      <c r="H27" s="77">
        <f t="shared" si="0"/>
        <v>28142.839999999997</v>
      </c>
    </row>
    <row r="28" spans="1:8">
      <c r="B28" s="101" t="s">
        <v>75</v>
      </c>
      <c r="C28" s="101" t="s">
        <v>323</v>
      </c>
      <c r="E28" s="77">
        <v>-150</v>
      </c>
      <c r="H28" s="77">
        <f t="shared" si="0"/>
        <v>28142.839999999997</v>
      </c>
    </row>
    <row r="29" spans="1:8">
      <c r="A29" s="88">
        <v>45574</v>
      </c>
      <c r="B29" s="107" t="s">
        <v>436</v>
      </c>
      <c r="G29" s="78">
        <v>-10000</v>
      </c>
      <c r="H29" s="77">
        <f t="shared" si="0"/>
        <v>18142.839999999997</v>
      </c>
    </row>
    <row r="30" spans="1:8">
      <c r="B30" t="s">
        <v>437</v>
      </c>
      <c r="C30" s="171">
        <v>0.234011</v>
      </c>
      <c r="D30" s="77">
        <v>144000</v>
      </c>
      <c r="H30" s="77">
        <f t="shared" si="0"/>
        <v>18142.839999999997</v>
      </c>
    </row>
    <row r="31" spans="1:8">
      <c r="C31" s="171"/>
    </row>
    <row r="32" spans="1:8">
      <c r="B32" t="s">
        <v>325</v>
      </c>
    </row>
    <row r="33" spans="1:5">
      <c r="A33" s="103" t="s">
        <v>326</v>
      </c>
      <c r="B33" s="103"/>
      <c r="C33" s="103"/>
    </row>
    <row r="34" spans="1:5">
      <c r="A34" s="100"/>
      <c r="C34" s="171"/>
    </row>
    <row r="35" spans="1:5">
      <c r="A35" s="172">
        <v>44929</v>
      </c>
      <c r="B35" s="173" t="s">
        <v>327</v>
      </c>
      <c r="C35" s="103"/>
      <c r="D35" s="77">
        <f>SUM(D36:D41)</f>
        <v>0</v>
      </c>
      <c r="E35" s="77">
        <f>SUM(E36:E41)</f>
        <v>0</v>
      </c>
    </row>
    <row r="36" spans="1:5">
      <c r="A36" s="100"/>
      <c r="B36" s="106" t="s">
        <v>328</v>
      </c>
    </row>
    <row r="37" spans="1:5">
      <c r="B37" t="s">
        <v>329</v>
      </c>
    </row>
    <row r="38" spans="1:5">
      <c r="B38" t="s">
        <v>330</v>
      </c>
    </row>
    <row r="39" spans="1:5">
      <c r="B39" t="s">
        <v>331</v>
      </c>
    </row>
    <row r="40" spans="1:5">
      <c r="B40" t="s">
        <v>332</v>
      </c>
    </row>
    <row r="41" spans="1:5">
      <c r="B41" t="s">
        <v>333</v>
      </c>
      <c r="C41" s="106"/>
    </row>
    <row r="42" spans="1:5">
      <c r="C42" s="106"/>
    </row>
    <row r="44" spans="1:5">
      <c r="B44" s="17"/>
    </row>
    <row r="45" spans="1:5">
      <c r="B45" s="102"/>
    </row>
    <row r="46" spans="1:5">
      <c r="A46" s="103"/>
      <c r="B46" s="104" t="s">
        <v>83</v>
      </c>
      <c r="C46" s="103"/>
      <c r="E46" s="77">
        <f>SUM(E47:E58)</f>
        <v>-8037.9</v>
      </c>
    </row>
    <row r="48" spans="1:5">
      <c r="A48" s="88">
        <v>45348</v>
      </c>
      <c r="B48" s="8" t="s">
        <v>438</v>
      </c>
      <c r="C48">
        <v>1406</v>
      </c>
      <c r="D48" s="77" t="s">
        <v>439</v>
      </c>
      <c r="E48" s="77">
        <v>-234.35</v>
      </c>
    </row>
    <row r="49" spans="1:5">
      <c r="A49" s="88">
        <v>45373</v>
      </c>
      <c r="B49" s="8" t="s">
        <v>334</v>
      </c>
      <c r="C49">
        <v>10176.39</v>
      </c>
      <c r="D49" s="77" t="s">
        <v>440</v>
      </c>
      <c r="E49" s="77">
        <v>-1130.71</v>
      </c>
    </row>
    <row r="50" spans="1:5">
      <c r="A50" s="88">
        <v>45375</v>
      </c>
      <c r="B50" s="8" t="s">
        <v>336</v>
      </c>
      <c r="C50">
        <v>5999</v>
      </c>
      <c r="D50" s="77" t="s">
        <v>440</v>
      </c>
      <c r="E50" s="77">
        <v>-666.56</v>
      </c>
    </row>
    <row r="51" spans="1:5">
      <c r="A51" s="88">
        <v>45358</v>
      </c>
      <c r="B51" s="8" t="s">
        <v>441</v>
      </c>
      <c r="C51">
        <v>2273</v>
      </c>
      <c r="D51" s="77" t="s">
        <v>439</v>
      </c>
      <c r="E51" s="77">
        <v>-378.87</v>
      </c>
    </row>
    <row r="52" spans="1:5">
      <c r="A52" s="88">
        <v>45371</v>
      </c>
      <c r="B52" s="8" t="s">
        <v>442</v>
      </c>
      <c r="D52" s="77" t="s">
        <v>439</v>
      </c>
      <c r="E52" s="77">
        <v>101.79</v>
      </c>
    </row>
    <row r="53" spans="1:5">
      <c r="A53" s="100">
        <v>45456</v>
      </c>
      <c r="B53" s="107" t="s">
        <v>443</v>
      </c>
      <c r="C53" s="106"/>
      <c r="D53" s="77" t="s">
        <v>444</v>
      </c>
      <c r="E53" s="77">
        <v>-3923.34</v>
      </c>
    </row>
    <row r="54" spans="1:5">
      <c r="A54" s="100"/>
      <c r="B54" s="106"/>
      <c r="C54" s="106"/>
    </row>
    <row r="55" spans="1:5">
      <c r="A55" s="100"/>
      <c r="B55" s="107" t="s">
        <v>129</v>
      </c>
      <c r="C55" s="106">
        <v>8154.2</v>
      </c>
    </row>
    <row r="56" spans="1:5">
      <c r="A56" s="100"/>
      <c r="B56" s="107" t="s">
        <v>445</v>
      </c>
      <c r="C56" s="106"/>
      <c r="E56" s="77">
        <v>-1805.86</v>
      </c>
    </row>
    <row r="57" spans="1:5" ht="15">
      <c r="A57" s="100"/>
      <c r="B57" s="107"/>
      <c r="C57" s="105" t="s">
        <v>84</v>
      </c>
    </row>
    <row r="58" spans="1:5">
      <c r="A58" s="100"/>
      <c r="B58" s="107"/>
      <c r="C58" s="106"/>
    </row>
    <row r="59" spans="1:5">
      <c r="A59" s="100"/>
      <c r="B59" s="3"/>
    </row>
    <row r="60" spans="1:5">
      <c r="A60" s="100"/>
      <c r="B60" s="106"/>
      <c r="C60" s="106"/>
    </row>
    <row r="61" spans="1:5">
      <c r="A61" s="103"/>
      <c r="B61" s="104" t="s">
        <v>85</v>
      </c>
      <c r="C61" s="103"/>
      <c r="E61" s="77">
        <f>SUM(E62:E70)</f>
        <v>-21576.400000000001</v>
      </c>
    </row>
    <row r="62" spans="1:5">
      <c r="A62" s="100"/>
      <c r="B62" s="106"/>
      <c r="C62" s="106"/>
    </row>
    <row r="63" spans="1:5">
      <c r="A63" s="100"/>
      <c r="B63" s="106"/>
      <c r="C63" s="106"/>
      <c r="E63" s="77">
        <v>-21576.400000000001</v>
      </c>
    </row>
    <row r="64" spans="1:5" ht="15">
      <c r="A64" s="100"/>
      <c r="B64" s="3"/>
      <c r="C64" s="105" t="s">
        <v>84</v>
      </c>
    </row>
    <row r="65" spans="1:3">
      <c r="A65" s="100"/>
      <c r="B65" s="3"/>
      <c r="C65" s="106"/>
    </row>
    <row r="66" spans="1:3">
      <c r="A66" s="100"/>
      <c r="B66" s="3"/>
      <c r="C66" s="106"/>
    </row>
    <row r="67" spans="1:3">
      <c r="A67" s="100"/>
      <c r="B67" s="3"/>
      <c r="C67" s="106"/>
    </row>
    <row r="68" spans="1:3">
      <c r="A68" s="100"/>
      <c r="B68" s="3"/>
      <c r="C68" s="106"/>
    </row>
    <row r="69" spans="1:3">
      <c r="A69" s="100"/>
      <c r="B69" s="3"/>
      <c r="C69" s="106"/>
    </row>
    <row r="70" spans="1:3">
      <c r="A70" s="100"/>
      <c r="B70" s="3"/>
      <c r="C70" s="106"/>
    </row>
    <row r="71" spans="1:3">
      <c r="A71" s="100"/>
      <c r="B71" s="3"/>
      <c r="C71" s="106"/>
    </row>
    <row r="72" spans="1:3">
      <c r="A72" s="100"/>
      <c r="B72" s="3"/>
      <c r="C72" s="106"/>
    </row>
    <row r="73" spans="1:3">
      <c r="A73" s="100"/>
      <c r="B73" s="3"/>
      <c r="C73" s="106"/>
    </row>
    <row r="74" spans="1:3">
      <c r="A74" s="100"/>
      <c r="B74" s="3"/>
      <c r="C74" s="106"/>
    </row>
    <row r="75" spans="1:3">
      <c r="A75" s="100"/>
      <c r="B75" s="3"/>
      <c r="C75" s="106"/>
    </row>
    <row r="76" spans="1:3">
      <c r="A76" s="100"/>
      <c r="B76" s="3"/>
      <c r="C76" s="106"/>
    </row>
    <row r="77" spans="1:3">
      <c r="A77" s="100"/>
      <c r="B77" s="3"/>
      <c r="C77" s="106"/>
    </row>
    <row r="78" spans="1:3">
      <c r="A78" s="100"/>
      <c r="B78" s="3"/>
      <c r="C78" s="106"/>
    </row>
    <row r="79" spans="1:3">
      <c r="A79" s="100"/>
      <c r="B79" s="3"/>
      <c r="C79" s="106"/>
    </row>
    <row r="80" spans="1:3">
      <c r="A80" s="100"/>
      <c r="B80" s="3"/>
      <c r="C80" s="106"/>
    </row>
    <row r="81" spans="1:3">
      <c r="A81" s="100"/>
      <c r="B81" s="3"/>
      <c r="C81" s="106"/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101" spans="1:5">
      <c r="A101" s="113" t="s">
        <v>446</v>
      </c>
      <c r="B101" s="104" t="s">
        <v>136</v>
      </c>
      <c r="C101" s="103">
        <v>2024</v>
      </c>
      <c r="D101" s="158"/>
      <c r="E101" s="159">
        <f>SUM(E102:E123)</f>
        <v>749196.59931999992</v>
      </c>
    </row>
    <row r="102" spans="1:5">
      <c r="A102" s="160">
        <v>45534</v>
      </c>
      <c r="B102" s="8" t="s">
        <v>77</v>
      </c>
      <c r="C102" s="2"/>
      <c r="D102" s="2"/>
      <c r="E102" s="2">
        <v>0</v>
      </c>
    </row>
    <row r="103" spans="1:5">
      <c r="A103" s="160">
        <f>A102</f>
        <v>45534</v>
      </c>
      <c r="B103" s="8" t="s">
        <v>378</v>
      </c>
      <c r="C103" s="2"/>
      <c r="D103" s="2"/>
      <c r="E103" s="2">
        <v>0</v>
      </c>
    </row>
    <row r="104" spans="1:5">
      <c r="A104" s="160"/>
      <c r="B104" s="8" t="s">
        <v>447</v>
      </c>
      <c r="C104" s="2"/>
      <c r="D104" s="2"/>
      <c r="E104" s="2">
        <v>407100</v>
      </c>
    </row>
    <row r="105" spans="1:5">
      <c r="A105" s="160">
        <f>A103</f>
        <v>45534</v>
      </c>
      <c r="B105" s="8" t="s">
        <v>139</v>
      </c>
      <c r="C105" s="2"/>
      <c r="D105" s="2"/>
      <c r="E105" s="17">
        <v>5105.2299999999996</v>
      </c>
    </row>
    <row r="106" spans="1:5">
      <c r="A106" s="160">
        <f>A103</f>
        <v>45534</v>
      </c>
      <c r="B106" s="8" t="s">
        <v>141</v>
      </c>
      <c r="C106" s="2">
        <v>40</v>
      </c>
      <c r="D106" s="174">
        <v>732.60648300000003</v>
      </c>
      <c r="E106" s="17">
        <f t="shared" ref="E106:E118" si="1">D106*C106</f>
        <v>29304.259320000001</v>
      </c>
    </row>
    <row r="107" spans="1:5">
      <c r="A107" s="160">
        <f>A112</f>
        <v>45534</v>
      </c>
      <c r="B107" s="8" t="s">
        <v>380</v>
      </c>
      <c r="C107" s="2">
        <v>28.5</v>
      </c>
      <c r="D107" s="2">
        <v>4000</v>
      </c>
      <c r="E107" s="17">
        <f t="shared" si="1"/>
        <v>114000</v>
      </c>
    </row>
    <row r="108" spans="1:5">
      <c r="A108" s="160">
        <f>A105</f>
        <v>45534</v>
      </c>
      <c r="B108" s="8" t="s">
        <v>143</v>
      </c>
      <c r="C108" s="175">
        <v>125000</v>
      </c>
      <c r="D108" s="174">
        <v>0.77971599999999996</v>
      </c>
      <c r="E108" s="17">
        <f t="shared" si="1"/>
        <v>97464.5</v>
      </c>
    </row>
    <row r="109" spans="1:5">
      <c r="A109" s="160">
        <f>A106</f>
        <v>45534</v>
      </c>
      <c r="B109" s="8" t="s">
        <v>144</v>
      </c>
      <c r="C109" s="2">
        <v>10</v>
      </c>
      <c r="D109" s="2">
        <v>103.7</v>
      </c>
      <c r="E109" s="17">
        <f t="shared" si="1"/>
        <v>1037</v>
      </c>
    </row>
    <row r="110" spans="1:5">
      <c r="A110" s="160">
        <f>A109</f>
        <v>45534</v>
      </c>
      <c r="B110" s="8" t="s">
        <v>145</v>
      </c>
      <c r="C110" s="2">
        <v>38</v>
      </c>
      <c r="D110" s="2">
        <v>21.42</v>
      </c>
      <c r="E110" s="17">
        <f t="shared" si="1"/>
        <v>813.96</v>
      </c>
    </row>
    <row r="111" spans="1:5">
      <c r="A111" s="160">
        <f>A110</f>
        <v>45534</v>
      </c>
      <c r="B111" s="8" t="s">
        <v>146</v>
      </c>
      <c r="C111" s="2">
        <v>26</v>
      </c>
      <c r="D111" s="2">
        <v>25.92</v>
      </c>
      <c r="E111" s="17">
        <f t="shared" si="1"/>
        <v>673.92000000000007</v>
      </c>
    </row>
    <row r="112" spans="1:5">
      <c r="A112" s="160">
        <f>A111</f>
        <v>45534</v>
      </c>
      <c r="B112" s="8" t="s">
        <v>140</v>
      </c>
      <c r="C112" s="2"/>
      <c r="D112" s="2"/>
      <c r="E112" s="17">
        <f t="shared" si="1"/>
        <v>0</v>
      </c>
    </row>
    <row r="113" spans="1:5">
      <c r="E113" s="17">
        <f t="shared" si="1"/>
        <v>0</v>
      </c>
    </row>
    <row r="114" spans="1:5">
      <c r="A114" s="160">
        <f>A107</f>
        <v>45534</v>
      </c>
      <c r="C114" s="2"/>
      <c r="D114" s="2"/>
      <c r="E114" s="17">
        <f t="shared" si="1"/>
        <v>0</v>
      </c>
    </row>
    <row r="115" spans="1:5">
      <c r="A115" s="160">
        <f>A114</f>
        <v>45534</v>
      </c>
      <c r="C115" s="2"/>
      <c r="D115" s="2"/>
      <c r="E115" s="17">
        <f t="shared" si="1"/>
        <v>0</v>
      </c>
    </row>
    <row r="116" spans="1:5">
      <c r="A116" s="160">
        <f>A115</f>
        <v>45534</v>
      </c>
      <c r="B116" s="8" t="s">
        <v>345</v>
      </c>
      <c r="C116" s="2">
        <v>2697.73</v>
      </c>
      <c r="D116" s="2">
        <v>1</v>
      </c>
      <c r="E116" s="17">
        <f t="shared" si="1"/>
        <v>2697.73</v>
      </c>
    </row>
    <row r="117" spans="1:5">
      <c r="A117" s="160">
        <f>A116</f>
        <v>45534</v>
      </c>
      <c r="B117" s="8" t="s">
        <v>148</v>
      </c>
      <c r="C117" s="2">
        <v>4500</v>
      </c>
      <c r="D117" s="2">
        <v>16</v>
      </c>
      <c r="E117" s="17">
        <f t="shared" si="1"/>
        <v>72000</v>
      </c>
    </row>
    <row r="118" spans="1:5">
      <c r="A118" s="160">
        <f>A117</f>
        <v>45534</v>
      </c>
      <c r="B118" s="8" t="s">
        <v>149</v>
      </c>
      <c r="C118" s="2">
        <v>18000</v>
      </c>
      <c r="D118" s="2">
        <v>1</v>
      </c>
      <c r="E118" s="17">
        <f t="shared" si="1"/>
        <v>18000</v>
      </c>
    </row>
    <row r="119" spans="1:5">
      <c r="A119" s="160">
        <f>A118</f>
        <v>45534</v>
      </c>
      <c r="C119" s="2"/>
      <c r="D119" s="2"/>
      <c r="E119" s="17"/>
    </row>
    <row r="120" spans="1:5">
      <c r="A120" s="160">
        <f>A116</f>
        <v>45534</v>
      </c>
      <c r="B120" s="8" t="s">
        <v>150</v>
      </c>
      <c r="C120" s="120">
        <v>33.250599999999999</v>
      </c>
      <c r="D120" s="2"/>
      <c r="E120" s="17"/>
    </row>
    <row r="121" spans="1:5">
      <c r="A121" s="160">
        <f>A120</f>
        <v>45534</v>
      </c>
      <c r="B121" s="8" t="s">
        <v>151</v>
      </c>
      <c r="C121" s="120">
        <v>36.854999999999997</v>
      </c>
      <c r="D121" s="2"/>
      <c r="E121" s="17"/>
    </row>
    <row r="122" spans="1:5">
      <c r="A122" s="160">
        <f>A121</f>
        <v>45534</v>
      </c>
      <c r="B122" s="8" t="s">
        <v>152</v>
      </c>
      <c r="C122" s="2"/>
      <c r="D122" s="2"/>
      <c r="E122" s="17">
        <v>0</v>
      </c>
    </row>
    <row r="123" spans="1:5">
      <c r="A123" s="160">
        <f>A122</f>
        <v>45534</v>
      </c>
      <c r="B123" s="8" t="s">
        <v>153</v>
      </c>
      <c r="C123" s="2"/>
      <c r="D123" s="2"/>
      <c r="E123" s="17">
        <v>1000</v>
      </c>
    </row>
    <row r="124" spans="1:5">
      <c r="E124" s="176"/>
    </row>
    <row r="125" spans="1:5">
      <c r="C125" s="124"/>
      <c r="D125" s="3"/>
      <c r="E125" s="124"/>
    </row>
    <row r="126" spans="1:5">
      <c r="C126" s="124"/>
      <c r="D126" s="18" t="s">
        <v>155</v>
      </c>
      <c r="E126" s="9">
        <f>SUM(E102:E123)</f>
        <v>749196.59931999992</v>
      </c>
    </row>
    <row r="127" spans="1:5">
      <c r="C127" s="125" t="str">
        <f>A101</f>
        <v>EYLÜLe</v>
      </c>
      <c r="D127" s="126" t="s">
        <v>156</v>
      </c>
      <c r="E127" s="127">
        <f>H2</f>
        <v>28142.840000000011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E2F0D9"/>
  </sheetPr>
  <dimension ref="A1:H150"/>
  <sheetViews>
    <sheetView topLeftCell="A5" zoomScale="145" zoomScaleNormal="145" workbookViewId="0">
      <selection activeCell="B15" sqref="B1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448</v>
      </c>
      <c r="C2" s="79" t="s">
        <v>67</v>
      </c>
      <c r="D2" s="77">
        <f>SUM(D4:D46)</f>
        <v>195484.15</v>
      </c>
      <c r="E2" s="77">
        <f>SUM(E4:E46)</f>
        <v>-88440.670000000013</v>
      </c>
      <c r="F2" s="77">
        <f>SUM(F4:F47)</f>
        <v>28006.379999999997</v>
      </c>
      <c r="G2" s="77">
        <f>SUM(G4:G47)</f>
        <v>-88381.87</v>
      </c>
      <c r="H2" s="77">
        <f>F2+G2</f>
        <v>-60375.49</v>
      </c>
    </row>
    <row r="3" spans="1:8">
      <c r="B3" s="35"/>
      <c r="D3" s="78"/>
      <c r="E3" s="78"/>
      <c r="F3" s="78"/>
      <c r="G3" s="78"/>
      <c r="H3" s="78"/>
    </row>
    <row r="4" spans="1:8">
      <c r="A4" s="88">
        <v>45500</v>
      </c>
      <c r="B4" s="41" t="s">
        <v>424</v>
      </c>
      <c r="C4" s="8" t="s">
        <v>449</v>
      </c>
      <c r="D4" s="78"/>
      <c r="E4" s="78">
        <v>-152</v>
      </c>
      <c r="F4" s="78"/>
      <c r="G4" s="78">
        <v>-166.9</v>
      </c>
      <c r="H4" s="78">
        <f t="shared" ref="H4:H47" si="0">H3+F4+G4</f>
        <v>-166.9</v>
      </c>
    </row>
    <row r="5" spans="1:8">
      <c r="B5" s="101" t="s">
        <v>450</v>
      </c>
      <c r="C5" s="101" t="s">
        <v>352</v>
      </c>
      <c r="D5" s="78"/>
      <c r="E5" s="78">
        <v>-250</v>
      </c>
      <c r="F5" s="78"/>
      <c r="G5" s="78"/>
      <c r="H5" s="78">
        <f t="shared" si="0"/>
        <v>-166.9</v>
      </c>
    </row>
    <row r="6" spans="1:8">
      <c r="A6" s="88">
        <v>45509</v>
      </c>
      <c r="B6" s="101" t="s">
        <v>70</v>
      </c>
      <c r="C6" s="101"/>
      <c r="D6" s="78"/>
      <c r="E6" s="78">
        <v>-1500</v>
      </c>
      <c r="F6" s="78"/>
      <c r="G6" s="78">
        <v>-1532.3</v>
      </c>
      <c r="H6" s="78">
        <f t="shared" si="0"/>
        <v>-1699.2</v>
      </c>
    </row>
    <row r="7" spans="1:8">
      <c r="A7" s="88">
        <v>45509</v>
      </c>
      <c r="B7" s="177" t="s">
        <v>68</v>
      </c>
      <c r="D7" s="78"/>
      <c r="E7" s="78">
        <f>E63</f>
        <v>-8154.2</v>
      </c>
      <c r="F7" s="78"/>
      <c r="G7" s="78">
        <v>-8154.2</v>
      </c>
      <c r="H7" s="78">
        <f t="shared" si="0"/>
        <v>-9853.4</v>
      </c>
    </row>
    <row r="8" spans="1:8">
      <c r="A8" s="165">
        <v>45509</v>
      </c>
      <c r="B8" s="177" t="s">
        <v>69</v>
      </c>
      <c r="D8" s="78"/>
      <c r="E8" s="78">
        <f>E78</f>
        <v>-21980.090000000004</v>
      </c>
      <c r="F8" s="78"/>
      <c r="G8" s="78">
        <v>-21980.09</v>
      </c>
      <c r="H8" s="78">
        <f t="shared" si="0"/>
        <v>-31833.489999999998</v>
      </c>
    </row>
    <row r="9" spans="1:8">
      <c r="A9" s="165"/>
      <c r="B9" s="177" t="s">
        <v>451</v>
      </c>
      <c r="D9" s="78"/>
      <c r="E9" s="78"/>
      <c r="F9" s="78"/>
      <c r="G9" s="78">
        <v>-10000</v>
      </c>
      <c r="H9" s="78">
        <f t="shared" si="0"/>
        <v>-41833.49</v>
      </c>
    </row>
    <row r="10" spans="1:8">
      <c r="A10" s="165"/>
      <c r="B10" s="81"/>
      <c r="D10" s="78"/>
      <c r="E10" s="78"/>
      <c r="F10" s="78"/>
      <c r="G10" s="78"/>
      <c r="H10" s="78">
        <f t="shared" si="0"/>
        <v>-41833.49</v>
      </c>
    </row>
    <row r="11" spans="1:8">
      <c r="A11" s="165">
        <v>45510</v>
      </c>
      <c r="B11" s="8" t="s">
        <v>452</v>
      </c>
      <c r="D11" s="78">
        <v>15000</v>
      </c>
      <c r="E11" s="78"/>
      <c r="F11" s="78">
        <v>15000</v>
      </c>
      <c r="G11" s="78"/>
      <c r="H11" s="78">
        <f t="shared" si="0"/>
        <v>-26833.489999999998</v>
      </c>
    </row>
    <row r="12" spans="1:8">
      <c r="A12" s="100">
        <v>45511</v>
      </c>
      <c r="B12" s="101" t="s">
        <v>453</v>
      </c>
      <c r="C12" s="101"/>
      <c r="D12" s="78"/>
      <c r="E12" s="78">
        <v>-17500</v>
      </c>
      <c r="F12" s="78"/>
      <c r="G12" s="78">
        <v>-17500</v>
      </c>
      <c r="H12" s="78">
        <f t="shared" si="0"/>
        <v>-44333.49</v>
      </c>
    </row>
    <row r="13" spans="1:8">
      <c r="A13" s="100"/>
      <c r="B13" s="178" t="s">
        <v>72</v>
      </c>
      <c r="E13" s="77">
        <f>E58*-1</f>
        <v>0</v>
      </c>
      <c r="G13" s="77">
        <v>-50</v>
      </c>
      <c r="H13" s="78">
        <f t="shared" si="0"/>
        <v>-44383.49</v>
      </c>
    </row>
    <row r="14" spans="1:8">
      <c r="A14" s="100">
        <v>45519</v>
      </c>
      <c r="B14" s="166" t="s">
        <v>454</v>
      </c>
      <c r="C14" s="101"/>
      <c r="D14" s="78"/>
      <c r="E14" s="78"/>
      <c r="F14" s="78"/>
      <c r="G14" s="78"/>
      <c r="H14" s="78">
        <f t="shared" si="0"/>
        <v>-44383.49</v>
      </c>
    </row>
    <row r="15" spans="1:8">
      <c r="A15" s="100">
        <v>45520</v>
      </c>
      <c r="B15" s="101" t="s">
        <v>455</v>
      </c>
      <c r="C15" s="101"/>
      <c r="D15" s="78"/>
      <c r="E15" s="78"/>
      <c r="F15" s="78"/>
      <c r="G15" s="78">
        <v>-95</v>
      </c>
      <c r="H15" s="78">
        <f t="shared" si="0"/>
        <v>-44478.49</v>
      </c>
    </row>
    <row r="16" spans="1:8">
      <c r="A16" s="88">
        <v>45523</v>
      </c>
      <c r="B16" s="106" t="s">
        <v>73</v>
      </c>
      <c r="C16" s="106" t="s">
        <v>323</v>
      </c>
      <c r="D16" s="78"/>
      <c r="E16" s="78">
        <v>-300</v>
      </c>
      <c r="F16" s="78"/>
      <c r="G16" s="78">
        <v>-56</v>
      </c>
      <c r="H16" s="78">
        <f t="shared" si="0"/>
        <v>-44534.49</v>
      </c>
    </row>
    <row r="17" spans="1:8">
      <c r="A17" s="88">
        <v>45523</v>
      </c>
      <c r="B17" s="106" t="s">
        <v>74</v>
      </c>
      <c r="C17" s="106" t="s">
        <v>323</v>
      </c>
      <c r="D17" s="78"/>
      <c r="E17" s="78">
        <v>-100</v>
      </c>
      <c r="F17" s="78"/>
      <c r="G17" s="78">
        <v>-28</v>
      </c>
      <c r="H17" s="78">
        <f t="shared" si="0"/>
        <v>-44562.49</v>
      </c>
    </row>
    <row r="18" spans="1:8">
      <c r="A18" s="88">
        <v>45533</v>
      </c>
      <c r="B18" s="101" t="s">
        <v>80</v>
      </c>
      <c r="C18" s="101"/>
      <c r="D18" s="78"/>
      <c r="E18" s="78">
        <v>-400</v>
      </c>
      <c r="F18" s="78"/>
      <c r="G18" s="78">
        <v>-500</v>
      </c>
      <c r="H18" s="78">
        <f t="shared" si="0"/>
        <v>-45062.49</v>
      </c>
    </row>
    <row r="19" spans="1:8">
      <c r="A19" s="88">
        <v>45533</v>
      </c>
      <c r="B19" s="101" t="s">
        <v>81</v>
      </c>
      <c r="C19" s="101"/>
      <c r="D19" s="78"/>
      <c r="E19" s="78">
        <v>-500</v>
      </c>
      <c r="F19" s="78"/>
      <c r="G19" s="78">
        <v>-865</v>
      </c>
      <c r="H19" s="78">
        <f t="shared" si="0"/>
        <v>-45927.49</v>
      </c>
    </row>
    <row r="20" spans="1:8">
      <c r="B20" t="s">
        <v>77</v>
      </c>
      <c r="D20" s="78"/>
      <c r="E20" s="78"/>
      <c r="F20" s="78"/>
      <c r="G20" s="78"/>
      <c r="H20" s="78">
        <f t="shared" si="0"/>
        <v>-45927.49</v>
      </c>
    </row>
    <row r="21" spans="1:8">
      <c r="B21" t="s">
        <v>77</v>
      </c>
      <c r="D21" s="78"/>
      <c r="E21" s="78">
        <v>-6500</v>
      </c>
      <c r="F21" s="78"/>
      <c r="G21" s="78">
        <v>-6500</v>
      </c>
      <c r="H21" s="78">
        <f t="shared" si="0"/>
        <v>-52427.49</v>
      </c>
    </row>
    <row r="22" spans="1:8">
      <c r="B22" t="s">
        <v>78</v>
      </c>
      <c r="D22" s="78"/>
      <c r="E22" s="78">
        <v>-6500</v>
      </c>
      <c r="F22" s="78"/>
      <c r="G22" s="78">
        <v>-6500</v>
      </c>
      <c r="H22" s="78">
        <f t="shared" si="0"/>
        <v>-58927.49</v>
      </c>
    </row>
    <row r="23" spans="1:8">
      <c r="B23" t="s">
        <v>79</v>
      </c>
      <c r="D23" s="78"/>
      <c r="E23" s="78">
        <v>-6500</v>
      </c>
      <c r="F23" s="78"/>
      <c r="G23" s="78">
        <v>-6500</v>
      </c>
      <c r="H23" s="78">
        <f t="shared" si="0"/>
        <v>-65427.49</v>
      </c>
    </row>
    <row r="24" spans="1:8">
      <c r="H24" s="78">
        <f t="shared" si="0"/>
        <v>-65427.49</v>
      </c>
    </row>
    <row r="25" spans="1:8">
      <c r="A25" s="100"/>
      <c r="B25" s="8" t="s">
        <v>76</v>
      </c>
      <c r="D25" s="77">
        <v>12984.15</v>
      </c>
      <c r="F25" s="77">
        <v>13006.38</v>
      </c>
      <c r="H25" s="78">
        <f t="shared" si="0"/>
        <v>-52421.11</v>
      </c>
    </row>
    <row r="26" spans="1:8">
      <c r="A26" s="100"/>
      <c r="H26" s="78">
        <f t="shared" si="0"/>
        <v>-52421.11</v>
      </c>
    </row>
    <row r="27" spans="1:8">
      <c r="H27" s="78">
        <f t="shared" si="0"/>
        <v>-52421.11</v>
      </c>
    </row>
    <row r="28" spans="1:8">
      <c r="A28" s="88">
        <v>45531</v>
      </c>
      <c r="B28" s="8" t="s">
        <v>456</v>
      </c>
      <c r="C28" s="171"/>
      <c r="D28" s="77" t="s">
        <v>457</v>
      </c>
      <c r="E28" s="78">
        <v>-750</v>
      </c>
      <c r="F28" s="78"/>
      <c r="G28" s="78">
        <f t="shared" ref="G28:G33" si="1">E28</f>
        <v>-750</v>
      </c>
      <c r="H28" s="78">
        <f t="shared" si="0"/>
        <v>-53171.11</v>
      </c>
    </row>
    <row r="29" spans="1:8">
      <c r="A29" s="88">
        <v>45531</v>
      </c>
      <c r="B29" s="8" t="s">
        <v>458</v>
      </c>
      <c r="C29" s="171"/>
      <c r="D29" s="77" t="s">
        <v>457</v>
      </c>
      <c r="E29" s="78">
        <v>-2137.5</v>
      </c>
      <c r="F29" s="78"/>
      <c r="G29" s="78">
        <f t="shared" si="1"/>
        <v>-2137.5</v>
      </c>
      <c r="H29" s="78">
        <f t="shared" si="0"/>
        <v>-55308.61</v>
      </c>
    </row>
    <row r="30" spans="1:8">
      <c r="A30" s="88">
        <v>45531</v>
      </c>
      <c r="B30" s="8" t="s">
        <v>459</v>
      </c>
      <c r="C30" s="171"/>
      <c r="D30" s="77" t="s">
        <v>457</v>
      </c>
      <c r="E30" s="78">
        <v>-925</v>
      </c>
      <c r="F30" s="78"/>
      <c r="G30" s="78">
        <f t="shared" si="1"/>
        <v>-925</v>
      </c>
      <c r="H30" s="78">
        <f t="shared" si="0"/>
        <v>-56233.61</v>
      </c>
    </row>
    <row r="31" spans="1:8">
      <c r="A31" s="88">
        <v>45531</v>
      </c>
      <c r="B31" s="8" t="s">
        <v>460</v>
      </c>
      <c r="C31" s="171"/>
      <c r="D31" s="77" t="s">
        <v>457</v>
      </c>
      <c r="E31" s="78">
        <v>-625</v>
      </c>
      <c r="F31" s="78"/>
      <c r="G31" s="78">
        <f t="shared" si="1"/>
        <v>-625</v>
      </c>
      <c r="H31" s="78">
        <f t="shared" si="0"/>
        <v>-56858.61</v>
      </c>
    </row>
    <row r="32" spans="1:8">
      <c r="A32" s="88">
        <v>45531</v>
      </c>
      <c r="B32" s="8" t="s">
        <v>461</v>
      </c>
      <c r="C32" s="171"/>
      <c r="D32" s="77" t="s">
        <v>457</v>
      </c>
      <c r="E32" s="78">
        <v>-1075</v>
      </c>
      <c r="F32" s="78"/>
      <c r="G32" s="78">
        <f t="shared" si="1"/>
        <v>-1075</v>
      </c>
      <c r="H32" s="78">
        <f t="shared" si="0"/>
        <v>-57933.61</v>
      </c>
    </row>
    <row r="33" spans="1:8">
      <c r="A33" s="88">
        <v>45531</v>
      </c>
      <c r="B33" s="8" t="s">
        <v>462</v>
      </c>
      <c r="C33" s="171"/>
      <c r="D33" s="77" t="s">
        <v>457</v>
      </c>
      <c r="E33" s="78">
        <v>-1825</v>
      </c>
      <c r="F33" s="78"/>
      <c r="G33" s="78">
        <f t="shared" si="1"/>
        <v>-1825</v>
      </c>
      <c r="H33" s="78">
        <f t="shared" si="0"/>
        <v>-59758.61</v>
      </c>
    </row>
    <row r="34" spans="1:8">
      <c r="A34" s="88"/>
      <c r="C34" s="171"/>
      <c r="E34" s="78"/>
      <c r="F34" s="78"/>
      <c r="G34" s="78"/>
      <c r="H34" s="78">
        <f t="shared" si="0"/>
        <v>-59758.61</v>
      </c>
    </row>
    <row r="35" spans="1:8">
      <c r="A35" s="88">
        <v>45531</v>
      </c>
      <c r="B35" s="8" t="s">
        <v>463</v>
      </c>
      <c r="C35" s="77" t="s">
        <v>457</v>
      </c>
      <c r="D35" s="78" t="s">
        <v>464</v>
      </c>
      <c r="E35" s="78">
        <v>-136.08000000000001</v>
      </c>
      <c r="F35" s="78"/>
      <c r="G35" s="78">
        <v>-136.08000000000001</v>
      </c>
      <c r="H35" s="78">
        <f t="shared" si="0"/>
        <v>-59894.69</v>
      </c>
    </row>
    <row r="36" spans="1:8">
      <c r="A36" s="88">
        <v>45531</v>
      </c>
      <c r="B36" s="8" t="s">
        <v>465</v>
      </c>
      <c r="C36" s="77" t="s">
        <v>457</v>
      </c>
      <c r="D36" s="78" t="s">
        <v>464</v>
      </c>
      <c r="E36" s="78">
        <v>-258.61</v>
      </c>
      <c r="F36" s="78"/>
      <c r="G36" s="78">
        <v>-258.61</v>
      </c>
      <c r="H36" s="78">
        <f t="shared" si="0"/>
        <v>-60153.3</v>
      </c>
    </row>
    <row r="37" spans="1:8">
      <c r="A37" s="88">
        <v>45531</v>
      </c>
      <c r="B37" s="8" t="s">
        <v>466</v>
      </c>
      <c r="C37" s="77" t="s">
        <v>457</v>
      </c>
      <c r="D37" s="78" t="s">
        <v>464</v>
      </c>
      <c r="E37" s="78">
        <v>-119.07</v>
      </c>
      <c r="F37" s="78"/>
      <c r="G37" s="78">
        <v>-119.07</v>
      </c>
      <c r="H37" s="78">
        <f t="shared" si="0"/>
        <v>-60272.37</v>
      </c>
    </row>
    <row r="38" spans="1:8">
      <c r="A38" s="88">
        <v>45531</v>
      </c>
      <c r="B38" s="8" t="s">
        <v>467</v>
      </c>
      <c r="C38" s="77" t="s">
        <v>457</v>
      </c>
      <c r="D38" s="78" t="s">
        <v>464</v>
      </c>
      <c r="E38" s="78">
        <v>-103.12</v>
      </c>
      <c r="F38" s="78"/>
      <c r="G38" s="78">
        <v>-103.12</v>
      </c>
      <c r="H38" s="78">
        <f t="shared" si="0"/>
        <v>-60375.490000000005</v>
      </c>
    </row>
    <row r="39" spans="1:8">
      <c r="C39" s="171"/>
      <c r="H39" s="78">
        <f t="shared" si="0"/>
        <v>-60375.490000000005</v>
      </c>
    </row>
    <row r="40" spans="1:8">
      <c r="A40" s="88">
        <v>45535</v>
      </c>
      <c r="B40" s="166" t="s">
        <v>468</v>
      </c>
      <c r="C40" s="171"/>
      <c r="H40" s="78">
        <f t="shared" si="0"/>
        <v>-60375.490000000005</v>
      </c>
    </row>
    <row r="41" spans="1:8">
      <c r="H41" s="78">
        <f t="shared" si="0"/>
        <v>-60375.490000000005</v>
      </c>
    </row>
    <row r="42" spans="1:8">
      <c r="B42" s="170" t="s">
        <v>427</v>
      </c>
      <c r="C42" s="170"/>
      <c r="D42" s="83">
        <v>15000</v>
      </c>
      <c r="H42" s="78">
        <f t="shared" si="0"/>
        <v>-60375.490000000005</v>
      </c>
    </row>
    <row r="43" spans="1:8">
      <c r="B43" s="170" t="s">
        <v>435</v>
      </c>
      <c r="C43" s="170"/>
      <c r="D43" s="180">
        <v>8500</v>
      </c>
      <c r="H43" s="78">
        <f t="shared" si="0"/>
        <v>-60375.490000000005</v>
      </c>
    </row>
    <row r="44" spans="1:8">
      <c r="B44" s="170" t="s">
        <v>394</v>
      </c>
      <c r="C44" s="170"/>
      <c r="D44" s="108"/>
      <c r="E44" s="108">
        <v>-10000</v>
      </c>
      <c r="H44" s="78">
        <f t="shared" si="0"/>
        <v>-60375.490000000005</v>
      </c>
    </row>
    <row r="45" spans="1:8">
      <c r="B45" t="s">
        <v>469</v>
      </c>
      <c r="C45" s="171">
        <v>0.234011</v>
      </c>
      <c r="D45" s="77">
        <v>144000</v>
      </c>
      <c r="H45" s="78">
        <f t="shared" si="0"/>
        <v>-60375.490000000005</v>
      </c>
    </row>
    <row r="46" spans="1:8">
      <c r="B46" s="101" t="s">
        <v>75</v>
      </c>
      <c r="C46" s="101" t="s">
        <v>323</v>
      </c>
      <c r="E46" s="77">
        <v>-150</v>
      </c>
      <c r="H46" s="78">
        <f t="shared" si="0"/>
        <v>-60375.490000000005</v>
      </c>
    </row>
    <row r="47" spans="1:8">
      <c r="H47" s="78">
        <f t="shared" si="0"/>
        <v>-60375.490000000005</v>
      </c>
    </row>
    <row r="49" spans="1:5">
      <c r="B49" t="s">
        <v>325</v>
      </c>
    </row>
    <row r="50" spans="1:5">
      <c r="A50" s="103" t="s">
        <v>326</v>
      </c>
      <c r="B50" s="103"/>
      <c r="C50" s="103"/>
    </row>
    <row r="51" spans="1:5">
      <c r="A51" s="100"/>
      <c r="C51" s="171"/>
    </row>
    <row r="52" spans="1:5">
      <c r="A52" s="172">
        <v>44929</v>
      </c>
      <c r="B52" s="173" t="s">
        <v>327</v>
      </c>
      <c r="C52" s="103"/>
      <c r="D52" s="77">
        <f>SUM(D53:D58)</f>
        <v>0</v>
      </c>
      <c r="E52" s="77">
        <f>SUM(E53:E58)</f>
        <v>0</v>
      </c>
    </row>
    <row r="53" spans="1:5">
      <c r="A53" s="100"/>
      <c r="B53" s="106" t="s">
        <v>328</v>
      </c>
    </row>
    <row r="54" spans="1:5">
      <c r="B54" t="s">
        <v>329</v>
      </c>
    </row>
    <row r="55" spans="1:5">
      <c r="B55" t="s">
        <v>330</v>
      </c>
    </row>
    <row r="56" spans="1:5">
      <c r="B56" t="s">
        <v>331</v>
      </c>
    </row>
    <row r="57" spans="1:5">
      <c r="B57" t="s">
        <v>332</v>
      </c>
    </row>
    <row r="58" spans="1:5">
      <c r="B58" t="s">
        <v>333</v>
      </c>
      <c r="C58" s="106"/>
    </row>
    <row r="59" spans="1:5">
      <c r="C59" s="106"/>
    </row>
    <row r="61" spans="1:5">
      <c r="B61" s="17"/>
    </row>
    <row r="62" spans="1:5">
      <c r="B62" s="102"/>
    </row>
    <row r="63" spans="1:5">
      <c r="A63" s="103"/>
      <c r="B63" s="104" t="s">
        <v>83</v>
      </c>
      <c r="C63" s="103"/>
      <c r="E63" s="77">
        <f>SUM(E64:E75)</f>
        <v>-8154.2</v>
      </c>
    </row>
    <row r="65" spans="1:6">
      <c r="A65" s="88">
        <v>45348</v>
      </c>
      <c r="B65" s="8" t="s">
        <v>438</v>
      </c>
      <c r="C65">
        <v>1406</v>
      </c>
      <c r="D65" s="77" t="s">
        <v>470</v>
      </c>
      <c r="E65" s="77">
        <v>-234.33</v>
      </c>
      <c r="F65" s="77">
        <v>0</v>
      </c>
    </row>
    <row r="66" spans="1:6">
      <c r="A66" s="88">
        <v>45373</v>
      </c>
      <c r="B66" s="8" t="s">
        <v>334</v>
      </c>
      <c r="C66">
        <v>10176.39</v>
      </c>
      <c r="D66" s="77" t="s">
        <v>471</v>
      </c>
      <c r="E66" s="77">
        <v>-1130.71</v>
      </c>
      <c r="F66" s="77">
        <v>0</v>
      </c>
    </row>
    <row r="67" spans="1:6">
      <c r="A67" s="88">
        <v>45375</v>
      </c>
      <c r="B67" s="8" t="s">
        <v>336</v>
      </c>
      <c r="C67">
        <v>5999</v>
      </c>
      <c r="D67" s="77" t="s">
        <v>471</v>
      </c>
      <c r="E67" s="77">
        <v>-666.56</v>
      </c>
      <c r="F67" s="77">
        <v>0</v>
      </c>
    </row>
    <row r="68" spans="1:6">
      <c r="A68" s="88">
        <v>45358</v>
      </c>
      <c r="B68" s="8" t="s">
        <v>441</v>
      </c>
      <c r="C68">
        <v>2273</v>
      </c>
      <c r="D68" s="77" t="s">
        <v>470</v>
      </c>
      <c r="E68" s="77">
        <v>-378.87</v>
      </c>
      <c r="F68" s="77">
        <v>0</v>
      </c>
    </row>
    <row r="69" spans="1:6">
      <c r="A69" s="88">
        <v>45371</v>
      </c>
      <c r="B69" s="8" t="s">
        <v>442</v>
      </c>
      <c r="D69" s="77" t="s">
        <v>470</v>
      </c>
      <c r="E69" s="77">
        <v>101.77</v>
      </c>
      <c r="F69" s="77">
        <v>0</v>
      </c>
    </row>
    <row r="70" spans="1:6">
      <c r="A70" s="100">
        <v>45442</v>
      </c>
      <c r="B70" s="181" t="s">
        <v>472</v>
      </c>
      <c r="C70" s="106"/>
      <c r="D70" s="77" t="s">
        <v>473</v>
      </c>
      <c r="E70" s="77">
        <v>-1054.1400000000001</v>
      </c>
      <c r="F70" s="77">
        <v>0</v>
      </c>
    </row>
    <row r="71" spans="1:6">
      <c r="A71" s="100">
        <v>45456</v>
      </c>
      <c r="B71" s="107" t="s">
        <v>443</v>
      </c>
      <c r="C71" s="106"/>
      <c r="D71" s="77" t="s">
        <v>474</v>
      </c>
      <c r="E71" s="77">
        <v>-3923.33</v>
      </c>
      <c r="F71" s="77">
        <v>0</v>
      </c>
    </row>
    <row r="72" spans="1:6">
      <c r="A72" s="100">
        <v>45470</v>
      </c>
      <c r="B72" s="107" t="s">
        <v>475</v>
      </c>
      <c r="C72" s="106"/>
      <c r="E72" s="77">
        <v>-868.03</v>
      </c>
    </row>
    <row r="73" spans="1:6">
      <c r="A73" s="100">
        <v>45478</v>
      </c>
      <c r="B73" s="107" t="s">
        <v>129</v>
      </c>
      <c r="C73" s="106"/>
      <c r="D73" s="77">
        <v>2700.47</v>
      </c>
    </row>
    <row r="74" spans="1:6" ht="15">
      <c r="A74" s="100">
        <v>45478</v>
      </c>
      <c r="B74" s="107" t="s">
        <v>129</v>
      </c>
      <c r="D74" s="77">
        <v>6244.07</v>
      </c>
      <c r="E74" s="105" t="s">
        <v>84</v>
      </c>
    </row>
    <row r="75" spans="1:6">
      <c r="A75" s="100"/>
      <c r="B75" s="107"/>
      <c r="C75" s="106"/>
    </row>
    <row r="76" spans="1:6">
      <c r="A76" s="100"/>
      <c r="B76" s="3"/>
    </row>
    <row r="77" spans="1:6">
      <c r="A77" s="100"/>
      <c r="B77" s="106"/>
      <c r="C77" s="106"/>
    </row>
    <row r="78" spans="1:6">
      <c r="A78" s="103"/>
      <c r="B78" s="104" t="s">
        <v>85</v>
      </c>
      <c r="C78" s="103"/>
      <c r="E78" s="77">
        <f>SUM(E79:E121)</f>
        <v>-21980.090000000004</v>
      </c>
    </row>
    <row r="79" spans="1:6">
      <c r="A79" s="100"/>
      <c r="B79" s="106"/>
      <c r="C79" s="106"/>
    </row>
    <row r="80" spans="1:6">
      <c r="A80" s="100"/>
      <c r="B80" s="3" t="s">
        <v>476</v>
      </c>
      <c r="C80" s="106"/>
      <c r="D80" s="77" t="s">
        <v>477</v>
      </c>
      <c r="E80" s="77">
        <v>-649.79999999999995</v>
      </c>
    </row>
    <row r="81" spans="1:5">
      <c r="A81" s="100"/>
      <c r="B81" s="3" t="s">
        <v>478</v>
      </c>
      <c r="C81" s="106">
        <v>50</v>
      </c>
      <c r="D81" s="77" t="s">
        <v>477</v>
      </c>
    </row>
    <row r="82" spans="1:5">
      <c r="A82" s="100"/>
      <c r="B82" s="3"/>
      <c r="C82" s="106"/>
    </row>
    <row r="83" spans="1:5">
      <c r="A83" s="100">
        <v>45456</v>
      </c>
      <c r="B83" s="8" t="s">
        <v>479</v>
      </c>
      <c r="C83" s="106"/>
      <c r="D83" s="77" t="s">
        <v>473</v>
      </c>
      <c r="E83" s="77">
        <v>-5875</v>
      </c>
    </row>
    <row r="84" spans="1:5">
      <c r="A84" s="100">
        <v>45456</v>
      </c>
      <c r="B84" s="8" t="s">
        <v>480</v>
      </c>
      <c r="C84" s="106"/>
      <c r="D84" s="77" t="s">
        <v>473</v>
      </c>
      <c r="E84" s="77">
        <v>-4300</v>
      </c>
    </row>
    <row r="85" spans="1:5">
      <c r="A85" s="100">
        <v>45475</v>
      </c>
      <c r="B85" s="3" t="s">
        <v>481</v>
      </c>
      <c r="C85" s="106"/>
      <c r="E85" s="77">
        <v>-1129.5</v>
      </c>
    </row>
    <row r="86" spans="1:5">
      <c r="A86" s="100">
        <v>45478</v>
      </c>
      <c r="B86" s="3" t="s">
        <v>482</v>
      </c>
      <c r="C86" s="106"/>
      <c r="E86" s="77">
        <v>-1060</v>
      </c>
    </row>
    <row r="87" spans="1:5">
      <c r="A87" s="100"/>
      <c r="B87" s="3"/>
      <c r="C87" s="106"/>
    </row>
    <row r="88" spans="1:5">
      <c r="A88" s="100">
        <v>45467</v>
      </c>
      <c r="B88" s="3" t="s">
        <v>483</v>
      </c>
      <c r="C88" s="106">
        <v>120</v>
      </c>
      <c r="E88" s="77">
        <v>-120</v>
      </c>
    </row>
    <row r="89" spans="1:5">
      <c r="A89" s="100">
        <v>45467</v>
      </c>
      <c r="B89" s="3" t="s">
        <v>484</v>
      </c>
      <c r="C89" s="106"/>
      <c r="E89" s="77">
        <v>-70</v>
      </c>
    </row>
    <row r="90" spans="1:5">
      <c r="A90" s="100">
        <v>45467</v>
      </c>
      <c r="B90" s="3" t="s">
        <v>485</v>
      </c>
      <c r="C90" s="106"/>
      <c r="E90" s="77">
        <v>-1400</v>
      </c>
    </row>
    <row r="91" spans="1:5">
      <c r="A91" s="100">
        <v>45468</v>
      </c>
      <c r="B91" s="3" t="s">
        <v>483</v>
      </c>
      <c r="C91" s="106">
        <v>150</v>
      </c>
      <c r="E91" s="77">
        <v>-150</v>
      </c>
    </row>
    <row r="92" spans="1:5">
      <c r="A92" s="100">
        <v>45468</v>
      </c>
      <c r="B92" s="3" t="s">
        <v>486</v>
      </c>
      <c r="C92" s="106"/>
      <c r="E92" s="77">
        <v>-230</v>
      </c>
    </row>
    <row r="93" spans="1:5">
      <c r="A93" s="100">
        <v>45469</v>
      </c>
      <c r="B93" s="3" t="s">
        <v>483</v>
      </c>
      <c r="C93" s="106">
        <v>250</v>
      </c>
      <c r="E93" s="77">
        <v>-250</v>
      </c>
    </row>
    <row r="94" spans="1:5">
      <c r="A94" s="100">
        <v>45470</v>
      </c>
      <c r="B94" s="3" t="s">
        <v>487</v>
      </c>
      <c r="C94" s="106"/>
      <c r="E94" s="77">
        <v>-130</v>
      </c>
    </row>
    <row r="95" spans="1:5">
      <c r="A95" s="100">
        <v>45470</v>
      </c>
      <c r="B95" s="3" t="s">
        <v>414</v>
      </c>
      <c r="C95" s="106"/>
      <c r="E95" s="77">
        <v>-48.99</v>
      </c>
    </row>
    <row r="96" spans="1:5">
      <c r="A96" s="100">
        <v>45470</v>
      </c>
      <c r="B96" s="3" t="s">
        <v>488</v>
      </c>
      <c r="C96" s="106"/>
      <c r="E96" s="77">
        <v>-169.5</v>
      </c>
    </row>
    <row r="97" spans="1:5">
      <c r="A97" s="100">
        <v>45471</v>
      </c>
      <c r="B97" s="3" t="s">
        <v>489</v>
      </c>
      <c r="C97" s="106"/>
      <c r="E97" s="77">
        <v>-80</v>
      </c>
    </row>
    <row r="98" spans="1:5">
      <c r="A98" s="100">
        <v>45473</v>
      </c>
      <c r="B98" s="3" t="s">
        <v>127</v>
      </c>
      <c r="C98" s="106"/>
      <c r="E98" s="77">
        <v>-50</v>
      </c>
    </row>
    <row r="99" spans="1:5">
      <c r="A99" s="100">
        <v>45474</v>
      </c>
      <c r="B99" s="3" t="s">
        <v>484</v>
      </c>
      <c r="C99" s="106"/>
      <c r="E99" s="77">
        <v>-70</v>
      </c>
    </row>
    <row r="100" spans="1:5">
      <c r="A100" s="100">
        <v>45475</v>
      </c>
      <c r="B100" s="3" t="s">
        <v>483</v>
      </c>
      <c r="C100" s="106">
        <v>440</v>
      </c>
      <c r="E100" s="77">
        <v>-440</v>
      </c>
    </row>
    <row r="101" spans="1:5">
      <c r="A101" s="100">
        <v>45475</v>
      </c>
      <c r="B101" s="3" t="s">
        <v>490</v>
      </c>
      <c r="E101" s="77">
        <v>-1673</v>
      </c>
    </row>
    <row r="102" spans="1:5">
      <c r="A102" s="100">
        <v>45475</v>
      </c>
      <c r="B102" s="3" t="s">
        <v>487</v>
      </c>
      <c r="C102" s="106"/>
      <c r="E102" s="77">
        <v>-150</v>
      </c>
    </row>
    <row r="103" spans="1:5">
      <c r="A103" s="100">
        <v>45476</v>
      </c>
      <c r="B103" s="3" t="s">
        <v>484</v>
      </c>
      <c r="C103" s="106"/>
      <c r="E103" s="77">
        <v>-140</v>
      </c>
    </row>
    <row r="104" spans="1:5">
      <c r="A104" s="100">
        <v>45477</v>
      </c>
      <c r="B104" s="3" t="s">
        <v>491</v>
      </c>
      <c r="C104" s="106">
        <v>10597.81</v>
      </c>
    </row>
    <row r="105" spans="1:5">
      <c r="A105" s="100">
        <v>45478</v>
      </c>
      <c r="B105" s="3" t="s">
        <v>492</v>
      </c>
      <c r="C105" s="106"/>
      <c r="E105" s="77">
        <v>-300</v>
      </c>
    </row>
    <row r="106" spans="1:5">
      <c r="A106" s="100">
        <v>45478</v>
      </c>
      <c r="B106" s="3" t="s">
        <v>129</v>
      </c>
      <c r="C106" s="106">
        <v>15971.71</v>
      </c>
    </row>
    <row r="107" spans="1:5">
      <c r="A107" s="100">
        <v>45479</v>
      </c>
      <c r="B107" s="3" t="s">
        <v>493</v>
      </c>
      <c r="C107" s="106"/>
      <c r="E107" s="77">
        <v>-325</v>
      </c>
    </row>
    <row r="108" spans="1:5">
      <c r="A108" s="100">
        <v>45479</v>
      </c>
      <c r="B108" s="3" t="s">
        <v>494</v>
      </c>
      <c r="C108" s="106"/>
      <c r="E108" s="77">
        <v>-629</v>
      </c>
    </row>
    <row r="109" spans="1:5">
      <c r="A109" s="100"/>
      <c r="B109" s="3" t="s">
        <v>495</v>
      </c>
      <c r="C109" s="106"/>
      <c r="E109" s="77">
        <v>-800</v>
      </c>
    </row>
    <row r="110" spans="1:5">
      <c r="E110" s="77">
        <v>-119.74</v>
      </c>
    </row>
    <row r="111" spans="1:5">
      <c r="E111" s="77">
        <v>-215.98</v>
      </c>
    </row>
    <row r="112" spans="1:5">
      <c r="E112" s="77">
        <v>-104</v>
      </c>
    </row>
    <row r="113" spans="1:5">
      <c r="E113" s="77">
        <v>-81.37</v>
      </c>
    </row>
    <row r="114" spans="1:5">
      <c r="E114" s="77">
        <v>-65.67</v>
      </c>
    </row>
    <row r="115" spans="1:5">
      <c r="E115" s="77">
        <v>-260</v>
      </c>
    </row>
    <row r="116" spans="1:5">
      <c r="E116" s="77">
        <v>-270</v>
      </c>
    </row>
    <row r="117" spans="1:5">
      <c r="E117" s="77">
        <v>-300</v>
      </c>
    </row>
    <row r="118" spans="1:5">
      <c r="B118" s="35" t="s">
        <v>418</v>
      </c>
      <c r="C118" s="106">
        <f>SUM(C88:C100)</f>
        <v>960</v>
      </c>
      <c r="E118" s="77">
        <v>-37.33</v>
      </c>
    </row>
    <row r="119" spans="1:5">
      <c r="E119" s="77">
        <v>-37.33</v>
      </c>
    </row>
    <row r="120" spans="1:5">
      <c r="E120" s="77">
        <v>-72.63</v>
      </c>
    </row>
    <row r="121" spans="1:5" ht="15">
      <c r="D121" s="105" t="s">
        <v>84</v>
      </c>
      <c r="E121" s="77">
        <v>-176.25</v>
      </c>
    </row>
    <row r="122" spans="1:5" ht="15">
      <c r="D122" s="182"/>
    </row>
    <row r="123" spans="1:5" ht="15">
      <c r="D123" s="182"/>
    </row>
    <row r="125" spans="1:5">
      <c r="A125" s="113" t="s">
        <v>496</v>
      </c>
      <c r="B125" s="104" t="s">
        <v>136</v>
      </c>
      <c r="C125" s="103">
        <v>2024</v>
      </c>
      <c r="D125" s="158"/>
      <c r="E125" s="159">
        <f>SUM(E126:E146)</f>
        <v>981303.72722800006</v>
      </c>
    </row>
    <row r="126" spans="1:5">
      <c r="A126" s="160">
        <v>45505</v>
      </c>
      <c r="B126" s="8" t="s">
        <v>77</v>
      </c>
      <c r="C126" s="2"/>
      <c r="D126" s="2"/>
      <c r="E126" s="2">
        <v>64000</v>
      </c>
    </row>
    <row r="127" spans="1:5">
      <c r="A127" s="160">
        <f t="shared" ref="A127:A146" si="2">A126</f>
        <v>45505</v>
      </c>
      <c r="B127" s="8" t="s">
        <v>378</v>
      </c>
      <c r="C127" s="2"/>
      <c r="D127" s="2"/>
      <c r="E127" s="2">
        <v>150845</v>
      </c>
    </row>
    <row r="128" spans="1:5">
      <c r="A128" s="160">
        <f t="shared" si="2"/>
        <v>45505</v>
      </c>
      <c r="B128" s="8" t="s">
        <v>300</v>
      </c>
      <c r="C128" s="2"/>
      <c r="D128" s="2"/>
      <c r="E128" s="17">
        <v>12712.47</v>
      </c>
    </row>
    <row r="129" spans="1:5">
      <c r="A129" s="160">
        <f t="shared" si="2"/>
        <v>45505</v>
      </c>
      <c r="B129" s="8" t="s">
        <v>301</v>
      </c>
      <c r="C129" s="2"/>
      <c r="D129" s="2"/>
      <c r="E129" s="17">
        <v>0</v>
      </c>
    </row>
    <row r="130" spans="1:5">
      <c r="A130" s="160">
        <f t="shared" si="2"/>
        <v>45505</v>
      </c>
      <c r="B130" s="8" t="s">
        <v>497</v>
      </c>
      <c r="C130" s="2"/>
      <c r="D130" s="2"/>
      <c r="E130" s="17">
        <v>0</v>
      </c>
    </row>
    <row r="131" spans="1:5">
      <c r="A131" s="160">
        <f t="shared" si="2"/>
        <v>45505</v>
      </c>
      <c r="B131" s="8" t="s">
        <v>302</v>
      </c>
      <c r="C131" s="124"/>
      <c r="D131" s="2"/>
      <c r="E131" s="17">
        <v>0</v>
      </c>
    </row>
    <row r="132" spans="1:5">
      <c r="A132" s="160">
        <f t="shared" si="2"/>
        <v>45505</v>
      </c>
      <c r="B132" s="8" t="s">
        <v>236</v>
      </c>
      <c r="C132" s="2">
        <v>74</v>
      </c>
      <c r="D132" s="174">
        <v>677.53942199999995</v>
      </c>
      <c r="E132" s="17">
        <f t="shared" ref="E132:E144" si="3">D132*C132</f>
        <v>50137.917227999998</v>
      </c>
    </row>
    <row r="133" spans="1:5">
      <c r="A133" s="160">
        <f t="shared" si="2"/>
        <v>45505</v>
      </c>
      <c r="B133" s="8" t="s">
        <v>498</v>
      </c>
      <c r="C133" s="175">
        <v>125000</v>
      </c>
      <c r="D133" s="174">
        <v>0.83506999999999998</v>
      </c>
      <c r="E133" s="17">
        <f t="shared" si="3"/>
        <v>104383.75</v>
      </c>
    </row>
    <row r="134" spans="1:5">
      <c r="A134" s="160">
        <f t="shared" si="2"/>
        <v>45505</v>
      </c>
      <c r="B134" s="8" t="s">
        <v>499</v>
      </c>
      <c r="C134" s="2">
        <v>10</v>
      </c>
      <c r="D134" s="2">
        <v>123.7</v>
      </c>
      <c r="E134" s="17">
        <f t="shared" si="3"/>
        <v>1237</v>
      </c>
    </row>
    <row r="135" spans="1:5">
      <c r="A135" s="160">
        <f t="shared" si="2"/>
        <v>45505</v>
      </c>
      <c r="B135" s="8" t="s">
        <v>500</v>
      </c>
      <c r="C135" s="2">
        <v>38</v>
      </c>
      <c r="D135" s="2">
        <v>22.78</v>
      </c>
      <c r="E135" s="17">
        <f t="shared" si="3"/>
        <v>865.6400000000001</v>
      </c>
    </row>
    <row r="136" spans="1:5">
      <c r="A136" s="160">
        <f t="shared" si="2"/>
        <v>45505</v>
      </c>
      <c r="B136" s="8" t="s">
        <v>501</v>
      </c>
      <c r="C136" s="2">
        <v>26</v>
      </c>
      <c r="D136" s="2">
        <v>27.26</v>
      </c>
      <c r="E136" s="17">
        <f t="shared" si="3"/>
        <v>708.76</v>
      </c>
    </row>
    <row r="137" spans="1:5">
      <c r="A137" s="160">
        <f t="shared" si="2"/>
        <v>45505</v>
      </c>
      <c r="B137" s="8" t="s">
        <v>140</v>
      </c>
      <c r="C137" s="2"/>
      <c r="D137" s="2"/>
      <c r="E137" s="17">
        <f t="shared" si="3"/>
        <v>0</v>
      </c>
    </row>
    <row r="138" spans="1:5">
      <c r="A138" s="160">
        <f t="shared" si="2"/>
        <v>45505</v>
      </c>
      <c r="B138" s="8" t="s">
        <v>380</v>
      </c>
      <c r="C138" s="2">
        <v>7500</v>
      </c>
      <c r="D138" s="2">
        <v>24.5</v>
      </c>
      <c r="E138" s="17">
        <f t="shared" si="3"/>
        <v>183750</v>
      </c>
    </row>
    <row r="139" spans="1:5">
      <c r="A139" s="160">
        <f t="shared" si="2"/>
        <v>45505</v>
      </c>
      <c r="C139" s="2"/>
      <c r="D139" s="2"/>
      <c r="E139" s="17">
        <f t="shared" si="3"/>
        <v>0</v>
      </c>
    </row>
    <row r="140" spans="1:5">
      <c r="A140" s="160">
        <f t="shared" si="2"/>
        <v>45505</v>
      </c>
      <c r="C140" s="2"/>
      <c r="D140" s="2"/>
      <c r="E140" s="17">
        <f t="shared" si="3"/>
        <v>0</v>
      </c>
    </row>
    <row r="141" spans="1:5">
      <c r="A141" s="160">
        <f t="shared" si="2"/>
        <v>45505</v>
      </c>
      <c r="B141" s="8" t="s">
        <v>502</v>
      </c>
      <c r="C141" s="2">
        <v>2375.02</v>
      </c>
      <c r="D141" s="2">
        <v>156</v>
      </c>
      <c r="E141" s="17">
        <f t="shared" si="3"/>
        <v>370503.12</v>
      </c>
    </row>
    <row r="142" spans="1:5">
      <c r="A142" s="160">
        <f t="shared" si="2"/>
        <v>45505</v>
      </c>
      <c r="B142" s="8" t="s">
        <v>503</v>
      </c>
      <c r="C142" s="162">
        <v>31.963699999999999</v>
      </c>
      <c r="D142" s="2">
        <v>850</v>
      </c>
      <c r="E142" s="17">
        <f t="shared" si="3"/>
        <v>27169.145</v>
      </c>
    </row>
    <row r="143" spans="1:5">
      <c r="A143" s="160">
        <f t="shared" si="2"/>
        <v>45505</v>
      </c>
      <c r="B143" s="8" t="s">
        <v>504</v>
      </c>
      <c r="C143" s="162">
        <f>C142</f>
        <v>31.963699999999999</v>
      </c>
      <c r="D143" s="2">
        <v>250</v>
      </c>
      <c r="E143" s="17">
        <f t="shared" si="3"/>
        <v>7990.9250000000002</v>
      </c>
    </row>
    <row r="144" spans="1:5">
      <c r="A144" s="160">
        <f t="shared" si="2"/>
        <v>45505</v>
      </c>
      <c r="B144" s="8" t="s">
        <v>505</v>
      </c>
      <c r="C144" s="162">
        <v>34.412100000000002</v>
      </c>
      <c r="D144" s="2">
        <v>0</v>
      </c>
      <c r="E144" s="17">
        <f t="shared" si="3"/>
        <v>0</v>
      </c>
    </row>
    <row r="145" spans="1:5">
      <c r="A145" s="160">
        <f t="shared" si="2"/>
        <v>45505</v>
      </c>
      <c r="B145" s="8" t="s">
        <v>152</v>
      </c>
      <c r="C145" s="2"/>
      <c r="D145" s="2"/>
      <c r="E145" s="17">
        <v>3000</v>
      </c>
    </row>
    <row r="146" spans="1:5">
      <c r="A146" s="160">
        <f t="shared" si="2"/>
        <v>45505</v>
      </c>
      <c r="B146" s="8" t="s">
        <v>153</v>
      </c>
      <c r="C146" s="2"/>
      <c r="D146" s="2"/>
      <c r="E146" s="17">
        <v>4000</v>
      </c>
    </row>
    <row r="147" spans="1:5">
      <c r="E147" s="176"/>
    </row>
    <row r="148" spans="1:5">
      <c r="C148" s="124"/>
      <c r="D148" s="3"/>
      <c r="E148" s="124"/>
    </row>
    <row r="149" spans="1:5">
      <c r="C149" s="124"/>
      <c r="D149" s="18" t="s">
        <v>155</v>
      </c>
      <c r="E149" s="9">
        <f>SUM(E126:E146)</f>
        <v>981303.72722800006</v>
      </c>
    </row>
    <row r="150" spans="1:5">
      <c r="C150" s="125" t="str">
        <f>A125</f>
        <v>AĞUSTOSa</v>
      </c>
      <c r="D150" s="126" t="s">
        <v>156</v>
      </c>
      <c r="E150" s="127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E2F0D9"/>
  </sheetPr>
  <dimension ref="A1:H158"/>
  <sheetViews>
    <sheetView topLeftCell="A7"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506</v>
      </c>
      <c r="C2" s="79" t="s">
        <v>67</v>
      </c>
      <c r="D2" s="77">
        <f>SUM(D4:D39)</f>
        <v>51000</v>
      </c>
      <c r="E2" s="77">
        <f>SUM(E4:E39)</f>
        <v>-85166.06</v>
      </c>
      <c r="F2" s="77">
        <f>SUM(F4:F39)</f>
        <v>27984.15</v>
      </c>
      <c r="G2" s="77">
        <f>SUM(G4:G39)</f>
        <v>-87971.62</v>
      </c>
      <c r="H2" s="77">
        <f>F2+G2</f>
        <v>-59987.469999999994</v>
      </c>
    </row>
    <row r="3" spans="1:8">
      <c r="B3" s="18"/>
    </row>
    <row r="4" spans="1:8">
      <c r="A4" s="88">
        <v>45468</v>
      </c>
      <c r="B4" s="41" t="s">
        <v>424</v>
      </c>
      <c r="D4" s="78"/>
      <c r="E4" s="78">
        <v>-152</v>
      </c>
      <c r="F4" s="78"/>
      <c r="G4" s="78">
        <v>-167</v>
      </c>
      <c r="H4" s="78">
        <f t="shared" ref="H4:H38" si="0">H3+F4+G4</f>
        <v>-167</v>
      </c>
    </row>
    <row r="5" spans="1:8">
      <c r="D5" s="78"/>
      <c r="E5" s="78"/>
      <c r="F5" s="78"/>
      <c r="G5" s="78"/>
      <c r="H5" s="78">
        <f t="shared" si="0"/>
        <v>-167</v>
      </c>
    </row>
    <row r="6" spans="1:8">
      <c r="A6" s="88">
        <v>45474</v>
      </c>
      <c r="B6" s="101" t="s">
        <v>80</v>
      </c>
      <c r="C6" s="101"/>
      <c r="D6" s="78"/>
      <c r="E6" s="78">
        <v>-400</v>
      </c>
      <c r="F6" s="78"/>
      <c r="G6" s="78">
        <v>-275</v>
      </c>
      <c r="H6" s="78">
        <f t="shared" si="0"/>
        <v>-442</v>
      </c>
    </row>
    <row r="7" spans="1:8">
      <c r="A7" s="88">
        <v>45474</v>
      </c>
      <c r="B7" s="101" t="s">
        <v>81</v>
      </c>
      <c r="C7" s="101"/>
      <c r="D7" s="78"/>
      <c r="E7" s="78">
        <v>-500</v>
      </c>
      <c r="F7" s="78"/>
      <c r="G7" s="78">
        <v>-520</v>
      </c>
      <c r="H7" s="78">
        <f t="shared" si="0"/>
        <v>-962</v>
      </c>
    </row>
    <row r="8" spans="1:8">
      <c r="B8" s="101" t="s">
        <v>507</v>
      </c>
      <c r="C8" s="101" t="s">
        <v>352</v>
      </c>
      <c r="D8" s="78"/>
      <c r="E8" s="78">
        <v>-250</v>
      </c>
      <c r="F8" s="78"/>
      <c r="G8" s="78"/>
      <c r="H8" s="78">
        <f t="shared" si="0"/>
        <v>-962</v>
      </c>
    </row>
    <row r="9" spans="1:8">
      <c r="A9" s="88">
        <v>45478</v>
      </c>
      <c r="B9" s="177" t="s">
        <v>68</v>
      </c>
      <c r="D9" s="78"/>
      <c r="E9" s="78">
        <f>E55</f>
        <v>-8944.5400000000009</v>
      </c>
      <c r="F9" s="78"/>
      <c r="G9" s="78">
        <f>E9</f>
        <v>-8944.5400000000009</v>
      </c>
      <c r="H9" s="78">
        <f t="shared" si="0"/>
        <v>-9906.5400000000009</v>
      </c>
    </row>
    <row r="10" spans="1:8">
      <c r="A10" s="165">
        <v>45478</v>
      </c>
      <c r="B10" s="177" t="s">
        <v>69</v>
      </c>
      <c r="D10" s="78"/>
      <c r="E10" s="78">
        <f>E72</f>
        <v>-26619.52</v>
      </c>
      <c r="F10" s="78"/>
      <c r="G10" s="78">
        <f>E10</f>
        <v>-26619.52</v>
      </c>
      <c r="H10" s="78">
        <f t="shared" si="0"/>
        <v>-36526.06</v>
      </c>
    </row>
    <row r="11" spans="1:8">
      <c r="A11" s="100">
        <v>45481</v>
      </c>
      <c r="B11" s="8" t="s">
        <v>508</v>
      </c>
      <c r="D11" s="78">
        <v>15000</v>
      </c>
      <c r="E11" s="78"/>
      <c r="F11" s="78">
        <v>15000</v>
      </c>
      <c r="G11" s="78"/>
      <c r="H11" s="78">
        <f t="shared" si="0"/>
        <v>-21526.059999999998</v>
      </c>
    </row>
    <row r="12" spans="1:8">
      <c r="A12" s="88">
        <v>45481</v>
      </c>
      <c r="B12" s="101" t="s">
        <v>509</v>
      </c>
      <c r="C12" s="101"/>
      <c r="D12" s="78"/>
      <c r="E12" s="78">
        <v>-17500</v>
      </c>
      <c r="F12" s="78"/>
      <c r="G12" s="78">
        <v>-17500</v>
      </c>
      <c r="H12" s="78">
        <f t="shared" si="0"/>
        <v>-39026.06</v>
      </c>
    </row>
    <row r="13" spans="1:8">
      <c r="A13" s="88">
        <v>45481</v>
      </c>
      <c r="B13" s="101" t="s">
        <v>70</v>
      </c>
      <c r="C13" s="101"/>
      <c r="D13" s="78"/>
      <c r="E13" s="78">
        <v>-1500</v>
      </c>
      <c r="F13" s="78"/>
      <c r="G13" s="78">
        <v>-1519.7</v>
      </c>
      <c r="H13" s="78">
        <f t="shared" si="0"/>
        <v>-40545.759999999995</v>
      </c>
    </row>
    <row r="14" spans="1:8">
      <c r="B14" s="101" t="s">
        <v>75</v>
      </c>
      <c r="C14" s="101" t="s">
        <v>323</v>
      </c>
      <c r="D14" s="78"/>
      <c r="E14" s="78">
        <v>-150</v>
      </c>
      <c r="F14" s="78"/>
      <c r="G14" s="78"/>
      <c r="H14" s="78">
        <f t="shared" si="0"/>
        <v>-40545.759999999995</v>
      </c>
    </row>
    <row r="15" spans="1:8">
      <c r="A15" s="88">
        <v>45481</v>
      </c>
      <c r="B15" s="8" t="s">
        <v>394</v>
      </c>
      <c r="C15" s="101"/>
      <c r="D15" s="78"/>
      <c r="E15" s="78">
        <v>-10000</v>
      </c>
      <c r="F15" s="78"/>
      <c r="G15" s="78">
        <v>-10000</v>
      </c>
      <c r="H15" s="78">
        <f t="shared" si="0"/>
        <v>-50545.759999999995</v>
      </c>
    </row>
    <row r="16" spans="1:8">
      <c r="B16" s="101"/>
      <c r="C16" s="101"/>
      <c r="D16" s="78"/>
      <c r="E16" s="78"/>
      <c r="F16" s="78"/>
      <c r="G16" s="78"/>
      <c r="H16" s="78">
        <f t="shared" si="0"/>
        <v>-50545.759999999995</v>
      </c>
    </row>
    <row r="17" spans="1:8">
      <c r="B17" s="101"/>
      <c r="C17" s="101"/>
      <c r="D17" s="78"/>
      <c r="E17" s="78"/>
      <c r="F17" s="78"/>
      <c r="G17" s="78"/>
      <c r="H17" s="78">
        <f t="shared" si="0"/>
        <v>-50545.759999999995</v>
      </c>
    </row>
    <row r="18" spans="1:8">
      <c r="D18" s="78"/>
      <c r="E18" s="78"/>
      <c r="F18" s="78"/>
      <c r="G18" s="78"/>
      <c r="H18" s="78">
        <f t="shared" si="0"/>
        <v>-50545.759999999995</v>
      </c>
    </row>
    <row r="19" spans="1:8">
      <c r="A19" s="88">
        <v>45489</v>
      </c>
      <c r="B19" s="106" t="s">
        <v>73</v>
      </c>
      <c r="C19" s="106" t="s">
        <v>323</v>
      </c>
      <c r="D19" s="78"/>
      <c r="E19" s="78">
        <v>-300</v>
      </c>
      <c r="F19" s="78"/>
      <c r="G19" s="78">
        <v>-33</v>
      </c>
      <c r="H19" s="78">
        <f t="shared" si="0"/>
        <v>-50578.759999999995</v>
      </c>
    </row>
    <row r="20" spans="1:8">
      <c r="A20" s="88">
        <v>45489</v>
      </c>
      <c r="B20" s="106" t="s">
        <v>74</v>
      </c>
      <c r="C20" s="106" t="s">
        <v>323</v>
      </c>
      <c r="D20" s="78"/>
      <c r="E20" s="78">
        <v>-100</v>
      </c>
      <c r="F20" s="78"/>
      <c r="G20" s="78">
        <v>-27</v>
      </c>
      <c r="H20" s="78">
        <f t="shared" si="0"/>
        <v>-50605.759999999995</v>
      </c>
    </row>
    <row r="21" spans="1:8">
      <c r="B21" s="101"/>
      <c r="C21" s="101"/>
      <c r="D21" s="78"/>
      <c r="E21" s="78"/>
      <c r="F21" s="78"/>
      <c r="G21" s="78"/>
      <c r="H21" s="78">
        <f t="shared" si="0"/>
        <v>-50605.759999999995</v>
      </c>
    </row>
    <row r="22" spans="1:8">
      <c r="B22" s="177" t="s">
        <v>72</v>
      </c>
      <c r="D22" s="78"/>
      <c r="E22" s="78">
        <f>F50*-1</f>
        <v>0</v>
      </c>
      <c r="F22" s="78"/>
      <c r="G22" s="78"/>
      <c r="H22" s="78">
        <f t="shared" si="0"/>
        <v>-50605.759999999995</v>
      </c>
    </row>
    <row r="23" spans="1:8">
      <c r="A23" s="88"/>
      <c r="D23" s="78"/>
      <c r="E23" s="78"/>
      <c r="F23" s="78"/>
      <c r="G23" s="78"/>
      <c r="H23" s="78">
        <f t="shared" si="0"/>
        <v>-50605.759999999995</v>
      </c>
    </row>
    <row r="24" spans="1:8">
      <c r="D24" s="78"/>
      <c r="E24" s="78"/>
      <c r="F24" s="78"/>
      <c r="G24" s="78"/>
      <c r="H24" s="78">
        <f t="shared" si="0"/>
        <v>-50605.759999999995</v>
      </c>
    </row>
    <row r="25" spans="1:8">
      <c r="D25" s="78"/>
      <c r="E25" s="78"/>
      <c r="F25" s="78"/>
      <c r="G25" s="78"/>
      <c r="H25" s="78">
        <f t="shared" si="0"/>
        <v>-50605.759999999995</v>
      </c>
    </row>
    <row r="26" spans="1:8">
      <c r="A26" s="88">
        <v>45500</v>
      </c>
      <c r="B26" s="8" t="s">
        <v>77</v>
      </c>
      <c r="D26" s="78"/>
      <c r="E26" s="78">
        <v>-6250</v>
      </c>
      <c r="F26" s="78"/>
      <c r="G26" s="78">
        <v>-6500</v>
      </c>
      <c r="H26" s="78">
        <f t="shared" si="0"/>
        <v>-57105.759999999995</v>
      </c>
    </row>
    <row r="27" spans="1:8">
      <c r="A27" s="88">
        <v>45500</v>
      </c>
      <c r="B27" s="8" t="s">
        <v>78</v>
      </c>
      <c r="D27" s="78"/>
      <c r="E27" s="78">
        <v>-6250</v>
      </c>
      <c r="F27" s="78"/>
      <c r="G27" s="78">
        <v>-6500</v>
      </c>
      <c r="H27" s="78">
        <f t="shared" si="0"/>
        <v>-63605.759999999995</v>
      </c>
    </row>
    <row r="28" spans="1:8">
      <c r="B28" t="s">
        <v>79</v>
      </c>
      <c r="D28" s="78"/>
      <c r="E28" s="78">
        <v>-6250</v>
      </c>
      <c r="F28" s="78"/>
      <c r="G28" s="78">
        <v>-6500</v>
      </c>
      <c r="H28" s="78">
        <f t="shared" si="0"/>
        <v>-70105.759999999995</v>
      </c>
    </row>
    <row r="29" spans="1:8">
      <c r="D29" s="78"/>
      <c r="E29" s="78"/>
      <c r="F29" s="78"/>
      <c r="G29" s="78"/>
      <c r="H29" s="78">
        <f t="shared" si="0"/>
        <v>-70105.759999999995</v>
      </c>
    </row>
    <row r="30" spans="1:8">
      <c r="B30" t="s">
        <v>76</v>
      </c>
      <c r="D30" s="78">
        <v>12500</v>
      </c>
      <c r="E30" s="78"/>
      <c r="F30" s="78">
        <v>12984.15</v>
      </c>
      <c r="G30" s="78"/>
      <c r="H30" s="78">
        <f t="shared" si="0"/>
        <v>-57121.609999999993</v>
      </c>
    </row>
    <row r="31" spans="1:8">
      <c r="A31" s="100"/>
      <c r="D31" s="78"/>
      <c r="E31" s="78"/>
      <c r="F31" s="78"/>
      <c r="G31" s="78"/>
      <c r="H31" s="78">
        <f t="shared" si="0"/>
        <v>-57121.609999999993</v>
      </c>
    </row>
    <row r="32" spans="1:8">
      <c r="A32" s="100"/>
      <c r="B32" s="170" t="s">
        <v>435</v>
      </c>
      <c r="C32" s="170"/>
      <c r="D32" s="183">
        <v>8500</v>
      </c>
      <c r="E32" s="78"/>
      <c r="F32" s="78"/>
      <c r="G32" s="78"/>
      <c r="H32" s="78">
        <f t="shared" si="0"/>
        <v>-57121.609999999993</v>
      </c>
    </row>
    <row r="33" spans="1:8">
      <c r="A33" s="100"/>
      <c r="B33" s="170" t="s">
        <v>452</v>
      </c>
      <c r="C33" s="170"/>
      <c r="D33" s="167">
        <v>15000</v>
      </c>
      <c r="E33" s="78"/>
      <c r="F33" s="78"/>
      <c r="G33" s="78"/>
      <c r="H33" s="78">
        <f t="shared" si="0"/>
        <v>-57121.609999999993</v>
      </c>
    </row>
    <row r="34" spans="1:8">
      <c r="A34" s="100">
        <v>45502</v>
      </c>
      <c r="B34" s="101" t="s">
        <v>80</v>
      </c>
      <c r="D34" s="78"/>
      <c r="E34" s="78"/>
      <c r="F34" s="78"/>
      <c r="G34" s="78">
        <v>-350</v>
      </c>
      <c r="H34" s="78">
        <f t="shared" si="0"/>
        <v>-57471.609999999993</v>
      </c>
    </row>
    <row r="35" spans="1:8">
      <c r="A35" s="100">
        <v>45502</v>
      </c>
      <c r="B35" s="101" t="s">
        <v>81</v>
      </c>
      <c r="D35" s="78"/>
      <c r="E35" s="78"/>
      <c r="F35" s="78"/>
      <c r="G35" s="78">
        <v>-710</v>
      </c>
      <c r="H35" s="78">
        <f t="shared" si="0"/>
        <v>-58181.609999999993</v>
      </c>
    </row>
    <row r="36" spans="1:8">
      <c r="A36" s="100">
        <v>45504</v>
      </c>
      <c r="B36" s="8" t="s">
        <v>510</v>
      </c>
      <c r="D36" s="78"/>
      <c r="E36" s="78"/>
      <c r="F36" s="78"/>
      <c r="G36" s="78">
        <v>-1805.86</v>
      </c>
      <c r="H36" s="78">
        <f t="shared" si="0"/>
        <v>-59987.469999999994</v>
      </c>
    </row>
    <row r="37" spans="1:8">
      <c r="D37" s="78"/>
      <c r="E37" s="78"/>
      <c r="F37" s="78"/>
      <c r="G37" s="78"/>
      <c r="H37" s="78">
        <f t="shared" si="0"/>
        <v>-59987.469999999994</v>
      </c>
    </row>
    <row r="38" spans="1:8">
      <c r="D38" s="78"/>
      <c r="E38" s="78"/>
      <c r="F38" s="78"/>
      <c r="G38" s="78"/>
      <c r="H38" s="78">
        <f t="shared" si="0"/>
        <v>-59987.469999999994</v>
      </c>
    </row>
    <row r="39" spans="1:8" ht="15.75">
      <c r="B39" s="179"/>
    </row>
    <row r="41" spans="1:8">
      <c r="B41" t="s">
        <v>325</v>
      </c>
    </row>
    <row r="42" spans="1:8">
      <c r="A42" s="103" t="s">
        <v>326</v>
      </c>
      <c r="B42" s="103"/>
      <c r="C42" s="103"/>
    </row>
    <row r="43" spans="1:8">
      <c r="A43" s="100"/>
      <c r="C43" s="171"/>
    </row>
    <row r="44" spans="1:8">
      <c r="A44" s="172">
        <v>44929</v>
      </c>
      <c r="B44" s="173" t="s">
        <v>327</v>
      </c>
      <c r="C44" s="103"/>
      <c r="D44" s="77">
        <f>SUM(D45:D50)</f>
        <v>0</v>
      </c>
      <c r="E44" s="77">
        <f>SUM(E45:E51)</f>
        <v>0</v>
      </c>
    </row>
    <row r="45" spans="1:8">
      <c r="A45" s="100"/>
      <c r="B45" s="106" t="s">
        <v>328</v>
      </c>
    </row>
    <row r="46" spans="1:8">
      <c r="B46" t="s">
        <v>329</v>
      </c>
    </row>
    <row r="47" spans="1:8">
      <c r="B47" t="s">
        <v>330</v>
      </c>
    </row>
    <row r="48" spans="1:8">
      <c r="B48" t="s">
        <v>331</v>
      </c>
      <c r="D48" s="77" t="s">
        <v>511</v>
      </c>
    </row>
    <row r="49" spans="1:5">
      <c r="B49" t="s">
        <v>332</v>
      </c>
      <c r="D49" s="77" t="s">
        <v>512</v>
      </c>
    </row>
    <row r="50" spans="1:5">
      <c r="B50" t="s">
        <v>333</v>
      </c>
      <c r="C50" s="106"/>
    </row>
    <row r="51" spans="1:5">
      <c r="C51" s="106"/>
    </row>
    <row r="53" spans="1:5">
      <c r="B53" s="17"/>
    </row>
    <row r="54" spans="1:5">
      <c r="B54" s="102"/>
    </row>
    <row r="55" spans="1:5">
      <c r="A55" s="103"/>
      <c r="B55" s="104" t="s">
        <v>83</v>
      </c>
      <c r="C55" s="103"/>
      <c r="E55" s="77">
        <f>SUM(E56:E68)</f>
        <v>-8944.5400000000009</v>
      </c>
    </row>
    <row r="57" spans="1:5">
      <c r="A57" s="88">
        <v>45348</v>
      </c>
      <c r="B57" s="8" t="s">
        <v>438</v>
      </c>
      <c r="C57">
        <v>1406</v>
      </c>
      <c r="D57" s="77" t="s">
        <v>513</v>
      </c>
      <c r="E57" s="77">
        <v>-234.33</v>
      </c>
    </row>
    <row r="58" spans="1:5">
      <c r="A58" s="88">
        <v>45373</v>
      </c>
      <c r="B58" s="8" t="s">
        <v>334</v>
      </c>
      <c r="C58">
        <v>10176.39</v>
      </c>
      <c r="D58" s="77" t="s">
        <v>514</v>
      </c>
      <c r="E58" s="77">
        <v>-1130.71</v>
      </c>
    </row>
    <row r="59" spans="1:5">
      <c r="A59" s="88">
        <v>45375</v>
      </c>
      <c r="B59" s="8" t="s">
        <v>336</v>
      </c>
      <c r="C59">
        <v>5999</v>
      </c>
      <c r="D59" s="77" t="s">
        <v>514</v>
      </c>
      <c r="E59" s="77">
        <v>-666.56</v>
      </c>
    </row>
    <row r="60" spans="1:5">
      <c r="A60" s="88">
        <v>45358</v>
      </c>
      <c r="B60" s="8" t="s">
        <v>441</v>
      </c>
      <c r="C60">
        <v>2273</v>
      </c>
      <c r="D60" s="77" t="s">
        <v>513</v>
      </c>
      <c r="E60" s="77">
        <v>-378.87</v>
      </c>
    </row>
    <row r="61" spans="1:5">
      <c r="A61" s="88">
        <v>45371</v>
      </c>
      <c r="B61" s="8" t="s">
        <v>442</v>
      </c>
      <c r="D61" s="77" t="s">
        <v>515</v>
      </c>
      <c r="E61" s="77">
        <v>101.77</v>
      </c>
    </row>
    <row r="62" spans="1:5">
      <c r="A62" s="88"/>
    </row>
    <row r="63" spans="1:5">
      <c r="A63" s="100">
        <v>45442</v>
      </c>
      <c r="B63" s="181" t="s">
        <v>472</v>
      </c>
      <c r="C63" s="106"/>
      <c r="D63" s="77" t="s">
        <v>516</v>
      </c>
      <c r="E63" s="77">
        <v>-1054.1400000000001</v>
      </c>
    </row>
    <row r="64" spans="1:5">
      <c r="A64" s="100">
        <v>45456</v>
      </c>
      <c r="B64" s="107" t="s">
        <v>443</v>
      </c>
      <c r="C64" s="106"/>
      <c r="D64" s="77" t="s">
        <v>517</v>
      </c>
      <c r="E64" s="77">
        <v>-3923.33</v>
      </c>
    </row>
    <row r="65" spans="1:5">
      <c r="A65" s="100">
        <v>45442</v>
      </c>
      <c r="B65" s="106" t="s">
        <v>518</v>
      </c>
      <c r="C65" s="106"/>
      <c r="E65" s="77">
        <v>-278.97000000000003</v>
      </c>
    </row>
    <row r="67" spans="1:5">
      <c r="A67" s="100">
        <v>45444</v>
      </c>
      <c r="B67" s="107" t="s">
        <v>519</v>
      </c>
      <c r="C67" s="106"/>
      <c r="E67" s="77">
        <v>-1379.4</v>
      </c>
    </row>
    <row r="68" spans="1:5" ht="15">
      <c r="A68" s="100">
        <v>45447</v>
      </c>
      <c r="B68" s="107" t="s">
        <v>129</v>
      </c>
      <c r="D68" s="77">
        <v>4300</v>
      </c>
      <c r="E68" s="105" t="s">
        <v>84</v>
      </c>
    </row>
    <row r="70" spans="1:5">
      <c r="A70" s="100"/>
      <c r="B70" s="3"/>
    </row>
    <row r="71" spans="1:5">
      <c r="A71" s="100"/>
      <c r="B71" s="106"/>
      <c r="C71" s="106"/>
    </row>
    <row r="72" spans="1:5">
      <c r="A72" s="103"/>
      <c r="B72" s="104" t="s">
        <v>85</v>
      </c>
      <c r="C72" s="103"/>
      <c r="E72" s="77">
        <f>SUM(E73:E130)</f>
        <v>-26619.52</v>
      </c>
    </row>
    <row r="73" spans="1:5">
      <c r="A73" s="100"/>
      <c r="B73" s="106"/>
      <c r="C73" s="106"/>
    </row>
    <row r="74" spans="1:5">
      <c r="A74" s="165">
        <v>45285</v>
      </c>
      <c r="B74" s="106" t="s">
        <v>520</v>
      </c>
      <c r="C74" s="106"/>
      <c r="D74" s="77" t="s">
        <v>521</v>
      </c>
      <c r="E74" s="77">
        <v>-3551.68</v>
      </c>
    </row>
    <row r="75" spans="1:5">
      <c r="A75" s="100"/>
      <c r="B75" s="3" t="s">
        <v>476</v>
      </c>
      <c r="C75" s="106"/>
      <c r="D75" s="77" t="s">
        <v>522</v>
      </c>
      <c r="E75" s="77">
        <v>-649.78</v>
      </c>
    </row>
    <row r="76" spans="1:5">
      <c r="A76" s="100"/>
      <c r="B76" s="3" t="s">
        <v>478</v>
      </c>
      <c r="C76" s="106"/>
      <c r="D76" s="77" t="s">
        <v>523</v>
      </c>
    </row>
    <row r="77" spans="1:5">
      <c r="A77" s="100"/>
      <c r="B77" s="3"/>
      <c r="C77" s="106"/>
    </row>
    <row r="78" spans="1:5">
      <c r="A78" s="100">
        <v>45456</v>
      </c>
      <c r="B78" s="8" t="s">
        <v>479</v>
      </c>
      <c r="C78" s="106"/>
      <c r="D78" s="77" t="s">
        <v>516</v>
      </c>
      <c r="E78" s="77">
        <v>-5875</v>
      </c>
    </row>
    <row r="79" spans="1:5">
      <c r="A79" s="100">
        <v>45456</v>
      </c>
      <c r="B79" s="8" t="s">
        <v>480</v>
      </c>
      <c r="C79" s="106"/>
      <c r="D79" s="77" t="s">
        <v>516</v>
      </c>
      <c r="E79" s="77">
        <v>-4300</v>
      </c>
    </row>
    <row r="80" spans="1:5">
      <c r="A80" s="100">
        <v>45465</v>
      </c>
      <c r="B80" s="3" t="s">
        <v>518</v>
      </c>
      <c r="C80" s="106"/>
      <c r="E80" s="77">
        <v>-483.01</v>
      </c>
    </row>
    <row r="81" spans="1:5">
      <c r="A81" s="100">
        <v>45436</v>
      </c>
      <c r="B81" s="3" t="s">
        <v>524</v>
      </c>
      <c r="C81" s="106"/>
      <c r="E81" s="77">
        <v>-80</v>
      </c>
    </row>
    <row r="82" spans="1:5">
      <c r="A82" s="100">
        <v>45436</v>
      </c>
      <c r="B82" s="3" t="s">
        <v>525</v>
      </c>
      <c r="C82" s="106"/>
      <c r="E82" s="77">
        <v>-1000</v>
      </c>
    </row>
    <row r="83" spans="1:5">
      <c r="A83" s="100">
        <v>45437</v>
      </c>
      <c r="B83" s="3" t="s">
        <v>526</v>
      </c>
      <c r="C83" s="106"/>
      <c r="E83" s="77">
        <v>-70</v>
      </c>
    </row>
    <row r="84" spans="1:5">
      <c r="A84" s="100">
        <v>45438</v>
      </c>
      <c r="B84" s="3" t="s">
        <v>409</v>
      </c>
      <c r="C84" s="106"/>
      <c r="E84" s="77">
        <v>-232.27</v>
      </c>
    </row>
    <row r="85" spans="1:5">
      <c r="A85" s="100">
        <v>45438</v>
      </c>
      <c r="B85" s="3" t="s">
        <v>527</v>
      </c>
      <c r="C85" s="106"/>
      <c r="E85" s="77">
        <v>-130</v>
      </c>
    </row>
    <row r="86" spans="1:5">
      <c r="A86" s="100">
        <v>45469</v>
      </c>
      <c r="B86" s="3" t="s">
        <v>528</v>
      </c>
      <c r="C86" s="106"/>
      <c r="E86" s="77">
        <v>-246.8</v>
      </c>
    </row>
    <row r="87" spans="1:5">
      <c r="A87" s="100">
        <v>45439</v>
      </c>
      <c r="B87" s="3" t="s">
        <v>526</v>
      </c>
      <c r="C87" s="106"/>
      <c r="E87" s="77">
        <v>-70</v>
      </c>
    </row>
    <row r="88" spans="1:5">
      <c r="A88" s="100">
        <v>45440</v>
      </c>
      <c r="B88" s="3" t="s">
        <v>483</v>
      </c>
      <c r="C88" s="106">
        <v>300</v>
      </c>
      <c r="E88" s="77">
        <v>-300</v>
      </c>
    </row>
    <row r="89" spans="1:5">
      <c r="A89" s="100">
        <v>45440</v>
      </c>
      <c r="B89" s="3" t="s">
        <v>529</v>
      </c>
      <c r="C89" s="106"/>
      <c r="E89" s="77">
        <v>-460</v>
      </c>
    </row>
    <row r="90" spans="1:5">
      <c r="A90" s="100">
        <v>45441</v>
      </c>
      <c r="B90" s="3" t="s">
        <v>409</v>
      </c>
      <c r="C90" s="106"/>
      <c r="E90" s="77">
        <v>-27.66</v>
      </c>
    </row>
    <row r="91" spans="1:5">
      <c r="A91" s="100">
        <v>45441</v>
      </c>
      <c r="B91" s="3" t="s">
        <v>483</v>
      </c>
      <c r="C91" s="106">
        <v>400</v>
      </c>
      <c r="E91" s="77">
        <v>-400</v>
      </c>
    </row>
    <row r="92" spans="1:5">
      <c r="A92" s="100">
        <v>45442</v>
      </c>
      <c r="B92" s="3" t="s">
        <v>483</v>
      </c>
      <c r="C92" s="106">
        <v>200</v>
      </c>
      <c r="E92" s="77">
        <v>-200</v>
      </c>
    </row>
    <row r="93" spans="1:5">
      <c r="A93" s="100">
        <v>45442</v>
      </c>
      <c r="B93" s="3" t="s">
        <v>530</v>
      </c>
      <c r="C93" s="106"/>
      <c r="E93" s="77">
        <v>-80</v>
      </c>
    </row>
    <row r="94" spans="1:5">
      <c r="A94" s="100">
        <v>45444</v>
      </c>
      <c r="B94" s="3" t="s">
        <v>531</v>
      </c>
      <c r="C94" s="106"/>
      <c r="E94" s="77">
        <v>-80</v>
      </c>
    </row>
    <row r="95" spans="1:5">
      <c r="A95" s="100">
        <v>45444</v>
      </c>
      <c r="B95" s="3" t="s">
        <v>409</v>
      </c>
      <c r="C95" s="106"/>
      <c r="E95" s="77">
        <v>-12.26</v>
      </c>
    </row>
    <row r="96" spans="1:5">
      <c r="A96" s="100">
        <v>45444</v>
      </c>
      <c r="B96" s="3" t="s">
        <v>483</v>
      </c>
      <c r="C96" s="106">
        <v>350</v>
      </c>
      <c r="E96" s="77">
        <v>-350</v>
      </c>
    </row>
    <row r="97" spans="1:5">
      <c r="A97" s="100">
        <v>45444</v>
      </c>
      <c r="B97" s="3" t="s">
        <v>532</v>
      </c>
      <c r="C97" s="106"/>
      <c r="E97" s="77">
        <v>-300</v>
      </c>
    </row>
    <row r="98" spans="1:5">
      <c r="A98" s="100">
        <v>45446</v>
      </c>
      <c r="B98" s="3" t="s">
        <v>179</v>
      </c>
      <c r="C98" s="106"/>
      <c r="E98" s="77">
        <v>-500</v>
      </c>
    </row>
    <row r="99" spans="1:5">
      <c r="A99" s="100">
        <v>45446</v>
      </c>
      <c r="B99" s="3" t="s">
        <v>526</v>
      </c>
      <c r="C99" s="106"/>
      <c r="E99" s="77">
        <v>-70</v>
      </c>
    </row>
    <row r="100" spans="1:5">
      <c r="A100" s="100">
        <v>45446</v>
      </c>
      <c r="B100" s="3" t="s">
        <v>129</v>
      </c>
      <c r="C100" s="106"/>
      <c r="D100" s="77">
        <v>7949.1</v>
      </c>
    </row>
    <row r="101" spans="1:5">
      <c r="A101" s="100">
        <v>45447</v>
      </c>
      <c r="B101" s="3" t="s">
        <v>483</v>
      </c>
      <c r="C101" s="106">
        <v>240</v>
      </c>
      <c r="E101" s="77">
        <v>-240</v>
      </c>
    </row>
    <row r="102" spans="1:5">
      <c r="A102" s="100">
        <v>45447</v>
      </c>
      <c r="B102" s="3" t="s">
        <v>526</v>
      </c>
      <c r="C102" s="106"/>
      <c r="E102" s="77">
        <v>-70</v>
      </c>
    </row>
    <row r="103" spans="1:5">
      <c r="A103" s="100">
        <v>45447</v>
      </c>
      <c r="B103" s="3" t="s">
        <v>129</v>
      </c>
      <c r="C103" s="106"/>
      <c r="D103" s="77">
        <v>11998.63</v>
      </c>
    </row>
    <row r="104" spans="1:5">
      <c r="A104" s="88">
        <v>45448</v>
      </c>
      <c r="B104" s="3" t="s">
        <v>483</v>
      </c>
      <c r="C104">
        <v>280</v>
      </c>
      <c r="E104" s="77">
        <v>-280</v>
      </c>
    </row>
    <row r="105" spans="1:5">
      <c r="A105" s="88">
        <v>45448</v>
      </c>
      <c r="B105" s="3" t="s">
        <v>533</v>
      </c>
    </row>
    <row r="106" spans="1:5">
      <c r="A106" s="88">
        <v>45449</v>
      </c>
      <c r="B106" s="3" t="s">
        <v>483</v>
      </c>
      <c r="C106">
        <v>300</v>
      </c>
      <c r="E106" s="77">
        <v>-300</v>
      </c>
    </row>
    <row r="107" spans="1:5">
      <c r="A107" s="88">
        <v>45449</v>
      </c>
      <c r="B107" s="3" t="s">
        <v>409</v>
      </c>
      <c r="E107" s="77">
        <v>-84.7</v>
      </c>
    </row>
    <row r="108" spans="1:5">
      <c r="A108" s="88">
        <v>45450</v>
      </c>
      <c r="B108" s="3" t="s">
        <v>483</v>
      </c>
      <c r="C108">
        <v>300</v>
      </c>
      <c r="E108" s="77">
        <v>-300</v>
      </c>
    </row>
    <row r="109" spans="1:5">
      <c r="A109" s="88">
        <v>45450</v>
      </c>
      <c r="B109" s="3" t="s">
        <v>531</v>
      </c>
      <c r="E109" s="77">
        <v>-80</v>
      </c>
    </row>
    <row r="110" spans="1:5">
      <c r="A110" s="88">
        <v>45451</v>
      </c>
      <c r="B110" s="3" t="s">
        <v>483</v>
      </c>
      <c r="C110">
        <v>250</v>
      </c>
      <c r="E110" s="77">
        <v>-250</v>
      </c>
    </row>
    <row r="111" spans="1:5">
      <c r="A111" s="88">
        <v>45451</v>
      </c>
      <c r="B111" s="3" t="s">
        <v>526</v>
      </c>
      <c r="E111" s="77">
        <v>-145</v>
      </c>
    </row>
    <row r="112" spans="1:5">
      <c r="A112" s="88">
        <v>45454</v>
      </c>
      <c r="B112" s="3" t="s">
        <v>483</v>
      </c>
      <c r="C112">
        <v>400</v>
      </c>
      <c r="E112" s="77">
        <v>-400</v>
      </c>
    </row>
    <row r="113" spans="1:5">
      <c r="A113" s="88">
        <v>45455</v>
      </c>
      <c r="B113" s="3" t="s">
        <v>534</v>
      </c>
      <c r="E113" s="77">
        <v>-300</v>
      </c>
    </row>
    <row r="114" spans="1:5">
      <c r="A114" s="88">
        <v>45456</v>
      </c>
      <c r="B114" s="3" t="s">
        <v>483</v>
      </c>
      <c r="C114">
        <v>300</v>
      </c>
      <c r="E114" s="77">
        <v>-300</v>
      </c>
    </row>
    <row r="115" spans="1:5">
      <c r="A115" s="88">
        <v>45456</v>
      </c>
      <c r="B115" s="3" t="s">
        <v>526</v>
      </c>
      <c r="E115" s="77">
        <v>-70</v>
      </c>
    </row>
    <row r="116" spans="1:5">
      <c r="A116" s="88">
        <v>45459</v>
      </c>
      <c r="B116" s="3" t="s">
        <v>531</v>
      </c>
      <c r="E116" s="77">
        <v>-80</v>
      </c>
    </row>
    <row r="117" spans="1:5">
      <c r="A117" s="88">
        <v>45460</v>
      </c>
      <c r="B117" s="3" t="s">
        <v>409</v>
      </c>
      <c r="E117" s="77">
        <v>-71.95</v>
      </c>
    </row>
    <row r="118" spans="1:5">
      <c r="A118" s="88">
        <v>45460</v>
      </c>
      <c r="B118" s="3" t="s">
        <v>179</v>
      </c>
      <c r="E118" s="77">
        <v>-500</v>
      </c>
    </row>
    <row r="119" spans="1:5">
      <c r="A119" s="88">
        <v>45463</v>
      </c>
      <c r="B119" s="3" t="s">
        <v>531</v>
      </c>
      <c r="E119" s="77">
        <v>-80</v>
      </c>
    </row>
    <row r="120" spans="1:5">
      <c r="A120" s="88">
        <v>45464</v>
      </c>
      <c r="B120" s="3" t="s">
        <v>535</v>
      </c>
      <c r="E120" s="77">
        <v>-105</v>
      </c>
    </row>
    <row r="121" spans="1:5">
      <c r="A121" s="88">
        <v>45464</v>
      </c>
      <c r="B121" s="3" t="s">
        <v>536</v>
      </c>
      <c r="E121" s="77">
        <v>-800</v>
      </c>
    </row>
    <row r="122" spans="1:5">
      <c r="A122" s="88">
        <v>45464</v>
      </c>
      <c r="B122" s="3" t="s">
        <v>537</v>
      </c>
      <c r="E122" s="77">
        <v>-277.5</v>
      </c>
    </row>
    <row r="123" spans="1:5">
      <c r="A123" s="88">
        <v>45465</v>
      </c>
      <c r="B123" s="3" t="s">
        <v>538</v>
      </c>
      <c r="E123" s="77">
        <v>-200</v>
      </c>
    </row>
    <row r="124" spans="1:5">
      <c r="A124" s="88">
        <v>45466</v>
      </c>
      <c r="B124" s="3" t="s">
        <v>539</v>
      </c>
      <c r="E124" s="77">
        <v>-689.5</v>
      </c>
    </row>
    <row r="125" spans="1:5">
      <c r="A125" s="88">
        <v>45466</v>
      </c>
      <c r="B125" s="3" t="s">
        <v>179</v>
      </c>
      <c r="E125" s="77">
        <v>-500</v>
      </c>
    </row>
    <row r="126" spans="1:5">
      <c r="A126" s="88">
        <v>45466</v>
      </c>
      <c r="B126" s="3" t="s">
        <v>540</v>
      </c>
      <c r="E126" s="77">
        <v>-650</v>
      </c>
    </row>
    <row r="127" spans="1:5">
      <c r="A127" s="88">
        <v>45466</v>
      </c>
      <c r="B127" s="3" t="s">
        <v>541</v>
      </c>
      <c r="E127" s="77">
        <v>-134.33000000000001</v>
      </c>
    </row>
    <row r="128" spans="1:5">
      <c r="A128" s="88">
        <v>45467</v>
      </c>
      <c r="B128" s="3" t="s">
        <v>542</v>
      </c>
      <c r="E128" s="77">
        <v>-28.05</v>
      </c>
    </row>
    <row r="129" spans="1:5">
      <c r="A129" s="88">
        <v>45467</v>
      </c>
      <c r="B129" s="3" t="s">
        <v>543</v>
      </c>
      <c r="E129" s="77">
        <v>-28.05</v>
      </c>
    </row>
    <row r="130" spans="1:5">
      <c r="A130" s="88">
        <v>45467</v>
      </c>
      <c r="B130" s="3" t="s">
        <v>544</v>
      </c>
      <c r="E130" s="77">
        <v>-186.98</v>
      </c>
    </row>
    <row r="131" spans="1:5" ht="15">
      <c r="B131" s="18" t="s">
        <v>418</v>
      </c>
      <c r="C131" s="3">
        <f>SUM(C86:C130)</f>
        <v>3320</v>
      </c>
      <c r="E131" s="105" t="s">
        <v>84</v>
      </c>
    </row>
    <row r="132" spans="1:5">
      <c r="B132" s="3" t="s">
        <v>545</v>
      </c>
    </row>
    <row r="133" spans="1:5">
      <c r="A133" s="113" t="s">
        <v>546</v>
      </c>
      <c r="B133" s="104" t="s">
        <v>136</v>
      </c>
      <c r="C133" s="103">
        <v>2024</v>
      </c>
      <c r="D133" s="158"/>
      <c r="E133" s="159">
        <f>SUM(E134:E154)</f>
        <v>981303.72722800006</v>
      </c>
    </row>
    <row r="134" spans="1:5">
      <c r="A134" s="160">
        <v>45474</v>
      </c>
      <c r="B134" s="8" t="s">
        <v>77</v>
      </c>
      <c r="C134" s="2"/>
      <c r="D134" s="2"/>
      <c r="E134" s="2">
        <v>64000</v>
      </c>
    </row>
    <row r="135" spans="1:5">
      <c r="A135" s="160">
        <f t="shared" ref="A135:A154" si="1">A134</f>
        <v>45474</v>
      </c>
      <c r="B135" s="8" t="s">
        <v>378</v>
      </c>
      <c r="C135" s="2"/>
      <c r="D135" s="2"/>
      <c r="E135" s="2">
        <v>150845</v>
      </c>
    </row>
    <row r="136" spans="1:5">
      <c r="A136" s="160">
        <f t="shared" si="1"/>
        <v>45474</v>
      </c>
      <c r="B136" s="8" t="s">
        <v>300</v>
      </c>
      <c r="C136" s="2"/>
      <c r="D136" s="2"/>
      <c r="E136" s="17">
        <v>12712.47</v>
      </c>
    </row>
    <row r="137" spans="1:5">
      <c r="A137" s="160">
        <f t="shared" si="1"/>
        <v>45474</v>
      </c>
      <c r="B137" s="8" t="s">
        <v>301</v>
      </c>
      <c r="C137" s="2"/>
      <c r="D137" s="2"/>
      <c r="E137" s="17">
        <v>0</v>
      </c>
    </row>
    <row r="138" spans="1:5">
      <c r="A138" s="160">
        <f t="shared" si="1"/>
        <v>45474</v>
      </c>
      <c r="B138" s="8" t="s">
        <v>497</v>
      </c>
      <c r="C138" s="2"/>
      <c r="D138" s="2"/>
      <c r="E138" s="17">
        <v>0</v>
      </c>
    </row>
    <row r="139" spans="1:5">
      <c r="A139" s="160">
        <f t="shared" si="1"/>
        <v>45474</v>
      </c>
      <c r="B139" s="8" t="s">
        <v>302</v>
      </c>
      <c r="C139" s="124"/>
      <c r="D139" s="2"/>
      <c r="E139" s="17">
        <v>0</v>
      </c>
    </row>
    <row r="140" spans="1:5">
      <c r="A140" s="160">
        <f t="shared" si="1"/>
        <v>45474</v>
      </c>
      <c r="B140" s="8" t="s">
        <v>236</v>
      </c>
      <c r="C140" s="2">
        <v>74</v>
      </c>
      <c r="D140" s="174">
        <v>677.53942199999995</v>
      </c>
      <c r="E140" s="17">
        <f t="shared" ref="E140:E152" si="2">D140*C140</f>
        <v>50137.917227999998</v>
      </c>
    </row>
    <row r="141" spans="1:5">
      <c r="A141" s="160">
        <f t="shared" si="1"/>
        <v>45474</v>
      </c>
      <c r="B141" s="8" t="s">
        <v>498</v>
      </c>
      <c r="C141" s="175">
        <v>125000</v>
      </c>
      <c r="D141" s="174">
        <v>0.83506999999999998</v>
      </c>
      <c r="E141" s="17">
        <f t="shared" si="2"/>
        <v>104383.75</v>
      </c>
    </row>
    <row r="142" spans="1:5">
      <c r="A142" s="160">
        <f t="shared" si="1"/>
        <v>45474</v>
      </c>
      <c r="B142" s="8" t="s">
        <v>499</v>
      </c>
      <c r="C142" s="2">
        <v>10</v>
      </c>
      <c r="D142" s="2">
        <v>123.7</v>
      </c>
      <c r="E142" s="17">
        <f t="shared" si="2"/>
        <v>1237</v>
      </c>
    </row>
    <row r="143" spans="1:5">
      <c r="A143" s="160">
        <f t="shared" si="1"/>
        <v>45474</v>
      </c>
      <c r="B143" s="8" t="s">
        <v>500</v>
      </c>
      <c r="C143" s="2">
        <v>38</v>
      </c>
      <c r="D143" s="2">
        <v>22.78</v>
      </c>
      <c r="E143" s="17">
        <f t="shared" si="2"/>
        <v>865.6400000000001</v>
      </c>
    </row>
    <row r="144" spans="1:5">
      <c r="A144" s="160">
        <f t="shared" si="1"/>
        <v>45474</v>
      </c>
      <c r="B144" s="8" t="s">
        <v>501</v>
      </c>
      <c r="C144" s="2">
        <v>26</v>
      </c>
      <c r="D144" s="2">
        <v>27.26</v>
      </c>
      <c r="E144" s="17">
        <f t="shared" si="2"/>
        <v>708.76</v>
      </c>
    </row>
    <row r="145" spans="1:5">
      <c r="A145" s="160">
        <f t="shared" si="1"/>
        <v>45474</v>
      </c>
      <c r="B145" s="8" t="s">
        <v>140</v>
      </c>
      <c r="C145" s="2"/>
      <c r="D145" s="2"/>
      <c r="E145" s="17">
        <f t="shared" si="2"/>
        <v>0</v>
      </c>
    </row>
    <row r="146" spans="1:5">
      <c r="A146" s="160">
        <f t="shared" si="1"/>
        <v>45474</v>
      </c>
      <c r="B146" s="8" t="s">
        <v>380</v>
      </c>
      <c r="C146" s="2">
        <v>7500</v>
      </c>
      <c r="D146" s="2">
        <v>24.5</v>
      </c>
      <c r="E146" s="17">
        <f t="shared" si="2"/>
        <v>183750</v>
      </c>
    </row>
    <row r="147" spans="1:5">
      <c r="A147" s="160">
        <f t="shared" si="1"/>
        <v>45474</v>
      </c>
      <c r="C147" s="2"/>
      <c r="D147" s="2"/>
      <c r="E147" s="17">
        <f t="shared" si="2"/>
        <v>0</v>
      </c>
    </row>
    <row r="148" spans="1:5">
      <c r="A148" s="160">
        <f t="shared" si="1"/>
        <v>45474</v>
      </c>
      <c r="C148" s="2"/>
      <c r="D148" s="2"/>
      <c r="E148" s="17">
        <f t="shared" si="2"/>
        <v>0</v>
      </c>
    </row>
    <row r="149" spans="1:5">
      <c r="A149" s="160">
        <f t="shared" si="1"/>
        <v>45474</v>
      </c>
      <c r="B149" s="8" t="s">
        <v>502</v>
      </c>
      <c r="C149" s="2">
        <v>2375.02</v>
      </c>
      <c r="D149" s="2">
        <v>156</v>
      </c>
      <c r="E149" s="17">
        <f t="shared" si="2"/>
        <v>370503.12</v>
      </c>
    </row>
    <row r="150" spans="1:5">
      <c r="A150" s="160">
        <f t="shared" si="1"/>
        <v>45474</v>
      </c>
      <c r="B150" s="8" t="s">
        <v>503</v>
      </c>
      <c r="C150" s="162">
        <v>31.963699999999999</v>
      </c>
      <c r="D150" s="2">
        <v>850</v>
      </c>
      <c r="E150" s="17">
        <f t="shared" si="2"/>
        <v>27169.145</v>
      </c>
    </row>
    <row r="151" spans="1:5">
      <c r="A151" s="160">
        <f t="shared" si="1"/>
        <v>45474</v>
      </c>
      <c r="B151" s="8" t="s">
        <v>504</v>
      </c>
      <c r="C151" s="162">
        <f>C150</f>
        <v>31.963699999999999</v>
      </c>
      <c r="D151" s="2">
        <v>250</v>
      </c>
      <c r="E151" s="17">
        <f t="shared" si="2"/>
        <v>7990.9250000000002</v>
      </c>
    </row>
    <row r="152" spans="1:5">
      <c r="A152" s="160">
        <f t="shared" si="1"/>
        <v>45474</v>
      </c>
      <c r="B152" s="8" t="s">
        <v>505</v>
      </c>
      <c r="C152" s="162">
        <v>34.412100000000002</v>
      </c>
      <c r="D152" s="2">
        <v>0</v>
      </c>
      <c r="E152" s="17">
        <f t="shared" si="2"/>
        <v>0</v>
      </c>
    </row>
    <row r="153" spans="1:5">
      <c r="A153" s="160">
        <f t="shared" si="1"/>
        <v>45474</v>
      </c>
      <c r="B153" s="8" t="s">
        <v>152</v>
      </c>
      <c r="C153" s="2"/>
      <c r="D153" s="2"/>
      <c r="E153" s="17">
        <v>3000</v>
      </c>
    </row>
    <row r="154" spans="1:5">
      <c r="A154" s="160">
        <f t="shared" si="1"/>
        <v>45474</v>
      </c>
      <c r="B154" s="8" t="s">
        <v>153</v>
      </c>
      <c r="C154" s="2"/>
      <c r="D154" s="2"/>
      <c r="E154" s="17">
        <v>4000</v>
      </c>
    </row>
    <row r="155" spans="1:5">
      <c r="E155" s="176"/>
    </row>
    <row r="156" spans="1:5">
      <c r="C156" s="124"/>
      <c r="D156" s="3"/>
      <c r="E156" s="124"/>
    </row>
    <row r="157" spans="1:5">
      <c r="C157" s="124"/>
      <c r="D157" s="18" t="s">
        <v>155</v>
      </c>
      <c r="E157" s="9">
        <f>SUM(E134:E154)</f>
        <v>981303.72722800006</v>
      </c>
    </row>
    <row r="158" spans="1:5">
      <c r="C158" s="125" t="str">
        <f>A133</f>
        <v>TEMMUZa</v>
      </c>
      <c r="D158" s="126" t="s">
        <v>156</v>
      </c>
      <c r="E158" s="127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E2F0D9"/>
  </sheetPr>
  <dimension ref="A1:H139"/>
  <sheetViews>
    <sheetView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547</v>
      </c>
      <c r="C2" s="79" t="s">
        <v>67</v>
      </c>
      <c r="D2" s="77">
        <f>SUM(D4:D36)</f>
        <v>33500</v>
      </c>
      <c r="E2" s="77">
        <f>SUM(E4:E36)</f>
        <v>-77377.563693000004</v>
      </c>
      <c r="F2" s="77">
        <f>SUM(F4:F36)</f>
        <v>13427.62</v>
      </c>
      <c r="G2" s="77">
        <f>SUM(G4:G36)</f>
        <v>-97778.153693</v>
      </c>
      <c r="H2" s="77">
        <f>F2+G2</f>
        <v>-84350.533693000005</v>
      </c>
    </row>
    <row r="3" spans="1:8">
      <c r="B3" s="18"/>
    </row>
    <row r="4" spans="1:8">
      <c r="A4">
        <v>29.5</v>
      </c>
      <c r="B4" s="41" t="s">
        <v>424</v>
      </c>
      <c r="E4" s="78">
        <v>-152</v>
      </c>
      <c r="F4" s="78"/>
      <c r="G4" s="78">
        <v>-166.9</v>
      </c>
      <c r="H4" s="78">
        <f t="shared" ref="H4:H34" si="0">H3+F4+G4</f>
        <v>-166.9</v>
      </c>
    </row>
    <row r="5" spans="1:8">
      <c r="B5" s="101" t="s">
        <v>548</v>
      </c>
      <c r="C5" s="101" t="s">
        <v>352</v>
      </c>
      <c r="E5" s="78">
        <v>-250</v>
      </c>
      <c r="F5" s="78"/>
      <c r="G5" s="78">
        <f>E5</f>
        <v>-250</v>
      </c>
      <c r="H5" s="78">
        <f t="shared" si="0"/>
        <v>-416.9</v>
      </c>
    </row>
    <row r="6" spans="1:8">
      <c r="A6">
        <v>29.5</v>
      </c>
      <c r="B6" s="101" t="s">
        <v>75</v>
      </c>
      <c r="C6" s="101" t="s">
        <v>323</v>
      </c>
      <c r="E6" s="78">
        <v>-150</v>
      </c>
      <c r="F6" s="78"/>
      <c r="G6" s="78">
        <v>-47.4</v>
      </c>
      <c r="H6" s="78">
        <f t="shared" si="0"/>
        <v>-464.29999999999995</v>
      </c>
    </row>
    <row r="7" spans="1:8">
      <c r="A7" s="165">
        <v>45446</v>
      </c>
      <c r="B7" s="177" t="s">
        <v>69</v>
      </c>
      <c r="D7" s="78"/>
      <c r="E7" s="78">
        <f>E65</f>
        <v>-19997.71</v>
      </c>
      <c r="F7" s="78"/>
      <c r="G7" s="78">
        <f>E7</f>
        <v>-19997.71</v>
      </c>
      <c r="H7" s="78">
        <f t="shared" si="0"/>
        <v>-20462.009999999998</v>
      </c>
    </row>
    <row r="8" spans="1:8">
      <c r="A8" s="165">
        <v>45446</v>
      </c>
      <c r="B8" s="177" t="s">
        <v>549</v>
      </c>
      <c r="D8" s="78"/>
      <c r="E8" s="78"/>
      <c r="F8" s="78"/>
      <c r="G8" s="78">
        <v>-7860.53</v>
      </c>
      <c r="H8" s="78">
        <f t="shared" si="0"/>
        <v>-28322.539999999997</v>
      </c>
    </row>
    <row r="9" spans="1:8">
      <c r="A9" s="165">
        <v>45447</v>
      </c>
      <c r="B9" s="177" t="s">
        <v>550</v>
      </c>
      <c r="D9" s="78"/>
      <c r="E9" s="78"/>
      <c r="F9" s="78"/>
      <c r="G9" s="78">
        <v>-11998.63</v>
      </c>
      <c r="H9" s="78">
        <f t="shared" si="0"/>
        <v>-40321.17</v>
      </c>
    </row>
    <row r="10" spans="1:8">
      <c r="A10" s="88">
        <v>45447</v>
      </c>
      <c r="B10" s="177" t="s">
        <v>68</v>
      </c>
      <c r="D10" s="78"/>
      <c r="E10" s="78">
        <f>E50</f>
        <v>-4300.09</v>
      </c>
      <c r="F10" s="78"/>
      <c r="G10" s="78">
        <v>-4300.09</v>
      </c>
      <c r="H10" s="78">
        <f t="shared" si="0"/>
        <v>-44621.259999999995</v>
      </c>
    </row>
    <row r="11" spans="1:8">
      <c r="A11" s="88">
        <v>45447</v>
      </c>
      <c r="B11" s="177" t="s">
        <v>551</v>
      </c>
      <c r="C11">
        <v>227.87</v>
      </c>
      <c r="D11" s="78"/>
      <c r="E11" s="78">
        <f>-1*C11*C12</f>
        <v>-8090.2736930000001</v>
      </c>
      <c r="F11" s="78"/>
      <c r="G11" s="78">
        <f>E11</f>
        <v>-8090.2736930000001</v>
      </c>
      <c r="H11" s="78">
        <f t="shared" si="0"/>
        <v>-52711.533692999998</v>
      </c>
    </row>
    <row r="12" spans="1:8">
      <c r="A12" s="88">
        <v>45447</v>
      </c>
      <c r="B12" s="177" t="s">
        <v>552</v>
      </c>
      <c r="C12">
        <v>35.503900000000002</v>
      </c>
      <c r="D12" s="78"/>
      <c r="E12" s="78"/>
      <c r="F12" s="78"/>
      <c r="G12" s="78"/>
      <c r="H12" s="78">
        <f t="shared" si="0"/>
        <v>-52711.533692999998</v>
      </c>
    </row>
    <row r="13" spans="1:8">
      <c r="A13" s="88">
        <v>45447</v>
      </c>
      <c r="B13" s="101" t="s">
        <v>553</v>
      </c>
      <c r="C13" s="101"/>
      <c r="D13" s="78"/>
      <c r="E13" s="78">
        <v>-1500</v>
      </c>
      <c r="F13" s="78"/>
      <c r="G13" s="78">
        <v>-1512.13</v>
      </c>
      <c r="H13" s="78">
        <f t="shared" si="0"/>
        <v>-54223.663692999995</v>
      </c>
    </row>
    <row r="14" spans="1:8">
      <c r="A14" s="88">
        <v>45450</v>
      </c>
      <c r="B14" s="8" t="s">
        <v>394</v>
      </c>
      <c r="E14" s="78">
        <v>-10000</v>
      </c>
      <c r="F14" s="78"/>
      <c r="G14" s="78">
        <f>E14</f>
        <v>-10000</v>
      </c>
      <c r="H14" s="78">
        <f t="shared" si="0"/>
        <v>-64223.663692999995</v>
      </c>
    </row>
    <row r="15" spans="1:8">
      <c r="A15" s="88">
        <v>45450</v>
      </c>
      <c r="B15" s="101" t="s">
        <v>554</v>
      </c>
      <c r="C15" s="101"/>
      <c r="E15" s="78">
        <v>-7500</v>
      </c>
      <c r="F15" s="78"/>
      <c r="G15" s="78">
        <f>E15</f>
        <v>-7500</v>
      </c>
      <c r="H15" s="78">
        <f t="shared" si="0"/>
        <v>-71723.663692999995</v>
      </c>
    </row>
    <row r="16" spans="1:8">
      <c r="A16" s="88">
        <v>45450</v>
      </c>
      <c r="B16" s="101" t="s">
        <v>555</v>
      </c>
      <c r="C16" s="101"/>
      <c r="E16" s="78">
        <v>-10000</v>
      </c>
      <c r="F16" s="78"/>
      <c r="G16" s="78">
        <f>E16</f>
        <v>-10000</v>
      </c>
      <c r="H16" s="78">
        <f t="shared" si="0"/>
        <v>-81723.663692999995</v>
      </c>
    </row>
    <row r="17" spans="1:8">
      <c r="A17" s="88"/>
      <c r="B17" s="101" t="s">
        <v>556</v>
      </c>
      <c r="C17" s="101"/>
      <c r="G17" s="78">
        <v>-700</v>
      </c>
      <c r="H17" s="78">
        <f t="shared" si="0"/>
        <v>-82423.663692999995</v>
      </c>
    </row>
    <row r="18" spans="1:8">
      <c r="A18" s="88"/>
      <c r="B18" s="101"/>
      <c r="C18" s="101"/>
      <c r="H18" s="78">
        <f t="shared" si="0"/>
        <v>-82423.663692999995</v>
      </c>
    </row>
    <row r="19" spans="1:8">
      <c r="A19" s="88">
        <v>45454</v>
      </c>
      <c r="B19" s="101" t="s">
        <v>557</v>
      </c>
      <c r="C19" s="101"/>
      <c r="D19" s="78"/>
      <c r="E19" s="78"/>
      <c r="F19" s="78">
        <v>3000</v>
      </c>
      <c r="G19" s="78"/>
      <c r="H19" s="78">
        <f t="shared" si="0"/>
        <v>-79423.663692999995</v>
      </c>
    </row>
    <row r="20" spans="1:8" ht="12" customHeight="1">
      <c r="A20" s="88">
        <v>45454</v>
      </c>
      <c r="B20" s="177" t="s">
        <v>72</v>
      </c>
      <c r="D20" s="78"/>
      <c r="E20" s="78">
        <f>E47*-1</f>
        <v>-37.49</v>
      </c>
      <c r="F20" s="78"/>
      <c r="G20" s="78">
        <v>-37.49</v>
      </c>
      <c r="H20" s="78">
        <f t="shared" si="0"/>
        <v>-79461.153693</v>
      </c>
    </row>
    <row r="21" spans="1:8">
      <c r="A21" s="88">
        <v>45463</v>
      </c>
      <c r="B21" s="106" t="s">
        <v>73</v>
      </c>
      <c r="C21" s="106" t="s">
        <v>323</v>
      </c>
      <c r="D21" s="78"/>
      <c r="E21" s="78">
        <v>-300</v>
      </c>
      <c r="F21" s="78"/>
      <c r="G21" s="78">
        <v>-305</v>
      </c>
      <c r="H21" s="78">
        <f t="shared" si="0"/>
        <v>-79766.153693</v>
      </c>
    </row>
    <row r="22" spans="1:8">
      <c r="A22" s="88">
        <v>45463</v>
      </c>
      <c r="B22" s="106" t="s">
        <v>74</v>
      </c>
      <c r="C22" s="106" t="s">
        <v>323</v>
      </c>
      <c r="D22" s="78"/>
      <c r="E22" s="78">
        <v>-100</v>
      </c>
      <c r="F22" s="78"/>
      <c r="G22" s="78">
        <v>0</v>
      </c>
      <c r="H22" s="78">
        <f t="shared" si="0"/>
        <v>-79766.153693</v>
      </c>
    </row>
    <row r="23" spans="1:8">
      <c r="H23" s="78">
        <f t="shared" si="0"/>
        <v>-79766.153693</v>
      </c>
    </row>
    <row r="24" spans="1:8">
      <c r="A24" s="88"/>
      <c r="B24" s="101"/>
      <c r="C24" s="101"/>
      <c r="H24" s="78">
        <f t="shared" si="0"/>
        <v>-79766.153693</v>
      </c>
    </row>
    <row r="25" spans="1:8">
      <c r="A25" s="88"/>
      <c r="B25" s="101"/>
      <c r="C25" s="101"/>
      <c r="H25" s="78">
        <f t="shared" si="0"/>
        <v>-79766.153693</v>
      </c>
    </row>
    <row r="26" spans="1:8">
      <c r="H26" s="78">
        <f t="shared" si="0"/>
        <v>-79766.153693</v>
      </c>
    </row>
    <row r="27" spans="1:8">
      <c r="A27" s="88">
        <v>45476</v>
      </c>
      <c r="B27" s="8" t="s">
        <v>77</v>
      </c>
      <c r="D27" s="78"/>
      <c r="E27" s="78">
        <v>-5000</v>
      </c>
      <c r="F27" s="78"/>
      <c r="G27" s="78">
        <v>-5006</v>
      </c>
      <c r="H27" s="78">
        <f t="shared" si="0"/>
        <v>-84772.153693</v>
      </c>
    </row>
    <row r="28" spans="1:8">
      <c r="A28" s="88">
        <v>45476</v>
      </c>
      <c r="B28" s="8" t="s">
        <v>78</v>
      </c>
      <c r="D28" s="78"/>
      <c r="E28" s="78">
        <v>-5000</v>
      </c>
      <c r="F28" s="78"/>
      <c r="G28" s="78">
        <v>-5006</v>
      </c>
      <c r="H28" s="78">
        <f t="shared" si="0"/>
        <v>-89778.153693</v>
      </c>
    </row>
    <row r="29" spans="1:8">
      <c r="B29" t="s">
        <v>79</v>
      </c>
      <c r="D29" s="78"/>
      <c r="E29" s="78">
        <v>-5000</v>
      </c>
      <c r="F29" s="78"/>
      <c r="G29" s="78">
        <v>-5000</v>
      </c>
      <c r="H29" s="78">
        <f t="shared" si="0"/>
        <v>-94778.153693</v>
      </c>
    </row>
    <row r="30" spans="1:8">
      <c r="D30" s="78"/>
      <c r="E30" s="78"/>
      <c r="F30" s="78"/>
      <c r="G30" s="78"/>
      <c r="H30" s="78">
        <f t="shared" si="0"/>
        <v>-94778.153693</v>
      </c>
    </row>
    <row r="31" spans="1:8">
      <c r="B31" t="s">
        <v>76</v>
      </c>
      <c r="D31" s="78">
        <v>10000</v>
      </c>
      <c r="E31" s="78"/>
      <c r="F31" s="78">
        <v>10427.620000000001</v>
      </c>
      <c r="G31" s="78"/>
      <c r="H31" s="78">
        <f t="shared" si="0"/>
        <v>-84350.533693000005</v>
      </c>
    </row>
    <row r="32" spans="1:8">
      <c r="A32" s="100"/>
      <c r="B32" s="170" t="s">
        <v>508</v>
      </c>
      <c r="C32" s="170"/>
      <c r="D32" s="167">
        <v>15000</v>
      </c>
      <c r="E32" s="78"/>
      <c r="F32" s="78"/>
      <c r="G32" s="78"/>
      <c r="H32" s="78">
        <f t="shared" si="0"/>
        <v>-84350.533693000005</v>
      </c>
    </row>
    <row r="33" spans="1:8">
      <c r="A33" s="88">
        <v>45351</v>
      </c>
      <c r="B33" s="170" t="s">
        <v>435</v>
      </c>
      <c r="C33" s="170"/>
      <c r="D33" s="183">
        <v>8500</v>
      </c>
      <c r="E33" s="78"/>
      <c r="F33" s="78"/>
      <c r="G33" s="78"/>
      <c r="H33" s="78">
        <f t="shared" si="0"/>
        <v>-84350.533693000005</v>
      </c>
    </row>
    <row r="34" spans="1:8">
      <c r="D34" s="78"/>
      <c r="E34" s="78"/>
      <c r="F34" s="78"/>
      <c r="G34" s="78"/>
      <c r="H34" s="78">
        <f t="shared" si="0"/>
        <v>-84350.533693000005</v>
      </c>
    </row>
    <row r="36" spans="1:8" ht="15.75">
      <c r="B36" s="179"/>
    </row>
    <row r="38" spans="1:8">
      <c r="B38" t="s">
        <v>325</v>
      </c>
    </row>
    <row r="39" spans="1:8">
      <c r="A39" s="103" t="s">
        <v>326</v>
      </c>
      <c r="B39" s="103"/>
      <c r="C39" s="103"/>
    </row>
    <row r="40" spans="1:8">
      <c r="A40" s="100"/>
      <c r="C40" s="171"/>
    </row>
    <row r="41" spans="1:8">
      <c r="A41" s="172">
        <v>44929</v>
      </c>
      <c r="B41" s="173" t="s">
        <v>327</v>
      </c>
      <c r="C41" s="103"/>
      <c r="D41" s="77">
        <f>SUM(D42:D47)</f>
        <v>5394.16</v>
      </c>
      <c r="E41" s="77">
        <f>SUM(E42:E47)</f>
        <v>4605.33</v>
      </c>
    </row>
    <row r="42" spans="1:8">
      <c r="A42" s="100"/>
      <c r="B42" s="106" t="s">
        <v>328</v>
      </c>
      <c r="D42" s="77">
        <v>468.65</v>
      </c>
    </row>
    <row r="43" spans="1:8">
      <c r="B43" t="s">
        <v>329</v>
      </c>
      <c r="D43" s="77">
        <v>1257.73</v>
      </c>
      <c r="E43" s="77">
        <v>1260</v>
      </c>
    </row>
    <row r="44" spans="1:8">
      <c r="B44" t="s">
        <v>558</v>
      </c>
      <c r="C44" t="s">
        <v>559</v>
      </c>
      <c r="D44" s="77">
        <v>919.84</v>
      </c>
      <c r="E44" s="77">
        <v>919.84</v>
      </c>
    </row>
    <row r="45" spans="1:8">
      <c r="B45" t="s">
        <v>331</v>
      </c>
      <c r="D45" s="77">
        <v>2358.0300000000002</v>
      </c>
      <c r="E45" s="77">
        <v>2358</v>
      </c>
    </row>
    <row r="46" spans="1:8">
      <c r="B46" t="s">
        <v>332</v>
      </c>
      <c r="D46" s="77">
        <v>352.42</v>
      </c>
      <c r="E46" s="77">
        <v>30</v>
      </c>
    </row>
    <row r="47" spans="1:8">
      <c r="B47" t="s">
        <v>333</v>
      </c>
      <c r="C47" s="106"/>
      <c r="D47" s="77">
        <v>37.49</v>
      </c>
      <c r="E47" s="77">
        <v>37.49</v>
      </c>
    </row>
    <row r="48" spans="1:8">
      <c r="B48">
        <v>-4625</v>
      </c>
      <c r="C48" s="106"/>
    </row>
    <row r="49" spans="1:6">
      <c r="B49" s="102"/>
    </row>
    <row r="50" spans="1:6">
      <c r="A50" s="103"/>
      <c r="B50" s="104" t="s">
        <v>83</v>
      </c>
      <c r="C50" s="103"/>
      <c r="E50" s="77">
        <f>SUM(E51:E62)</f>
        <v>-4300.09</v>
      </c>
    </row>
    <row r="52" spans="1:6">
      <c r="A52" s="100"/>
      <c r="B52" s="106"/>
      <c r="C52" s="106"/>
    </row>
    <row r="53" spans="1:6">
      <c r="A53" s="100">
        <v>45187</v>
      </c>
      <c r="B53" s="106" t="s">
        <v>560</v>
      </c>
      <c r="C53" s="106">
        <v>7648.33</v>
      </c>
      <c r="D53" s="77" t="s">
        <v>561</v>
      </c>
      <c r="E53" s="77">
        <v>-849.85</v>
      </c>
      <c r="F53" s="77">
        <v>0</v>
      </c>
    </row>
    <row r="54" spans="1:6">
      <c r="A54" s="88">
        <v>45348</v>
      </c>
      <c r="B54" s="8" t="s">
        <v>438</v>
      </c>
      <c r="C54">
        <v>1406</v>
      </c>
      <c r="D54" s="77" t="s">
        <v>562</v>
      </c>
      <c r="E54" s="77">
        <v>-234.33</v>
      </c>
      <c r="F54" s="77">
        <v>0</v>
      </c>
    </row>
    <row r="55" spans="1:6">
      <c r="A55" s="88">
        <v>45373</v>
      </c>
      <c r="B55" s="8" t="s">
        <v>334</v>
      </c>
      <c r="C55">
        <v>10176.39</v>
      </c>
      <c r="D55" s="77" t="s">
        <v>563</v>
      </c>
      <c r="E55" s="77">
        <v>-1130.71</v>
      </c>
      <c r="F55" s="77">
        <v>0</v>
      </c>
    </row>
    <row r="56" spans="1:6">
      <c r="A56" s="88">
        <v>45375</v>
      </c>
      <c r="B56" s="8" t="s">
        <v>336</v>
      </c>
      <c r="C56">
        <v>5999</v>
      </c>
      <c r="D56" s="77" t="s">
        <v>563</v>
      </c>
      <c r="E56" s="77">
        <v>-666.56</v>
      </c>
      <c r="F56" s="77">
        <v>0</v>
      </c>
    </row>
    <row r="57" spans="1:6">
      <c r="A57" s="88">
        <v>45358</v>
      </c>
      <c r="B57" s="8" t="s">
        <v>441</v>
      </c>
      <c r="C57">
        <v>2273</v>
      </c>
      <c r="D57" s="77" t="s">
        <v>562</v>
      </c>
      <c r="E57" s="77">
        <v>-378.87</v>
      </c>
      <c r="F57" s="77">
        <v>0</v>
      </c>
    </row>
    <row r="58" spans="1:6">
      <c r="A58" s="88">
        <v>45371</v>
      </c>
      <c r="B58" s="8" t="s">
        <v>442</v>
      </c>
      <c r="D58" s="77" t="s">
        <v>562</v>
      </c>
      <c r="E58" s="77">
        <v>101.77</v>
      </c>
    </row>
    <row r="59" spans="1:6">
      <c r="A59" s="88"/>
    </row>
    <row r="60" spans="1:6">
      <c r="A60" s="100">
        <v>45418</v>
      </c>
      <c r="B60" s="107" t="s">
        <v>564</v>
      </c>
      <c r="C60" s="106"/>
      <c r="E60" s="77">
        <v>-251.54</v>
      </c>
      <c r="F60" s="77">
        <v>0</v>
      </c>
    </row>
    <row r="61" spans="1:6">
      <c r="A61" s="100">
        <v>45418</v>
      </c>
      <c r="B61" s="107" t="s">
        <v>565</v>
      </c>
      <c r="E61" s="77">
        <v>-890</v>
      </c>
      <c r="F61" s="77">
        <v>0</v>
      </c>
    </row>
    <row r="62" spans="1:6" ht="15">
      <c r="A62" s="100">
        <v>45418</v>
      </c>
      <c r="B62" s="107" t="s">
        <v>129</v>
      </c>
      <c r="C62" s="106">
        <v>4278.51</v>
      </c>
      <c r="D62" s="182"/>
      <c r="E62" s="105" t="s">
        <v>84</v>
      </c>
    </row>
    <row r="63" spans="1:6">
      <c r="A63" s="100"/>
      <c r="B63" s="3"/>
    </row>
    <row r="64" spans="1:6">
      <c r="A64" s="100"/>
      <c r="B64" s="106"/>
      <c r="C64" s="106"/>
    </row>
    <row r="65" spans="1:6">
      <c r="A65" s="103"/>
      <c r="B65" s="104" t="s">
        <v>85</v>
      </c>
      <c r="C65" s="103"/>
      <c r="D65" s="77">
        <v>19997.71</v>
      </c>
      <c r="E65" s="77">
        <f>SUM(E66:E114)</f>
        <v>-19997.71</v>
      </c>
      <c r="F65" s="77">
        <f>D65+E65</f>
        <v>0</v>
      </c>
    </row>
    <row r="66" spans="1:6">
      <c r="A66" s="100"/>
      <c r="B66" s="106"/>
      <c r="C66" s="106"/>
    </row>
    <row r="67" spans="1:6">
      <c r="A67" s="165">
        <v>45285</v>
      </c>
      <c r="B67" s="106" t="s">
        <v>520</v>
      </c>
      <c r="C67" s="106"/>
      <c r="D67" s="77" t="s">
        <v>566</v>
      </c>
      <c r="E67" s="77">
        <v>-3551.66</v>
      </c>
    </row>
    <row r="68" spans="1:6">
      <c r="A68" s="100"/>
      <c r="B68" s="3" t="s">
        <v>476</v>
      </c>
      <c r="C68" s="106"/>
      <c r="D68" s="77" t="s">
        <v>567</v>
      </c>
      <c r="E68" s="77">
        <v>-649.78</v>
      </c>
    </row>
    <row r="69" spans="1:6">
      <c r="A69" s="100"/>
      <c r="B69" s="3" t="s">
        <v>478</v>
      </c>
      <c r="C69" s="106">
        <v>49.98</v>
      </c>
      <c r="D69" s="77" t="s">
        <v>567</v>
      </c>
    </row>
    <row r="70" spans="1:6">
      <c r="A70" s="100"/>
      <c r="B70" s="3"/>
      <c r="C70" s="106"/>
    </row>
    <row r="71" spans="1:6">
      <c r="A71" s="100">
        <v>45408</v>
      </c>
      <c r="B71" s="3" t="s">
        <v>568</v>
      </c>
      <c r="C71" s="106"/>
      <c r="E71" s="77">
        <v>-1407.23</v>
      </c>
    </row>
    <row r="72" spans="1:6">
      <c r="A72" s="100">
        <v>45420</v>
      </c>
      <c r="B72" s="3" t="s">
        <v>533</v>
      </c>
      <c r="C72" s="106">
        <v>300</v>
      </c>
    </row>
    <row r="73" spans="1:6">
      <c r="A73" s="100">
        <v>45426</v>
      </c>
      <c r="B73" s="3" t="s">
        <v>569</v>
      </c>
      <c r="C73" s="106"/>
      <c r="E73" s="77">
        <v>-1469</v>
      </c>
    </row>
    <row r="74" spans="1:6">
      <c r="A74" s="100">
        <v>45426</v>
      </c>
      <c r="B74" s="3" t="s">
        <v>570</v>
      </c>
      <c r="C74" s="106"/>
      <c r="E74" s="77">
        <v>-1453</v>
      </c>
    </row>
    <row r="75" spans="1:6">
      <c r="A75" s="100">
        <v>45427</v>
      </c>
      <c r="B75" s="3" t="s">
        <v>571</v>
      </c>
      <c r="C75" s="106"/>
      <c r="E75" s="77">
        <v>905.5</v>
      </c>
    </row>
    <row r="76" spans="1:6">
      <c r="A76" s="100"/>
      <c r="C76" s="106"/>
    </row>
    <row r="77" spans="1:6">
      <c r="A77" s="100">
        <v>45407</v>
      </c>
      <c r="B77" s="3" t="s">
        <v>572</v>
      </c>
      <c r="C77" s="106"/>
      <c r="E77" s="77">
        <v>-800</v>
      </c>
      <c r="F77" s="77">
        <v>0</v>
      </c>
    </row>
    <row r="78" spans="1:6">
      <c r="A78" s="100">
        <v>45408</v>
      </c>
      <c r="B78" s="3" t="s">
        <v>573</v>
      </c>
      <c r="C78" s="106"/>
      <c r="E78" s="77">
        <v>-550</v>
      </c>
      <c r="F78" s="77">
        <v>0</v>
      </c>
    </row>
    <row r="79" spans="1:6">
      <c r="A79" s="100">
        <v>45411</v>
      </c>
      <c r="B79" s="3" t="s">
        <v>574</v>
      </c>
      <c r="C79" s="106"/>
      <c r="E79" s="77">
        <v>-70</v>
      </c>
      <c r="F79" s="77">
        <v>0</v>
      </c>
    </row>
    <row r="80" spans="1:6">
      <c r="A80" s="100">
        <v>45412</v>
      </c>
      <c r="B80" s="3" t="s">
        <v>575</v>
      </c>
      <c r="C80" s="106" t="s">
        <v>576</v>
      </c>
      <c r="D80" s="77">
        <f>E80</f>
        <v>-250</v>
      </c>
      <c r="E80" s="77">
        <v>-250</v>
      </c>
      <c r="F80" s="77">
        <v>0</v>
      </c>
    </row>
    <row r="81" spans="1:6">
      <c r="A81" s="100">
        <v>45412</v>
      </c>
      <c r="B81" s="3" t="s">
        <v>577</v>
      </c>
      <c r="C81" s="106"/>
      <c r="E81" s="77">
        <v>-1508</v>
      </c>
      <c r="F81" s="77">
        <v>0</v>
      </c>
    </row>
    <row r="82" spans="1:6">
      <c r="A82" s="100">
        <v>45412</v>
      </c>
      <c r="B82" s="3" t="s">
        <v>578</v>
      </c>
      <c r="C82" s="106"/>
      <c r="E82" s="77">
        <v>-70</v>
      </c>
      <c r="F82" s="77">
        <v>0</v>
      </c>
    </row>
    <row r="83" spans="1:6">
      <c r="A83" s="100">
        <v>45413</v>
      </c>
      <c r="B83" s="3" t="s">
        <v>579</v>
      </c>
      <c r="C83" s="106"/>
      <c r="E83" s="77">
        <v>-516</v>
      </c>
      <c r="F83" s="77">
        <v>0</v>
      </c>
    </row>
    <row r="84" spans="1:6">
      <c r="A84" s="100">
        <v>45413</v>
      </c>
      <c r="B84" s="3" t="s">
        <v>580</v>
      </c>
      <c r="C84" s="106"/>
      <c r="E84" s="77">
        <v>-150</v>
      </c>
      <c r="F84" s="77">
        <v>0</v>
      </c>
    </row>
    <row r="85" spans="1:6">
      <c r="A85" s="100">
        <v>45413</v>
      </c>
      <c r="B85" s="3" t="s">
        <v>580</v>
      </c>
      <c r="C85" s="106"/>
      <c r="E85" s="77">
        <v>-150</v>
      </c>
      <c r="F85" s="77">
        <v>0</v>
      </c>
    </row>
    <row r="86" spans="1:6">
      <c r="A86" s="100">
        <v>45413</v>
      </c>
      <c r="B86" s="3" t="s">
        <v>524</v>
      </c>
      <c r="C86" s="106"/>
      <c r="E86" s="77">
        <v>-530</v>
      </c>
      <c r="F86" s="77">
        <v>0</v>
      </c>
    </row>
    <row r="87" spans="1:6">
      <c r="A87" s="100">
        <v>45418</v>
      </c>
      <c r="B87" s="3" t="s">
        <v>129</v>
      </c>
      <c r="C87" s="106">
        <v>23491.02</v>
      </c>
    </row>
    <row r="88" spans="1:6">
      <c r="A88" s="100">
        <v>45420</v>
      </c>
      <c r="B88" s="3" t="s">
        <v>409</v>
      </c>
      <c r="C88" s="106"/>
      <c r="E88" s="77">
        <v>-518.4</v>
      </c>
      <c r="F88" s="77">
        <v>0</v>
      </c>
    </row>
    <row r="89" spans="1:6">
      <c r="A89" s="100">
        <v>45422</v>
      </c>
      <c r="B89" s="3" t="s">
        <v>581</v>
      </c>
      <c r="C89" s="106"/>
      <c r="E89" s="77">
        <v>-80</v>
      </c>
      <c r="F89" s="77">
        <v>0</v>
      </c>
    </row>
    <row r="90" spans="1:6">
      <c r="A90" s="100">
        <v>45424</v>
      </c>
      <c r="B90" s="3" t="s">
        <v>409</v>
      </c>
      <c r="C90" s="106"/>
      <c r="E90" s="77">
        <v>-173.82</v>
      </c>
      <c r="F90" s="77">
        <v>0</v>
      </c>
    </row>
    <row r="91" spans="1:6">
      <c r="A91" s="100">
        <v>45425</v>
      </c>
      <c r="B91" s="3" t="s">
        <v>575</v>
      </c>
      <c r="C91" s="106" t="s">
        <v>576</v>
      </c>
      <c r="D91" s="77">
        <f>E91</f>
        <v>-200</v>
      </c>
      <c r="E91" s="77">
        <v>-200</v>
      </c>
      <c r="F91" s="77">
        <v>0</v>
      </c>
    </row>
    <row r="92" spans="1:6">
      <c r="A92" s="100">
        <v>45426</v>
      </c>
      <c r="B92" s="3" t="s">
        <v>575</v>
      </c>
      <c r="C92" s="106" t="s">
        <v>576</v>
      </c>
      <c r="D92" s="77">
        <f>E92</f>
        <v>-300</v>
      </c>
      <c r="E92" s="77">
        <v>-300</v>
      </c>
      <c r="F92" s="77">
        <v>0</v>
      </c>
    </row>
    <row r="93" spans="1:6">
      <c r="A93" s="100">
        <v>45426</v>
      </c>
      <c r="B93" s="3" t="s">
        <v>582</v>
      </c>
      <c r="C93" s="106"/>
      <c r="E93" s="77">
        <v>-600</v>
      </c>
      <c r="F93" s="77">
        <v>0</v>
      </c>
    </row>
    <row r="94" spans="1:6">
      <c r="A94" s="100">
        <v>45427</v>
      </c>
      <c r="B94" s="3" t="s">
        <v>583</v>
      </c>
      <c r="C94" s="106">
        <v>95.08</v>
      </c>
      <c r="F94" s="77">
        <v>0</v>
      </c>
    </row>
    <row r="95" spans="1:6">
      <c r="A95" s="88">
        <v>45427</v>
      </c>
      <c r="B95" s="3" t="s">
        <v>584</v>
      </c>
      <c r="E95" s="77">
        <v>-1123.1500000000001</v>
      </c>
      <c r="F95" s="77">
        <v>0</v>
      </c>
    </row>
    <row r="96" spans="1:6">
      <c r="A96" s="88">
        <v>45427</v>
      </c>
      <c r="B96" s="3" t="s">
        <v>585</v>
      </c>
      <c r="C96">
        <v>1.26</v>
      </c>
      <c r="F96" s="77">
        <v>0</v>
      </c>
    </row>
    <row r="97" spans="1:6">
      <c r="A97" s="88">
        <v>45427</v>
      </c>
      <c r="B97" s="3" t="s">
        <v>586</v>
      </c>
      <c r="E97" s="77">
        <v>-16</v>
      </c>
      <c r="F97" s="77">
        <v>0</v>
      </c>
    </row>
    <row r="98" spans="1:6">
      <c r="A98" s="88">
        <v>45427</v>
      </c>
      <c r="B98" s="3" t="s">
        <v>587</v>
      </c>
      <c r="E98" s="77">
        <v>-375</v>
      </c>
      <c r="F98" s="77">
        <v>0</v>
      </c>
    </row>
    <row r="99" spans="1:6">
      <c r="A99" s="88">
        <v>45427</v>
      </c>
      <c r="B99" s="3" t="s">
        <v>586</v>
      </c>
      <c r="E99" s="77">
        <v>-11.5</v>
      </c>
      <c r="F99" s="77">
        <v>0</v>
      </c>
    </row>
    <row r="100" spans="1:6">
      <c r="A100" s="88">
        <v>45428</v>
      </c>
      <c r="B100" s="3" t="s">
        <v>588</v>
      </c>
      <c r="E100" s="77">
        <v>-500</v>
      </c>
      <c r="F100" s="77">
        <v>0</v>
      </c>
    </row>
    <row r="101" spans="1:6">
      <c r="A101" s="88">
        <v>45428</v>
      </c>
      <c r="B101" s="3" t="s">
        <v>589</v>
      </c>
      <c r="E101" s="77">
        <v>-594.67999999999995</v>
      </c>
      <c r="F101" s="77">
        <v>0</v>
      </c>
    </row>
    <row r="102" spans="1:6">
      <c r="A102" s="88">
        <v>45430</v>
      </c>
      <c r="B102" s="3" t="s">
        <v>589</v>
      </c>
      <c r="E102" s="77">
        <v>-169.99</v>
      </c>
      <c r="F102" s="77">
        <v>0</v>
      </c>
    </row>
    <row r="103" spans="1:6">
      <c r="A103" s="88">
        <v>45430</v>
      </c>
      <c r="B103" s="3" t="s">
        <v>590</v>
      </c>
      <c r="E103" s="77">
        <v>-330</v>
      </c>
      <c r="F103" s="77">
        <v>0</v>
      </c>
    </row>
    <row r="104" spans="1:6">
      <c r="A104" s="88">
        <v>45430</v>
      </c>
      <c r="B104" s="3" t="s">
        <v>589</v>
      </c>
      <c r="E104" s="77">
        <v>-139.9</v>
      </c>
      <c r="F104" s="77">
        <v>0</v>
      </c>
    </row>
    <row r="105" spans="1:6">
      <c r="A105" s="88">
        <v>45430</v>
      </c>
      <c r="B105" s="3" t="s">
        <v>588</v>
      </c>
      <c r="E105" s="77">
        <v>-500</v>
      </c>
      <c r="F105" s="77">
        <v>0</v>
      </c>
    </row>
    <row r="106" spans="1:6">
      <c r="A106" s="88">
        <v>45431</v>
      </c>
      <c r="B106" s="3" t="s">
        <v>591</v>
      </c>
      <c r="E106" s="77">
        <v>-266</v>
      </c>
      <c r="F106" s="77">
        <v>0</v>
      </c>
    </row>
    <row r="107" spans="1:6">
      <c r="A107" s="88">
        <v>45432</v>
      </c>
      <c r="B107" s="3" t="s">
        <v>591</v>
      </c>
      <c r="E107" s="77">
        <v>-22.1</v>
      </c>
      <c r="F107" s="77">
        <v>0</v>
      </c>
    </row>
    <row r="108" spans="1:6">
      <c r="A108" s="88">
        <v>45432</v>
      </c>
      <c r="B108" s="3" t="s">
        <v>586</v>
      </c>
      <c r="E108" s="77">
        <v>-11.5</v>
      </c>
      <c r="F108" s="77">
        <v>0</v>
      </c>
    </row>
    <row r="109" spans="1:6">
      <c r="A109" s="88">
        <v>45432</v>
      </c>
      <c r="B109" s="3" t="s">
        <v>587</v>
      </c>
      <c r="E109" s="77">
        <v>-335</v>
      </c>
      <c r="F109" s="77">
        <v>0</v>
      </c>
    </row>
    <row r="110" spans="1:6">
      <c r="A110" s="88">
        <v>45432</v>
      </c>
      <c r="B110" s="3" t="s">
        <v>586</v>
      </c>
      <c r="E110" s="77">
        <v>-11.5</v>
      </c>
      <c r="F110" s="77">
        <v>0</v>
      </c>
    </row>
    <row r="111" spans="1:6">
      <c r="A111" s="88">
        <v>45432</v>
      </c>
      <c r="B111" s="3" t="s">
        <v>592</v>
      </c>
      <c r="E111" s="77">
        <v>-650</v>
      </c>
      <c r="F111" s="77">
        <v>0</v>
      </c>
    </row>
    <row r="112" spans="1:6">
      <c r="A112" s="88">
        <v>45435</v>
      </c>
      <c r="B112" s="3" t="s">
        <v>575</v>
      </c>
      <c r="C112" s="8" t="s">
        <v>576</v>
      </c>
      <c r="D112" s="77">
        <f>E112</f>
        <v>-300</v>
      </c>
      <c r="E112" s="77">
        <v>-300</v>
      </c>
      <c r="F112" s="77">
        <v>0</v>
      </c>
    </row>
    <row r="113" spans="1:6">
      <c r="A113" s="88">
        <v>45435</v>
      </c>
      <c r="B113" s="3" t="s">
        <v>593</v>
      </c>
      <c r="E113" s="77">
        <v>-550</v>
      </c>
      <c r="F113" s="77">
        <v>0</v>
      </c>
    </row>
    <row r="114" spans="1:6" ht="15">
      <c r="A114" s="88"/>
      <c r="B114" s="3"/>
      <c r="C114" s="184" t="s">
        <v>418</v>
      </c>
      <c r="D114" s="185">
        <f>SUM(D79:D113)</f>
        <v>-1050</v>
      </c>
      <c r="E114" s="105" t="s">
        <v>84</v>
      </c>
    </row>
    <row r="115" spans="1:6">
      <c r="A115" s="88"/>
      <c r="B115" s="3"/>
    </row>
    <row r="116" spans="1:6">
      <c r="A116" s="88"/>
      <c r="B116" s="3"/>
    </row>
    <row r="117" spans="1:6">
      <c r="A117" s="88"/>
      <c r="B117" s="3"/>
    </row>
    <row r="118" spans="1:6">
      <c r="A118" s="113" t="s">
        <v>594</v>
      </c>
      <c r="B118" s="104" t="s">
        <v>136</v>
      </c>
      <c r="C118" s="103">
        <v>2024</v>
      </c>
      <c r="D118" s="158"/>
      <c r="E118" s="159">
        <f>SUM(E119:E135)</f>
        <v>794302.15999999992</v>
      </c>
    </row>
    <row r="119" spans="1:6">
      <c r="A119" s="160">
        <v>45413</v>
      </c>
      <c r="B119" s="8" t="s">
        <v>77</v>
      </c>
      <c r="C119" s="2"/>
      <c r="D119" s="2"/>
      <c r="E119" s="2">
        <v>64000</v>
      </c>
    </row>
    <row r="120" spans="1:6">
      <c r="A120" s="160">
        <f t="shared" ref="A120:A127" si="1">A119</f>
        <v>45413</v>
      </c>
      <c r="B120" s="8" t="s">
        <v>378</v>
      </c>
      <c r="C120" s="2"/>
      <c r="D120" s="2"/>
      <c r="E120" s="2">
        <v>150845</v>
      </c>
    </row>
    <row r="121" spans="1:6">
      <c r="A121" s="160">
        <f t="shared" si="1"/>
        <v>45413</v>
      </c>
      <c r="B121" s="8" t="s">
        <v>300</v>
      </c>
      <c r="C121" s="2"/>
      <c r="D121" s="2"/>
      <c r="E121" s="17">
        <v>4148.6099999999997</v>
      </c>
    </row>
    <row r="122" spans="1:6">
      <c r="A122" s="160">
        <f t="shared" si="1"/>
        <v>45413</v>
      </c>
      <c r="B122" s="8" t="s">
        <v>301</v>
      </c>
      <c r="C122" s="2"/>
      <c r="D122" s="2"/>
      <c r="E122" s="17">
        <v>0</v>
      </c>
    </row>
    <row r="123" spans="1:6">
      <c r="A123" s="160">
        <f t="shared" si="1"/>
        <v>45413</v>
      </c>
      <c r="B123" s="8" t="s">
        <v>497</v>
      </c>
      <c r="C123" s="2"/>
      <c r="D123" s="2"/>
      <c r="E123" s="17">
        <v>0</v>
      </c>
    </row>
    <row r="124" spans="1:6">
      <c r="A124" s="160">
        <f t="shared" si="1"/>
        <v>45413</v>
      </c>
      <c r="B124" s="8" t="s">
        <v>302</v>
      </c>
      <c r="C124" s="124"/>
      <c r="D124" s="2"/>
      <c r="E124" s="17">
        <v>0</v>
      </c>
    </row>
    <row r="125" spans="1:6">
      <c r="A125" s="160">
        <f t="shared" si="1"/>
        <v>45413</v>
      </c>
      <c r="B125" s="8" t="s">
        <v>236</v>
      </c>
      <c r="C125" s="2"/>
      <c r="D125" s="2"/>
      <c r="E125" s="17">
        <v>0</v>
      </c>
    </row>
    <row r="126" spans="1:6">
      <c r="A126" s="160">
        <f t="shared" si="1"/>
        <v>45413</v>
      </c>
      <c r="B126" s="8" t="s">
        <v>498</v>
      </c>
      <c r="C126" s="175">
        <v>125000</v>
      </c>
      <c r="D126" s="2">
        <v>0.88097599999999998</v>
      </c>
      <c r="E126" s="17">
        <f>D126*C126</f>
        <v>110122</v>
      </c>
    </row>
    <row r="127" spans="1:6">
      <c r="A127" s="160">
        <f t="shared" si="1"/>
        <v>45413</v>
      </c>
      <c r="B127" s="8" t="s">
        <v>499</v>
      </c>
      <c r="C127" s="2">
        <v>10</v>
      </c>
      <c r="D127" s="2">
        <v>122</v>
      </c>
      <c r="E127" s="17">
        <f>D127*C127</f>
        <v>1220</v>
      </c>
    </row>
    <row r="128" spans="1:6">
      <c r="A128" s="160">
        <f>A126</f>
        <v>45413</v>
      </c>
      <c r="B128" s="8" t="s">
        <v>140</v>
      </c>
      <c r="C128" s="2"/>
      <c r="D128" s="2"/>
      <c r="E128" s="17">
        <v>450</v>
      </c>
    </row>
    <row r="129" spans="1:5">
      <c r="A129" s="160">
        <f>A128</f>
        <v>45413</v>
      </c>
      <c r="B129" s="8" t="s">
        <v>380</v>
      </c>
      <c r="C129" s="2">
        <v>2500</v>
      </c>
      <c r="D129" s="2">
        <v>24.5</v>
      </c>
      <c r="E129" s="17">
        <f>D129*C129</f>
        <v>61250</v>
      </c>
    </row>
    <row r="130" spans="1:5">
      <c r="A130" s="160">
        <f>A128</f>
        <v>45413</v>
      </c>
      <c r="B130" s="8" t="s">
        <v>502</v>
      </c>
      <c r="C130" s="2">
        <v>2308.9699999999998</v>
      </c>
      <c r="D130" s="2">
        <v>156</v>
      </c>
      <c r="E130" s="17">
        <f>D130*C130</f>
        <v>360199.31999999995</v>
      </c>
    </row>
    <row r="131" spans="1:5">
      <c r="A131" s="160">
        <f>A130</f>
        <v>45413</v>
      </c>
      <c r="B131" s="8" t="s">
        <v>595</v>
      </c>
      <c r="C131" s="162">
        <v>31.879300000000001</v>
      </c>
      <c r="D131" s="2">
        <v>850</v>
      </c>
      <c r="E131" s="17">
        <f>D131*C131</f>
        <v>27097.404999999999</v>
      </c>
    </row>
    <row r="132" spans="1:5">
      <c r="A132" s="160">
        <f>A131</f>
        <v>45413</v>
      </c>
      <c r="B132" s="8" t="s">
        <v>504</v>
      </c>
      <c r="C132" s="162">
        <f>C131</f>
        <v>31.879300000000001</v>
      </c>
      <c r="D132" s="2">
        <v>250</v>
      </c>
      <c r="E132" s="17">
        <f>D132*C132</f>
        <v>7969.8249999999998</v>
      </c>
    </row>
    <row r="133" spans="1:5">
      <c r="A133" s="160">
        <f>A132</f>
        <v>45413</v>
      </c>
      <c r="B133" s="8" t="s">
        <v>596</v>
      </c>
      <c r="C133" s="162">
        <v>34.394500000000001</v>
      </c>
      <c r="D133" s="2">
        <v>0</v>
      </c>
      <c r="E133" s="17">
        <f>D133*C133</f>
        <v>0</v>
      </c>
    </row>
    <row r="134" spans="1:5">
      <c r="A134" s="160">
        <f>A133</f>
        <v>45413</v>
      </c>
      <c r="B134" s="8" t="s">
        <v>152</v>
      </c>
      <c r="C134" s="2"/>
      <c r="D134" s="2"/>
      <c r="E134" s="17">
        <v>3000</v>
      </c>
    </row>
    <row r="135" spans="1:5">
      <c r="A135" s="160">
        <f>A134</f>
        <v>45413</v>
      </c>
      <c r="B135" s="8" t="s">
        <v>153</v>
      </c>
      <c r="C135" s="2"/>
      <c r="D135" s="2"/>
      <c r="E135" s="17">
        <v>4000</v>
      </c>
    </row>
    <row r="136" spans="1:5">
      <c r="E136" s="176"/>
    </row>
    <row r="137" spans="1:5">
      <c r="C137" s="124"/>
      <c r="D137" s="3"/>
      <c r="E137" s="124"/>
    </row>
    <row r="138" spans="1:5">
      <c r="C138" s="124"/>
      <c r="D138" s="18" t="s">
        <v>155</v>
      </c>
      <c r="E138" s="9">
        <f>SUM(E119:E135)</f>
        <v>794302.15999999992</v>
      </c>
    </row>
    <row r="139" spans="1:5">
      <c r="C139" s="125" t="str">
        <f>A118</f>
        <v>HAZİRANa</v>
      </c>
      <c r="D139" s="126" t="s">
        <v>156</v>
      </c>
      <c r="E139" s="127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597</v>
      </c>
      <c r="C2" s="79" t="s">
        <v>67</v>
      </c>
      <c r="D2" s="77">
        <f>SUM(D5:D26)</f>
        <v>25000</v>
      </c>
      <c r="E2" s="77">
        <f>SUM(E5:E26)</f>
        <v>-64525.01</v>
      </c>
      <c r="F2" s="77">
        <f>SUM(F5:F26)</f>
        <v>25427.620000000003</v>
      </c>
      <c r="G2" s="77">
        <f>SUM(G5:G26)</f>
        <v>-64483.92</v>
      </c>
      <c r="H2" s="77">
        <f>F2+G2</f>
        <v>-39056.299999999996</v>
      </c>
    </row>
    <row r="3" spans="1:8">
      <c r="B3" s="18"/>
    </row>
    <row r="4" spans="1:8">
      <c r="B4" s="101" t="s">
        <v>598</v>
      </c>
      <c r="C4" s="101" t="s">
        <v>352</v>
      </c>
      <c r="D4" s="78"/>
      <c r="E4" s="78">
        <v>-250</v>
      </c>
      <c r="F4" s="78"/>
      <c r="G4" s="78"/>
      <c r="H4" s="78">
        <f t="shared" ref="H4:H26" si="0">H3+F4+G4</f>
        <v>0</v>
      </c>
    </row>
    <row r="5" spans="1:8">
      <c r="A5" s="88">
        <v>45404</v>
      </c>
      <c r="B5" s="41" t="s">
        <v>424</v>
      </c>
      <c r="C5" s="8" t="s">
        <v>599</v>
      </c>
      <c r="D5" s="78"/>
      <c r="E5" s="78">
        <v>-152</v>
      </c>
      <c r="F5" s="78"/>
      <c r="G5" s="78">
        <v>-166.9</v>
      </c>
      <c r="H5" s="78">
        <f t="shared" si="0"/>
        <v>-166.9</v>
      </c>
    </row>
    <row r="6" spans="1:8">
      <c r="A6" s="97">
        <v>45414</v>
      </c>
      <c r="B6" s="101" t="s">
        <v>80</v>
      </c>
      <c r="C6" s="101"/>
      <c r="D6" s="78"/>
      <c r="E6" s="78">
        <v>-400</v>
      </c>
      <c r="F6" s="78"/>
      <c r="G6" s="78">
        <v>-330</v>
      </c>
      <c r="H6" s="78">
        <f t="shared" si="0"/>
        <v>-496.9</v>
      </c>
    </row>
    <row r="7" spans="1:8">
      <c r="A7" s="97">
        <v>45414</v>
      </c>
      <c r="B7" s="101" t="s">
        <v>81</v>
      </c>
      <c r="C7" s="101"/>
      <c r="D7" s="78"/>
      <c r="E7" s="78">
        <v>-500</v>
      </c>
      <c r="F7" s="78"/>
      <c r="G7" s="78">
        <v>-510</v>
      </c>
      <c r="H7" s="78">
        <f t="shared" si="0"/>
        <v>-1006.9</v>
      </c>
    </row>
    <row r="8" spans="1:8">
      <c r="A8" s="88">
        <v>45414</v>
      </c>
      <c r="B8" s="8" t="s">
        <v>600</v>
      </c>
      <c r="D8" s="78" t="s">
        <v>601</v>
      </c>
      <c r="E8" s="78">
        <v>-103.5</v>
      </c>
      <c r="F8" s="78"/>
      <c r="G8" s="78"/>
      <c r="H8" s="78">
        <f t="shared" si="0"/>
        <v>-1006.9</v>
      </c>
    </row>
    <row r="9" spans="1:8">
      <c r="A9" s="97">
        <v>45418</v>
      </c>
      <c r="B9" s="101" t="s">
        <v>75</v>
      </c>
      <c r="C9" s="101" t="s">
        <v>323</v>
      </c>
      <c r="D9" s="78"/>
      <c r="E9" s="78">
        <v>-150</v>
      </c>
      <c r="F9" s="78"/>
      <c r="G9" s="78">
        <v>-25.38</v>
      </c>
      <c r="H9" s="78">
        <f t="shared" si="0"/>
        <v>-1032.28</v>
      </c>
    </row>
    <row r="10" spans="1:8">
      <c r="A10" s="97">
        <v>45418</v>
      </c>
      <c r="B10" s="177" t="s">
        <v>68</v>
      </c>
      <c r="D10" s="78"/>
      <c r="E10" s="78">
        <f>E41</f>
        <v>-4278.51</v>
      </c>
      <c r="F10" s="78"/>
      <c r="G10" s="78">
        <v>-4276.51</v>
      </c>
      <c r="H10" s="78">
        <f t="shared" si="0"/>
        <v>-5308.79</v>
      </c>
    </row>
    <row r="11" spans="1:8">
      <c r="A11" s="165">
        <v>45418</v>
      </c>
      <c r="B11" s="177" t="s">
        <v>69</v>
      </c>
      <c r="D11" s="78"/>
      <c r="E11" s="78">
        <f>E57</f>
        <v>-23541</v>
      </c>
      <c r="F11" s="78"/>
      <c r="G11" s="78">
        <v>-23541</v>
      </c>
      <c r="H11" s="78">
        <f t="shared" si="0"/>
        <v>-28849.79</v>
      </c>
    </row>
    <row r="12" spans="1:8">
      <c r="A12" s="97">
        <v>45418</v>
      </c>
      <c r="B12" s="101" t="s">
        <v>602</v>
      </c>
      <c r="C12" s="101"/>
      <c r="D12" s="78"/>
      <c r="E12" s="78">
        <v>-1500</v>
      </c>
      <c r="F12" s="78"/>
      <c r="G12" s="78">
        <v>-1512.13</v>
      </c>
      <c r="H12" s="78">
        <f t="shared" si="0"/>
        <v>-30361.920000000002</v>
      </c>
    </row>
    <row r="13" spans="1:8">
      <c r="A13" s="97">
        <v>45418</v>
      </c>
      <c r="B13" s="8" t="s">
        <v>394</v>
      </c>
      <c r="D13" s="78"/>
      <c r="E13" s="78">
        <v>-10000</v>
      </c>
      <c r="F13" s="78"/>
      <c r="G13" s="78">
        <v>-10000</v>
      </c>
      <c r="H13" s="78">
        <f t="shared" si="0"/>
        <v>-40361.919999999998</v>
      </c>
    </row>
    <row r="14" spans="1:8">
      <c r="A14" s="100">
        <v>45419</v>
      </c>
      <c r="B14" s="101" t="s">
        <v>603</v>
      </c>
      <c r="C14" s="101"/>
      <c r="D14" s="78"/>
      <c r="E14" s="78">
        <v>-5375</v>
      </c>
      <c r="F14" s="78"/>
      <c r="G14" s="78">
        <v>-5375</v>
      </c>
      <c r="H14" s="78">
        <f t="shared" si="0"/>
        <v>-45736.92</v>
      </c>
    </row>
    <row r="15" spans="1:8">
      <c r="A15" s="100">
        <v>45419</v>
      </c>
      <c r="B15" s="101" t="s">
        <v>603</v>
      </c>
      <c r="C15" s="101"/>
      <c r="D15" s="78"/>
      <c r="E15" s="78">
        <v>-2125</v>
      </c>
      <c r="F15" s="78"/>
      <c r="G15" s="78">
        <v>-2125</v>
      </c>
      <c r="H15" s="78">
        <f t="shared" si="0"/>
        <v>-47861.919999999998</v>
      </c>
    </row>
    <row r="16" spans="1:8">
      <c r="A16" s="100">
        <v>45432</v>
      </c>
      <c r="B16" s="106" t="s">
        <v>73</v>
      </c>
      <c r="C16" s="106" t="s">
        <v>323</v>
      </c>
      <c r="D16" s="78"/>
      <c r="E16" s="78">
        <v>-300</v>
      </c>
      <c r="F16" s="78"/>
      <c r="G16" s="78">
        <v>-403</v>
      </c>
      <c r="H16" s="78">
        <f t="shared" si="0"/>
        <v>-48264.92</v>
      </c>
    </row>
    <row r="17" spans="1:8">
      <c r="A17" s="100">
        <v>45432</v>
      </c>
      <c r="B17" s="106" t="s">
        <v>74</v>
      </c>
      <c r="C17" s="106" t="s">
        <v>323</v>
      </c>
      <c r="D17" s="78"/>
      <c r="E17" s="78">
        <v>-100</v>
      </c>
      <c r="F17" s="78"/>
      <c r="G17" s="78">
        <v>-34</v>
      </c>
      <c r="H17" s="78">
        <f t="shared" si="0"/>
        <v>-48298.92</v>
      </c>
    </row>
    <row r="18" spans="1:8">
      <c r="A18" s="100"/>
      <c r="B18" s="177" t="s">
        <v>72</v>
      </c>
      <c r="D18" s="78"/>
      <c r="E18" s="78">
        <f>E36*-1</f>
        <v>-100</v>
      </c>
      <c r="F18" s="78"/>
      <c r="G18" s="78">
        <f>E18</f>
        <v>-100</v>
      </c>
      <c r="H18" s="78">
        <f t="shared" si="0"/>
        <v>-48398.92</v>
      </c>
    </row>
    <row r="19" spans="1:8">
      <c r="A19" s="88">
        <v>45439</v>
      </c>
      <c r="B19" s="8" t="s">
        <v>77</v>
      </c>
      <c r="D19" s="78"/>
      <c r="E19" s="78">
        <v>-5000</v>
      </c>
      <c r="F19" s="78"/>
      <c r="G19" s="78">
        <v>-5205</v>
      </c>
      <c r="H19" s="78">
        <f t="shared" si="0"/>
        <v>-53603.92</v>
      </c>
    </row>
    <row r="20" spans="1:8">
      <c r="A20" s="88">
        <v>45439</v>
      </c>
      <c r="B20" s="8" t="s">
        <v>78</v>
      </c>
      <c r="D20" s="78"/>
      <c r="E20" s="78">
        <v>-5000</v>
      </c>
      <c r="F20" s="78"/>
      <c r="G20" s="78">
        <v>-5205</v>
      </c>
      <c r="H20" s="78">
        <f t="shared" si="0"/>
        <v>-58808.92</v>
      </c>
    </row>
    <row r="21" spans="1:8">
      <c r="A21" s="88">
        <v>45439</v>
      </c>
      <c r="B21" s="8" t="s">
        <v>79</v>
      </c>
      <c r="D21" s="78"/>
      <c r="E21" s="78">
        <v>-5000</v>
      </c>
      <c r="F21" s="78"/>
      <c r="G21" s="78">
        <v>-5000</v>
      </c>
      <c r="H21" s="78">
        <f t="shared" si="0"/>
        <v>-63808.92</v>
      </c>
    </row>
    <row r="22" spans="1:8">
      <c r="B22" t="s">
        <v>76</v>
      </c>
      <c r="D22" s="78">
        <v>10000</v>
      </c>
      <c r="E22" s="78"/>
      <c r="F22" s="78">
        <v>10427.620000000001</v>
      </c>
      <c r="G22" s="78"/>
      <c r="H22" s="78">
        <f t="shared" si="0"/>
        <v>-53381.299999999996</v>
      </c>
    </row>
    <row r="23" spans="1:8">
      <c r="A23" s="100">
        <v>45447</v>
      </c>
      <c r="B23" s="8" t="s">
        <v>604</v>
      </c>
      <c r="D23" s="78">
        <v>15000</v>
      </c>
      <c r="E23" s="78"/>
      <c r="F23" s="78">
        <v>15000</v>
      </c>
      <c r="H23" s="78">
        <f t="shared" si="0"/>
        <v>-38381.299999999996</v>
      </c>
    </row>
    <row r="24" spans="1:8">
      <c r="H24" s="78">
        <f t="shared" si="0"/>
        <v>-38381.299999999996</v>
      </c>
    </row>
    <row r="25" spans="1:8">
      <c r="A25" s="97">
        <v>45442</v>
      </c>
      <c r="B25" s="101" t="s">
        <v>80</v>
      </c>
      <c r="C25" s="101"/>
      <c r="D25" s="78"/>
      <c r="E25" s="78">
        <v>-400</v>
      </c>
      <c r="G25" s="77">
        <v>-240</v>
      </c>
      <c r="H25" s="78">
        <f t="shared" si="0"/>
        <v>-38621.299999999996</v>
      </c>
    </row>
    <row r="26" spans="1:8">
      <c r="A26" s="97">
        <v>45442</v>
      </c>
      <c r="B26" s="101" t="s">
        <v>81</v>
      </c>
      <c r="C26" s="101"/>
      <c r="D26" s="78"/>
      <c r="E26" s="78">
        <v>-500</v>
      </c>
      <c r="G26" s="77">
        <v>-435</v>
      </c>
      <c r="H26" s="78">
        <f t="shared" si="0"/>
        <v>-39056.299999999996</v>
      </c>
    </row>
    <row r="28" spans="1:8">
      <c r="B28" t="s">
        <v>325</v>
      </c>
    </row>
    <row r="29" spans="1:8">
      <c r="A29" s="100"/>
      <c r="C29" s="171"/>
    </row>
    <row r="30" spans="1:8">
      <c r="A30" s="172">
        <v>44929</v>
      </c>
      <c r="B30" s="173" t="s">
        <v>327</v>
      </c>
      <c r="C30" s="103"/>
      <c r="D30" s="77">
        <f>SUM(D31:D36)</f>
        <v>3775.1600000000003</v>
      </c>
      <c r="E30" s="77">
        <f>SUM(E31:E36)</f>
        <v>3775.28</v>
      </c>
    </row>
    <row r="31" spans="1:8">
      <c r="A31" s="100"/>
      <c r="B31" s="106" t="s">
        <v>328</v>
      </c>
      <c r="D31" s="78">
        <v>786.88</v>
      </c>
      <c r="E31" s="78">
        <v>787</v>
      </c>
    </row>
    <row r="32" spans="1:8">
      <c r="B32" t="s">
        <v>329</v>
      </c>
      <c r="D32" s="78">
        <v>1205</v>
      </c>
      <c r="E32" s="78">
        <v>1205</v>
      </c>
    </row>
    <row r="33" spans="1:5">
      <c r="B33" t="s">
        <v>330</v>
      </c>
      <c r="D33" s="78">
        <v>55.4</v>
      </c>
      <c r="E33" s="78">
        <v>55.4</v>
      </c>
    </row>
    <row r="34" spans="1:5">
      <c r="B34" t="s">
        <v>331</v>
      </c>
      <c r="D34" s="78">
        <v>1257.4000000000001</v>
      </c>
      <c r="E34" s="78">
        <v>1257.4000000000001</v>
      </c>
    </row>
    <row r="35" spans="1:5">
      <c r="B35" t="s">
        <v>332</v>
      </c>
      <c r="D35" s="78">
        <v>370.48</v>
      </c>
      <c r="E35" s="78">
        <v>370.48</v>
      </c>
    </row>
    <row r="36" spans="1:5">
      <c r="B36" t="s">
        <v>333</v>
      </c>
      <c r="C36" s="106"/>
      <c r="D36" s="78">
        <v>100</v>
      </c>
      <c r="E36" s="78">
        <v>100</v>
      </c>
    </row>
    <row r="37" spans="1:5">
      <c r="C37" s="106"/>
    </row>
    <row r="39" spans="1:5">
      <c r="B39" s="17"/>
    </row>
    <row r="40" spans="1:5">
      <c r="B40" s="102"/>
    </row>
    <row r="41" spans="1:5">
      <c r="A41" s="103"/>
      <c r="B41" s="104" t="s">
        <v>83</v>
      </c>
      <c r="C41" s="103"/>
      <c r="E41" s="77">
        <f>SUM(E42:E53)</f>
        <v>-4278.51</v>
      </c>
    </row>
    <row r="43" spans="1:5">
      <c r="A43" s="100">
        <v>45187</v>
      </c>
      <c r="B43" s="106" t="s">
        <v>560</v>
      </c>
      <c r="C43" s="106">
        <v>7648.33</v>
      </c>
      <c r="D43" s="77" t="s">
        <v>363</v>
      </c>
      <c r="E43" s="77">
        <v>-849.81</v>
      </c>
    </row>
    <row r="44" spans="1:5">
      <c r="A44" s="88">
        <v>45348</v>
      </c>
      <c r="B44" s="8" t="s">
        <v>438</v>
      </c>
      <c r="C44">
        <v>1406</v>
      </c>
      <c r="D44" s="77" t="s">
        <v>605</v>
      </c>
      <c r="E44" s="77">
        <v>-234.33</v>
      </c>
    </row>
    <row r="45" spans="1:5">
      <c r="A45" s="88">
        <v>45373</v>
      </c>
      <c r="B45" s="8" t="s">
        <v>334</v>
      </c>
      <c r="C45">
        <v>10176.39</v>
      </c>
      <c r="D45" s="77" t="s">
        <v>606</v>
      </c>
      <c r="E45" s="77">
        <v>-1130.71</v>
      </c>
    </row>
    <row r="46" spans="1:5">
      <c r="A46" s="88">
        <v>45375</v>
      </c>
      <c r="B46" s="8" t="s">
        <v>336</v>
      </c>
      <c r="C46">
        <v>5999</v>
      </c>
      <c r="D46" s="77" t="s">
        <v>607</v>
      </c>
      <c r="E46" s="77">
        <v>-666.56</v>
      </c>
    </row>
    <row r="47" spans="1:5">
      <c r="A47" s="88">
        <v>45358</v>
      </c>
      <c r="B47" s="8" t="s">
        <v>441</v>
      </c>
      <c r="C47">
        <v>2273</v>
      </c>
      <c r="D47" s="77" t="s">
        <v>605</v>
      </c>
      <c r="E47" s="77">
        <v>-378.87</v>
      </c>
    </row>
    <row r="48" spans="1:5">
      <c r="A48" s="88">
        <v>45371</v>
      </c>
      <c r="B48" s="8" t="s">
        <v>442</v>
      </c>
      <c r="D48" s="77" t="s">
        <v>608</v>
      </c>
      <c r="E48" s="77">
        <v>101.77</v>
      </c>
    </row>
    <row r="49" spans="1:5">
      <c r="A49" s="88">
        <v>45377</v>
      </c>
      <c r="B49" s="8" t="s">
        <v>609</v>
      </c>
      <c r="D49" s="77" t="s">
        <v>610</v>
      </c>
    </row>
    <row r="50" spans="1:5">
      <c r="A50" s="100"/>
      <c r="B50" s="107" t="s">
        <v>611</v>
      </c>
      <c r="C50" s="106"/>
      <c r="E50" s="77">
        <v>-90</v>
      </c>
    </row>
    <row r="51" spans="1:5">
      <c r="A51" s="100"/>
      <c r="B51" s="107"/>
      <c r="C51" s="106"/>
      <c r="D51" s="77">
        <v>6693.55</v>
      </c>
    </row>
    <row r="52" spans="1:5">
      <c r="A52" s="100"/>
      <c r="B52" s="107" t="s">
        <v>612</v>
      </c>
      <c r="E52" s="77">
        <v>-790</v>
      </c>
    </row>
    <row r="53" spans="1:5">
      <c r="A53" s="100"/>
      <c r="B53" s="107" t="s">
        <v>613</v>
      </c>
      <c r="C53" s="106"/>
      <c r="E53" s="77">
        <v>-240</v>
      </c>
    </row>
    <row r="54" spans="1:5" ht="15">
      <c r="A54" s="100"/>
      <c r="B54" s="107"/>
      <c r="C54" s="106"/>
      <c r="D54" s="105" t="s">
        <v>84</v>
      </c>
    </row>
    <row r="55" spans="1:5">
      <c r="A55" s="100"/>
      <c r="B55" s="3"/>
    </row>
    <row r="56" spans="1:5">
      <c r="A56" s="100"/>
      <c r="B56" s="106"/>
      <c r="C56" s="106"/>
    </row>
    <row r="57" spans="1:5">
      <c r="A57" s="103"/>
      <c r="B57" s="104" t="s">
        <v>85</v>
      </c>
      <c r="C57" s="103"/>
      <c r="E57" s="77">
        <f>SUM(E58:E100)</f>
        <v>-23541</v>
      </c>
    </row>
    <row r="58" spans="1:5">
      <c r="A58" s="100"/>
      <c r="B58" s="106"/>
      <c r="C58" s="106"/>
    </row>
    <row r="59" spans="1:5">
      <c r="A59" s="165">
        <v>45285</v>
      </c>
      <c r="B59" s="106" t="s">
        <v>520</v>
      </c>
      <c r="C59" s="106"/>
      <c r="D59" s="77" t="s">
        <v>614</v>
      </c>
      <c r="E59" s="77">
        <v>-3551.66</v>
      </c>
    </row>
    <row r="60" spans="1:5">
      <c r="A60" s="100"/>
      <c r="B60" s="3" t="s">
        <v>476</v>
      </c>
      <c r="C60" s="106"/>
      <c r="D60" s="77" t="s">
        <v>615</v>
      </c>
      <c r="E60" s="77">
        <v>-649.78</v>
      </c>
    </row>
    <row r="61" spans="1:5">
      <c r="A61" s="100"/>
      <c r="B61" s="3" t="s">
        <v>478</v>
      </c>
      <c r="C61" s="106">
        <v>49.98</v>
      </c>
      <c r="D61" s="77" t="s">
        <v>615</v>
      </c>
    </row>
    <row r="62" spans="1:5">
      <c r="A62" s="100"/>
      <c r="B62" s="3"/>
      <c r="C62" s="106"/>
    </row>
    <row r="63" spans="1:5">
      <c r="A63" s="100"/>
      <c r="B63" s="3"/>
      <c r="C63" s="106"/>
    </row>
    <row r="64" spans="1:5">
      <c r="A64" s="100">
        <v>45405</v>
      </c>
      <c r="B64" s="3" t="s">
        <v>616</v>
      </c>
      <c r="C64" s="106"/>
      <c r="E64" s="77">
        <v>-500</v>
      </c>
    </row>
    <row r="65" spans="1:5">
      <c r="A65" s="100">
        <v>45398</v>
      </c>
      <c r="B65" s="3" t="s">
        <v>617</v>
      </c>
      <c r="C65" s="106"/>
      <c r="E65" s="77">
        <v>-400</v>
      </c>
    </row>
    <row r="66" spans="1:5">
      <c r="A66" s="100">
        <v>45398</v>
      </c>
      <c r="B66" s="3" t="s">
        <v>127</v>
      </c>
      <c r="C66" s="106"/>
      <c r="E66" s="77">
        <v>-48.5</v>
      </c>
    </row>
    <row r="67" spans="1:5">
      <c r="A67" s="100">
        <v>45398</v>
      </c>
      <c r="B67" s="3" t="s">
        <v>617</v>
      </c>
      <c r="C67" s="106"/>
      <c r="E67" s="77">
        <v>-871.29</v>
      </c>
    </row>
    <row r="68" spans="1:5">
      <c r="A68" s="100">
        <v>45398</v>
      </c>
      <c r="B68" s="3" t="s">
        <v>617</v>
      </c>
      <c r="C68" s="106"/>
      <c r="E68" s="77">
        <v>-810.42</v>
      </c>
    </row>
    <row r="69" spans="1:5">
      <c r="A69" s="100">
        <v>45397</v>
      </c>
      <c r="B69" s="3" t="s">
        <v>575</v>
      </c>
      <c r="C69" s="106">
        <v>240</v>
      </c>
      <c r="E69" s="77">
        <v>-240</v>
      </c>
    </row>
    <row r="70" spans="1:5">
      <c r="A70" s="100">
        <v>45388</v>
      </c>
      <c r="B70" s="3" t="s">
        <v>618</v>
      </c>
      <c r="C70" s="106"/>
      <c r="E70" s="77">
        <v>-400</v>
      </c>
    </row>
    <row r="71" spans="1:5">
      <c r="A71" s="100"/>
      <c r="B71" s="3"/>
      <c r="C71" s="106"/>
      <c r="D71" s="77">
        <v>6501.46</v>
      </c>
    </row>
    <row r="72" spans="1:5">
      <c r="A72" s="100">
        <v>45383</v>
      </c>
      <c r="B72" s="3" t="s">
        <v>575</v>
      </c>
      <c r="C72" s="106">
        <v>250</v>
      </c>
      <c r="E72" s="77">
        <v>-250</v>
      </c>
    </row>
    <row r="73" spans="1:5">
      <c r="A73" s="100">
        <v>45377</v>
      </c>
      <c r="B73" s="3">
        <v>2240</v>
      </c>
      <c r="C73" s="106"/>
      <c r="E73" s="77">
        <v>-167</v>
      </c>
    </row>
    <row r="74" spans="1:5">
      <c r="A74" s="100">
        <v>45377</v>
      </c>
      <c r="B74" s="3">
        <v>2240</v>
      </c>
      <c r="C74" s="106"/>
      <c r="E74" s="77">
        <v>-2.17</v>
      </c>
    </row>
    <row r="75" spans="1:5">
      <c r="A75" s="100">
        <v>45377</v>
      </c>
      <c r="B75" s="3">
        <v>2240</v>
      </c>
      <c r="C75" s="106"/>
      <c r="E75" s="77">
        <v>-0.11</v>
      </c>
    </row>
    <row r="76" spans="1:5">
      <c r="A76" s="100">
        <v>45406</v>
      </c>
      <c r="B76" s="3" t="s">
        <v>127</v>
      </c>
      <c r="C76" s="106"/>
      <c r="E76" s="77">
        <v>-34.6</v>
      </c>
    </row>
    <row r="77" spans="1:5">
      <c r="A77" s="100">
        <v>24.4</v>
      </c>
      <c r="B77" s="3" t="s">
        <v>127</v>
      </c>
      <c r="C77" s="106"/>
      <c r="E77" s="77">
        <v>-370.4</v>
      </c>
    </row>
    <row r="78" spans="1:5">
      <c r="A78" s="100">
        <v>45405</v>
      </c>
      <c r="B78" s="3" t="s">
        <v>619</v>
      </c>
      <c r="C78" s="106"/>
      <c r="E78" s="77">
        <v>-1306.8800000000001</v>
      </c>
    </row>
    <row r="79" spans="1:5">
      <c r="A79" s="100">
        <v>45387</v>
      </c>
      <c r="B79" s="3" t="s">
        <v>620</v>
      </c>
      <c r="C79" s="106"/>
      <c r="E79" s="77">
        <v>-13938.19</v>
      </c>
    </row>
    <row r="80" spans="1:5">
      <c r="A80" s="100"/>
      <c r="B80" s="3"/>
      <c r="C80" s="106"/>
    </row>
    <row r="81" spans="1:3">
      <c r="A81" s="100"/>
      <c r="B81" s="18" t="s">
        <v>621</v>
      </c>
      <c r="C81" s="106">
        <f>SUM(C69:C80)</f>
        <v>490</v>
      </c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93" spans="1:3">
      <c r="A93" s="100"/>
      <c r="B93" s="3"/>
      <c r="C93" s="106"/>
    </row>
    <row r="94" spans="1:3">
      <c r="A94" s="100"/>
      <c r="B94" s="3"/>
      <c r="C94" s="106"/>
    </row>
    <row r="95" spans="1:3">
      <c r="A95" s="100"/>
      <c r="B95" s="3"/>
      <c r="C95" s="106"/>
    </row>
    <row r="96" spans="1:3">
      <c r="A96" s="100"/>
      <c r="B96" s="3"/>
      <c r="C96" s="106"/>
    </row>
    <row r="97" spans="1:5">
      <c r="A97" s="100"/>
      <c r="B97" s="3"/>
      <c r="C97" s="106"/>
    </row>
    <row r="98" spans="1:5">
      <c r="A98" s="100"/>
      <c r="B98" s="3"/>
      <c r="C98" s="106"/>
    </row>
    <row r="99" spans="1:5">
      <c r="A99" s="100"/>
      <c r="B99" s="3"/>
      <c r="C99" s="106"/>
    </row>
    <row r="100" spans="1:5" ht="15">
      <c r="A100" s="100"/>
      <c r="B100" s="3"/>
      <c r="C100" s="106"/>
      <c r="D100" s="105" t="s">
        <v>84</v>
      </c>
    </row>
    <row r="101" spans="1:5">
      <c r="A101" s="113" t="s">
        <v>622</v>
      </c>
      <c r="B101" s="104" t="s">
        <v>136</v>
      </c>
      <c r="C101" s="103">
        <v>2024</v>
      </c>
      <c r="D101" s="158"/>
      <c r="E101" s="159">
        <f>SUM(E102:E118)</f>
        <v>1018967.8866</v>
      </c>
    </row>
    <row r="102" spans="1:5">
      <c r="A102" s="160">
        <v>45413</v>
      </c>
      <c r="B102" s="8" t="s">
        <v>77</v>
      </c>
      <c r="C102" s="2"/>
      <c r="D102" s="2"/>
      <c r="E102" s="2">
        <v>64000</v>
      </c>
    </row>
    <row r="103" spans="1:5">
      <c r="A103" s="160">
        <f t="shared" ref="A103:A110" si="1">A102</f>
        <v>45413</v>
      </c>
      <c r="B103" s="8" t="s">
        <v>378</v>
      </c>
      <c r="C103" s="2"/>
      <c r="D103" s="2"/>
      <c r="E103" s="2">
        <v>150845</v>
      </c>
    </row>
    <row r="104" spans="1:5">
      <c r="A104" s="160">
        <f t="shared" si="1"/>
        <v>45413</v>
      </c>
      <c r="B104" s="8" t="s">
        <v>300</v>
      </c>
      <c r="C104" s="2"/>
      <c r="D104" s="2"/>
      <c r="E104" s="17">
        <v>6036.94</v>
      </c>
    </row>
    <row r="105" spans="1:5">
      <c r="A105" s="160">
        <f t="shared" si="1"/>
        <v>45413</v>
      </c>
      <c r="B105" s="8" t="s">
        <v>301</v>
      </c>
      <c r="C105" s="2"/>
      <c r="D105" s="2"/>
      <c r="E105" s="17">
        <v>102000</v>
      </c>
    </row>
    <row r="106" spans="1:5">
      <c r="A106" s="160">
        <f t="shared" si="1"/>
        <v>45413</v>
      </c>
      <c r="B106" s="8" t="s">
        <v>497</v>
      </c>
      <c r="C106" s="2"/>
      <c r="D106" s="2"/>
      <c r="E106" s="17">
        <v>0</v>
      </c>
    </row>
    <row r="107" spans="1:5">
      <c r="A107" s="160">
        <f t="shared" si="1"/>
        <v>45413</v>
      </c>
      <c r="B107" s="8" t="s">
        <v>302</v>
      </c>
      <c r="C107" s="124"/>
      <c r="D107" s="2"/>
      <c r="E107" s="17">
        <v>0</v>
      </c>
    </row>
    <row r="108" spans="1:5">
      <c r="A108" s="160">
        <f t="shared" si="1"/>
        <v>45413</v>
      </c>
      <c r="B108" s="8" t="s">
        <v>236</v>
      </c>
      <c r="C108" s="2"/>
      <c r="D108" s="2"/>
      <c r="E108" s="17">
        <v>0</v>
      </c>
    </row>
    <row r="109" spans="1:5">
      <c r="A109" s="160">
        <f t="shared" si="1"/>
        <v>45413</v>
      </c>
      <c r="B109" s="8" t="s">
        <v>498</v>
      </c>
      <c r="C109" s="175">
        <v>125000</v>
      </c>
      <c r="D109" s="2">
        <v>0.88097599999999998</v>
      </c>
      <c r="E109" s="17">
        <f>D109*C109</f>
        <v>110122</v>
      </c>
    </row>
    <row r="110" spans="1:5">
      <c r="A110" s="160">
        <f t="shared" si="1"/>
        <v>45413</v>
      </c>
      <c r="B110" s="8" t="s">
        <v>499</v>
      </c>
      <c r="C110" s="2">
        <v>10</v>
      </c>
      <c r="D110" s="2">
        <v>145</v>
      </c>
      <c r="E110" s="17">
        <f>D110*C110</f>
        <v>1450</v>
      </c>
    </row>
    <row r="111" spans="1:5">
      <c r="A111" s="160">
        <f>A109</f>
        <v>45413</v>
      </c>
      <c r="B111" s="8" t="s">
        <v>140</v>
      </c>
      <c r="C111" s="2"/>
      <c r="D111" s="2"/>
      <c r="E111" s="17">
        <v>450</v>
      </c>
    </row>
    <row r="112" spans="1:5">
      <c r="A112" s="160">
        <f>A111</f>
        <v>45413</v>
      </c>
      <c r="B112" s="8" t="s">
        <v>380</v>
      </c>
      <c r="C112" s="2">
        <v>2500</v>
      </c>
      <c r="D112" s="2">
        <v>25.11</v>
      </c>
      <c r="E112" s="17">
        <f>D112*C112</f>
        <v>62775</v>
      </c>
    </row>
    <row r="113" spans="1:5">
      <c r="A113" s="160">
        <f>A111</f>
        <v>45413</v>
      </c>
      <c r="B113" s="8" t="s">
        <v>502</v>
      </c>
      <c r="C113" s="2">
        <v>2308.9699999999998</v>
      </c>
      <c r="D113" s="2">
        <v>156</v>
      </c>
      <c r="E113" s="17">
        <f>D113*C113</f>
        <v>360199.31999999995</v>
      </c>
    </row>
    <row r="114" spans="1:5">
      <c r="A114" s="160">
        <f>A113</f>
        <v>45413</v>
      </c>
      <c r="B114" s="8" t="s">
        <v>595</v>
      </c>
      <c r="C114" s="162">
        <v>31.879300000000001</v>
      </c>
      <c r="D114" s="2">
        <v>850</v>
      </c>
      <c r="E114" s="17">
        <f>D114*C114</f>
        <v>27097.404999999999</v>
      </c>
    </row>
    <row r="115" spans="1:5">
      <c r="A115" s="160">
        <f>A114</f>
        <v>45413</v>
      </c>
      <c r="B115" s="8" t="s">
        <v>504</v>
      </c>
      <c r="C115" s="162">
        <f>C114</f>
        <v>31.879300000000001</v>
      </c>
      <c r="D115" s="2">
        <v>250</v>
      </c>
      <c r="E115" s="17">
        <f>D115*C115</f>
        <v>7969.8249999999998</v>
      </c>
    </row>
    <row r="116" spans="1:5">
      <c r="A116" s="160">
        <f>A115</f>
        <v>45413</v>
      </c>
      <c r="B116" s="8" t="s">
        <v>596</v>
      </c>
      <c r="C116" s="162">
        <v>34.394500000000001</v>
      </c>
      <c r="D116" s="2">
        <v>58.8</v>
      </c>
      <c r="E116" s="17">
        <f>D116*C116</f>
        <v>2022.3966</v>
      </c>
    </row>
    <row r="117" spans="1:5">
      <c r="A117" s="160">
        <f>A116</f>
        <v>45413</v>
      </c>
      <c r="B117" s="8" t="s">
        <v>152</v>
      </c>
      <c r="C117" s="2"/>
      <c r="D117" s="2"/>
      <c r="E117" s="17">
        <v>120000</v>
      </c>
    </row>
    <row r="118" spans="1:5">
      <c r="A118" s="160">
        <f>A117</f>
        <v>45413</v>
      </c>
      <c r="B118" s="8" t="s">
        <v>153</v>
      </c>
      <c r="C118" s="2"/>
      <c r="D118" s="2"/>
      <c r="E118" s="17">
        <v>4000</v>
      </c>
    </row>
    <row r="119" spans="1:5">
      <c r="E119" s="176"/>
    </row>
    <row r="120" spans="1:5">
      <c r="C120" s="124"/>
      <c r="D120" s="3"/>
      <c r="E120" s="124"/>
    </row>
    <row r="121" spans="1:5">
      <c r="C121" s="124"/>
      <c r="D121" s="18" t="s">
        <v>155</v>
      </c>
      <c r="E121" s="9">
        <f>SUM(E102:E118)</f>
        <v>1018967.8866</v>
      </c>
    </row>
    <row r="122" spans="1:5">
      <c r="C122" s="125" t="str">
        <f>A101</f>
        <v>MAYISa</v>
      </c>
      <c r="D122" s="126" t="s">
        <v>156</v>
      </c>
      <c r="E122" s="127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E2F0D9"/>
  </sheetPr>
  <dimension ref="A1:H130"/>
  <sheetViews>
    <sheetView topLeftCell="A23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623</v>
      </c>
      <c r="C2" s="79" t="s">
        <v>67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18"/>
    </row>
    <row r="5" spans="1:8">
      <c r="A5" s="88">
        <v>45339</v>
      </c>
      <c r="B5" s="101" t="s">
        <v>624</v>
      </c>
      <c r="C5" s="101" t="s">
        <v>352</v>
      </c>
      <c r="E5" s="78">
        <v>-250</v>
      </c>
      <c r="F5" s="78"/>
      <c r="G5" s="78"/>
      <c r="H5" s="78">
        <f t="shared" ref="H5:H45" si="0">H4+F5+G5</f>
        <v>0</v>
      </c>
    </row>
    <row r="6" spans="1:8">
      <c r="A6" s="88">
        <v>45377</v>
      </c>
      <c r="B6" s="41" t="s">
        <v>424</v>
      </c>
      <c r="C6" s="8" t="s">
        <v>625</v>
      </c>
      <c r="E6" s="78">
        <v>-152</v>
      </c>
      <c r="F6" s="78"/>
      <c r="G6" s="78">
        <v>-169.28</v>
      </c>
      <c r="H6" s="78">
        <f t="shared" si="0"/>
        <v>-169.28</v>
      </c>
    </row>
    <row r="7" spans="1:8">
      <c r="A7" s="88">
        <v>45383</v>
      </c>
      <c r="B7" s="101" t="s">
        <v>626</v>
      </c>
      <c r="C7" s="101"/>
      <c r="E7" s="78">
        <v>-1500</v>
      </c>
      <c r="G7" s="78">
        <v>-1512.13</v>
      </c>
      <c r="H7" s="78">
        <f t="shared" si="0"/>
        <v>-1681.41</v>
      </c>
    </row>
    <row r="8" spans="1:8">
      <c r="A8" s="88">
        <v>45384</v>
      </c>
      <c r="B8" s="101" t="s">
        <v>627</v>
      </c>
      <c r="C8" s="101"/>
      <c r="E8" s="78"/>
      <c r="G8" s="78">
        <v>-10000</v>
      </c>
      <c r="H8" s="78">
        <f t="shared" si="0"/>
        <v>-11681.41</v>
      </c>
    </row>
    <row r="9" spans="1:8">
      <c r="A9" s="88">
        <v>45384</v>
      </c>
      <c r="B9" s="8" t="s">
        <v>628</v>
      </c>
      <c r="D9" s="186"/>
      <c r="E9" s="78">
        <v>-2273.0700000000002</v>
      </c>
      <c r="F9" s="63"/>
      <c r="G9" s="78">
        <v>-2237.0700000000002</v>
      </c>
      <c r="H9" s="78">
        <f t="shared" si="0"/>
        <v>-13918.48</v>
      </c>
    </row>
    <row r="10" spans="1:8">
      <c r="A10" s="88">
        <v>45384</v>
      </c>
      <c r="B10" s="8" t="s">
        <v>600</v>
      </c>
      <c r="D10" s="77" t="s">
        <v>629</v>
      </c>
      <c r="E10" s="78">
        <v>-103.5</v>
      </c>
      <c r="F10" s="78"/>
      <c r="G10" s="78">
        <v>-103.5</v>
      </c>
      <c r="H10" s="78">
        <f t="shared" si="0"/>
        <v>-14021.98</v>
      </c>
    </row>
    <row r="11" spans="1:8">
      <c r="A11" s="88">
        <v>45385</v>
      </c>
      <c r="B11" s="101" t="s">
        <v>75</v>
      </c>
      <c r="C11" s="101" t="s">
        <v>323</v>
      </c>
      <c r="D11" s="78"/>
      <c r="E11" s="78">
        <v>-150</v>
      </c>
      <c r="F11" s="78"/>
      <c r="G11" s="78">
        <v>-197.34</v>
      </c>
      <c r="H11" s="78">
        <f t="shared" si="0"/>
        <v>-14219.32</v>
      </c>
    </row>
    <row r="12" spans="1:8">
      <c r="A12" s="165">
        <v>45385</v>
      </c>
      <c r="B12" s="177" t="s">
        <v>69</v>
      </c>
      <c r="D12" s="78"/>
      <c r="E12" s="78">
        <f>E97</f>
        <v>-6501.46</v>
      </c>
      <c r="F12" s="78"/>
      <c r="G12" s="78">
        <f>E12</f>
        <v>-6501.46</v>
      </c>
      <c r="H12" s="78">
        <f t="shared" si="0"/>
        <v>-20720.78</v>
      </c>
    </row>
    <row r="13" spans="1:8">
      <c r="A13" s="88">
        <v>45386</v>
      </c>
      <c r="B13" s="177" t="s">
        <v>68</v>
      </c>
      <c r="D13" s="78"/>
      <c r="E13" s="78">
        <f>E65</f>
        <v>-6693.55</v>
      </c>
      <c r="F13" s="78"/>
      <c r="G13" s="78">
        <f>E13</f>
        <v>-6693.55</v>
      </c>
      <c r="H13" s="78">
        <f t="shared" si="0"/>
        <v>-27414.329999999998</v>
      </c>
    </row>
    <row r="14" spans="1:8">
      <c r="A14" s="88">
        <v>45386</v>
      </c>
      <c r="B14" s="8" t="s">
        <v>630</v>
      </c>
      <c r="D14" s="186">
        <v>15000</v>
      </c>
      <c r="F14" s="78">
        <v>15000</v>
      </c>
      <c r="H14" s="78">
        <f t="shared" si="0"/>
        <v>-12414.329999999998</v>
      </c>
    </row>
    <row r="15" spans="1:8">
      <c r="A15" s="165">
        <v>45387</v>
      </c>
      <c r="B15" s="177" t="s">
        <v>631</v>
      </c>
      <c r="D15" s="78"/>
      <c r="E15" s="78"/>
      <c r="F15" s="78">
        <v>3000</v>
      </c>
      <c r="H15" s="78">
        <f t="shared" si="0"/>
        <v>-9414.3299999999981</v>
      </c>
    </row>
    <row r="16" spans="1:8">
      <c r="A16" s="100">
        <v>45389</v>
      </c>
      <c r="B16" s="101" t="s">
        <v>632</v>
      </c>
      <c r="C16" s="101"/>
      <c r="E16" s="78">
        <v>-5375</v>
      </c>
      <c r="F16" s="78"/>
      <c r="G16" s="78">
        <f>E16</f>
        <v>-5375</v>
      </c>
      <c r="H16" s="78">
        <f t="shared" si="0"/>
        <v>-14789.329999999998</v>
      </c>
    </row>
    <row r="17" spans="1:8">
      <c r="A17" s="100">
        <v>45389</v>
      </c>
      <c r="B17" s="101" t="s">
        <v>632</v>
      </c>
      <c r="C17" s="101"/>
      <c r="E17" s="78">
        <v>-2125</v>
      </c>
      <c r="F17" s="78"/>
      <c r="G17" s="78">
        <f>E17</f>
        <v>-2125</v>
      </c>
      <c r="H17" s="78">
        <f t="shared" si="0"/>
        <v>-16914.329999999998</v>
      </c>
    </row>
    <row r="18" spans="1:8">
      <c r="B18" t="s">
        <v>394</v>
      </c>
      <c r="D18" s="78"/>
      <c r="E18" s="78">
        <v>-10000</v>
      </c>
      <c r="F18" s="78"/>
      <c r="G18" s="78">
        <f>E18</f>
        <v>-10000</v>
      </c>
      <c r="H18" s="78">
        <f t="shared" si="0"/>
        <v>-26914.329999999998</v>
      </c>
    </row>
    <row r="19" spans="1:8">
      <c r="A19" s="88">
        <v>45397</v>
      </c>
      <c r="B19" s="177" t="s">
        <v>72</v>
      </c>
      <c r="D19" s="78"/>
      <c r="E19" s="78">
        <f>E60*-1</f>
        <v>-286.72000000000003</v>
      </c>
      <c r="F19" s="78"/>
      <c r="G19" s="78">
        <f>E19</f>
        <v>-286.72000000000003</v>
      </c>
      <c r="H19" s="78">
        <f t="shared" si="0"/>
        <v>-27201.05</v>
      </c>
    </row>
    <row r="20" spans="1:8">
      <c r="A20" s="88">
        <v>45397</v>
      </c>
      <c r="B20" s="101" t="s">
        <v>455</v>
      </c>
      <c r="D20" s="78"/>
      <c r="E20" s="78"/>
      <c r="F20" s="78"/>
      <c r="G20" s="78">
        <v>-55</v>
      </c>
      <c r="H20" s="78">
        <f t="shared" si="0"/>
        <v>-27256.05</v>
      </c>
    </row>
    <row r="21" spans="1:8">
      <c r="A21" s="88">
        <v>45397</v>
      </c>
      <c r="B21" s="101" t="s">
        <v>633</v>
      </c>
      <c r="D21" s="78"/>
      <c r="E21" s="78"/>
      <c r="F21" s="78">
        <v>85000</v>
      </c>
      <c r="G21" s="78"/>
      <c r="H21" s="78">
        <f t="shared" si="0"/>
        <v>57743.95</v>
      </c>
    </row>
    <row r="22" spans="1:8">
      <c r="A22" s="97">
        <v>45398</v>
      </c>
      <c r="B22" s="106" t="s">
        <v>73</v>
      </c>
      <c r="C22" s="106" t="s">
        <v>634</v>
      </c>
      <c r="D22" s="78"/>
      <c r="E22" s="78">
        <v>-300</v>
      </c>
      <c r="F22" s="78"/>
      <c r="G22" s="78">
        <v>-636</v>
      </c>
      <c r="H22" s="78">
        <f t="shared" si="0"/>
        <v>57107.95</v>
      </c>
    </row>
    <row r="23" spans="1:8">
      <c r="A23" s="97">
        <v>45398</v>
      </c>
      <c r="B23" s="106" t="s">
        <v>74</v>
      </c>
      <c r="C23" s="106" t="s">
        <v>323</v>
      </c>
      <c r="D23" s="78"/>
      <c r="E23" s="78">
        <v>-100</v>
      </c>
      <c r="F23" s="78"/>
      <c r="G23" s="78">
        <v>0</v>
      </c>
      <c r="H23" s="78">
        <f t="shared" si="0"/>
        <v>57107.95</v>
      </c>
    </row>
    <row r="24" spans="1:8">
      <c r="A24" s="88">
        <v>45401</v>
      </c>
      <c r="B24" s="8" t="s">
        <v>635</v>
      </c>
      <c r="D24" s="78"/>
      <c r="E24" s="78"/>
      <c r="F24" s="78"/>
      <c r="G24" s="78">
        <v>-3592.17</v>
      </c>
      <c r="H24" s="78">
        <f t="shared" si="0"/>
        <v>53515.78</v>
      </c>
    </row>
    <row r="25" spans="1:8">
      <c r="A25" s="88">
        <v>45404</v>
      </c>
      <c r="B25" s="8" t="s">
        <v>636</v>
      </c>
      <c r="C25" s="8" t="s">
        <v>153</v>
      </c>
      <c r="D25" s="78"/>
      <c r="E25" s="78"/>
      <c r="F25" s="78">
        <v>1000</v>
      </c>
      <c r="G25" s="78"/>
      <c r="H25" s="78">
        <f t="shared" si="0"/>
        <v>54515.78</v>
      </c>
    </row>
    <row r="26" spans="1:8">
      <c r="A26" s="88"/>
      <c r="B26" s="8" t="s">
        <v>636</v>
      </c>
      <c r="C26" s="8" t="s">
        <v>153</v>
      </c>
      <c r="D26" s="78"/>
      <c r="E26" s="78"/>
      <c r="F26" s="78">
        <v>50000</v>
      </c>
      <c r="G26" s="78"/>
      <c r="H26" s="78">
        <f t="shared" si="0"/>
        <v>104515.78</v>
      </c>
    </row>
    <row r="27" spans="1:8">
      <c r="A27" s="88"/>
      <c r="B27" s="8" t="s">
        <v>636</v>
      </c>
      <c r="C27" s="8" t="s">
        <v>637</v>
      </c>
      <c r="D27" s="78"/>
      <c r="E27" s="78"/>
      <c r="F27" s="78">
        <v>33000</v>
      </c>
      <c r="G27" s="78"/>
      <c r="H27" s="78">
        <f t="shared" si="0"/>
        <v>137515.78</v>
      </c>
    </row>
    <row r="28" spans="1:8">
      <c r="A28" s="88"/>
      <c r="B28" s="8" t="s">
        <v>636</v>
      </c>
      <c r="C28" s="8" t="s">
        <v>153</v>
      </c>
      <c r="D28" s="78"/>
      <c r="E28" s="78"/>
      <c r="F28" s="78">
        <v>120000</v>
      </c>
      <c r="G28" s="78"/>
      <c r="H28" s="78">
        <f t="shared" si="0"/>
        <v>257515.78</v>
      </c>
    </row>
    <row r="29" spans="1:8">
      <c r="A29" s="88"/>
      <c r="B29" s="8" t="s">
        <v>638</v>
      </c>
      <c r="D29" s="78"/>
      <c r="E29" s="78"/>
      <c r="F29" s="78"/>
      <c r="G29" s="78">
        <v>-24000</v>
      </c>
      <c r="H29" s="78">
        <f t="shared" si="0"/>
        <v>233515.78</v>
      </c>
    </row>
    <row r="30" spans="1:8">
      <c r="A30" s="88"/>
      <c r="D30" s="78"/>
      <c r="E30" s="78"/>
      <c r="F30" s="78"/>
      <c r="G30" s="78"/>
      <c r="H30" s="78">
        <f t="shared" si="0"/>
        <v>233515.78</v>
      </c>
    </row>
    <row r="31" spans="1:8">
      <c r="A31" s="88"/>
      <c r="D31" s="78"/>
      <c r="E31" s="78"/>
      <c r="F31" s="78"/>
      <c r="G31" s="78"/>
      <c r="H31" s="78">
        <f t="shared" si="0"/>
        <v>233515.78</v>
      </c>
    </row>
    <row r="32" spans="1:8">
      <c r="A32" s="88"/>
      <c r="D32" s="78"/>
      <c r="E32" s="78"/>
      <c r="F32" s="78"/>
      <c r="G32" s="78"/>
      <c r="H32" s="78">
        <f t="shared" si="0"/>
        <v>233515.78</v>
      </c>
    </row>
    <row r="33" spans="1:8">
      <c r="A33" s="88"/>
      <c r="H33" s="78">
        <f t="shared" si="0"/>
        <v>233515.78</v>
      </c>
    </row>
    <row r="34" spans="1:8">
      <c r="A34" s="88">
        <v>45414</v>
      </c>
      <c r="B34" s="101" t="s">
        <v>80</v>
      </c>
      <c r="C34" s="101"/>
      <c r="E34" s="78">
        <v>-400</v>
      </c>
      <c r="F34" s="63"/>
      <c r="H34" s="78">
        <f t="shared" si="0"/>
        <v>233515.78</v>
      </c>
    </row>
    <row r="35" spans="1:8">
      <c r="A35" s="88">
        <v>45414</v>
      </c>
      <c r="B35" s="101" t="s">
        <v>81</v>
      </c>
      <c r="C35" s="101"/>
      <c r="E35" s="78">
        <v>-500</v>
      </c>
      <c r="H35" s="78">
        <f t="shared" si="0"/>
        <v>233515.78</v>
      </c>
    </row>
    <row r="36" spans="1:8">
      <c r="H36" s="78">
        <f t="shared" si="0"/>
        <v>233515.78</v>
      </c>
    </row>
    <row r="37" spans="1:8">
      <c r="B37" t="s">
        <v>77</v>
      </c>
      <c r="D37" s="78"/>
      <c r="E37" s="78"/>
      <c r="F37" s="78"/>
      <c r="G37" s="78"/>
      <c r="H37" s="78">
        <f t="shared" si="0"/>
        <v>233515.78</v>
      </c>
    </row>
    <row r="38" spans="1:8">
      <c r="B38" t="s">
        <v>639</v>
      </c>
      <c r="D38" s="78"/>
      <c r="E38" s="78">
        <v>-5000</v>
      </c>
      <c r="F38" s="78"/>
      <c r="G38" s="78">
        <v>-6704</v>
      </c>
      <c r="H38" s="78">
        <f t="shared" si="0"/>
        <v>226811.78</v>
      </c>
    </row>
    <row r="39" spans="1:8">
      <c r="B39" t="s">
        <v>640</v>
      </c>
      <c r="D39" s="78"/>
      <c r="E39" s="78">
        <v>-5000</v>
      </c>
      <c r="F39" s="78"/>
      <c r="G39" s="78">
        <v>-6704</v>
      </c>
      <c r="H39" s="78">
        <f t="shared" si="0"/>
        <v>220107.78</v>
      </c>
    </row>
    <row r="40" spans="1:8">
      <c r="B40" t="s">
        <v>79</v>
      </c>
      <c r="D40" s="78"/>
      <c r="E40" s="78">
        <v>-5000</v>
      </c>
      <c r="F40" s="78"/>
      <c r="G40" s="78"/>
      <c r="H40" s="78">
        <f t="shared" si="0"/>
        <v>220107.78</v>
      </c>
    </row>
    <row r="41" spans="1:8">
      <c r="B41" t="s">
        <v>76</v>
      </c>
      <c r="D41" s="78">
        <v>10000</v>
      </c>
      <c r="E41" s="78"/>
      <c r="F41" s="78">
        <v>10427.620000000001</v>
      </c>
      <c r="G41" s="78"/>
      <c r="H41" s="78">
        <f t="shared" si="0"/>
        <v>230535.4</v>
      </c>
    </row>
    <row r="42" spans="1:8">
      <c r="A42" s="100"/>
      <c r="B42" s="8" t="s">
        <v>641</v>
      </c>
      <c r="D42" s="78">
        <v>15000</v>
      </c>
      <c r="E42" s="78"/>
      <c r="F42" s="78">
        <v>15000</v>
      </c>
      <c r="G42" s="78"/>
      <c r="H42" s="78">
        <f t="shared" si="0"/>
        <v>245535.4</v>
      </c>
    </row>
    <row r="43" spans="1:8">
      <c r="H43" s="78">
        <f t="shared" si="0"/>
        <v>245535.4</v>
      </c>
    </row>
    <row r="44" spans="1:8">
      <c r="H44" s="78">
        <f t="shared" si="0"/>
        <v>245535.4</v>
      </c>
    </row>
    <row r="45" spans="1:8">
      <c r="A45" s="187">
        <v>45322</v>
      </c>
      <c r="B45" s="25" t="s">
        <v>642</v>
      </c>
      <c r="C45" s="188"/>
      <c r="D45" s="188"/>
      <c r="H45" s="78">
        <f t="shared" si="0"/>
        <v>245535.4</v>
      </c>
    </row>
    <row r="46" spans="1:8">
      <c r="A46" s="88"/>
      <c r="C46" s="124"/>
      <c r="D46" s="124"/>
    </row>
    <row r="47" spans="1:8">
      <c r="A47" s="88"/>
      <c r="C47" s="124"/>
      <c r="D47" s="124"/>
    </row>
    <row r="48" spans="1:8">
      <c r="A48" s="88"/>
      <c r="C48" s="124"/>
      <c r="D48" s="124"/>
    </row>
    <row r="49" spans="1:5">
      <c r="A49" s="88"/>
      <c r="C49" s="124"/>
      <c r="D49" s="124"/>
    </row>
    <row r="51" spans="1:5">
      <c r="B51" t="s">
        <v>325</v>
      </c>
    </row>
    <row r="52" spans="1:5">
      <c r="A52" s="103" t="s">
        <v>326</v>
      </c>
      <c r="B52" s="103"/>
      <c r="C52" s="103"/>
    </row>
    <row r="53" spans="1:5">
      <c r="A53" s="100"/>
      <c r="C53" s="171"/>
    </row>
    <row r="54" spans="1:5">
      <c r="A54" s="172">
        <v>44929</v>
      </c>
      <c r="B54" s="173" t="s">
        <v>327</v>
      </c>
      <c r="C54" s="103"/>
      <c r="D54" s="77">
        <f>SUM(D55:D60)</f>
        <v>4514.12</v>
      </c>
      <c r="E54" s="77">
        <f>SUM(E55:E60)</f>
        <v>4437.22</v>
      </c>
    </row>
    <row r="55" spans="1:5">
      <c r="A55" s="100"/>
      <c r="B55" s="106" t="s">
        <v>328</v>
      </c>
      <c r="D55" s="77">
        <v>874.44</v>
      </c>
      <c r="E55" s="77">
        <v>800</v>
      </c>
    </row>
    <row r="56" spans="1:5">
      <c r="B56" t="s">
        <v>329</v>
      </c>
      <c r="D56" s="77">
        <v>1078.92</v>
      </c>
      <c r="E56" s="77">
        <v>1079</v>
      </c>
    </row>
    <row r="57" spans="1:5">
      <c r="B57" t="s">
        <v>330</v>
      </c>
      <c r="D57" s="77">
        <v>173.45</v>
      </c>
      <c r="E57" s="77">
        <v>172.5</v>
      </c>
    </row>
    <row r="58" spans="1:5">
      <c r="B58" t="s">
        <v>331</v>
      </c>
      <c r="C58" t="s">
        <v>643</v>
      </c>
      <c r="D58" s="77">
        <v>1774</v>
      </c>
      <c r="E58" s="77">
        <v>1774</v>
      </c>
    </row>
    <row r="59" spans="1:5">
      <c r="B59" t="s">
        <v>332</v>
      </c>
      <c r="D59" s="77">
        <v>326.58999999999997</v>
      </c>
      <c r="E59" s="77">
        <v>325</v>
      </c>
    </row>
    <row r="60" spans="1:5">
      <c r="B60" t="s">
        <v>333</v>
      </c>
      <c r="C60" s="106"/>
      <c r="D60" s="77">
        <v>286.72000000000003</v>
      </c>
      <c r="E60" s="77">
        <f>D60</f>
        <v>286.72000000000003</v>
      </c>
    </row>
    <row r="61" spans="1:5">
      <c r="C61" s="106"/>
    </row>
    <row r="63" spans="1:5">
      <c r="B63" s="17"/>
    </row>
    <row r="64" spans="1:5">
      <c r="B64" s="102"/>
    </row>
    <row r="65" spans="1:5">
      <c r="A65" s="103"/>
      <c r="B65" s="104" t="s">
        <v>83</v>
      </c>
      <c r="C65" s="103"/>
      <c r="E65" s="77">
        <f>SUM(E66:E91)</f>
        <v>-6693.55</v>
      </c>
    </row>
    <row r="67" spans="1:5">
      <c r="A67" s="100">
        <v>45187</v>
      </c>
      <c r="B67" s="106" t="s">
        <v>560</v>
      </c>
      <c r="C67" s="106">
        <v>7648.33</v>
      </c>
      <c r="D67" s="77" t="s">
        <v>395</v>
      </c>
      <c r="E67" s="77">
        <v>-849.81</v>
      </c>
    </row>
    <row r="68" spans="1:5">
      <c r="A68" s="88">
        <v>45348</v>
      </c>
      <c r="B68" s="8" t="s">
        <v>438</v>
      </c>
      <c r="C68">
        <v>1406</v>
      </c>
      <c r="D68" s="77" t="s">
        <v>644</v>
      </c>
      <c r="E68" s="77">
        <v>-234.33</v>
      </c>
    </row>
    <row r="69" spans="1:5">
      <c r="A69" s="88">
        <v>45358</v>
      </c>
      <c r="B69" s="8" t="s">
        <v>441</v>
      </c>
      <c r="C69">
        <v>2273</v>
      </c>
      <c r="D69" s="77" t="s">
        <v>644</v>
      </c>
      <c r="E69" s="77">
        <v>-378.87</v>
      </c>
    </row>
    <row r="70" spans="1:5">
      <c r="A70" s="88">
        <v>45371</v>
      </c>
      <c r="B70" s="8" t="s">
        <v>442</v>
      </c>
      <c r="D70" s="77" t="s">
        <v>645</v>
      </c>
      <c r="E70" s="77">
        <v>101.77</v>
      </c>
    </row>
    <row r="71" spans="1:5">
      <c r="A71" s="88">
        <v>45373</v>
      </c>
      <c r="B71" s="8" t="s">
        <v>334</v>
      </c>
      <c r="C71">
        <v>10176.39</v>
      </c>
      <c r="D71" s="77" t="s">
        <v>646</v>
      </c>
      <c r="E71" s="77">
        <v>-1130.71</v>
      </c>
    </row>
    <row r="72" spans="1:5">
      <c r="A72" s="88">
        <v>45375</v>
      </c>
      <c r="B72" s="8" t="s">
        <v>336</v>
      </c>
      <c r="C72">
        <v>5999</v>
      </c>
      <c r="D72" s="77" t="s">
        <v>646</v>
      </c>
      <c r="E72" s="77">
        <v>-666.56</v>
      </c>
    </row>
    <row r="73" spans="1:5">
      <c r="A73" s="88"/>
    </row>
    <row r="74" spans="1:5">
      <c r="A74" s="88">
        <v>45347</v>
      </c>
      <c r="B74" s="8" t="s">
        <v>647</v>
      </c>
      <c r="E74" s="77">
        <v>-343</v>
      </c>
    </row>
    <row r="75" spans="1:5">
      <c r="A75" s="100">
        <v>45348</v>
      </c>
      <c r="B75" s="106" t="s">
        <v>648</v>
      </c>
      <c r="C75" s="106"/>
      <c r="E75" s="77">
        <v>-150</v>
      </c>
    </row>
    <row r="76" spans="1:5">
      <c r="A76" s="100">
        <v>45351</v>
      </c>
      <c r="B76" s="106" t="s">
        <v>134</v>
      </c>
      <c r="C76" s="94">
        <f>E76</f>
        <v>-86.95</v>
      </c>
      <c r="E76" s="77">
        <v>-86.95</v>
      </c>
    </row>
    <row r="77" spans="1:5">
      <c r="A77" s="100">
        <v>45353</v>
      </c>
      <c r="B77" s="107" t="s">
        <v>179</v>
      </c>
      <c r="C77" s="106"/>
      <c r="E77" s="77">
        <v>-500</v>
      </c>
    </row>
    <row r="78" spans="1:5">
      <c r="A78" s="100">
        <v>45353</v>
      </c>
      <c r="B78" s="107" t="s">
        <v>649</v>
      </c>
      <c r="C78" s="106"/>
      <c r="E78" s="77">
        <v>-600</v>
      </c>
    </row>
    <row r="79" spans="1:5">
      <c r="A79" s="100">
        <v>45354</v>
      </c>
      <c r="B79" s="107" t="s">
        <v>650</v>
      </c>
      <c r="C79" s="106"/>
      <c r="E79" s="77">
        <v>-330</v>
      </c>
    </row>
    <row r="80" spans="1:5">
      <c r="A80" s="100">
        <v>45355</v>
      </c>
      <c r="B80" s="107" t="s">
        <v>651</v>
      </c>
      <c r="C80" s="94">
        <f>E80</f>
        <v>-200</v>
      </c>
      <c r="E80" s="77">
        <v>-200</v>
      </c>
    </row>
    <row r="81" spans="1:5">
      <c r="A81" s="100">
        <v>45355</v>
      </c>
      <c r="B81" s="107" t="s">
        <v>524</v>
      </c>
      <c r="C81" s="106"/>
      <c r="E81" s="77">
        <v>-50</v>
      </c>
    </row>
    <row r="82" spans="1:5">
      <c r="A82" s="100">
        <v>45356</v>
      </c>
      <c r="B82" s="107" t="s">
        <v>651</v>
      </c>
      <c r="C82" s="94">
        <f>E82</f>
        <v>-200</v>
      </c>
      <c r="E82" s="77">
        <v>-200</v>
      </c>
    </row>
    <row r="83" spans="1:5">
      <c r="A83" s="100">
        <v>45357</v>
      </c>
      <c r="B83" s="107" t="s">
        <v>652</v>
      </c>
      <c r="C83" s="106"/>
      <c r="E83" s="77">
        <v>-160</v>
      </c>
    </row>
    <row r="84" spans="1:5">
      <c r="A84" s="100">
        <v>45357</v>
      </c>
      <c r="B84" s="107" t="s">
        <v>129</v>
      </c>
      <c r="C84" s="106">
        <v>6341.66</v>
      </c>
    </row>
    <row r="85" spans="1:5">
      <c r="A85" s="100">
        <v>45361</v>
      </c>
      <c r="B85" s="107" t="s">
        <v>409</v>
      </c>
      <c r="E85" s="77">
        <v>-294.14</v>
      </c>
    </row>
    <row r="86" spans="1:5">
      <c r="A86" s="100">
        <v>45358</v>
      </c>
      <c r="B86" s="107" t="s">
        <v>651</v>
      </c>
      <c r="C86" s="94">
        <f>E86</f>
        <v>-200</v>
      </c>
      <c r="E86" s="77">
        <v>-200</v>
      </c>
    </row>
    <row r="87" spans="1:5">
      <c r="A87" s="100"/>
      <c r="B87" s="107"/>
      <c r="C87" s="106"/>
      <c r="E87" s="77">
        <v>-3.05</v>
      </c>
    </row>
    <row r="88" spans="1:5">
      <c r="A88" s="100">
        <v>45376</v>
      </c>
      <c r="B88" s="107" t="s">
        <v>653</v>
      </c>
      <c r="C88" s="106"/>
      <c r="E88" s="77">
        <v>-874.19</v>
      </c>
    </row>
    <row r="89" spans="1:5">
      <c r="A89" s="100"/>
      <c r="B89" s="107"/>
      <c r="C89" s="106"/>
      <c r="E89" s="77">
        <v>-43.71</v>
      </c>
    </row>
    <row r="90" spans="1:5">
      <c r="A90" s="100">
        <v>45374</v>
      </c>
      <c r="B90" s="107" t="s">
        <v>654</v>
      </c>
      <c r="C90" s="106"/>
      <c r="E90" s="77">
        <v>500</v>
      </c>
    </row>
    <row r="91" spans="1:5" ht="15">
      <c r="A91" s="100">
        <v>45374</v>
      </c>
      <c r="B91" s="107" t="s">
        <v>654</v>
      </c>
      <c r="D91" s="105" t="s">
        <v>84</v>
      </c>
    </row>
    <row r="92" spans="1:5" ht="15">
      <c r="A92" s="100"/>
      <c r="B92" s="35" t="s">
        <v>418</v>
      </c>
      <c r="C92">
        <v>686.95</v>
      </c>
      <c r="D92" s="182"/>
    </row>
    <row r="93" spans="1:5" ht="15">
      <c r="A93" s="100"/>
      <c r="B93" s="107"/>
      <c r="D93" s="182"/>
    </row>
    <row r="94" spans="1:5" ht="15">
      <c r="A94" s="100"/>
      <c r="B94" s="107"/>
      <c r="D94" s="182"/>
    </row>
    <row r="95" spans="1:5" ht="15">
      <c r="A95" s="100"/>
      <c r="B95" s="107"/>
      <c r="D95" s="182"/>
    </row>
    <row r="96" spans="1:5">
      <c r="A96" s="100"/>
      <c r="B96" s="106"/>
      <c r="C96" s="106"/>
    </row>
    <row r="97" spans="1:6">
      <c r="A97" s="103"/>
      <c r="B97" s="104" t="s">
        <v>85</v>
      </c>
      <c r="C97" s="103"/>
      <c r="E97" s="77">
        <f>SUM(E98:E105)</f>
        <v>-6501.46</v>
      </c>
    </row>
    <row r="98" spans="1:6">
      <c r="A98" s="100"/>
      <c r="B98" s="106"/>
      <c r="C98" s="106"/>
    </row>
    <row r="99" spans="1:6">
      <c r="A99" s="165">
        <v>45214</v>
      </c>
      <c r="B99" s="8" t="s">
        <v>655</v>
      </c>
      <c r="D99" s="77" t="s">
        <v>656</v>
      </c>
      <c r="E99" s="77">
        <v>-600</v>
      </c>
    </row>
    <row r="100" spans="1:6">
      <c r="A100" s="165">
        <v>45285</v>
      </c>
      <c r="B100" s="106" t="s">
        <v>520</v>
      </c>
      <c r="C100" s="106"/>
      <c r="D100" s="77" t="s">
        <v>657</v>
      </c>
      <c r="E100" s="77">
        <v>-3551.66</v>
      </c>
      <c r="F100" s="77">
        <v>0</v>
      </c>
    </row>
    <row r="101" spans="1:6">
      <c r="A101" s="100"/>
      <c r="B101" s="3" t="s">
        <v>658</v>
      </c>
      <c r="C101" s="106"/>
      <c r="D101" s="77" t="s">
        <v>659</v>
      </c>
      <c r="E101" s="77">
        <v>-649.78</v>
      </c>
      <c r="F101" s="77">
        <v>0</v>
      </c>
    </row>
    <row r="102" spans="1:6">
      <c r="A102" s="100"/>
      <c r="B102" s="3" t="s">
        <v>478</v>
      </c>
      <c r="C102" s="106">
        <v>49.98</v>
      </c>
      <c r="D102" s="77" t="s">
        <v>659</v>
      </c>
      <c r="E102" s="77">
        <v>49.98</v>
      </c>
      <c r="F102" s="77">
        <v>0</v>
      </c>
    </row>
    <row r="103" spans="1:6">
      <c r="A103" s="100"/>
      <c r="B103" s="3"/>
      <c r="C103" s="106"/>
    </row>
    <row r="104" spans="1:6">
      <c r="A104" s="100">
        <v>45374</v>
      </c>
      <c r="B104" s="3" t="s">
        <v>660</v>
      </c>
      <c r="C104" s="106"/>
      <c r="E104" s="77">
        <v>-1750</v>
      </c>
    </row>
    <row r="105" spans="1:6" ht="15">
      <c r="A105" s="100"/>
      <c r="B105" s="3"/>
      <c r="C105" s="106"/>
      <c r="D105" s="105" t="s">
        <v>84</v>
      </c>
    </row>
    <row r="106" spans="1:6">
      <c r="A106" s="100"/>
      <c r="B106" s="3"/>
      <c r="C106" s="106"/>
    </row>
    <row r="107" spans="1:6">
      <c r="A107" s="100"/>
      <c r="B107" s="3"/>
      <c r="C107" s="106"/>
    </row>
    <row r="108" spans="1:6">
      <c r="A108" s="100"/>
      <c r="B108" s="3"/>
      <c r="C108" s="106"/>
    </row>
    <row r="109" spans="1:6">
      <c r="A109" s="100"/>
      <c r="B109" s="3"/>
      <c r="C109" s="106"/>
    </row>
    <row r="110" spans="1:6">
      <c r="A110" s="100"/>
      <c r="B110" s="3"/>
      <c r="C110" s="106"/>
    </row>
    <row r="111" spans="1:6">
      <c r="A111" s="113" t="s">
        <v>661</v>
      </c>
      <c r="B111" s="104" t="s">
        <v>136</v>
      </c>
      <c r="C111" s="103">
        <v>2024</v>
      </c>
      <c r="D111" s="158"/>
      <c r="E111" s="159">
        <f>SUM(E112:E126)</f>
        <v>774287.73659999995</v>
      </c>
    </row>
    <row r="112" spans="1:6">
      <c r="A112" s="160">
        <v>45383</v>
      </c>
      <c r="B112" s="8" t="s">
        <v>77</v>
      </c>
      <c r="C112" s="2"/>
      <c r="D112" s="2"/>
      <c r="E112" s="2">
        <v>64000</v>
      </c>
    </row>
    <row r="113" spans="1:5">
      <c r="A113" s="160">
        <f t="shared" ref="A113:A126" si="1">A112</f>
        <v>45383</v>
      </c>
      <c r="B113" s="8" t="s">
        <v>378</v>
      </c>
      <c r="C113" s="2"/>
      <c r="D113" s="2"/>
      <c r="E113" s="2">
        <v>150845</v>
      </c>
    </row>
    <row r="114" spans="1:5">
      <c r="A114" s="160">
        <f t="shared" si="1"/>
        <v>45383</v>
      </c>
      <c r="B114" s="8" t="s">
        <v>300</v>
      </c>
      <c r="C114" s="2"/>
      <c r="D114" s="2"/>
      <c r="E114" s="17">
        <v>6036.94</v>
      </c>
    </row>
    <row r="115" spans="1:5">
      <c r="A115" s="160">
        <f t="shared" si="1"/>
        <v>45383</v>
      </c>
      <c r="B115" s="8" t="s">
        <v>301</v>
      </c>
      <c r="C115" s="2"/>
      <c r="D115" s="2"/>
      <c r="E115" s="17">
        <v>0</v>
      </c>
    </row>
    <row r="116" spans="1:5">
      <c r="A116" s="160">
        <f t="shared" si="1"/>
        <v>45383</v>
      </c>
      <c r="B116" s="8" t="s">
        <v>497</v>
      </c>
      <c r="C116" s="2"/>
      <c r="D116" s="2"/>
      <c r="E116" s="17">
        <v>0</v>
      </c>
    </row>
    <row r="117" spans="1:5">
      <c r="A117" s="160">
        <f t="shared" si="1"/>
        <v>45383</v>
      </c>
      <c r="B117" s="8" t="s">
        <v>302</v>
      </c>
      <c r="C117" s="124"/>
      <c r="D117" s="2"/>
      <c r="E117" s="17">
        <v>0</v>
      </c>
    </row>
    <row r="118" spans="1:5">
      <c r="A118" s="160">
        <f t="shared" si="1"/>
        <v>45383</v>
      </c>
      <c r="B118" s="8" t="s">
        <v>236</v>
      </c>
      <c r="C118" s="2"/>
      <c r="D118" s="2"/>
      <c r="E118" s="17">
        <v>0</v>
      </c>
    </row>
    <row r="119" spans="1:5">
      <c r="A119" s="160">
        <f t="shared" si="1"/>
        <v>45383</v>
      </c>
      <c r="B119" s="8" t="s">
        <v>498</v>
      </c>
      <c r="C119" s="2" t="s">
        <v>662</v>
      </c>
      <c r="D119" s="2"/>
      <c r="E119" s="17">
        <v>110122</v>
      </c>
    </row>
    <row r="120" spans="1:5">
      <c r="A120" s="160">
        <f t="shared" si="1"/>
        <v>45383</v>
      </c>
      <c r="B120" s="8" t="s">
        <v>140</v>
      </c>
      <c r="C120" s="2"/>
      <c r="D120" s="2"/>
      <c r="E120" s="17">
        <v>450</v>
      </c>
    </row>
    <row r="121" spans="1:5">
      <c r="A121" s="160">
        <f t="shared" si="1"/>
        <v>45383</v>
      </c>
      <c r="B121" s="8" t="s">
        <v>502</v>
      </c>
      <c r="C121" s="2">
        <v>2308.9699999999998</v>
      </c>
      <c r="D121" s="2">
        <v>161</v>
      </c>
      <c r="E121" s="17">
        <f>D121*C121</f>
        <v>371744.17</v>
      </c>
    </row>
    <row r="122" spans="1:5">
      <c r="A122" s="160">
        <f t="shared" si="1"/>
        <v>45383</v>
      </c>
      <c r="B122" s="8" t="s">
        <v>595</v>
      </c>
      <c r="C122" s="162">
        <v>31.879300000000001</v>
      </c>
      <c r="D122" s="2">
        <v>850</v>
      </c>
      <c r="E122" s="17">
        <f>D122*C122</f>
        <v>27097.404999999999</v>
      </c>
    </row>
    <row r="123" spans="1:5">
      <c r="A123" s="160">
        <f t="shared" si="1"/>
        <v>45383</v>
      </c>
      <c r="B123" s="8" t="s">
        <v>504</v>
      </c>
      <c r="C123" s="162">
        <f>C122</f>
        <v>31.879300000000001</v>
      </c>
      <c r="D123" s="2">
        <v>250</v>
      </c>
      <c r="E123" s="17">
        <f>D123*C123</f>
        <v>7969.8249999999998</v>
      </c>
    </row>
    <row r="124" spans="1:5">
      <c r="A124" s="160">
        <f t="shared" si="1"/>
        <v>45383</v>
      </c>
      <c r="B124" s="8" t="s">
        <v>596</v>
      </c>
      <c r="C124" s="162">
        <v>34.394500000000001</v>
      </c>
      <c r="D124" s="2">
        <v>58.8</v>
      </c>
      <c r="E124" s="17">
        <f>D124*C124</f>
        <v>2022.3966</v>
      </c>
    </row>
    <row r="125" spans="1:5">
      <c r="A125" s="160">
        <f t="shared" si="1"/>
        <v>45383</v>
      </c>
      <c r="B125" s="8" t="s">
        <v>152</v>
      </c>
      <c r="C125" s="2"/>
      <c r="D125" s="2"/>
      <c r="E125" s="17">
        <v>30000</v>
      </c>
    </row>
    <row r="126" spans="1:5">
      <c r="A126" s="160">
        <f t="shared" si="1"/>
        <v>45383</v>
      </c>
      <c r="B126" s="8" t="s">
        <v>153</v>
      </c>
      <c r="C126" s="2"/>
      <c r="D126" s="2"/>
      <c r="E126" s="17">
        <v>4000</v>
      </c>
    </row>
    <row r="127" spans="1:5">
      <c r="E127" s="176"/>
    </row>
    <row r="128" spans="1:5">
      <c r="C128" s="124"/>
      <c r="D128" s="3"/>
      <c r="E128" s="124"/>
    </row>
    <row r="129" spans="3:5">
      <c r="C129" s="124"/>
      <c r="D129" s="18" t="s">
        <v>155</v>
      </c>
      <c r="E129" s="9">
        <f>SUM(E112:E126)</f>
        <v>774287.73659999995</v>
      </c>
    </row>
    <row r="130" spans="3:5">
      <c r="C130" s="125" t="str">
        <f>A111</f>
        <v>NİSANa</v>
      </c>
      <c r="D130" s="126" t="s">
        <v>156</v>
      </c>
      <c r="E130" s="127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E2F0D9"/>
  </sheetPr>
  <dimension ref="A1:H131"/>
  <sheetViews>
    <sheetView topLeftCell="A69" zoomScale="170" zoomScaleNormal="170" workbookViewId="0">
      <selection activeCell="B84" sqref="B84"/>
    </sheetView>
  </sheetViews>
  <sheetFormatPr defaultColWidth="12.28515625" defaultRowHeight="12.75"/>
  <cols>
    <col min="1" max="1" width="12.140625" customWidth="1"/>
    <col min="2" max="2" width="35.85546875" customWidth="1"/>
    <col min="3" max="3" width="9.42578125" customWidth="1"/>
    <col min="4" max="4" width="11.5703125" style="102" customWidth="1"/>
    <col min="5" max="5" width="12.28515625" style="77"/>
    <col min="8" max="8" width="12.85546875" customWidth="1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B2" s="3" t="s">
        <v>663</v>
      </c>
      <c r="C2" s="79" t="s">
        <v>67</v>
      </c>
      <c r="D2" s="102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18"/>
      <c r="H3" s="77"/>
    </row>
    <row r="4" spans="1:8">
      <c r="B4" s="101" t="s">
        <v>664</v>
      </c>
      <c r="C4" s="101" t="s">
        <v>352</v>
      </c>
      <c r="E4" s="78">
        <v>-250</v>
      </c>
      <c r="H4" s="77">
        <f t="shared" ref="H4:H29" si="0">H3+F4+G4</f>
        <v>0</v>
      </c>
    </row>
    <row r="5" spans="1:8">
      <c r="A5" s="88">
        <v>45352</v>
      </c>
      <c r="B5" s="101" t="s">
        <v>665</v>
      </c>
      <c r="C5" s="101"/>
      <c r="E5" s="78">
        <v>-1500</v>
      </c>
      <c r="G5" s="78">
        <v>-1512.13</v>
      </c>
      <c r="H5" s="78">
        <f t="shared" si="0"/>
        <v>-1512.13</v>
      </c>
    </row>
    <row r="6" spans="1:8">
      <c r="A6" s="88">
        <v>45355</v>
      </c>
      <c r="B6" s="41" t="s">
        <v>424</v>
      </c>
      <c r="E6" s="78">
        <v>-152</v>
      </c>
      <c r="G6" s="78">
        <v>-166.9</v>
      </c>
      <c r="H6" s="78">
        <f t="shared" si="0"/>
        <v>-1679.0300000000002</v>
      </c>
    </row>
    <row r="7" spans="1:8">
      <c r="A7" s="88">
        <v>45356</v>
      </c>
      <c r="B7" s="8" t="s">
        <v>394</v>
      </c>
      <c r="E7" s="78">
        <v>-10000</v>
      </c>
      <c r="G7" s="78">
        <f>E7</f>
        <v>-10000</v>
      </c>
      <c r="H7" s="78">
        <f t="shared" si="0"/>
        <v>-11679.03</v>
      </c>
    </row>
    <row r="8" spans="1:8">
      <c r="A8" s="165">
        <v>45356</v>
      </c>
      <c r="B8" s="177" t="s">
        <v>69</v>
      </c>
      <c r="C8">
        <v>72000</v>
      </c>
      <c r="D8" s="186"/>
      <c r="E8" s="78">
        <f>E65</f>
        <v>-72173.5</v>
      </c>
      <c r="G8" s="78">
        <f>E8</f>
        <v>-72173.5</v>
      </c>
      <c r="H8" s="78">
        <f t="shared" si="0"/>
        <v>-83852.53</v>
      </c>
    </row>
    <row r="9" spans="1:8">
      <c r="A9" s="88">
        <v>45357</v>
      </c>
      <c r="B9" s="177" t="s">
        <v>68</v>
      </c>
      <c r="D9" s="186"/>
      <c r="E9" s="78">
        <f>E46</f>
        <v>-6341.6600000000008</v>
      </c>
      <c r="G9" s="78">
        <f>E9</f>
        <v>-6341.6600000000008</v>
      </c>
      <c r="H9" s="78">
        <f t="shared" si="0"/>
        <v>-90194.19</v>
      </c>
    </row>
    <row r="10" spans="1:8">
      <c r="A10" s="88">
        <v>45357</v>
      </c>
      <c r="B10" s="177" t="s">
        <v>666</v>
      </c>
      <c r="C10" s="8" t="s">
        <v>667</v>
      </c>
      <c r="D10" s="186"/>
      <c r="E10" s="78"/>
      <c r="G10" s="78">
        <v>-220.03</v>
      </c>
      <c r="H10" s="78">
        <f t="shared" si="0"/>
        <v>-90414.22</v>
      </c>
    </row>
    <row r="11" spans="1:8">
      <c r="A11" s="88">
        <v>45357</v>
      </c>
      <c r="B11" s="177" t="s">
        <v>666</v>
      </c>
      <c r="C11" s="8" t="s">
        <v>667</v>
      </c>
      <c r="D11" s="186"/>
      <c r="E11" s="78"/>
      <c r="G11" s="78">
        <v>-631.37</v>
      </c>
      <c r="H11" s="78">
        <f t="shared" si="0"/>
        <v>-91045.59</v>
      </c>
    </row>
    <row r="12" spans="1:8">
      <c r="A12" s="100">
        <v>45358</v>
      </c>
      <c r="B12" s="101" t="s">
        <v>668</v>
      </c>
      <c r="C12" s="101"/>
      <c r="D12" s="186"/>
      <c r="E12" s="78">
        <v>-5375</v>
      </c>
      <c r="G12" s="78">
        <f>E12</f>
        <v>-5375</v>
      </c>
      <c r="H12" s="78">
        <f t="shared" si="0"/>
        <v>-96420.59</v>
      </c>
    </row>
    <row r="13" spans="1:8">
      <c r="A13" s="100">
        <v>45358</v>
      </c>
      <c r="B13" s="101" t="s">
        <v>668</v>
      </c>
      <c r="C13" s="101"/>
      <c r="D13" s="186"/>
      <c r="E13" s="78">
        <v>-2125</v>
      </c>
      <c r="G13" s="78">
        <f>E13</f>
        <v>-2125</v>
      </c>
      <c r="H13" s="78">
        <f t="shared" si="0"/>
        <v>-98545.59</v>
      </c>
    </row>
    <row r="14" spans="1:8">
      <c r="A14" s="100">
        <v>45358</v>
      </c>
      <c r="B14" s="8" t="s">
        <v>669</v>
      </c>
      <c r="C14" s="101"/>
      <c r="D14" s="186"/>
      <c r="E14" s="78"/>
      <c r="F14">
        <v>6500</v>
      </c>
      <c r="G14" s="78"/>
      <c r="H14" s="78">
        <f t="shared" si="0"/>
        <v>-92045.59</v>
      </c>
    </row>
    <row r="15" spans="1:8">
      <c r="A15" s="88">
        <v>45359</v>
      </c>
      <c r="B15" s="101" t="s">
        <v>75</v>
      </c>
      <c r="C15" s="101"/>
      <c r="D15" s="186"/>
      <c r="E15" s="78">
        <v>-150</v>
      </c>
      <c r="G15" s="78">
        <v>-168.91</v>
      </c>
      <c r="H15" s="78">
        <f t="shared" si="0"/>
        <v>-92214.5</v>
      </c>
    </row>
    <row r="16" spans="1:8">
      <c r="A16" s="100">
        <v>45362</v>
      </c>
      <c r="B16" s="106" t="s">
        <v>72</v>
      </c>
      <c r="D16" s="186"/>
      <c r="E16" s="78">
        <f>E41*-1</f>
        <v>-225.66</v>
      </c>
      <c r="F16" s="63"/>
      <c r="G16" s="78">
        <f>-225.66</f>
        <v>-225.66</v>
      </c>
      <c r="H16" s="78">
        <f t="shared" si="0"/>
        <v>-92440.16</v>
      </c>
    </row>
    <row r="17" spans="1:8">
      <c r="A17" s="88">
        <v>45372</v>
      </c>
      <c r="B17" s="106" t="s">
        <v>73</v>
      </c>
      <c r="C17" s="106" t="s">
        <v>323</v>
      </c>
      <c r="D17" s="186"/>
      <c r="E17" s="78">
        <v>-300</v>
      </c>
      <c r="F17" s="63"/>
      <c r="G17" s="78">
        <v>-1083</v>
      </c>
      <c r="H17" s="78">
        <f t="shared" si="0"/>
        <v>-93523.16</v>
      </c>
    </row>
    <row r="18" spans="1:8">
      <c r="A18" s="88">
        <v>45372</v>
      </c>
      <c r="B18" s="106" t="s">
        <v>74</v>
      </c>
      <c r="C18" s="106" t="s">
        <v>323</v>
      </c>
      <c r="D18" s="186"/>
      <c r="E18" s="78">
        <v>-100</v>
      </c>
      <c r="F18" s="63"/>
      <c r="G18" s="78">
        <v>0</v>
      </c>
      <c r="H18" s="78">
        <f t="shared" si="0"/>
        <v>-93523.16</v>
      </c>
    </row>
    <row r="19" spans="1:8">
      <c r="A19" s="88">
        <v>45378</v>
      </c>
      <c r="B19" s="8" t="s">
        <v>76</v>
      </c>
      <c r="D19" s="186">
        <v>10000</v>
      </c>
      <c r="E19" s="78"/>
      <c r="F19" s="63">
        <v>10367.49</v>
      </c>
      <c r="G19" s="78"/>
      <c r="H19" s="78">
        <f t="shared" si="0"/>
        <v>-83155.67</v>
      </c>
    </row>
    <row r="20" spans="1:8">
      <c r="A20" s="88">
        <v>45378</v>
      </c>
      <c r="B20" s="8" t="s">
        <v>77</v>
      </c>
      <c r="D20" s="186"/>
      <c r="E20" s="78">
        <v>-5000</v>
      </c>
      <c r="F20" s="63"/>
      <c r="G20" s="78">
        <v>-5203</v>
      </c>
      <c r="H20" s="78">
        <f t="shared" si="0"/>
        <v>-88358.67</v>
      </c>
    </row>
    <row r="21" spans="1:8">
      <c r="A21" s="88"/>
      <c r="B21" s="8" t="s">
        <v>670</v>
      </c>
      <c r="D21" s="186"/>
      <c r="E21" s="78"/>
      <c r="F21" s="63"/>
      <c r="G21" s="78"/>
      <c r="H21" s="78">
        <f t="shared" si="0"/>
        <v>-88358.67</v>
      </c>
    </row>
    <row r="22" spans="1:8">
      <c r="A22" s="88">
        <v>45378</v>
      </c>
      <c r="B22" s="8" t="s">
        <v>78</v>
      </c>
      <c r="D22" s="186"/>
      <c r="E22" s="78">
        <v>-5000</v>
      </c>
      <c r="F22" s="63"/>
      <c r="G22" s="78">
        <v>-5203</v>
      </c>
      <c r="H22" s="78">
        <f t="shared" si="0"/>
        <v>-93561.67</v>
      </c>
    </row>
    <row r="23" spans="1:8">
      <c r="A23" s="88">
        <v>45378</v>
      </c>
      <c r="B23" s="8" t="s">
        <v>79</v>
      </c>
      <c r="D23" s="186"/>
      <c r="E23" s="78">
        <v>-5000</v>
      </c>
      <c r="F23" s="63"/>
      <c r="G23" s="78">
        <v>-5000</v>
      </c>
      <c r="H23" s="78">
        <f t="shared" si="0"/>
        <v>-98561.67</v>
      </c>
    </row>
    <row r="24" spans="1:8">
      <c r="A24" s="100">
        <v>45380</v>
      </c>
      <c r="B24" s="8" t="s">
        <v>671</v>
      </c>
      <c r="D24" s="186">
        <v>2800</v>
      </c>
      <c r="E24" s="78"/>
      <c r="F24" s="63">
        <v>2800</v>
      </c>
      <c r="G24" s="78"/>
      <c r="H24" s="78">
        <f t="shared" si="0"/>
        <v>-95761.67</v>
      </c>
    </row>
    <row r="25" spans="1:8">
      <c r="A25" s="88">
        <v>45380</v>
      </c>
      <c r="B25" s="101" t="s">
        <v>80</v>
      </c>
      <c r="C25" s="101"/>
      <c r="D25" s="186"/>
      <c r="E25" s="78">
        <v>-400</v>
      </c>
      <c r="G25" s="78">
        <v>-255</v>
      </c>
      <c r="H25" s="78">
        <f t="shared" si="0"/>
        <v>-96016.67</v>
      </c>
    </row>
    <row r="26" spans="1:8">
      <c r="A26" s="88">
        <v>45380</v>
      </c>
      <c r="B26" s="101" t="s">
        <v>81</v>
      </c>
      <c r="C26" s="101"/>
      <c r="D26" s="186"/>
      <c r="E26" s="78">
        <v>-500</v>
      </c>
      <c r="G26" s="78">
        <v>-460</v>
      </c>
      <c r="H26" s="78">
        <f t="shared" si="0"/>
        <v>-96476.67</v>
      </c>
    </row>
    <row r="27" spans="1:8">
      <c r="F27" s="163"/>
      <c r="G27" s="78"/>
      <c r="H27" s="78">
        <f t="shared" si="0"/>
        <v>-96476.67</v>
      </c>
    </row>
    <row r="28" spans="1:8">
      <c r="A28" s="190"/>
      <c r="G28" s="78"/>
      <c r="H28" s="78">
        <f t="shared" si="0"/>
        <v>-96476.67</v>
      </c>
    </row>
    <row r="29" spans="1:8">
      <c r="A29" s="157"/>
      <c r="E29" s="191"/>
      <c r="F29" s="63"/>
      <c r="G29" s="78"/>
      <c r="H29" s="78">
        <f t="shared" si="0"/>
        <v>-96476.67</v>
      </c>
    </row>
    <row r="30" spans="1:8">
      <c r="A30" s="192"/>
      <c r="F30" s="63"/>
      <c r="G30" s="77"/>
      <c r="H30" s="78"/>
    </row>
    <row r="31" spans="1:8">
      <c r="G31" s="63"/>
      <c r="H31" s="63"/>
    </row>
    <row r="32" spans="1:8">
      <c r="B32" t="s">
        <v>325</v>
      </c>
      <c r="G32" s="63"/>
      <c r="H32" s="63"/>
    </row>
    <row r="33" spans="1:8">
      <c r="A33" s="103"/>
      <c r="B33" s="103" t="s">
        <v>326</v>
      </c>
      <c r="C33" s="103"/>
      <c r="G33" s="63"/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327</v>
      </c>
      <c r="C35" s="103"/>
      <c r="D35" s="102">
        <f>SUM(D36:D41)</f>
        <v>5343.55</v>
      </c>
      <c r="E35" s="77">
        <f>SUM(E36:E41)</f>
        <v>5345.7999999999993</v>
      </c>
      <c r="H35" s="63"/>
    </row>
    <row r="36" spans="1:8">
      <c r="A36" s="100"/>
      <c r="B36" s="106" t="s">
        <v>328</v>
      </c>
      <c r="D36" s="102">
        <v>967.68</v>
      </c>
      <c r="E36" s="78">
        <v>970</v>
      </c>
      <c r="H36" s="63"/>
    </row>
    <row r="37" spans="1:8">
      <c r="B37" t="s">
        <v>672</v>
      </c>
      <c r="C37" t="s">
        <v>428</v>
      </c>
      <c r="D37" s="102">
        <v>1224.42</v>
      </c>
      <c r="E37" s="78">
        <v>1225</v>
      </c>
      <c r="F37" s="63"/>
      <c r="G37" s="63"/>
    </row>
    <row r="38" spans="1:8">
      <c r="B38" t="s">
        <v>330</v>
      </c>
      <c r="D38" s="102">
        <v>237.14</v>
      </c>
      <c r="E38" s="78">
        <v>237.14</v>
      </c>
      <c r="F38" s="63"/>
      <c r="G38" s="63"/>
    </row>
    <row r="39" spans="1:8">
      <c r="B39" t="s">
        <v>673</v>
      </c>
      <c r="D39" s="102">
        <v>2248.8000000000002</v>
      </c>
      <c r="E39" s="78">
        <v>2248</v>
      </c>
      <c r="F39" s="63"/>
      <c r="G39" s="63"/>
    </row>
    <row r="40" spans="1:8">
      <c r="B40" t="s">
        <v>332</v>
      </c>
      <c r="D40" s="102">
        <v>439.85</v>
      </c>
      <c r="E40" s="78">
        <v>440</v>
      </c>
      <c r="F40" s="63"/>
      <c r="G40" s="63"/>
    </row>
    <row r="41" spans="1:8">
      <c r="B41" t="s">
        <v>333</v>
      </c>
      <c r="C41" s="106"/>
      <c r="D41" s="106">
        <v>225.66</v>
      </c>
      <c r="E41" s="78">
        <v>225.66</v>
      </c>
      <c r="F41" s="63"/>
      <c r="G41" s="63"/>
    </row>
    <row r="42" spans="1:8">
      <c r="C42" s="106"/>
      <c r="F42" s="63"/>
      <c r="G42" s="63"/>
    </row>
    <row r="44" spans="1:8">
      <c r="B44" s="17"/>
    </row>
    <row r="45" spans="1:8">
      <c r="B45" s="102"/>
    </row>
    <row r="46" spans="1:8">
      <c r="A46" s="103"/>
      <c r="B46" s="104" t="s">
        <v>83</v>
      </c>
      <c r="C46" s="103"/>
      <c r="E46" s="193">
        <f>SUM(E47:E60)</f>
        <v>-6341.6600000000008</v>
      </c>
    </row>
    <row r="47" spans="1:8">
      <c r="A47" s="100">
        <v>45187</v>
      </c>
      <c r="B47" s="106" t="s">
        <v>560</v>
      </c>
      <c r="C47" s="106">
        <v>7648.33</v>
      </c>
      <c r="D47" s="102" t="s">
        <v>674</v>
      </c>
      <c r="E47" s="77">
        <v>-849.81</v>
      </c>
      <c r="G47" s="63"/>
      <c r="H47" s="63"/>
    </row>
    <row r="48" spans="1:8">
      <c r="A48" s="100">
        <v>45187</v>
      </c>
      <c r="B48" s="106" t="s">
        <v>675</v>
      </c>
      <c r="C48" s="106">
        <v>11128</v>
      </c>
      <c r="D48" s="102" t="s">
        <v>439</v>
      </c>
      <c r="E48" s="77">
        <v>-1854.65</v>
      </c>
      <c r="F48" s="63"/>
      <c r="G48" s="63"/>
      <c r="H48" s="63"/>
    </row>
    <row r="49" spans="1:8">
      <c r="A49" s="88">
        <v>45325</v>
      </c>
      <c r="B49" s="8" t="s">
        <v>409</v>
      </c>
      <c r="E49" s="77">
        <v>-453.4</v>
      </c>
      <c r="G49" s="63"/>
      <c r="H49" s="63"/>
    </row>
    <row r="50" spans="1:8">
      <c r="A50" s="88">
        <v>45326</v>
      </c>
      <c r="B50" s="8" t="s">
        <v>676</v>
      </c>
      <c r="E50" s="77">
        <v>-300</v>
      </c>
      <c r="G50" s="63"/>
      <c r="H50" s="63"/>
    </row>
    <row r="51" spans="1:8">
      <c r="A51" s="88">
        <v>45327</v>
      </c>
      <c r="B51" s="8" t="s">
        <v>129</v>
      </c>
      <c r="C51">
        <v>3900.57</v>
      </c>
      <c r="G51" s="63"/>
      <c r="H51" s="63"/>
    </row>
    <row r="52" spans="1:8">
      <c r="A52" s="88">
        <v>45330</v>
      </c>
      <c r="B52" s="8" t="s">
        <v>677</v>
      </c>
      <c r="E52" s="77">
        <v>-900</v>
      </c>
      <c r="G52" s="63"/>
      <c r="H52" s="63"/>
    </row>
    <row r="53" spans="1:8">
      <c r="A53" s="88">
        <v>45330</v>
      </c>
      <c r="B53" s="8" t="s">
        <v>678</v>
      </c>
      <c r="E53" s="77">
        <v>-116.38</v>
      </c>
      <c r="G53" s="63"/>
      <c r="H53" s="63"/>
    </row>
    <row r="54" spans="1:8">
      <c r="A54" s="100">
        <v>45331</v>
      </c>
      <c r="B54" s="106" t="s">
        <v>651</v>
      </c>
      <c r="C54" s="106"/>
      <c r="E54" s="77">
        <v>-100</v>
      </c>
      <c r="F54" s="63"/>
      <c r="G54" s="63"/>
      <c r="H54" s="63"/>
    </row>
    <row r="55" spans="1:8">
      <c r="A55" s="100">
        <v>45331</v>
      </c>
      <c r="B55" s="106" t="s">
        <v>679</v>
      </c>
      <c r="C55" s="106"/>
      <c r="E55" s="77">
        <v>-215.42</v>
      </c>
      <c r="F55" s="63"/>
      <c r="G55" s="63"/>
      <c r="H55" s="63"/>
    </row>
    <row r="56" spans="1:8">
      <c r="A56" s="100">
        <v>45332</v>
      </c>
      <c r="B56" s="106" t="s">
        <v>651</v>
      </c>
      <c r="C56" s="106"/>
      <c r="E56" s="77">
        <v>-100</v>
      </c>
      <c r="F56" s="63"/>
      <c r="G56" s="63"/>
      <c r="H56" s="63"/>
    </row>
    <row r="57" spans="1:8">
      <c r="A57" s="100">
        <v>45332</v>
      </c>
      <c r="B57" s="106" t="s">
        <v>680</v>
      </c>
      <c r="C57" s="106"/>
      <c r="E57" s="77">
        <v>-900</v>
      </c>
      <c r="F57" s="63"/>
      <c r="G57" s="63"/>
      <c r="H57" s="63"/>
    </row>
    <row r="58" spans="1:8">
      <c r="A58" s="100">
        <v>45337</v>
      </c>
      <c r="B58" s="106" t="s">
        <v>681</v>
      </c>
      <c r="E58" s="77">
        <v>-352</v>
      </c>
      <c r="F58" s="63"/>
      <c r="G58" s="63"/>
      <c r="H58" s="63"/>
    </row>
    <row r="59" spans="1:8">
      <c r="A59" s="100">
        <v>45338</v>
      </c>
      <c r="B59" s="106" t="s">
        <v>651</v>
      </c>
      <c r="C59" s="106"/>
      <c r="E59" s="77">
        <v>-100</v>
      </c>
      <c r="F59" s="63"/>
      <c r="G59" s="63"/>
      <c r="H59" s="63"/>
    </row>
    <row r="60" spans="1:8">
      <c r="A60" s="100">
        <v>45339</v>
      </c>
      <c r="B60" s="3" t="s">
        <v>651</v>
      </c>
      <c r="E60" s="77">
        <v>-100</v>
      </c>
      <c r="F60" s="63"/>
      <c r="G60" s="63"/>
      <c r="H60" s="63"/>
    </row>
    <row r="61" spans="1:8" ht="15">
      <c r="A61" s="100"/>
      <c r="B61" s="106"/>
      <c r="C61" s="106"/>
      <c r="D61" s="105" t="s">
        <v>84</v>
      </c>
      <c r="F61" s="63"/>
      <c r="G61" s="63"/>
      <c r="H61" s="63"/>
    </row>
    <row r="62" spans="1:8">
      <c r="A62" s="100"/>
      <c r="B62" s="106"/>
      <c r="C62" s="106"/>
      <c r="F62" s="63"/>
      <c r="G62" s="63"/>
      <c r="H62" s="63"/>
    </row>
    <row r="63" spans="1:8">
      <c r="A63" s="100"/>
      <c r="B63" s="106"/>
      <c r="C63" s="106"/>
      <c r="F63" s="63"/>
      <c r="G63" s="63"/>
      <c r="H63" s="63"/>
    </row>
    <row r="64" spans="1:8">
      <c r="A64" s="100"/>
      <c r="B64" s="106"/>
      <c r="C64" s="106"/>
      <c r="F64" s="63"/>
      <c r="G64" s="63"/>
      <c r="H64" s="63"/>
    </row>
    <row r="65" spans="1:8">
      <c r="A65" s="103"/>
      <c r="B65" s="104" t="s">
        <v>85</v>
      </c>
      <c r="C65" s="103"/>
      <c r="E65" s="194">
        <f>SUM(E66:E85)</f>
        <v>-72173.5</v>
      </c>
      <c r="F65" s="63"/>
      <c r="G65" s="63"/>
    </row>
    <row r="66" spans="1:8">
      <c r="A66" s="100"/>
      <c r="B66" s="106"/>
      <c r="C66" s="106"/>
      <c r="F66" s="63"/>
      <c r="G66" s="63"/>
      <c r="H66" s="63"/>
    </row>
    <row r="67" spans="1:8">
      <c r="A67" s="100">
        <v>45187</v>
      </c>
      <c r="B67" s="106" t="s">
        <v>682</v>
      </c>
      <c r="C67" s="106"/>
      <c r="D67" s="102" t="s">
        <v>683</v>
      </c>
      <c r="E67" s="77">
        <v>-3974.42</v>
      </c>
      <c r="F67">
        <v>0</v>
      </c>
      <c r="G67" s="63"/>
      <c r="H67" s="63"/>
    </row>
    <row r="68" spans="1:8">
      <c r="A68" s="165">
        <v>45214</v>
      </c>
      <c r="B68" s="8" t="s">
        <v>655</v>
      </c>
      <c r="D68" s="102" t="s">
        <v>684</v>
      </c>
      <c r="E68" s="77">
        <v>-600</v>
      </c>
      <c r="F68" s="63"/>
      <c r="G68" s="63"/>
      <c r="H68" s="63"/>
    </row>
    <row r="69" spans="1:8">
      <c r="A69" s="165">
        <v>45285</v>
      </c>
      <c r="B69" s="106" t="s">
        <v>520</v>
      </c>
      <c r="C69" s="106"/>
      <c r="D69" s="102" t="s">
        <v>685</v>
      </c>
      <c r="E69" s="77">
        <v>-3551.66</v>
      </c>
      <c r="F69" s="63"/>
      <c r="G69" s="63"/>
      <c r="H69" s="63"/>
    </row>
    <row r="70" spans="1:8">
      <c r="A70" s="165">
        <v>45259</v>
      </c>
      <c r="B70" s="8" t="s">
        <v>686</v>
      </c>
      <c r="C70" s="176">
        <v>-1204.5</v>
      </c>
      <c r="D70" s="102" t="s">
        <v>687</v>
      </c>
      <c r="E70" s="77">
        <v>-401.5</v>
      </c>
      <c r="F70" s="63"/>
      <c r="G70" s="63"/>
      <c r="H70" s="63"/>
    </row>
    <row r="71" spans="1:8">
      <c r="A71" s="165">
        <v>45259</v>
      </c>
      <c r="B71" s="8" t="s">
        <v>688</v>
      </c>
      <c r="C71" s="176">
        <v>-148.6</v>
      </c>
      <c r="D71" s="102" t="s">
        <v>687</v>
      </c>
      <c r="E71" s="77">
        <v>-49.54</v>
      </c>
      <c r="F71" s="63"/>
      <c r="G71" s="63"/>
      <c r="H71" s="63"/>
    </row>
    <row r="72" spans="1:8">
      <c r="A72" s="165">
        <v>45259</v>
      </c>
      <c r="B72" s="8" t="s">
        <v>689</v>
      </c>
      <c r="C72" s="176">
        <v>-244.8</v>
      </c>
      <c r="D72" s="102" t="s">
        <v>687</v>
      </c>
      <c r="E72" s="77">
        <v>-81.599999999999994</v>
      </c>
      <c r="F72" s="63"/>
      <c r="G72" s="63"/>
      <c r="H72" s="63"/>
    </row>
    <row r="73" spans="1:8">
      <c r="A73" s="165">
        <v>45259</v>
      </c>
      <c r="B73" s="8" t="s">
        <v>690</v>
      </c>
      <c r="C73" s="176">
        <v>-532.6</v>
      </c>
      <c r="D73" s="102" t="s">
        <v>687</v>
      </c>
      <c r="E73" s="77">
        <v>-177.54</v>
      </c>
      <c r="F73" s="63"/>
      <c r="G73" s="63"/>
      <c r="H73" s="63"/>
    </row>
    <row r="74" spans="1:8">
      <c r="A74" s="165"/>
      <c r="B74" s="106" t="s">
        <v>161</v>
      </c>
      <c r="C74" s="106">
        <v>899</v>
      </c>
      <c r="D74" s="195" t="s">
        <v>691</v>
      </c>
      <c r="E74" s="77">
        <v>-449.5</v>
      </c>
      <c r="F74" s="63"/>
      <c r="G74" s="63"/>
      <c r="H74" s="63"/>
    </row>
    <row r="75" spans="1:8">
      <c r="A75" s="165"/>
      <c r="B75" s="106" t="s">
        <v>692</v>
      </c>
      <c r="C75" s="106"/>
      <c r="D75" s="195" t="s">
        <v>691</v>
      </c>
      <c r="E75" s="77">
        <v>-299.64</v>
      </c>
      <c r="F75" s="63"/>
      <c r="G75" s="63"/>
      <c r="H75" s="63"/>
    </row>
    <row r="76" spans="1:8">
      <c r="A76" s="165"/>
      <c r="B76" s="106" t="s">
        <v>693</v>
      </c>
      <c r="C76" s="106"/>
      <c r="D76" s="195" t="s">
        <v>691</v>
      </c>
      <c r="E76" s="77">
        <v>-546.82000000000005</v>
      </c>
      <c r="F76" s="63"/>
      <c r="G76" s="63"/>
      <c r="H76" s="63"/>
    </row>
    <row r="77" spans="1:8">
      <c r="A77" s="100"/>
      <c r="B77" s="3" t="s">
        <v>476</v>
      </c>
      <c r="C77" s="106"/>
      <c r="D77" s="195" t="s">
        <v>694</v>
      </c>
      <c r="E77" s="77">
        <v>-649.78</v>
      </c>
      <c r="F77" s="63"/>
      <c r="G77" s="63"/>
      <c r="H77" s="63"/>
    </row>
    <row r="78" spans="1:8">
      <c r="A78" s="100"/>
      <c r="B78" s="3" t="s">
        <v>478</v>
      </c>
      <c r="C78" s="106">
        <v>49.98</v>
      </c>
      <c r="D78" s="195" t="s">
        <v>694</v>
      </c>
      <c r="F78" s="63"/>
      <c r="G78" s="63"/>
      <c r="H78" s="63"/>
    </row>
    <row r="79" spans="1:8">
      <c r="A79" s="100"/>
      <c r="B79" s="3"/>
      <c r="C79" s="106"/>
      <c r="F79" s="63"/>
      <c r="G79" s="63"/>
      <c r="H79" s="63"/>
    </row>
    <row r="80" spans="1:8">
      <c r="A80" s="100"/>
      <c r="B80" s="3"/>
      <c r="C80" s="106"/>
      <c r="F80" s="63"/>
      <c r="G80" s="63"/>
      <c r="H80" s="63"/>
    </row>
    <row r="81" spans="1:8">
      <c r="A81" s="100">
        <v>45324</v>
      </c>
      <c r="B81" s="3" t="s">
        <v>695</v>
      </c>
      <c r="C81" s="106"/>
      <c r="E81" s="77">
        <v>-1195</v>
      </c>
      <c r="F81" s="63"/>
      <c r="G81" s="63"/>
      <c r="H81" s="63"/>
    </row>
    <row r="82" spans="1:8">
      <c r="A82" s="100">
        <v>45327</v>
      </c>
      <c r="B82" s="3" t="s">
        <v>696</v>
      </c>
      <c r="C82" s="77">
        <v>-299.99</v>
      </c>
      <c r="F82" s="63"/>
      <c r="G82" s="63"/>
      <c r="H82" s="63"/>
    </row>
    <row r="83" spans="1:8">
      <c r="A83" s="100">
        <v>45336</v>
      </c>
      <c r="B83" s="3" t="s">
        <v>364</v>
      </c>
      <c r="C83" s="106"/>
      <c r="E83" s="77">
        <v>-59483.25</v>
      </c>
      <c r="F83" s="63"/>
      <c r="G83" s="63"/>
      <c r="H83" s="63"/>
    </row>
    <row r="84" spans="1:8">
      <c r="A84" s="100">
        <v>45329</v>
      </c>
      <c r="B84" s="3" t="s">
        <v>697</v>
      </c>
      <c r="C84" s="106"/>
      <c r="E84" s="77">
        <v>-713.25</v>
      </c>
      <c r="F84" s="63"/>
      <c r="G84" s="63"/>
      <c r="H84" s="63"/>
    </row>
    <row r="85" spans="1:8">
      <c r="A85" s="100">
        <v>45327</v>
      </c>
      <c r="B85" s="3" t="s">
        <v>129</v>
      </c>
      <c r="C85" s="106">
        <v>24742.959999999999</v>
      </c>
      <c r="F85" s="63"/>
      <c r="G85" s="63"/>
      <c r="H85" s="63"/>
    </row>
    <row r="86" spans="1:8">
      <c r="A86" s="100"/>
      <c r="B86" s="3"/>
      <c r="C86" s="106"/>
      <c r="F86" s="63"/>
      <c r="G86" s="63"/>
      <c r="H86" s="63"/>
    </row>
    <row r="87" spans="1:8" ht="15">
      <c r="A87" s="100"/>
      <c r="B87" s="3"/>
      <c r="C87" s="106"/>
      <c r="D87" s="105" t="s">
        <v>84</v>
      </c>
      <c r="F87" s="63"/>
      <c r="G87" s="63"/>
      <c r="H87" s="63"/>
    </row>
    <row r="88" spans="1:8">
      <c r="A88" s="100"/>
      <c r="B88" s="3"/>
      <c r="C88" s="106"/>
      <c r="F88" s="63"/>
      <c r="G88" s="63"/>
      <c r="H88" s="63"/>
    </row>
    <row r="89" spans="1:8">
      <c r="A89" s="100"/>
      <c r="B89" s="3"/>
      <c r="C89" s="106"/>
      <c r="F89" s="63"/>
      <c r="G89" s="63"/>
      <c r="H89" s="63"/>
    </row>
    <row r="90" spans="1:8">
      <c r="A90" s="100"/>
      <c r="B90" s="3"/>
      <c r="C90" s="106"/>
      <c r="F90" s="63"/>
      <c r="G90" s="63"/>
      <c r="H90" s="63"/>
    </row>
    <row r="91" spans="1:8">
      <c r="A91" s="100"/>
      <c r="B91" s="3"/>
      <c r="C91" s="106"/>
      <c r="F91" s="63"/>
      <c r="G91" s="63"/>
      <c r="H91" s="63"/>
    </row>
    <row r="92" spans="1:8">
      <c r="A92" s="100"/>
      <c r="B92" s="3"/>
      <c r="C92" s="106"/>
      <c r="F92" s="63"/>
      <c r="G92" s="63"/>
      <c r="H92" s="63"/>
    </row>
    <row r="93" spans="1:8">
      <c r="A93" s="100"/>
      <c r="B93" s="3"/>
      <c r="C93" s="106"/>
      <c r="F93" s="63"/>
      <c r="G93" s="63"/>
      <c r="H93" s="63"/>
    </row>
    <row r="94" spans="1:8">
      <c r="A94" s="100"/>
      <c r="B94" s="3"/>
      <c r="C94" s="106"/>
      <c r="F94" s="63"/>
      <c r="G94" s="63"/>
      <c r="H94" s="63"/>
    </row>
    <row r="95" spans="1:8">
      <c r="A95" s="100"/>
      <c r="B95" s="3"/>
      <c r="C95" s="106"/>
      <c r="F95" s="63"/>
      <c r="G95" s="63"/>
      <c r="H95" s="63"/>
    </row>
    <row r="96" spans="1:8">
      <c r="A96" s="100"/>
      <c r="B96" s="3"/>
      <c r="C96" s="106"/>
      <c r="F96" s="63"/>
      <c r="G96" s="63"/>
      <c r="H96" s="63"/>
    </row>
    <row r="97" spans="1:8">
      <c r="A97" s="100"/>
      <c r="B97" s="3"/>
      <c r="C97" s="106"/>
      <c r="F97" s="63"/>
      <c r="G97" s="63"/>
      <c r="H97" s="63"/>
    </row>
    <row r="106" spans="1:8">
      <c r="A106" s="100"/>
    </row>
    <row r="107" spans="1:8">
      <c r="A107" s="100"/>
    </row>
    <row r="108" spans="1:8">
      <c r="A108" s="113" t="s">
        <v>698</v>
      </c>
      <c r="B108" s="104" t="s">
        <v>136</v>
      </c>
      <c r="C108" s="103">
        <v>2024</v>
      </c>
      <c r="D108" s="158"/>
      <c r="E108" s="159">
        <f>SUM(E109:E127)</f>
        <v>745852.05035699997</v>
      </c>
    </row>
    <row r="109" spans="1:8">
      <c r="A109" s="160">
        <v>45352</v>
      </c>
      <c r="B109" s="8" t="s">
        <v>77</v>
      </c>
      <c r="C109" s="2"/>
      <c r="D109" s="2"/>
      <c r="E109" s="2">
        <v>64000</v>
      </c>
    </row>
    <row r="110" spans="1:8">
      <c r="A110" s="160">
        <f t="shared" ref="A110:A127" si="1">A109</f>
        <v>45352</v>
      </c>
      <c r="B110" s="8" t="s">
        <v>699</v>
      </c>
      <c r="C110" s="2"/>
      <c r="D110" s="2"/>
      <c r="E110" s="2">
        <v>150845</v>
      </c>
    </row>
    <row r="111" spans="1:8">
      <c r="A111" s="160">
        <f t="shared" si="1"/>
        <v>45352</v>
      </c>
      <c r="B111" s="8" t="s">
        <v>300</v>
      </c>
      <c r="C111" s="2"/>
      <c r="D111" s="2"/>
      <c r="E111" s="17">
        <v>5039.78</v>
      </c>
    </row>
    <row r="112" spans="1:8">
      <c r="A112" s="160">
        <f t="shared" si="1"/>
        <v>45352</v>
      </c>
      <c r="B112" s="8" t="s">
        <v>301</v>
      </c>
      <c r="C112" s="2"/>
      <c r="D112" s="2"/>
      <c r="E112" s="17">
        <v>0</v>
      </c>
    </row>
    <row r="113" spans="1:5">
      <c r="A113" s="160">
        <f t="shared" si="1"/>
        <v>45352</v>
      </c>
      <c r="B113" s="8" t="s">
        <v>497</v>
      </c>
      <c r="C113" s="2"/>
      <c r="D113" s="2"/>
      <c r="E113" s="17">
        <v>0</v>
      </c>
    </row>
    <row r="114" spans="1:5">
      <c r="A114" s="160">
        <f t="shared" si="1"/>
        <v>45352</v>
      </c>
      <c r="B114" s="8" t="s">
        <v>302</v>
      </c>
      <c r="C114" s="124"/>
      <c r="D114" s="2"/>
      <c r="E114" s="17">
        <v>0</v>
      </c>
    </row>
    <row r="115" spans="1:5">
      <c r="A115" s="160">
        <f t="shared" si="1"/>
        <v>45352</v>
      </c>
      <c r="B115" s="8" t="s">
        <v>236</v>
      </c>
      <c r="C115" s="2"/>
      <c r="D115" s="2"/>
      <c r="E115" s="17">
        <v>0</v>
      </c>
    </row>
    <row r="116" spans="1:5">
      <c r="A116" s="160">
        <f t="shared" si="1"/>
        <v>45352</v>
      </c>
      <c r="B116" s="8" t="s">
        <v>498</v>
      </c>
      <c r="C116" s="2" t="s">
        <v>700</v>
      </c>
      <c r="D116" s="2"/>
      <c r="E116" s="17">
        <v>129254.5</v>
      </c>
    </row>
    <row r="117" spans="1:5">
      <c r="A117" s="160">
        <f t="shared" si="1"/>
        <v>45352</v>
      </c>
      <c r="B117" s="8" t="s">
        <v>701</v>
      </c>
      <c r="C117" s="2" t="s">
        <v>702</v>
      </c>
      <c r="D117" s="2"/>
      <c r="E117" s="17">
        <v>256.56</v>
      </c>
    </row>
    <row r="118" spans="1:5">
      <c r="A118" s="160">
        <f t="shared" si="1"/>
        <v>45352</v>
      </c>
      <c r="B118" s="8" t="s">
        <v>703</v>
      </c>
      <c r="C118" s="160" t="s">
        <v>704</v>
      </c>
      <c r="D118" s="161"/>
      <c r="E118" s="17">
        <v>0</v>
      </c>
    </row>
    <row r="119" spans="1:5">
      <c r="A119" s="160">
        <f t="shared" si="1"/>
        <v>45352</v>
      </c>
      <c r="B119" s="8" t="s">
        <v>705</v>
      </c>
      <c r="C119" s="160" t="s">
        <v>706</v>
      </c>
      <c r="D119" s="161"/>
      <c r="E119" s="17">
        <v>588.6</v>
      </c>
    </row>
    <row r="120" spans="1:5">
      <c r="A120" s="160">
        <f t="shared" si="1"/>
        <v>45352</v>
      </c>
      <c r="B120" s="8" t="s">
        <v>707</v>
      </c>
      <c r="C120" s="160"/>
      <c r="D120" s="161"/>
      <c r="E120" s="17"/>
    </row>
    <row r="121" spans="1:5">
      <c r="A121" s="160">
        <f t="shared" si="1"/>
        <v>45352</v>
      </c>
      <c r="B121" s="8" t="s">
        <v>140</v>
      </c>
      <c r="C121" s="2"/>
      <c r="D121" s="2"/>
      <c r="E121" s="17">
        <v>450</v>
      </c>
    </row>
    <row r="122" spans="1:5">
      <c r="A122" s="160">
        <f t="shared" si="1"/>
        <v>45352</v>
      </c>
      <c r="B122" s="8" t="s">
        <v>708</v>
      </c>
      <c r="C122" s="2">
        <v>2017.98</v>
      </c>
      <c r="D122" s="2">
        <v>161</v>
      </c>
      <c r="E122" s="17">
        <f>D122*C122</f>
        <v>324894.78000000003</v>
      </c>
    </row>
    <row r="123" spans="1:5">
      <c r="A123" s="160">
        <f t="shared" si="1"/>
        <v>45352</v>
      </c>
      <c r="B123" s="8" t="s">
        <v>709</v>
      </c>
      <c r="C123" s="162">
        <v>30.726199999999999</v>
      </c>
      <c r="D123" s="2">
        <v>850</v>
      </c>
      <c r="E123" s="17">
        <f>D123*C123</f>
        <v>26117.27</v>
      </c>
    </row>
    <row r="124" spans="1:5">
      <c r="A124" s="160">
        <f t="shared" si="1"/>
        <v>45352</v>
      </c>
      <c r="B124" s="8" t="s">
        <v>504</v>
      </c>
      <c r="C124" s="162">
        <v>30.725999999999999</v>
      </c>
      <c r="D124" s="2">
        <v>250</v>
      </c>
      <c r="E124" s="17">
        <f>D124*C124</f>
        <v>7681.5</v>
      </c>
    </row>
    <row r="125" spans="1:5">
      <c r="A125" s="160">
        <f t="shared" si="1"/>
        <v>45352</v>
      </c>
      <c r="B125" s="8" t="s">
        <v>710</v>
      </c>
      <c r="C125" s="162">
        <v>33.224299999999999</v>
      </c>
      <c r="D125" s="2">
        <v>81.99</v>
      </c>
      <c r="E125" s="17">
        <f>D125*C125</f>
        <v>2724.0603569999998</v>
      </c>
    </row>
    <row r="126" spans="1:5">
      <c r="A126" s="160">
        <f t="shared" si="1"/>
        <v>45352</v>
      </c>
      <c r="B126" s="8" t="s">
        <v>152</v>
      </c>
      <c r="C126" s="2"/>
      <c r="D126" s="2"/>
      <c r="E126" s="17">
        <v>30000</v>
      </c>
    </row>
    <row r="127" spans="1:5">
      <c r="A127" s="160">
        <f t="shared" si="1"/>
        <v>45352</v>
      </c>
      <c r="B127" s="8" t="s">
        <v>153</v>
      </c>
      <c r="C127" s="2"/>
      <c r="D127" s="2"/>
      <c r="E127" s="17">
        <v>4000</v>
      </c>
    </row>
    <row r="128" spans="1:5">
      <c r="E128" s="176"/>
    </row>
    <row r="129" spans="3:5">
      <c r="C129" s="124"/>
      <c r="D129" s="3"/>
      <c r="E129" s="124"/>
    </row>
    <row r="130" spans="3:5">
      <c r="C130" s="124"/>
      <c r="D130" s="18" t="s">
        <v>155</v>
      </c>
      <c r="E130" s="9">
        <f>SUM(E109:E127)</f>
        <v>745852.05035699997</v>
      </c>
    </row>
    <row r="131" spans="3:5">
      <c r="C131" s="125" t="str">
        <f>A108</f>
        <v>MART</v>
      </c>
      <c r="D131" s="126" t="s">
        <v>156</v>
      </c>
      <c r="E131" s="127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E2F0D9"/>
  </sheetPr>
  <dimension ref="A1:H134"/>
  <sheetViews>
    <sheetView topLeftCell="A63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76" customWidth="1"/>
    <col min="1024" max="1024" width="9.140625" customWidth="1"/>
  </cols>
  <sheetData>
    <row r="1" spans="1:8">
      <c r="E1" s="196"/>
      <c r="F1" s="189" t="s">
        <v>28</v>
      </c>
      <c r="G1" s="189" t="s">
        <v>29</v>
      </c>
      <c r="H1" s="189" t="s">
        <v>3</v>
      </c>
    </row>
    <row r="2" spans="1:8">
      <c r="A2" s="3" t="s">
        <v>711</v>
      </c>
      <c r="C2" s="79" t="s">
        <v>67</v>
      </c>
      <c r="D2" s="124">
        <f>SUM(D4:D31)</f>
        <v>19300</v>
      </c>
      <c r="E2" s="124">
        <f>SUM(E4:E31)</f>
        <v>-65325.849999999991</v>
      </c>
      <c r="F2" s="124">
        <f>SUM(F4:F31)</f>
        <v>20543.64</v>
      </c>
      <c r="G2" s="124">
        <f>SUM(G4:G31)</f>
        <v>-69834.739999999991</v>
      </c>
      <c r="H2" s="124">
        <f>F2+G2</f>
        <v>-49291.099999999991</v>
      </c>
    </row>
    <row r="3" spans="1:8">
      <c r="B3" s="18"/>
      <c r="E3" s="124"/>
      <c r="F3" s="124"/>
      <c r="G3" s="124"/>
      <c r="H3" s="124"/>
    </row>
    <row r="4" spans="1:8">
      <c r="A4" s="88">
        <v>45323</v>
      </c>
      <c r="B4" s="41" t="s">
        <v>424</v>
      </c>
      <c r="E4" s="176">
        <v>-152</v>
      </c>
      <c r="F4" s="176"/>
      <c r="G4" s="176">
        <v>-167</v>
      </c>
      <c r="H4" s="124">
        <f t="shared" ref="H4:H30" si="0">H3+F4+G4</f>
        <v>-167</v>
      </c>
    </row>
    <row r="5" spans="1:8">
      <c r="A5" s="88">
        <v>45323</v>
      </c>
      <c r="B5" s="101" t="s">
        <v>70</v>
      </c>
      <c r="C5" s="101"/>
      <c r="D5" s="101"/>
      <c r="E5" s="176">
        <v>-1500</v>
      </c>
      <c r="F5" s="176"/>
      <c r="G5" s="176">
        <v>-1512.13</v>
      </c>
      <c r="H5" s="124">
        <f t="shared" si="0"/>
        <v>-1679.13</v>
      </c>
    </row>
    <row r="6" spans="1:8">
      <c r="A6" s="88">
        <v>45323</v>
      </c>
      <c r="B6" s="8" t="s">
        <v>394</v>
      </c>
      <c r="D6" s="102"/>
      <c r="E6" s="176">
        <v>-10000</v>
      </c>
      <c r="F6" s="176"/>
      <c r="G6" s="176">
        <v>-10000</v>
      </c>
      <c r="H6" s="124">
        <f t="shared" si="0"/>
        <v>-11679.130000000001</v>
      </c>
    </row>
    <row r="7" spans="1:8">
      <c r="A7" s="88">
        <v>45323</v>
      </c>
      <c r="B7" s="101" t="s">
        <v>712</v>
      </c>
      <c r="C7" s="101"/>
      <c r="D7" s="101"/>
      <c r="E7" s="176">
        <v>-250</v>
      </c>
      <c r="F7" s="176"/>
      <c r="G7" s="176">
        <v>-250</v>
      </c>
      <c r="H7" s="124">
        <f t="shared" si="0"/>
        <v>-11929.130000000001</v>
      </c>
    </row>
    <row r="8" spans="1:8">
      <c r="A8" s="88">
        <v>45339</v>
      </c>
      <c r="B8" s="101" t="s">
        <v>713</v>
      </c>
      <c r="C8" s="101"/>
      <c r="D8" s="101"/>
      <c r="F8" s="176"/>
      <c r="G8" s="176">
        <v>-2750</v>
      </c>
      <c r="H8" s="124">
        <f t="shared" si="0"/>
        <v>-14679.130000000001</v>
      </c>
    </row>
    <row r="9" spans="1:8">
      <c r="A9" s="88">
        <v>45327</v>
      </c>
      <c r="B9" s="178" t="s">
        <v>68</v>
      </c>
      <c r="E9" s="176">
        <f>E47</f>
        <v>-3900.5699999999997</v>
      </c>
      <c r="F9" s="176"/>
      <c r="G9" s="176">
        <f>E9</f>
        <v>-3900.5699999999997</v>
      </c>
      <c r="H9" s="124">
        <f t="shared" si="0"/>
        <v>-18579.7</v>
      </c>
    </row>
    <row r="10" spans="1:8">
      <c r="A10" s="165">
        <v>45327</v>
      </c>
      <c r="B10" s="178" t="s">
        <v>69</v>
      </c>
      <c r="E10" s="176">
        <f>E64</f>
        <v>-24792.94</v>
      </c>
      <c r="F10" s="176"/>
      <c r="G10" s="176">
        <f>E10</f>
        <v>-24792.94</v>
      </c>
      <c r="H10" s="124">
        <f t="shared" si="0"/>
        <v>-43372.639999999999</v>
      </c>
    </row>
    <row r="11" spans="1:8">
      <c r="A11" s="100">
        <v>45328</v>
      </c>
      <c r="B11" s="8" t="s">
        <v>714</v>
      </c>
      <c r="C11" s="124"/>
      <c r="D11" s="124"/>
      <c r="F11" s="176">
        <v>6500</v>
      </c>
      <c r="G11" s="176"/>
      <c r="H11" s="124">
        <f t="shared" si="0"/>
        <v>-36872.639999999999</v>
      </c>
    </row>
    <row r="12" spans="1:8">
      <c r="A12" s="100">
        <v>45329</v>
      </c>
      <c r="B12" s="101" t="s">
        <v>715</v>
      </c>
      <c r="C12" s="101"/>
      <c r="D12" s="101"/>
      <c r="E12" s="176">
        <v>-5375</v>
      </c>
      <c r="F12" s="176"/>
      <c r="G12" s="176">
        <f>E12</f>
        <v>-5375</v>
      </c>
      <c r="H12" s="124">
        <f t="shared" si="0"/>
        <v>-42247.64</v>
      </c>
    </row>
    <row r="13" spans="1:8">
      <c r="A13" s="100">
        <v>45329</v>
      </c>
      <c r="B13" s="101" t="s">
        <v>715</v>
      </c>
      <c r="C13" s="101"/>
      <c r="D13" s="101"/>
      <c r="E13" s="176">
        <v>-2125</v>
      </c>
      <c r="F13" s="176"/>
      <c r="G13" s="176">
        <f>E13</f>
        <v>-2125</v>
      </c>
      <c r="H13" s="124">
        <f t="shared" si="0"/>
        <v>-44372.639999999999</v>
      </c>
    </row>
    <row r="14" spans="1:8">
      <c r="A14" s="88">
        <v>45329</v>
      </c>
      <c r="B14" s="8" t="s">
        <v>716</v>
      </c>
      <c r="E14" s="124"/>
      <c r="F14" s="176">
        <v>816.04</v>
      </c>
      <c r="G14" s="176"/>
      <c r="H14" s="124">
        <f t="shared" si="0"/>
        <v>-43556.6</v>
      </c>
    </row>
    <row r="15" spans="1:8">
      <c r="A15" s="197">
        <v>45329</v>
      </c>
      <c r="B15" s="198" t="s">
        <v>717</v>
      </c>
      <c r="C15" s="101"/>
      <c r="E15" s="176">
        <v>-713.25</v>
      </c>
      <c r="F15" s="176"/>
      <c r="G15" s="176">
        <f>E15</f>
        <v>-713.25</v>
      </c>
      <c r="H15" s="124">
        <f t="shared" si="0"/>
        <v>-44269.85</v>
      </c>
    </row>
    <row r="16" spans="1:8">
      <c r="A16" s="165"/>
      <c r="B16" s="8" t="s">
        <v>718</v>
      </c>
      <c r="E16" s="124"/>
      <c r="F16" s="124"/>
      <c r="G16" s="124"/>
      <c r="H16" s="124">
        <f t="shared" si="0"/>
        <v>-44269.85</v>
      </c>
    </row>
    <row r="17" spans="1:8">
      <c r="A17" s="88">
        <v>45329</v>
      </c>
      <c r="B17" s="106" t="s">
        <v>74</v>
      </c>
      <c r="C17" s="106" t="s">
        <v>719</v>
      </c>
      <c r="D17" s="106"/>
      <c r="E17" s="176">
        <v>-100</v>
      </c>
      <c r="F17" s="124"/>
      <c r="G17" s="176">
        <v>0</v>
      </c>
      <c r="H17" s="124">
        <f t="shared" si="0"/>
        <v>-44269.85</v>
      </c>
    </row>
    <row r="18" spans="1:8">
      <c r="A18" s="88">
        <v>45334</v>
      </c>
      <c r="B18" s="101" t="s">
        <v>75</v>
      </c>
      <c r="C18" s="101" t="s">
        <v>323</v>
      </c>
      <c r="D18" s="101"/>
      <c r="E18" s="176">
        <v>-150</v>
      </c>
      <c r="F18" s="176"/>
      <c r="G18" s="176">
        <v>-242.76</v>
      </c>
      <c r="H18" s="124">
        <f t="shared" si="0"/>
        <v>-44512.61</v>
      </c>
    </row>
    <row r="19" spans="1:8">
      <c r="A19" s="88">
        <v>45334</v>
      </c>
      <c r="B19" s="178" t="s">
        <v>72</v>
      </c>
      <c r="D19" s="63"/>
      <c r="E19" s="176">
        <f>E42*-1</f>
        <v>-67.09</v>
      </c>
      <c r="G19" s="176">
        <f>E19</f>
        <v>-67.09</v>
      </c>
      <c r="H19" s="124">
        <f t="shared" si="0"/>
        <v>-44579.7</v>
      </c>
    </row>
    <row r="20" spans="1:8">
      <c r="A20" s="88">
        <v>45341</v>
      </c>
      <c r="B20" s="106" t="s">
        <v>73</v>
      </c>
      <c r="C20" s="106" t="s">
        <v>720</v>
      </c>
      <c r="D20" s="106"/>
      <c r="E20" s="176">
        <v>-300</v>
      </c>
      <c r="F20" s="176"/>
      <c r="G20" s="176">
        <v>-1734</v>
      </c>
      <c r="H20" s="124">
        <f t="shared" si="0"/>
        <v>-46313.7</v>
      </c>
    </row>
    <row r="21" spans="1:8">
      <c r="A21" s="197">
        <v>45341</v>
      </c>
      <c r="B21" s="8" t="s">
        <v>671</v>
      </c>
      <c r="D21" s="186">
        <v>2800</v>
      </c>
      <c r="F21" s="176">
        <v>2800</v>
      </c>
      <c r="G21" s="124"/>
      <c r="H21" s="124">
        <f t="shared" si="0"/>
        <v>-43513.7</v>
      </c>
    </row>
    <row r="22" spans="1:8">
      <c r="A22" s="88">
        <v>45349</v>
      </c>
      <c r="B22" s="8" t="s">
        <v>77</v>
      </c>
      <c r="E22" s="176">
        <v>-5000</v>
      </c>
      <c r="F22" s="176"/>
      <c r="G22" s="176">
        <v>-5200</v>
      </c>
      <c r="H22" s="124">
        <f t="shared" si="0"/>
        <v>-48713.7</v>
      </c>
    </row>
    <row r="23" spans="1:8">
      <c r="A23" s="88">
        <v>45349</v>
      </c>
      <c r="B23" s="8" t="s">
        <v>78</v>
      </c>
      <c r="E23" s="176">
        <v>-5000</v>
      </c>
      <c r="F23" s="176"/>
      <c r="G23" s="176">
        <v>-5200</v>
      </c>
      <c r="H23" s="124">
        <f t="shared" si="0"/>
        <v>-53913.7</v>
      </c>
    </row>
    <row r="24" spans="1:8">
      <c r="A24" s="88">
        <v>45349</v>
      </c>
      <c r="B24" s="8" t="s">
        <v>79</v>
      </c>
      <c r="E24" s="176">
        <v>-5000</v>
      </c>
      <c r="F24" s="176"/>
      <c r="G24" s="176">
        <v>-5000</v>
      </c>
      <c r="H24" s="124">
        <f t="shared" si="0"/>
        <v>-58913.7</v>
      </c>
    </row>
    <row r="25" spans="1:8">
      <c r="A25" s="88">
        <v>45349</v>
      </c>
      <c r="B25" s="8" t="s">
        <v>76</v>
      </c>
      <c r="D25" s="186">
        <v>10000</v>
      </c>
      <c r="F25" s="176">
        <v>10427.6</v>
      </c>
      <c r="G25" s="124"/>
      <c r="H25" s="124">
        <f t="shared" si="0"/>
        <v>-48486.1</v>
      </c>
    </row>
    <row r="26" spans="1:8">
      <c r="A26" s="88">
        <v>45358</v>
      </c>
      <c r="B26" s="8" t="s">
        <v>669</v>
      </c>
      <c r="D26" s="102">
        <v>6500</v>
      </c>
      <c r="F26" s="124"/>
      <c r="G26" s="124"/>
      <c r="H26" s="124">
        <f t="shared" si="0"/>
        <v>-48486.1</v>
      </c>
    </row>
    <row r="27" spans="1:8">
      <c r="A27" s="100"/>
      <c r="H27" s="124">
        <f t="shared" si="0"/>
        <v>-48486.1</v>
      </c>
    </row>
    <row r="28" spans="1:8">
      <c r="A28" s="88">
        <v>45351</v>
      </c>
      <c r="B28" s="101" t="s">
        <v>80</v>
      </c>
      <c r="C28" s="101"/>
      <c r="D28" s="101"/>
      <c r="E28" s="124">
        <v>-400</v>
      </c>
      <c r="F28" s="124"/>
      <c r="G28" s="124">
        <v>-300</v>
      </c>
      <c r="H28" s="124">
        <f t="shared" si="0"/>
        <v>-48786.1</v>
      </c>
    </row>
    <row r="29" spans="1:8">
      <c r="A29" s="88">
        <v>45351</v>
      </c>
      <c r="B29" s="101" t="s">
        <v>81</v>
      </c>
      <c r="C29" s="101"/>
      <c r="D29" s="101"/>
      <c r="E29" s="124">
        <v>-500</v>
      </c>
      <c r="F29" s="124"/>
      <c r="G29" s="124">
        <v>-505</v>
      </c>
      <c r="H29" s="124">
        <f t="shared" si="0"/>
        <v>-49291.1</v>
      </c>
    </row>
    <row r="30" spans="1:8">
      <c r="A30" s="192"/>
      <c r="B30" s="170" t="s">
        <v>721</v>
      </c>
      <c r="C30" s="199">
        <v>7000</v>
      </c>
      <c r="D30" s="199"/>
      <c r="F30" s="124"/>
      <c r="G30" s="124"/>
      <c r="H30" s="124">
        <f t="shared" si="0"/>
        <v>-49291.1</v>
      </c>
    </row>
    <row r="31" spans="1:8" ht="15.75">
      <c r="B31" s="179"/>
      <c r="F31" s="63"/>
      <c r="G31" s="63"/>
      <c r="H31" s="124"/>
    </row>
    <row r="32" spans="1:8">
      <c r="G32" s="63"/>
      <c r="H32" s="124"/>
    </row>
    <row r="33" spans="1:8">
      <c r="B33" t="s">
        <v>325</v>
      </c>
      <c r="G33" s="63"/>
      <c r="H33" s="124"/>
    </row>
    <row r="34" spans="1:8">
      <c r="A34" s="103" t="s">
        <v>326</v>
      </c>
      <c r="B34" s="103"/>
      <c r="C34" s="103"/>
      <c r="D34" s="103"/>
      <c r="E34" s="200"/>
      <c r="G34" s="63"/>
      <c r="H34" s="63"/>
    </row>
    <row r="35" spans="1:8">
      <c r="A35" s="100"/>
      <c r="C35" s="171"/>
      <c r="H35" s="63"/>
    </row>
    <row r="36" spans="1:8">
      <c r="A36" s="172">
        <v>44929</v>
      </c>
      <c r="B36" s="173" t="s">
        <v>327</v>
      </c>
      <c r="C36" s="103"/>
      <c r="D36" s="201">
        <f>SUM(D37:D42)</f>
        <v>3749.5300000000007</v>
      </c>
      <c r="E36" s="202">
        <f>SUM(E37:E42)</f>
        <v>3837.4900000000002</v>
      </c>
      <c r="H36" s="63"/>
    </row>
    <row r="37" spans="1:8">
      <c r="A37" s="100"/>
      <c r="B37" s="106" t="s">
        <v>328</v>
      </c>
      <c r="D37" s="2">
        <v>999.4</v>
      </c>
      <c r="E37" s="176">
        <v>999.4</v>
      </c>
      <c r="H37" s="63"/>
    </row>
    <row r="38" spans="1:8">
      <c r="B38" t="s">
        <v>329</v>
      </c>
      <c r="D38" s="2">
        <v>876.64</v>
      </c>
      <c r="E38" s="176">
        <v>875</v>
      </c>
      <c r="F38" s="63"/>
      <c r="G38" s="63"/>
    </row>
    <row r="39" spans="1:8">
      <c r="B39" t="s">
        <v>330</v>
      </c>
      <c r="D39" s="2">
        <v>431.36</v>
      </c>
      <c r="E39" s="176">
        <v>431</v>
      </c>
      <c r="F39" s="63"/>
      <c r="G39" s="63"/>
    </row>
    <row r="40" spans="1:8">
      <c r="A40" s="88">
        <v>45334</v>
      </c>
      <c r="B40" s="8" t="s">
        <v>722</v>
      </c>
      <c r="C40" s="176">
        <f>E40-D40</f>
        <v>90.67999999999995</v>
      </c>
      <c r="D40" s="2">
        <v>891.32</v>
      </c>
      <c r="E40" s="176">
        <v>982</v>
      </c>
      <c r="F40" s="63"/>
      <c r="G40" s="63"/>
    </row>
    <row r="41" spans="1:8">
      <c r="B41" t="s">
        <v>332</v>
      </c>
      <c r="D41" s="2">
        <v>483.72</v>
      </c>
      <c r="E41" s="176">
        <v>483</v>
      </c>
      <c r="F41" s="63"/>
      <c r="G41" s="63"/>
    </row>
    <row r="42" spans="1:8">
      <c r="B42" t="s">
        <v>333</v>
      </c>
      <c r="C42" s="106"/>
      <c r="D42" s="2">
        <v>67.09</v>
      </c>
      <c r="E42" s="203">
        <v>67.09</v>
      </c>
      <c r="F42" s="63"/>
      <c r="G42" s="63"/>
    </row>
    <row r="43" spans="1:8">
      <c r="C43" s="106"/>
      <c r="D43" s="106"/>
      <c r="E43" s="124"/>
      <c r="F43" s="63"/>
      <c r="G43" s="63"/>
    </row>
    <row r="45" spans="1:8">
      <c r="B45" s="17"/>
    </row>
    <row r="46" spans="1:8">
      <c r="B46" s="102"/>
    </row>
    <row r="47" spans="1:8">
      <c r="A47" s="103"/>
      <c r="B47" s="104" t="s">
        <v>83</v>
      </c>
      <c r="C47" s="103"/>
      <c r="D47" s="158"/>
      <c r="E47" s="202">
        <f>SUM(E48:E61)</f>
        <v>-3900.5699999999997</v>
      </c>
    </row>
    <row r="48" spans="1:8">
      <c r="G48" s="63"/>
      <c r="H48" s="63"/>
    </row>
    <row r="49" spans="1:8">
      <c r="A49" s="160"/>
      <c r="B49" s="106"/>
      <c r="C49" s="106"/>
      <c r="D49" s="35"/>
      <c r="E49" s="124"/>
      <c r="F49" s="63"/>
      <c r="G49" s="63"/>
      <c r="H49" s="63"/>
    </row>
    <row r="50" spans="1:8">
      <c r="A50" s="160">
        <v>45043</v>
      </c>
      <c r="B50" s="106" t="s">
        <v>723</v>
      </c>
      <c r="C50" s="106">
        <v>10764.57</v>
      </c>
      <c r="D50" s="35" t="s">
        <v>724</v>
      </c>
      <c r="E50" s="124">
        <v>-1196.0899999999999</v>
      </c>
      <c r="G50" s="63"/>
      <c r="H50" s="63"/>
    </row>
    <row r="51" spans="1:8">
      <c r="A51" s="100">
        <v>45187</v>
      </c>
      <c r="B51" s="106" t="s">
        <v>560</v>
      </c>
      <c r="C51" s="106">
        <v>7648.33</v>
      </c>
      <c r="D51" s="204" t="s">
        <v>725</v>
      </c>
      <c r="E51" s="124">
        <v>-849.81</v>
      </c>
      <c r="G51" s="63"/>
      <c r="H51" s="63"/>
    </row>
    <row r="52" spans="1:8">
      <c r="A52" s="100">
        <v>45187</v>
      </c>
      <c r="B52" s="106" t="s">
        <v>675</v>
      </c>
      <c r="C52" s="106">
        <v>11128</v>
      </c>
      <c r="D52" s="204" t="s">
        <v>470</v>
      </c>
      <c r="E52" s="124">
        <v>-1854.67</v>
      </c>
      <c r="G52" s="63"/>
      <c r="H52" s="63"/>
    </row>
    <row r="53" spans="1:8" ht="15">
      <c r="D53" s="105" t="s">
        <v>84</v>
      </c>
      <c r="G53" s="63"/>
      <c r="H53" s="63"/>
    </row>
    <row r="54" spans="1:8">
      <c r="G54" s="63"/>
      <c r="H54" s="63"/>
    </row>
    <row r="55" spans="1:8">
      <c r="G55" s="63"/>
      <c r="H55" s="63"/>
    </row>
    <row r="56" spans="1:8">
      <c r="A56" s="100"/>
      <c r="B56" s="106"/>
      <c r="C56" s="106"/>
      <c r="D56" s="106"/>
      <c r="F56" s="63"/>
      <c r="G56" s="63"/>
      <c r="H56" s="63"/>
    </row>
    <row r="57" spans="1:8">
      <c r="A57" s="100"/>
      <c r="B57" s="106"/>
      <c r="C57" s="106"/>
      <c r="D57" s="106"/>
      <c r="F57" s="63"/>
      <c r="G57" s="63"/>
      <c r="H57" s="63"/>
    </row>
    <row r="58" spans="1:8">
      <c r="A58" s="100"/>
      <c r="B58" s="107"/>
      <c r="C58" s="106"/>
      <c r="D58" s="106"/>
      <c r="F58" s="63"/>
      <c r="G58" s="63"/>
      <c r="H58" s="63"/>
    </row>
    <row r="59" spans="1:8">
      <c r="A59" s="100"/>
      <c r="B59" s="107"/>
      <c r="C59" s="106"/>
      <c r="D59" s="106"/>
      <c r="F59" s="63"/>
      <c r="G59" s="63"/>
      <c r="H59" s="63"/>
    </row>
    <row r="60" spans="1:8">
      <c r="A60" s="100"/>
      <c r="B60" s="107"/>
      <c r="F60" s="63"/>
      <c r="G60" s="63"/>
      <c r="H60" s="63"/>
    </row>
    <row r="61" spans="1:8">
      <c r="A61" s="100"/>
      <c r="B61" s="107"/>
      <c r="C61" s="106"/>
      <c r="D61" s="106"/>
      <c r="F61" s="63"/>
      <c r="G61" s="63"/>
      <c r="H61" s="63"/>
    </row>
    <row r="62" spans="1:8">
      <c r="A62" s="100"/>
      <c r="B62" s="3"/>
      <c r="F62" s="63"/>
      <c r="G62" s="63"/>
      <c r="H62" s="63"/>
    </row>
    <row r="63" spans="1:8">
      <c r="A63" s="100"/>
      <c r="B63" s="106"/>
      <c r="C63" s="106"/>
      <c r="D63" s="106"/>
      <c r="F63" s="63"/>
      <c r="G63" s="63"/>
      <c r="H63" s="63"/>
    </row>
    <row r="64" spans="1:8">
      <c r="A64" s="103"/>
      <c r="B64" s="104" t="s">
        <v>85</v>
      </c>
      <c r="C64" s="103"/>
      <c r="D64" s="103"/>
      <c r="E64" s="205">
        <f>SUM(E65:E102)</f>
        <v>-24792.94</v>
      </c>
      <c r="F64" s="63"/>
      <c r="G64" s="63"/>
    </row>
    <row r="65" spans="1:8">
      <c r="A65" s="100"/>
      <c r="B65" s="106"/>
      <c r="C65" s="106"/>
      <c r="E65" s="124"/>
      <c r="F65" s="63"/>
      <c r="G65" s="63"/>
      <c r="H65" s="63"/>
    </row>
    <row r="66" spans="1:8">
      <c r="A66" s="100">
        <v>45187</v>
      </c>
      <c r="B66" s="106" t="s">
        <v>682</v>
      </c>
      <c r="C66" s="106"/>
      <c r="D66" s="8" t="s">
        <v>726</v>
      </c>
      <c r="E66" s="124">
        <v>-3974.44</v>
      </c>
      <c r="G66" s="63"/>
      <c r="H66" s="63"/>
    </row>
    <row r="67" spans="1:8">
      <c r="A67" s="165">
        <v>45214</v>
      </c>
      <c r="B67" s="8" t="s">
        <v>655</v>
      </c>
      <c r="D67" s="8" t="s">
        <v>727</v>
      </c>
      <c r="E67" s="124">
        <v>-600</v>
      </c>
      <c r="F67" s="63"/>
      <c r="G67" s="63"/>
      <c r="H67" s="63"/>
    </row>
    <row r="68" spans="1:8">
      <c r="A68" s="165">
        <v>45285</v>
      </c>
      <c r="B68" s="106" t="s">
        <v>520</v>
      </c>
      <c r="C68" s="106"/>
      <c r="D68" s="8" t="s">
        <v>728</v>
      </c>
      <c r="E68" s="124">
        <v>-3551.66</v>
      </c>
      <c r="F68" s="63"/>
      <c r="G68" s="63"/>
      <c r="H68" s="63"/>
    </row>
    <row r="69" spans="1:8">
      <c r="A69" s="165">
        <v>45259</v>
      </c>
      <c r="B69" s="8" t="s">
        <v>686</v>
      </c>
      <c r="C69" s="176">
        <v>-1204.5</v>
      </c>
      <c r="D69" s="8" t="s">
        <v>729</v>
      </c>
      <c r="E69" s="124">
        <v>-401.5</v>
      </c>
      <c r="F69" s="63"/>
      <c r="G69" s="63"/>
      <c r="H69" s="63"/>
    </row>
    <row r="70" spans="1:8">
      <c r="A70" s="165">
        <v>45259</v>
      </c>
      <c r="B70" s="8" t="s">
        <v>688</v>
      </c>
      <c r="C70" s="176">
        <v>-148.6</v>
      </c>
      <c r="D70" s="8" t="s">
        <v>729</v>
      </c>
      <c r="E70" s="124">
        <v>-49.53</v>
      </c>
      <c r="F70" s="63"/>
      <c r="G70" s="63"/>
      <c r="H70" s="63"/>
    </row>
    <row r="71" spans="1:8">
      <c r="A71" s="165">
        <v>45259</v>
      </c>
      <c r="B71" s="8" t="s">
        <v>689</v>
      </c>
      <c r="C71" s="176">
        <v>-244.8</v>
      </c>
      <c r="D71" s="8" t="s">
        <v>729</v>
      </c>
      <c r="E71" s="124">
        <v>-81.599999999999994</v>
      </c>
      <c r="F71" s="63"/>
      <c r="G71" s="63"/>
      <c r="H71" s="63"/>
    </row>
    <row r="72" spans="1:8">
      <c r="A72" s="165">
        <v>45259</v>
      </c>
      <c r="B72" s="8" t="s">
        <v>690</v>
      </c>
      <c r="C72" s="176">
        <v>-532.6</v>
      </c>
      <c r="D72" s="8" t="s">
        <v>729</v>
      </c>
      <c r="E72" s="124">
        <v>-177.53</v>
      </c>
      <c r="F72" s="63"/>
      <c r="G72" s="63"/>
      <c r="H72" s="63"/>
    </row>
    <row r="73" spans="1:8">
      <c r="A73" s="165"/>
      <c r="B73" s="106" t="s">
        <v>161</v>
      </c>
      <c r="C73" s="106">
        <v>899</v>
      </c>
      <c r="D73" s="8" t="s">
        <v>730</v>
      </c>
      <c r="E73" s="124">
        <v>-449.5</v>
      </c>
      <c r="F73" s="63"/>
      <c r="G73" s="63"/>
      <c r="H73" s="63"/>
    </row>
    <row r="74" spans="1:8">
      <c r="A74" s="165"/>
      <c r="B74" s="106" t="s">
        <v>692</v>
      </c>
      <c r="C74" s="106"/>
      <c r="D74" s="8" t="s">
        <v>730</v>
      </c>
      <c r="E74" s="124">
        <v>-299.64</v>
      </c>
      <c r="F74" s="63"/>
      <c r="G74" s="63"/>
      <c r="H74" s="63"/>
    </row>
    <row r="75" spans="1:8">
      <c r="A75" s="165"/>
      <c r="B75" s="106" t="s">
        <v>693</v>
      </c>
      <c r="C75" s="106"/>
      <c r="D75" s="8" t="s">
        <v>730</v>
      </c>
      <c r="E75" s="124">
        <v>-546.83000000000004</v>
      </c>
      <c r="F75" s="63"/>
      <c r="G75" s="63"/>
      <c r="H75" s="63"/>
    </row>
    <row r="76" spans="1:8">
      <c r="A76" s="100"/>
      <c r="B76" s="3"/>
      <c r="C76" s="106"/>
      <c r="D76" s="106"/>
      <c r="E76" s="124"/>
      <c r="F76" s="63"/>
      <c r="G76" s="63"/>
      <c r="H76" s="63"/>
    </row>
    <row r="77" spans="1:8">
      <c r="A77" s="100">
        <v>45312</v>
      </c>
      <c r="B77" s="3" t="s">
        <v>540</v>
      </c>
      <c r="C77" s="106"/>
      <c r="D77" s="106"/>
      <c r="E77" s="124">
        <v>-505</v>
      </c>
      <c r="F77" s="63"/>
      <c r="G77" s="63"/>
      <c r="H77" s="63"/>
    </row>
    <row r="78" spans="1:8">
      <c r="A78" s="100">
        <v>45312</v>
      </c>
      <c r="B78" s="3" t="s">
        <v>528</v>
      </c>
      <c r="C78" s="106"/>
      <c r="D78" s="106"/>
      <c r="E78" s="124">
        <v>-223.2</v>
      </c>
      <c r="F78" s="63"/>
      <c r="G78" s="63"/>
      <c r="H78" s="63"/>
    </row>
    <row r="79" spans="1:8">
      <c r="A79" s="100">
        <v>45310</v>
      </c>
      <c r="B79" s="3" t="s">
        <v>540</v>
      </c>
      <c r="C79" s="106"/>
      <c r="D79" s="106"/>
      <c r="E79" s="124">
        <v>-655</v>
      </c>
      <c r="F79" s="63"/>
      <c r="G79" s="63"/>
      <c r="H79" s="63"/>
    </row>
    <row r="80" spans="1:8">
      <c r="A80" s="100">
        <v>45293</v>
      </c>
      <c r="B80" s="3" t="s">
        <v>731</v>
      </c>
      <c r="C80" s="106"/>
      <c r="D80" s="106"/>
      <c r="E80" s="124">
        <v>-480</v>
      </c>
      <c r="F80" s="63"/>
      <c r="G80" s="63"/>
      <c r="H80" s="63"/>
    </row>
    <row r="81" spans="1:8">
      <c r="A81" s="100">
        <v>45293</v>
      </c>
      <c r="B81" s="3" t="s">
        <v>732</v>
      </c>
      <c r="C81" s="106"/>
      <c r="D81" s="106"/>
      <c r="E81" s="124">
        <v>-1200</v>
      </c>
      <c r="F81" s="63"/>
      <c r="G81" s="63"/>
      <c r="H81" s="63"/>
    </row>
    <row r="82" spans="1:8">
      <c r="A82" s="100">
        <v>45293</v>
      </c>
      <c r="B82" s="3" t="s">
        <v>732</v>
      </c>
      <c r="C82" s="106"/>
      <c r="D82" s="106"/>
      <c r="E82" s="124">
        <v>-500</v>
      </c>
      <c r="F82" s="63"/>
      <c r="G82" s="63"/>
      <c r="H82" s="63"/>
    </row>
    <row r="83" spans="1:8">
      <c r="A83" s="100"/>
      <c r="B83" s="3" t="s">
        <v>129</v>
      </c>
      <c r="C83" s="106">
        <v>12474.55</v>
      </c>
      <c r="D83" s="106"/>
      <c r="E83" s="124"/>
      <c r="F83" s="63"/>
      <c r="G83" s="63"/>
      <c r="H83" s="63"/>
    </row>
    <row r="84" spans="1:8">
      <c r="A84" s="100">
        <v>45293</v>
      </c>
      <c r="B84" s="3" t="s">
        <v>733</v>
      </c>
      <c r="C84" s="106"/>
      <c r="D84" s="106"/>
      <c r="E84" s="124">
        <v>-150</v>
      </c>
      <c r="F84" s="63"/>
      <c r="G84" s="63"/>
      <c r="H84" s="63"/>
    </row>
    <row r="85" spans="1:8">
      <c r="A85" s="100">
        <v>45291</v>
      </c>
      <c r="B85" s="3" t="s">
        <v>734</v>
      </c>
      <c r="C85" s="106"/>
      <c r="D85" s="106"/>
      <c r="E85" s="124">
        <v>-60</v>
      </c>
      <c r="F85" s="63"/>
      <c r="G85" s="63"/>
      <c r="H85" s="63"/>
    </row>
    <row r="86" spans="1:8">
      <c r="A86" s="100">
        <v>45290</v>
      </c>
      <c r="B86" s="3" t="s">
        <v>735</v>
      </c>
      <c r="C86" s="106"/>
      <c r="D86" s="106"/>
      <c r="E86" s="124">
        <v>-73</v>
      </c>
      <c r="F86" s="63"/>
      <c r="G86" s="63"/>
      <c r="H86" s="63"/>
    </row>
    <row r="87" spans="1:8">
      <c r="A87" s="100">
        <v>45290</v>
      </c>
      <c r="B87" s="3" t="s">
        <v>735</v>
      </c>
      <c r="C87" s="106"/>
      <c r="D87" s="106"/>
      <c r="E87" s="124">
        <v>-100</v>
      </c>
      <c r="F87" s="63"/>
      <c r="G87" s="63"/>
      <c r="H87" s="63"/>
    </row>
    <row r="88" spans="1:8">
      <c r="A88" s="100">
        <v>45289</v>
      </c>
      <c r="B88" s="3" t="s">
        <v>731</v>
      </c>
      <c r="C88" s="106"/>
      <c r="D88" s="106"/>
      <c r="E88" s="124">
        <v>-944</v>
      </c>
      <c r="F88" s="63"/>
      <c r="G88" s="63"/>
      <c r="H88" s="63"/>
    </row>
    <row r="89" spans="1:8">
      <c r="A89" s="100">
        <v>45288</v>
      </c>
      <c r="B89" s="3" t="s">
        <v>736</v>
      </c>
      <c r="C89" s="106"/>
      <c r="D89" s="106"/>
      <c r="E89" s="124">
        <v>-140</v>
      </c>
      <c r="F89" s="63"/>
      <c r="G89" s="63"/>
      <c r="H89" s="63"/>
    </row>
    <row r="90" spans="1:8">
      <c r="A90" s="100">
        <v>45288</v>
      </c>
      <c r="B90" s="3" t="s">
        <v>737</v>
      </c>
      <c r="C90" s="106"/>
      <c r="D90" s="106"/>
      <c r="E90" s="124">
        <v>-1570.18</v>
      </c>
      <c r="F90" s="63"/>
      <c r="G90" s="63"/>
      <c r="H90" s="63"/>
    </row>
    <row r="91" spans="1:8">
      <c r="A91" s="100">
        <v>45288</v>
      </c>
      <c r="B91" s="3" t="s">
        <v>409</v>
      </c>
      <c r="C91" s="106"/>
      <c r="D91" s="106"/>
      <c r="E91" s="124">
        <v>-169.27</v>
      </c>
      <c r="F91" s="63"/>
      <c r="G91" s="63"/>
      <c r="H91" s="63"/>
    </row>
    <row r="92" spans="1:8">
      <c r="A92" s="100">
        <v>45288</v>
      </c>
      <c r="B92" s="3" t="s">
        <v>738</v>
      </c>
      <c r="C92" s="106"/>
      <c r="D92" s="106"/>
      <c r="E92" s="124">
        <v>-800</v>
      </c>
      <c r="F92" s="63"/>
      <c r="G92" s="63"/>
      <c r="H92" s="63"/>
    </row>
    <row r="93" spans="1:8">
      <c r="A93" s="100">
        <v>45287</v>
      </c>
      <c r="B93" s="3" t="s">
        <v>409</v>
      </c>
      <c r="C93" s="106"/>
      <c r="D93" s="106"/>
      <c r="E93" s="124">
        <v>-438.05</v>
      </c>
      <c r="F93" s="63"/>
      <c r="G93" s="63"/>
      <c r="H93" s="63"/>
    </row>
    <row r="94" spans="1:8">
      <c r="A94" s="100">
        <v>45653</v>
      </c>
      <c r="B94" s="3" t="s">
        <v>483</v>
      </c>
      <c r="C94" s="106"/>
      <c r="D94" s="106">
        <v>185</v>
      </c>
      <c r="E94" s="124">
        <v>-185</v>
      </c>
      <c r="F94" s="63"/>
      <c r="G94" s="63"/>
      <c r="H94" s="63"/>
    </row>
    <row r="95" spans="1:8">
      <c r="A95" s="100">
        <v>45653</v>
      </c>
      <c r="B95" s="3" t="s">
        <v>739</v>
      </c>
      <c r="C95" s="106"/>
      <c r="D95" s="106">
        <v>25.85</v>
      </c>
      <c r="E95" s="124">
        <v>-25.85</v>
      </c>
      <c r="F95" s="63"/>
      <c r="G95" s="63"/>
      <c r="H95" s="63"/>
    </row>
    <row r="96" spans="1:8">
      <c r="A96" s="100">
        <v>45286</v>
      </c>
      <c r="B96" s="3" t="s">
        <v>740</v>
      </c>
      <c r="C96" s="106"/>
      <c r="D96" s="106"/>
      <c r="E96" s="124">
        <v>-160</v>
      </c>
      <c r="F96" s="63"/>
      <c r="G96" s="63"/>
      <c r="H96" s="63"/>
    </row>
    <row r="97" spans="1:8">
      <c r="A97" s="100">
        <v>45286</v>
      </c>
      <c r="B97" s="3" t="s">
        <v>741</v>
      </c>
      <c r="C97" s="106"/>
      <c r="D97" s="106"/>
      <c r="E97" s="124">
        <v>-300</v>
      </c>
      <c r="F97" s="63"/>
      <c r="G97" s="63"/>
      <c r="H97" s="63"/>
    </row>
    <row r="98" spans="1:8">
      <c r="A98" s="100">
        <v>45651</v>
      </c>
      <c r="B98" s="3" t="s">
        <v>742</v>
      </c>
      <c r="C98" s="106"/>
      <c r="D98" s="106">
        <v>112.64</v>
      </c>
      <c r="E98" s="124">
        <v>-112.64</v>
      </c>
      <c r="F98" s="63"/>
      <c r="G98" s="63"/>
      <c r="H98" s="63"/>
    </row>
    <row r="99" spans="1:8">
      <c r="A99" s="100"/>
      <c r="B99" s="3" t="s">
        <v>743</v>
      </c>
      <c r="C99" s="106"/>
      <c r="D99" s="106"/>
      <c r="E99" s="124">
        <v>-193</v>
      </c>
      <c r="F99" s="63"/>
      <c r="G99" s="63"/>
      <c r="H99" s="63"/>
    </row>
    <row r="100" spans="1:8">
      <c r="A100" s="100"/>
      <c r="B100" s="3" t="s">
        <v>744</v>
      </c>
      <c r="C100" s="106"/>
      <c r="D100" s="106"/>
      <c r="E100" s="124">
        <v>-5517.52</v>
      </c>
      <c r="F100" s="63"/>
      <c r="G100" s="63"/>
      <c r="H100" s="63"/>
    </row>
    <row r="101" spans="1:8">
      <c r="A101" s="100"/>
      <c r="B101" s="3" t="s">
        <v>745</v>
      </c>
      <c r="C101" s="106"/>
      <c r="D101" s="106"/>
      <c r="E101" s="124">
        <v>-105</v>
      </c>
      <c r="F101" s="63"/>
      <c r="G101" s="63"/>
      <c r="H101" s="63"/>
    </row>
    <row r="102" spans="1:8">
      <c r="A102" s="100"/>
      <c r="B102" s="3" t="s">
        <v>745</v>
      </c>
      <c r="C102" s="106"/>
      <c r="D102" s="106"/>
      <c r="E102" s="124">
        <v>-54</v>
      </c>
      <c r="F102" s="63"/>
      <c r="G102" s="63"/>
      <c r="H102" s="63"/>
    </row>
    <row r="103" spans="1:8">
      <c r="A103" s="100"/>
      <c r="B103" s="3"/>
      <c r="C103" s="206" t="s">
        <v>746</v>
      </c>
      <c r="D103" s="107">
        <f>SUM(D94:D102)</f>
        <v>323.49</v>
      </c>
      <c r="E103" s="124"/>
      <c r="F103" s="63"/>
      <c r="G103" s="63"/>
      <c r="H103" s="63"/>
    </row>
    <row r="104" spans="1:8" ht="15">
      <c r="A104" s="100"/>
      <c r="B104" s="3"/>
      <c r="C104" s="106"/>
      <c r="D104" s="105" t="s">
        <v>84</v>
      </c>
      <c r="E104" s="124"/>
      <c r="F104" s="63"/>
      <c r="G104" s="63"/>
      <c r="H104" s="63"/>
    </row>
    <row r="105" spans="1:8" ht="15">
      <c r="A105" s="100"/>
      <c r="B105" s="3"/>
      <c r="C105" s="106"/>
      <c r="D105" s="182"/>
      <c r="E105" s="124"/>
      <c r="F105" s="63"/>
      <c r="G105" s="63"/>
      <c r="H105" s="63"/>
    </row>
    <row r="106" spans="1:8" ht="15">
      <c r="A106" s="100"/>
      <c r="B106" s="3"/>
      <c r="C106" s="106"/>
      <c r="D106" s="182"/>
      <c r="E106" s="124"/>
      <c r="F106" s="63"/>
      <c r="G106" s="63"/>
      <c r="H106" s="63"/>
    </row>
    <row r="107" spans="1:8" ht="15">
      <c r="A107" s="100"/>
      <c r="B107" s="3"/>
      <c r="C107" s="106"/>
      <c r="D107" s="182"/>
      <c r="E107" s="124"/>
      <c r="F107" s="63"/>
      <c r="G107" s="63"/>
      <c r="H107" s="63"/>
    </row>
    <row r="108" spans="1:8" ht="15">
      <c r="A108" s="100"/>
      <c r="B108" s="3"/>
      <c r="C108" s="106"/>
      <c r="D108" s="182"/>
      <c r="E108" s="124"/>
      <c r="F108" s="63"/>
      <c r="G108" s="63"/>
      <c r="H108" s="63"/>
    </row>
    <row r="109" spans="1:8">
      <c r="D109" s="18"/>
    </row>
    <row r="111" spans="1:8">
      <c r="A111" s="113" t="s">
        <v>747</v>
      </c>
      <c r="B111" s="104" t="s">
        <v>136</v>
      </c>
      <c r="C111" s="103">
        <v>2024</v>
      </c>
      <c r="D111" s="158"/>
      <c r="E111" s="159">
        <f>SUM(E112:E130)</f>
        <v>809249.830357</v>
      </c>
    </row>
    <row r="112" spans="1:8">
      <c r="A112" s="160">
        <v>45352</v>
      </c>
      <c r="B112" s="8" t="s">
        <v>77</v>
      </c>
      <c r="C112" s="2"/>
      <c r="D112" s="2"/>
      <c r="E112" s="17">
        <v>64000</v>
      </c>
    </row>
    <row r="113" spans="1:6">
      <c r="A113" s="160">
        <f t="shared" ref="A113:A130" si="1">A112</f>
        <v>45352</v>
      </c>
      <c r="B113" s="8" t="s">
        <v>748</v>
      </c>
      <c r="C113" s="2"/>
      <c r="D113" s="2"/>
      <c r="E113" s="17">
        <v>180345.5</v>
      </c>
      <c r="F113">
        <v>30000</v>
      </c>
    </row>
    <row r="114" spans="1:6">
      <c r="A114" s="160">
        <f t="shared" si="1"/>
        <v>45352</v>
      </c>
      <c r="B114" s="8" t="s">
        <v>300</v>
      </c>
      <c r="C114" s="2"/>
      <c r="D114" s="2"/>
      <c r="E114" s="17">
        <v>5039.78</v>
      </c>
      <c r="F114" s="2">
        <f>E114</f>
        <v>5039.78</v>
      </c>
    </row>
    <row r="115" spans="1:6">
      <c r="A115" s="160">
        <f t="shared" si="1"/>
        <v>45352</v>
      </c>
      <c r="B115" s="8" t="s">
        <v>301</v>
      </c>
      <c r="C115" s="2"/>
      <c r="D115" s="2"/>
      <c r="E115" s="17">
        <v>0</v>
      </c>
    </row>
    <row r="116" spans="1:6">
      <c r="A116" s="160">
        <f t="shared" si="1"/>
        <v>45352</v>
      </c>
      <c r="B116" s="8" t="s">
        <v>497</v>
      </c>
      <c r="C116" s="2"/>
      <c r="D116" s="2"/>
      <c r="E116" s="17">
        <v>0</v>
      </c>
    </row>
    <row r="117" spans="1:6">
      <c r="A117" s="160">
        <f t="shared" si="1"/>
        <v>45352</v>
      </c>
      <c r="B117" s="8" t="s">
        <v>302</v>
      </c>
      <c r="C117" s="124"/>
      <c r="D117" s="2"/>
      <c r="E117" s="17">
        <v>0</v>
      </c>
    </row>
    <row r="118" spans="1:6">
      <c r="A118" s="160">
        <f t="shared" si="1"/>
        <v>45352</v>
      </c>
      <c r="B118" s="8" t="s">
        <v>236</v>
      </c>
      <c r="C118" s="2" t="s">
        <v>749</v>
      </c>
      <c r="D118" s="2"/>
      <c r="E118" s="17">
        <v>32865.519999999997</v>
      </c>
      <c r="F118" s="2">
        <f>E118</f>
        <v>32865.519999999997</v>
      </c>
    </row>
    <row r="119" spans="1:6">
      <c r="A119" s="160">
        <f t="shared" si="1"/>
        <v>45352</v>
      </c>
      <c r="B119" s="8" t="s">
        <v>498</v>
      </c>
      <c r="C119" s="2" t="s">
        <v>700</v>
      </c>
      <c r="D119" s="2"/>
      <c r="E119" s="17">
        <v>129254.5</v>
      </c>
    </row>
    <row r="120" spans="1:6">
      <c r="A120" s="160">
        <f t="shared" si="1"/>
        <v>45352</v>
      </c>
      <c r="B120" s="8" t="s">
        <v>701</v>
      </c>
      <c r="C120" s="2" t="s">
        <v>702</v>
      </c>
      <c r="D120" s="2"/>
      <c r="E120" s="17">
        <v>256.56</v>
      </c>
      <c r="F120" s="2">
        <f>E120</f>
        <v>256.56</v>
      </c>
    </row>
    <row r="121" spans="1:6">
      <c r="A121" s="160">
        <f t="shared" si="1"/>
        <v>45352</v>
      </c>
      <c r="B121" s="8" t="s">
        <v>703</v>
      </c>
      <c r="C121" s="160" t="s">
        <v>750</v>
      </c>
      <c r="D121" s="161"/>
      <c r="E121" s="17">
        <v>1031.76</v>
      </c>
      <c r="F121" s="2">
        <f>E121</f>
        <v>1031.76</v>
      </c>
    </row>
    <row r="122" spans="1:6">
      <c r="A122" s="160">
        <f t="shared" si="1"/>
        <v>45352</v>
      </c>
      <c r="B122" s="8" t="s">
        <v>705</v>
      </c>
      <c r="C122" s="160" t="s">
        <v>706</v>
      </c>
      <c r="D122" s="161"/>
      <c r="E122" s="17">
        <v>588.6</v>
      </c>
    </row>
    <row r="123" spans="1:6">
      <c r="A123" s="160">
        <f t="shared" si="1"/>
        <v>45352</v>
      </c>
      <c r="B123" s="8" t="s">
        <v>707</v>
      </c>
      <c r="C123" s="160"/>
      <c r="D123" s="161"/>
      <c r="E123" s="17"/>
    </row>
    <row r="124" spans="1:6">
      <c r="A124" s="160">
        <f t="shared" si="1"/>
        <v>45352</v>
      </c>
      <c r="B124" s="8" t="s">
        <v>140</v>
      </c>
      <c r="C124" s="2"/>
      <c r="D124" s="2"/>
      <c r="E124" s="17">
        <v>450</v>
      </c>
      <c r="F124" s="2">
        <f>E124</f>
        <v>450</v>
      </c>
    </row>
    <row r="125" spans="1:6">
      <c r="A125" s="160">
        <f t="shared" si="1"/>
        <v>45352</v>
      </c>
      <c r="B125" s="8" t="s">
        <v>708</v>
      </c>
      <c r="C125" s="2">
        <v>2017.98</v>
      </c>
      <c r="D125" s="2">
        <v>161</v>
      </c>
      <c r="E125" s="17">
        <f>D125*C125</f>
        <v>324894.78000000003</v>
      </c>
    </row>
    <row r="126" spans="1:6">
      <c r="A126" s="160">
        <f t="shared" si="1"/>
        <v>45352</v>
      </c>
      <c r="B126" s="8" t="s">
        <v>709</v>
      </c>
      <c r="C126" s="162">
        <v>30.726199999999999</v>
      </c>
      <c r="D126" s="2">
        <v>850</v>
      </c>
      <c r="E126" s="17">
        <f>D126*C126</f>
        <v>26117.27</v>
      </c>
      <c r="F126" s="2"/>
    </row>
    <row r="127" spans="1:6">
      <c r="A127" s="160">
        <f t="shared" si="1"/>
        <v>45352</v>
      </c>
      <c r="B127" s="8" t="s">
        <v>504</v>
      </c>
      <c r="C127" s="162">
        <v>30.725999999999999</v>
      </c>
      <c r="D127" s="2">
        <v>250</v>
      </c>
      <c r="E127" s="17">
        <f>D127*C127</f>
        <v>7681.5</v>
      </c>
    </row>
    <row r="128" spans="1:6">
      <c r="A128" s="160">
        <f t="shared" si="1"/>
        <v>45352</v>
      </c>
      <c r="B128" s="8" t="s">
        <v>710</v>
      </c>
      <c r="C128" s="162">
        <v>33.224299999999999</v>
      </c>
      <c r="D128" s="2">
        <v>81.99</v>
      </c>
      <c r="E128" s="17">
        <f>D128*C128</f>
        <v>2724.0603569999998</v>
      </c>
    </row>
    <row r="129" spans="1:6">
      <c r="A129" s="160">
        <f t="shared" si="1"/>
        <v>45352</v>
      </c>
      <c r="B129" s="8" t="s">
        <v>152</v>
      </c>
      <c r="C129" s="2"/>
      <c r="D129" s="2"/>
      <c r="E129" s="17">
        <v>30000</v>
      </c>
      <c r="F129" s="2">
        <f>E129</f>
        <v>30000</v>
      </c>
    </row>
    <row r="130" spans="1:6">
      <c r="A130" s="160">
        <f t="shared" si="1"/>
        <v>45352</v>
      </c>
      <c r="B130" s="8" t="s">
        <v>153</v>
      </c>
      <c r="C130" s="2"/>
      <c r="D130" s="2"/>
      <c r="E130" s="17">
        <v>4000</v>
      </c>
      <c r="F130" s="2">
        <f>E130</f>
        <v>4000</v>
      </c>
    </row>
    <row r="131" spans="1:6">
      <c r="F131" s="8">
        <f>SUM(F113:F130)</f>
        <v>103643.61999999998</v>
      </c>
    </row>
    <row r="132" spans="1:6">
      <c r="C132" s="124"/>
      <c r="D132" s="3"/>
      <c r="E132" s="124"/>
    </row>
    <row r="133" spans="1:6">
      <c r="C133" s="124"/>
      <c r="D133" s="18" t="s">
        <v>155</v>
      </c>
      <c r="E133" s="9">
        <f>SUM(E112:E130)</f>
        <v>809249.830357</v>
      </c>
    </row>
    <row r="134" spans="1:6">
      <c r="C134" s="125" t="str">
        <f>A111</f>
        <v>ŞUBAT</v>
      </c>
      <c r="D134" s="126" t="s">
        <v>156</v>
      </c>
      <c r="E134" s="127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E2F0D9"/>
  </sheetPr>
  <dimension ref="A1:H149"/>
  <sheetViews>
    <sheetView topLeftCell="A59" zoomScale="170" zoomScaleNormal="170" workbookViewId="0">
      <selection activeCell="B42" sqref="B42"/>
    </sheetView>
  </sheetViews>
  <sheetFormatPr defaultColWidth="12.28515625" defaultRowHeight="12.75"/>
  <cols>
    <col min="2" max="2" width="35.85546875" customWidth="1"/>
    <col min="3" max="3" width="9.85546875" style="124" customWidth="1"/>
    <col min="4" max="4" width="15.5703125" style="124" customWidth="1"/>
    <col min="5" max="5" width="13.140625" style="124" customWidth="1"/>
    <col min="6" max="8" width="12.28515625" style="124"/>
    <col min="1024" max="1024" width="9.140625" customWidth="1"/>
  </cols>
  <sheetData>
    <row r="1" spans="1:8">
      <c r="F1" s="124" t="s">
        <v>28</v>
      </c>
      <c r="G1" s="124" t="s">
        <v>29</v>
      </c>
      <c r="H1" s="124" t="s">
        <v>3</v>
      </c>
    </row>
    <row r="2" spans="1:8">
      <c r="A2" s="3" t="s">
        <v>751</v>
      </c>
      <c r="C2" s="124" t="s">
        <v>67</v>
      </c>
      <c r="D2" s="124">
        <f>SUM(D4:D42)</f>
        <v>340464.6</v>
      </c>
      <c r="E2" s="124">
        <f>SUM(E4:E42)</f>
        <v>-52469.760000000002</v>
      </c>
      <c r="F2" s="124">
        <f>SUM(F4:F42)</f>
        <v>194911.58000000002</v>
      </c>
      <c r="G2" s="124">
        <f>SUM(G4:G42)</f>
        <v>-66377.209999999992</v>
      </c>
      <c r="H2" s="124">
        <f>F2+G2</f>
        <v>128534.37000000002</v>
      </c>
    </row>
    <row r="3" spans="1:8">
      <c r="B3" s="18"/>
    </row>
    <row r="4" spans="1:8">
      <c r="A4" s="165">
        <v>45231</v>
      </c>
      <c r="B4" s="41" t="s">
        <v>424</v>
      </c>
      <c r="E4" s="124">
        <v>-152</v>
      </c>
      <c r="G4" s="124">
        <v>-152</v>
      </c>
      <c r="H4" s="124">
        <f t="shared" ref="H4:H45" si="0">H3+F4+G4</f>
        <v>-152</v>
      </c>
    </row>
    <row r="5" spans="1:8">
      <c r="A5" s="165"/>
      <c r="B5" s="8" t="s">
        <v>394</v>
      </c>
      <c r="E5" s="124">
        <v>-10000</v>
      </c>
      <c r="G5" s="124">
        <v>-10000</v>
      </c>
      <c r="H5" s="124">
        <f t="shared" si="0"/>
        <v>-10152</v>
      </c>
    </row>
    <row r="6" spans="1:8">
      <c r="B6" s="101" t="s">
        <v>752</v>
      </c>
      <c r="E6" s="124">
        <v>-250</v>
      </c>
      <c r="G6" s="124">
        <v>-250</v>
      </c>
      <c r="H6" s="124">
        <f t="shared" si="0"/>
        <v>-10402</v>
      </c>
    </row>
    <row r="7" spans="1:8">
      <c r="B7" s="101"/>
      <c r="H7" s="124">
        <f t="shared" si="0"/>
        <v>-10402</v>
      </c>
    </row>
    <row r="8" spans="1:8">
      <c r="B8" s="101" t="s">
        <v>75</v>
      </c>
      <c r="C8" s="124" t="s">
        <v>323</v>
      </c>
      <c r="E8" s="124">
        <v>-150</v>
      </c>
      <c r="G8" s="124">
        <v>0</v>
      </c>
      <c r="H8" s="124">
        <f t="shared" si="0"/>
        <v>-10402</v>
      </c>
    </row>
    <row r="9" spans="1:8">
      <c r="A9" s="165">
        <v>45309</v>
      </c>
      <c r="B9" s="106" t="s">
        <v>73</v>
      </c>
      <c r="C9" s="124" t="s">
        <v>323</v>
      </c>
      <c r="D9" s="124">
        <v>137.30000000000001</v>
      </c>
      <c r="E9" s="124">
        <v>-300</v>
      </c>
      <c r="G9" s="124">
        <v>-1408</v>
      </c>
      <c r="H9" s="124">
        <f t="shared" si="0"/>
        <v>-11810</v>
      </c>
    </row>
    <row r="10" spans="1:8">
      <c r="A10" s="165">
        <v>45299</v>
      </c>
      <c r="B10" s="106" t="s">
        <v>74</v>
      </c>
      <c r="C10" s="124" t="s">
        <v>323</v>
      </c>
      <c r="D10" s="124">
        <v>27.3</v>
      </c>
      <c r="E10" s="124">
        <v>-100</v>
      </c>
      <c r="G10" s="124">
        <v>0</v>
      </c>
      <c r="H10" s="124">
        <f t="shared" si="0"/>
        <v>-11810</v>
      </c>
    </row>
    <row r="11" spans="1:8">
      <c r="B11" s="101"/>
      <c r="H11" s="124">
        <f t="shared" si="0"/>
        <v>-11810</v>
      </c>
    </row>
    <row r="12" spans="1:8">
      <c r="B12" s="178" t="s">
        <v>72</v>
      </c>
      <c r="E12" s="124">
        <f>E55*-1</f>
        <v>-169.14</v>
      </c>
      <c r="G12" s="124">
        <f>E12</f>
        <v>-169.14</v>
      </c>
      <c r="H12" s="124">
        <f t="shared" si="0"/>
        <v>-11979.14</v>
      </c>
    </row>
    <row r="13" spans="1:8">
      <c r="A13" s="165"/>
      <c r="B13" s="178" t="s">
        <v>68</v>
      </c>
      <c r="E13" s="124">
        <f>E60</f>
        <v>-3961.94</v>
      </c>
      <c r="G13" s="124">
        <f>E13</f>
        <v>-3961.94</v>
      </c>
      <c r="H13" s="124">
        <f t="shared" si="0"/>
        <v>-15941.08</v>
      </c>
    </row>
    <row r="14" spans="1:8">
      <c r="A14" s="165">
        <v>45294</v>
      </c>
      <c r="B14" s="178" t="s">
        <v>69</v>
      </c>
      <c r="E14" s="124">
        <f>E77</f>
        <v>-12474.550000000001</v>
      </c>
      <c r="G14" s="124">
        <v>-12474</v>
      </c>
      <c r="H14" s="124">
        <f t="shared" si="0"/>
        <v>-28415.08</v>
      </c>
    </row>
    <row r="15" spans="1:8">
      <c r="A15" s="100">
        <v>45295</v>
      </c>
      <c r="B15" s="101" t="s">
        <v>753</v>
      </c>
      <c r="E15" s="124">
        <v>-5375</v>
      </c>
      <c r="G15" s="124">
        <f>E15</f>
        <v>-5375</v>
      </c>
      <c r="H15" s="124">
        <f t="shared" si="0"/>
        <v>-33790.080000000002</v>
      </c>
    </row>
    <row r="16" spans="1:8">
      <c r="A16" s="100"/>
      <c r="B16" s="101" t="s">
        <v>753</v>
      </c>
      <c r="E16" s="124">
        <v>-2125</v>
      </c>
      <c r="G16" s="124">
        <f>E16</f>
        <v>-2125</v>
      </c>
      <c r="H16" s="124">
        <f t="shared" si="0"/>
        <v>-35915.08</v>
      </c>
    </row>
    <row r="17" spans="1:8">
      <c r="B17" s="101" t="s">
        <v>754</v>
      </c>
      <c r="E17" s="124">
        <v>-1512.13</v>
      </c>
      <c r="G17" s="124">
        <v>-1512.13</v>
      </c>
      <c r="H17" s="124">
        <f t="shared" si="0"/>
        <v>-37427.21</v>
      </c>
    </row>
    <row r="18" spans="1:8">
      <c r="H18" s="124">
        <f t="shared" si="0"/>
        <v>-37427.21</v>
      </c>
    </row>
    <row r="19" spans="1:8">
      <c r="B19" t="s">
        <v>77</v>
      </c>
      <c r="E19" s="124">
        <v>-5000</v>
      </c>
      <c r="G19" s="124">
        <v>-4800</v>
      </c>
      <c r="H19" s="124">
        <f t="shared" si="0"/>
        <v>-42227.21</v>
      </c>
    </row>
    <row r="20" spans="1:8">
      <c r="B20" t="s">
        <v>78</v>
      </c>
      <c r="E20" s="124">
        <v>-5000</v>
      </c>
      <c r="G20" s="124">
        <v>-4800</v>
      </c>
      <c r="H20" s="124">
        <f t="shared" si="0"/>
        <v>-47027.21</v>
      </c>
    </row>
    <row r="21" spans="1:8">
      <c r="B21" t="s">
        <v>79</v>
      </c>
      <c r="E21" s="124">
        <v>-5000</v>
      </c>
      <c r="G21" s="124">
        <v>-5000</v>
      </c>
      <c r="H21" s="124">
        <f t="shared" si="0"/>
        <v>-52027.21</v>
      </c>
    </row>
    <row r="22" spans="1:8">
      <c r="B22" s="101" t="s">
        <v>80</v>
      </c>
      <c r="E22" s="124">
        <v>-400</v>
      </c>
      <c r="G22" s="124">
        <v>-230</v>
      </c>
      <c r="H22" s="124">
        <f t="shared" si="0"/>
        <v>-52257.21</v>
      </c>
    </row>
    <row r="23" spans="1:8">
      <c r="B23" s="101" t="s">
        <v>81</v>
      </c>
      <c r="E23" s="124">
        <v>-500</v>
      </c>
      <c r="G23" s="124">
        <v>-420</v>
      </c>
      <c r="H23" s="124">
        <f t="shared" si="0"/>
        <v>-52677.21</v>
      </c>
    </row>
    <row r="24" spans="1:8">
      <c r="H24" s="124">
        <f t="shared" si="0"/>
        <v>-52677.21</v>
      </c>
    </row>
    <row r="25" spans="1:8">
      <c r="A25" s="165">
        <v>45300</v>
      </c>
      <c r="B25" s="8" t="s">
        <v>755</v>
      </c>
      <c r="G25" s="124">
        <v>-5000</v>
      </c>
      <c r="H25" s="124">
        <f t="shared" si="0"/>
        <v>-57677.21</v>
      </c>
    </row>
    <row r="26" spans="1:8">
      <c r="H26" s="124">
        <f t="shared" si="0"/>
        <v>-57677.21</v>
      </c>
    </row>
    <row r="27" spans="1:8">
      <c r="B27" t="s">
        <v>76</v>
      </c>
      <c r="D27" s="176">
        <v>10000</v>
      </c>
      <c r="F27" s="176">
        <v>9611.58</v>
      </c>
      <c r="H27" s="124">
        <f t="shared" si="0"/>
        <v>-48065.63</v>
      </c>
    </row>
    <row r="28" spans="1:8">
      <c r="A28" s="100"/>
      <c r="B28" s="8" t="s">
        <v>671</v>
      </c>
      <c r="D28" s="176">
        <v>2800</v>
      </c>
      <c r="F28" s="176">
        <v>2800</v>
      </c>
      <c r="H28" s="124">
        <f t="shared" si="0"/>
        <v>-45265.63</v>
      </c>
    </row>
    <row r="29" spans="1:8">
      <c r="A29" s="160">
        <v>45293</v>
      </c>
      <c r="B29" s="8" t="s">
        <v>756</v>
      </c>
      <c r="F29" s="176">
        <v>6500</v>
      </c>
      <c r="H29" s="124">
        <f t="shared" si="0"/>
        <v>-38765.629999999997</v>
      </c>
    </row>
    <row r="30" spans="1:8">
      <c r="A30" s="100">
        <v>45328</v>
      </c>
      <c r="B30" s="8" t="s">
        <v>757</v>
      </c>
      <c r="D30" s="176">
        <v>6500</v>
      </c>
      <c r="F30" s="176"/>
      <c r="H30" s="124">
        <f t="shared" si="0"/>
        <v>-38765.629999999997</v>
      </c>
    </row>
    <row r="31" spans="1:8">
      <c r="A31" s="160">
        <v>45294</v>
      </c>
      <c r="B31" s="8" t="s">
        <v>758</v>
      </c>
      <c r="F31" s="176">
        <v>6000</v>
      </c>
      <c r="H31" s="124">
        <f t="shared" si="0"/>
        <v>-32765.629999999997</v>
      </c>
    </row>
    <row r="32" spans="1:8">
      <c r="A32" s="192"/>
      <c r="B32" s="170" t="s">
        <v>721</v>
      </c>
      <c r="C32" s="199"/>
      <c r="D32" s="199">
        <v>7000</v>
      </c>
      <c r="E32" s="199"/>
      <c r="F32" s="207"/>
      <c r="H32" s="124">
        <f t="shared" si="0"/>
        <v>-32765.629999999997</v>
      </c>
    </row>
    <row r="33" spans="1:8">
      <c r="B33" t="s">
        <v>759</v>
      </c>
      <c r="D33" s="176">
        <v>170000</v>
      </c>
      <c r="F33" s="176"/>
      <c r="H33" s="124">
        <f t="shared" si="0"/>
        <v>-32765.629999999997</v>
      </c>
    </row>
    <row r="34" spans="1:8">
      <c r="A34" s="165">
        <v>45295</v>
      </c>
      <c r="B34" s="8" t="s">
        <v>760</v>
      </c>
      <c r="F34" s="176">
        <v>120000</v>
      </c>
      <c r="H34" s="124">
        <f t="shared" si="0"/>
        <v>87234.37</v>
      </c>
    </row>
    <row r="35" spans="1:8">
      <c r="A35" s="165">
        <v>45296</v>
      </c>
      <c r="B35" s="8" t="s">
        <v>760</v>
      </c>
      <c r="F35" s="176">
        <v>26000</v>
      </c>
      <c r="H35" s="124">
        <f t="shared" si="0"/>
        <v>113234.37</v>
      </c>
    </row>
    <row r="36" spans="1:8">
      <c r="A36" s="165">
        <v>45299</v>
      </c>
      <c r="B36" s="8" t="s">
        <v>761</v>
      </c>
      <c r="F36" s="176">
        <v>24000</v>
      </c>
      <c r="H36" s="124">
        <f t="shared" si="0"/>
        <v>137234.37</v>
      </c>
    </row>
    <row r="37" spans="1:8">
      <c r="A37" s="165"/>
      <c r="B37" s="8" t="s">
        <v>762</v>
      </c>
      <c r="G37" s="124">
        <v>-4000</v>
      </c>
      <c r="H37" s="124">
        <f t="shared" si="0"/>
        <v>133234.37</v>
      </c>
    </row>
    <row r="38" spans="1:8">
      <c r="A38" s="165">
        <v>45321</v>
      </c>
      <c r="B38" s="8" t="s">
        <v>762</v>
      </c>
      <c r="G38" s="124">
        <v>-1000</v>
      </c>
      <c r="H38" s="124">
        <f t="shared" si="0"/>
        <v>132234.37</v>
      </c>
    </row>
    <row r="39" spans="1:8">
      <c r="A39" s="165"/>
      <c r="B39" s="8" t="s">
        <v>763</v>
      </c>
      <c r="G39" s="124">
        <v>-3700</v>
      </c>
      <c r="H39" s="124">
        <f t="shared" si="0"/>
        <v>128534.37</v>
      </c>
    </row>
    <row r="40" spans="1:8">
      <c r="A40" s="165"/>
      <c r="H40" s="124">
        <f t="shared" si="0"/>
        <v>128534.37</v>
      </c>
    </row>
    <row r="41" spans="1:8">
      <c r="A41" s="88">
        <v>45315</v>
      </c>
      <c r="B41" s="8" t="s">
        <v>764</v>
      </c>
      <c r="H41" s="124">
        <f t="shared" si="0"/>
        <v>128534.37</v>
      </c>
    </row>
    <row r="42" spans="1:8">
      <c r="B42" t="s">
        <v>765</v>
      </c>
      <c r="C42" s="124">
        <v>0.234011</v>
      </c>
      <c r="D42" s="124">
        <v>144000</v>
      </c>
      <c r="H42" s="124">
        <f t="shared" si="0"/>
        <v>128534.37</v>
      </c>
    </row>
    <row r="43" spans="1:8">
      <c r="A43" s="160"/>
      <c r="H43" s="124">
        <f t="shared" si="0"/>
        <v>128534.37</v>
      </c>
    </row>
    <row r="44" spans="1:8">
      <c r="A44" s="160"/>
      <c r="H44" s="124">
        <f t="shared" si="0"/>
        <v>128534.37</v>
      </c>
    </row>
    <row r="45" spans="1:8">
      <c r="H45" s="124">
        <f t="shared" si="0"/>
        <v>128534.37</v>
      </c>
    </row>
    <row r="46" spans="1:8">
      <c r="B46" t="s">
        <v>325</v>
      </c>
    </row>
    <row r="47" spans="1:8">
      <c r="A47" s="103" t="s">
        <v>326</v>
      </c>
      <c r="B47" s="103"/>
    </row>
    <row r="48" spans="1:8">
      <c r="A48" s="100"/>
    </row>
    <row r="49" spans="1:5">
      <c r="A49" s="172">
        <v>44929</v>
      </c>
      <c r="B49" s="173" t="s">
        <v>327</v>
      </c>
      <c r="D49" s="124">
        <f>SUM(D50:D55)</f>
        <v>4772.1500000000005</v>
      </c>
      <c r="E49" s="124">
        <f>SUM(E50:E55)</f>
        <v>4742.6400000000003</v>
      </c>
    </row>
    <row r="50" spans="1:5">
      <c r="A50" s="100"/>
      <c r="B50" s="106" t="s">
        <v>328</v>
      </c>
      <c r="C50" s="124" t="s">
        <v>766</v>
      </c>
      <c r="D50" s="124">
        <v>1329.72</v>
      </c>
      <c r="E50" s="124">
        <v>1330</v>
      </c>
    </row>
    <row r="51" spans="1:5">
      <c r="B51" t="s">
        <v>767</v>
      </c>
      <c r="D51" s="124">
        <v>1282.42</v>
      </c>
      <c r="E51" s="124">
        <v>1250</v>
      </c>
    </row>
    <row r="52" spans="1:5">
      <c r="B52" t="s">
        <v>330</v>
      </c>
      <c r="D52" s="124">
        <v>298.67</v>
      </c>
      <c r="E52" s="124">
        <v>298.5</v>
      </c>
    </row>
    <row r="53" spans="1:5">
      <c r="B53" t="s">
        <v>768</v>
      </c>
      <c r="D53" s="124">
        <v>1204.3800000000001</v>
      </c>
      <c r="E53" s="124">
        <v>1205</v>
      </c>
    </row>
    <row r="54" spans="1:5">
      <c r="B54" t="s">
        <v>332</v>
      </c>
      <c r="D54" s="124">
        <v>487.82</v>
      </c>
      <c r="E54" s="124">
        <v>490</v>
      </c>
    </row>
    <row r="55" spans="1:5">
      <c r="B55" t="s">
        <v>333</v>
      </c>
      <c r="D55" s="124">
        <v>169.14</v>
      </c>
      <c r="E55" s="124">
        <v>169.14</v>
      </c>
    </row>
    <row r="58" spans="1:5">
      <c r="B58" s="17"/>
    </row>
    <row r="59" spans="1:5">
      <c r="B59" s="102"/>
    </row>
    <row r="60" spans="1:5">
      <c r="A60" s="103"/>
      <c r="B60" s="104" t="s">
        <v>83</v>
      </c>
      <c r="E60" s="124">
        <f>SUM(E61:E74)</f>
        <v>-3961.94</v>
      </c>
    </row>
    <row r="62" spans="1:5">
      <c r="A62" s="160"/>
      <c r="B62" s="106"/>
    </row>
    <row r="63" spans="1:5">
      <c r="A63" s="160">
        <v>45043</v>
      </c>
      <c r="B63" s="106" t="s">
        <v>723</v>
      </c>
      <c r="C63" s="124">
        <v>10764.57</v>
      </c>
      <c r="D63" s="124" t="s">
        <v>769</v>
      </c>
      <c r="E63" s="124">
        <v>-1196.06</v>
      </c>
    </row>
    <row r="64" spans="1:5">
      <c r="A64" s="100">
        <v>45187</v>
      </c>
      <c r="B64" s="106" t="s">
        <v>560</v>
      </c>
      <c r="C64" s="124">
        <v>7648.33</v>
      </c>
      <c r="D64" s="124" t="s">
        <v>770</v>
      </c>
      <c r="E64" s="124">
        <v>-849.81</v>
      </c>
    </row>
    <row r="65" spans="1:5">
      <c r="A65" s="100">
        <v>45187</v>
      </c>
      <c r="B65" s="106" t="s">
        <v>675</v>
      </c>
      <c r="C65" s="124">
        <v>11128</v>
      </c>
      <c r="D65" s="124" t="s">
        <v>513</v>
      </c>
      <c r="E65" s="124">
        <v>-1854.67</v>
      </c>
    </row>
    <row r="66" spans="1:5">
      <c r="A66" s="160">
        <v>44995</v>
      </c>
      <c r="B66" s="8" t="s">
        <v>771</v>
      </c>
      <c r="C66" s="124">
        <v>613.91</v>
      </c>
      <c r="D66" s="124" t="s">
        <v>772</v>
      </c>
      <c r="E66" s="124">
        <v>-61.4</v>
      </c>
    </row>
    <row r="67" spans="1:5">
      <c r="D67" s="124" t="s">
        <v>84</v>
      </c>
    </row>
    <row r="69" spans="1:5">
      <c r="A69" s="100"/>
      <c r="B69" s="106"/>
    </row>
    <row r="70" spans="1:5">
      <c r="A70" s="100"/>
      <c r="B70" s="106"/>
    </row>
    <row r="71" spans="1:5">
      <c r="A71" s="100"/>
      <c r="B71" s="107"/>
    </row>
    <row r="72" spans="1:5">
      <c r="A72" s="100"/>
      <c r="B72" s="107"/>
    </row>
    <row r="73" spans="1:5">
      <c r="A73" s="100"/>
      <c r="B73" s="107"/>
    </row>
    <row r="74" spans="1:5">
      <c r="A74" s="100"/>
      <c r="B74" s="107"/>
    </row>
    <row r="75" spans="1:5">
      <c r="A75" s="100"/>
      <c r="B75" s="3"/>
    </row>
    <row r="76" spans="1:5">
      <c r="A76" s="100"/>
      <c r="B76" s="106"/>
    </row>
    <row r="77" spans="1:5">
      <c r="A77" s="103"/>
      <c r="B77" s="104" t="s">
        <v>85</v>
      </c>
      <c r="E77" s="124">
        <f>SUM(E78:E112)</f>
        <v>-12474.550000000001</v>
      </c>
    </row>
    <row r="78" spans="1:5">
      <c r="A78" s="100"/>
      <c r="B78" s="106"/>
    </row>
    <row r="79" spans="1:5">
      <c r="A79" s="100">
        <v>45187</v>
      </c>
      <c r="B79" s="106" t="s">
        <v>682</v>
      </c>
      <c r="D79" s="124" t="s">
        <v>773</v>
      </c>
      <c r="E79" s="124">
        <v>-3974.44</v>
      </c>
    </row>
    <row r="80" spans="1:5">
      <c r="A80" s="165">
        <v>45214</v>
      </c>
      <c r="B80" s="8" t="s">
        <v>655</v>
      </c>
      <c r="D80" s="124" t="s">
        <v>657</v>
      </c>
      <c r="E80" s="124">
        <v>-600</v>
      </c>
    </row>
    <row r="81" spans="1:5">
      <c r="A81" s="100"/>
      <c r="B81" s="3"/>
    </row>
    <row r="82" spans="1:5">
      <c r="A82" s="165">
        <v>45259</v>
      </c>
      <c r="B82" s="8" t="s">
        <v>686</v>
      </c>
      <c r="C82" s="124">
        <v>-1204.5</v>
      </c>
      <c r="D82" s="124" t="s">
        <v>774</v>
      </c>
      <c r="E82" s="124">
        <v>-401.5</v>
      </c>
    </row>
    <row r="83" spans="1:5">
      <c r="A83" s="165">
        <v>45259</v>
      </c>
      <c r="B83" s="8" t="s">
        <v>688</v>
      </c>
      <c r="C83" s="124">
        <v>-148.6</v>
      </c>
      <c r="D83" s="124" t="s">
        <v>774</v>
      </c>
      <c r="E83" s="124">
        <v>-49.53</v>
      </c>
    </row>
    <row r="84" spans="1:5">
      <c r="A84" s="165">
        <v>45259</v>
      </c>
      <c r="B84" s="8" t="s">
        <v>689</v>
      </c>
      <c r="C84" s="124">
        <v>-244.8</v>
      </c>
      <c r="D84" s="124" t="s">
        <v>774</v>
      </c>
      <c r="E84" s="124">
        <v>-81.599999999999994</v>
      </c>
    </row>
    <row r="85" spans="1:5">
      <c r="A85" s="165">
        <v>45259</v>
      </c>
      <c r="B85" s="8" t="s">
        <v>690</v>
      </c>
      <c r="C85" s="124">
        <v>-532.6</v>
      </c>
      <c r="D85" s="124" t="s">
        <v>774</v>
      </c>
      <c r="E85" s="124">
        <v>-177.53</v>
      </c>
    </row>
    <row r="86" spans="1:5">
      <c r="A86" s="165">
        <v>45285</v>
      </c>
      <c r="B86" s="106" t="s">
        <v>520</v>
      </c>
    </row>
    <row r="87" spans="1:5">
      <c r="A87" s="100"/>
      <c r="B87" s="3" t="s">
        <v>533</v>
      </c>
      <c r="C87" s="124">
        <v>109.92</v>
      </c>
    </row>
    <row r="88" spans="1:5">
      <c r="A88" s="100">
        <v>45283</v>
      </c>
      <c r="B88" s="3" t="s">
        <v>540</v>
      </c>
      <c r="E88" s="124">
        <v>-90</v>
      </c>
    </row>
    <row r="89" spans="1:5">
      <c r="A89" s="100">
        <v>45283</v>
      </c>
      <c r="B89" s="3" t="s">
        <v>134</v>
      </c>
      <c r="C89" s="124">
        <f>E89</f>
        <v>-105.12</v>
      </c>
      <c r="E89" s="124">
        <v>-105.12</v>
      </c>
    </row>
    <row r="90" spans="1:5">
      <c r="A90" s="100">
        <v>45282</v>
      </c>
      <c r="B90" s="3" t="s">
        <v>134</v>
      </c>
      <c r="C90" s="124">
        <f>E90</f>
        <v>-58.63</v>
      </c>
      <c r="E90" s="124">
        <v>-58.63</v>
      </c>
    </row>
    <row r="91" spans="1:5">
      <c r="A91" s="100">
        <v>45281</v>
      </c>
      <c r="B91" s="3" t="s">
        <v>540</v>
      </c>
      <c r="E91" s="124">
        <v>-110</v>
      </c>
    </row>
    <row r="92" spans="1:5">
      <c r="A92" s="100">
        <v>45281</v>
      </c>
      <c r="B92" s="3" t="s">
        <v>134</v>
      </c>
      <c r="C92" s="124">
        <f>E92</f>
        <v>-70</v>
      </c>
      <c r="E92" s="124">
        <v>-70</v>
      </c>
    </row>
    <row r="93" spans="1:5">
      <c r="A93" s="100">
        <v>45281</v>
      </c>
      <c r="B93" s="3" t="s">
        <v>134</v>
      </c>
      <c r="C93" s="124">
        <f>E93</f>
        <v>-76.66</v>
      </c>
      <c r="E93" s="124">
        <v>-76.66</v>
      </c>
    </row>
    <row r="94" spans="1:5">
      <c r="A94" s="100">
        <v>45279</v>
      </c>
      <c r="B94" s="3" t="s">
        <v>775</v>
      </c>
      <c r="E94" s="124">
        <v>-260</v>
      </c>
    </row>
    <row r="95" spans="1:5">
      <c r="A95" s="100">
        <v>45278</v>
      </c>
      <c r="B95" s="3" t="s">
        <v>134</v>
      </c>
      <c r="C95" s="124">
        <f>E95</f>
        <v>-370</v>
      </c>
      <c r="E95" s="124">
        <v>-370</v>
      </c>
    </row>
    <row r="96" spans="1:5">
      <c r="A96" s="100">
        <v>45276</v>
      </c>
      <c r="B96" s="3" t="s">
        <v>776</v>
      </c>
      <c r="E96" s="124">
        <v>-300</v>
      </c>
    </row>
    <row r="97" spans="1:5">
      <c r="A97" s="100">
        <v>45276</v>
      </c>
      <c r="B97" s="3" t="s">
        <v>134</v>
      </c>
      <c r="C97" s="124">
        <f>E97</f>
        <v>-250</v>
      </c>
      <c r="E97" s="124">
        <v>-250</v>
      </c>
    </row>
    <row r="98" spans="1:5">
      <c r="A98" s="100">
        <v>45275</v>
      </c>
      <c r="B98" s="3" t="s">
        <v>777</v>
      </c>
      <c r="E98" s="124">
        <v>-470</v>
      </c>
    </row>
    <row r="99" spans="1:5">
      <c r="A99" s="100">
        <v>45275</v>
      </c>
      <c r="B99" s="3" t="s">
        <v>778</v>
      </c>
      <c r="E99" s="124">
        <v>-285</v>
      </c>
    </row>
    <row r="100" spans="1:5">
      <c r="A100" s="100">
        <v>45274</v>
      </c>
      <c r="B100" s="3" t="s">
        <v>134</v>
      </c>
      <c r="C100" s="124">
        <f>E100</f>
        <v>-150</v>
      </c>
      <c r="E100" s="124">
        <v>-150</v>
      </c>
    </row>
    <row r="101" spans="1:5">
      <c r="A101" s="100">
        <v>45272</v>
      </c>
      <c r="B101" s="3" t="s">
        <v>779</v>
      </c>
      <c r="E101" s="124">
        <v>-1108.1500000000001</v>
      </c>
    </row>
    <row r="102" spans="1:5">
      <c r="A102" s="100">
        <v>45271</v>
      </c>
      <c r="B102" s="3" t="s">
        <v>134</v>
      </c>
      <c r="C102" s="124">
        <f>E102</f>
        <v>-150</v>
      </c>
      <c r="E102" s="124">
        <v>-150</v>
      </c>
    </row>
    <row r="103" spans="1:5">
      <c r="A103" s="100">
        <v>45270</v>
      </c>
      <c r="B103" s="3" t="s">
        <v>132</v>
      </c>
      <c r="E103" s="124">
        <v>-1551.29</v>
      </c>
    </row>
    <row r="104" spans="1:5">
      <c r="A104" s="100">
        <v>45270</v>
      </c>
      <c r="B104" s="3" t="s">
        <v>780</v>
      </c>
      <c r="E104" s="124">
        <v>-315.10000000000002</v>
      </c>
    </row>
    <row r="105" spans="1:5">
      <c r="A105" s="100">
        <v>45267</v>
      </c>
      <c r="B105" s="3" t="s">
        <v>540</v>
      </c>
      <c r="E105" s="124">
        <v>-300</v>
      </c>
    </row>
    <row r="106" spans="1:5">
      <c r="A106" s="100">
        <v>45266</v>
      </c>
      <c r="B106" s="3" t="s">
        <v>134</v>
      </c>
      <c r="C106" s="124">
        <f>E106</f>
        <v>-200</v>
      </c>
      <c r="E106" s="124">
        <v>-200</v>
      </c>
    </row>
    <row r="107" spans="1:5">
      <c r="A107" s="100">
        <v>45265</v>
      </c>
      <c r="B107" s="3" t="s">
        <v>134</v>
      </c>
      <c r="C107" s="124">
        <f>E107</f>
        <v>-200</v>
      </c>
      <c r="E107" s="124">
        <v>-200</v>
      </c>
    </row>
    <row r="108" spans="1:5">
      <c r="A108" s="100">
        <v>45264</v>
      </c>
      <c r="B108" s="3" t="s">
        <v>129</v>
      </c>
      <c r="D108" s="124">
        <v>11990.16</v>
      </c>
    </row>
    <row r="109" spans="1:5">
      <c r="A109" s="100">
        <v>45260</v>
      </c>
      <c r="B109" s="3" t="s">
        <v>134</v>
      </c>
      <c r="C109" s="124">
        <f>E109</f>
        <v>-200</v>
      </c>
      <c r="E109" s="124">
        <v>-200</v>
      </c>
    </row>
    <row r="110" spans="1:5">
      <c r="A110" s="165">
        <v>45257</v>
      </c>
      <c r="B110" s="3" t="s">
        <v>134</v>
      </c>
      <c r="C110" s="124">
        <f>E110</f>
        <v>-250</v>
      </c>
      <c r="E110" s="124">
        <v>-250</v>
      </c>
    </row>
    <row r="111" spans="1:5">
      <c r="A111" s="165">
        <v>45255</v>
      </c>
      <c r="B111" s="3" t="s">
        <v>134</v>
      </c>
      <c r="C111" s="124">
        <f>E111</f>
        <v>-160</v>
      </c>
      <c r="E111" s="124">
        <v>-160</v>
      </c>
    </row>
    <row r="112" spans="1:5">
      <c r="A112" s="165">
        <v>45254</v>
      </c>
      <c r="B112" s="3" t="s">
        <v>134</v>
      </c>
      <c r="C112" s="124">
        <f>E112</f>
        <v>-160</v>
      </c>
      <c r="E112" s="124">
        <v>-160</v>
      </c>
    </row>
    <row r="113" spans="1:5">
      <c r="D113" s="124" t="s">
        <v>84</v>
      </c>
    </row>
    <row r="114" spans="1:5">
      <c r="B114" s="18" t="s">
        <v>418</v>
      </c>
      <c r="C114" s="124">
        <f>SUM(C89:C113)</f>
        <v>-2400.41</v>
      </c>
    </row>
    <row r="118" spans="1:5">
      <c r="A118" s="113" t="s">
        <v>781</v>
      </c>
      <c r="B118" s="104" t="s">
        <v>136</v>
      </c>
      <c r="C118" s="103">
        <v>2023</v>
      </c>
      <c r="D118" s="158"/>
      <c r="E118" s="159">
        <f>SUM(E119:E135)</f>
        <v>813151.51</v>
      </c>
    </row>
    <row r="119" spans="1:5">
      <c r="A119" s="160">
        <v>45322</v>
      </c>
      <c r="B119" s="8" t="s">
        <v>77</v>
      </c>
      <c r="C119" s="2"/>
      <c r="D119" s="2"/>
      <c r="E119" s="17">
        <v>64000</v>
      </c>
    </row>
    <row r="120" spans="1:5">
      <c r="A120" s="160">
        <f>A119</f>
        <v>45322</v>
      </c>
      <c r="B120" s="8" t="s">
        <v>782</v>
      </c>
      <c r="C120" s="2"/>
      <c r="D120" s="2"/>
      <c r="E120" s="17">
        <v>210345.5</v>
      </c>
    </row>
    <row r="121" spans="1:5">
      <c r="A121" s="160">
        <f>A120</f>
        <v>45322</v>
      </c>
      <c r="B121" s="8" t="s">
        <v>300</v>
      </c>
      <c r="C121" s="2"/>
      <c r="D121" s="2"/>
      <c r="E121" s="17">
        <v>7564.7</v>
      </c>
    </row>
    <row r="122" spans="1:5">
      <c r="A122" s="160">
        <f>A121</f>
        <v>45322</v>
      </c>
      <c r="B122" s="8" t="s">
        <v>301</v>
      </c>
      <c r="C122" s="2"/>
      <c r="D122" s="2"/>
      <c r="E122" s="17">
        <v>122.31</v>
      </c>
    </row>
    <row r="123" spans="1:5">
      <c r="A123" s="160">
        <f>A122</f>
        <v>45322</v>
      </c>
      <c r="B123" s="8" t="s">
        <v>497</v>
      </c>
      <c r="C123" s="2"/>
      <c r="D123" s="2"/>
      <c r="E123" s="17">
        <v>10000</v>
      </c>
    </row>
    <row r="124" spans="1:5">
      <c r="A124" s="160">
        <f>A123</f>
        <v>45322</v>
      </c>
      <c r="B124" s="8" t="s">
        <v>302</v>
      </c>
      <c r="D124" s="2"/>
      <c r="E124" s="17">
        <v>0</v>
      </c>
    </row>
    <row r="125" spans="1:5">
      <c r="A125" s="160">
        <v>45327</v>
      </c>
      <c r="B125" s="8" t="s">
        <v>236</v>
      </c>
      <c r="C125" s="2" t="s">
        <v>783</v>
      </c>
      <c r="D125" s="2"/>
      <c r="E125" s="17">
        <v>132120.79</v>
      </c>
    </row>
    <row r="126" spans="1:5">
      <c r="A126" s="160">
        <f>A125</f>
        <v>45327</v>
      </c>
      <c r="B126" s="8" t="s">
        <v>784</v>
      </c>
      <c r="C126" s="2"/>
      <c r="D126" s="2"/>
      <c r="E126" s="17">
        <v>0</v>
      </c>
    </row>
    <row r="127" spans="1:5">
      <c r="A127" s="160">
        <v>45327</v>
      </c>
      <c r="B127" s="8" t="s">
        <v>785</v>
      </c>
      <c r="C127" s="160">
        <v>45327</v>
      </c>
      <c r="D127" s="161">
        <v>21.7</v>
      </c>
      <c r="E127" s="17">
        <v>513.5</v>
      </c>
    </row>
    <row r="128" spans="1:5">
      <c r="A128" s="160">
        <f>A127</f>
        <v>45327</v>
      </c>
      <c r="B128" s="8" t="s">
        <v>786</v>
      </c>
      <c r="C128" s="160">
        <v>45327</v>
      </c>
      <c r="D128" s="161">
        <v>539.29</v>
      </c>
      <c r="E128" s="17">
        <v>5448.3</v>
      </c>
    </row>
    <row r="129" spans="1:5">
      <c r="A129" s="160">
        <v>45327</v>
      </c>
      <c r="B129" s="8" t="s">
        <v>140</v>
      </c>
      <c r="C129" s="2"/>
      <c r="D129" s="2"/>
      <c r="E129" s="17">
        <v>500</v>
      </c>
    </row>
    <row r="130" spans="1:5">
      <c r="A130" s="160">
        <v>45327</v>
      </c>
      <c r="B130" s="8" t="s">
        <v>787</v>
      </c>
      <c r="C130" s="2">
        <v>1959.94</v>
      </c>
      <c r="D130" s="2">
        <v>161</v>
      </c>
      <c r="E130" s="17">
        <f>D130*C130</f>
        <v>315550.34000000003</v>
      </c>
    </row>
    <row r="131" spans="1:5">
      <c r="A131" s="160">
        <f>A130</f>
        <v>45327</v>
      </c>
      <c r="B131" s="8" t="s">
        <v>788</v>
      </c>
      <c r="C131" s="162">
        <v>30.452000000000002</v>
      </c>
      <c r="D131" s="2">
        <v>850</v>
      </c>
      <c r="E131" s="17">
        <f>D131*C131</f>
        <v>25884.2</v>
      </c>
    </row>
    <row r="132" spans="1:5">
      <c r="A132" s="160">
        <f>A131</f>
        <v>45327</v>
      </c>
      <c r="B132" s="8" t="s">
        <v>504</v>
      </c>
      <c r="C132" s="162">
        <v>30.452000000000002</v>
      </c>
      <c r="D132" s="2">
        <v>250</v>
      </c>
      <c r="E132" s="17">
        <f>D132*C132</f>
        <v>7613</v>
      </c>
    </row>
    <row r="133" spans="1:5">
      <c r="A133" s="160">
        <f>A131</f>
        <v>45327</v>
      </c>
      <c r="B133" s="8" t="s">
        <v>789</v>
      </c>
      <c r="C133" s="162">
        <v>32.3887</v>
      </c>
      <c r="D133" s="2">
        <v>100</v>
      </c>
      <c r="E133" s="17">
        <f>D133*C133</f>
        <v>3238.87</v>
      </c>
    </row>
    <row r="134" spans="1:5">
      <c r="A134" s="160">
        <f>A133</f>
        <v>45327</v>
      </c>
      <c r="B134" s="8" t="s">
        <v>152</v>
      </c>
      <c r="C134" s="2"/>
      <c r="D134" s="2"/>
      <c r="E134" s="17">
        <v>30000</v>
      </c>
    </row>
    <row r="135" spans="1:5">
      <c r="A135" s="160">
        <f>A134</f>
        <v>45327</v>
      </c>
      <c r="B135" s="8" t="s">
        <v>153</v>
      </c>
      <c r="C135" s="2"/>
      <c r="D135" s="2"/>
      <c r="E135" s="17">
        <v>250</v>
      </c>
    </row>
    <row r="136" spans="1:5">
      <c r="C136" s="125" t="str">
        <f>A118</f>
        <v>OCAK</v>
      </c>
      <c r="D136" s="126" t="s">
        <v>156</v>
      </c>
      <c r="E136" s="127">
        <f>H2</f>
        <v>128534.37000000002</v>
      </c>
    </row>
    <row r="137" spans="1:5">
      <c r="D137" s="3"/>
    </row>
    <row r="138" spans="1:5">
      <c r="D138" s="18" t="s">
        <v>155</v>
      </c>
      <c r="E138" s="9">
        <f>SUM(E119:E135)</f>
        <v>813151.51</v>
      </c>
    </row>
    <row r="140" spans="1:5">
      <c r="B140" t="s">
        <v>790</v>
      </c>
    </row>
    <row r="141" spans="1:5">
      <c r="A141" s="88">
        <v>45317</v>
      </c>
      <c r="B141" s="8" t="s">
        <v>791</v>
      </c>
      <c r="C141" s="124">
        <v>12500</v>
      </c>
      <c r="D141" s="124" t="s">
        <v>792</v>
      </c>
      <c r="E141" s="124">
        <v>10000</v>
      </c>
    </row>
    <row r="142" spans="1:5">
      <c r="B142" t="s">
        <v>791</v>
      </c>
      <c r="C142" s="124">
        <v>13400</v>
      </c>
      <c r="D142" s="124" t="s">
        <v>140</v>
      </c>
      <c r="E142" s="124">
        <v>25000</v>
      </c>
    </row>
    <row r="143" spans="1:5">
      <c r="B143" t="s">
        <v>791</v>
      </c>
      <c r="C143" s="124">
        <v>13700</v>
      </c>
      <c r="D143" s="124" t="s">
        <v>793</v>
      </c>
      <c r="E143" s="124">
        <v>10400</v>
      </c>
    </row>
    <row r="144" spans="1:5">
      <c r="B144" t="s">
        <v>791</v>
      </c>
      <c r="C144" s="124">
        <v>5800</v>
      </c>
      <c r="D144" s="124">
        <f>SUM(C141:C144)</f>
        <v>45400</v>
      </c>
      <c r="E144" s="124">
        <f>SUM(E141:E143)</f>
        <v>45400</v>
      </c>
    </row>
    <row r="146" spans="2:4">
      <c r="B146" t="s">
        <v>794</v>
      </c>
      <c r="C146" s="124">
        <v>14400</v>
      </c>
    </row>
    <row r="147" spans="2:4">
      <c r="B147" t="s">
        <v>795</v>
      </c>
      <c r="C147" s="124">
        <v>2800</v>
      </c>
      <c r="D147" s="124">
        <f>SUM(C146:C147)</f>
        <v>17200</v>
      </c>
    </row>
    <row r="148" spans="2:4">
      <c r="B148" t="s">
        <v>796</v>
      </c>
      <c r="C148" s="124">
        <v>200</v>
      </c>
    </row>
    <row r="149" spans="2:4">
      <c r="C149" s="124">
        <f>SUM(C141:C148)</f>
        <v>62800</v>
      </c>
      <c r="D149" s="124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468A1A"/>
  </sheetPr>
  <dimension ref="A1:N35"/>
  <sheetViews>
    <sheetView zoomScale="170" zoomScaleNormal="170" workbookViewId="0">
      <selection activeCell="J14" sqref="J14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08">
        <v>0.23538400000000001</v>
      </c>
      <c r="L1" s="209">
        <f>1-K1</f>
        <v>0.76461599999999996</v>
      </c>
      <c r="M1" s="210"/>
      <c r="N1" s="78" t="s">
        <v>27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11" t="s">
        <v>797</v>
      </c>
      <c r="L2" s="212" t="s">
        <v>798</v>
      </c>
      <c r="M2" s="31" t="s">
        <v>32</v>
      </c>
      <c r="N2" s="78">
        <f>F26/1000</f>
        <v>356.02226999999999</v>
      </c>
    </row>
    <row r="3" spans="1:14">
      <c r="A3" t="s">
        <v>33</v>
      </c>
      <c r="B3" s="213">
        <f>'01_23'!D2</f>
        <v>13261</v>
      </c>
      <c r="C3" s="214">
        <f>'01_23'!E2</f>
        <v>-22808.309999999998</v>
      </c>
      <c r="D3" s="215">
        <f>B3+C3</f>
        <v>-9547.3099999999977</v>
      </c>
      <c r="E3" s="213">
        <f>'01_23'!F2</f>
        <v>8049.2</v>
      </c>
      <c r="F3" s="214">
        <f>'01_23'!G2</f>
        <v>-23047.62</v>
      </c>
      <c r="G3" s="216">
        <f>E3+F3</f>
        <v>-14998.419999999998</v>
      </c>
      <c r="H3" s="34"/>
      <c r="I3" s="35" t="s">
        <v>34</v>
      </c>
      <c r="J3">
        <v>78</v>
      </c>
      <c r="K3" s="217"/>
      <c r="L3" s="37"/>
      <c r="M3" s="38">
        <f>J3</f>
        <v>78</v>
      </c>
      <c r="N3" s="78">
        <f>'01_23'!E111/1000</f>
        <v>356.02226999999999</v>
      </c>
    </row>
    <row r="4" spans="1:14">
      <c r="A4" t="s">
        <v>35</v>
      </c>
      <c r="B4" s="213">
        <f>'02_23'!D2</f>
        <v>15761</v>
      </c>
      <c r="C4" s="214">
        <f>'02_23'!E2</f>
        <v>-56286.92</v>
      </c>
      <c r="D4" s="215">
        <f t="shared" ref="D4:D14" si="0">B4+C4+D3</f>
        <v>-50073.229999999996</v>
      </c>
      <c r="E4" s="213">
        <f>'02_23'!F2</f>
        <v>26990.010000000002</v>
      </c>
      <c r="F4" s="214">
        <f>'02_23'!G2</f>
        <v>-77441.489999999991</v>
      </c>
      <c r="G4" s="216">
        <f t="shared" ref="G4:G14" si="1">E4+F4+G3</f>
        <v>-65449.899999999987</v>
      </c>
      <c r="H4" s="34"/>
      <c r="I4" s="35" t="s">
        <v>36</v>
      </c>
      <c r="J4">
        <v>83.16</v>
      </c>
      <c r="K4" s="217">
        <f>J4*$K$1</f>
        <v>19.57453344</v>
      </c>
      <c r="L4" s="40">
        <f>J4-K4</f>
        <v>63.58546656</v>
      </c>
      <c r="M4" s="38"/>
      <c r="N4" s="78">
        <f>'02_23'!E111/1000</f>
        <v>335.74799999999999</v>
      </c>
    </row>
    <row r="5" spans="1:14">
      <c r="A5" t="s">
        <v>37</v>
      </c>
      <c r="B5" s="213">
        <f>'03_23'!D2</f>
        <v>88189</v>
      </c>
      <c r="C5" s="214">
        <f>'03_23'!E2</f>
        <v>-24634.690000000002</v>
      </c>
      <c r="D5" s="215">
        <f t="shared" si="0"/>
        <v>13481.080000000002</v>
      </c>
      <c r="E5" s="213">
        <f>'03_23'!F2</f>
        <v>23139.34</v>
      </c>
      <c r="F5" s="214">
        <f>'03_23'!G2</f>
        <v>-33283.54</v>
      </c>
      <c r="G5" s="216">
        <f t="shared" si="1"/>
        <v>-75594.099999999991</v>
      </c>
      <c r="H5" s="34"/>
      <c r="I5" s="35" t="s">
        <v>38</v>
      </c>
      <c r="J5">
        <v>33</v>
      </c>
      <c r="K5" s="217"/>
      <c r="L5" s="37"/>
      <c r="M5" s="38">
        <v>33</v>
      </c>
      <c r="N5" s="78">
        <f>'03_23'!E111/1000</f>
        <v>310.9323</v>
      </c>
    </row>
    <row r="6" spans="1:14">
      <c r="A6" t="s">
        <v>39</v>
      </c>
      <c r="B6" s="213">
        <f>'04_23'!D2</f>
        <v>20911</v>
      </c>
      <c r="C6" s="214">
        <f>'04_23'!E2</f>
        <v>-54277.093000000001</v>
      </c>
      <c r="D6" s="215">
        <f t="shared" si="0"/>
        <v>-19885.012999999999</v>
      </c>
      <c r="E6" s="213">
        <f>'04_23'!F2</f>
        <v>72630</v>
      </c>
      <c r="F6" s="214">
        <f>'04_23'!G2</f>
        <v>-58332.79</v>
      </c>
      <c r="G6" s="216">
        <f t="shared" si="1"/>
        <v>-61296.889999999992</v>
      </c>
      <c r="H6" s="34"/>
      <c r="I6" s="41" t="s">
        <v>40</v>
      </c>
      <c r="K6" s="218"/>
      <c r="L6" s="37"/>
      <c r="M6" s="42">
        <f>E18/1000</f>
        <v>39.208550000000002</v>
      </c>
      <c r="N6" s="78">
        <f>'04_23'!E111/1000</f>
        <v>367.48341000000005</v>
      </c>
    </row>
    <row r="7" spans="1:14">
      <c r="A7" t="s">
        <v>41</v>
      </c>
      <c r="B7" s="213">
        <f>'05_23'!D2</f>
        <v>17911</v>
      </c>
      <c r="C7" s="214">
        <f>'05_23'!E2</f>
        <v>-20977.52</v>
      </c>
      <c r="D7" s="215">
        <f t="shared" si="0"/>
        <v>-22951.532999999999</v>
      </c>
      <c r="E7" s="213">
        <f>'05_23'!F2</f>
        <v>19800</v>
      </c>
      <c r="F7" s="214">
        <f>'05_23'!G2</f>
        <v>-25248.52</v>
      </c>
      <c r="G7" s="216">
        <f t="shared" si="1"/>
        <v>-66745.409999999989</v>
      </c>
      <c r="H7" s="34"/>
      <c r="I7" s="41" t="s">
        <v>42</v>
      </c>
      <c r="K7" s="217"/>
      <c r="L7" s="40"/>
      <c r="M7" s="42">
        <f>(E19+E20)/1000</f>
        <v>51.93253</v>
      </c>
      <c r="N7" s="78">
        <f>'05_23'!E111/1000</f>
        <v>358.02833999999996</v>
      </c>
    </row>
    <row r="8" spans="1:14">
      <c r="A8" t="s">
        <v>43</v>
      </c>
      <c r="B8" s="213">
        <f>'06_23'!D2</f>
        <v>28744</v>
      </c>
      <c r="C8" s="214">
        <f>'06_23'!E2</f>
        <v>-26572.629999999997</v>
      </c>
      <c r="D8" s="215">
        <f t="shared" si="0"/>
        <v>-20780.162999999997</v>
      </c>
      <c r="E8" s="213">
        <f>'06_23'!F2</f>
        <v>33133</v>
      </c>
      <c r="F8" s="214">
        <f>'06_23'!G2</f>
        <v>-28830.22</v>
      </c>
      <c r="G8" s="216">
        <f t="shared" si="1"/>
        <v>-62442.62999999999</v>
      </c>
      <c r="H8" s="34"/>
      <c r="I8" s="35" t="s">
        <v>44</v>
      </c>
      <c r="J8">
        <v>150</v>
      </c>
      <c r="K8" s="217"/>
      <c r="L8" s="40"/>
      <c r="M8" s="38">
        <f>J8/4</f>
        <v>37.5</v>
      </c>
      <c r="N8" s="78">
        <f>'06_23'!E111/1000</f>
        <v>377.42543000000001</v>
      </c>
    </row>
    <row r="9" spans="1:14">
      <c r="A9" t="s">
        <v>45</v>
      </c>
      <c r="B9" s="213">
        <f>'07_23'!D2</f>
        <v>67911</v>
      </c>
      <c r="C9" s="214">
        <f>'07_23'!E2</f>
        <v>-35277.64</v>
      </c>
      <c r="D9" s="215">
        <f t="shared" si="0"/>
        <v>11853.197000000004</v>
      </c>
      <c r="E9" s="213">
        <f>'07_23'!F2</f>
        <v>70250</v>
      </c>
      <c r="F9" s="214">
        <f>'07_23'!G2</f>
        <v>-42110.31</v>
      </c>
      <c r="G9" s="216">
        <f t="shared" si="1"/>
        <v>-34302.939999999988</v>
      </c>
      <c r="H9" s="34"/>
      <c r="I9" s="35" t="s">
        <v>46</v>
      </c>
      <c r="J9">
        <v>96</v>
      </c>
      <c r="K9" s="217">
        <f>J9*$K$1</f>
        <v>22.596864</v>
      </c>
      <c r="L9" s="40">
        <f>J9-K9</f>
        <v>73.403136000000003</v>
      </c>
      <c r="M9" s="43"/>
      <c r="N9" s="78">
        <f>'07_23'!E111/1000</f>
        <v>433.28658999999999</v>
      </c>
    </row>
    <row r="10" spans="1:14">
      <c r="A10" t="s">
        <v>47</v>
      </c>
      <c r="B10" s="213">
        <f>'08_23'!D2</f>
        <v>87911</v>
      </c>
      <c r="C10" s="214">
        <f>'08_23'!E2</f>
        <v>-32079.01</v>
      </c>
      <c r="D10" s="215">
        <f t="shared" si="0"/>
        <v>67685.187000000005</v>
      </c>
      <c r="E10" s="213">
        <f>'08_23'!F2</f>
        <v>16800</v>
      </c>
      <c r="F10" s="214">
        <f>'08_23'!G2</f>
        <v>-37135.350000000006</v>
      </c>
      <c r="G10" s="216">
        <f t="shared" si="1"/>
        <v>-54638.289999999994</v>
      </c>
      <c r="H10" s="34"/>
      <c r="I10" s="35" t="s">
        <v>48</v>
      </c>
      <c r="J10">
        <v>100</v>
      </c>
      <c r="K10" s="217"/>
      <c r="L10" s="40"/>
      <c r="M10" s="38">
        <v>10</v>
      </c>
      <c r="N10" s="78">
        <f>'08_23'!E111/1000</f>
        <v>399.80056999999999</v>
      </c>
    </row>
    <row r="11" spans="1:14">
      <c r="A11" t="s">
        <v>49</v>
      </c>
      <c r="B11" s="213">
        <f>'09_23'!D2</f>
        <v>133300</v>
      </c>
      <c r="C11" s="214">
        <f>'09_23'!E2</f>
        <v>-31871.02</v>
      </c>
      <c r="D11" s="215">
        <f t="shared" si="0"/>
        <v>169114.16700000002</v>
      </c>
      <c r="E11" s="213">
        <f>'09_23'!F2</f>
        <v>257800</v>
      </c>
      <c r="F11" s="214">
        <f>'09_23'!G2</f>
        <v>-34914.910000000003</v>
      </c>
      <c r="G11" s="216">
        <f t="shared" si="1"/>
        <v>168246.8</v>
      </c>
      <c r="H11" s="34"/>
      <c r="I11" s="35" t="s">
        <v>50</v>
      </c>
      <c r="J11">
        <v>96</v>
      </c>
      <c r="K11" s="217">
        <f>J11*$K$1</f>
        <v>22.596864</v>
      </c>
      <c r="L11" s="40">
        <f>J11-K11</f>
        <v>73.403136000000003</v>
      </c>
      <c r="M11" s="38"/>
      <c r="N11" s="78">
        <f>'09_23'!E111/1000</f>
        <v>604.37009999999998</v>
      </c>
    </row>
    <row r="12" spans="1:14">
      <c r="A12" t="s">
        <v>51</v>
      </c>
      <c r="B12" s="213">
        <f>'10_23'!D2</f>
        <v>32800</v>
      </c>
      <c r="C12" s="214">
        <f>'10_23'!E2</f>
        <v>-44478.170000000006</v>
      </c>
      <c r="D12" s="215">
        <f t="shared" si="0"/>
        <v>157435.997</v>
      </c>
      <c r="E12" s="213">
        <f>'10_23'!F2</f>
        <v>23200</v>
      </c>
      <c r="F12" s="214">
        <f>'10_23'!G2</f>
        <v>-43968.17</v>
      </c>
      <c r="G12" s="216">
        <f t="shared" si="1"/>
        <v>147478.63</v>
      </c>
      <c r="H12" s="34"/>
      <c r="I12" s="35" t="s">
        <v>52</v>
      </c>
      <c r="J12">
        <v>84</v>
      </c>
      <c r="K12" s="217">
        <f>J12*$K$1</f>
        <v>19.772256000000002</v>
      </c>
      <c r="L12" s="40">
        <f>J12-K12</f>
        <v>64.227744000000001</v>
      </c>
      <c r="M12" s="38"/>
      <c r="N12" s="78">
        <f>'10_23'!E111/1000</f>
        <v>610.64972999999998</v>
      </c>
    </row>
    <row r="13" spans="1:14">
      <c r="A13" t="s">
        <v>53</v>
      </c>
      <c r="B13" s="213">
        <f>'11_23'!D2</f>
        <v>262800</v>
      </c>
      <c r="C13" s="214">
        <f>'11_23'!E2</f>
        <v>-98843.11</v>
      </c>
      <c r="D13" s="215">
        <f t="shared" si="0"/>
        <v>321392.88699999999</v>
      </c>
      <c r="E13" s="213">
        <f>'11_23'!F2</f>
        <v>177687.06</v>
      </c>
      <c r="F13" s="214">
        <f>'11_23'!G2</f>
        <v>-242504.11</v>
      </c>
      <c r="G13" s="216">
        <f t="shared" si="1"/>
        <v>82661.580000000016</v>
      </c>
      <c r="H13" s="34"/>
      <c r="I13" s="35" t="s">
        <v>54</v>
      </c>
      <c r="J13">
        <v>135</v>
      </c>
      <c r="K13" s="217">
        <f>J13*$K$1</f>
        <v>31.77684</v>
      </c>
      <c r="L13" s="40">
        <f>J13-K13</f>
        <v>103.22316000000001</v>
      </c>
      <c r="M13" s="43"/>
      <c r="N13" s="78">
        <f>'11_23'!E111/1000</f>
        <v>709.39308499999993</v>
      </c>
    </row>
    <row r="14" spans="1:14">
      <c r="A14" t="s">
        <v>55</v>
      </c>
      <c r="B14" s="213">
        <f>'12_23'!D2</f>
        <v>22800</v>
      </c>
      <c r="C14" s="214">
        <f>'12_23'!E2</f>
        <v>-38101.83</v>
      </c>
      <c r="D14" s="215">
        <f t="shared" si="0"/>
        <v>306091.05699999997</v>
      </c>
      <c r="E14" s="213">
        <f>'12_23'!F2</f>
        <v>16232.529999999999</v>
      </c>
      <c r="F14" s="214">
        <f>'12_23'!G2</f>
        <v>-41854.230000000003</v>
      </c>
      <c r="G14" s="216">
        <f t="shared" si="1"/>
        <v>57039.880000000012</v>
      </c>
      <c r="H14" s="34"/>
      <c r="I14" s="35" t="s">
        <v>56</v>
      </c>
      <c r="K14" s="217">
        <f>J14*$K$1</f>
        <v>0</v>
      </c>
      <c r="L14" s="40">
        <f>J14-K14</f>
        <v>0</v>
      </c>
      <c r="M14" s="43"/>
      <c r="N14" s="78">
        <f>'12_23'!E113/1000</f>
        <v>218.08799999999999</v>
      </c>
    </row>
    <row r="15" spans="1:14">
      <c r="A15" s="46" t="s">
        <v>57</v>
      </c>
      <c r="B15" s="219">
        <f>SUM(B3:B14)</f>
        <v>792299</v>
      </c>
      <c r="C15" s="220">
        <f>SUM(C3:C14)</f>
        <v>-486207.94300000003</v>
      </c>
      <c r="D15" s="221">
        <f>B15+C15</f>
        <v>306091.05699999997</v>
      </c>
      <c r="E15" s="219">
        <f>SUM(E3:E14)</f>
        <v>745711.14000000013</v>
      </c>
      <c r="F15" s="220">
        <f>SUM(F3:F14)</f>
        <v>-688671.26</v>
      </c>
      <c r="G15" s="221">
        <f>E15+F15</f>
        <v>57039.880000000121</v>
      </c>
      <c r="H15" s="34"/>
      <c r="I15" s="222"/>
      <c r="J15" s="222">
        <f>SUM(J3:J14)</f>
        <v>855.16</v>
      </c>
      <c r="K15" s="223">
        <f>SUM(K4:K14)</f>
        <v>116.31735743999999</v>
      </c>
      <c r="L15" s="51">
        <f>SUM(L4:L14)</f>
        <v>377.84264256000006</v>
      </c>
      <c r="M15" s="52">
        <f>SUM(M3:M10)</f>
        <v>249.64107999999999</v>
      </c>
    </row>
    <row r="16" spans="1:14">
      <c r="A16" s="53">
        <v>12</v>
      </c>
      <c r="B16" s="54">
        <f>B15/A16</f>
        <v>66024.916666666672</v>
      </c>
      <c r="C16" s="55">
        <f>C15/A16</f>
        <v>-40517.328583333336</v>
      </c>
      <c r="D16" s="55"/>
      <c r="E16" s="55">
        <f>E15/A16</f>
        <v>62142.595000000008</v>
      </c>
      <c r="F16" s="55">
        <f>F15/A16</f>
        <v>-57389.271666666667</v>
      </c>
      <c r="G16" s="55">
        <f>G15/A16</f>
        <v>4753.3233333333437</v>
      </c>
      <c r="H16" s="56"/>
      <c r="I16" s="224"/>
      <c r="J16" s="55">
        <f>J15/12</f>
        <v>71.263333333333335</v>
      </c>
      <c r="K16" s="225">
        <f>K15/12</f>
        <v>9.6931131199999996</v>
      </c>
      <c r="L16" s="226">
        <f>L15/12</f>
        <v>31.486886880000004</v>
      </c>
      <c r="M16" s="227">
        <f>M15/12</f>
        <v>20.803423333333331</v>
      </c>
      <c r="N16" s="228">
        <f>AVERAGE(N2:N15)</f>
        <v>418.25000730769227</v>
      </c>
    </row>
    <row r="17" spans="2:13">
      <c r="C17" s="2"/>
      <c r="D17" s="2"/>
      <c r="G17" s="63"/>
      <c r="H17" s="63"/>
      <c r="I17" s="35"/>
      <c r="L17" s="229" t="s">
        <v>799</v>
      </c>
      <c r="M17" s="230">
        <f>L15+M15</f>
        <v>627.48372256000005</v>
      </c>
    </row>
    <row r="18" spans="2:13" ht="15">
      <c r="D18" s="64" t="s">
        <v>58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5"/>
      <c r="L18" s="231" t="s">
        <v>800</v>
      </c>
      <c r="M18" s="66">
        <f>M17/12</f>
        <v>52.290310213333335</v>
      </c>
    </row>
    <row r="19" spans="2:13" ht="15">
      <c r="C19" s="67"/>
      <c r="D19" s="68" t="s">
        <v>60</v>
      </c>
      <c r="E19" s="69">
        <f>'07_23'!F26+'08_23'!F22+'09_23'!F21+'10_23'!F23+'11_23'!F21+'12_23'!F28</f>
        <v>44932.53</v>
      </c>
      <c r="F19" s="8">
        <f>F18*G18/100</f>
        <v>1397.25</v>
      </c>
      <c r="G19" s="73" t="s">
        <v>801</v>
      </c>
    </row>
    <row r="20" spans="2:13" ht="15">
      <c r="C20" s="67"/>
      <c r="D20" s="68" t="s">
        <v>802</v>
      </c>
      <c r="E20" s="69">
        <v>7000</v>
      </c>
      <c r="G20" s="73"/>
    </row>
    <row r="21" spans="2:13" ht="14.25">
      <c r="D21" s="18" t="s">
        <v>61</v>
      </c>
      <c r="E21" s="17">
        <f>SUM(E18:E20)</f>
        <v>91141.08</v>
      </c>
      <c r="F21" s="75">
        <f>SUM(F18:F19)</f>
        <v>6986.25</v>
      </c>
      <c r="G21" s="75" t="s">
        <v>803</v>
      </c>
    </row>
    <row r="26" spans="2:13">
      <c r="B26" s="103"/>
      <c r="C26" s="104" t="s">
        <v>804</v>
      </c>
      <c r="D26" s="103"/>
      <c r="E26" s="158"/>
      <c r="F26" s="159">
        <f>SUM(F27:F65)</f>
        <v>356022.27</v>
      </c>
    </row>
    <row r="27" spans="2:13">
      <c r="B27" s="100">
        <v>45291</v>
      </c>
      <c r="C27" s="8" t="s">
        <v>77</v>
      </c>
      <c r="F27">
        <v>32000</v>
      </c>
    </row>
    <row r="28" spans="2:13">
      <c r="B28" s="100">
        <v>45291</v>
      </c>
      <c r="C28" s="8" t="s">
        <v>78</v>
      </c>
      <c r="F28">
        <v>40000</v>
      </c>
    </row>
    <row r="29" spans="2:13">
      <c r="B29" s="100">
        <v>45291</v>
      </c>
      <c r="C29" s="8" t="s">
        <v>300</v>
      </c>
      <c r="F29">
        <v>40162.18</v>
      </c>
    </row>
    <row r="30" spans="2:13">
      <c r="B30" s="100">
        <v>45291</v>
      </c>
      <c r="C30" s="8" t="s">
        <v>301</v>
      </c>
      <c r="F30">
        <v>44912.09</v>
      </c>
    </row>
    <row r="31" spans="2:13">
      <c r="B31" s="100">
        <v>45291</v>
      </c>
      <c r="C31" s="8" t="s">
        <v>805</v>
      </c>
      <c r="D31">
        <v>1093</v>
      </c>
      <c r="E31">
        <v>111</v>
      </c>
      <c r="F31" s="8">
        <f>E31*D31</f>
        <v>121323</v>
      </c>
    </row>
    <row r="32" spans="2:13">
      <c r="B32" s="100">
        <v>45291</v>
      </c>
      <c r="C32" s="8" t="s">
        <v>806</v>
      </c>
      <c r="D32">
        <v>18.5</v>
      </c>
      <c r="E32">
        <v>850</v>
      </c>
      <c r="F32" s="8">
        <f>E32*D32</f>
        <v>15725</v>
      </c>
    </row>
    <row r="33" spans="2:6">
      <c r="B33" s="100">
        <v>45291</v>
      </c>
      <c r="C33" s="8" t="s">
        <v>807</v>
      </c>
      <c r="D33">
        <v>19</v>
      </c>
      <c r="E33">
        <v>100</v>
      </c>
      <c r="F33" s="8">
        <f>E33*D33</f>
        <v>1900</v>
      </c>
    </row>
    <row r="34" spans="2:6">
      <c r="B34" s="100">
        <v>45291</v>
      </c>
      <c r="C34" s="8" t="s">
        <v>808</v>
      </c>
      <c r="F34">
        <v>60000</v>
      </c>
    </row>
    <row r="35" spans="2:6">
      <c r="F35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232" t="s">
        <v>0</v>
      </c>
      <c r="F1" s="4" t="s">
        <v>809</v>
      </c>
      <c r="G1" s="4" t="s">
        <v>3</v>
      </c>
    </row>
    <row r="2" spans="2:7">
      <c r="F2" s="7" t="s">
        <v>129</v>
      </c>
    </row>
    <row r="3" spans="2:7">
      <c r="B3" s="1">
        <v>44873</v>
      </c>
      <c r="C3" s="8" t="s">
        <v>810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7">
        <v>2250</v>
      </c>
      <c r="G4" s="2">
        <f t="shared" si="0"/>
        <v>-1000</v>
      </c>
    </row>
    <row r="5" spans="2:7">
      <c r="B5" s="1">
        <v>44873</v>
      </c>
      <c r="C5" s="8" t="s">
        <v>811</v>
      </c>
      <c r="F5" s="17"/>
      <c r="G5" s="2">
        <f t="shared" si="0"/>
        <v>-1000</v>
      </c>
    </row>
    <row r="6" spans="2:7">
      <c r="B6" s="1">
        <v>44873</v>
      </c>
      <c r="C6" s="8" t="s">
        <v>812</v>
      </c>
      <c r="E6" s="2">
        <v>1111.1099999999999</v>
      </c>
      <c r="F6" s="17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7">
        <v>150</v>
      </c>
      <c r="G7" s="2">
        <f t="shared" si="0"/>
        <v>-38.8900000000001</v>
      </c>
    </row>
    <row r="8" spans="2:7">
      <c r="B8" s="1">
        <v>44903</v>
      </c>
      <c r="C8" s="8" t="s">
        <v>813</v>
      </c>
      <c r="E8" s="2">
        <v>1111.1099999999999</v>
      </c>
      <c r="F8" s="17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7">
        <v>2500</v>
      </c>
      <c r="G9" s="2">
        <f t="shared" si="0"/>
        <v>-1427.7800000000002</v>
      </c>
    </row>
    <row r="10" spans="2:7">
      <c r="B10" s="1">
        <v>44934</v>
      </c>
      <c r="C10" s="8" t="s">
        <v>814</v>
      </c>
      <c r="E10" s="2">
        <v>1111.1099999999999</v>
      </c>
      <c r="F10" s="17"/>
      <c r="G10" s="2">
        <f t="shared" si="0"/>
        <v>-316.6700000000003</v>
      </c>
    </row>
    <row r="11" spans="2:7">
      <c r="B11" s="1">
        <v>44941</v>
      </c>
      <c r="C11" s="3" t="s">
        <v>815</v>
      </c>
      <c r="D11" s="3"/>
      <c r="F11" s="17">
        <v>1500</v>
      </c>
      <c r="G11" s="2">
        <f t="shared" si="0"/>
        <v>-1816.6700000000003</v>
      </c>
    </row>
    <row r="12" spans="2:7">
      <c r="B12" s="1">
        <v>44957</v>
      </c>
      <c r="C12" s="8" t="s">
        <v>816</v>
      </c>
      <c r="E12" s="2">
        <v>225.4</v>
      </c>
      <c r="F12" s="17"/>
      <c r="G12" s="2">
        <f t="shared" si="0"/>
        <v>-1591.2700000000002</v>
      </c>
    </row>
    <row r="13" spans="2:7">
      <c r="B13" s="1">
        <v>44957</v>
      </c>
      <c r="C13" s="8" t="s">
        <v>816</v>
      </c>
      <c r="E13" s="2">
        <v>225.4</v>
      </c>
      <c r="F13" s="17"/>
      <c r="G13" s="2">
        <f t="shared" si="0"/>
        <v>-1365.8700000000001</v>
      </c>
    </row>
    <row r="14" spans="2:7">
      <c r="B14" s="1">
        <v>44957</v>
      </c>
      <c r="C14" s="8" t="s">
        <v>817</v>
      </c>
      <c r="E14" s="2">
        <v>437.97</v>
      </c>
      <c r="F14" s="17"/>
      <c r="G14" s="2">
        <f t="shared" si="0"/>
        <v>-927.90000000000009</v>
      </c>
    </row>
    <row r="15" spans="2:7">
      <c r="B15" s="1">
        <v>44957</v>
      </c>
      <c r="C15" s="8" t="s">
        <v>818</v>
      </c>
      <c r="E15" s="2">
        <v>404.23</v>
      </c>
      <c r="F15" s="17"/>
      <c r="G15" s="2">
        <f t="shared" si="0"/>
        <v>-523.67000000000007</v>
      </c>
    </row>
    <row r="16" spans="2:7">
      <c r="B16" s="1">
        <v>44957</v>
      </c>
      <c r="C16" s="8" t="s">
        <v>819</v>
      </c>
      <c r="E16" s="2">
        <v>1135</v>
      </c>
      <c r="F16" s="17"/>
      <c r="G16" s="2">
        <f t="shared" si="0"/>
        <v>611.32999999999993</v>
      </c>
    </row>
    <row r="17" spans="2:7">
      <c r="B17" s="1">
        <v>44965</v>
      </c>
      <c r="C17" s="8" t="s">
        <v>820</v>
      </c>
      <c r="E17" s="2">
        <v>1111.1099999999999</v>
      </c>
      <c r="F17" s="17"/>
      <c r="G17" s="2">
        <f t="shared" si="0"/>
        <v>1722.4399999999998</v>
      </c>
    </row>
    <row r="18" spans="2:7">
      <c r="B18" s="1">
        <v>44981</v>
      </c>
      <c r="C18" s="3" t="s">
        <v>667</v>
      </c>
      <c r="D18" s="3"/>
      <c r="F18" s="17">
        <v>2000</v>
      </c>
      <c r="G18" s="2">
        <f t="shared" si="0"/>
        <v>-277.56000000000017</v>
      </c>
    </row>
    <row r="19" spans="2:7">
      <c r="B19" s="1">
        <v>44993</v>
      </c>
      <c r="C19" s="8" t="s">
        <v>821</v>
      </c>
      <c r="E19" s="2">
        <v>1111.1099999999999</v>
      </c>
      <c r="F19" s="17"/>
      <c r="G19" s="2">
        <f t="shared" si="0"/>
        <v>833.54999999999973</v>
      </c>
    </row>
    <row r="20" spans="2:7">
      <c r="B20" s="1">
        <v>45024</v>
      </c>
      <c r="C20" s="8" t="s">
        <v>822</v>
      </c>
      <c r="E20" s="2">
        <v>1111.1099999999999</v>
      </c>
      <c r="F20" s="17"/>
      <c r="G20" s="2">
        <f t="shared" si="0"/>
        <v>1944.6599999999996</v>
      </c>
    </row>
    <row r="21" spans="2:7">
      <c r="B21" s="1">
        <v>45031</v>
      </c>
      <c r="C21" s="3" t="s">
        <v>667</v>
      </c>
      <c r="D21" s="3"/>
      <c r="F21" s="17">
        <v>6000</v>
      </c>
      <c r="G21" s="2">
        <f t="shared" si="0"/>
        <v>-4055.34</v>
      </c>
    </row>
    <row r="22" spans="2:7">
      <c r="B22" s="1">
        <v>45054</v>
      </c>
      <c r="C22" s="8" t="s">
        <v>823</v>
      </c>
      <c r="E22" s="2">
        <v>1111.1099999999999</v>
      </c>
      <c r="F22" s="17"/>
      <c r="G22" s="2">
        <f t="shared" si="0"/>
        <v>-2944.2300000000005</v>
      </c>
    </row>
    <row r="23" spans="2:7">
      <c r="B23" s="1">
        <v>45085</v>
      </c>
      <c r="C23" s="8" t="s">
        <v>824</v>
      </c>
      <c r="E23" s="2">
        <v>1111.1099999999999</v>
      </c>
      <c r="F23" s="17"/>
      <c r="G23" s="2">
        <f t="shared" si="0"/>
        <v>-1833.1200000000006</v>
      </c>
    </row>
    <row r="24" spans="2:7">
      <c r="B24" s="1">
        <v>45115</v>
      </c>
      <c r="C24" s="8" t="s">
        <v>825</v>
      </c>
      <c r="E24" s="2">
        <v>1111.1199999999999</v>
      </c>
      <c r="F24" s="17"/>
      <c r="G24" s="2">
        <f t="shared" si="0"/>
        <v>-722.00000000000068</v>
      </c>
    </row>
    <row r="25" spans="2:7">
      <c r="B25" s="1">
        <v>45000</v>
      </c>
      <c r="C25" s="8" t="s">
        <v>826</v>
      </c>
      <c r="E25" s="2">
        <v>2258</v>
      </c>
      <c r="F25" s="17"/>
      <c r="G25" s="2">
        <f t="shared" si="0"/>
        <v>1535.9999999999993</v>
      </c>
    </row>
    <row r="26" spans="2:7">
      <c r="C26" s="8" t="s">
        <v>827</v>
      </c>
      <c r="E26" s="2">
        <v>613</v>
      </c>
      <c r="F26" s="4"/>
      <c r="G26" s="2">
        <f t="shared" si="0"/>
        <v>2148.9999999999991</v>
      </c>
    </row>
    <row r="27" spans="2:7">
      <c r="C27" s="8" t="s">
        <v>828</v>
      </c>
      <c r="E27" s="2">
        <v>720</v>
      </c>
      <c r="F27" s="4"/>
      <c r="G27" s="2">
        <f t="shared" si="0"/>
        <v>2868.9999999999991</v>
      </c>
    </row>
    <row r="28" spans="2:7">
      <c r="C28" s="8" t="s">
        <v>829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s="8" t="s">
        <v>830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s="8" t="s">
        <v>831</v>
      </c>
      <c r="E30" s="2">
        <v>2650</v>
      </c>
      <c r="F30" s="4"/>
      <c r="G30" s="2">
        <f t="shared" si="0"/>
        <v>3982.9999999999991</v>
      </c>
    </row>
    <row r="31" spans="2:7">
      <c r="C31" s="8" t="s">
        <v>832</v>
      </c>
      <c r="E31" s="2">
        <v>1356</v>
      </c>
      <c r="F31" s="4"/>
      <c r="G31" s="2">
        <f t="shared" si="0"/>
        <v>5338.9999999999991</v>
      </c>
    </row>
    <row r="32" spans="2:7">
      <c r="C32" s="8" t="s">
        <v>832</v>
      </c>
      <c r="E32" s="2">
        <v>869</v>
      </c>
      <c r="F32" s="4"/>
      <c r="G32" s="2">
        <f t="shared" si="0"/>
        <v>6207.9999999999991</v>
      </c>
    </row>
    <row r="33" spans="2:7">
      <c r="C33" s="8" t="s">
        <v>833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s="8" t="s">
        <v>834</v>
      </c>
      <c r="F34" s="4">
        <v>3450</v>
      </c>
      <c r="G34" s="2">
        <f t="shared" si="0"/>
        <v>2757.9999999999991</v>
      </c>
    </row>
    <row r="35" spans="2:7">
      <c r="C35" s="8" t="s">
        <v>835</v>
      </c>
      <c r="E35" s="2">
        <v>1750</v>
      </c>
      <c r="F35" s="17"/>
      <c r="G35" s="2">
        <f t="shared" si="0"/>
        <v>4507.9999999999991</v>
      </c>
    </row>
    <row r="36" spans="2:7">
      <c r="B36" s="1">
        <v>45149</v>
      </c>
      <c r="C36" s="8" t="s">
        <v>836</v>
      </c>
      <c r="F36" s="17">
        <v>3450</v>
      </c>
      <c r="G36" s="2">
        <f t="shared" si="0"/>
        <v>1057.9999999999991</v>
      </c>
    </row>
    <row r="37" spans="2:7">
      <c r="F37" s="17"/>
      <c r="G37" s="2">
        <f t="shared" si="0"/>
        <v>1057.9999999999991</v>
      </c>
    </row>
    <row r="38" spans="2:7">
      <c r="F38" s="17"/>
    </row>
    <row r="39" spans="2:7" ht="15.75">
      <c r="B39" s="233">
        <v>45168</v>
      </c>
      <c r="D39" s="18" t="s">
        <v>837</v>
      </c>
      <c r="E39" s="2">
        <f>SUM(E3:E37)</f>
        <v>23894</v>
      </c>
      <c r="F39" s="17">
        <f>SUM(F3:F37)</f>
        <v>22836</v>
      </c>
      <c r="G39" s="234">
        <f>E39-F39</f>
        <v>1058</v>
      </c>
    </row>
    <row r="41" spans="2:7">
      <c r="B41" s="1">
        <v>45179</v>
      </c>
      <c r="C41" s="8" t="s">
        <v>838</v>
      </c>
      <c r="E41" s="2">
        <v>3450</v>
      </c>
      <c r="G41" s="2">
        <f>G39+E41-F41</f>
        <v>4508</v>
      </c>
    </row>
    <row r="42" spans="2:7">
      <c r="B42" s="1">
        <v>45184</v>
      </c>
      <c r="C42" s="8" t="s">
        <v>839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s="8" t="s">
        <v>840</v>
      </c>
      <c r="F43" s="17">
        <v>3450</v>
      </c>
      <c r="G43" s="2">
        <f t="shared" si="1"/>
        <v>4358</v>
      </c>
    </row>
    <row r="44" spans="2:7">
      <c r="B44" s="1">
        <v>45192</v>
      </c>
      <c r="C44" s="8" t="s">
        <v>841</v>
      </c>
      <c r="D44">
        <v>450</v>
      </c>
      <c r="G44" s="2">
        <f t="shared" si="1"/>
        <v>4358</v>
      </c>
    </row>
    <row r="45" spans="2:7">
      <c r="B45" s="1">
        <v>45192</v>
      </c>
      <c r="C45" s="8" t="s">
        <v>842</v>
      </c>
      <c r="D45">
        <v>699</v>
      </c>
      <c r="G45" s="2">
        <f t="shared" si="1"/>
        <v>4358</v>
      </c>
    </row>
    <row r="46" spans="2:7">
      <c r="B46" s="1">
        <v>45189</v>
      </c>
      <c r="C46" s="8" t="s">
        <v>843</v>
      </c>
      <c r="E46" s="2">
        <v>573</v>
      </c>
      <c r="G46" s="2">
        <f t="shared" si="1"/>
        <v>4931</v>
      </c>
    </row>
    <row r="47" spans="2:7">
      <c r="C47" s="8" t="s">
        <v>844</v>
      </c>
      <c r="D47">
        <v>1500</v>
      </c>
      <c r="G47" s="2">
        <f t="shared" si="1"/>
        <v>4931</v>
      </c>
    </row>
    <row r="48" spans="2:7">
      <c r="C48" s="8" t="s">
        <v>845</v>
      </c>
      <c r="E48" s="2">
        <v>1207</v>
      </c>
      <c r="G48" s="2">
        <f t="shared" si="1"/>
        <v>6138</v>
      </c>
    </row>
    <row r="49" spans="2:7">
      <c r="C49" s="8" t="s">
        <v>846</v>
      </c>
      <c r="D49">
        <v>1502</v>
      </c>
      <c r="G49" s="2">
        <f t="shared" si="1"/>
        <v>6138</v>
      </c>
    </row>
    <row r="50" spans="2:7">
      <c r="B50" s="1">
        <v>45214</v>
      </c>
      <c r="C50" s="8" t="s">
        <v>847</v>
      </c>
      <c r="F50" s="17">
        <v>3450</v>
      </c>
      <c r="G50" s="2">
        <f t="shared" si="1"/>
        <v>2688</v>
      </c>
    </row>
    <row r="51" spans="2:7">
      <c r="B51" s="1">
        <v>45246</v>
      </c>
      <c r="C51" s="8" t="s">
        <v>848</v>
      </c>
      <c r="E51" s="2">
        <v>1500</v>
      </c>
      <c r="G51" s="2">
        <f t="shared" si="1"/>
        <v>4188</v>
      </c>
    </row>
    <row r="52" spans="2:7">
      <c r="B52" s="1">
        <v>45246</v>
      </c>
      <c r="C52" s="8" t="s">
        <v>849</v>
      </c>
      <c r="F52" s="2">
        <v>3450</v>
      </c>
      <c r="G52" s="2">
        <f t="shared" si="1"/>
        <v>738</v>
      </c>
    </row>
    <row r="53" spans="2:7">
      <c r="B53" s="1">
        <v>45260</v>
      </c>
      <c r="C53" s="8" t="s">
        <v>850</v>
      </c>
      <c r="E53" s="2">
        <v>573</v>
      </c>
      <c r="G53" s="2">
        <f t="shared" si="1"/>
        <v>1311</v>
      </c>
    </row>
    <row r="54" spans="2:7">
      <c r="B54" s="1">
        <v>45266</v>
      </c>
      <c r="C54" s="8" t="s">
        <v>851</v>
      </c>
      <c r="F54" s="2">
        <v>3450</v>
      </c>
      <c r="G54" s="2">
        <f t="shared" si="1"/>
        <v>-2139</v>
      </c>
    </row>
    <row r="55" spans="2:7">
      <c r="B55" s="1">
        <v>45267</v>
      </c>
      <c r="C55" s="8" t="s">
        <v>852</v>
      </c>
      <c r="E55" s="2">
        <v>1500</v>
      </c>
      <c r="G55" s="2">
        <f t="shared" si="1"/>
        <v>-639</v>
      </c>
    </row>
    <row r="56" spans="2:7">
      <c r="B56" s="1">
        <v>45270</v>
      </c>
      <c r="C56" s="8" t="s">
        <v>132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235">
        <f t="shared" si="1"/>
        <v>1072</v>
      </c>
    </row>
    <row r="59" spans="2:7">
      <c r="G59" s="236"/>
    </row>
    <row r="60" spans="2:7" ht="15">
      <c r="C60" s="237" t="s">
        <v>853</v>
      </c>
      <c r="D60" s="238">
        <f>SUM(D3:D36)+SUM(D41:D52)</f>
        <v>5271</v>
      </c>
      <c r="E60" s="238">
        <f>SUM(E3:E36)+SUM(E41:E56)</f>
        <v>37708</v>
      </c>
      <c r="F60" s="238">
        <f>SUM(F3:F36)+SUM(F41:F56)</f>
        <v>36636</v>
      </c>
      <c r="G60" s="239">
        <f>E60-F60</f>
        <v>1072</v>
      </c>
    </row>
    <row r="61" spans="2:7">
      <c r="D61" s="240" t="s">
        <v>854</v>
      </c>
      <c r="E61" s="241" t="s">
        <v>855</v>
      </c>
      <c r="F61" s="241" t="s">
        <v>856</v>
      </c>
      <c r="G61" s="242" t="s">
        <v>856</v>
      </c>
    </row>
    <row r="62" spans="2:7">
      <c r="D62" s="240" t="s">
        <v>857</v>
      </c>
      <c r="E62" s="241" t="s">
        <v>858</v>
      </c>
      <c r="F62" s="241" t="s">
        <v>269</v>
      </c>
      <c r="G62" s="243" t="s">
        <v>859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2:K49"/>
  <sheetViews>
    <sheetView topLeftCell="A7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76" customWidth="1"/>
    <col min="5" max="5" width="12" style="176" customWidth="1"/>
    <col min="6" max="6" width="12.5703125" style="176" customWidth="1"/>
    <col min="7" max="7" width="4.140625" style="244" customWidth="1"/>
    <col min="8" max="8" width="11.85546875" style="176" customWidth="1"/>
    <col min="9" max="9" width="15.5703125" style="176" customWidth="1"/>
    <col min="10" max="10" width="9.140625" customWidth="1"/>
  </cols>
  <sheetData>
    <row r="2" spans="2:9">
      <c r="C2" s="245" t="s">
        <v>860</v>
      </c>
    </row>
    <row r="3" spans="2:9">
      <c r="D3" s="246" t="s">
        <v>861</v>
      </c>
      <c r="E3" s="124" t="s">
        <v>862</v>
      </c>
      <c r="F3" s="246" t="s">
        <v>863</v>
      </c>
      <c r="G3" s="247"/>
      <c r="I3" s="246" t="s">
        <v>864</v>
      </c>
    </row>
    <row r="4" spans="2:9">
      <c r="D4" s="246" t="s">
        <v>865</v>
      </c>
      <c r="E4" s="124" t="s">
        <v>223</v>
      </c>
      <c r="F4" s="246" t="s">
        <v>865</v>
      </c>
      <c r="G4" s="247"/>
      <c r="I4" s="246" t="s">
        <v>223</v>
      </c>
    </row>
    <row r="5" spans="2:9" ht="14.25">
      <c r="E5" s="248">
        <v>119305.95</v>
      </c>
      <c r="F5" s="248"/>
      <c r="G5" s="249"/>
      <c r="H5" s="250" t="s">
        <v>866</v>
      </c>
      <c r="I5" s="251">
        <f>NZN_23!I8*-1</f>
        <v>119305.95484700002</v>
      </c>
    </row>
    <row r="6" spans="2:9" ht="14.25">
      <c r="H6" s="252" t="s">
        <v>867</v>
      </c>
      <c r="I6" s="253">
        <f>I23*-1</f>
        <v>39967</v>
      </c>
    </row>
    <row r="7" spans="2:9" ht="14.25">
      <c r="I7" s="253">
        <f>I6+I5</f>
        <v>159272.95484700002</v>
      </c>
    </row>
    <row r="8" spans="2:9">
      <c r="B8" s="160">
        <v>45295</v>
      </c>
      <c r="C8" s="8" t="s">
        <v>868</v>
      </c>
      <c r="D8" s="124">
        <v>10000</v>
      </c>
      <c r="E8" s="176">
        <f>I7-D8</f>
        <v>149272.95484700002</v>
      </c>
      <c r="F8" s="254">
        <v>10000</v>
      </c>
      <c r="G8" s="255"/>
      <c r="H8" s="256" t="s">
        <v>869</v>
      </c>
      <c r="I8" s="256">
        <f t="shared" ref="I8:I19" si="0">I7-F8</f>
        <v>149272.95484700002</v>
      </c>
    </row>
    <row r="9" spans="2:9">
      <c r="B9" s="160">
        <v>45324</v>
      </c>
      <c r="C9" s="8" t="s">
        <v>868</v>
      </c>
      <c r="D9" s="124">
        <v>10000</v>
      </c>
      <c r="E9" s="176">
        <f t="shared" ref="E9:E19" si="1">E8-D9</f>
        <v>139272.95484700002</v>
      </c>
      <c r="F9" s="254">
        <v>10000</v>
      </c>
      <c r="H9" s="256" t="s">
        <v>869</v>
      </c>
      <c r="I9" s="176">
        <f t="shared" si="0"/>
        <v>139272.95484700002</v>
      </c>
    </row>
    <row r="10" spans="2:9">
      <c r="B10" s="160">
        <v>45352</v>
      </c>
      <c r="D10" s="124">
        <v>10000</v>
      </c>
      <c r="E10" s="176">
        <f t="shared" si="1"/>
        <v>129272.95484700002</v>
      </c>
      <c r="F10" s="254">
        <v>10000</v>
      </c>
      <c r="H10" s="256" t="s">
        <v>869</v>
      </c>
      <c r="I10" s="176">
        <f t="shared" si="0"/>
        <v>129272.95484700002</v>
      </c>
    </row>
    <row r="11" spans="2:9">
      <c r="B11" s="160">
        <v>45383</v>
      </c>
      <c r="D11" s="124">
        <v>10000</v>
      </c>
      <c r="E11" s="176">
        <f t="shared" si="1"/>
        <v>119272.95484700002</v>
      </c>
      <c r="F11" s="254">
        <v>10000</v>
      </c>
      <c r="H11" s="256" t="s">
        <v>869</v>
      </c>
      <c r="I11" s="176">
        <f t="shared" si="0"/>
        <v>119272.95484700002</v>
      </c>
    </row>
    <row r="12" spans="2:9">
      <c r="B12" s="160">
        <v>45413</v>
      </c>
      <c r="D12" s="124">
        <v>10000</v>
      </c>
      <c r="E12" s="176">
        <f t="shared" si="1"/>
        <v>109272.95484700002</v>
      </c>
      <c r="F12" s="254">
        <v>10000</v>
      </c>
      <c r="H12" s="256" t="s">
        <v>869</v>
      </c>
      <c r="I12" s="176">
        <f t="shared" si="0"/>
        <v>109272.95484700002</v>
      </c>
    </row>
    <row r="13" spans="2:9">
      <c r="B13" s="160">
        <v>45444</v>
      </c>
      <c r="D13" s="124">
        <v>10000</v>
      </c>
      <c r="E13" s="176">
        <f t="shared" si="1"/>
        <v>99272.954847000015</v>
      </c>
      <c r="F13" s="254">
        <v>10000</v>
      </c>
      <c r="H13" s="256" t="s">
        <v>869</v>
      </c>
      <c r="I13" s="176">
        <f t="shared" si="0"/>
        <v>99272.954847000015</v>
      </c>
    </row>
    <row r="14" spans="2:9">
      <c r="B14" s="160">
        <v>45474</v>
      </c>
      <c r="D14" s="124">
        <v>10000</v>
      </c>
      <c r="E14" s="176">
        <f t="shared" si="1"/>
        <v>89272.954847000015</v>
      </c>
      <c r="F14" s="254">
        <v>10000</v>
      </c>
      <c r="H14" s="256" t="s">
        <v>869</v>
      </c>
      <c r="I14" s="176">
        <f t="shared" si="0"/>
        <v>89272.954847000015</v>
      </c>
    </row>
    <row r="15" spans="2:9">
      <c r="B15" s="160">
        <v>45505</v>
      </c>
      <c r="D15" s="124">
        <v>10000</v>
      </c>
      <c r="E15" s="176">
        <f t="shared" si="1"/>
        <v>79272.954847000015</v>
      </c>
      <c r="H15" s="176" t="s">
        <v>870</v>
      </c>
      <c r="I15" s="176">
        <f t="shared" si="0"/>
        <v>89272.954847000015</v>
      </c>
    </row>
    <row r="16" spans="2:9">
      <c r="B16" s="160">
        <v>45536</v>
      </c>
      <c r="D16" s="124">
        <v>10000</v>
      </c>
      <c r="E16" s="176">
        <f t="shared" si="1"/>
        <v>69272.954847000015</v>
      </c>
      <c r="H16" s="176" t="s">
        <v>870</v>
      </c>
      <c r="I16" s="176">
        <f t="shared" si="0"/>
        <v>89272.954847000015</v>
      </c>
    </row>
    <row r="17" spans="2:11">
      <c r="B17" s="160">
        <v>45566</v>
      </c>
      <c r="D17" s="124">
        <v>10000</v>
      </c>
      <c r="E17" s="176">
        <f t="shared" si="1"/>
        <v>59272.954847000015</v>
      </c>
      <c r="H17" s="176" t="s">
        <v>870</v>
      </c>
      <c r="I17" s="176">
        <f t="shared" si="0"/>
        <v>89272.954847000015</v>
      </c>
    </row>
    <row r="18" spans="2:11">
      <c r="B18" s="160">
        <v>45597</v>
      </c>
      <c r="D18" s="124">
        <v>10000</v>
      </c>
      <c r="E18" s="176">
        <f t="shared" si="1"/>
        <v>49272.954847000015</v>
      </c>
      <c r="H18" s="176" t="s">
        <v>870</v>
      </c>
      <c r="I18" s="176">
        <f t="shared" si="0"/>
        <v>89272.954847000015</v>
      </c>
    </row>
    <row r="19" spans="2:11">
      <c r="B19" s="160">
        <v>45627</v>
      </c>
      <c r="D19" s="124">
        <v>10000</v>
      </c>
      <c r="E19" s="176">
        <f t="shared" si="1"/>
        <v>39272.954847000015</v>
      </c>
      <c r="I19" s="176">
        <f t="shared" si="0"/>
        <v>89272.954847000015</v>
      </c>
    </row>
    <row r="20" spans="2:11">
      <c r="D20" s="124"/>
    </row>
    <row r="21" spans="2:11" ht="15.75">
      <c r="C21" s="257" t="s">
        <v>871</v>
      </c>
      <c r="E21" s="258">
        <v>0.2351</v>
      </c>
      <c r="F21" s="258">
        <f>1-E21</f>
        <v>0.76490000000000002</v>
      </c>
    </row>
    <row r="22" spans="2:11">
      <c r="B22" s="259" t="s">
        <v>872</v>
      </c>
      <c r="C22" s="259" t="s">
        <v>873</v>
      </c>
      <c r="D22" s="260" t="s">
        <v>874</v>
      </c>
      <c r="E22" s="261" t="s">
        <v>875</v>
      </c>
      <c r="F22" s="260" t="s">
        <v>876</v>
      </c>
      <c r="G22" s="262" t="s">
        <v>877</v>
      </c>
      <c r="H22" s="260" t="s">
        <v>878</v>
      </c>
      <c r="I22" s="260" t="s">
        <v>879</v>
      </c>
    </row>
    <row r="23" spans="2:11">
      <c r="B23" s="263"/>
      <c r="C23" s="264" t="s">
        <v>880</v>
      </c>
      <c r="D23" s="265">
        <f>SUBTOTAL(109,D24:D37)</f>
        <v>331000</v>
      </c>
      <c r="E23" s="265">
        <f>SUBTOTAL(109,$E$24:$E$37)</f>
        <v>170000</v>
      </c>
      <c r="F23" s="265">
        <f>SUM(F24:F37)</f>
        <v>-37851.1</v>
      </c>
      <c r="G23" s="266"/>
      <c r="H23" s="265">
        <f>SUBTOTAL(109,$H$24:$H$37)</f>
        <v>-39967</v>
      </c>
      <c r="I23" s="265">
        <f>I24</f>
        <v>-39967</v>
      </c>
      <c r="K23" s="267"/>
    </row>
    <row r="24" spans="2:11">
      <c r="B24" s="268">
        <v>45656</v>
      </c>
      <c r="C24" s="8" t="s">
        <v>881</v>
      </c>
      <c r="E24" s="124">
        <f t="shared" ref="E24:E37" si="2">IF(G24=1,$D24,0)</f>
        <v>0</v>
      </c>
      <c r="F24" s="269">
        <f t="shared" ref="F24:F37" si="3">IF(G24=0,D24*$E$21*-1,0)</f>
        <v>0</v>
      </c>
      <c r="G24" s="270">
        <v>0</v>
      </c>
      <c r="H24" s="124">
        <f t="shared" ref="H24:H37" si="4">IF(G24=1,D24*$E$21*-1,0)</f>
        <v>0</v>
      </c>
      <c r="I24" s="176">
        <f t="shared" ref="I24:I36" si="5">I25+H24</f>
        <v>-39967</v>
      </c>
      <c r="K24" s="267"/>
    </row>
    <row r="25" spans="2:11">
      <c r="B25" s="271"/>
      <c r="C25" s="272"/>
      <c r="D25" s="273"/>
      <c r="E25" s="124">
        <f t="shared" si="2"/>
        <v>0</v>
      </c>
      <c r="F25" s="269">
        <f t="shared" si="3"/>
        <v>0</v>
      </c>
      <c r="G25" s="270">
        <v>0</v>
      </c>
      <c r="H25" s="124">
        <f t="shared" si="4"/>
        <v>0</v>
      </c>
      <c r="I25" s="176">
        <f t="shared" si="5"/>
        <v>-39967</v>
      </c>
    </row>
    <row r="26" spans="2:11">
      <c r="B26" s="274"/>
      <c r="C26" s="275"/>
      <c r="D26" s="276"/>
      <c r="E26" s="124">
        <f t="shared" si="2"/>
        <v>0</v>
      </c>
      <c r="F26" s="269">
        <f t="shared" si="3"/>
        <v>0</v>
      </c>
      <c r="G26" s="270">
        <v>0</v>
      </c>
      <c r="H26" s="124">
        <f t="shared" si="4"/>
        <v>0</v>
      </c>
      <c r="I26" s="176">
        <f t="shared" si="5"/>
        <v>-39967</v>
      </c>
    </row>
    <row r="27" spans="2:11">
      <c r="B27" s="274"/>
      <c r="C27" s="275"/>
      <c r="D27" s="276"/>
      <c r="E27" s="124">
        <f t="shared" si="2"/>
        <v>0</v>
      </c>
      <c r="F27" s="269">
        <f t="shared" si="3"/>
        <v>0</v>
      </c>
      <c r="G27" s="270">
        <v>0</v>
      </c>
      <c r="H27" s="124">
        <f t="shared" si="4"/>
        <v>0</v>
      </c>
      <c r="I27" s="176">
        <f t="shared" si="5"/>
        <v>-39967</v>
      </c>
    </row>
    <row r="28" spans="2:11">
      <c r="B28" s="271"/>
      <c r="C28" s="272"/>
      <c r="D28" s="273"/>
      <c r="E28" s="124">
        <f t="shared" si="2"/>
        <v>0</v>
      </c>
      <c r="F28" s="269">
        <f t="shared" si="3"/>
        <v>0</v>
      </c>
      <c r="G28" s="270">
        <v>0</v>
      </c>
      <c r="H28" s="124">
        <f t="shared" si="4"/>
        <v>0</v>
      </c>
      <c r="I28" s="176">
        <f t="shared" si="5"/>
        <v>-39967</v>
      </c>
    </row>
    <row r="29" spans="2:11">
      <c r="B29" s="271"/>
      <c r="C29" s="272" t="s">
        <v>882</v>
      </c>
      <c r="D29" s="273"/>
      <c r="E29" s="124">
        <f t="shared" si="2"/>
        <v>0</v>
      </c>
      <c r="F29" s="269">
        <f t="shared" si="3"/>
        <v>0</v>
      </c>
      <c r="G29" s="270">
        <v>0</v>
      </c>
      <c r="H29" s="124">
        <f t="shared" si="4"/>
        <v>0</v>
      </c>
      <c r="I29" s="176">
        <f t="shared" si="5"/>
        <v>-39967</v>
      </c>
    </row>
    <row r="30" spans="2:11">
      <c r="B30" s="271"/>
      <c r="C30" s="272"/>
      <c r="D30" s="273"/>
      <c r="E30" s="124">
        <f t="shared" si="2"/>
        <v>0</v>
      </c>
      <c r="F30" s="269">
        <f t="shared" si="3"/>
        <v>0</v>
      </c>
      <c r="G30" s="270">
        <v>0</v>
      </c>
      <c r="H30" s="124">
        <f t="shared" si="4"/>
        <v>0</v>
      </c>
      <c r="I30" s="176">
        <f t="shared" si="5"/>
        <v>-39967</v>
      </c>
    </row>
    <row r="31" spans="2:11">
      <c r="B31" s="271"/>
      <c r="C31" s="272"/>
      <c r="D31" s="273"/>
      <c r="E31" s="124">
        <f t="shared" si="2"/>
        <v>0</v>
      </c>
      <c r="F31" s="269">
        <f t="shared" si="3"/>
        <v>0</v>
      </c>
      <c r="G31" s="270">
        <v>0</v>
      </c>
      <c r="H31" s="124">
        <f t="shared" si="4"/>
        <v>0</v>
      </c>
      <c r="I31" s="176">
        <f t="shared" si="5"/>
        <v>-39967</v>
      </c>
    </row>
    <row r="32" spans="2:11">
      <c r="B32" s="274"/>
      <c r="C32" s="275"/>
      <c r="D32" s="276"/>
      <c r="E32" s="124">
        <f t="shared" si="2"/>
        <v>0</v>
      </c>
      <c r="F32" s="269">
        <f t="shared" si="3"/>
        <v>0</v>
      </c>
      <c r="G32" s="270">
        <v>0</v>
      </c>
      <c r="H32" s="124">
        <f t="shared" si="4"/>
        <v>0</v>
      </c>
      <c r="I32" s="176">
        <f t="shared" si="5"/>
        <v>-39967</v>
      </c>
    </row>
    <row r="33" spans="2:11">
      <c r="B33" s="268">
        <v>45321</v>
      </c>
      <c r="C33" s="277" t="s">
        <v>883</v>
      </c>
      <c r="D33" s="278">
        <v>7000</v>
      </c>
      <c r="E33" s="124">
        <f t="shared" si="2"/>
        <v>0</v>
      </c>
      <c r="F33" s="269">
        <f t="shared" si="3"/>
        <v>-1645.7</v>
      </c>
      <c r="G33" s="270">
        <v>0</v>
      </c>
      <c r="H33" s="124">
        <f t="shared" si="4"/>
        <v>0</v>
      </c>
      <c r="I33" s="176">
        <f t="shared" si="5"/>
        <v>-39967</v>
      </c>
    </row>
    <row r="34" spans="2:11">
      <c r="B34" s="274"/>
      <c r="C34" s="275" t="s">
        <v>884</v>
      </c>
      <c r="D34" s="276">
        <v>24000</v>
      </c>
      <c r="E34" s="124">
        <f t="shared" si="2"/>
        <v>24000</v>
      </c>
      <c r="F34" s="269">
        <f t="shared" si="3"/>
        <v>0</v>
      </c>
      <c r="G34" s="270">
        <v>1</v>
      </c>
      <c r="H34" s="124">
        <f t="shared" si="4"/>
        <v>-5642.4</v>
      </c>
      <c r="I34" s="176">
        <f t="shared" si="5"/>
        <v>-39967</v>
      </c>
    </row>
    <row r="35" spans="2:11">
      <c r="B35" s="274">
        <v>45296</v>
      </c>
      <c r="C35" s="275" t="s">
        <v>885</v>
      </c>
      <c r="D35" s="276">
        <v>26000</v>
      </c>
      <c r="E35" s="124">
        <f t="shared" si="2"/>
        <v>26000</v>
      </c>
      <c r="F35" s="269">
        <f t="shared" si="3"/>
        <v>0</v>
      </c>
      <c r="G35" s="270">
        <v>1</v>
      </c>
      <c r="H35" s="124">
        <f t="shared" si="4"/>
        <v>-6112.6</v>
      </c>
      <c r="I35" s="176">
        <f t="shared" si="5"/>
        <v>-34324.6</v>
      </c>
    </row>
    <row r="36" spans="2:11">
      <c r="B36" s="271">
        <v>45295</v>
      </c>
      <c r="C36" s="275" t="s">
        <v>885</v>
      </c>
      <c r="D36" s="273">
        <v>120000</v>
      </c>
      <c r="E36" s="124">
        <f t="shared" si="2"/>
        <v>120000</v>
      </c>
      <c r="F36" s="269">
        <f t="shared" si="3"/>
        <v>0</v>
      </c>
      <c r="G36" s="270">
        <v>1</v>
      </c>
      <c r="H36" s="124">
        <f t="shared" si="4"/>
        <v>-28212</v>
      </c>
      <c r="I36" s="176">
        <f t="shared" si="5"/>
        <v>-28212</v>
      </c>
    </row>
    <row r="37" spans="2:11">
      <c r="B37" s="274">
        <v>45292</v>
      </c>
      <c r="C37" s="275" t="s">
        <v>765</v>
      </c>
      <c r="D37" s="279">
        <v>154000</v>
      </c>
      <c r="E37" s="124">
        <f t="shared" si="2"/>
        <v>0</v>
      </c>
      <c r="F37" s="269">
        <f t="shared" si="3"/>
        <v>-36205.4</v>
      </c>
      <c r="G37" s="280">
        <v>0</v>
      </c>
      <c r="H37" s="124">
        <f t="shared" si="4"/>
        <v>0</v>
      </c>
      <c r="I37" s="176">
        <f>H37</f>
        <v>0</v>
      </c>
    </row>
    <row r="40" spans="2:11">
      <c r="D40" s="124" t="s">
        <v>886</v>
      </c>
      <c r="E40" s="176" t="s">
        <v>887</v>
      </c>
      <c r="F40" s="176" t="s">
        <v>888</v>
      </c>
      <c r="H40" s="281"/>
      <c r="I40" s="281"/>
      <c r="J40" s="282"/>
    </row>
    <row r="41" spans="2:11" ht="15.75">
      <c r="C41" t="s">
        <v>889</v>
      </c>
      <c r="D41" s="283">
        <v>1</v>
      </c>
      <c r="E41" s="284">
        <f>1-F41</f>
        <v>0.76490000000000002</v>
      </c>
      <c r="F41" s="284">
        <f>E21</f>
        <v>0.2351</v>
      </c>
    </row>
    <row r="42" spans="2:11">
      <c r="C42" t="s">
        <v>890</v>
      </c>
      <c r="D42" s="285">
        <f>$D$23*D41</f>
        <v>331000</v>
      </c>
      <c r="E42" s="286">
        <f>$D$23*E41</f>
        <v>253181.9</v>
      </c>
      <c r="F42" s="286">
        <f>$D$23*F41</f>
        <v>77818.100000000006</v>
      </c>
    </row>
    <row r="43" spans="2:11">
      <c r="C43" t="s">
        <v>891</v>
      </c>
      <c r="D43" s="124">
        <f>E43+F43</f>
        <v>170000</v>
      </c>
      <c r="E43" s="176">
        <f>F43/F41*E41</f>
        <v>130033</v>
      </c>
      <c r="F43" s="176">
        <f>$I$23*-1</f>
        <v>39967</v>
      </c>
      <c r="K43" s="63"/>
    </row>
    <row r="44" spans="2:11">
      <c r="C44" t="s">
        <v>892</v>
      </c>
      <c r="D44" s="124">
        <f>D42-D43</f>
        <v>161000</v>
      </c>
      <c r="E44" s="176">
        <f>E42-E43</f>
        <v>123148.9</v>
      </c>
      <c r="F44" s="176">
        <f>F42-F43</f>
        <v>37851.100000000006</v>
      </c>
      <c r="K44" s="63"/>
    </row>
    <row r="45" spans="2:11">
      <c r="D45" s="287"/>
      <c r="E45" s="287"/>
      <c r="F45" s="287"/>
      <c r="K45" s="63"/>
    </row>
    <row r="46" spans="2:11">
      <c r="K46" s="63"/>
    </row>
    <row r="47" spans="2:11">
      <c r="D47" s="246" t="s">
        <v>893</v>
      </c>
      <c r="E47" s="246" t="s">
        <v>894</v>
      </c>
      <c r="F47" s="246" t="s">
        <v>895</v>
      </c>
      <c r="K47" s="63"/>
    </row>
    <row r="48" spans="2:11">
      <c r="E48" s="252"/>
      <c r="K48" s="63"/>
    </row>
    <row r="49" spans="3:6">
      <c r="C49" s="63" t="s">
        <v>799</v>
      </c>
      <c r="D49" s="176">
        <f>E43</f>
        <v>130033</v>
      </c>
      <c r="E49" s="176">
        <v>2.5000000000000001E-2</v>
      </c>
      <c r="F49" s="176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245" t="s">
        <v>860</v>
      </c>
    </row>
    <row r="3" spans="2:11">
      <c r="D3" s="102"/>
      <c r="E3" s="102"/>
      <c r="I3" s="63"/>
    </row>
    <row r="4" spans="2:11">
      <c r="E4" s="102"/>
      <c r="I4" s="63"/>
    </row>
    <row r="5" spans="2:11" ht="15.75">
      <c r="C5" s="257" t="s">
        <v>871</v>
      </c>
      <c r="E5" s="288">
        <v>0.2351</v>
      </c>
      <c r="F5" s="288">
        <f>1-E5</f>
        <v>0.76490000000000002</v>
      </c>
      <c r="I5" s="63"/>
    </row>
    <row r="6" spans="2:11">
      <c r="B6" s="8" t="s">
        <v>872</v>
      </c>
      <c r="C6" s="8" t="s">
        <v>873</v>
      </c>
      <c r="D6" s="35" t="s">
        <v>874</v>
      </c>
      <c r="E6" s="195" t="s">
        <v>875</v>
      </c>
      <c r="F6" s="35" t="s">
        <v>876</v>
      </c>
      <c r="G6" s="289" t="s">
        <v>877</v>
      </c>
      <c r="H6" s="35" t="s">
        <v>878</v>
      </c>
      <c r="I6" s="290" t="s">
        <v>879</v>
      </c>
    </row>
    <row r="7" spans="2:11">
      <c r="K7" s="267"/>
    </row>
    <row r="8" spans="2:11" ht="15.75">
      <c r="B8" s="268">
        <v>45290</v>
      </c>
      <c r="C8" s="8" t="s">
        <v>881</v>
      </c>
      <c r="D8">
        <v>-5843.55</v>
      </c>
      <c r="E8" s="163">
        <f t="shared" ref="E8:E25" si="0">IF(G8=1,$D8,0)</f>
        <v>-5843.55</v>
      </c>
      <c r="F8" s="291">
        <f t="shared" ref="F8:F25" si="1">IF(G8=0,D8*$E$5*-1,0)</f>
        <v>0</v>
      </c>
      <c r="G8" s="292">
        <v>1</v>
      </c>
      <c r="H8" s="163">
        <f t="shared" ref="H8:H25" si="2">IF(G8=1,D8*$E$5*-1,0)</f>
        <v>1373.8186050000002</v>
      </c>
      <c r="I8" s="293">
        <f t="shared" ref="I8:I25" si="3">I9+H8</f>
        <v>-119305.95484700002</v>
      </c>
      <c r="K8" s="267"/>
    </row>
    <row r="9" spans="2:11">
      <c r="B9" s="294">
        <v>45290</v>
      </c>
      <c r="C9" s="85" t="s">
        <v>896</v>
      </c>
      <c r="D9" s="295">
        <v>135000</v>
      </c>
      <c r="E9" s="163">
        <f t="shared" si="0"/>
        <v>135000</v>
      </c>
      <c r="F9" s="291">
        <f t="shared" si="1"/>
        <v>0</v>
      </c>
      <c r="G9" s="292">
        <v>1</v>
      </c>
      <c r="H9" s="163">
        <f t="shared" si="2"/>
        <v>-31738.5</v>
      </c>
      <c r="I9" s="63">
        <f t="shared" si="3"/>
        <v>-120679.77345200001</v>
      </c>
    </row>
    <row r="10" spans="2:11">
      <c r="B10" s="296">
        <v>45260</v>
      </c>
      <c r="C10" s="297" t="s">
        <v>897</v>
      </c>
      <c r="D10" s="298"/>
      <c r="E10" s="299">
        <f t="shared" si="0"/>
        <v>0</v>
      </c>
      <c r="F10" s="300">
        <f t="shared" si="1"/>
        <v>0</v>
      </c>
      <c r="G10" s="301">
        <v>0</v>
      </c>
      <c r="H10" s="299">
        <f t="shared" si="2"/>
        <v>0</v>
      </c>
      <c r="I10" s="298">
        <f t="shared" si="3"/>
        <v>-88941.273452000009</v>
      </c>
    </row>
    <row r="11" spans="2:11">
      <c r="B11" s="294">
        <v>45236</v>
      </c>
      <c r="C11" s="85" t="s">
        <v>898</v>
      </c>
      <c r="D11" s="295">
        <v>15887.06</v>
      </c>
      <c r="E11" s="163">
        <f t="shared" si="0"/>
        <v>15887.06</v>
      </c>
      <c r="F11" s="291">
        <f t="shared" si="1"/>
        <v>0</v>
      </c>
      <c r="G11" s="292">
        <v>1</v>
      </c>
      <c r="H11" s="163">
        <f t="shared" si="2"/>
        <v>-3735.047806</v>
      </c>
      <c r="I11" s="63">
        <f t="shared" si="3"/>
        <v>-88941.273452000009</v>
      </c>
    </row>
    <row r="12" spans="2:11">
      <c r="B12" s="294">
        <v>45195</v>
      </c>
      <c r="C12" s="85" t="s">
        <v>899</v>
      </c>
      <c r="D12" s="295">
        <v>84000</v>
      </c>
      <c r="E12" s="163">
        <f t="shared" si="0"/>
        <v>84000</v>
      </c>
      <c r="F12" s="291">
        <f t="shared" si="1"/>
        <v>0</v>
      </c>
      <c r="G12" s="292">
        <v>1</v>
      </c>
      <c r="H12" s="163">
        <f t="shared" si="2"/>
        <v>-19748.400000000001</v>
      </c>
      <c r="I12" s="63">
        <f t="shared" si="3"/>
        <v>-85206.225646000006</v>
      </c>
    </row>
    <row r="13" spans="2:11">
      <c r="B13" s="294">
        <v>45229</v>
      </c>
      <c r="C13" s="85" t="s">
        <v>900</v>
      </c>
      <c r="D13" s="295">
        <v>10000</v>
      </c>
      <c r="E13" s="163">
        <f t="shared" si="0"/>
        <v>10000</v>
      </c>
      <c r="F13" s="291">
        <f t="shared" si="1"/>
        <v>0</v>
      </c>
      <c r="G13" s="292">
        <v>1</v>
      </c>
      <c r="H13" s="163">
        <f t="shared" si="2"/>
        <v>-2351</v>
      </c>
      <c r="I13" s="63">
        <f t="shared" si="3"/>
        <v>-65457.825645999998</v>
      </c>
    </row>
    <row r="14" spans="2:11">
      <c r="B14" s="294">
        <v>45194</v>
      </c>
      <c r="C14" s="85" t="s">
        <v>900</v>
      </c>
      <c r="D14" s="295">
        <v>3000</v>
      </c>
      <c r="E14" s="163">
        <f t="shared" si="0"/>
        <v>3000</v>
      </c>
      <c r="F14" s="291">
        <f t="shared" si="1"/>
        <v>0</v>
      </c>
      <c r="G14" s="292">
        <v>1</v>
      </c>
      <c r="H14" s="163">
        <f t="shared" si="2"/>
        <v>-705.3</v>
      </c>
      <c r="I14" s="63">
        <f t="shared" si="3"/>
        <v>-63106.825645999998</v>
      </c>
    </row>
    <row r="15" spans="2:11">
      <c r="B15" s="294">
        <v>45192</v>
      </c>
      <c r="C15" s="85" t="s">
        <v>900</v>
      </c>
      <c r="D15" s="295">
        <v>83000</v>
      </c>
      <c r="E15" s="163">
        <f t="shared" si="0"/>
        <v>83000</v>
      </c>
      <c r="F15" s="291">
        <f t="shared" si="1"/>
        <v>0</v>
      </c>
      <c r="G15" s="292">
        <v>1</v>
      </c>
      <c r="H15" s="163">
        <f t="shared" si="2"/>
        <v>-19513.3</v>
      </c>
      <c r="I15" s="63">
        <f t="shared" si="3"/>
        <v>-62401.525645999995</v>
      </c>
    </row>
    <row r="16" spans="2:11">
      <c r="B16" s="268">
        <v>45321</v>
      </c>
      <c r="C16" s="277" t="s">
        <v>883</v>
      </c>
      <c r="D16" s="220">
        <v>7000</v>
      </c>
      <c r="E16" s="163">
        <f t="shared" si="0"/>
        <v>0</v>
      </c>
      <c r="F16" s="291">
        <f t="shared" si="1"/>
        <v>-1645.7</v>
      </c>
      <c r="G16" s="292">
        <v>0</v>
      </c>
      <c r="H16" s="163">
        <f t="shared" si="2"/>
        <v>0</v>
      </c>
      <c r="I16" s="63">
        <f t="shared" si="3"/>
        <v>-42888.225645999992</v>
      </c>
    </row>
    <row r="17" spans="2:10">
      <c r="B17" s="294">
        <v>45290</v>
      </c>
      <c r="C17" s="85" t="s">
        <v>901</v>
      </c>
      <c r="D17" s="295">
        <v>6000</v>
      </c>
      <c r="E17" s="163">
        <f t="shared" si="0"/>
        <v>6000</v>
      </c>
      <c r="F17" s="291">
        <f t="shared" si="1"/>
        <v>0</v>
      </c>
      <c r="G17" s="292">
        <v>1</v>
      </c>
      <c r="H17" s="163">
        <f t="shared" si="2"/>
        <v>-1410.6</v>
      </c>
      <c r="I17" s="63">
        <f t="shared" si="3"/>
        <v>-42888.225645999992</v>
      </c>
    </row>
    <row r="18" spans="2:10">
      <c r="B18" s="294">
        <v>45260</v>
      </c>
      <c r="C18" s="85" t="s">
        <v>902</v>
      </c>
      <c r="D18" s="295">
        <v>6000</v>
      </c>
      <c r="E18" s="163">
        <f t="shared" si="0"/>
        <v>6000</v>
      </c>
      <c r="F18" s="291">
        <f t="shared" si="1"/>
        <v>0</v>
      </c>
      <c r="G18" s="292">
        <v>1</v>
      </c>
      <c r="H18" s="163">
        <f t="shared" si="2"/>
        <v>-1410.6</v>
      </c>
      <c r="I18" s="63">
        <f t="shared" si="3"/>
        <v>-41477.625645999993</v>
      </c>
    </row>
    <row r="19" spans="2:10">
      <c r="B19" s="294">
        <v>45229</v>
      </c>
      <c r="C19" s="85" t="s">
        <v>903</v>
      </c>
      <c r="D19" s="295">
        <v>6000</v>
      </c>
      <c r="E19" s="163">
        <f t="shared" si="0"/>
        <v>6000</v>
      </c>
      <c r="F19" s="291">
        <f t="shared" si="1"/>
        <v>0</v>
      </c>
      <c r="G19" s="292">
        <v>1</v>
      </c>
      <c r="H19" s="163">
        <f t="shared" si="2"/>
        <v>-1410.6</v>
      </c>
      <c r="I19" s="63">
        <f t="shared" si="3"/>
        <v>-40067.025645999995</v>
      </c>
    </row>
    <row r="20" spans="2:10">
      <c r="B20" s="294">
        <v>45199</v>
      </c>
      <c r="C20" s="85" t="s">
        <v>883</v>
      </c>
      <c r="D20" s="295">
        <v>6000</v>
      </c>
      <c r="E20" s="163">
        <f t="shared" si="0"/>
        <v>6000</v>
      </c>
      <c r="F20" s="291">
        <f t="shared" si="1"/>
        <v>0</v>
      </c>
      <c r="G20" s="292">
        <v>1</v>
      </c>
      <c r="H20" s="163">
        <f t="shared" si="2"/>
        <v>-1410.6</v>
      </c>
      <c r="I20" s="63">
        <f t="shared" si="3"/>
        <v>-38656.425645999996</v>
      </c>
    </row>
    <row r="21" spans="2:10">
      <c r="B21" s="294">
        <v>45171</v>
      </c>
      <c r="C21" s="85" t="s">
        <v>883</v>
      </c>
      <c r="D21" s="295">
        <v>65000</v>
      </c>
      <c r="E21" s="163">
        <f t="shared" si="0"/>
        <v>65000</v>
      </c>
      <c r="F21" s="291">
        <f t="shared" si="1"/>
        <v>0</v>
      </c>
      <c r="G21" s="292">
        <v>1</v>
      </c>
      <c r="H21" s="163">
        <f t="shared" si="2"/>
        <v>-15281.5</v>
      </c>
      <c r="I21" s="63">
        <f t="shared" si="3"/>
        <v>-37245.825645999998</v>
      </c>
    </row>
    <row r="22" spans="2:10">
      <c r="B22" s="294">
        <v>45122</v>
      </c>
      <c r="C22" s="85" t="s">
        <v>904</v>
      </c>
      <c r="D22" s="295">
        <v>50000</v>
      </c>
      <c r="E22" s="163">
        <f t="shared" si="0"/>
        <v>50000</v>
      </c>
      <c r="F22" s="291">
        <f t="shared" si="1"/>
        <v>0</v>
      </c>
      <c r="G22" s="292">
        <v>1</v>
      </c>
      <c r="H22" s="163">
        <f t="shared" si="2"/>
        <v>-11755</v>
      </c>
      <c r="I22" s="63">
        <f t="shared" si="3"/>
        <v>-21964.325646000001</v>
      </c>
    </row>
    <row r="23" spans="2:10">
      <c r="B23" s="85"/>
      <c r="C23" s="85" t="s">
        <v>905</v>
      </c>
      <c r="D23" s="295">
        <v>28080</v>
      </c>
      <c r="E23" s="163">
        <f t="shared" si="0"/>
        <v>28080</v>
      </c>
      <c r="F23" s="291">
        <f t="shared" si="1"/>
        <v>0</v>
      </c>
      <c r="G23" s="292">
        <v>1</v>
      </c>
      <c r="H23" s="163">
        <f t="shared" si="2"/>
        <v>-6601.6080000000002</v>
      </c>
      <c r="I23" s="63">
        <f t="shared" si="3"/>
        <v>-10209.325646000001</v>
      </c>
    </row>
    <row r="24" spans="2:10">
      <c r="B24" s="85"/>
      <c r="C24" s="85" t="s">
        <v>906</v>
      </c>
      <c r="D24" s="295">
        <v>8425.4599999999991</v>
      </c>
      <c r="E24" s="163">
        <f t="shared" si="0"/>
        <v>8425.4599999999991</v>
      </c>
      <c r="F24" s="291">
        <f t="shared" si="1"/>
        <v>0</v>
      </c>
      <c r="G24" s="292">
        <v>1</v>
      </c>
      <c r="H24" s="163">
        <f t="shared" si="2"/>
        <v>-1980.8256459999998</v>
      </c>
      <c r="I24" s="63">
        <f t="shared" si="3"/>
        <v>-3607.7176460000001</v>
      </c>
    </row>
    <row r="25" spans="2:10">
      <c r="B25" s="294">
        <v>44963</v>
      </c>
      <c r="C25" s="85" t="s">
        <v>907</v>
      </c>
      <c r="D25" s="295">
        <v>6920</v>
      </c>
      <c r="E25" s="163">
        <f t="shared" si="0"/>
        <v>6920</v>
      </c>
      <c r="F25" s="291">
        <f t="shared" si="1"/>
        <v>0</v>
      </c>
      <c r="G25" s="302">
        <v>1</v>
      </c>
      <c r="H25" s="163">
        <f t="shared" si="2"/>
        <v>-1626.8920000000001</v>
      </c>
      <c r="I25" s="63">
        <f t="shared" si="3"/>
        <v>-1626.8920000000001</v>
      </c>
    </row>
    <row r="27" spans="2:10">
      <c r="C27" t="s">
        <v>880</v>
      </c>
      <c r="D27" s="63">
        <f>SUBTOTAL(109,$D$7:$D$26)</f>
        <v>514468.97000000003</v>
      </c>
      <c r="E27" s="63">
        <f>SUBTOTAL(109,$E$9:$E$26)</f>
        <v>513312.52</v>
      </c>
      <c r="F27" s="63">
        <f>SUM(F8:F25)</f>
        <v>-1645.7</v>
      </c>
      <c r="H27" s="63">
        <f>SUBTOTAL(109,$H$7:$H$26)</f>
        <v>-119305.95484700004</v>
      </c>
      <c r="I27" s="63"/>
    </row>
    <row r="28" spans="2:10">
      <c r="C28" t="s">
        <v>908</v>
      </c>
      <c r="D28" s="63"/>
      <c r="E28" s="63">
        <f>E8</f>
        <v>-5843.55</v>
      </c>
      <c r="F28" s="63"/>
      <c r="H28" s="63"/>
      <c r="I28" s="63"/>
    </row>
    <row r="29" spans="2:10">
      <c r="C29" t="s">
        <v>909</v>
      </c>
      <c r="D29" s="63"/>
      <c r="E29" s="63">
        <f>E28+E27</f>
        <v>507468.97000000003</v>
      </c>
      <c r="F29" s="63"/>
      <c r="H29" s="63"/>
      <c r="I29" s="63"/>
    </row>
    <row r="30" spans="2:10">
      <c r="D30" s="63"/>
      <c r="E30" s="63"/>
      <c r="F30" s="63"/>
      <c r="H30" s="63"/>
      <c r="I30" s="63"/>
    </row>
    <row r="31" spans="2:10">
      <c r="D31" s="163" t="s">
        <v>886</v>
      </c>
      <c r="E31" s="63" t="s">
        <v>887</v>
      </c>
      <c r="F31" s="63" t="s">
        <v>888</v>
      </c>
      <c r="H31" s="303"/>
      <c r="I31" s="303"/>
      <c r="J31" s="282"/>
    </row>
    <row r="32" spans="2:10" ht="15.75">
      <c r="C32" t="s">
        <v>889</v>
      </c>
      <c r="D32" s="304">
        <v>1</v>
      </c>
      <c r="E32" s="305">
        <f>1-F32</f>
        <v>0.76490000000000002</v>
      </c>
      <c r="F32" s="305">
        <v>0.2351</v>
      </c>
      <c r="I32" s="63"/>
    </row>
    <row r="33" spans="3:11">
      <c r="C33" t="s">
        <v>890</v>
      </c>
      <c r="D33" s="306">
        <f>$D$27*D32</f>
        <v>514468.97000000003</v>
      </c>
      <c r="E33" s="307">
        <f>$D$27*E32</f>
        <v>393517.31515300006</v>
      </c>
      <c r="F33" s="307">
        <f>$D$27*F32</f>
        <v>120951.65484700001</v>
      </c>
      <c r="I33" s="63"/>
    </row>
    <row r="34" spans="3:11">
      <c r="C34" t="s">
        <v>891</v>
      </c>
      <c r="D34" s="163">
        <f>E34+F34</f>
        <v>507468.9700000002</v>
      </c>
      <c r="E34" s="63">
        <f>F34/F32*E32</f>
        <v>388163.01515300019</v>
      </c>
      <c r="F34" s="63">
        <f>$H$27*-1</f>
        <v>119305.95484700004</v>
      </c>
      <c r="H34" s="308"/>
      <c r="I34" s="63"/>
      <c r="K34" s="63"/>
    </row>
    <row r="35" spans="3:11">
      <c r="C35" t="s">
        <v>892</v>
      </c>
      <c r="D35" s="163">
        <f>D33-D34</f>
        <v>6999.9999999998254</v>
      </c>
      <c r="E35" s="63">
        <f>E33-E34</f>
        <v>5354.2999999998719</v>
      </c>
      <c r="F35" s="63">
        <f>F33-F34</f>
        <v>1645.699999999968</v>
      </c>
      <c r="H35" s="63"/>
      <c r="I35" s="63"/>
      <c r="K35" s="63"/>
    </row>
    <row r="36" spans="3:11">
      <c r="D36" s="309"/>
      <c r="E36" s="309"/>
      <c r="F36" s="309"/>
      <c r="H36" s="63"/>
      <c r="I36" s="63"/>
      <c r="K36" s="63"/>
    </row>
    <row r="37" spans="3:11">
      <c r="I37" s="63"/>
      <c r="K37" s="63"/>
    </row>
    <row r="38" spans="3:11">
      <c r="D38" s="18" t="s">
        <v>893</v>
      </c>
      <c r="E38" s="18" t="s">
        <v>894</v>
      </c>
      <c r="F38" s="18" t="s">
        <v>895</v>
      </c>
      <c r="H38" s="63"/>
      <c r="I38" s="63"/>
      <c r="K38" s="63"/>
    </row>
    <row r="39" spans="3:11">
      <c r="C39" t="s">
        <v>910</v>
      </c>
      <c r="D39" s="63">
        <f>F34</f>
        <v>119305.95484700004</v>
      </c>
      <c r="E39" s="310">
        <v>2.5000000000000001E-2</v>
      </c>
      <c r="F39" s="63">
        <f>D39*E39</f>
        <v>2982.6488711750012</v>
      </c>
      <c r="I39" s="63"/>
      <c r="K39" s="63"/>
    </row>
    <row r="40" spans="3:11">
      <c r="C40" s="63" t="s">
        <v>799</v>
      </c>
      <c r="D40" s="63">
        <f>E34</f>
        <v>388163.01515300019</v>
      </c>
      <c r="E40" s="171">
        <v>2.5000000000000001E-2</v>
      </c>
      <c r="F40" s="63">
        <f>D40*E40</f>
        <v>9704.0753788250058</v>
      </c>
      <c r="I40" s="63"/>
    </row>
    <row r="41" spans="3:11">
      <c r="F41" s="63"/>
      <c r="H41" s="63"/>
      <c r="I41" s="63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375623"/>
  </sheetPr>
  <dimension ref="A1:H131"/>
  <sheetViews>
    <sheetView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3.28515625" bestFit="1" customWidth="1"/>
    <col min="6" max="6" width="12.5703125" bestFit="1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911</v>
      </c>
      <c r="C2" s="79" t="s">
        <v>67</v>
      </c>
      <c r="D2" s="306">
        <f>SUM(D5:D35)</f>
        <v>22800</v>
      </c>
      <c r="E2" s="306">
        <f>SUM(E5:E35)</f>
        <v>-38101.83</v>
      </c>
      <c r="F2" s="306">
        <f>SUM(F5:F35)</f>
        <v>16232.529999999999</v>
      </c>
      <c r="G2" s="306">
        <f>SUM(G5:G35)</f>
        <v>-41854.230000000003</v>
      </c>
      <c r="H2" s="306">
        <f>F2+G2</f>
        <v>-25621.700000000004</v>
      </c>
    </row>
    <row r="3" spans="1:8">
      <c r="B3" s="18"/>
      <c r="H3" s="63"/>
    </row>
    <row r="4" spans="1:8">
      <c r="A4" s="165">
        <v>45259</v>
      </c>
      <c r="B4" s="311" t="s">
        <v>424</v>
      </c>
      <c r="C4" s="8" t="s">
        <v>432</v>
      </c>
      <c r="E4" s="63">
        <v>-152</v>
      </c>
      <c r="G4" s="63">
        <v>-152</v>
      </c>
      <c r="H4" s="63">
        <f t="shared" ref="H4:H35" si="0">H3+F4+G4</f>
        <v>-152</v>
      </c>
    </row>
    <row r="5" spans="1:8">
      <c r="A5" s="165">
        <v>45260</v>
      </c>
      <c r="B5" s="101" t="s">
        <v>80</v>
      </c>
      <c r="C5" s="101"/>
      <c r="D5" s="101"/>
      <c r="E5" s="63">
        <v>-400</v>
      </c>
      <c r="G5">
        <v>-240</v>
      </c>
      <c r="H5" s="63">
        <f t="shared" si="0"/>
        <v>-392</v>
      </c>
    </row>
    <row r="6" spans="1:8">
      <c r="A6" s="165">
        <v>45260</v>
      </c>
      <c r="B6" s="101" t="s">
        <v>81</v>
      </c>
      <c r="C6" s="101"/>
      <c r="D6" s="101"/>
      <c r="E6" s="63">
        <v>-500</v>
      </c>
      <c r="G6">
        <v>-455</v>
      </c>
      <c r="H6" s="63">
        <f t="shared" si="0"/>
        <v>-847</v>
      </c>
    </row>
    <row r="7" spans="1:8">
      <c r="A7" s="165">
        <v>45264</v>
      </c>
      <c r="B7" s="101" t="s">
        <v>912</v>
      </c>
      <c r="C7" s="101"/>
      <c r="D7" s="101"/>
      <c r="E7" s="63">
        <v>-250</v>
      </c>
      <c r="G7" s="63">
        <f>E7</f>
        <v>-250</v>
      </c>
      <c r="H7" s="63">
        <f t="shared" si="0"/>
        <v>-1097</v>
      </c>
    </row>
    <row r="8" spans="1:8">
      <c r="B8" s="101" t="s">
        <v>913</v>
      </c>
      <c r="C8" s="101"/>
      <c r="D8" s="101"/>
      <c r="E8" s="163"/>
      <c r="H8" s="63">
        <f t="shared" si="0"/>
        <v>-1097</v>
      </c>
    </row>
    <row r="9" spans="1:8">
      <c r="B9" s="101" t="s">
        <v>914</v>
      </c>
      <c r="C9" s="101"/>
      <c r="D9" s="101"/>
      <c r="E9" s="163"/>
      <c r="H9" s="63">
        <f t="shared" si="0"/>
        <v>-1097</v>
      </c>
    </row>
    <row r="10" spans="1:8">
      <c r="B10" s="101" t="s">
        <v>118</v>
      </c>
      <c r="C10" s="101"/>
      <c r="D10" s="101"/>
      <c r="E10" s="163"/>
      <c r="H10" s="63">
        <f t="shared" si="0"/>
        <v>-1097</v>
      </c>
    </row>
    <row r="11" spans="1:8">
      <c r="B11" s="178" t="s">
        <v>72</v>
      </c>
      <c r="D11" s="63"/>
      <c r="E11" s="63">
        <f>E52*-1</f>
        <v>-138.01</v>
      </c>
      <c r="F11" s="63"/>
      <c r="G11" s="63">
        <f t="shared" ref="G11:G16" si="1">E11</f>
        <v>-138.01</v>
      </c>
      <c r="H11" s="63">
        <f t="shared" si="0"/>
        <v>-1235.01</v>
      </c>
    </row>
    <row r="12" spans="1:8">
      <c r="B12" s="178" t="s">
        <v>68</v>
      </c>
      <c r="E12" s="63">
        <f>E58</f>
        <v>-4628.58</v>
      </c>
      <c r="F12" s="63"/>
      <c r="G12" s="63">
        <f t="shared" si="1"/>
        <v>-4628.58</v>
      </c>
      <c r="H12" s="63">
        <f t="shared" si="0"/>
        <v>-5863.59</v>
      </c>
    </row>
    <row r="13" spans="1:8">
      <c r="A13" s="165">
        <v>45264</v>
      </c>
      <c r="B13" s="178" t="s">
        <v>69</v>
      </c>
      <c r="E13" s="63">
        <f>E81</f>
        <v>-11990.160000000002</v>
      </c>
      <c r="G13" s="63">
        <f t="shared" si="1"/>
        <v>-11990.160000000002</v>
      </c>
      <c r="H13" s="63">
        <f t="shared" si="0"/>
        <v>-17853.75</v>
      </c>
    </row>
    <row r="14" spans="1:8">
      <c r="A14" s="160"/>
      <c r="B14" s="101" t="s">
        <v>915</v>
      </c>
      <c r="C14" s="101"/>
      <c r="D14" s="101"/>
      <c r="E14" s="63">
        <v>-5375</v>
      </c>
      <c r="G14" s="63">
        <f t="shared" si="1"/>
        <v>-5375</v>
      </c>
      <c r="H14" s="63">
        <f t="shared" si="0"/>
        <v>-23228.75</v>
      </c>
    </row>
    <row r="15" spans="1:8">
      <c r="A15" s="160"/>
      <c r="B15" s="101" t="s">
        <v>915</v>
      </c>
      <c r="C15" s="101"/>
      <c r="D15" s="101"/>
      <c r="E15" s="63">
        <v>-2125</v>
      </c>
      <c r="G15" s="63">
        <f t="shared" si="1"/>
        <v>-2125</v>
      </c>
      <c r="H15" s="63">
        <f t="shared" si="0"/>
        <v>-25353.75</v>
      </c>
    </row>
    <row r="16" spans="1:8">
      <c r="B16" s="101" t="s">
        <v>916</v>
      </c>
      <c r="C16" s="101"/>
      <c r="D16" s="101"/>
      <c r="E16" s="63">
        <v>-945.08</v>
      </c>
      <c r="F16" s="163"/>
      <c r="G16" s="63">
        <f t="shared" si="1"/>
        <v>-945.08</v>
      </c>
      <c r="H16" s="63">
        <f t="shared" si="0"/>
        <v>-26298.83</v>
      </c>
    </row>
    <row r="17" spans="1:8">
      <c r="B17" s="101" t="s">
        <v>75</v>
      </c>
      <c r="C17" s="101"/>
      <c r="D17" s="101"/>
      <c r="E17" s="63">
        <v>-150</v>
      </c>
      <c r="F17" s="163"/>
      <c r="G17" s="63">
        <v>-133.4</v>
      </c>
      <c r="H17" s="63">
        <f t="shared" si="0"/>
        <v>-26432.230000000003</v>
      </c>
    </row>
    <row r="18" spans="1:8">
      <c r="B18" s="106" t="s">
        <v>73</v>
      </c>
      <c r="C18" s="106"/>
      <c r="D18" s="106"/>
      <c r="E18" s="63">
        <v>-1000</v>
      </c>
      <c r="F18" s="163"/>
      <c r="G18" s="63">
        <v>-621</v>
      </c>
      <c r="H18" s="63">
        <f t="shared" si="0"/>
        <v>-27053.230000000003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-27053.230000000003</v>
      </c>
    </row>
    <row r="20" spans="1:8">
      <c r="A20" s="165">
        <v>45272</v>
      </c>
      <c r="B20" s="106" t="s">
        <v>77</v>
      </c>
      <c r="C20" s="106"/>
      <c r="D20" s="106"/>
      <c r="E20" s="163"/>
      <c r="F20" s="163"/>
      <c r="G20" s="63">
        <v>-3512</v>
      </c>
      <c r="H20" s="63">
        <f t="shared" si="0"/>
        <v>-30565.230000000003</v>
      </c>
    </row>
    <row r="21" spans="1:8">
      <c r="A21" s="165">
        <v>45287</v>
      </c>
      <c r="B21" s="8" t="s">
        <v>77</v>
      </c>
      <c r="E21" s="63">
        <v>-3500</v>
      </c>
      <c r="F21" s="63"/>
      <c r="G21" s="63">
        <v>-3512</v>
      </c>
      <c r="H21" s="63">
        <f t="shared" si="0"/>
        <v>-34077.230000000003</v>
      </c>
    </row>
    <row r="22" spans="1:8">
      <c r="A22" s="165">
        <v>45287</v>
      </c>
      <c r="B22" s="8" t="s">
        <v>78</v>
      </c>
      <c r="E22" s="63">
        <v>-3500</v>
      </c>
      <c r="F22" s="63"/>
      <c r="G22" s="63">
        <v>-3512</v>
      </c>
      <c r="H22" s="63">
        <f t="shared" si="0"/>
        <v>-37589.230000000003</v>
      </c>
    </row>
    <row r="23" spans="1:8">
      <c r="B23" t="s">
        <v>79</v>
      </c>
      <c r="E23" s="63">
        <v>-3500</v>
      </c>
      <c r="F23" s="63"/>
      <c r="G23" s="63">
        <v>-3512</v>
      </c>
      <c r="H23" s="63">
        <f t="shared" si="0"/>
        <v>-41101.230000000003</v>
      </c>
    </row>
    <row r="24" spans="1:8">
      <c r="B24" t="s">
        <v>917</v>
      </c>
      <c r="E24" s="163"/>
      <c r="F24" s="63"/>
      <c r="G24" s="63">
        <v>-155</v>
      </c>
      <c r="H24" s="63">
        <f t="shared" si="0"/>
        <v>-41256.230000000003</v>
      </c>
    </row>
    <row r="25" spans="1:8">
      <c r="A25" s="165">
        <v>45655</v>
      </c>
      <c r="B25" s="101" t="s">
        <v>80</v>
      </c>
      <c r="C25" s="101"/>
      <c r="D25" s="101"/>
      <c r="E25" s="163"/>
      <c r="F25" s="63"/>
      <c r="G25" s="63">
        <v>-250</v>
      </c>
      <c r="H25" s="63">
        <f t="shared" si="0"/>
        <v>-41506.230000000003</v>
      </c>
    </row>
    <row r="26" spans="1:8">
      <c r="A26" s="165">
        <v>45655</v>
      </c>
      <c r="B26" s="101" t="s">
        <v>81</v>
      </c>
      <c r="C26" s="101"/>
      <c r="D26" s="101"/>
      <c r="E26" s="163"/>
      <c r="F26" s="63"/>
      <c r="G26" s="63">
        <v>-500</v>
      </c>
      <c r="H26" s="63">
        <f t="shared" si="0"/>
        <v>-42006.23</v>
      </c>
    </row>
    <row r="27" spans="1:8">
      <c r="E27" s="163"/>
      <c r="F27" s="63"/>
      <c r="G27" s="63"/>
      <c r="H27" s="63">
        <f t="shared" si="0"/>
        <v>-42006.23</v>
      </c>
    </row>
    <row r="28" spans="1:8">
      <c r="B28" t="s">
        <v>76</v>
      </c>
      <c r="D28" s="186">
        <v>7500</v>
      </c>
      <c r="F28" s="63">
        <v>7432.53</v>
      </c>
      <c r="G28" s="63"/>
      <c r="H28" s="63">
        <f t="shared" si="0"/>
        <v>-34573.700000000004</v>
      </c>
    </row>
    <row r="29" spans="1:8">
      <c r="A29" s="165">
        <v>45275</v>
      </c>
      <c r="B29" s="8" t="s">
        <v>918</v>
      </c>
      <c r="D29" s="186">
        <v>2800</v>
      </c>
      <c r="F29" s="63">
        <v>2800</v>
      </c>
      <c r="G29" s="63"/>
      <c r="H29" s="63">
        <f t="shared" si="0"/>
        <v>-31773.700000000004</v>
      </c>
    </row>
    <row r="30" spans="1:8">
      <c r="A30" s="160">
        <v>45293</v>
      </c>
      <c r="B30" s="8" t="s">
        <v>756</v>
      </c>
      <c r="D30" s="186">
        <v>6500</v>
      </c>
      <c r="F30" s="63"/>
      <c r="G30" s="63"/>
      <c r="H30" s="63">
        <f t="shared" si="0"/>
        <v>-31773.700000000004</v>
      </c>
    </row>
    <row r="31" spans="1:8">
      <c r="A31" s="160"/>
      <c r="D31" s="102"/>
      <c r="H31" s="63">
        <f t="shared" si="0"/>
        <v>-31773.700000000004</v>
      </c>
    </row>
    <row r="32" spans="1:8">
      <c r="A32" s="160">
        <v>45294</v>
      </c>
      <c r="B32" s="8" t="s">
        <v>758</v>
      </c>
      <c r="D32" s="186">
        <v>6000</v>
      </c>
      <c r="F32" s="63"/>
      <c r="G32" s="63"/>
      <c r="H32" s="63">
        <f t="shared" si="0"/>
        <v>-31773.700000000004</v>
      </c>
    </row>
    <row r="33" spans="1:8">
      <c r="A33" s="160">
        <v>45266</v>
      </c>
      <c r="B33" s="8" t="s">
        <v>919</v>
      </c>
      <c r="D33" s="102"/>
      <c r="F33" s="63">
        <v>6000</v>
      </c>
      <c r="G33" s="63"/>
      <c r="H33" s="63">
        <f t="shared" si="0"/>
        <v>-25773.700000000004</v>
      </c>
    </row>
    <row r="34" spans="1:8">
      <c r="D34" s="102"/>
      <c r="F34" s="63"/>
      <c r="G34" s="63"/>
      <c r="H34" s="63">
        <f t="shared" si="0"/>
        <v>-25773.700000000004</v>
      </c>
    </row>
    <row r="35" spans="1:8">
      <c r="D35" s="102"/>
      <c r="F35" s="63"/>
      <c r="G35" s="63"/>
      <c r="H35" s="63">
        <f t="shared" si="0"/>
        <v>-25773.700000000004</v>
      </c>
    </row>
    <row r="41" spans="1:8">
      <c r="A41" s="103" t="s">
        <v>326</v>
      </c>
      <c r="B41" s="103"/>
      <c r="C41" s="103"/>
      <c r="D41" s="103"/>
      <c r="E41" s="158"/>
      <c r="G41" s="63"/>
      <c r="H41" s="63"/>
    </row>
    <row r="42" spans="1:8">
      <c r="A42" s="312"/>
      <c r="B42" s="312"/>
      <c r="C42" s="312"/>
      <c r="D42" s="312"/>
      <c r="E42" s="313"/>
      <c r="H42" s="63"/>
    </row>
    <row r="43" spans="1:8">
      <c r="A43" s="312"/>
      <c r="B43" s="312"/>
      <c r="C43" s="314"/>
      <c r="D43" s="312"/>
      <c r="E43" s="312"/>
      <c r="H43" s="63"/>
    </row>
    <row r="44" spans="1:8">
      <c r="A44" s="312"/>
      <c r="B44" s="312"/>
      <c r="C44" s="314"/>
      <c r="D44" s="312"/>
      <c r="E44" s="312"/>
      <c r="H44" s="63"/>
    </row>
    <row r="45" spans="1:8">
      <c r="C45" s="171"/>
      <c r="H45" s="63"/>
    </row>
    <row r="46" spans="1:8">
      <c r="A46" s="315">
        <v>44929</v>
      </c>
      <c r="B46" s="173" t="s">
        <v>327</v>
      </c>
      <c r="C46" s="103"/>
      <c r="D46" s="201">
        <f>SUM(D47:D54)</f>
        <v>5357.51</v>
      </c>
      <c r="E46" s="201">
        <f>SUM(E47:E53)</f>
        <v>5360.01</v>
      </c>
      <c r="H46" s="63"/>
    </row>
    <row r="47" spans="1:8">
      <c r="B47" t="s">
        <v>920</v>
      </c>
      <c r="C47" t="s">
        <v>153</v>
      </c>
      <c r="D47">
        <v>947.93</v>
      </c>
      <c r="E47" s="63">
        <v>950</v>
      </c>
      <c r="F47" s="63"/>
      <c r="G47" s="63"/>
    </row>
    <row r="48" spans="1:8">
      <c r="B48" t="s">
        <v>329</v>
      </c>
      <c r="C48" t="s">
        <v>921</v>
      </c>
      <c r="D48">
        <v>1830.06</v>
      </c>
      <c r="E48" s="63">
        <v>1830</v>
      </c>
      <c r="F48" s="63"/>
      <c r="G48" s="63"/>
    </row>
    <row r="49" spans="1:8">
      <c r="B49" t="s">
        <v>330</v>
      </c>
      <c r="C49" t="s">
        <v>921</v>
      </c>
      <c r="D49">
        <v>209.55</v>
      </c>
      <c r="E49">
        <v>210</v>
      </c>
      <c r="F49" s="63"/>
      <c r="G49" s="63"/>
    </row>
    <row r="50" spans="1:8">
      <c r="B50" t="s">
        <v>331</v>
      </c>
      <c r="C50" t="s">
        <v>922</v>
      </c>
      <c r="D50">
        <v>1732.62</v>
      </c>
      <c r="E50">
        <v>1732</v>
      </c>
      <c r="F50" s="63"/>
      <c r="G50" s="63"/>
    </row>
    <row r="51" spans="1:8">
      <c r="B51" t="s">
        <v>332</v>
      </c>
      <c r="C51" t="s">
        <v>921</v>
      </c>
      <c r="D51">
        <v>499.34</v>
      </c>
      <c r="E51">
        <v>500</v>
      </c>
      <c r="F51" s="63"/>
      <c r="G51" s="63"/>
    </row>
    <row r="52" spans="1:8">
      <c r="B52" t="s">
        <v>333</v>
      </c>
      <c r="C52" s="106"/>
      <c r="D52" s="106">
        <v>138.01</v>
      </c>
      <c r="E52">
        <v>138.01</v>
      </c>
      <c r="F52" s="63"/>
      <c r="G52" s="63"/>
    </row>
    <row r="53" spans="1:8">
      <c r="C53" s="106"/>
      <c r="E53" s="106"/>
      <c r="F53" s="63"/>
      <c r="G53" s="63"/>
    </row>
    <row r="54" spans="1:8">
      <c r="C54" s="106"/>
      <c r="D54" s="106"/>
    </row>
    <row r="56" spans="1:8">
      <c r="B56" s="17"/>
    </row>
    <row r="57" spans="1:8">
      <c r="B57" s="102"/>
    </row>
    <row r="58" spans="1:8">
      <c r="A58" s="103"/>
      <c r="B58" s="104" t="s">
        <v>83</v>
      </c>
      <c r="C58" s="103"/>
      <c r="D58" s="158"/>
      <c r="E58" s="316">
        <f>SUM(E59:E78)</f>
        <v>-4628.58</v>
      </c>
      <c r="F58" s="159">
        <f>SUM(F59:F78)</f>
        <v>0</v>
      </c>
    </row>
    <row r="59" spans="1:8">
      <c r="C59" s="106"/>
      <c r="D59" s="106"/>
      <c r="E59" s="163"/>
      <c r="G59" s="63"/>
      <c r="H59" s="63"/>
    </row>
    <row r="60" spans="1:8">
      <c r="A60" s="160">
        <v>44995</v>
      </c>
      <c r="B60" s="8" t="s">
        <v>771</v>
      </c>
      <c r="C60">
        <v>613.91</v>
      </c>
      <c r="D60" s="35" t="s">
        <v>923</v>
      </c>
      <c r="E60" s="163">
        <v>-61.39</v>
      </c>
      <c r="F60" s="63"/>
      <c r="G60" s="63"/>
      <c r="H60" s="63"/>
    </row>
    <row r="61" spans="1:8">
      <c r="F61" s="63"/>
      <c r="G61" s="63"/>
      <c r="H61" s="63"/>
    </row>
    <row r="62" spans="1:8">
      <c r="A62" s="160">
        <v>45043</v>
      </c>
      <c r="B62" s="106" t="s">
        <v>723</v>
      </c>
      <c r="C62" s="106">
        <v>10764.57</v>
      </c>
      <c r="D62" s="35" t="s">
        <v>395</v>
      </c>
      <c r="E62" s="163">
        <v>-1196.06</v>
      </c>
      <c r="F62" s="63"/>
      <c r="G62" s="63"/>
      <c r="H62" s="63"/>
    </row>
    <row r="63" spans="1:8">
      <c r="A63" s="160">
        <v>45078</v>
      </c>
      <c r="B63" s="106" t="s">
        <v>924</v>
      </c>
      <c r="D63" s="204" t="s">
        <v>439</v>
      </c>
      <c r="E63" s="163">
        <v>-666.65</v>
      </c>
      <c r="F63" s="63"/>
      <c r="G63" s="63"/>
      <c r="H63" s="63"/>
    </row>
    <row r="64" spans="1:8">
      <c r="A64" s="100">
        <v>45187</v>
      </c>
      <c r="B64" s="106" t="s">
        <v>560</v>
      </c>
      <c r="C64" s="106">
        <v>7648.33</v>
      </c>
      <c r="D64" s="204" t="s">
        <v>925</v>
      </c>
      <c r="E64" s="163">
        <v>-849.81</v>
      </c>
      <c r="F64" s="63"/>
      <c r="G64" s="63"/>
      <c r="H64" s="63"/>
    </row>
    <row r="65" spans="1:8">
      <c r="A65" s="100">
        <v>45187</v>
      </c>
      <c r="B65" s="106" t="s">
        <v>675</v>
      </c>
      <c r="C65" s="106">
        <v>11128</v>
      </c>
      <c r="D65" s="204" t="s">
        <v>926</v>
      </c>
      <c r="E65" s="163">
        <v>-1854.67</v>
      </c>
      <c r="F65" s="63"/>
      <c r="G65" s="63"/>
      <c r="H65" s="63"/>
    </row>
    <row r="66" spans="1:8" ht="15">
      <c r="A66" s="100"/>
      <c r="B66" s="106"/>
      <c r="C66" s="106"/>
      <c r="D66" s="105" t="s">
        <v>84</v>
      </c>
      <c r="E66" s="163"/>
      <c r="F66" s="63"/>
      <c r="G66" s="63"/>
      <c r="H66" s="63"/>
    </row>
    <row r="67" spans="1:8">
      <c r="A67" s="100"/>
      <c r="B67" s="106"/>
      <c r="C67" s="106"/>
      <c r="D67" s="204"/>
      <c r="E67" s="163"/>
      <c r="F67" s="63"/>
      <c r="G67" s="63"/>
      <c r="H67" s="63"/>
    </row>
    <row r="68" spans="1:8">
      <c r="A68" s="100"/>
      <c r="B68" s="106"/>
      <c r="C68" s="106"/>
      <c r="D68" s="204"/>
      <c r="E68" s="163"/>
      <c r="F68" s="63"/>
      <c r="G68" s="63"/>
      <c r="H68" s="63"/>
    </row>
    <row r="69" spans="1:8">
      <c r="A69" s="100"/>
      <c r="B69" s="106"/>
      <c r="C69" s="106"/>
      <c r="D69" s="204"/>
      <c r="E69" s="163"/>
      <c r="F69" s="63"/>
      <c r="G69" s="63"/>
      <c r="H69" s="63"/>
    </row>
    <row r="70" spans="1:8">
      <c r="A70" s="100"/>
      <c r="B70" s="106"/>
      <c r="C70" s="106"/>
      <c r="D70" s="204"/>
      <c r="E70" s="163"/>
      <c r="F70" s="63"/>
      <c r="G70" s="63"/>
      <c r="H70" s="63"/>
    </row>
    <row r="71" spans="1:8">
      <c r="A71" s="100"/>
      <c r="B71" s="106"/>
      <c r="C71" s="106"/>
      <c r="D71" s="204"/>
      <c r="E71" s="163"/>
      <c r="F71" s="63"/>
      <c r="G71" s="63"/>
      <c r="H71" s="63"/>
    </row>
    <row r="72" spans="1:8">
      <c r="A72" s="100"/>
      <c r="B72" s="106"/>
      <c r="C72" s="106"/>
      <c r="D72" s="204"/>
      <c r="E72" s="163"/>
      <c r="F72" s="63"/>
      <c r="G72" s="63"/>
      <c r="H72" s="63"/>
    </row>
    <row r="73" spans="1:8">
      <c r="A73" s="100"/>
      <c r="B73" s="106"/>
      <c r="C73" s="106"/>
      <c r="D73" s="204"/>
      <c r="E73" s="163"/>
      <c r="F73" s="63"/>
      <c r="G73" s="63"/>
      <c r="H73" s="63"/>
    </row>
    <row r="74" spans="1:8">
      <c r="B74" s="106"/>
      <c r="C74" s="106"/>
      <c r="D74" s="106"/>
      <c r="E74" s="163"/>
      <c r="F74" s="63"/>
      <c r="G74" s="63"/>
      <c r="H74" s="63"/>
    </row>
    <row r="75" spans="1:8">
      <c r="C75" s="106"/>
      <c r="D75" s="106"/>
      <c r="E75" s="163"/>
      <c r="F75" s="63"/>
      <c r="G75" s="63"/>
      <c r="H75" s="63"/>
    </row>
    <row r="76" spans="1:8">
      <c r="E76" s="163"/>
    </row>
    <row r="77" spans="1:8">
      <c r="E77" s="163"/>
    </row>
    <row r="78" spans="1:8">
      <c r="E78" s="163"/>
    </row>
    <row r="79" spans="1:8">
      <c r="D79" s="35"/>
    </row>
    <row r="81" spans="1:8">
      <c r="A81" s="103"/>
      <c r="B81" s="104" t="s">
        <v>85</v>
      </c>
      <c r="C81" s="103"/>
      <c r="D81" s="103"/>
      <c r="E81" s="201">
        <f>SUM(E82:E107)</f>
        <v>-11990.160000000002</v>
      </c>
      <c r="F81" s="159">
        <f>SUM(F82:F90)</f>
        <v>0</v>
      </c>
    </row>
    <row r="82" spans="1:8">
      <c r="A82" s="100">
        <v>45217</v>
      </c>
      <c r="B82" s="106" t="s">
        <v>682</v>
      </c>
      <c r="C82" s="106"/>
      <c r="D82" s="8" t="s">
        <v>927</v>
      </c>
      <c r="E82" s="163">
        <v>-3974.44</v>
      </c>
      <c r="F82" s="63"/>
      <c r="G82" s="63"/>
      <c r="H82" s="63"/>
    </row>
    <row r="83" spans="1:8">
      <c r="A83" s="165">
        <v>45214</v>
      </c>
      <c r="B83" s="8" t="s">
        <v>655</v>
      </c>
      <c r="D83" s="8" t="s">
        <v>928</v>
      </c>
      <c r="E83" s="163">
        <v>-600</v>
      </c>
      <c r="F83" s="63"/>
      <c r="G83" s="63"/>
      <c r="H83" s="63"/>
    </row>
    <row r="84" spans="1:8">
      <c r="B84" s="107"/>
      <c r="E84" s="163"/>
    </row>
    <row r="85" spans="1:8">
      <c r="A85" s="165">
        <v>45226</v>
      </c>
      <c r="B85" s="8" t="s">
        <v>929</v>
      </c>
      <c r="E85" s="163">
        <v>-1046.0999999999999</v>
      </c>
    </row>
    <row r="86" spans="1:8">
      <c r="A86" s="165">
        <v>45226</v>
      </c>
      <c r="B86" s="8" t="s">
        <v>929</v>
      </c>
      <c r="E86" s="163">
        <v>-1046.0999999999999</v>
      </c>
    </row>
    <row r="87" spans="1:8">
      <c r="A87" s="165">
        <v>45224</v>
      </c>
      <c r="B87" s="8" t="s">
        <v>651</v>
      </c>
      <c r="D87">
        <v>160</v>
      </c>
      <c r="E87" s="163">
        <v>-160</v>
      </c>
    </row>
    <row r="88" spans="1:8">
      <c r="A88" s="165">
        <v>45225</v>
      </c>
      <c r="B88" s="8" t="s">
        <v>651</v>
      </c>
      <c r="D88">
        <v>200</v>
      </c>
      <c r="E88" s="163">
        <v>-200</v>
      </c>
    </row>
    <row r="89" spans="1:8">
      <c r="A89" s="165">
        <v>45225</v>
      </c>
      <c r="B89" s="8" t="s">
        <v>342</v>
      </c>
      <c r="E89" s="163">
        <v>-200</v>
      </c>
    </row>
    <row r="90" spans="1:8">
      <c r="A90" s="165">
        <v>45226</v>
      </c>
      <c r="B90" s="8" t="s">
        <v>651</v>
      </c>
      <c r="D90" s="35">
        <v>150</v>
      </c>
      <c r="E90" s="163">
        <v>-150</v>
      </c>
    </row>
    <row r="91" spans="1:8">
      <c r="A91" s="165">
        <v>45227</v>
      </c>
      <c r="B91" s="8" t="s">
        <v>651</v>
      </c>
      <c r="D91" s="35">
        <v>100</v>
      </c>
      <c r="E91" s="163">
        <v>-100</v>
      </c>
    </row>
    <row r="92" spans="1:8">
      <c r="A92" s="165">
        <v>45227</v>
      </c>
      <c r="B92" s="8" t="s">
        <v>134</v>
      </c>
      <c r="D92">
        <v>70</v>
      </c>
      <c r="E92" s="163">
        <v>-70</v>
      </c>
    </row>
    <row r="93" spans="1:8">
      <c r="A93" s="165">
        <v>45229</v>
      </c>
      <c r="B93" s="8" t="s">
        <v>651</v>
      </c>
      <c r="D93">
        <v>200</v>
      </c>
      <c r="E93" s="163">
        <v>-200</v>
      </c>
    </row>
    <row r="94" spans="1:8">
      <c r="A94" s="165">
        <v>45229</v>
      </c>
      <c r="B94" s="8" t="s">
        <v>930</v>
      </c>
      <c r="D94">
        <v>95.49</v>
      </c>
      <c r="E94" s="163">
        <v>-95.49</v>
      </c>
    </row>
    <row r="95" spans="1:8">
      <c r="A95" s="165">
        <v>45232</v>
      </c>
      <c r="B95" s="8" t="s">
        <v>651</v>
      </c>
      <c r="D95">
        <v>250</v>
      </c>
      <c r="E95" s="163">
        <v>-250</v>
      </c>
    </row>
    <row r="96" spans="1:8">
      <c r="A96" s="165">
        <v>45233</v>
      </c>
      <c r="B96" s="8" t="s">
        <v>651</v>
      </c>
      <c r="D96">
        <v>180</v>
      </c>
      <c r="E96" s="163">
        <v>-160</v>
      </c>
    </row>
    <row r="97" spans="1:5">
      <c r="A97" s="165">
        <v>45234</v>
      </c>
      <c r="B97" s="8" t="s">
        <v>651</v>
      </c>
      <c r="D97">
        <v>320</v>
      </c>
      <c r="E97" s="163">
        <v>-320</v>
      </c>
    </row>
    <row r="98" spans="1:5">
      <c r="A98" s="165">
        <v>45237</v>
      </c>
      <c r="B98" s="8" t="s">
        <v>651</v>
      </c>
      <c r="D98">
        <v>200</v>
      </c>
      <c r="E98" s="163">
        <v>-200</v>
      </c>
    </row>
    <row r="99" spans="1:5">
      <c r="A99" s="165">
        <v>45237</v>
      </c>
      <c r="B99" s="8" t="s">
        <v>179</v>
      </c>
      <c r="E99" s="163">
        <v>-500</v>
      </c>
    </row>
    <row r="100" spans="1:5">
      <c r="A100" s="165">
        <v>45237</v>
      </c>
      <c r="B100" s="8" t="s">
        <v>931</v>
      </c>
      <c r="E100" s="163">
        <v>-180</v>
      </c>
    </row>
    <row r="101" spans="1:5">
      <c r="A101" s="165">
        <v>45238</v>
      </c>
      <c r="B101" s="8" t="s">
        <v>651</v>
      </c>
      <c r="D101">
        <v>160</v>
      </c>
      <c r="E101" s="163">
        <v>-160</v>
      </c>
    </row>
    <row r="102" spans="1:5">
      <c r="A102" s="165">
        <v>45239</v>
      </c>
      <c r="B102" s="8" t="s">
        <v>651</v>
      </c>
      <c r="D102">
        <v>250</v>
      </c>
      <c r="E102" s="163">
        <v>-250</v>
      </c>
    </row>
    <row r="103" spans="1:5">
      <c r="A103" s="165">
        <v>45240</v>
      </c>
      <c r="B103" s="8" t="s">
        <v>651</v>
      </c>
      <c r="D103">
        <v>160</v>
      </c>
      <c r="E103" s="163">
        <v>-160</v>
      </c>
    </row>
    <row r="104" spans="1:5">
      <c r="A104" s="165">
        <v>45241</v>
      </c>
      <c r="B104" s="8" t="s">
        <v>651</v>
      </c>
      <c r="D104">
        <v>250</v>
      </c>
      <c r="E104" s="163">
        <v>-250</v>
      </c>
    </row>
    <row r="105" spans="1:5">
      <c r="A105" s="165">
        <v>45244</v>
      </c>
      <c r="B105" s="8" t="s">
        <v>128</v>
      </c>
      <c r="E105" s="163">
        <v>-1144.1099999999999</v>
      </c>
    </row>
    <row r="106" spans="1:5">
      <c r="A106" s="165">
        <v>45245</v>
      </c>
      <c r="B106" s="8" t="s">
        <v>932</v>
      </c>
      <c r="E106" s="163">
        <v>-373.92</v>
      </c>
    </row>
    <row r="107" spans="1:5">
      <c r="A107" s="165">
        <v>45253</v>
      </c>
      <c r="B107" s="8" t="s">
        <v>651</v>
      </c>
      <c r="D107">
        <v>200</v>
      </c>
      <c r="E107" s="163">
        <v>-200</v>
      </c>
    </row>
    <row r="108" spans="1:5">
      <c r="E108" s="163"/>
    </row>
    <row r="109" spans="1:5">
      <c r="B109" t="s">
        <v>933</v>
      </c>
      <c r="D109">
        <f>SUM(D87:D108)</f>
        <v>2945.49</v>
      </c>
      <c r="E109" s="163"/>
    </row>
    <row r="110" spans="1:5" ht="15">
      <c r="D110" s="105" t="s">
        <v>84</v>
      </c>
    </row>
    <row r="111" spans="1:5">
      <c r="A111" s="113" t="s">
        <v>299</v>
      </c>
      <c r="B111" s="104" t="s">
        <v>136</v>
      </c>
      <c r="C111" s="103">
        <v>2023</v>
      </c>
      <c r="D111" s="158"/>
      <c r="E111" s="159">
        <f>SUM(E112:E128)</f>
        <v>698220.30499999993</v>
      </c>
    </row>
    <row r="112" spans="1:5">
      <c r="A112" s="160">
        <v>45290</v>
      </c>
      <c r="B112" s="8" t="s">
        <v>77</v>
      </c>
      <c r="C112" s="2"/>
      <c r="D112" s="2"/>
      <c r="E112" s="17">
        <v>64000</v>
      </c>
    </row>
    <row r="113" spans="1:5">
      <c r="A113" s="160">
        <f t="shared" ref="A113:A122" si="2">A112</f>
        <v>45290</v>
      </c>
      <c r="B113" s="8" t="s">
        <v>78</v>
      </c>
      <c r="C113" s="2"/>
      <c r="D113" s="2"/>
      <c r="E113" s="17">
        <v>218088</v>
      </c>
    </row>
    <row r="114" spans="1:5">
      <c r="A114" s="160">
        <f t="shared" si="2"/>
        <v>45290</v>
      </c>
      <c r="B114" s="8" t="s">
        <v>300</v>
      </c>
      <c r="C114" s="2"/>
      <c r="D114" s="2"/>
      <c r="E114" s="17">
        <v>3609.29</v>
      </c>
    </row>
    <row r="115" spans="1:5">
      <c r="A115" s="160">
        <f t="shared" si="2"/>
        <v>45290</v>
      </c>
      <c r="B115" s="8" t="s">
        <v>301</v>
      </c>
      <c r="C115" s="2"/>
      <c r="D115" s="2"/>
      <c r="E115" s="17">
        <v>122.31</v>
      </c>
    </row>
    <row r="116" spans="1:5">
      <c r="A116" s="160">
        <f t="shared" si="2"/>
        <v>45290</v>
      </c>
      <c r="B116" s="8" t="s">
        <v>302</v>
      </c>
      <c r="D116" s="2"/>
      <c r="E116" s="17">
        <v>6267.13</v>
      </c>
    </row>
    <row r="117" spans="1:5">
      <c r="A117" s="160">
        <f t="shared" si="2"/>
        <v>45290</v>
      </c>
      <c r="B117" s="8" t="s">
        <v>236</v>
      </c>
      <c r="C117" s="2" t="s">
        <v>303</v>
      </c>
      <c r="D117" s="2"/>
      <c r="E117" s="17">
        <v>21088.49</v>
      </c>
    </row>
    <row r="118" spans="1:5">
      <c r="A118" s="160">
        <f t="shared" si="2"/>
        <v>45290</v>
      </c>
      <c r="B118" s="8" t="s">
        <v>304</v>
      </c>
      <c r="C118" s="2" t="s">
        <v>305</v>
      </c>
      <c r="D118" s="2"/>
      <c r="E118" s="17">
        <v>5587.73</v>
      </c>
    </row>
    <row r="119" spans="1:5">
      <c r="A119" s="160">
        <f t="shared" si="2"/>
        <v>45290</v>
      </c>
      <c r="B119" s="8" t="s">
        <v>306</v>
      </c>
      <c r="C119" s="160">
        <v>45295</v>
      </c>
      <c r="D119" s="161">
        <v>-629.36</v>
      </c>
      <c r="E119" s="17">
        <v>4752.22</v>
      </c>
    </row>
    <row r="120" spans="1:5">
      <c r="A120" s="160">
        <f t="shared" si="2"/>
        <v>45290</v>
      </c>
      <c r="B120" s="8" t="s">
        <v>307</v>
      </c>
      <c r="C120" s="160">
        <v>45295</v>
      </c>
      <c r="D120" s="161">
        <v>-52.52</v>
      </c>
      <c r="E120" s="17">
        <v>315.38</v>
      </c>
    </row>
    <row r="121" spans="1:5">
      <c r="A121" s="160">
        <f t="shared" si="2"/>
        <v>45290</v>
      </c>
      <c r="B121" s="8" t="s">
        <v>308</v>
      </c>
      <c r="C121" s="160">
        <v>45295</v>
      </c>
      <c r="D121" s="161">
        <v>-196</v>
      </c>
      <c r="E121" s="17">
        <v>295.8</v>
      </c>
    </row>
    <row r="122" spans="1:5">
      <c r="A122" s="160">
        <f t="shared" si="2"/>
        <v>45290</v>
      </c>
      <c r="B122" s="8" t="s">
        <v>309</v>
      </c>
      <c r="C122" s="160">
        <v>45295</v>
      </c>
      <c r="D122" s="161">
        <v>-669.7</v>
      </c>
      <c r="E122" s="17">
        <v>4239.3</v>
      </c>
    </row>
    <row r="123" spans="1:5">
      <c r="A123" s="160">
        <f>A116</f>
        <v>45290</v>
      </c>
      <c r="B123" s="8" t="s">
        <v>140</v>
      </c>
      <c r="C123" s="2"/>
      <c r="D123" s="2"/>
      <c r="E123" s="17">
        <v>1000</v>
      </c>
    </row>
    <row r="124" spans="1:5">
      <c r="A124" s="160">
        <f>A115</f>
        <v>45290</v>
      </c>
      <c r="B124" s="8" t="s">
        <v>310</v>
      </c>
      <c r="C124" s="2">
        <v>1928.59</v>
      </c>
      <c r="D124" s="2">
        <v>161</v>
      </c>
      <c r="E124" s="17">
        <f>D124*C124</f>
        <v>310502.99</v>
      </c>
    </row>
    <row r="125" spans="1:5">
      <c r="A125" s="160">
        <f>A124</f>
        <v>45290</v>
      </c>
      <c r="B125" s="8" t="s">
        <v>311</v>
      </c>
      <c r="C125" s="162">
        <v>29.2927</v>
      </c>
      <c r="D125" s="2">
        <v>850</v>
      </c>
      <c r="E125" s="17">
        <f>D125*C125</f>
        <v>24898.794999999998</v>
      </c>
    </row>
    <row r="126" spans="1:5">
      <c r="A126" s="160">
        <f>A125</f>
        <v>45290</v>
      </c>
      <c r="B126" s="8" t="s">
        <v>312</v>
      </c>
      <c r="C126" s="162">
        <v>32.028700000000001</v>
      </c>
      <c r="D126" s="2">
        <v>100</v>
      </c>
      <c r="E126" s="17">
        <f>D126*C126</f>
        <v>3202.87</v>
      </c>
    </row>
    <row r="127" spans="1:5">
      <c r="A127" s="160">
        <f>A126</f>
        <v>45290</v>
      </c>
      <c r="B127" s="8" t="s">
        <v>152</v>
      </c>
      <c r="C127" s="2"/>
      <c r="D127" s="2"/>
      <c r="E127" s="17">
        <v>30000</v>
      </c>
    </row>
    <row r="128" spans="1:5">
      <c r="A128" s="160">
        <f>A127</f>
        <v>45290</v>
      </c>
      <c r="B128" s="8" t="s">
        <v>153</v>
      </c>
      <c r="C128" s="2"/>
      <c r="D128" s="2"/>
      <c r="E128" s="17">
        <v>250</v>
      </c>
    </row>
    <row r="129" spans="3:5">
      <c r="C129" s="3" t="str">
        <f>A111</f>
        <v>ARALIK</v>
      </c>
      <c r="D129" s="18" t="s">
        <v>156</v>
      </c>
      <c r="E129" s="163">
        <f>H33</f>
        <v>-25773.700000000004</v>
      </c>
    </row>
    <row r="130" spans="3:5">
      <c r="D130" s="3"/>
    </row>
    <row r="131" spans="3:5">
      <c r="D131" s="18" t="s">
        <v>155</v>
      </c>
      <c r="E131" s="9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375623"/>
  </sheetPr>
  <dimension ref="A1:H125"/>
  <sheetViews>
    <sheetView topLeftCell="A15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3.28515625" bestFit="1" customWidth="1"/>
    <col min="6" max="6" width="13.7109375" bestFit="1" customWidth="1"/>
    <col min="7" max="7" width="14.42578125" bestFit="1" customWidth="1"/>
    <col min="8" max="8" width="13.28515625" bestFit="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934</v>
      </c>
      <c r="C2" s="79" t="s">
        <v>67</v>
      </c>
      <c r="D2" s="306">
        <f>SUM(D5:D36)</f>
        <v>262800</v>
      </c>
      <c r="E2" s="306">
        <f>SUM(E4:E27)</f>
        <v>-98843.11</v>
      </c>
      <c r="F2" s="306">
        <f>SUM(F5:F37)</f>
        <v>177687.06</v>
      </c>
      <c r="G2" s="306">
        <f>SUM(G4:G37)</f>
        <v>-242504.11</v>
      </c>
      <c r="H2" s="306">
        <f>F2+G2</f>
        <v>-64817.049999999988</v>
      </c>
    </row>
    <row r="3" spans="1:8">
      <c r="B3" s="18"/>
      <c r="H3" s="63"/>
    </row>
    <row r="4" spans="1:8">
      <c r="A4" s="165">
        <v>45231</v>
      </c>
      <c r="B4" s="311" t="s">
        <v>424</v>
      </c>
      <c r="E4" s="63">
        <v>-152</v>
      </c>
      <c r="G4" s="63">
        <v>-152</v>
      </c>
      <c r="H4" s="63">
        <f t="shared" ref="H4:H33" si="0">H3+F4+G4</f>
        <v>-152</v>
      </c>
    </row>
    <row r="5" spans="1:8">
      <c r="A5" s="165">
        <v>45232</v>
      </c>
      <c r="B5" s="101" t="s">
        <v>80</v>
      </c>
      <c r="C5" s="101"/>
      <c r="D5" s="101"/>
      <c r="E5" s="63">
        <v>-400</v>
      </c>
      <c r="G5" s="63">
        <v>-277</v>
      </c>
      <c r="H5" s="63">
        <f t="shared" si="0"/>
        <v>-429</v>
      </c>
    </row>
    <row r="6" spans="1:8">
      <c r="A6" s="165">
        <v>45232</v>
      </c>
      <c r="B6" s="101" t="s">
        <v>81</v>
      </c>
      <c r="C6" s="101"/>
      <c r="D6" s="101"/>
      <c r="E6" s="63">
        <v>-500</v>
      </c>
      <c r="G6" s="63">
        <v>-512</v>
      </c>
      <c r="H6" s="63">
        <f t="shared" si="0"/>
        <v>-941</v>
      </c>
    </row>
    <row r="7" spans="1:8">
      <c r="A7" s="165">
        <v>45231</v>
      </c>
      <c r="B7" s="101" t="s">
        <v>935</v>
      </c>
      <c r="C7" s="101"/>
      <c r="D7" s="101"/>
      <c r="E7" s="63">
        <v>-250</v>
      </c>
      <c r="G7" s="63">
        <v>-250</v>
      </c>
      <c r="H7" s="63">
        <f t="shared" si="0"/>
        <v>-1191</v>
      </c>
    </row>
    <row r="8" spans="1:8">
      <c r="B8" s="178" t="s">
        <v>72</v>
      </c>
      <c r="D8" s="63"/>
      <c r="E8" s="63">
        <f>E49*-1</f>
        <v>-51.54</v>
      </c>
      <c r="F8" s="63"/>
      <c r="G8" s="63">
        <f>E8</f>
        <v>-51.54</v>
      </c>
      <c r="H8" s="63">
        <f t="shared" si="0"/>
        <v>-1242.54</v>
      </c>
    </row>
    <row r="9" spans="1:8">
      <c r="B9" s="178" t="s">
        <v>68</v>
      </c>
      <c r="E9" s="63">
        <f>E55</f>
        <v>-5698.99</v>
      </c>
      <c r="F9" s="63"/>
      <c r="G9" s="63">
        <f>E9</f>
        <v>-5698.99</v>
      </c>
      <c r="H9" s="63">
        <f t="shared" si="0"/>
        <v>-6941.53</v>
      </c>
    </row>
    <row r="10" spans="1:8">
      <c r="A10" s="165">
        <v>45232</v>
      </c>
      <c r="B10" s="178" t="s">
        <v>69</v>
      </c>
      <c r="E10" s="63">
        <f>E71</f>
        <v>-71595.5</v>
      </c>
      <c r="G10" s="63">
        <f>E10</f>
        <v>-71595.5</v>
      </c>
      <c r="H10" s="63">
        <f t="shared" si="0"/>
        <v>-78537.03</v>
      </c>
    </row>
    <row r="11" spans="1:8">
      <c r="A11" s="100"/>
      <c r="B11" s="101" t="s">
        <v>936</v>
      </c>
      <c r="C11" s="101"/>
      <c r="D11" s="101"/>
      <c r="E11" s="63">
        <v>-5375</v>
      </c>
      <c r="G11" s="63">
        <v>-5375</v>
      </c>
      <c r="H11" s="63">
        <f t="shared" si="0"/>
        <v>-83912.03</v>
      </c>
    </row>
    <row r="12" spans="1:8">
      <c r="A12" s="100"/>
      <c r="B12" s="101" t="s">
        <v>936</v>
      </c>
      <c r="C12" s="101"/>
      <c r="D12" s="101"/>
      <c r="E12" s="63">
        <v>-2125</v>
      </c>
      <c r="G12" s="63">
        <v>-2125</v>
      </c>
      <c r="H12" s="63">
        <f t="shared" si="0"/>
        <v>-86037.03</v>
      </c>
    </row>
    <row r="13" spans="1:8">
      <c r="A13" s="165">
        <v>45231</v>
      </c>
      <c r="B13" s="101" t="s">
        <v>937</v>
      </c>
      <c r="C13" s="101"/>
      <c r="D13" s="101"/>
      <c r="E13" s="63">
        <v>-945.08</v>
      </c>
      <c r="F13" s="163"/>
      <c r="G13" s="63">
        <v>-945.08</v>
      </c>
      <c r="H13" s="63">
        <f t="shared" si="0"/>
        <v>-86982.11</v>
      </c>
    </row>
    <row r="14" spans="1:8">
      <c r="B14" s="101" t="s">
        <v>75</v>
      </c>
      <c r="C14" s="101"/>
      <c r="D14" s="101"/>
      <c r="E14" s="63">
        <v>-150</v>
      </c>
      <c r="F14" s="163"/>
      <c r="G14" s="63">
        <v>0</v>
      </c>
      <c r="H14" s="63">
        <f t="shared" si="0"/>
        <v>-86982.11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0</v>
      </c>
      <c r="H15" s="63">
        <f t="shared" si="0"/>
        <v>-86982.11</v>
      </c>
    </row>
    <row r="16" spans="1:8">
      <c r="B16" s="106" t="s">
        <v>74</v>
      </c>
      <c r="C16" s="106"/>
      <c r="D16" s="106"/>
      <c r="E16" s="63">
        <v>-100</v>
      </c>
      <c r="F16" s="163"/>
      <c r="G16" s="63">
        <v>0</v>
      </c>
      <c r="H16" s="63">
        <f t="shared" si="0"/>
        <v>-86982.11</v>
      </c>
    </row>
    <row r="17" spans="1:8">
      <c r="B17" t="s">
        <v>77</v>
      </c>
      <c r="E17" s="63">
        <v>-3500</v>
      </c>
      <c r="F17" s="63"/>
      <c r="G17" s="63">
        <v>-3511</v>
      </c>
      <c r="H17" s="63">
        <f t="shared" si="0"/>
        <v>-90493.11</v>
      </c>
    </row>
    <row r="18" spans="1:8">
      <c r="B18" t="s">
        <v>78</v>
      </c>
      <c r="E18" s="63">
        <v>-3500</v>
      </c>
      <c r="F18" s="63"/>
      <c r="G18" s="63">
        <v>-3511</v>
      </c>
      <c r="H18" s="63">
        <f t="shared" si="0"/>
        <v>-94004.11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-97504.11</v>
      </c>
    </row>
    <row r="20" spans="1:8">
      <c r="A20" s="165">
        <v>45236</v>
      </c>
      <c r="B20" s="8" t="s">
        <v>938</v>
      </c>
      <c r="E20" s="163"/>
      <c r="F20" s="63">
        <v>15887.06</v>
      </c>
      <c r="G20" s="63"/>
      <c r="H20" s="63">
        <f t="shared" si="0"/>
        <v>-81617.05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-74117.05</v>
      </c>
    </row>
    <row r="22" spans="1:8">
      <c r="A22" s="165">
        <v>45232</v>
      </c>
      <c r="B22" s="8" t="s">
        <v>939</v>
      </c>
      <c r="C22" s="8" t="s">
        <v>940</v>
      </c>
      <c r="D22" s="186">
        <v>2800</v>
      </c>
      <c r="F22" s="63">
        <v>2800</v>
      </c>
      <c r="G22" s="63"/>
      <c r="H22" s="63">
        <f t="shared" si="0"/>
        <v>-71317.05</v>
      </c>
    </row>
    <row r="23" spans="1:8">
      <c r="B23" t="s">
        <v>941</v>
      </c>
      <c r="D23" s="186">
        <v>6500</v>
      </c>
      <c r="F23" s="63">
        <v>6500</v>
      </c>
      <c r="G23" s="63"/>
      <c r="H23" s="63">
        <f t="shared" si="0"/>
        <v>-64817.05</v>
      </c>
    </row>
    <row r="24" spans="1:8">
      <c r="A24" s="100">
        <v>45231</v>
      </c>
      <c r="B24" s="8" t="s">
        <v>942</v>
      </c>
      <c r="D24" s="186"/>
      <c r="G24" s="63"/>
      <c r="H24" s="63">
        <f t="shared" si="0"/>
        <v>-64817.05</v>
      </c>
    </row>
    <row r="25" spans="1:8">
      <c r="A25" s="100">
        <v>45260</v>
      </c>
      <c r="B25" s="8" t="s">
        <v>943</v>
      </c>
      <c r="D25" s="186">
        <v>240000</v>
      </c>
      <c r="F25" s="63">
        <v>135000</v>
      </c>
      <c r="G25" s="63"/>
      <c r="H25" s="63">
        <f t="shared" si="0"/>
        <v>70182.95</v>
      </c>
    </row>
    <row r="26" spans="1:8">
      <c r="A26" s="100"/>
      <c r="D26" s="186"/>
      <c r="F26" s="63"/>
      <c r="G26" s="63">
        <v>-135000</v>
      </c>
      <c r="H26" s="63">
        <f t="shared" si="0"/>
        <v>-64817.05</v>
      </c>
    </row>
    <row r="27" spans="1:8">
      <c r="A27" s="100">
        <v>45266</v>
      </c>
      <c r="B27" s="8" t="s">
        <v>944</v>
      </c>
      <c r="D27" s="186">
        <v>6000</v>
      </c>
      <c r="G27" s="63"/>
      <c r="H27" s="63">
        <f t="shared" si="0"/>
        <v>-64817.05</v>
      </c>
    </row>
    <row r="28" spans="1:8">
      <c r="A28" s="160">
        <v>45258</v>
      </c>
      <c r="B28" s="8" t="s">
        <v>945</v>
      </c>
      <c r="D28" s="186"/>
      <c r="F28" s="63">
        <v>10000</v>
      </c>
      <c r="H28" s="63">
        <f t="shared" si="0"/>
        <v>-54817.05</v>
      </c>
    </row>
    <row r="29" spans="1:8">
      <c r="A29" s="160">
        <v>45258</v>
      </c>
      <c r="B29" s="8" t="s">
        <v>946</v>
      </c>
      <c r="D29" s="186"/>
      <c r="F29" s="63"/>
      <c r="G29" s="63">
        <v>-10000</v>
      </c>
      <c r="H29" s="63">
        <f t="shared" si="0"/>
        <v>-64817.05</v>
      </c>
    </row>
    <row r="30" spans="1:8">
      <c r="A30" s="165">
        <v>45259</v>
      </c>
      <c r="B30" s="8" t="s">
        <v>686</v>
      </c>
      <c r="C30" s="8" t="s">
        <v>432</v>
      </c>
      <c r="E30" s="63">
        <v>-1204.5</v>
      </c>
      <c r="H30" s="63">
        <f t="shared" si="0"/>
        <v>-64817.05</v>
      </c>
    </row>
    <row r="31" spans="1:8">
      <c r="A31" s="165">
        <v>45259</v>
      </c>
      <c r="B31" s="8" t="s">
        <v>688</v>
      </c>
      <c r="C31" s="8" t="s">
        <v>432</v>
      </c>
      <c r="E31" s="63">
        <v>-148.6</v>
      </c>
      <c r="H31" s="63">
        <f t="shared" si="0"/>
        <v>-64817.05</v>
      </c>
    </row>
    <row r="32" spans="1:8">
      <c r="A32" s="165">
        <v>45259</v>
      </c>
      <c r="B32" s="8" t="s">
        <v>689</v>
      </c>
      <c r="C32" s="8" t="s">
        <v>432</v>
      </c>
      <c r="E32" s="63">
        <v>-244.8</v>
      </c>
      <c r="H32" s="63">
        <f t="shared" si="0"/>
        <v>-64817.05</v>
      </c>
    </row>
    <row r="33" spans="1:8">
      <c r="A33" s="165">
        <v>45259</v>
      </c>
      <c r="B33" s="8" t="s">
        <v>947</v>
      </c>
      <c r="C33" s="8" t="s">
        <v>432</v>
      </c>
      <c r="E33" s="63">
        <v>-532.6</v>
      </c>
      <c r="F33" s="63"/>
      <c r="G33" s="63"/>
      <c r="H33" s="63">
        <f t="shared" si="0"/>
        <v>-64817.05</v>
      </c>
    </row>
    <row r="34" spans="1:8">
      <c r="F34" s="63"/>
      <c r="G34" s="63"/>
      <c r="H34" s="63"/>
    </row>
    <row r="35" spans="1:8">
      <c r="F35" s="63"/>
      <c r="G35" s="63"/>
      <c r="H35" s="63"/>
    </row>
    <row r="36" spans="1:8">
      <c r="E36" s="63"/>
      <c r="G36" s="63"/>
      <c r="H36" s="63"/>
    </row>
    <row r="37" spans="1:8">
      <c r="B37" t="s">
        <v>325</v>
      </c>
      <c r="E37" s="63"/>
      <c r="G37" s="63"/>
      <c r="H37" s="63"/>
    </row>
    <row r="38" spans="1:8">
      <c r="A38" s="103" t="s">
        <v>326</v>
      </c>
      <c r="B38" s="103"/>
      <c r="C38" s="103"/>
      <c r="D38" s="103"/>
      <c r="E38" s="158"/>
      <c r="G38" s="63"/>
      <c r="H38" s="63"/>
    </row>
    <row r="39" spans="1:8">
      <c r="A39" s="317"/>
      <c r="B39" s="312"/>
      <c r="C39" s="312"/>
      <c r="D39" s="312"/>
      <c r="E39" s="313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317"/>
      <c r="B41" s="312"/>
      <c r="C41" s="314"/>
      <c r="D41" s="312"/>
      <c r="E41" s="312"/>
      <c r="H41" s="63"/>
    </row>
    <row r="42" spans="1:8">
      <c r="A42" s="100"/>
      <c r="C42" s="171"/>
      <c r="H42" s="63"/>
    </row>
    <row r="43" spans="1:8">
      <c r="A43" s="172">
        <v>44929</v>
      </c>
      <c r="B43" s="173" t="s">
        <v>327</v>
      </c>
      <c r="C43" s="103"/>
      <c r="D43" s="201">
        <f>SUM(D44:D51)</f>
        <v>3906.8500000000004</v>
      </c>
      <c r="E43" s="201">
        <f>SUM(E44:E51)</f>
        <v>3907.8</v>
      </c>
      <c r="H43" s="63"/>
    </row>
    <row r="44" spans="1:8">
      <c r="B44" t="s">
        <v>920</v>
      </c>
      <c r="D44">
        <v>628.12</v>
      </c>
      <c r="E44" s="63">
        <v>630</v>
      </c>
      <c r="F44" s="63"/>
      <c r="G44" s="63"/>
    </row>
    <row r="45" spans="1:8">
      <c r="B45" t="s">
        <v>329</v>
      </c>
      <c r="D45">
        <v>1539.74</v>
      </c>
      <c r="E45" s="63">
        <v>1540</v>
      </c>
      <c r="F45" s="63"/>
      <c r="G45" s="63"/>
    </row>
    <row r="46" spans="1:8">
      <c r="B46" t="s">
        <v>330</v>
      </c>
      <c r="D46">
        <v>165.4</v>
      </c>
      <c r="E46">
        <v>165</v>
      </c>
      <c r="F46" s="63"/>
      <c r="G46" s="63"/>
    </row>
    <row r="47" spans="1:8">
      <c r="B47" t="s">
        <v>331</v>
      </c>
      <c r="D47">
        <v>1142.79</v>
      </c>
      <c r="E47">
        <v>1142</v>
      </c>
      <c r="F47" s="63"/>
      <c r="G47" s="63"/>
    </row>
    <row r="48" spans="1:8">
      <c r="B48" t="s">
        <v>332</v>
      </c>
      <c r="D48" s="3">
        <v>379.26</v>
      </c>
      <c r="E48">
        <v>379.26</v>
      </c>
      <c r="F48" s="63"/>
      <c r="G48" s="63"/>
    </row>
    <row r="49" spans="1:8">
      <c r="B49" t="s">
        <v>333</v>
      </c>
      <c r="C49" s="106"/>
      <c r="D49" s="106">
        <v>51.54</v>
      </c>
      <c r="E49">
        <v>51.54</v>
      </c>
      <c r="F49" s="63"/>
      <c r="G49" s="63"/>
    </row>
    <row r="50" spans="1:8">
      <c r="C50" s="106"/>
      <c r="E50" s="106"/>
      <c r="F50" s="63"/>
      <c r="G50" s="63"/>
    </row>
    <row r="51" spans="1:8">
      <c r="C51" s="106"/>
      <c r="D51" s="106"/>
      <c r="E51" s="163"/>
      <c r="F51" s="63"/>
      <c r="G51" s="63"/>
    </row>
    <row r="53" spans="1:8">
      <c r="B53" s="17"/>
    </row>
    <row r="54" spans="1:8">
      <c r="B54" s="102"/>
    </row>
    <row r="55" spans="1:8">
      <c r="A55" s="103"/>
      <c r="B55" s="104" t="s">
        <v>83</v>
      </c>
      <c r="C55" s="103"/>
      <c r="D55" s="158"/>
      <c r="E55" s="159">
        <f>SUM(E56:E68)</f>
        <v>-5698.99</v>
      </c>
    </row>
    <row r="56" spans="1:8">
      <c r="A56" s="100"/>
      <c r="C56" s="106"/>
      <c r="D56" s="106"/>
      <c r="E56" s="163"/>
      <c r="G56" s="63"/>
      <c r="H56" s="63"/>
    </row>
    <row r="57" spans="1:8">
      <c r="A57" s="100">
        <v>44995</v>
      </c>
      <c r="B57" s="8" t="s">
        <v>771</v>
      </c>
      <c r="C57">
        <v>613.91</v>
      </c>
      <c r="D57" s="35" t="s">
        <v>948</v>
      </c>
      <c r="E57" s="163">
        <v>-61.39</v>
      </c>
      <c r="F57" s="63"/>
      <c r="G57" s="63"/>
      <c r="H57" s="63"/>
    </row>
    <row r="58" spans="1:8">
      <c r="A58" s="100">
        <v>45043</v>
      </c>
      <c r="B58" s="106" t="s">
        <v>949</v>
      </c>
      <c r="C58" s="106">
        <v>3299</v>
      </c>
      <c r="D58" s="35" t="s">
        <v>950</v>
      </c>
      <c r="E58" s="163">
        <v>-549.85</v>
      </c>
      <c r="F58" s="63"/>
      <c r="G58" s="63"/>
      <c r="H58" s="63"/>
    </row>
    <row r="59" spans="1:8">
      <c r="A59" s="100">
        <v>45043</v>
      </c>
      <c r="B59" s="106" t="s">
        <v>723</v>
      </c>
      <c r="C59" s="106">
        <v>10764.57</v>
      </c>
      <c r="D59" s="35" t="s">
        <v>674</v>
      </c>
      <c r="E59" s="163">
        <v>-1196.06</v>
      </c>
      <c r="F59" s="63"/>
      <c r="G59" s="63"/>
      <c r="H59" s="63"/>
    </row>
    <row r="60" spans="1:8">
      <c r="A60" s="100">
        <v>45044</v>
      </c>
      <c r="B60" s="8" t="s">
        <v>951</v>
      </c>
      <c r="C60" s="106">
        <v>3123.29</v>
      </c>
      <c r="D60" s="204" t="s">
        <v>950</v>
      </c>
      <c r="E60" s="163">
        <v>-520.54</v>
      </c>
      <c r="F60" s="63"/>
      <c r="G60" s="63"/>
      <c r="H60" s="63"/>
    </row>
    <row r="61" spans="1:8">
      <c r="A61" s="100">
        <v>45078</v>
      </c>
      <c r="B61" s="106" t="s">
        <v>924</v>
      </c>
      <c r="D61" s="204" t="s">
        <v>470</v>
      </c>
      <c r="E61" s="163">
        <v>-666.67</v>
      </c>
      <c r="F61" s="63"/>
      <c r="G61" s="63"/>
      <c r="H61" s="63"/>
    </row>
    <row r="62" spans="1:8">
      <c r="A62" s="100">
        <v>45187</v>
      </c>
      <c r="B62" s="106" t="s">
        <v>560</v>
      </c>
      <c r="C62" s="106">
        <v>7648.33</v>
      </c>
      <c r="D62" s="204" t="s">
        <v>607</v>
      </c>
      <c r="E62" s="163">
        <v>-849.81</v>
      </c>
      <c r="F62" s="63"/>
      <c r="G62" s="63"/>
      <c r="H62" s="63"/>
    </row>
    <row r="63" spans="1:8">
      <c r="A63" s="100">
        <v>45187</v>
      </c>
      <c r="B63" s="106" t="s">
        <v>675</v>
      </c>
      <c r="C63" s="106">
        <v>11128</v>
      </c>
      <c r="D63" s="204" t="s">
        <v>605</v>
      </c>
      <c r="E63" s="163">
        <v>-1854.67</v>
      </c>
      <c r="F63" s="63"/>
      <c r="G63" s="63"/>
      <c r="H63" s="63"/>
    </row>
    <row r="64" spans="1:8">
      <c r="A64" s="100">
        <v>45204</v>
      </c>
      <c r="B64" s="106" t="s">
        <v>129</v>
      </c>
      <c r="C64" s="106">
        <v>-6481.59</v>
      </c>
      <c r="D64" s="106"/>
      <c r="E64" s="163"/>
      <c r="F64" s="63"/>
      <c r="G64" s="63"/>
      <c r="H64" s="63"/>
    </row>
    <row r="65" spans="1:8">
      <c r="A65" s="100"/>
      <c r="C65" s="106"/>
      <c r="D65" s="106"/>
      <c r="E65" s="163"/>
      <c r="F65" s="63"/>
      <c r="G65" s="63"/>
      <c r="H65" s="63"/>
    </row>
    <row r="66" spans="1:8" ht="15">
      <c r="A66" s="100"/>
      <c r="D66" s="105" t="s">
        <v>84</v>
      </c>
      <c r="E66" s="163"/>
    </row>
    <row r="67" spans="1:8">
      <c r="A67" s="100"/>
      <c r="E67" s="163"/>
    </row>
    <row r="69" spans="1:8">
      <c r="D69" s="35"/>
    </row>
    <row r="71" spans="1:8">
      <c r="A71" s="103"/>
      <c r="B71" s="104" t="s">
        <v>85</v>
      </c>
      <c r="C71" s="103"/>
      <c r="D71" s="103"/>
      <c r="E71" s="159">
        <f>SUM(E72:E104)</f>
        <v>-71595.5</v>
      </c>
    </row>
    <row r="72" spans="1:8">
      <c r="A72" s="100">
        <v>45026</v>
      </c>
      <c r="B72" s="8" t="s">
        <v>952</v>
      </c>
      <c r="C72">
        <v>1140.99</v>
      </c>
      <c r="D72" s="8" t="s">
        <v>656</v>
      </c>
      <c r="E72" s="163">
        <v>-190.14</v>
      </c>
      <c r="F72" s="63"/>
      <c r="G72" s="63"/>
      <c r="H72" s="63"/>
    </row>
    <row r="73" spans="1:8">
      <c r="A73" s="165">
        <v>45141</v>
      </c>
      <c r="B73" s="8" t="s">
        <v>953</v>
      </c>
      <c r="D73" s="35" t="s">
        <v>954</v>
      </c>
      <c r="E73" s="163">
        <v>-181.84</v>
      </c>
      <c r="F73" s="63"/>
      <c r="G73" s="63"/>
      <c r="H73" s="63"/>
    </row>
    <row r="74" spans="1:8">
      <c r="A74" s="100">
        <v>45217</v>
      </c>
      <c r="B74" s="106" t="s">
        <v>682</v>
      </c>
      <c r="C74" s="106"/>
      <c r="D74" s="8" t="s">
        <v>928</v>
      </c>
      <c r="E74" s="163">
        <v>-3974.44</v>
      </c>
      <c r="F74" s="63"/>
      <c r="G74" s="63"/>
      <c r="H74" s="63"/>
    </row>
    <row r="75" spans="1:8">
      <c r="A75" s="100">
        <v>45194</v>
      </c>
      <c r="B75" s="106" t="s">
        <v>364</v>
      </c>
      <c r="C75" s="106"/>
      <c r="D75" s="106"/>
      <c r="E75" s="163">
        <v>-59483.25</v>
      </c>
    </row>
    <row r="76" spans="1:8">
      <c r="A76" s="165">
        <v>45214</v>
      </c>
      <c r="B76" s="8" t="s">
        <v>655</v>
      </c>
      <c r="D76" s="8" t="s">
        <v>955</v>
      </c>
      <c r="E76" s="163">
        <v>-600</v>
      </c>
      <c r="F76" s="63"/>
    </row>
    <row r="77" spans="1:8">
      <c r="A77" s="165">
        <v>45198</v>
      </c>
      <c r="B77" s="8" t="s">
        <v>651</v>
      </c>
      <c r="E77" s="163">
        <v>-160</v>
      </c>
    </row>
    <row r="78" spans="1:8">
      <c r="A78" s="165">
        <v>45201</v>
      </c>
      <c r="B78" s="8" t="s">
        <v>956</v>
      </c>
      <c r="E78" s="163">
        <v>-1180</v>
      </c>
    </row>
    <row r="79" spans="1:8">
      <c r="A79" s="165">
        <v>45204</v>
      </c>
      <c r="B79" s="8" t="s">
        <v>957</v>
      </c>
      <c r="E79" s="163">
        <v>-713.25</v>
      </c>
    </row>
    <row r="80" spans="1:8">
      <c r="A80" s="165">
        <v>45204</v>
      </c>
      <c r="B80" s="8" t="s">
        <v>957</v>
      </c>
      <c r="E80" s="163">
        <v>-713.25</v>
      </c>
    </row>
    <row r="81" spans="1:5">
      <c r="A81" s="165">
        <v>45194</v>
      </c>
      <c r="B81" s="8" t="s">
        <v>651</v>
      </c>
      <c r="D81" s="35"/>
      <c r="E81" s="163">
        <v>-200</v>
      </c>
    </row>
    <row r="82" spans="1:5">
      <c r="A82" s="165">
        <v>45225</v>
      </c>
      <c r="B82" s="8" t="s">
        <v>651</v>
      </c>
      <c r="D82" s="35"/>
      <c r="E82" s="163">
        <v>-160</v>
      </c>
    </row>
    <row r="83" spans="1:5">
      <c r="A83" s="165">
        <v>45226</v>
      </c>
      <c r="B83" s="8" t="s">
        <v>651</v>
      </c>
      <c r="E83" s="163">
        <v>-200</v>
      </c>
    </row>
    <row r="84" spans="1:5">
      <c r="A84" s="165">
        <v>45227</v>
      </c>
      <c r="B84" s="8" t="s">
        <v>651</v>
      </c>
      <c r="E84" s="163">
        <v>-200</v>
      </c>
    </row>
    <row r="85" spans="1:5">
      <c r="A85" s="165">
        <v>45227</v>
      </c>
      <c r="B85" s="8" t="s">
        <v>540</v>
      </c>
      <c r="E85" s="163">
        <v>-245</v>
      </c>
    </row>
    <row r="86" spans="1:5">
      <c r="A86" s="165">
        <v>45228</v>
      </c>
      <c r="B86" s="8" t="s">
        <v>651</v>
      </c>
      <c r="E86" s="163">
        <v>-160</v>
      </c>
    </row>
    <row r="87" spans="1:5">
      <c r="A87" s="165">
        <v>45228</v>
      </c>
      <c r="B87" s="8" t="s">
        <v>958</v>
      </c>
      <c r="E87" s="163">
        <v>-33.65</v>
      </c>
    </row>
    <row r="88" spans="1:5">
      <c r="A88" s="165">
        <v>45201</v>
      </c>
      <c r="B88" s="8" t="s">
        <v>651</v>
      </c>
      <c r="E88" s="163">
        <v>-160</v>
      </c>
    </row>
    <row r="89" spans="1:5">
      <c r="A89" s="165">
        <v>45201</v>
      </c>
      <c r="B89" s="8" t="s">
        <v>129</v>
      </c>
      <c r="C89">
        <v>-16000.55</v>
      </c>
      <c r="E89" s="163"/>
    </row>
    <row r="90" spans="1:5">
      <c r="A90" s="165">
        <v>45202</v>
      </c>
      <c r="B90" s="8" t="s">
        <v>651</v>
      </c>
      <c r="E90" s="163">
        <v>-250</v>
      </c>
    </row>
    <row r="91" spans="1:5">
      <c r="A91" s="165">
        <v>45204</v>
      </c>
      <c r="B91" s="8" t="s">
        <v>651</v>
      </c>
      <c r="E91" s="163">
        <v>-300</v>
      </c>
    </row>
    <row r="92" spans="1:5">
      <c r="A92" s="165">
        <v>45205</v>
      </c>
      <c r="B92" s="8" t="s">
        <v>651</v>
      </c>
      <c r="E92" s="163">
        <v>-250</v>
      </c>
    </row>
    <row r="93" spans="1:5">
      <c r="A93" s="165">
        <v>45206</v>
      </c>
      <c r="B93" s="8" t="s">
        <v>651</v>
      </c>
      <c r="E93" s="163">
        <v>-250</v>
      </c>
    </row>
    <row r="94" spans="1:5">
      <c r="A94" s="165">
        <v>45206</v>
      </c>
      <c r="B94" s="8" t="s">
        <v>959</v>
      </c>
      <c r="E94" s="163">
        <v>-107.32</v>
      </c>
    </row>
    <row r="95" spans="1:5">
      <c r="A95" s="165">
        <v>45210</v>
      </c>
      <c r="B95" s="8" t="s">
        <v>651</v>
      </c>
      <c r="E95" s="163">
        <v>-200</v>
      </c>
    </row>
    <row r="96" spans="1:5">
      <c r="A96" s="165">
        <v>45215</v>
      </c>
      <c r="B96" s="8" t="s">
        <v>651</v>
      </c>
      <c r="E96" s="163">
        <v>-160</v>
      </c>
    </row>
    <row r="97" spans="1:5">
      <c r="A97" s="165">
        <v>45216</v>
      </c>
      <c r="B97" s="8" t="s">
        <v>651</v>
      </c>
      <c r="E97" s="163">
        <v>-160</v>
      </c>
    </row>
    <row r="98" spans="1:5">
      <c r="A98" s="165">
        <v>45217</v>
      </c>
      <c r="B98" s="8" t="s">
        <v>651</v>
      </c>
      <c r="E98" s="163">
        <v>-160</v>
      </c>
    </row>
    <row r="99" spans="1:5">
      <c r="A99" s="165">
        <v>45218</v>
      </c>
      <c r="B99" s="8" t="s">
        <v>651</v>
      </c>
      <c r="E99" s="163">
        <v>-200</v>
      </c>
    </row>
    <row r="100" spans="1:5">
      <c r="A100" s="165">
        <v>45219</v>
      </c>
      <c r="B100" s="8" t="s">
        <v>651</v>
      </c>
      <c r="E100" s="163">
        <v>-165</v>
      </c>
    </row>
    <row r="101" spans="1:5">
      <c r="A101" s="165">
        <v>45219</v>
      </c>
      <c r="B101" s="8" t="s">
        <v>958</v>
      </c>
      <c r="E101" s="163">
        <v>-93.36</v>
      </c>
    </row>
    <row r="102" spans="1:5">
      <c r="A102" s="165">
        <v>45220</v>
      </c>
      <c r="B102" s="8" t="s">
        <v>651</v>
      </c>
      <c r="E102" s="163">
        <v>-165</v>
      </c>
    </row>
    <row r="103" spans="1:5">
      <c r="A103" s="165">
        <v>45220</v>
      </c>
      <c r="B103" s="8" t="s">
        <v>960</v>
      </c>
      <c r="E103" s="163">
        <v>-80</v>
      </c>
    </row>
    <row r="104" spans="1:5">
      <c r="A104" s="165">
        <v>45221</v>
      </c>
      <c r="B104" s="8" t="s">
        <v>961</v>
      </c>
      <c r="E104" s="163">
        <v>-500</v>
      </c>
    </row>
    <row r="105" spans="1:5" ht="15">
      <c r="D105" s="105" t="s">
        <v>84</v>
      </c>
    </row>
    <row r="107" spans="1:5">
      <c r="B107" t="s">
        <v>962</v>
      </c>
      <c r="E107" s="163">
        <v>3707.01</v>
      </c>
    </row>
    <row r="108" spans="1:5">
      <c r="B108" t="s">
        <v>963</v>
      </c>
      <c r="E108" s="163">
        <v>540</v>
      </c>
    </row>
    <row r="109" spans="1:5">
      <c r="E109" s="63">
        <f>SUM(E107:E108)</f>
        <v>4247.01</v>
      </c>
    </row>
    <row r="111" spans="1:5">
      <c r="A111" s="113" t="s">
        <v>964</v>
      </c>
      <c r="B111" s="104" t="s">
        <v>136</v>
      </c>
      <c r="C111" s="103">
        <v>2023</v>
      </c>
      <c r="D111" s="158"/>
      <c r="E111" s="159">
        <f>SUM(E112:E122)</f>
        <v>709393.08499999996</v>
      </c>
    </row>
    <row r="112" spans="1:5">
      <c r="A112" s="160">
        <v>45260</v>
      </c>
      <c r="B112" s="8" t="s">
        <v>77</v>
      </c>
      <c r="C112" s="2"/>
      <c r="D112" s="2"/>
      <c r="E112" s="17">
        <v>64000</v>
      </c>
    </row>
    <row r="113" spans="1:5">
      <c r="A113" s="160">
        <f>A112</f>
        <v>45260</v>
      </c>
      <c r="B113" s="8" t="s">
        <v>965</v>
      </c>
      <c r="C113" s="2">
        <v>145000</v>
      </c>
      <c r="D113" s="2"/>
      <c r="E113" s="17">
        <v>218088</v>
      </c>
    </row>
    <row r="114" spans="1:5">
      <c r="A114" s="160">
        <f>A113</f>
        <v>45260</v>
      </c>
      <c r="B114" s="8" t="s">
        <v>300</v>
      </c>
      <c r="C114" s="2"/>
      <c r="D114" s="2"/>
      <c r="E114" s="17">
        <v>37657.35</v>
      </c>
    </row>
    <row r="115" spans="1:5">
      <c r="A115" s="160">
        <f>A114</f>
        <v>45260</v>
      </c>
      <c r="B115" s="8" t="s">
        <v>301</v>
      </c>
      <c r="C115" s="2"/>
      <c r="D115" s="2"/>
      <c r="E115" s="17">
        <v>64.31</v>
      </c>
    </row>
    <row r="116" spans="1:5">
      <c r="A116" s="160">
        <v>45260</v>
      </c>
      <c r="B116" s="8" t="s">
        <v>302</v>
      </c>
      <c r="C116" s="2"/>
      <c r="D116" s="2"/>
      <c r="E116" s="17">
        <v>3242.78</v>
      </c>
    </row>
    <row r="117" spans="1:5">
      <c r="A117" s="160">
        <v>45260</v>
      </c>
      <c r="B117" s="8" t="s">
        <v>140</v>
      </c>
      <c r="C117" s="2"/>
      <c r="D117" s="2"/>
      <c r="E117" s="17">
        <v>1000</v>
      </c>
    </row>
    <row r="118" spans="1:5">
      <c r="A118" s="160">
        <f>A115</f>
        <v>45260</v>
      </c>
      <c r="B118" s="8" t="s">
        <v>310</v>
      </c>
      <c r="C118" s="2">
        <v>1851.05</v>
      </c>
      <c r="D118" s="2">
        <v>161</v>
      </c>
      <c r="E118" s="17">
        <f>D118*C118</f>
        <v>298019.05</v>
      </c>
    </row>
    <row r="119" spans="1:5">
      <c r="A119" s="160">
        <f>A118</f>
        <v>45260</v>
      </c>
      <c r="B119" s="8" t="s">
        <v>966</v>
      </c>
      <c r="C119" s="162">
        <v>28.198699999999999</v>
      </c>
      <c r="D119" s="2">
        <v>850</v>
      </c>
      <c r="E119" s="17">
        <f>D119*C119</f>
        <v>23968.895</v>
      </c>
    </row>
    <row r="120" spans="1:5">
      <c r="A120" s="160">
        <f>A119</f>
        <v>45260</v>
      </c>
      <c r="B120" s="8" t="s">
        <v>967</v>
      </c>
      <c r="C120" s="162">
        <v>31.027000000000001</v>
      </c>
      <c r="D120" s="2">
        <v>100</v>
      </c>
      <c r="E120" s="17">
        <f>D120*C120</f>
        <v>3102.7000000000003</v>
      </c>
    </row>
    <row r="121" spans="1:5">
      <c r="A121" s="160">
        <f>A120</f>
        <v>45260</v>
      </c>
      <c r="B121" s="8" t="s">
        <v>152</v>
      </c>
      <c r="C121" s="2"/>
      <c r="D121" s="2"/>
      <c r="E121" s="17">
        <v>60000</v>
      </c>
    </row>
    <row r="122" spans="1:5">
      <c r="A122" s="160">
        <f>A121</f>
        <v>45260</v>
      </c>
      <c r="B122" s="8" t="s">
        <v>153</v>
      </c>
      <c r="C122" s="2"/>
      <c r="D122" s="2"/>
      <c r="E122" s="17">
        <v>250</v>
      </c>
    </row>
    <row r="123" spans="1:5">
      <c r="C123" s="3" t="str">
        <f>A111</f>
        <v>KASIM</v>
      </c>
      <c r="D123" s="18" t="s">
        <v>156</v>
      </c>
      <c r="E123" s="163">
        <f>H33</f>
        <v>-64817.05</v>
      </c>
    </row>
    <row r="124" spans="1:5">
      <c r="D124" s="3"/>
    </row>
    <row r="125" spans="1:5">
      <c r="D125" s="18" t="s">
        <v>155</v>
      </c>
      <c r="E125" s="9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968</v>
      </c>
      <c r="C2" s="79" t="s">
        <v>67</v>
      </c>
      <c r="D2" s="306">
        <f>SUM(D4:D32)</f>
        <v>32800</v>
      </c>
      <c r="E2" s="306">
        <f>SUM(E4:E32)</f>
        <v>-44478.170000000006</v>
      </c>
      <c r="F2" s="306">
        <f>SUM(F4:F32)</f>
        <v>23200</v>
      </c>
      <c r="G2" s="306">
        <f>SUM(G4:G32)</f>
        <v>-43968.17</v>
      </c>
      <c r="H2" s="306">
        <f>F2+G2</f>
        <v>-20768.169999999998</v>
      </c>
    </row>
    <row r="3" spans="1:8">
      <c r="B3" s="18"/>
      <c r="H3" s="63"/>
    </row>
    <row r="4" spans="1:8">
      <c r="A4" s="160">
        <v>45201</v>
      </c>
      <c r="B4" s="101" t="s">
        <v>80</v>
      </c>
      <c r="C4" s="101"/>
      <c r="D4" s="101"/>
      <c r="E4" s="63">
        <v>-400</v>
      </c>
      <c r="G4" s="63">
        <v>-327</v>
      </c>
      <c r="H4" s="63">
        <f t="shared" ref="H4:H29" si="0">H3+F4+G4</f>
        <v>-327</v>
      </c>
    </row>
    <row r="5" spans="1:8">
      <c r="A5" s="160">
        <v>45201</v>
      </c>
      <c r="B5" s="101" t="s">
        <v>81</v>
      </c>
      <c r="C5" s="101"/>
      <c r="D5" s="101"/>
      <c r="E5" s="63">
        <v>-500</v>
      </c>
      <c r="G5" s="63">
        <v>-593</v>
      </c>
      <c r="H5" s="63">
        <f t="shared" si="0"/>
        <v>-920</v>
      </c>
    </row>
    <row r="6" spans="1:8">
      <c r="A6" s="160">
        <v>45201</v>
      </c>
      <c r="B6" s="101" t="s">
        <v>969</v>
      </c>
      <c r="C6" s="101"/>
      <c r="D6" s="101"/>
      <c r="E6" s="63">
        <v>-137.19999999999999</v>
      </c>
      <c r="G6" s="63">
        <v>-137.19999999999999</v>
      </c>
      <c r="H6" s="63">
        <f t="shared" si="0"/>
        <v>-1057.2</v>
      </c>
    </row>
    <row r="7" spans="1:8">
      <c r="A7" s="160">
        <v>45201</v>
      </c>
      <c r="B7" s="101" t="s">
        <v>970</v>
      </c>
      <c r="C7" s="101"/>
      <c r="D7" s="101"/>
      <c r="E7" s="63">
        <v>-1180</v>
      </c>
      <c r="G7" s="63">
        <v>-1180</v>
      </c>
      <c r="H7" s="63">
        <f t="shared" si="0"/>
        <v>-2237.1999999999998</v>
      </c>
    </row>
    <row r="8" spans="1:8">
      <c r="A8" s="160">
        <v>45201</v>
      </c>
      <c r="B8" s="101" t="s">
        <v>971</v>
      </c>
      <c r="C8" s="101"/>
      <c r="D8" s="101"/>
      <c r="E8" s="63">
        <v>-250</v>
      </c>
      <c r="G8" s="63">
        <v>-250</v>
      </c>
      <c r="H8" s="63">
        <f t="shared" si="0"/>
        <v>-2487.1999999999998</v>
      </c>
    </row>
    <row r="9" spans="1:8">
      <c r="B9" s="178" t="s">
        <v>72</v>
      </c>
      <c r="D9" s="63"/>
      <c r="E9" s="63">
        <f>D45*-1</f>
        <v>-33.729999999999997</v>
      </c>
      <c r="F9" s="63"/>
      <c r="G9" s="63">
        <f>E9</f>
        <v>-33.729999999999997</v>
      </c>
      <c r="H9" s="63">
        <f t="shared" si="0"/>
        <v>-2520.9299999999998</v>
      </c>
    </row>
    <row r="10" spans="1:8">
      <c r="B10" s="178" t="s">
        <v>68</v>
      </c>
      <c r="E10" s="63">
        <f>E51</f>
        <v>-6481.6100000000006</v>
      </c>
      <c r="F10" s="63"/>
      <c r="G10" s="63">
        <v>-6481.61</v>
      </c>
      <c r="H10" s="63">
        <f t="shared" si="0"/>
        <v>-9002.5399999999991</v>
      </c>
    </row>
    <row r="11" spans="1:8">
      <c r="B11" s="178" t="s">
        <v>69</v>
      </c>
      <c r="E11" s="63">
        <f>E68</f>
        <v>-16000.550000000001</v>
      </c>
      <c r="G11" s="63">
        <v>-16000.55</v>
      </c>
      <c r="H11" s="63">
        <f t="shared" si="0"/>
        <v>-25003.089999999997</v>
      </c>
    </row>
    <row r="12" spans="1:8">
      <c r="A12" s="160">
        <v>44933</v>
      </c>
      <c r="B12" s="101" t="s">
        <v>972</v>
      </c>
      <c r="C12" s="101"/>
      <c r="D12" s="101"/>
      <c r="E12" s="63">
        <v>-5375</v>
      </c>
      <c r="G12" s="63">
        <v>-5375</v>
      </c>
      <c r="H12" s="63">
        <f t="shared" si="0"/>
        <v>-30378.089999999997</v>
      </c>
    </row>
    <row r="13" spans="1:8">
      <c r="B13" s="101" t="s">
        <v>973</v>
      </c>
      <c r="C13" s="101"/>
      <c r="D13" s="101"/>
      <c r="E13" s="63">
        <v>-2125</v>
      </c>
      <c r="G13" s="63">
        <v>-2125</v>
      </c>
      <c r="H13" s="63">
        <f t="shared" si="0"/>
        <v>-32503.089999999997</v>
      </c>
    </row>
    <row r="14" spans="1:8">
      <c r="B14" s="101" t="s">
        <v>974</v>
      </c>
      <c r="C14" s="101"/>
      <c r="D14" s="101"/>
      <c r="E14" s="63">
        <v>-945.08</v>
      </c>
      <c r="F14" s="163"/>
      <c r="G14" s="63">
        <v>-945.08</v>
      </c>
      <c r="H14" s="63">
        <f t="shared" si="0"/>
        <v>-33448.17</v>
      </c>
    </row>
    <row r="15" spans="1:8">
      <c r="B15" s="101" t="s">
        <v>75</v>
      </c>
      <c r="C15" s="101" t="s">
        <v>323</v>
      </c>
      <c r="D15" s="101"/>
      <c r="E15" s="63">
        <v>-150</v>
      </c>
      <c r="F15" s="163"/>
      <c r="G15" s="63"/>
      <c r="H15" s="63">
        <f t="shared" si="0"/>
        <v>-33448.17</v>
      </c>
    </row>
    <row r="16" spans="1:8">
      <c r="B16" s="106" t="s">
        <v>73</v>
      </c>
      <c r="C16" s="106" t="s">
        <v>323</v>
      </c>
      <c r="D16" s="106"/>
      <c r="E16" s="63">
        <v>-300</v>
      </c>
      <c r="F16" s="163"/>
      <c r="G16" s="63"/>
      <c r="H16" s="63">
        <f t="shared" si="0"/>
        <v>-33448.17</v>
      </c>
    </row>
    <row r="17" spans="1:8">
      <c r="B17" s="106" t="s">
        <v>74</v>
      </c>
      <c r="C17" s="106" t="s">
        <v>323</v>
      </c>
      <c r="D17" s="106"/>
      <c r="E17" s="63">
        <v>-100</v>
      </c>
      <c r="F17" s="163"/>
      <c r="G17" s="63"/>
      <c r="H17" s="63">
        <f t="shared" si="0"/>
        <v>-33448.17</v>
      </c>
    </row>
    <row r="18" spans="1:8">
      <c r="B18" t="s">
        <v>77</v>
      </c>
      <c r="E18" s="63">
        <v>-3500</v>
      </c>
      <c r="F18" s="63"/>
      <c r="G18" s="63">
        <v>-3510</v>
      </c>
      <c r="H18" s="63">
        <f t="shared" si="0"/>
        <v>-36958.17</v>
      </c>
    </row>
    <row r="19" spans="1:8">
      <c r="B19" t="s">
        <v>975</v>
      </c>
      <c r="E19" s="63"/>
      <c r="F19" s="63"/>
      <c r="G19" s="63"/>
      <c r="H19" s="63">
        <f t="shared" si="0"/>
        <v>-36958.17</v>
      </c>
    </row>
    <row r="20" spans="1:8">
      <c r="B20" t="s">
        <v>78</v>
      </c>
      <c r="E20" s="63">
        <v>-3500</v>
      </c>
      <c r="F20" s="63"/>
      <c r="G20" s="63">
        <v>-3510</v>
      </c>
      <c r="H20" s="63">
        <f t="shared" si="0"/>
        <v>-40468.17</v>
      </c>
    </row>
    <row r="21" spans="1:8">
      <c r="B21" t="s">
        <v>79</v>
      </c>
      <c r="E21" s="63">
        <v>-3500</v>
      </c>
      <c r="F21" s="63"/>
      <c r="G21" s="63">
        <v>-3500</v>
      </c>
      <c r="H21" s="63">
        <f t="shared" si="0"/>
        <v>-43968.17</v>
      </c>
    </row>
    <row r="22" spans="1:8">
      <c r="E22" s="163"/>
      <c r="F22" s="63"/>
      <c r="G22" s="63"/>
      <c r="H22" s="63">
        <f t="shared" si="0"/>
        <v>-43968.17</v>
      </c>
    </row>
    <row r="23" spans="1:8">
      <c r="B23" t="s">
        <v>76</v>
      </c>
      <c r="D23" s="186">
        <v>7500</v>
      </c>
      <c r="F23" s="63">
        <v>7500</v>
      </c>
      <c r="G23" s="63"/>
      <c r="H23" s="63">
        <f t="shared" si="0"/>
        <v>-36468.17</v>
      </c>
    </row>
    <row r="24" spans="1:8">
      <c r="A24" s="160">
        <v>45232</v>
      </c>
      <c r="B24" s="8" t="s">
        <v>976</v>
      </c>
      <c r="C24" s="8" t="s">
        <v>940</v>
      </c>
      <c r="D24" s="186">
        <v>2800</v>
      </c>
      <c r="F24" s="63">
        <v>2800</v>
      </c>
      <c r="G24" s="63"/>
      <c r="H24" s="63">
        <f t="shared" si="0"/>
        <v>-33668.17</v>
      </c>
    </row>
    <row r="25" spans="1:8">
      <c r="B25" t="s">
        <v>977</v>
      </c>
      <c r="D25" s="186">
        <v>6500</v>
      </c>
      <c r="F25" s="63">
        <v>6500</v>
      </c>
      <c r="G25" s="63"/>
      <c r="H25" s="63">
        <f t="shared" si="0"/>
        <v>-27168.17</v>
      </c>
    </row>
    <row r="26" spans="1:8">
      <c r="A26" s="160">
        <v>45236</v>
      </c>
      <c r="B26" s="8" t="s">
        <v>978</v>
      </c>
      <c r="D26" s="186">
        <v>6000</v>
      </c>
      <c r="F26" s="63">
        <v>6000</v>
      </c>
      <c r="H26" s="63">
        <f t="shared" si="0"/>
        <v>-21168.17</v>
      </c>
    </row>
    <row r="27" spans="1:8">
      <c r="A27" s="160">
        <v>45229</v>
      </c>
      <c r="B27" s="8" t="s">
        <v>945</v>
      </c>
      <c r="D27" s="186">
        <v>10000</v>
      </c>
      <c r="F27" s="63"/>
      <c r="G27" s="63"/>
      <c r="H27" s="63">
        <f t="shared" si="0"/>
        <v>-21168.17</v>
      </c>
    </row>
    <row r="28" spans="1:8">
      <c r="A28" s="160"/>
      <c r="B28" s="8" t="s">
        <v>979</v>
      </c>
      <c r="D28" s="102"/>
      <c r="F28" s="63"/>
      <c r="G28" s="63"/>
      <c r="H28" s="63">
        <f t="shared" si="0"/>
        <v>-21168.17</v>
      </c>
    </row>
    <row r="29" spans="1:8">
      <c r="A29" s="160">
        <v>45227</v>
      </c>
      <c r="B29" s="8" t="s">
        <v>980</v>
      </c>
      <c r="D29" s="102"/>
      <c r="F29" s="63">
        <v>400</v>
      </c>
      <c r="H29" s="63">
        <f t="shared" si="0"/>
        <v>-20768.169999999998</v>
      </c>
    </row>
    <row r="30" spans="1:8">
      <c r="D30" s="63"/>
      <c r="F30" s="63"/>
      <c r="G30" s="63"/>
      <c r="H30" s="63"/>
    </row>
    <row r="31" spans="1:8" ht="15.75">
      <c r="B31" s="179"/>
      <c r="F31" s="63"/>
      <c r="G31" s="63"/>
      <c r="H31" s="63"/>
    </row>
    <row r="32" spans="1:8">
      <c r="E32" s="63"/>
      <c r="G32" s="63"/>
      <c r="H32" s="63"/>
    </row>
    <row r="33" spans="1:8">
      <c r="B33" t="s">
        <v>325</v>
      </c>
      <c r="E33" s="63"/>
      <c r="G33" s="63"/>
      <c r="H33" s="63"/>
    </row>
    <row r="34" spans="1:8">
      <c r="A34" s="103" t="s">
        <v>326</v>
      </c>
      <c r="B34" s="103"/>
      <c r="C34" s="103"/>
      <c r="D34" s="103"/>
      <c r="E34" s="158"/>
      <c r="G34" s="63"/>
      <c r="H34" s="63"/>
    </row>
    <row r="35" spans="1:8">
      <c r="A35" s="312"/>
      <c r="B35" s="312"/>
      <c r="C35" s="312"/>
      <c r="D35" s="312"/>
      <c r="E35" s="313"/>
      <c r="H35" s="63"/>
    </row>
    <row r="36" spans="1:8">
      <c r="A36" s="312"/>
      <c r="B36" s="312"/>
      <c r="C36" s="314"/>
      <c r="D36" s="312"/>
      <c r="E36" s="312"/>
      <c r="H36" s="63"/>
    </row>
    <row r="37" spans="1:8">
      <c r="A37" s="312"/>
      <c r="B37" s="312"/>
      <c r="C37" s="314"/>
      <c r="D37" s="312"/>
      <c r="E37" s="312"/>
      <c r="H37" s="63"/>
    </row>
    <row r="38" spans="1:8">
      <c r="C38" s="171"/>
      <c r="H38" s="63"/>
    </row>
    <row r="39" spans="1:8">
      <c r="A39" s="315">
        <v>44929</v>
      </c>
      <c r="B39" s="173" t="s">
        <v>327</v>
      </c>
      <c r="C39" s="103"/>
      <c r="D39" s="201">
        <f>SUM(D40:D47)</f>
        <v>3425.3799999999997</v>
      </c>
      <c r="E39" s="201">
        <f>SUM(E40:E47)</f>
        <v>3422.73</v>
      </c>
      <c r="H39" s="63"/>
    </row>
    <row r="40" spans="1:8">
      <c r="B40" t="s">
        <v>920</v>
      </c>
      <c r="D40">
        <v>578.66</v>
      </c>
      <c r="E40" s="63">
        <v>578</v>
      </c>
      <c r="F40" s="63"/>
      <c r="G40" s="63"/>
    </row>
    <row r="41" spans="1:8">
      <c r="B41" t="s">
        <v>329</v>
      </c>
      <c r="D41">
        <v>1237.75</v>
      </c>
      <c r="E41" s="63">
        <v>1237</v>
      </c>
      <c r="F41" s="63"/>
      <c r="G41" s="63"/>
    </row>
    <row r="42" spans="1:8">
      <c r="B42" t="s">
        <v>330</v>
      </c>
      <c r="D42">
        <v>155.32</v>
      </c>
      <c r="E42">
        <v>155</v>
      </c>
      <c r="F42" s="63"/>
      <c r="G42" s="63"/>
    </row>
    <row r="43" spans="1:8">
      <c r="B43" t="s">
        <v>331</v>
      </c>
      <c r="D43">
        <v>1102.24</v>
      </c>
      <c r="E43">
        <v>1102</v>
      </c>
      <c r="F43" s="63"/>
      <c r="G43" s="63"/>
    </row>
    <row r="44" spans="1:8">
      <c r="B44" t="s">
        <v>332</v>
      </c>
      <c r="D44">
        <v>317.68</v>
      </c>
      <c r="E44">
        <v>317</v>
      </c>
      <c r="F44" s="63"/>
      <c r="G44" s="63"/>
    </row>
    <row r="45" spans="1:8">
      <c r="B45" t="s">
        <v>333</v>
      </c>
      <c r="C45" s="106"/>
      <c r="D45" s="106">
        <v>33.729999999999997</v>
      </c>
      <c r="E45">
        <v>33.729999999999997</v>
      </c>
      <c r="F45" s="63"/>
      <c r="G45" s="63"/>
    </row>
    <row r="46" spans="1:8">
      <c r="C46" s="106"/>
      <c r="E46" s="106"/>
      <c r="F46" s="63"/>
      <c r="G46" s="63"/>
    </row>
    <row r="47" spans="1:8">
      <c r="C47" s="106"/>
      <c r="D47" s="106"/>
      <c r="E47" s="163"/>
      <c r="F47" s="63"/>
      <c r="G47" s="63"/>
    </row>
    <row r="49" spans="1:8">
      <c r="B49" s="17"/>
    </row>
    <row r="50" spans="1:8">
      <c r="B50" s="102"/>
    </row>
    <row r="51" spans="1:8">
      <c r="A51" s="103"/>
      <c r="B51" s="104" t="s">
        <v>83</v>
      </c>
      <c r="C51" s="103"/>
      <c r="D51" s="158"/>
      <c r="E51" s="159">
        <f>SUM(E52:E65)</f>
        <v>-6481.6100000000006</v>
      </c>
    </row>
    <row r="52" spans="1:8">
      <c r="A52" s="160">
        <v>44995</v>
      </c>
      <c r="B52" s="8" t="s">
        <v>771</v>
      </c>
      <c r="C52">
        <v>613.91</v>
      </c>
      <c r="D52" s="35" t="s">
        <v>981</v>
      </c>
      <c r="E52" s="163">
        <v>-61.39</v>
      </c>
      <c r="G52" s="63"/>
      <c r="H52" s="63"/>
    </row>
    <row r="53" spans="1:8">
      <c r="A53" s="160">
        <v>45043</v>
      </c>
      <c r="B53" s="106" t="s">
        <v>949</v>
      </c>
      <c r="C53" s="106">
        <v>3299</v>
      </c>
      <c r="D53" s="35" t="s">
        <v>470</v>
      </c>
      <c r="E53" s="163">
        <v>-549.83000000000004</v>
      </c>
      <c r="F53" s="63"/>
      <c r="G53" s="63"/>
      <c r="H53" s="63"/>
    </row>
    <row r="54" spans="1:8">
      <c r="A54" s="160">
        <v>45043</v>
      </c>
      <c r="B54" s="106" t="s">
        <v>723</v>
      </c>
      <c r="C54" s="106">
        <v>10764.57</v>
      </c>
      <c r="D54" s="35" t="s">
        <v>725</v>
      </c>
      <c r="E54" s="163">
        <v>-1196.06</v>
      </c>
      <c r="F54" s="63"/>
      <c r="G54" s="63"/>
      <c r="H54" s="63"/>
    </row>
    <row r="55" spans="1:8">
      <c r="A55" s="160">
        <v>45044</v>
      </c>
      <c r="B55" s="8" t="s">
        <v>951</v>
      </c>
      <c r="C55" s="106">
        <v>3123.29</v>
      </c>
      <c r="D55" s="204" t="s">
        <v>470</v>
      </c>
      <c r="E55" s="163">
        <v>-520.54999999999995</v>
      </c>
      <c r="F55" s="63"/>
      <c r="G55" s="63"/>
      <c r="H55" s="63"/>
    </row>
    <row r="56" spans="1:8">
      <c r="A56" s="160">
        <v>45078</v>
      </c>
      <c r="B56" s="106" t="s">
        <v>924</v>
      </c>
      <c r="D56" s="204" t="s">
        <v>513</v>
      </c>
      <c r="E56" s="163">
        <v>-666.67</v>
      </c>
      <c r="F56" s="63"/>
      <c r="G56" s="63"/>
      <c r="H56" s="63"/>
    </row>
    <row r="57" spans="1:8">
      <c r="A57" s="160">
        <v>45168</v>
      </c>
      <c r="B57" s="106" t="s">
        <v>483</v>
      </c>
      <c r="D57" s="204"/>
      <c r="E57" s="163">
        <v>-250</v>
      </c>
      <c r="F57" s="63"/>
      <c r="G57" s="63"/>
      <c r="H57" s="63"/>
    </row>
    <row r="58" spans="1:8">
      <c r="A58" s="160">
        <v>45077</v>
      </c>
      <c r="B58" s="106" t="s">
        <v>982</v>
      </c>
      <c r="C58" s="106">
        <v>148.6</v>
      </c>
      <c r="D58" s="204" t="s">
        <v>983</v>
      </c>
      <c r="E58" s="163">
        <v>-37.15</v>
      </c>
      <c r="F58" s="63"/>
      <c r="G58" s="63"/>
      <c r="H58" s="63"/>
    </row>
    <row r="59" spans="1:8">
      <c r="A59" s="160">
        <v>45077</v>
      </c>
      <c r="B59" s="106" t="s">
        <v>984</v>
      </c>
      <c r="C59" s="106">
        <v>244.8</v>
      </c>
      <c r="D59" s="204" t="s">
        <v>983</v>
      </c>
      <c r="E59" s="163">
        <v>-61.2</v>
      </c>
      <c r="F59" s="63"/>
      <c r="G59" s="63"/>
      <c r="H59" s="63"/>
    </row>
    <row r="60" spans="1:8">
      <c r="A60" s="160">
        <v>45077</v>
      </c>
      <c r="B60" s="106" t="s">
        <v>985</v>
      </c>
      <c r="C60" s="106">
        <v>1204.5</v>
      </c>
      <c r="D60" s="204" t="s">
        <v>983</v>
      </c>
      <c r="E60" s="163">
        <v>-301.13</v>
      </c>
      <c r="F60" s="63"/>
      <c r="G60" s="63"/>
      <c r="H60" s="63"/>
    </row>
    <row r="61" spans="1:8">
      <c r="A61" s="160">
        <v>45077</v>
      </c>
      <c r="B61" s="8" t="s">
        <v>986</v>
      </c>
      <c r="C61" s="106">
        <v>532.6</v>
      </c>
      <c r="D61" s="204" t="s">
        <v>983</v>
      </c>
      <c r="E61" s="163">
        <v>-133.15</v>
      </c>
      <c r="F61" s="63"/>
      <c r="G61" s="63"/>
      <c r="H61" s="63"/>
    </row>
    <row r="62" spans="1:8">
      <c r="A62" s="160">
        <v>45173</v>
      </c>
      <c r="B62" s="106" t="s">
        <v>987</v>
      </c>
      <c r="C62" s="106">
        <v>7338.29</v>
      </c>
      <c r="D62" s="106"/>
      <c r="E62" s="163"/>
      <c r="F62" s="63"/>
      <c r="G62" s="63"/>
      <c r="H62" s="63"/>
    </row>
    <row r="63" spans="1:8">
      <c r="A63" s="160">
        <v>45187</v>
      </c>
      <c r="B63" s="106" t="s">
        <v>560</v>
      </c>
      <c r="C63" s="106">
        <v>7648.33</v>
      </c>
      <c r="D63" s="204" t="s">
        <v>988</v>
      </c>
      <c r="E63" s="163">
        <v>-849.81</v>
      </c>
      <c r="F63" s="63"/>
    </row>
    <row r="64" spans="1:8">
      <c r="A64" s="160">
        <v>45187</v>
      </c>
      <c r="B64" s="106" t="s">
        <v>989</v>
      </c>
      <c r="C64" s="106">
        <v>11128</v>
      </c>
      <c r="D64" s="204" t="s">
        <v>644</v>
      </c>
      <c r="E64" s="163">
        <v>-1854.67</v>
      </c>
      <c r="F64" s="63"/>
    </row>
    <row r="66" spans="1:9" ht="15">
      <c r="D66" s="105" t="s">
        <v>84</v>
      </c>
    </row>
    <row r="68" spans="1:9">
      <c r="A68" s="103"/>
      <c r="B68" s="104" t="s">
        <v>85</v>
      </c>
      <c r="C68" s="103"/>
      <c r="D68" s="103"/>
      <c r="E68" s="159">
        <f>SUM(E69:E104)</f>
        <v>-16000.550000000001</v>
      </c>
    </row>
    <row r="69" spans="1:9">
      <c r="A69" s="160">
        <v>45026</v>
      </c>
      <c r="B69" s="8" t="s">
        <v>952</v>
      </c>
      <c r="C69">
        <v>1140.99</v>
      </c>
      <c r="D69" s="8" t="s">
        <v>684</v>
      </c>
      <c r="E69" s="163">
        <v>-190.17</v>
      </c>
      <c r="F69" s="63"/>
      <c r="G69" s="63"/>
      <c r="H69" s="63"/>
    </row>
    <row r="70" spans="1:9">
      <c r="A70" s="160">
        <v>45141</v>
      </c>
      <c r="B70" s="8" t="s">
        <v>953</v>
      </c>
      <c r="D70" s="35" t="s">
        <v>990</v>
      </c>
      <c r="E70" s="163">
        <v>-181.83</v>
      </c>
      <c r="F70" s="63"/>
      <c r="G70" s="63"/>
      <c r="H70" s="63"/>
    </row>
    <row r="71" spans="1:9">
      <c r="A71" s="160">
        <v>45187</v>
      </c>
      <c r="B71" s="106" t="s">
        <v>991</v>
      </c>
      <c r="C71" s="106"/>
      <c r="D71" s="8" t="s">
        <v>955</v>
      </c>
      <c r="E71" s="163">
        <v>-3974.44</v>
      </c>
      <c r="G71" s="63"/>
      <c r="H71" s="63"/>
      <c r="I71" s="63"/>
    </row>
    <row r="72" spans="1:9">
      <c r="A72" s="160">
        <v>45187</v>
      </c>
      <c r="B72" s="106" t="s">
        <v>992</v>
      </c>
      <c r="C72" s="106"/>
      <c r="D72" s="106"/>
      <c r="E72" s="163">
        <v>-573.17999999999995</v>
      </c>
      <c r="F72" s="63"/>
      <c r="G72" s="63"/>
      <c r="H72" s="63"/>
    </row>
    <row r="73" spans="1:9">
      <c r="A73" s="160">
        <v>45163</v>
      </c>
      <c r="B73" s="106"/>
      <c r="C73" s="106"/>
      <c r="D73" s="106"/>
      <c r="E73" s="163">
        <v>-525</v>
      </c>
      <c r="F73" s="63"/>
      <c r="G73" s="63"/>
    </row>
    <row r="74" spans="1:9">
      <c r="A74" s="160">
        <v>45163</v>
      </c>
      <c r="B74" s="106"/>
      <c r="C74" s="106"/>
      <c r="D74" s="106"/>
      <c r="E74" s="163">
        <v>-200</v>
      </c>
      <c r="F74" s="63"/>
    </row>
    <row r="75" spans="1:9">
      <c r="A75" s="160">
        <v>45164</v>
      </c>
      <c r="B75" s="106"/>
      <c r="C75" s="106"/>
      <c r="D75" s="106"/>
      <c r="E75" s="163">
        <v>-200</v>
      </c>
      <c r="F75" s="63"/>
    </row>
    <row r="76" spans="1:9">
      <c r="A76" s="160">
        <v>45165</v>
      </c>
      <c r="B76" s="106" t="s">
        <v>993</v>
      </c>
      <c r="C76" s="106"/>
      <c r="D76" s="106"/>
      <c r="E76" s="163">
        <v>-200</v>
      </c>
      <c r="F76" s="63"/>
    </row>
    <row r="77" spans="1:9">
      <c r="A77" s="160">
        <v>45165</v>
      </c>
      <c r="B77" s="106" t="s">
        <v>994</v>
      </c>
      <c r="C77" s="106"/>
      <c r="D77" s="106"/>
      <c r="E77" s="163">
        <v>-300</v>
      </c>
      <c r="F77" s="63"/>
    </row>
    <row r="78" spans="1:9">
      <c r="A78" s="160">
        <v>45167</v>
      </c>
      <c r="B78" s="106" t="s">
        <v>995</v>
      </c>
      <c r="C78" s="106"/>
      <c r="D78" s="106"/>
      <c r="E78" s="163">
        <v>-70</v>
      </c>
      <c r="F78" s="63"/>
      <c r="G78" s="63"/>
      <c r="H78" s="63"/>
    </row>
    <row r="79" spans="1:9">
      <c r="A79" s="160">
        <v>45169</v>
      </c>
      <c r="B79" s="106" t="s">
        <v>996</v>
      </c>
      <c r="C79" s="106"/>
      <c r="D79" s="106"/>
      <c r="E79" s="163">
        <v>-300</v>
      </c>
      <c r="F79" s="63"/>
      <c r="G79" s="63"/>
      <c r="H79" s="63"/>
    </row>
    <row r="80" spans="1:9">
      <c r="A80" s="160">
        <v>45169</v>
      </c>
      <c r="B80" s="106"/>
      <c r="C80" s="106"/>
      <c r="D80" s="106"/>
      <c r="E80" s="163">
        <v>-200</v>
      </c>
      <c r="F80" s="63"/>
      <c r="G80" s="63"/>
      <c r="H80" s="63"/>
    </row>
    <row r="81" spans="1:8">
      <c r="A81" s="160">
        <v>45170</v>
      </c>
      <c r="B81" s="106" t="s">
        <v>129</v>
      </c>
      <c r="C81" s="106">
        <v>-3842.65</v>
      </c>
      <c r="D81" s="106"/>
      <c r="E81" s="163"/>
      <c r="F81" s="63"/>
      <c r="G81" s="63"/>
      <c r="H81" s="63"/>
    </row>
    <row r="82" spans="1:8">
      <c r="A82" s="160">
        <v>45170</v>
      </c>
      <c r="B82" s="106"/>
      <c r="C82" s="106"/>
      <c r="D82" s="106"/>
      <c r="E82" s="163">
        <v>-200</v>
      </c>
      <c r="F82" s="63"/>
      <c r="G82" s="63"/>
      <c r="H82" s="63"/>
    </row>
    <row r="83" spans="1:8">
      <c r="A83" s="160">
        <v>45171</v>
      </c>
      <c r="B83" s="106"/>
      <c r="C83" s="106"/>
      <c r="D83" s="106"/>
      <c r="E83" s="163">
        <v>-180</v>
      </c>
      <c r="F83" s="63"/>
      <c r="G83" s="63"/>
      <c r="H83" s="63"/>
    </row>
    <row r="84" spans="1:8">
      <c r="A84" s="160">
        <v>45172</v>
      </c>
      <c r="B84" s="106" t="s">
        <v>409</v>
      </c>
      <c r="C84" s="106"/>
      <c r="D84" s="106"/>
      <c r="E84" s="163">
        <v>-339.4</v>
      </c>
      <c r="F84" s="63"/>
      <c r="G84" s="63"/>
      <c r="H84" s="63"/>
    </row>
    <row r="85" spans="1:8">
      <c r="A85" s="160">
        <v>45174</v>
      </c>
      <c r="B85" s="106"/>
      <c r="C85" s="106"/>
      <c r="D85" s="106"/>
      <c r="E85" s="163">
        <v>-250</v>
      </c>
      <c r="F85" s="63"/>
      <c r="G85" s="63"/>
      <c r="H85" s="63"/>
    </row>
    <row r="86" spans="1:8">
      <c r="A86" s="160">
        <v>45175</v>
      </c>
      <c r="B86" s="107"/>
      <c r="E86" s="163">
        <v>-200</v>
      </c>
    </row>
    <row r="87" spans="1:8">
      <c r="A87" s="160">
        <v>45177</v>
      </c>
      <c r="E87" s="163">
        <v>-200</v>
      </c>
    </row>
    <row r="88" spans="1:8">
      <c r="A88" s="160">
        <v>45179</v>
      </c>
      <c r="B88" s="8" t="s">
        <v>405</v>
      </c>
      <c r="E88" s="163">
        <v>-529.98</v>
      </c>
    </row>
    <row r="89" spans="1:8">
      <c r="A89" s="160">
        <v>45179</v>
      </c>
      <c r="B89" s="8" t="s">
        <v>405</v>
      </c>
      <c r="E89" s="163">
        <v>-2351.9499999999998</v>
      </c>
    </row>
    <row r="90" spans="1:8">
      <c r="A90" s="160">
        <v>45180</v>
      </c>
      <c r="B90" s="8" t="s">
        <v>997</v>
      </c>
      <c r="E90" s="163">
        <v>-200</v>
      </c>
    </row>
    <row r="91" spans="1:8">
      <c r="A91" s="160">
        <v>45181</v>
      </c>
      <c r="E91" s="163">
        <v>-165</v>
      </c>
    </row>
    <row r="92" spans="1:8">
      <c r="A92" s="160">
        <v>45182</v>
      </c>
      <c r="B92" s="8" t="s">
        <v>997</v>
      </c>
      <c r="D92" s="35"/>
      <c r="E92" s="163">
        <v>-200</v>
      </c>
    </row>
    <row r="93" spans="1:8">
      <c r="A93" s="160">
        <v>45183</v>
      </c>
      <c r="D93" s="35"/>
      <c r="E93" s="163">
        <v>-200</v>
      </c>
    </row>
    <row r="94" spans="1:8">
      <c r="A94" s="160">
        <v>45184</v>
      </c>
      <c r="B94" s="8" t="s">
        <v>998</v>
      </c>
      <c r="E94" s="163">
        <v>-578</v>
      </c>
    </row>
    <row r="95" spans="1:8">
      <c r="A95" s="160">
        <v>45184</v>
      </c>
      <c r="B95" s="8" t="s">
        <v>999</v>
      </c>
      <c r="E95" s="163">
        <v>-1000</v>
      </c>
    </row>
    <row r="96" spans="1:8">
      <c r="A96" s="160">
        <v>45184</v>
      </c>
      <c r="E96" s="163">
        <v>-250</v>
      </c>
    </row>
    <row r="97" spans="1:5">
      <c r="A97" s="160">
        <v>45185</v>
      </c>
      <c r="E97" s="163">
        <v>-200</v>
      </c>
    </row>
    <row r="98" spans="1:5">
      <c r="A98" s="160">
        <v>45187</v>
      </c>
      <c r="E98" s="163">
        <v>-160</v>
      </c>
    </row>
    <row r="99" spans="1:5">
      <c r="A99" s="160">
        <v>45188</v>
      </c>
      <c r="E99" s="163">
        <v>-250</v>
      </c>
    </row>
    <row r="100" spans="1:5">
      <c r="A100" s="160">
        <v>45189</v>
      </c>
      <c r="E100" s="163">
        <v>-160</v>
      </c>
    </row>
    <row r="101" spans="1:5">
      <c r="A101" s="160">
        <v>45191</v>
      </c>
      <c r="B101" s="8" t="s">
        <v>1000</v>
      </c>
      <c r="E101" s="163">
        <v>-230</v>
      </c>
    </row>
    <row r="102" spans="1:5">
      <c r="A102" s="160">
        <v>45191</v>
      </c>
      <c r="B102" s="8" t="s">
        <v>1001</v>
      </c>
      <c r="E102" s="163">
        <v>-382</v>
      </c>
    </row>
    <row r="103" spans="1:5">
      <c r="A103" s="160">
        <v>45191</v>
      </c>
      <c r="B103" s="8" t="s">
        <v>1002</v>
      </c>
      <c r="E103" s="163">
        <v>-699.6</v>
      </c>
    </row>
    <row r="104" spans="1:5">
      <c r="A104" s="160">
        <v>45192</v>
      </c>
      <c r="B104" s="8" t="s">
        <v>134</v>
      </c>
      <c r="E104" s="163">
        <v>-160</v>
      </c>
    </row>
    <row r="106" spans="1:5" ht="15">
      <c r="D106" s="105" t="s">
        <v>84</v>
      </c>
    </row>
    <row r="111" spans="1:5">
      <c r="A111" s="113" t="s">
        <v>1003</v>
      </c>
      <c r="B111" s="104" t="s">
        <v>136</v>
      </c>
      <c r="C111" s="103">
        <v>2023</v>
      </c>
      <c r="D111" s="158"/>
      <c r="E111" s="159">
        <f>SUM(E112:E121)</f>
        <v>610649.73</v>
      </c>
    </row>
    <row r="112" spans="1:5">
      <c r="A112" s="160">
        <v>45230</v>
      </c>
      <c r="B112" s="8" t="s">
        <v>77</v>
      </c>
      <c r="C112" s="2"/>
      <c r="D112" s="2"/>
      <c r="E112" s="17">
        <v>64000</v>
      </c>
    </row>
    <row r="113" spans="1:5">
      <c r="A113" s="160">
        <v>45230</v>
      </c>
      <c r="B113" s="8" t="s">
        <v>1004</v>
      </c>
      <c r="C113" s="2"/>
      <c r="D113" s="2"/>
      <c r="E113" s="17">
        <v>73088</v>
      </c>
    </row>
    <row r="114" spans="1:5">
      <c r="A114" s="160">
        <v>45230</v>
      </c>
      <c r="B114" s="8" t="s">
        <v>300</v>
      </c>
      <c r="C114" s="2"/>
      <c r="D114" s="2"/>
      <c r="E114" s="17">
        <v>20950.34</v>
      </c>
    </row>
    <row r="115" spans="1:5">
      <c r="A115" s="160">
        <v>45230</v>
      </c>
      <c r="B115" s="8" t="s">
        <v>301</v>
      </c>
      <c r="C115" s="2"/>
      <c r="D115" s="2"/>
      <c r="E115" s="17">
        <v>73011.39</v>
      </c>
    </row>
    <row r="116" spans="1:5">
      <c r="A116" s="160">
        <v>45230</v>
      </c>
      <c r="B116" s="8" t="s">
        <v>1005</v>
      </c>
      <c r="C116" s="2">
        <v>1800</v>
      </c>
      <c r="D116" s="2">
        <v>111</v>
      </c>
      <c r="E116" s="17">
        <f>D116*C116</f>
        <v>199800</v>
      </c>
    </row>
    <row r="117" spans="1:5">
      <c r="B117" t="s">
        <v>1006</v>
      </c>
      <c r="C117" s="2">
        <v>1800</v>
      </c>
      <c r="D117" s="2">
        <v>50</v>
      </c>
      <c r="E117" s="17">
        <f>D117*C117</f>
        <v>90000</v>
      </c>
    </row>
    <row r="118" spans="1:5">
      <c r="A118" s="160">
        <v>45230</v>
      </c>
      <c r="B118" s="8" t="s">
        <v>1007</v>
      </c>
      <c r="C118" s="162">
        <v>28</v>
      </c>
      <c r="D118" s="2">
        <v>850</v>
      </c>
      <c r="E118" s="17">
        <f>D118*C118</f>
        <v>23800</v>
      </c>
    </row>
    <row r="119" spans="1:5">
      <c r="A119" s="160">
        <v>45230</v>
      </c>
      <c r="B119" s="8" t="s">
        <v>1008</v>
      </c>
      <c r="C119" s="162">
        <v>30</v>
      </c>
      <c r="D119" s="2">
        <v>100</v>
      </c>
      <c r="E119" s="17">
        <f>D119*C119</f>
        <v>3000</v>
      </c>
    </row>
    <row r="120" spans="1:5">
      <c r="A120" s="160">
        <v>45230</v>
      </c>
      <c r="B120" s="8" t="s">
        <v>152</v>
      </c>
      <c r="C120" s="2"/>
      <c r="D120" s="2"/>
      <c r="E120" s="17">
        <v>60000</v>
      </c>
    </row>
    <row r="121" spans="1:5">
      <c r="A121" s="160">
        <v>45230</v>
      </c>
      <c r="B121" s="8" t="s">
        <v>153</v>
      </c>
      <c r="C121" s="2"/>
      <c r="D121" s="2"/>
      <c r="E121" s="17">
        <v>3000</v>
      </c>
    </row>
    <row r="122" spans="1:5">
      <c r="C122" s="3" t="s">
        <v>1003</v>
      </c>
      <c r="D122" s="18" t="s">
        <v>156</v>
      </c>
      <c r="E122" s="163">
        <f>H41</f>
        <v>0</v>
      </c>
    </row>
    <row r="123" spans="1:5">
      <c r="D123" s="3"/>
    </row>
    <row r="124" spans="1:5">
      <c r="D124" s="18" t="s">
        <v>155</v>
      </c>
      <c r="E124" s="9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1009</v>
      </c>
      <c r="C2" s="79" t="s">
        <v>67</v>
      </c>
      <c r="D2" s="306">
        <f>SUM(D4:D38)</f>
        <v>133300</v>
      </c>
      <c r="E2" s="306">
        <f>SUM(E4:E37)</f>
        <v>-31871.02</v>
      </c>
      <c r="F2" s="306">
        <f>SUM(F4:F44)</f>
        <v>257800</v>
      </c>
      <c r="G2" s="306">
        <f>SUM(G4:G44)</f>
        <v>-34914.910000000003</v>
      </c>
      <c r="H2" s="306">
        <f>F2+G2</f>
        <v>222885.09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-317</v>
      </c>
      <c r="H4" s="63">
        <f t="shared" ref="H4:H40" si="0">H3+F4+G4</f>
        <v>-317</v>
      </c>
    </row>
    <row r="5" spans="1:8">
      <c r="B5" s="101" t="s">
        <v>81</v>
      </c>
      <c r="C5" s="101"/>
      <c r="D5" s="101"/>
      <c r="E5" s="63">
        <v>-500</v>
      </c>
      <c r="G5" s="63">
        <v>-559</v>
      </c>
      <c r="H5" s="63">
        <f t="shared" si="0"/>
        <v>-876</v>
      </c>
    </row>
    <row r="6" spans="1:8">
      <c r="B6" s="101" t="s">
        <v>1010</v>
      </c>
      <c r="C6" s="101"/>
      <c r="D6" s="101"/>
      <c r="E6" s="63">
        <v>-250</v>
      </c>
      <c r="G6" s="63">
        <v>-250</v>
      </c>
      <c r="H6" s="63">
        <f t="shared" si="0"/>
        <v>-1126</v>
      </c>
    </row>
    <row r="7" spans="1:8">
      <c r="B7" s="178" t="s">
        <v>72</v>
      </c>
      <c r="D7" s="63"/>
      <c r="E7" s="63">
        <f>D56*-1</f>
        <v>-44.99</v>
      </c>
      <c r="F7" s="63"/>
      <c r="G7" s="63">
        <f>E56*-1</f>
        <v>-44.99</v>
      </c>
      <c r="H7" s="63">
        <f t="shared" si="0"/>
        <v>-1170.99</v>
      </c>
    </row>
    <row r="8" spans="1:8">
      <c r="B8" s="178" t="s">
        <v>68</v>
      </c>
      <c r="E8" s="63">
        <f>E62</f>
        <v>-7338.2899999999991</v>
      </c>
      <c r="F8" s="63"/>
      <c r="G8" s="63">
        <v>-7338.29</v>
      </c>
      <c r="H8" s="63">
        <f t="shared" si="0"/>
        <v>-8509.2800000000007</v>
      </c>
    </row>
    <row r="9" spans="1:8">
      <c r="A9" s="165">
        <v>45173</v>
      </c>
      <c r="B9" s="178" t="s">
        <v>69</v>
      </c>
      <c r="E9" s="63">
        <f>E87</f>
        <v>-3842.66</v>
      </c>
      <c r="G9" s="63">
        <v>-3842.65</v>
      </c>
      <c r="H9" s="63">
        <f t="shared" si="0"/>
        <v>-12351.93</v>
      </c>
    </row>
    <row r="10" spans="1:8">
      <c r="A10" s="100">
        <v>45173</v>
      </c>
      <c r="B10" s="101" t="s">
        <v>1011</v>
      </c>
      <c r="C10" s="101"/>
      <c r="D10" s="101"/>
      <c r="E10" s="63">
        <v>-5375</v>
      </c>
      <c r="G10" s="63">
        <v>-5375</v>
      </c>
      <c r="H10" s="63">
        <f t="shared" si="0"/>
        <v>-17726.93</v>
      </c>
    </row>
    <row r="11" spans="1:8">
      <c r="A11" s="100"/>
      <c r="B11" s="101" t="s">
        <v>1011</v>
      </c>
      <c r="C11" s="101"/>
      <c r="D11" s="101"/>
      <c r="E11" s="63">
        <v>-2125</v>
      </c>
      <c r="G11" s="63">
        <v>-2125</v>
      </c>
      <c r="H11" s="63">
        <f t="shared" si="0"/>
        <v>-19851.93</v>
      </c>
    </row>
    <row r="12" spans="1:8">
      <c r="B12" s="101" t="s">
        <v>1012</v>
      </c>
      <c r="C12" s="101"/>
      <c r="D12" s="101"/>
      <c r="E12" s="63">
        <v>-945.08</v>
      </c>
      <c r="F12" s="163"/>
      <c r="G12" s="63">
        <v>-945.08</v>
      </c>
      <c r="H12" s="63">
        <f t="shared" si="0"/>
        <v>-20797.010000000002</v>
      </c>
    </row>
    <row r="13" spans="1:8">
      <c r="B13" s="101" t="s">
        <v>75</v>
      </c>
      <c r="C13" s="101" t="s">
        <v>323</v>
      </c>
      <c r="D13" s="101"/>
      <c r="E13" s="63">
        <v>-150</v>
      </c>
      <c r="F13" s="163"/>
      <c r="G13" s="63"/>
      <c r="H13" s="63">
        <f t="shared" si="0"/>
        <v>-20797.010000000002</v>
      </c>
    </row>
    <row r="14" spans="1:8">
      <c r="B14" s="106" t="s">
        <v>73</v>
      </c>
      <c r="C14" s="106" t="s">
        <v>323</v>
      </c>
      <c r="D14" s="106"/>
      <c r="E14" s="63">
        <v>-300</v>
      </c>
      <c r="F14" s="163"/>
      <c r="G14" s="63"/>
      <c r="H14" s="63">
        <f t="shared" si="0"/>
        <v>-20797.010000000002</v>
      </c>
    </row>
    <row r="15" spans="1:8">
      <c r="B15" s="106" t="s">
        <v>74</v>
      </c>
      <c r="C15" s="106" t="s">
        <v>323</v>
      </c>
      <c r="D15" s="106"/>
      <c r="E15" s="63">
        <v>-100</v>
      </c>
      <c r="F15" s="163"/>
      <c r="G15" s="63"/>
      <c r="H15" s="63">
        <f t="shared" si="0"/>
        <v>-20797.010000000002</v>
      </c>
    </row>
    <row r="16" spans="1:8">
      <c r="B16" t="s">
        <v>77</v>
      </c>
      <c r="E16" s="63">
        <v>-3500</v>
      </c>
      <c r="F16" s="63"/>
      <c r="G16" s="63">
        <v>-3509</v>
      </c>
      <c r="H16" s="63">
        <f t="shared" si="0"/>
        <v>-24306.010000000002</v>
      </c>
    </row>
    <row r="17" spans="1:8">
      <c r="B17" t="s">
        <v>77</v>
      </c>
      <c r="E17" s="63"/>
      <c r="F17" s="63"/>
      <c r="G17" s="63">
        <v>-3509</v>
      </c>
      <c r="H17" s="63">
        <f t="shared" si="0"/>
        <v>-27815.010000000002</v>
      </c>
    </row>
    <row r="18" spans="1:8">
      <c r="B18" t="s">
        <v>78</v>
      </c>
      <c r="E18" s="63">
        <v>-3500</v>
      </c>
      <c r="F18" s="63"/>
      <c r="G18" s="63">
        <v>-3509</v>
      </c>
      <c r="H18" s="63">
        <f t="shared" si="0"/>
        <v>-31324.010000000002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-34824.01</v>
      </c>
    </row>
    <row r="20" spans="1:8">
      <c r="E20" s="163"/>
      <c r="F20" s="63"/>
      <c r="G20" s="63"/>
      <c r="H20" s="63">
        <f t="shared" si="0"/>
        <v>-34824.01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-27324.010000000002</v>
      </c>
    </row>
    <row r="22" spans="1:8">
      <c r="A22" s="100">
        <v>45202</v>
      </c>
      <c r="B22" s="8" t="s">
        <v>671</v>
      </c>
      <c r="D22" s="186">
        <v>2800</v>
      </c>
      <c r="F22" s="63">
        <v>2800</v>
      </c>
      <c r="G22" s="63"/>
      <c r="H22" s="63">
        <f t="shared" si="0"/>
        <v>-24524.010000000002</v>
      </c>
    </row>
    <row r="23" spans="1:8">
      <c r="A23" s="100">
        <v>45204</v>
      </c>
      <c r="B23" s="8" t="s">
        <v>1013</v>
      </c>
      <c r="D23" s="186">
        <v>6500</v>
      </c>
      <c r="F23" s="63">
        <v>6500</v>
      </c>
      <c r="G23" s="63"/>
      <c r="H23" s="63">
        <f t="shared" si="0"/>
        <v>-18024.010000000002</v>
      </c>
    </row>
    <row r="24" spans="1:8">
      <c r="A24" s="100">
        <v>45170</v>
      </c>
      <c r="B24" s="8" t="s">
        <v>1014</v>
      </c>
      <c r="D24" s="186">
        <v>37500</v>
      </c>
      <c r="F24" s="63"/>
      <c r="G24" s="63"/>
      <c r="H24" s="63">
        <f t="shared" si="0"/>
        <v>-18024.010000000002</v>
      </c>
    </row>
    <row r="25" spans="1:8">
      <c r="A25" s="100">
        <v>45199</v>
      </c>
      <c r="B25" s="8" t="s">
        <v>437</v>
      </c>
      <c r="D25" s="186">
        <v>70000</v>
      </c>
      <c r="G25" s="63"/>
      <c r="H25" s="63">
        <f t="shared" si="0"/>
        <v>-18024.010000000002</v>
      </c>
    </row>
    <row r="26" spans="1:8">
      <c r="A26" s="100"/>
      <c r="B26" s="8" t="s">
        <v>1015</v>
      </c>
      <c r="D26" s="102"/>
      <c r="G26" s="63"/>
      <c r="H26" s="63">
        <f t="shared" si="0"/>
        <v>-18024.010000000002</v>
      </c>
    </row>
    <row r="27" spans="1:8">
      <c r="A27" s="100"/>
      <c r="B27" s="8" t="s">
        <v>1016</v>
      </c>
      <c r="D27" s="102"/>
      <c r="F27" s="63">
        <v>83000</v>
      </c>
      <c r="G27" s="63"/>
      <c r="H27" s="63">
        <f t="shared" si="0"/>
        <v>64975.99</v>
      </c>
    </row>
    <row r="28" spans="1:8">
      <c r="A28" s="100"/>
      <c r="B28" s="8" t="s">
        <v>1017</v>
      </c>
      <c r="D28" s="186">
        <v>3000</v>
      </c>
      <c r="F28">
        <v>3000</v>
      </c>
      <c r="G28" s="63"/>
      <c r="H28" s="63">
        <f t="shared" si="0"/>
        <v>67975.989999999991</v>
      </c>
    </row>
    <row r="29" spans="1:8">
      <c r="A29" s="100"/>
      <c r="B29" s="8" t="s">
        <v>1018</v>
      </c>
      <c r="G29" s="63"/>
      <c r="H29" s="63">
        <f t="shared" si="0"/>
        <v>67975.989999999991</v>
      </c>
    </row>
    <row r="30" spans="1:8">
      <c r="A30" s="165">
        <v>45171</v>
      </c>
      <c r="B30" s="8" t="s">
        <v>1019</v>
      </c>
      <c r="D30" s="102"/>
      <c r="F30" s="63">
        <v>65000</v>
      </c>
      <c r="G30" s="63"/>
      <c r="H30" s="63">
        <f t="shared" si="0"/>
        <v>132975.99</v>
      </c>
    </row>
    <row r="31" spans="1:8">
      <c r="A31" s="100">
        <v>45199</v>
      </c>
      <c r="B31" s="8" t="s">
        <v>1020</v>
      </c>
      <c r="D31" s="186">
        <v>6000</v>
      </c>
      <c r="F31">
        <v>6000</v>
      </c>
      <c r="G31" s="63"/>
      <c r="H31" s="63">
        <f t="shared" si="0"/>
        <v>138975.99</v>
      </c>
    </row>
    <row r="32" spans="1:8">
      <c r="A32" s="100"/>
      <c r="B32" s="8" t="s">
        <v>1021</v>
      </c>
      <c r="D32" s="102"/>
      <c r="G32" s="63"/>
      <c r="H32" s="63">
        <f t="shared" si="0"/>
        <v>138975.99</v>
      </c>
    </row>
    <row r="33" spans="1:8">
      <c r="A33" s="100"/>
      <c r="B33" s="8" t="s">
        <v>1022</v>
      </c>
      <c r="D33" s="102"/>
      <c r="G33" s="63"/>
      <c r="H33" s="63">
        <f t="shared" si="0"/>
        <v>138975.99</v>
      </c>
    </row>
    <row r="34" spans="1:8">
      <c r="A34" s="100"/>
      <c r="B34" s="8" t="s">
        <v>1023</v>
      </c>
      <c r="D34" s="102"/>
      <c r="G34" s="63"/>
      <c r="H34" s="63">
        <f t="shared" si="0"/>
        <v>138975.99</v>
      </c>
    </row>
    <row r="35" spans="1:8">
      <c r="A35" s="100"/>
      <c r="B35" s="8" t="s">
        <v>721</v>
      </c>
      <c r="D35" s="102"/>
      <c r="G35" s="63"/>
      <c r="H35" s="63">
        <f t="shared" si="0"/>
        <v>138975.99</v>
      </c>
    </row>
    <row r="36" spans="1:8">
      <c r="A36" s="165">
        <v>45173</v>
      </c>
      <c r="B36" s="8" t="s">
        <v>1024</v>
      </c>
      <c r="D36" s="63"/>
      <c r="F36" s="63"/>
      <c r="G36" s="63">
        <v>-90.9</v>
      </c>
      <c r="H36" s="63">
        <f t="shared" si="0"/>
        <v>138885.09</v>
      </c>
    </row>
    <row r="37" spans="1:8">
      <c r="A37" s="100">
        <v>45196</v>
      </c>
      <c r="B37" s="8" t="s">
        <v>1025</v>
      </c>
      <c r="F37" s="63">
        <v>74000</v>
      </c>
      <c r="G37" s="63"/>
      <c r="H37" s="63">
        <f t="shared" si="0"/>
        <v>212885.09</v>
      </c>
    </row>
    <row r="38" spans="1:8">
      <c r="A38" s="100">
        <v>45196</v>
      </c>
      <c r="B38" s="8" t="s">
        <v>1026</v>
      </c>
      <c r="E38" s="63"/>
      <c r="F38">
        <v>10000</v>
      </c>
      <c r="G38" s="63"/>
      <c r="H38" s="63">
        <f t="shared" si="0"/>
        <v>222885.09</v>
      </c>
    </row>
    <row r="39" spans="1:8">
      <c r="A39" s="100"/>
      <c r="E39" s="63"/>
      <c r="G39" s="63"/>
      <c r="H39" s="63">
        <f t="shared" si="0"/>
        <v>222885.09</v>
      </c>
    </row>
    <row r="40" spans="1:8">
      <c r="A40" s="100"/>
      <c r="E40" s="63"/>
      <c r="G40" s="63"/>
      <c r="H40" s="163">
        <f t="shared" si="0"/>
        <v>222885.09</v>
      </c>
    </row>
    <row r="41" spans="1:8">
      <c r="A41" s="100"/>
      <c r="E41" s="63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E43" s="63"/>
      <c r="G43" s="63"/>
      <c r="H43" s="63"/>
    </row>
    <row r="44" spans="1:8">
      <c r="B44" t="s">
        <v>325</v>
      </c>
      <c r="E44" s="63"/>
      <c r="G44" s="63"/>
      <c r="H44" s="63"/>
    </row>
    <row r="45" spans="1:8">
      <c r="A45" s="103" t="s">
        <v>326</v>
      </c>
      <c r="B45" s="103"/>
      <c r="C45" s="103"/>
      <c r="D45" s="103"/>
      <c r="E45" s="158"/>
      <c r="G45" s="63"/>
      <c r="H45" s="63"/>
    </row>
    <row r="46" spans="1:8">
      <c r="A46" s="317"/>
      <c r="B46" s="312"/>
      <c r="C46" s="312"/>
      <c r="D46" s="312"/>
      <c r="E46" s="313"/>
      <c r="H46" s="63"/>
    </row>
    <row r="47" spans="1:8">
      <c r="A47" s="317"/>
      <c r="B47" s="312"/>
      <c r="C47" s="314"/>
      <c r="D47" s="312"/>
      <c r="E47" s="312"/>
      <c r="H47" s="63"/>
    </row>
    <row r="48" spans="1:8">
      <c r="A48" s="317"/>
      <c r="B48" s="312"/>
      <c r="C48" s="314"/>
      <c r="D48" s="312"/>
      <c r="E48" s="312"/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327</v>
      </c>
      <c r="C50" s="103"/>
      <c r="D50" s="201">
        <f>SUM(D51:D58)</f>
        <v>3502.0099999999998</v>
      </c>
      <c r="E50" s="201">
        <f>SUM(E51:E58)</f>
        <v>3502.0099999999998</v>
      </c>
      <c r="H50" s="63"/>
    </row>
    <row r="51" spans="1:8">
      <c r="B51" t="s">
        <v>920</v>
      </c>
      <c r="D51">
        <v>673.8</v>
      </c>
      <c r="E51" s="63">
        <v>673.8</v>
      </c>
      <c r="F51" s="63"/>
      <c r="G51" s="63"/>
    </row>
    <row r="52" spans="1:8">
      <c r="B52" t="s">
        <v>329</v>
      </c>
      <c r="D52">
        <v>1165.77</v>
      </c>
      <c r="E52" s="63">
        <v>1165.77</v>
      </c>
      <c r="F52" s="63"/>
      <c r="G52" s="63"/>
    </row>
    <row r="53" spans="1:8">
      <c r="B53" t="s">
        <v>330</v>
      </c>
      <c r="D53">
        <v>106.22</v>
      </c>
      <c r="E53">
        <v>106.22</v>
      </c>
      <c r="F53" s="63"/>
      <c r="G53" s="63"/>
    </row>
    <row r="54" spans="1:8">
      <c r="B54" t="s">
        <v>331</v>
      </c>
      <c r="D54">
        <v>1157.58</v>
      </c>
      <c r="E54">
        <v>1157.58</v>
      </c>
      <c r="F54" s="63"/>
      <c r="G54" s="63"/>
    </row>
    <row r="55" spans="1:8">
      <c r="B55" t="s">
        <v>332</v>
      </c>
      <c r="D55">
        <v>353.65</v>
      </c>
      <c r="E55">
        <v>353.65</v>
      </c>
      <c r="F55" s="63"/>
      <c r="G55" s="63"/>
    </row>
    <row r="56" spans="1:8">
      <c r="B56" t="s">
        <v>333</v>
      </c>
      <c r="D56" s="106">
        <v>44.99</v>
      </c>
      <c r="E56">
        <v>44.99</v>
      </c>
      <c r="F56" s="63"/>
      <c r="G56" s="63"/>
    </row>
    <row r="57" spans="1:8">
      <c r="C57" s="106"/>
      <c r="E57" s="106"/>
      <c r="F57" s="63"/>
      <c r="G57" s="63"/>
    </row>
    <row r="58" spans="1:8">
      <c r="C58" s="106"/>
      <c r="D58" s="106"/>
      <c r="E58" s="163"/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201">
        <f>SUM(E63:E84)</f>
        <v>-7338.2899999999991</v>
      </c>
    </row>
    <row r="63" spans="1:8">
      <c r="A63" s="100"/>
      <c r="C63" s="106"/>
      <c r="D63" s="106"/>
      <c r="E63" s="163"/>
      <c r="G63" s="63"/>
      <c r="H63" s="63"/>
    </row>
    <row r="64" spans="1:8">
      <c r="A64" s="100">
        <v>44995</v>
      </c>
      <c r="B64" s="8" t="s">
        <v>771</v>
      </c>
      <c r="C64">
        <v>613.91</v>
      </c>
      <c r="D64" s="35" t="s">
        <v>1027</v>
      </c>
      <c r="E64" s="163">
        <v>-61.39</v>
      </c>
      <c r="F64" s="63"/>
      <c r="G64" s="63"/>
      <c r="H64" s="63"/>
    </row>
    <row r="65" spans="1:8">
      <c r="A65" s="100">
        <v>44995</v>
      </c>
      <c r="B65" s="8" t="s">
        <v>1028</v>
      </c>
      <c r="C65">
        <v>2258.94</v>
      </c>
      <c r="D65" s="35" t="s">
        <v>439</v>
      </c>
      <c r="E65" s="163">
        <v>-376.49</v>
      </c>
      <c r="F65" s="63"/>
      <c r="G65" s="63"/>
      <c r="H65" s="63"/>
    </row>
    <row r="66" spans="1:8">
      <c r="A66" s="100">
        <v>45043</v>
      </c>
      <c r="B66" s="106" t="s">
        <v>949</v>
      </c>
      <c r="C66" s="106">
        <v>3299</v>
      </c>
      <c r="D66" s="35" t="s">
        <v>513</v>
      </c>
      <c r="E66" s="163">
        <v>-549.83000000000004</v>
      </c>
      <c r="F66" s="63"/>
      <c r="G66" s="63"/>
      <c r="H66" s="63"/>
    </row>
    <row r="67" spans="1:8">
      <c r="A67" s="100">
        <v>45043</v>
      </c>
      <c r="B67" s="106" t="s">
        <v>723</v>
      </c>
      <c r="C67" s="106">
        <v>10764.57</v>
      </c>
      <c r="D67" s="35" t="s">
        <v>770</v>
      </c>
      <c r="E67" s="163">
        <v>-1196.06</v>
      </c>
      <c r="F67" s="63"/>
      <c r="G67" s="63"/>
      <c r="H67" s="63"/>
    </row>
    <row r="68" spans="1:8">
      <c r="A68" s="100">
        <v>45044</v>
      </c>
      <c r="B68" s="8" t="s">
        <v>951</v>
      </c>
      <c r="C68" s="106">
        <v>3123.29</v>
      </c>
      <c r="D68" s="204" t="s">
        <v>513</v>
      </c>
      <c r="E68" s="163">
        <v>-520.54999999999995</v>
      </c>
      <c r="F68" s="63"/>
      <c r="G68" s="63"/>
      <c r="H68" s="63"/>
    </row>
    <row r="69" spans="1:8">
      <c r="A69" s="100">
        <v>45078</v>
      </c>
      <c r="B69" s="106" t="s">
        <v>924</v>
      </c>
      <c r="D69" s="204" t="s">
        <v>926</v>
      </c>
      <c r="E69" s="163">
        <v>-666.67</v>
      </c>
      <c r="F69" s="63"/>
      <c r="G69" s="63"/>
      <c r="H69" s="63"/>
    </row>
    <row r="70" spans="1:8">
      <c r="A70" s="100">
        <v>45077</v>
      </c>
      <c r="B70" s="106" t="s">
        <v>982</v>
      </c>
      <c r="C70" s="106">
        <v>148.6</v>
      </c>
      <c r="D70" s="204" t="s">
        <v>1029</v>
      </c>
      <c r="E70" s="163">
        <v>-37.15</v>
      </c>
      <c r="F70" s="63"/>
      <c r="G70" s="63"/>
      <c r="H70" s="63"/>
    </row>
    <row r="71" spans="1:8">
      <c r="A71" s="100">
        <v>45077</v>
      </c>
      <c r="B71" s="106" t="s">
        <v>984</v>
      </c>
      <c r="C71" s="106">
        <v>244.8</v>
      </c>
      <c r="D71" s="204" t="s">
        <v>1029</v>
      </c>
      <c r="E71" s="163">
        <v>-61.2</v>
      </c>
      <c r="F71" s="63"/>
      <c r="G71" s="63"/>
      <c r="H71" s="63"/>
    </row>
    <row r="72" spans="1:8">
      <c r="A72" s="100">
        <v>45077</v>
      </c>
      <c r="B72" s="106" t="s">
        <v>985</v>
      </c>
      <c r="C72" s="106">
        <v>1204.5</v>
      </c>
      <c r="D72" s="204" t="s">
        <v>1029</v>
      </c>
      <c r="E72" s="163">
        <v>-301.13</v>
      </c>
      <c r="F72" s="63"/>
      <c r="G72" s="63"/>
      <c r="H72" s="63"/>
    </row>
    <row r="73" spans="1:8">
      <c r="A73" s="100">
        <v>45077</v>
      </c>
      <c r="B73" s="8" t="s">
        <v>986</v>
      </c>
      <c r="C73" s="106">
        <v>532.6</v>
      </c>
      <c r="D73" s="204" t="s">
        <v>1029</v>
      </c>
      <c r="E73" s="163">
        <v>-133.15</v>
      </c>
      <c r="F73" s="63"/>
    </row>
    <row r="74" spans="1:8">
      <c r="A74" s="100">
        <v>45139</v>
      </c>
      <c r="B74" s="106" t="s">
        <v>1030</v>
      </c>
      <c r="E74" s="163">
        <v>-260.02</v>
      </c>
    </row>
    <row r="75" spans="1:8">
      <c r="A75" s="165">
        <v>45139</v>
      </c>
      <c r="B75" s="106" t="s">
        <v>445</v>
      </c>
      <c r="E75" s="163">
        <v>-116.6</v>
      </c>
    </row>
    <row r="76" spans="1:8">
      <c r="A76" s="165">
        <v>45139</v>
      </c>
      <c r="B76" s="106" t="s">
        <v>445</v>
      </c>
      <c r="E76" s="163">
        <v>-23.75</v>
      </c>
    </row>
    <row r="77" spans="1:8">
      <c r="A77" s="165">
        <v>45140</v>
      </c>
      <c r="B77" s="106" t="s">
        <v>1031</v>
      </c>
      <c r="E77" s="163">
        <v>-600</v>
      </c>
    </row>
    <row r="78" spans="1:8">
      <c r="A78" s="165">
        <v>45147</v>
      </c>
      <c r="B78" s="106">
        <v>2240</v>
      </c>
      <c r="E78" s="163">
        <v>-165.4</v>
      </c>
    </row>
    <row r="79" spans="1:8">
      <c r="A79" s="165">
        <v>45148</v>
      </c>
      <c r="B79" s="106" t="s">
        <v>1032</v>
      </c>
      <c r="E79" s="163">
        <v>-71</v>
      </c>
    </row>
    <row r="80" spans="1:8">
      <c r="A80" s="165">
        <v>45153</v>
      </c>
      <c r="B80" s="106" t="s">
        <v>1033</v>
      </c>
      <c r="E80" s="163">
        <v>-1806</v>
      </c>
    </row>
    <row r="81" spans="1:8">
      <c r="A81" s="165">
        <v>45158</v>
      </c>
      <c r="B81" s="106" t="s">
        <v>1034</v>
      </c>
      <c r="E81" s="163">
        <v>-160.9</v>
      </c>
    </row>
    <row r="82" spans="1:8">
      <c r="A82" s="165">
        <v>45160</v>
      </c>
      <c r="B82" s="106" t="s">
        <v>1035</v>
      </c>
      <c r="D82" s="35"/>
      <c r="E82" s="163">
        <v>-231</v>
      </c>
    </row>
    <row r="83" spans="1:8" ht="15">
      <c r="A83" s="165"/>
      <c r="B83" s="106"/>
      <c r="D83" s="105" t="s">
        <v>84</v>
      </c>
      <c r="E83" s="163"/>
    </row>
    <row r="84" spans="1:8">
      <c r="A84" s="165"/>
      <c r="B84" s="106"/>
      <c r="D84" s="35"/>
      <c r="E84" s="163"/>
    </row>
    <row r="85" spans="1:8">
      <c r="A85" s="165"/>
      <c r="B85" s="106"/>
      <c r="D85" s="35"/>
      <c r="E85" s="163"/>
    </row>
    <row r="87" spans="1:8">
      <c r="A87" s="103"/>
      <c r="B87" s="104" t="s">
        <v>85</v>
      </c>
      <c r="C87" s="103"/>
      <c r="D87" s="103"/>
      <c r="E87" s="159">
        <f>SUM(E88:E108)</f>
        <v>-3842.66</v>
      </c>
    </row>
    <row r="88" spans="1:8">
      <c r="A88" s="100">
        <v>45026</v>
      </c>
      <c r="B88" s="8" t="s">
        <v>952</v>
      </c>
      <c r="C88">
        <v>1140.99</v>
      </c>
      <c r="D88" s="8" t="s">
        <v>727</v>
      </c>
      <c r="E88">
        <v>-190.17</v>
      </c>
      <c r="F88" s="63"/>
      <c r="G88" s="63"/>
      <c r="H88" s="63"/>
    </row>
    <row r="89" spans="1:8">
      <c r="A89" s="100">
        <v>45133</v>
      </c>
      <c r="B89" s="106" t="s">
        <v>1036</v>
      </c>
      <c r="C89" s="106"/>
      <c r="D89" s="106"/>
      <c r="E89" s="163">
        <v>-245</v>
      </c>
      <c r="F89" s="63"/>
      <c r="G89" s="63"/>
      <c r="H89" s="63"/>
    </row>
    <row r="90" spans="1:8">
      <c r="A90" s="100">
        <v>45134</v>
      </c>
      <c r="B90" s="106" t="s">
        <v>651</v>
      </c>
      <c r="C90" s="106"/>
      <c r="D90" s="106"/>
      <c r="E90" s="163">
        <v>-150</v>
      </c>
      <c r="F90" s="63"/>
      <c r="G90" s="63"/>
      <c r="H90" s="63"/>
    </row>
    <row r="91" spans="1:8">
      <c r="A91" s="100">
        <v>45135</v>
      </c>
      <c r="B91" s="106" t="s">
        <v>1037</v>
      </c>
      <c r="C91" s="106"/>
      <c r="D91" s="106"/>
      <c r="E91" s="163">
        <v>-555.87</v>
      </c>
      <c r="F91" s="63"/>
      <c r="G91" s="63"/>
      <c r="H91" s="63"/>
    </row>
    <row r="92" spans="1:8">
      <c r="A92" s="100">
        <v>45135</v>
      </c>
      <c r="B92" s="106" t="s">
        <v>1038</v>
      </c>
      <c r="C92" s="106"/>
      <c r="D92" s="106"/>
      <c r="E92" s="163">
        <v>-328</v>
      </c>
      <c r="F92" s="63"/>
      <c r="G92" s="63"/>
      <c r="H92" s="63"/>
    </row>
    <row r="93" spans="1:8">
      <c r="A93" s="100">
        <v>45136</v>
      </c>
      <c r="B93" s="107" t="s">
        <v>127</v>
      </c>
      <c r="E93" s="163">
        <v>-42.15</v>
      </c>
      <c r="F93" s="63"/>
    </row>
    <row r="94" spans="1:8">
      <c r="A94" s="100">
        <v>45136</v>
      </c>
      <c r="B94" s="8" t="s">
        <v>1039</v>
      </c>
      <c r="E94">
        <v>-400</v>
      </c>
      <c r="F94" s="63"/>
    </row>
    <row r="95" spans="1:8">
      <c r="A95" s="100">
        <v>45136</v>
      </c>
      <c r="B95" s="8" t="s">
        <v>1040</v>
      </c>
      <c r="E95">
        <v>-266</v>
      </c>
      <c r="F95" s="63"/>
    </row>
    <row r="96" spans="1:8">
      <c r="A96" s="100">
        <v>45199</v>
      </c>
      <c r="B96" s="8" t="s">
        <v>1041</v>
      </c>
      <c r="E96">
        <v>-489.97</v>
      </c>
      <c r="F96" s="63"/>
    </row>
    <row r="97" spans="1:6">
      <c r="A97" s="100">
        <v>45139</v>
      </c>
      <c r="B97" s="8" t="s">
        <v>129</v>
      </c>
      <c r="C97">
        <v>6556.63</v>
      </c>
    </row>
    <row r="98" spans="1:6">
      <c r="E98">
        <v>-156.47999999999999</v>
      </c>
    </row>
    <row r="99" spans="1:6">
      <c r="A99" s="165">
        <v>45141</v>
      </c>
      <c r="B99" s="8" t="s">
        <v>953</v>
      </c>
      <c r="D99" s="35" t="s">
        <v>1042</v>
      </c>
      <c r="E99">
        <v>-181.83</v>
      </c>
    </row>
    <row r="100" spans="1:6">
      <c r="A100" s="165">
        <v>45141</v>
      </c>
      <c r="B100" s="8" t="s">
        <v>134</v>
      </c>
      <c r="D100" s="35"/>
      <c r="E100">
        <v>-150</v>
      </c>
    </row>
    <row r="101" spans="1:6">
      <c r="A101" s="165">
        <v>45143</v>
      </c>
      <c r="B101" s="8" t="s">
        <v>134</v>
      </c>
      <c r="E101">
        <v>-150</v>
      </c>
    </row>
    <row r="102" spans="1:6">
      <c r="A102" s="165">
        <v>45143</v>
      </c>
      <c r="B102" s="8" t="s">
        <v>127</v>
      </c>
      <c r="E102">
        <v>-337.19</v>
      </c>
    </row>
    <row r="103" spans="1:6">
      <c r="A103" s="165">
        <v>45161</v>
      </c>
      <c r="B103" s="8" t="s">
        <v>134</v>
      </c>
      <c r="E103">
        <v>-200</v>
      </c>
    </row>
    <row r="104" spans="1:6" ht="15">
      <c r="D104" s="105" t="s">
        <v>84</v>
      </c>
    </row>
    <row r="111" spans="1:6">
      <c r="A111" s="113" t="s">
        <v>1043</v>
      </c>
      <c r="B111" s="104" t="s">
        <v>136</v>
      </c>
      <c r="C111" s="103">
        <v>2023</v>
      </c>
      <c r="D111" s="158"/>
      <c r="E111" s="159">
        <f>SUM(E112:E120)</f>
        <v>604370.1</v>
      </c>
    </row>
    <row r="112" spans="1:6">
      <c r="A112" s="100">
        <v>45169</v>
      </c>
      <c r="B112" s="8" t="s">
        <v>77</v>
      </c>
      <c r="C112" s="2"/>
      <c r="D112" s="2"/>
      <c r="E112" s="17">
        <v>64000</v>
      </c>
      <c r="F112">
        <v>0</v>
      </c>
    </row>
    <row r="113" spans="1:6">
      <c r="A113" s="100">
        <v>45169</v>
      </c>
      <c r="B113" s="8" t="s">
        <v>1044</v>
      </c>
      <c r="C113" s="2"/>
      <c r="D113" s="2"/>
      <c r="E113" s="17">
        <v>63088</v>
      </c>
      <c r="F113">
        <v>0</v>
      </c>
    </row>
    <row r="114" spans="1:6">
      <c r="A114" s="100">
        <v>45169</v>
      </c>
      <c r="B114" s="8" t="s">
        <v>300</v>
      </c>
      <c r="C114" s="2"/>
      <c r="D114" s="2"/>
      <c r="E114" s="17">
        <v>126493.51</v>
      </c>
      <c r="F114">
        <v>0</v>
      </c>
    </row>
    <row r="115" spans="1:6">
      <c r="A115" s="100">
        <v>45169</v>
      </c>
      <c r="B115" s="8" t="s">
        <v>301</v>
      </c>
      <c r="C115" s="2"/>
      <c r="D115" s="2"/>
      <c r="E115" s="17">
        <v>359.59</v>
      </c>
      <c r="F115">
        <v>0</v>
      </c>
    </row>
    <row r="116" spans="1:6">
      <c r="A116" s="100">
        <v>45169</v>
      </c>
      <c r="B116" s="8" t="s">
        <v>1005</v>
      </c>
      <c r="C116" s="2">
        <v>1573</v>
      </c>
      <c r="D116" s="2">
        <v>111</v>
      </c>
      <c r="E116" s="17">
        <f>D116*C116</f>
        <v>174603</v>
      </c>
      <c r="F116">
        <v>0</v>
      </c>
    </row>
    <row r="117" spans="1:6">
      <c r="A117" s="100">
        <v>45169</v>
      </c>
      <c r="B117" s="8" t="s">
        <v>1007</v>
      </c>
      <c r="C117" s="162">
        <v>26.76</v>
      </c>
      <c r="D117" s="2">
        <v>850</v>
      </c>
      <c r="E117" s="17">
        <f>D117*C117</f>
        <v>22746</v>
      </c>
      <c r="F117">
        <v>0</v>
      </c>
    </row>
    <row r="118" spans="1:6">
      <c r="A118" s="100">
        <v>45169</v>
      </c>
      <c r="B118" s="8" t="s">
        <v>1008</v>
      </c>
      <c r="C118" s="162">
        <v>28.3</v>
      </c>
      <c r="D118" s="2">
        <v>100</v>
      </c>
      <c r="E118" s="17">
        <f>D118*C118</f>
        <v>2830</v>
      </c>
      <c r="F118">
        <v>0</v>
      </c>
    </row>
    <row r="119" spans="1:6">
      <c r="A119" s="100">
        <v>45192</v>
      </c>
      <c r="B119" s="8" t="s">
        <v>152</v>
      </c>
      <c r="C119" s="2"/>
      <c r="D119" s="2"/>
      <c r="E119" s="17">
        <v>146650</v>
      </c>
      <c r="F119">
        <v>0</v>
      </c>
    </row>
    <row r="120" spans="1:6">
      <c r="A120" s="100">
        <v>45192</v>
      </c>
      <c r="B120" s="8" t="s">
        <v>153</v>
      </c>
      <c r="C120" s="2"/>
      <c r="D120" s="2"/>
      <c r="E120" s="17">
        <v>3600</v>
      </c>
    </row>
    <row r="121" spans="1:6">
      <c r="C121" s="3" t="str">
        <f>A111</f>
        <v>EYLÜL</v>
      </c>
      <c r="D121" s="18" t="s">
        <v>156</v>
      </c>
      <c r="E121" s="163">
        <f>H40</f>
        <v>222885.09</v>
      </c>
    </row>
    <row r="122" spans="1:6">
      <c r="D122" s="3"/>
    </row>
    <row r="123" spans="1:6">
      <c r="D123" s="18" t="s">
        <v>155</v>
      </c>
      <c r="E123" s="9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1045</v>
      </c>
      <c r="C2" s="79" t="s">
        <v>67</v>
      </c>
      <c r="D2" s="306">
        <f>SUM(D4:D30)</f>
        <v>87911</v>
      </c>
      <c r="E2" s="306">
        <f>SUM(E4:E29)</f>
        <v>-32079.01</v>
      </c>
      <c r="F2" s="306">
        <f>SUM(F4:F31)</f>
        <v>16800</v>
      </c>
      <c r="G2" s="306">
        <f>SUM(G4:G31)</f>
        <v>-37135.350000000006</v>
      </c>
      <c r="H2" s="306">
        <f>F2+G2</f>
        <v>-20335.350000000006</v>
      </c>
    </row>
    <row r="3" spans="1:8">
      <c r="B3" s="18"/>
      <c r="H3" s="63"/>
    </row>
    <row r="4" spans="1:8">
      <c r="A4" s="165">
        <v>45141</v>
      </c>
      <c r="B4" s="101" t="s">
        <v>80</v>
      </c>
      <c r="C4" s="101"/>
      <c r="D4" s="101"/>
      <c r="E4" s="63">
        <v>-400</v>
      </c>
      <c r="G4" s="63">
        <v>-311</v>
      </c>
      <c r="H4" s="63">
        <f t="shared" ref="H4:H28" si="0">H3+F4+G4</f>
        <v>-311</v>
      </c>
    </row>
    <row r="5" spans="1:8">
      <c r="A5" s="165">
        <v>45141</v>
      </c>
      <c r="B5" s="101" t="s">
        <v>81</v>
      </c>
      <c r="C5" s="101"/>
      <c r="D5" s="101"/>
      <c r="E5" s="63">
        <v>-500</v>
      </c>
      <c r="G5" s="63">
        <v>-520</v>
      </c>
      <c r="H5" s="63">
        <f t="shared" si="0"/>
        <v>-831</v>
      </c>
    </row>
    <row r="6" spans="1:8">
      <c r="B6" s="101" t="s">
        <v>1046</v>
      </c>
      <c r="C6" s="101"/>
      <c r="D6" s="101"/>
      <c r="E6" s="63">
        <v>-250</v>
      </c>
      <c r="G6" s="63">
        <v>-250</v>
      </c>
      <c r="H6" s="63">
        <f t="shared" si="0"/>
        <v>-1081</v>
      </c>
    </row>
    <row r="7" spans="1:8">
      <c r="B7" s="178" t="s">
        <v>72</v>
      </c>
      <c r="D7" s="63">
        <f>D37</f>
        <v>0</v>
      </c>
      <c r="E7" s="2"/>
      <c r="F7" s="63">
        <f>E37</f>
        <v>0</v>
      </c>
      <c r="G7" s="63"/>
      <c r="H7" s="63">
        <f t="shared" si="0"/>
        <v>-1081</v>
      </c>
    </row>
    <row r="8" spans="1:8">
      <c r="B8" s="178" t="s">
        <v>68</v>
      </c>
      <c r="E8" s="63">
        <f>E49</f>
        <v>-5147.6399999999985</v>
      </c>
      <c r="F8" s="63"/>
      <c r="G8" s="63">
        <v>-5147.6400000000003</v>
      </c>
      <c r="H8" s="63">
        <f t="shared" si="0"/>
        <v>-6228.64</v>
      </c>
    </row>
    <row r="9" spans="1:8">
      <c r="B9" s="178" t="s">
        <v>69</v>
      </c>
      <c r="E9" s="63">
        <f>E67</f>
        <v>-6556.6299999999992</v>
      </c>
      <c r="G9" s="63">
        <v>-6556.63</v>
      </c>
      <c r="H9" s="63">
        <f t="shared" si="0"/>
        <v>-12785.27</v>
      </c>
    </row>
    <row r="10" spans="1:8">
      <c r="A10" s="100">
        <v>45139</v>
      </c>
      <c r="B10" s="101" t="s">
        <v>1047</v>
      </c>
      <c r="C10" s="101"/>
      <c r="D10" s="101"/>
      <c r="E10" s="63">
        <v>-5375</v>
      </c>
      <c r="G10" s="63">
        <v>-5375</v>
      </c>
      <c r="H10" s="63">
        <f t="shared" si="0"/>
        <v>-18160.27</v>
      </c>
    </row>
    <row r="11" spans="1:8">
      <c r="A11" s="100">
        <v>45139</v>
      </c>
      <c r="B11" s="101" t="s">
        <v>1047</v>
      </c>
      <c r="C11" s="101"/>
      <c r="D11" s="101"/>
      <c r="E11" s="63">
        <v>-2125</v>
      </c>
      <c r="G11" s="63">
        <v>-2125</v>
      </c>
      <c r="H11" s="63">
        <f t="shared" si="0"/>
        <v>-20285.27</v>
      </c>
    </row>
    <row r="12" spans="1:8">
      <c r="B12" s="101" t="s">
        <v>1048</v>
      </c>
      <c r="C12" s="101"/>
      <c r="D12" s="101"/>
      <c r="E12" s="63">
        <v>-674.74</v>
      </c>
      <c r="F12" s="163"/>
      <c r="G12" s="63">
        <v>-945.08</v>
      </c>
      <c r="H12" s="63">
        <f t="shared" si="0"/>
        <v>-21230.350000000002</v>
      </c>
    </row>
    <row r="13" spans="1:8">
      <c r="B13" s="101" t="s">
        <v>75</v>
      </c>
      <c r="C13" s="101" t="s">
        <v>323</v>
      </c>
      <c r="D13" s="101"/>
      <c r="E13" s="63">
        <v>-150</v>
      </c>
      <c r="F13" s="163"/>
      <c r="G13" s="63">
        <v>0</v>
      </c>
      <c r="H13" s="63">
        <f t="shared" si="0"/>
        <v>-21230.350000000002</v>
      </c>
    </row>
    <row r="14" spans="1:8">
      <c r="B14" s="106" t="s">
        <v>73</v>
      </c>
      <c r="C14" s="106" t="s">
        <v>323</v>
      </c>
      <c r="D14" s="106"/>
      <c r="E14" s="63">
        <v>-300</v>
      </c>
      <c r="F14" s="163"/>
      <c r="G14" s="63">
        <v>0</v>
      </c>
      <c r="H14" s="63">
        <f t="shared" si="0"/>
        <v>-21230.350000000002</v>
      </c>
    </row>
    <row r="15" spans="1:8">
      <c r="B15" s="106" t="s">
        <v>74</v>
      </c>
      <c r="C15" s="106" t="s">
        <v>323</v>
      </c>
      <c r="D15" s="106"/>
      <c r="E15" s="63">
        <v>-100</v>
      </c>
      <c r="F15" s="163"/>
      <c r="G15" s="63">
        <v>0</v>
      </c>
      <c r="H15" s="63">
        <f t="shared" si="0"/>
        <v>-21230.350000000002</v>
      </c>
    </row>
    <row r="16" spans="1:8">
      <c r="A16" s="165">
        <v>45152</v>
      </c>
      <c r="B16" s="101" t="s">
        <v>455</v>
      </c>
      <c r="G16" s="63">
        <v>-139</v>
      </c>
      <c r="H16" s="63">
        <f t="shared" si="0"/>
        <v>-21369.350000000002</v>
      </c>
    </row>
    <row r="17" spans="1:8">
      <c r="H17" s="63">
        <f t="shared" si="0"/>
        <v>-21369.350000000002</v>
      </c>
    </row>
    <row r="18" spans="1:8">
      <c r="B18" t="s">
        <v>77</v>
      </c>
      <c r="E18" s="63">
        <v>-3500</v>
      </c>
      <c r="F18" s="63"/>
      <c r="G18" s="63">
        <v>-3508</v>
      </c>
      <c r="H18" s="63">
        <f t="shared" si="0"/>
        <v>-24877.350000000002</v>
      </c>
    </row>
    <row r="19" spans="1:8">
      <c r="B19" t="s">
        <v>78</v>
      </c>
      <c r="E19" s="63">
        <v>-3500</v>
      </c>
      <c r="F19" s="63"/>
      <c r="G19" s="63">
        <v>-3508</v>
      </c>
      <c r="H19" s="63">
        <f t="shared" si="0"/>
        <v>-28385.350000000002</v>
      </c>
    </row>
    <row r="20" spans="1:8">
      <c r="B20" t="s">
        <v>79</v>
      </c>
      <c r="E20" s="63">
        <v>-3500</v>
      </c>
      <c r="F20" s="63"/>
      <c r="G20" s="63">
        <v>-3500</v>
      </c>
      <c r="H20" s="63">
        <f t="shared" si="0"/>
        <v>-31885.350000000002</v>
      </c>
    </row>
    <row r="21" spans="1:8">
      <c r="B21" t="s">
        <v>2</v>
      </c>
      <c r="D21">
        <v>1111</v>
      </c>
      <c r="E21" s="163"/>
      <c r="F21" s="63"/>
      <c r="G21" s="63"/>
      <c r="H21" s="63">
        <f t="shared" si="0"/>
        <v>-31885.350000000002</v>
      </c>
    </row>
    <row r="22" spans="1:8">
      <c r="B22" t="s">
        <v>76</v>
      </c>
      <c r="D22" s="186">
        <v>7500</v>
      </c>
      <c r="F22" s="63">
        <v>7500</v>
      </c>
      <c r="G22" s="63"/>
      <c r="H22" s="63">
        <f t="shared" si="0"/>
        <v>-24385.350000000002</v>
      </c>
    </row>
    <row r="23" spans="1:8">
      <c r="B23" t="s">
        <v>671</v>
      </c>
      <c r="D23" s="186">
        <v>2800</v>
      </c>
      <c r="F23" s="63">
        <v>2800</v>
      </c>
      <c r="G23" s="63"/>
      <c r="H23" s="63">
        <f t="shared" si="0"/>
        <v>-21585.350000000002</v>
      </c>
    </row>
    <row r="24" spans="1:8">
      <c r="B24" t="s">
        <v>1049</v>
      </c>
      <c r="D24" s="186">
        <v>6500</v>
      </c>
      <c r="F24" s="63">
        <v>6500</v>
      </c>
      <c r="G24" s="63"/>
      <c r="H24" s="63">
        <f t="shared" si="0"/>
        <v>-15085.350000000002</v>
      </c>
    </row>
    <row r="25" spans="1:8">
      <c r="A25" s="100">
        <v>45167</v>
      </c>
      <c r="B25" s="8" t="s">
        <v>1050</v>
      </c>
      <c r="D25" s="102"/>
      <c r="F25" s="63"/>
      <c r="G25" s="63"/>
      <c r="H25" s="63">
        <f t="shared" si="0"/>
        <v>-15085.350000000002</v>
      </c>
    </row>
    <row r="26" spans="1:8">
      <c r="B26" t="s">
        <v>1051</v>
      </c>
      <c r="D26" s="102"/>
      <c r="F26" s="63"/>
      <c r="G26" s="63"/>
      <c r="H26" s="63">
        <f t="shared" si="0"/>
        <v>-15085.350000000002</v>
      </c>
    </row>
    <row r="27" spans="1:8">
      <c r="A27" s="100"/>
      <c r="B27" s="8" t="s">
        <v>1052</v>
      </c>
      <c r="D27" s="186">
        <v>70000</v>
      </c>
      <c r="G27" s="63"/>
      <c r="H27" s="63">
        <f t="shared" si="0"/>
        <v>-15085.350000000002</v>
      </c>
    </row>
    <row r="28" spans="1:8">
      <c r="B28" t="s">
        <v>1053</v>
      </c>
      <c r="D28" s="102"/>
      <c r="F28" s="63"/>
      <c r="G28" s="63">
        <v>-5250</v>
      </c>
      <c r="H28" s="63">
        <f t="shared" si="0"/>
        <v>-20335.350000000002</v>
      </c>
    </row>
    <row r="29" spans="1:8" ht="15.75">
      <c r="B29" s="179"/>
      <c r="F29" s="63"/>
      <c r="G29" s="63"/>
      <c r="H29" s="63"/>
    </row>
    <row r="30" spans="1:8">
      <c r="E30" s="63"/>
      <c r="G30" s="63"/>
      <c r="H30" s="63"/>
    </row>
    <row r="31" spans="1:8">
      <c r="B31" t="s">
        <v>325</v>
      </c>
      <c r="E31" s="63"/>
      <c r="G31" s="63"/>
      <c r="H31" s="63"/>
    </row>
    <row r="32" spans="1:8">
      <c r="A32" s="103" t="s">
        <v>326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327</v>
      </c>
      <c r="C37" s="103"/>
      <c r="D37" s="201">
        <f>SUM(D38:D45)</f>
        <v>0</v>
      </c>
      <c r="E37" s="201">
        <f>SUM(E38:E45)</f>
        <v>0</v>
      </c>
      <c r="H37" s="63"/>
    </row>
    <row r="38" spans="1:8">
      <c r="B38" t="s">
        <v>920</v>
      </c>
      <c r="E38" s="63"/>
      <c r="F38" s="63"/>
      <c r="G38" s="63"/>
    </row>
    <row r="39" spans="1:8">
      <c r="B39" t="s">
        <v>329</v>
      </c>
      <c r="E39" s="63"/>
      <c r="F39" s="63"/>
      <c r="G39" s="63"/>
    </row>
    <row r="40" spans="1:8">
      <c r="B40" t="s">
        <v>330</v>
      </c>
      <c r="F40" s="63"/>
      <c r="G40" s="63"/>
    </row>
    <row r="41" spans="1:8">
      <c r="B41" t="s">
        <v>331</v>
      </c>
      <c r="F41" s="63"/>
      <c r="G41" s="63"/>
    </row>
    <row r="42" spans="1:8">
      <c r="B42" t="s">
        <v>332</v>
      </c>
      <c r="F42" s="63"/>
      <c r="G42" s="63"/>
    </row>
    <row r="43" spans="1:8">
      <c r="B43" t="s">
        <v>333</v>
      </c>
      <c r="C43" s="106"/>
      <c r="D43" s="106"/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159">
        <f>SUM(E50:E64)</f>
        <v>-5147.6399999999985</v>
      </c>
    </row>
    <row r="50" spans="1:8">
      <c r="A50" s="100">
        <v>44873</v>
      </c>
      <c r="B50" s="8" t="s">
        <v>1054</v>
      </c>
      <c r="C50" s="106"/>
      <c r="D50" s="106" t="s">
        <v>724</v>
      </c>
      <c r="E50" s="163">
        <v>-1111.1199999999999</v>
      </c>
      <c r="G50" s="63"/>
      <c r="H50" s="63"/>
    </row>
    <row r="51" spans="1:8">
      <c r="A51" s="100">
        <v>44995</v>
      </c>
      <c r="B51" s="8" t="s">
        <v>771</v>
      </c>
      <c r="C51">
        <v>613.91</v>
      </c>
      <c r="D51" s="35" t="s">
        <v>1055</v>
      </c>
      <c r="E51" s="163">
        <v>-61.39</v>
      </c>
      <c r="F51" s="63"/>
      <c r="G51" s="63"/>
      <c r="H51" s="63"/>
    </row>
    <row r="52" spans="1:8">
      <c r="A52" s="100">
        <v>44995</v>
      </c>
      <c r="B52" s="8" t="s">
        <v>1028</v>
      </c>
      <c r="C52">
        <v>2258.94</v>
      </c>
      <c r="D52" s="35" t="s">
        <v>470</v>
      </c>
      <c r="E52" s="163">
        <v>-376.49</v>
      </c>
      <c r="F52" s="63"/>
      <c r="G52" s="63"/>
      <c r="H52" s="63"/>
    </row>
    <row r="53" spans="1:8">
      <c r="A53" s="100">
        <v>45043</v>
      </c>
      <c r="B53" s="106" t="s">
        <v>949</v>
      </c>
      <c r="C53" s="106">
        <v>3299</v>
      </c>
      <c r="D53" s="35" t="s">
        <v>926</v>
      </c>
      <c r="E53" s="163">
        <v>-549.83000000000004</v>
      </c>
      <c r="F53" s="63"/>
      <c r="G53" s="63"/>
      <c r="H53" s="63"/>
    </row>
    <row r="54" spans="1:8">
      <c r="A54" s="100">
        <v>45043</v>
      </c>
      <c r="B54" s="106" t="s">
        <v>723</v>
      </c>
      <c r="C54" s="106">
        <v>10764.57</v>
      </c>
      <c r="D54" s="35" t="s">
        <v>925</v>
      </c>
      <c r="E54" s="163">
        <v>-1196.06</v>
      </c>
      <c r="F54" s="63"/>
      <c r="G54" s="63"/>
      <c r="H54" s="63"/>
    </row>
    <row r="55" spans="1:8">
      <c r="A55" s="100">
        <v>45044</v>
      </c>
      <c r="B55" s="8" t="s">
        <v>951</v>
      </c>
      <c r="C55" s="106">
        <v>3123.29</v>
      </c>
      <c r="D55" s="204" t="s">
        <v>926</v>
      </c>
      <c r="E55" s="163">
        <v>-520.54999999999995</v>
      </c>
      <c r="F55" s="63"/>
      <c r="G55" s="63"/>
      <c r="H55" s="63"/>
    </row>
    <row r="56" spans="1:8">
      <c r="A56" s="100">
        <v>45078</v>
      </c>
      <c r="B56" s="106" t="s">
        <v>924</v>
      </c>
      <c r="D56" s="204" t="s">
        <v>605</v>
      </c>
      <c r="E56" s="163">
        <v>-666.67</v>
      </c>
      <c r="F56" s="63"/>
      <c r="G56" s="63"/>
      <c r="H56" s="63"/>
    </row>
    <row r="57" spans="1:8">
      <c r="A57" s="100">
        <v>45077</v>
      </c>
      <c r="B57" s="106" t="s">
        <v>982</v>
      </c>
      <c r="C57" s="106">
        <v>148.6</v>
      </c>
      <c r="D57" s="204" t="s">
        <v>1056</v>
      </c>
      <c r="E57" s="163">
        <v>-37.15</v>
      </c>
      <c r="F57" s="63"/>
      <c r="G57" s="63"/>
      <c r="H57" s="63"/>
    </row>
    <row r="58" spans="1:8">
      <c r="A58" s="100">
        <v>45077</v>
      </c>
      <c r="B58" s="106" t="s">
        <v>984</v>
      </c>
      <c r="C58" s="106">
        <v>244.8</v>
      </c>
      <c r="D58" s="204" t="s">
        <v>1056</v>
      </c>
      <c r="E58" s="163">
        <v>-61.2</v>
      </c>
      <c r="F58" s="63"/>
      <c r="G58" s="63"/>
      <c r="H58" s="63"/>
    </row>
    <row r="59" spans="1:8">
      <c r="A59" s="100">
        <v>45077</v>
      </c>
      <c r="B59" s="106" t="s">
        <v>985</v>
      </c>
      <c r="C59" s="106">
        <v>1204.5</v>
      </c>
      <c r="D59" s="204" t="s">
        <v>1056</v>
      </c>
      <c r="E59" s="163">
        <v>-301.13</v>
      </c>
      <c r="F59" s="63"/>
      <c r="G59" s="63"/>
      <c r="H59" s="63"/>
    </row>
    <row r="60" spans="1:8">
      <c r="A60" s="100">
        <v>45077</v>
      </c>
      <c r="B60" s="8" t="s">
        <v>986</v>
      </c>
      <c r="C60" s="106">
        <v>532.6</v>
      </c>
      <c r="D60" s="204" t="s">
        <v>1056</v>
      </c>
      <c r="E60" s="163">
        <v>-133.15</v>
      </c>
      <c r="F60" s="63"/>
      <c r="G60" s="63"/>
      <c r="H60" s="63"/>
    </row>
    <row r="61" spans="1:8">
      <c r="A61" s="100"/>
      <c r="C61" s="106"/>
      <c r="D61" s="106"/>
      <c r="E61" s="163"/>
      <c r="F61" s="63"/>
      <c r="G61" s="63"/>
      <c r="H61" s="63"/>
    </row>
    <row r="62" spans="1:8">
      <c r="A62" s="100">
        <v>45112</v>
      </c>
      <c r="B62" s="8" t="s">
        <v>1057</v>
      </c>
      <c r="E62" s="163">
        <v>-132.9</v>
      </c>
    </row>
    <row r="63" spans="1:8">
      <c r="A63" s="100"/>
      <c r="D63" s="3" t="s">
        <v>84</v>
      </c>
      <c r="E63" s="163"/>
    </row>
    <row r="65" spans="1:8">
      <c r="D65" s="35"/>
    </row>
    <row r="67" spans="1:8">
      <c r="A67" s="103"/>
      <c r="B67" s="104" t="s">
        <v>85</v>
      </c>
      <c r="C67" s="103"/>
      <c r="D67" s="103"/>
      <c r="E67" s="159">
        <f>SUM(E68:E91)</f>
        <v>-6556.6299999999992</v>
      </c>
    </row>
    <row r="68" spans="1:8">
      <c r="A68" s="100">
        <v>45026</v>
      </c>
      <c r="B68" s="8" t="s">
        <v>952</v>
      </c>
      <c r="C68">
        <v>1140.99</v>
      </c>
      <c r="D68" s="8" t="s">
        <v>1058</v>
      </c>
      <c r="E68">
        <v>-190.17</v>
      </c>
      <c r="F68" s="63"/>
      <c r="G68" s="63"/>
      <c r="H68" s="63"/>
    </row>
    <row r="69" spans="1:8">
      <c r="A69" s="100">
        <v>45105</v>
      </c>
      <c r="B69" s="318" t="s">
        <v>1059</v>
      </c>
      <c r="C69" s="106"/>
      <c r="D69" s="106"/>
      <c r="E69" s="163">
        <v>-27.99</v>
      </c>
      <c r="F69" s="63"/>
      <c r="G69" s="63"/>
      <c r="H69" s="63"/>
    </row>
    <row r="70" spans="1:8">
      <c r="A70" s="100">
        <v>45107</v>
      </c>
      <c r="B70" s="318" t="s">
        <v>1060</v>
      </c>
      <c r="C70" s="106"/>
      <c r="D70" s="106"/>
      <c r="E70" s="163">
        <v>-900</v>
      </c>
      <c r="F70" s="63"/>
      <c r="G70" s="63"/>
      <c r="H70" s="63"/>
    </row>
    <row r="71" spans="1:8">
      <c r="A71" s="100">
        <v>45108</v>
      </c>
      <c r="B71" s="318" t="s">
        <v>1061</v>
      </c>
      <c r="C71" s="106"/>
      <c r="D71" s="106"/>
      <c r="E71" s="163">
        <v>-207.59</v>
      </c>
      <c r="F71" s="63"/>
      <c r="G71" s="63"/>
      <c r="H71" s="63"/>
    </row>
    <row r="72" spans="1:8">
      <c r="A72" s="100">
        <v>45111</v>
      </c>
      <c r="B72" s="106" t="s">
        <v>1062</v>
      </c>
      <c r="C72" s="106">
        <v>3730.59</v>
      </c>
      <c r="D72" s="106"/>
      <c r="E72" s="163"/>
      <c r="F72" s="63"/>
      <c r="G72" s="63"/>
      <c r="H72" s="63"/>
    </row>
    <row r="73" spans="1:8">
      <c r="A73" s="100">
        <v>45113</v>
      </c>
      <c r="B73" s="107" t="s">
        <v>129</v>
      </c>
      <c r="C73" s="67">
        <v>5595.88</v>
      </c>
      <c r="E73" s="163"/>
    </row>
    <row r="74" spans="1:8">
      <c r="C74" s="3">
        <f>SUM(C72:C73)</f>
        <v>9326.4700000000012</v>
      </c>
    </row>
    <row r="75" spans="1:8">
      <c r="A75" s="100">
        <v>45115</v>
      </c>
      <c r="B75" s="8" t="s">
        <v>132</v>
      </c>
      <c r="E75">
        <v>-1356.36</v>
      </c>
    </row>
    <row r="76" spans="1:8">
      <c r="A76" s="100">
        <v>45115</v>
      </c>
      <c r="B76" s="8" t="s">
        <v>132</v>
      </c>
      <c r="E76">
        <v>-1120</v>
      </c>
    </row>
    <row r="77" spans="1:8">
      <c r="B77" t="s">
        <v>1063</v>
      </c>
    </row>
    <row r="78" spans="1:8">
      <c r="A78" s="100">
        <v>45116</v>
      </c>
      <c r="B78" s="8" t="s">
        <v>1064</v>
      </c>
      <c r="E78">
        <v>-437</v>
      </c>
    </row>
    <row r="79" spans="1:8">
      <c r="A79" s="100">
        <v>45116</v>
      </c>
      <c r="B79" s="8" t="s">
        <v>132</v>
      </c>
      <c r="D79" s="35"/>
      <c r="E79">
        <v>-863</v>
      </c>
    </row>
    <row r="80" spans="1:8">
      <c r="A80" s="100">
        <v>45119</v>
      </c>
      <c r="B80" s="8" t="s">
        <v>409</v>
      </c>
      <c r="D80" s="35"/>
      <c r="E80">
        <v>-146.88999999999999</v>
      </c>
    </row>
    <row r="81" spans="1:5">
      <c r="A81" s="100">
        <v>45119</v>
      </c>
      <c r="B81" s="8" t="s">
        <v>651</v>
      </c>
      <c r="E81">
        <v>-150</v>
      </c>
    </row>
    <row r="82" spans="1:5">
      <c r="A82" s="100">
        <v>45120</v>
      </c>
      <c r="B82" s="8" t="s">
        <v>651</v>
      </c>
      <c r="E82">
        <v>-150</v>
      </c>
    </row>
    <row r="83" spans="1:5">
      <c r="A83" s="100">
        <v>45121</v>
      </c>
      <c r="B83" s="8" t="s">
        <v>651</v>
      </c>
      <c r="E83">
        <v>-150</v>
      </c>
    </row>
    <row r="84" spans="1:5">
      <c r="A84" s="100">
        <v>45124</v>
      </c>
      <c r="B84" s="8" t="s">
        <v>651</v>
      </c>
      <c r="E84">
        <v>-150</v>
      </c>
    </row>
    <row r="85" spans="1:5">
      <c r="A85" s="100">
        <v>45125</v>
      </c>
      <c r="B85" s="8" t="s">
        <v>651</v>
      </c>
      <c r="E85">
        <v>-160</v>
      </c>
    </row>
    <row r="86" spans="1:5">
      <c r="A86" s="100">
        <v>45129</v>
      </c>
      <c r="B86" s="8" t="s">
        <v>409</v>
      </c>
      <c r="E86">
        <v>-20.059999999999999</v>
      </c>
    </row>
    <row r="87" spans="1:5">
      <c r="A87" s="100">
        <v>45130</v>
      </c>
      <c r="B87" s="8" t="s">
        <v>1065</v>
      </c>
      <c r="E87">
        <v>-275.54000000000002</v>
      </c>
    </row>
    <row r="88" spans="1:5">
      <c r="A88" s="100">
        <v>45130</v>
      </c>
      <c r="B88" s="8" t="s">
        <v>959</v>
      </c>
      <c r="E88">
        <v>-212.45</v>
      </c>
    </row>
    <row r="89" spans="1:5">
      <c r="A89" s="100">
        <v>45131</v>
      </c>
      <c r="B89" s="8" t="s">
        <v>542</v>
      </c>
      <c r="E89">
        <v>-4.57</v>
      </c>
    </row>
    <row r="90" spans="1:5">
      <c r="A90" s="100">
        <v>45131</v>
      </c>
      <c r="B90" s="8" t="s">
        <v>1066</v>
      </c>
      <c r="E90">
        <v>-4.57</v>
      </c>
    </row>
    <row r="91" spans="1:5">
      <c r="A91" s="100">
        <v>45131</v>
      </c>
      <c r="B91" s="8" t="s">
        <v>544</v>
      </c>
      <c r="E91">
        <v>-30.44</v>
      </c>
    </row>
    <row r="92" spans="1:5">
      <c r="D92" s="3" t="s">
        <v>84</v>
      </c>
    </row>
    <row r="111" spans="1:5">
      <c r="A111" s="113" t="s">
        <v>1067</v>
      </c>
      <c r="B111" s="104" t="s">
        <v>136</v>
      </c>
      <c r="C111" s="103">
        <v>2023</v>
      </c>
      <c r="D111" s="158"/>
      <c r="E111" s="159">
        <f>SUM(E112:E120)</f>
        <v>399800.57</v>
      </c>
    </row>
    <row r="112" spans="1:5">
      <c r="A112" s="100">
        <v>45169</v>
      </c>
      <c r="B112" s="8" t="s">
        <v>77</v>
      </c>
      <c r="C112" s="2"/>
      <c r="D112" s="2"/>
      <c r="E112" s="17">
        <v>64000</v>
      </c>
    </row>
    <row r="113" spans="1:5">
      <c r="A113" s="100">
        <v>45169</v>
      </c>
      <c r="B113" s="8" t="s">
        <v>1068</v>
      </c>
      <c r="C113" s="2"/>
      <c r="D113" s="2"/>
      <c r="E113" s="17">
        <v>53088</v>
      </c>
    </row>
    <row r="114" spans="1:5">
      <c r="A114" s="100">
        <v>45169</v>
      </c>
      <c r="B114" s="8" t="s">
        <v>300</v>
      </c>
      <c r="C114" s="2"/>
      <c r="D114" s="2"/>
      <c r="E114" s="17">
        <v>28245.88</v>
      </c>
    </row>
    <row r="115" spans="1:5">
      <c r="A115" s="100">
        <v>45169</v>
      </c>
      <c r="B115" s="8" t="s">
        <v>301</v>
      </c>
      <c r="C115" s="2"/>
      <c r="D115" s="2"/>
      <c r="E115" s="17">
        <v>450.49</v>
      </c>
    </row>
    <row r="116" spans="1:5">
      <c r="A116" s="100">
        <v>45169</v>
      </c>
      <c r="B116" s="8" t="s">
        <v>1005</v>
      </c>
      <c r="C116" s="2">
        <v>1600</v>
      </c>
      <c r="D116" s="2">
        <v>111</v>
      </c>
      <c r="E116" s="17">
        <f>D116*C116</f>
        <v>177600</v>
      </c>
    </row>
    <row r="117" spans="1:5">
      <c r="A117" s="100">
        <v>45169</v>
      </c>
      <c r="B117" s="8" t="s">
        <v>1069</v>
      </c>
      <c r="C117" s="162">
        <v>26.308</v>
      </c>
      <c r="D117" s="2">
        <v>850</v>
      </c>
      <c r="E117" s="17">
        <f>D117*C117</f>
        <v>22361.8</v>
      </c>
    </row>
    <row r="118" spans="1:5">
      <c r="A118" s="100">
        <v>45169</v>
      </c>
      <c r="B118" s="8" t="s">
        <v>1070</v>
      </c>
      <c r="C118" s="162">
        <v>28.544</v>
      </c>
      <c r="D118" s="2">
        <v>100</v>
      </c>
      <c r="E118" s="17">
        <f>D118*C118</f>
        <v>2854.4</v>
      </c>
    </row>
    <row r="119" spans="1:5">
      <c r="A119" s="100">
        <v>45169</v>
      </c>
      <c r="B119" s="8" t="s">
        <v>152</v>
      </c>
      <c r="C119" s="2"/>
      <c r="D119" s="2"/>
      <c r="E119" s="17">
        <v>50850</v>
      </c>
    </row>
    <row r="120" spans="1:5">
      <c r="A120" s="100"/>
      <c r="B120" s="8" t="s">
        <v>153</v>
      </c>
      <c r="C120" s="2"/>
      <c r="D120" s="2"/>
      <c r="E120" s="17">
        <v>350</v>
      </c>
    </row>
    <row r="121" spans="1:5">
      <c r="C121" s="3" t="str">
        <f>A111</f>
        <v>AĞUSTOS</v>
      </c>
      <c r="D121" s="18" t="s">
        <v>156</v>
      </c>
      <c r="E121" s="63">
        <f>H13</f>
        <v>-21230.350000000002</v>
      </c>
    </row>
    <row r="122" spans="1:5">
      <c r="D122" s="3"/>
    </row>
    <row r="123" spans="1:5">
      <c r="D123" s="18" t="s">
        <v>155</v>
      </c>
      <c r="E123" s="8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1071</v>
      </c>
      <c r="C2" s="79" t="s">
        <v>67</v>
      </c>
      <c r="D2" s="306">
        <f>SUM(D4:D34)</f>
        <v>67911</v>
      </c>
      <c r="E2" s="306">
        <f>SUM(E4:E33)</f>
        <v>-35277.64</v>
      </c>
      <c r="F2" s="306">
        <f>SUM(F4:F35)</f>
        <v>70250</v>
      </c>
      <c r="G2" s="306">
        <f>SUM(G4:G35)</f>
        <v>-42110.31</v>
      </c>
      <c r="H2" s="306">
        <f>F2+G2</f>
        <v>28139.690000000002</v>
      </c>
    </row>
    <row r="3" spans="1:9">
      <c r="B3" s="18"/>
      <c r="H3" s="63"/>
    </row>
    <row r="4" spans="1:9">
      <c r="B4" s="101" t="s">
        <v>80</v>
      </c>
      <c r="C4" s="101"/>
      <c r="D4" s="101"/>
      <c r="E4" s="63">
        <v>-400</v>
      </c>
      <c r="G4" s="63">
        <v>-400</v>
      </c>
      <c r="H4" s="63">
        <f t="shared" ref="H4:H30" si="0">H3+F4+G4</f>
        <v>-400</v>
      </c>
    </row>
    <row r="5" spans="1:9">
      <c r="B5" s="101" t="s">
        <v>81</v>
      </c>
      <c r="C5" s="101"/>
      <c r="D5" s="101"/>
      <c r="E5" s="63">
        <v>-500</v>
      </c>
      <c r="G5" s="63">
        <v>-198</v>
      </c>
      <c r="H5" s="63">
        <f t="shared" si="0"/>
        <v>-598</v>
      </c>
    </row>
    <row r="6" spans="1:9">
      <c r="B6" s="101" t="s">
        <v>1072</v>
      </c>
      <c r="C6" s="101"/>
      <c r="D6" s="101"/>
      <c r="E6" s="63">
        <v>-250</v>
      </c>
      <c r="G6" s="63">
        <v>-254</v>
      </c>
      <c r="H6" s="63">
        <f t="shared" si="0"/>
        <v>-852</v>
      </c>
    </row>
    <row r="7" spans="1:9">
      <c r="A7" s="165">
        <v>45112</v>
      </c>
      <c r="B7" s="101" t="s">
        <v>1073</v>
      </c>
      <c r="C7" s="101"/>
      <c r="D7" s="101"/>
      <c r="E7" s="163"/>
      <c r="G7" s="63">
        <v>-3500</v>
      </c>
      <c r="H7" s="63">
        <f t="shared" si="0"/>
        <v>-4352</v>
      </c>
    </row>
    <row r="8" spans="1:9">
      <c r="A8" s="165">
        <v>45112</v>
      </c>
      <c r="B8" s="101" t="s">
        <v>1074</v>
      </c>
      <c r="C8" s="101"/>
      <c r="D8" s="101"/>
      <c r="E8" s="163"/>
      <c r="G8" s="63">
        <v>-3500</v>
      </c>
      <c r="H8" s="63">
        <f t="shared" si="0"/>
        <v>-7852</v>
      </c>
    </row>
    <row r="9" spans="1:9">
      <c r="B9" s="178" t="s">
        <v>72</v>
      </c>
      <c r="E9" s="63">
        <f>D47*-1</f>
        <v>-32.700000000000003</v>
      </c>
      <c r="G9" s="63">
        <f>E9</f>
        <v>-32.700000000000003</v>
      </c>
      <c r="H9" s="63">
        <f t="shared" si="0"/>
        <v>-7884.7</v>
      </c>
    </row>
    <row r="10" spans="1:9">
      <c r="A10" s="165">
        <v>45112</v>
      </c>
      <c r="B10" s="178" t="s">
        <v>68</v>
      </c>
      <c r="E10" s="63">
        <f>E53</f>
        <v>-6143.73</v>
      </c>
      <c r="F10" s="63"/>
      <c r="G10" s="63">
        <v>-6143.73</v>
      </c>
      <c r="H10" s="63">
        <f t="shared" si="0"/>
        <v>-14028.43</v>
      </c>
    </row>
    <row r="11" spans="1:9">
      <c r="A11" s="165">
        <v>45111</v>
      </c>
      <c r="B11" s="178" t="s">
        <v>69</v>
      </c>
      <c r="E11" s="63">
        <f>E69</f>
        <v>-9326.4700000000012</v>
      </c>
      <c r="H11" s="63">
        <f t="shared" si="0"/>
        <v>-14028.43</v>
      </c>
    </row>
    <row r="12" spans="1:9">
      <c r="A12" s="165">
        <v>45111</v>
      </c>
      <c r="B12" s="178" t="s">
        <v>1075</v>
      </c>
      <c r="E12" s="63"/>
      <c r="G12" s="63">
        <v>-3730.59</v>
      </c>
      <c r="H12" s="63">
        <f t="shared" si="0"/>
        <v>-17759.02</v>
      </c>
    </row>
    <row r="13" spans="1:9">
      <c r="A13" s="165">
        <v>45113</v>
      </c>
      <c r="B13" s="319" t="s">
        <v>1076</v>
      </c>
      <c r="E13" s="63"/>
      <c r="G13" s="63">
        <v>-5595.88</v>
      </c>
      <c r="H13" s="63">
        <f t="shared" si="0"/>
        <v>-23354.9</v>
      </c>
      <c r="I13" s="282"/>
    </row>
    <row r="14" spans="1:9">
      <c r="A14" s="100">
        <v>45113</v>
      </c>
      <c r="B14" s="101" t="s">
        <v>1077</v>
      </c>
      <c r="C14" s="101" t="s">
        <v>386</v>
      </c>
      <c r="D14" s="101"/>
      <c r="E14" s="63">
        <v>-5375</v>
      </c>
      <c r="G14" s="63">
        <v>-5375</v>
      </c>
      <c r="H14" s="63">
        <f t="shared" si="0"/>
        <v>-28729.9</v>
      </c>
    </row>
    <row r="15" spans="1:9">
      <c r="A15" s="100">
        <v>45113</v>
      </c>
      <c r="B15" s="101" t="s">
        <v>1077</v>
      </c>
      <c r="C15" s="101"/>
      <c r="D15" s="101"/>
      <c r="E15" s="63">
        <v>-2125</v>
      </c>
      <c r="G15" s="63">
        <v>-2125</v>
      </c>
      <c r="H15" s="63">
        <f t="shared" si="0"/>
        <v>-30854.9</v>
      </c>
    </row>
    <row r="16" spans="1:9">
      <c r="A16" s="165">
        <v>45112</v>
      </c>
      <c r="B16" s="101" t="s">
        <v>1078</v>
      </c>
      <c r="C16" s="101"/>
      <c r="D16" s="101"/>
      <c r="E16" s="63">
        <v>-674.74</v>
      </c>
      <c r="F16" s="163"/>
      <c r="G16" s="63">
        <v>-955.41</v>
      </c>
      <c r="H16" s="63">
        <f t="shared" si="0"/>
        <v>-31810.31</v>
      </c>
    </row>
    <row r="17" spans="1:8">
      <c r="B17" s="101" t="s">
        <v>75</v>
      </c>
      <c r="C17" s="101" t="s">
        <v>323</v>
      </c>
      <c r="D17" s="101"/>
      <c r="E17" s="63">
        <v>-150</v>
      </c>
      <c r="F17" s="163"/>
      <c r="G17" s="63">
        <v>0</v>
      </c>
      <c r="H17" s="63">
        <f t="shared" si="0"/>
        <v>-31810.31</v>
      </c>
    </row>
    <row r="18" spans="1:8">
      <c r="B18" s="106" t="s">
        <v>73</v>
      </c>
      <c r="C18" s="106"/>
      <c r="D18" s="106"/>
      <c r="E18" s="63">
        <v>-300</v>
      </c>
      <c r="F18" s="163"/>
      <c r="G18" s="63">
        <v>0</v>
      </c>
      <c r="H18" s="63">
        <f t="shared" si="0"/>
        <v>-31810.31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-31810.31</v>
      </c>
    </row>
    <row r="20" spans="1:8">
      <c r="B20" t="s">
        <v>77</v>
      </c>
      <c r="E20" s="63">
        <v>-3300</v>
      </c>
      <c r="F20" s="63"/>
      <c r="G20" s="63">
        <v>-3500</v>
      </c>
      <c r="H20" s="63">
        <f t="shared" si="0"/>
        <v>-35310.31</v>
      </c>
    </row>
    <row r="21" spans="1:8">
      <c r="B21" t="s">
        <v>78</v>
      </c>
      <c r="E21" s="63">
        <v>-3300</v>
      </c>
      <c r="F21" s="63"/>
      <c r="G21" s="63">
        <v>-3500</v>
      </c>
      <c r="H21" s="63">
        <f t="shared" si="0"/>
        <v>-38810.31</v>
      </c>
    </row>
    <row r="22" spans="1:8">
      <c r="B22" t="s">
        <v>79</v>
      </c>
      <c r="E22" s="63">
        <v>-3300</v>
      </c>
      <c r="F22" s="63"/>
      <c r="G22" s="63">
        <v>-3300</v>
      </c>
      <c r="H22" s="63">
        <f t="shared" si="0"/>
        <v>-42110.31</v>
      </c>
    </row>
    <row r="23" spans="1:8">
      <c r="A23" s="100">
        <v>45122</v>
      </c>
      <c r="B23" s="8" t="s">
        <v>1079</v>
      </c>
      <c r="D23" s="2">
        <v>50000</v>
      </c>
      <c r="E23" s="163"/>
      <c r="F23" s="63">
        <v>50000</v>
      </c>
      <c r="G23" s="63"/>
      <c r="H23" s="63">
        <f t="shared" si="0"/>
        <v>7889.6900000000023</v>
      </c>
    </row>
    <row r="24" spans="1:8">
      <c r="B24" t="s">
        <v>2</v>
      </c>
      <c r="D24" s="2">
        <v>1111</v>
      </c>
      <c r="E24" s="163"/>
      <c r="F24" s="63"/>
      <c r="G24" s="63"/>
      <c r="H24" s="63">
        <f t="shared" si="0"/>
        <v>7889.6900000000023</v>
      </c>
    </row>
    <row r="25" spans="1:8">
      <c r="A25" s="100">
        <v>45119</v>
      </c>
      <c r="B25" s="8" t="s">
        <v>1080</v>
      </c>
      <c r="D25" s="17"/>
      <c r="E25" s="163"/>
      <c r="F25" s="63">
        <v>3450</v>
      </c>
      <c r="G25" s="63"/>
      <c r="H25" s="63">
        <f t="shared" si="0"/>
        <v>11339.690000000002</v>
      </c>
    </row>
    <row r="26" spans="1:8">
      <c r="B26" t="s">
        <v>76</v>
      </c>
      <c r="D26" s="186">
        <v>7500</v>
      </c>
      <c r="F26" s="63">
        <v>7500</v>
      </c>
      <c r="G26" s="63"/>
      <c r="H26" s="63">
        <f t="shared" si="0"/>
        <v>18839.690000000002</v>
      </c>
    </row>
    <row r="27" spans="1:8">
      <c r="B27" t="s">
        <v>1081</v>
      </c>
      <c r="D27" s="186">
        <v>2800</v>
      </c>
      <c r="F27" s="63">
        <v>2800</v>
      </c>
      <c r="G27" s="63"/>
      <c r="H27" s="63">
        <f t="shared" si="0"/>
        <v>21639.690000000002</v>
      </c>
    </row>
    <row r="28" spans="1:8">
      <c r="B28" t="s">
        <v>1082</v>
      </c>
      <c r="D28" s="186">
        <v>6500</v>
      </c>
      <c r="F28" s="63">
        <v>6500</v>
      </c>
      <c r="G28" s="63"/>
      <c r="H28" s="63">
        <f t="shared" si="0"/>
        <v>28139.690000000002</v>
      </c>
    </row>
    <row r="29" spans="1:8">
      <c r="D29" s="102"/>
      <c r="H29" s="63">
        <f t="shared" si="0"/>
        <v>28139.690000000002</v>
      </c>
    </row>
    <row r="30" spans="1:8">
      <c r="D30" s="102"/>
      <c r="F30" s="63"/>
      <c r="G30" s="63"/>
      <c r="H30" s="63">
        <f t="shared" si="0"/>
        <v>28139.690000000002</v>
      </c>
    </row>
    <row r="31" spans="1:8">
      <c r="A31" s="100"/>
      <c r="D31" s="102"/>
      <c r="H31" s="63"/>
    </row>
    <row r="32" spans="1:8">
      <c r="D32" s="63"/>
      <c r="F32" s="63"/>
      <c r="G32" s="63"/>
      <c r="H32" s="63"/>
    </row>
    <row r="33" spans="1:8" ht="15.75">
      <c r="B33" s="179"/>
      <c r="F33" s="63"/>
      <c r="G33" s="63"/>
      <c r="H33" s="63"/>
    </row>
    <row r="34" spans="1:8">
      <c r="E34" s="63"/>
      <c r="G34" s="63"/>
      <c r="H34" s="63"/>
    </row>
    <row r="35" spans="1:8">
      <c r="B35" t="s">
        <v>325</v>
      </c>
      <c r="E35" s="63"/>
      <c r="G35" s="63"/>
      <c r="H35" s="63"/>
    </row>
    <row r="36" spans="1:8">
      <c r="A36" s="103" t="s">
        <v>326</v>
      </c>
      <c r="B36" s="103"/>
      <c r="C36" s="103"/>
      <c r="D36" s="103"/>
      <c r="E36" s="158"/>
      <c r="G36" s="63"/>
      <c r="H36" s="63"/>
    </row>
    <row r="37" spans="1:8">
      <c r="A37" s="317"/>
      <c r="B37" s="312"/>
      <c r="C37" s="312"/>
      <c r="D37" s="312"/>
      <c r="E37" s="313"/>
      <c r="H37" s="63"/>
    </row>
    <row r="38" spans="1:8">
      <c r="A38" s="317"/>
      <c r="B38" s="312"/>
      <c r="C38" s="314"/>
      <c r="D38" s="312"/>
      <c r="E38" s="312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100"/>
      <c r="C40" s="171"/>
      <c r="H40" s="63"/>
    </row>
    <row r="41" spans="1:8">
      <c r="A41" s="172">
        <v>44929</v>
      </c>
      <c r="B41" s="173" t="s">
        <v>327</v>
      </c>
      <c r="C41" s="103"/>
      <c r="D41" s="201">
        <f>SUM(D42:D49)</f>
        <v>3120.43</v>
      </c>
      <c r="E41" s="201">
        <f>SUM(E42:E49)</f>
        <v>1344.7</v>
      </c>
      <c r="H41" s="63"/>
    </row>
    <row r="42" spans="1:8">
      <c r="B42" t="s">
        <v>920</v>
      </c>
      <c r="D42">
        <v>547.27</v>
      </c>
      <c r="E42" s="63"/>
      <c r="F42" s="63"/>
      <c r="G42" s="63"/>
    </row>
    <row r="43" spans="1:8">
      <c r="B43" t="s">
        <v>329</v>
      </c>
      <c r="D43">
        <v>990.96</v>
      </c>
      <c r="E43" s="63">
        <v>990</v>
      </c>
      <c r="F43" s="63"/>
      <c r="G43" s="63"/>
    </row>
    <row r="44" spans="1:8">
      <c r="B44" t="s">
        <v>330</v>
      </c>
      <c r="D44">
        <v>112.16</v>
      </c>
      <c r="F44" s="63"/>
      <c r="G44" s="63"/>
    </row>
    <row r="45" spans="1:8">
      <c r="B45" t="s">
        <v>331</v>
      </c>
      <c r="D45">
        <v>1115.05</v>
      </c>
      <c r="F45" s="63"/>
      <c r="G45" s="63"/>
    </row>
    <row r="46" spans="1:8">
      <c r="B46" t="s">
        <v>332</v>
      </c>
      <c r="D46">
        <v>322.29000000000002</v>
      </c>
      <c r="E46">
        <v>322</v>
      </c>
      <c r="F46" s="63"/>
      <c r="G46" s="63"/>
    </row>
    <row r="47" spans="1:8">
      <c r="B47" t="s">
        <v>333</v>
      </c>
      <c r="C47" s="106"/>
      <c r="D47" s="106">
        <v>32.700000000000003</v>
      </c>
      <c r="E47">
        <v>32.700000000000003</v>
      </c>
      <c r="F47" s="63"/>
      <c r="G47" s="63"/>
    </row>
    <row r="48" spans="1:8">
      <c r="C48" s="106"/>
      <c r="E48" s="106"/>
      <c r="F48" s="63"/>
      <c r="G48" s="63"/>
    </row>
    <row r="49" spans="1:8">
      <c r="C49" s="106"/>
      <c r="D49" s="106"/>
      <c r="E49" s="163"/>
      <c r="F49" s="63"/>
      <c r="G49" s="63"/>
    </row>
    <row r="51" spans="1:8">
      <c r="B51" s="17"/>
    </row>
    <row r="52" spans="1:8">
      <c r="B52" s="102"/>
    </row>
    <row r="53" spans="1:8">
      <c r="A53" s="103"/>
      <c r="B53" s="104" t="s">
        <v>83</v>
      </c>
      <c r="C53" s="103"/>
      <c r="D53" s="158"/>
      <c r="E53" s="159">
        <f>SUM(E54:E66)</f>
        <v>-6143.73</v>
      </c>
    </row>
    <row r="54" spans="1:8">
      <c r="A54" s="100">
        <v>44873</v>
      </c>
      <c r="B54" s="8" t="s">
        <v>1054</v>
      </c>
      <c r="C54" s="106"/>
      <c r="D54" s="106" t="s">
        <v>363</v>
      </c>
      <c r="E54" s="163">
        <v>-1111.1099999999999</v>
      </c>
      <c r="G54" s="63"/>
      <c r="H54" s="63"/>
    </row>
    <row r="55" spans="1:8">
      <c r="A55" s="100">
        <v>44995</v>
      </c>
      <c r="B55" s="8" t="s">
        <v>771</v>
      </c>
      <c r="C55">
        <v>613.91</v>
      </c>
      <c r="D55" s="35" t="s">
        <v>1083</v>
      </c>
      <c r="E55" s="163">
        <v>-61.39</v>
      </c>
      <c r="F55" s="63"/>
      <c r="G55" s="63"/>
      <c r="H55" s="63"/>
    </row>
    <row r="56" spans="1:8">
      <c r="A56" s="100">
        <v>44995</v>
      </c>
      <c r="B56" s="8" t="s">
        <v>1028</v>
      </c>
      <c r="C56">
        <v>2258.94</v>
      </c>
      <c r="D56" s="35" t="s">
        <v>513</v>
      </c>
      <c r="E56" s="163">
        <v>-376.49</v>
      </c>
      <c r="F56" s="63"/>
      <c r="G56" s="63"/>
      <c r="H56" s="63"/>
    </row>
    <row r="57" spans="1:8">
      <c r="A57" s="100">
        <v>45043</v>
      </c>
      <c r="B57" s="106" t="s">
        <v>949</v>
      </c>
      <c r="C57" s="106">
        <v>3299</v>
      </c>
      <c r="D57" s="35" t="s">
        <v>605</v>
      </c>
      <c r="E57" s="163">
        <v>-549.83000000000004</v>
      </c>
      <c r="F57" s="63"/>
      <c r="G57" s="63"/>
      <c r="H57" s="63"/>
    </row>
    <row r="58" spans="1:8">
      <c r="A58" s="100">
        <v>45043</v>
      </c>
      <c r="B58" s="106" t="s">
        <v>723</v>
      </c>
      <c r="C58" s="106">
        <v>10764.57</v>
      </c>
      <c r="D58" s="35" t="s">
        <v>607</v>
      </c>
      <c r="E58" s="163">
        <v>-1196.06</v>
      </c>
      <c r="F58" s="63"/>
      <c r="G58" s="63"/>
      <c r="H58" s="63"/>
    </row>
    <row r="59" spans="1:8">
      <c r="A59" s="100">
        <v>45044</v>
      </c>
      <c r="B59" s="8" t="s">
        <v>951</v>
      </c>
      <c r="C59" s="106">
        <v>3123.29</v>
      </c>
      <c r="D59" s="204" t="s">
        <v>605</v>
      </c>
      <c r="E59" s="163">
        <v>-520.54999999999995</v>
      </c>
      <c r="F59" s="63"/>
      <c r="G59" s="63"/>
      <c r="H59" s="63"/>
    </row>
    <row r="60" spans="1:8">
      <c r="A60" s="100">
        <v>45077</v>
      </c>
      <c r="B60" s="106" t="s">
        <v>982</v>
      </c>
      <c r="C60" s="106">
        <v>148.6</v>
      </c>
      <c r="D60" s="204" t="s">
        <v>1084</v>
      </c>
      <c r="E60" s="163">
        <v>-37.15</v>
      </c>
      <c r="F60" s="63"/>
      <c r="G60" s="63"/>
      <c r="H60" s="63"/>
    </row>
    <row r="61" spans="1:8">
      <c r="A61" s="100">
        <v>45077</v>
      </c>
      <c r="B61" s="106" t="s">
        <v>984</v>
      </c>
      <c r="C61" s="106">
        <v>244.8</v>
      </c>
      <c r="D61" s="204" t="s">
        <v>1084</v>
      </c>
      <c r="E61" s="163">
        <v>-61.2</v>
      </c>
      <c r="F61" s="63"/>
      <c r="G61" s="63"/>
      <c r="H61" s="63"/>
    </row>
    <row r="62" spans="1:8">
      <c r="A62" s="100">
        <v>45077</v>
      </c>
      <c r="B62" s="106" t="s">
        <v>985</v>
      </c>
      <c r="C62" s="106">
        <v>1204.5</v>
      </c>
      <c r="D62" s="204" t="s">
        <v>1084</v>
      </c>
      <c r="E62" s="163">
        <v>-301.13</v>
      </c>
      <c r="F62" s="63"/>
      <c r="G62" s="63"/>
      <c r="H62" s="63"/>
    </row>
    <row r="63" spans="1:8">
      <c r="A63" s="100">
        <v>45077</v>
      </c>
      <c r="B63" s="8" t="s">
        <v>986</v>
      </c>
      <c r="C63" s="106">
        <v>532.6</v>
      </c>
      <c r="D63" s="204" t="s">
        <v>1084</v>
      </c>
      <c r="E63" s="163">
        <v>-133.15</v>
      </c>
      <c r="F63" s="63"/>
      <c r="G63" s="63"/>
      <c r="H63" s="63"/>
    </row>
    <row r="64" spans="1:8">
      <c r="A64" s="100">
        <v>45078</v>
      </c>
      <c r="B64" s="106" t="s">
        <v>924</v>
      </c>
      <c r="D64" s="204" t="s">
        <v>644</v>
      </c>
      <c r="E64" s="163">
        <v>-666.67</v>
      </c>
      <c r="F64" s="63"/>
    </row>
    <row r="65" spans="1:8">
      <c r="A65" s="100">
        <v>45091</v>
      </c>
      <c r="B65" s="106" t="s">
        <v>1085</v>
      </c>
      <c r="E65" s="163">
        <v>-1129</v>
      </c>
      <c r="F65" s="63"/>
    </row>
    <row r="66" spans="1:8">
      <c r="A66" s="100"/>
      <c r="B66" s="106"/>
      <c r="D66" s="3" t="s">
        <v>84</v>
      </c>
      <c r="E66" s="163"/>
      <c r="F66" s="63"/>
    </row>
    <row r="67" spans="1:8">
      <c r="D67" s="35"/>
    </row>
    <row r="69" spans="1:8">
      <c r="A69" s="103"/>
      <c r="B69" s="104" t="s">
        <v>85</v>
      </c>
      <c r="C69" s="103"/>
      <c r="D69" s="103"/>
      <c r="E69" s="159">
        <f>SUM(E70:E97)</f>
        <v>-9326.4700000000012</v>
      </c>
    </row>
    <row r="70" spans="1:8">
      <c r="A70" s="100">
        <v>45026</v>
      </c>
      <c r="B70" s="8" t="s">
        <v>952</v>
      </c>
      <c r="C70">
        <v>1140.99</v>
      </c>
      <c r="D70" s="8" t="s">
        <v>928</v>
      </c>
      <c r="E70">
        <v>-190.17</v>
      </c>
      <c r="F70" s="63"/>
      <c r="G70" s="63"/>
      <c r="H70" s="63"/>
    </row>
    <row r="71" spans="1:8">
      <c r="A71" s="100">
        <v>45070</v>
      </c>
      <c r="B71" s="106" t="s">
        <v>1086</v>
      </c>
      <c r="C71" s="106"/>
      <c r="D71" s="106"/>
      <c r="E71" s="163">
        <v>-350</v>
      </c>
      <c r="F71" s="63"/>
      <c r="G71" s="63"/>
      <c r="H71" s="63"/>
    </row>
    <row r="72" spans="1:8">
      <c r="A72" s="100">
        <v>45070</v>
      </c>
      <c r="B72" s="106" t="s">
        <v>1087</v>
      </c>
      <c r="C72" s="106"/>
      <c r="D72" s="106"/>
      <c r="E72" s="163">
        <v>-63.15</v>
      </c>
      <c r="F72" s="63"/>
      <c r="G72" s="63"/>
      <c r="H72" s="63"/>
    </row>
    <row r="73" spans="1:8">
      <c r="A73" s="100">
        <v>45072</v>
      </c>
      <c r="B73" s="106" t="s">
        <v>1088</v>
      </c>
      <c r="C73" s="106"/>
      <c r="D73" s="106"/>
      <c r="E73" s="163">
        <v>-200</v>
      </c>
      <c r="F73" s="63"/>
      <c r="G73" s="63"/>
      <c r="H73" s="63"/>
    </row>
    <row r="74" spans="1:8">
      <c r="A74" s="100">
        <v>45075</v>
      </c>
      <c r="B74" s="106" t="s">
        <v>1088</v>
      </c>
      <c r="C74" s="106"/>
      <c r="D74" s="106"/>
      <c r="E74" s="163">
        <v>-150</v>
      </c>
      <c r="F74" s="63"/>
      <c r="G74" s="63"/>
      <c r="H74" s="63"/>
    </row>
    <row r="75" spans="1:8">
      <c r="A75" s="100">
        <v>45077</v>
      </c>
      <c r="B75" s="107" t="s">
        <v>1088</v>
      </c>
      <c r="E75" s="163">
        <v>-225</v>
      </c>
    </row>
    <row r="76" spans="1:8">
      <c r="B76" s="106" t="s">
        <v>269</v>
      </c>
      <c r="C76">
        <v>-1207</v>
      </c>
    </row>
    <row r="77" spans="1:8">
      <c r="A77" s="165">
        <v>45080</v>
      </c>
      <c r="B77" s="106" t="s">
        <v>1088</v>
      </c>
      <c r="E77" s="163">
        <v>-180</v>
      </c>
    </row>
    <row r="78" spans="1:8">
      <c r="A78" s="165">
        <v>45080</v>
      </c>
      <c r="B78" s="106" t="s">
        <v>1089</v>
      </c>
      <c r="E78" s="163">
        <v>-850</v>
      </c>
    </row>
    <row r="79" spans="1:8">
      <c r="A79" s="165">
        <v>45082</v>
      </c>
      <c r="B79" s="106" t="s">
        <v>1090</v>
      </c>
      <c r="E79" s="163">
        <v>-112.11</v>
      </c>
    </row>
    <row r="80" spans="1:8">
      <c r="A80" s="165">
        <v>45082</v>
      </c>
      <c r="B80" s="106" t="s">
        <v>1088</v>
      </c>
      <c r="E80" s="163">
        <v>-150</v>
      </c>
    </row>
    <row r="81" spans="1:5">
      <c r="A81" s="165">
        <v>45084</v>
      </c>
      <c r="B81" s="106" t="s">
        <v>1088</v>
      </c>
      <c r="D81" s="35"/>
      <c r="E81" s="163">
        <v>-250</v>
      </c>
    </row>
    <row r="82" spans="1:5">
      <c r="A82" s="165">
        <v>45085</v>
      </c>
      <c r="B82" s="106" t="s">
        <v>1088</v>
      </c>
      <c r="D82" s="35"/>
      <c r="E82" s="163">
        <v>-250</v>
      </c>
    </row>
    <row r="83" spans="1:5">
      <c r="A83" s="165">
        <v>45086</v>
      </c>
      <c r="B83" s="8" t="s">
        <v>1091</v>
      </c>
      <c r="E83" s="163">
        <v>-1420</v>
      </c>
    </row>
    <row r="84" spans="1:5">
      <c r="A84" s="165">
        <v>45087</v>
      </c>
      <c r="B84" s="8" t="s">
        <v>1092</v>
      </c>
      <c r="E84" s="163">
        <v>-242.56</v>
      </c>
    </row>
    <row r="85" spans="1:5">
      <c r="A85" s="165">
        <v>45089</v>
      </c>
      <c r="B85" s="8" t="s">
        <v>1093</v>
      </c>
      <c r="E85" s="163">
        <v>-167.19</v>
      </c>
    </row>
    <row r="86" spans="1:5">
      <c r="A86" s="165">
        <v>45091</v>
      </c>
      <c r="B86" s="8" t="s">
        <v>1088</v>
      </c>
      <c r="E86" s="163">
        <v>-200</v>
      </c>
    </row>
    <row r="87" spans="1:5">
      <c r="A87" s="165">
        <v>45091</v>
      </c>
      <c r="B87" s="8" t="s">
        <v>1090</v>
      </c>
      <c r="E87" s="163">
        <v>-61.41</v>
      </c>
    </row>
    <row r="88" spans="1:5">
      <c r="A88" s="165">
        <v>45092</v>
      </c>
      <c r="B88" s="8" t="s">
        <v>1088</v>
      </c>
      <c r="E88" s="163">
        <v>-200</v>
      </c>
    </row>
    <row r="89" spans="1:5">
      <c r="A89" s="100">
        <v>45095</v>
      </c>
      <c r="B89" s="8" t="s">
        <v>1094</v>
      </c>
      <c r="E89" s="163">
        <v>-257</v>
      </c>
    </row>
    <row r="90" spans="1:5">
      <c r="A90" s="100">
        <v>45096</v>
      </c>
      <c r="B90" s="8" t="s">
        <v>651</v>
      </c>
      <c r="E90" s="163">
        <v>-250</v>
      </c>
    </row>
    <row r="91" spans="1:5">
      <c r="A91" s="100">
        <v>45097</v>
      </c>
      <c r="B91" s="8" t="s">
        <v>1095</v>
      </c>
      <c r="E91" s="163">
        <v>-110</v>
      </c>
    </row>
    <row r="92" spans="1:5">
      <c r="A92" s="100">
        <v>45098</v>
      </c>
      <c r="B92" s="8" t="s">
        <v>1096</v>
      </c>
      <c r="E92" s="163">
        <v>-405</v>
      </c>
    </row>
    <row r="93" spans="1:5">
      <c r="A93" s="100">
        <v>45099</v>
      </c>
      <c r="B93" s="8" t="s">
        <v>1097</v>
      </c>
      <c r="E93" s="163">
        <v>-820</v>
      </c>
    </row>
    <row r="94" spans="1:5">
      <c r="A94" s="100">
        <v>45099</v>
      </c>
      <c r="B94" s="8" t="s">
        <v>1098</v>
      </c>
      <c r="E94" s="163">
        <v>-599</v>
      </c>
    </row>
    <row r="95" spans="1:5">
      <c r="A95" s="100">
        <v>45099</v>
      </c>
      <c r="B95" s="8" t="s">
        <v>1099</v>
      </c>
      <c r="E95" s="163">
        <v>-8</v>
      </c>
    </row>
    <row r="96" spans="1:5">
      <c r="A96" s="100">
        <v>45099</v>
      </c>
      <c r="B96" s="8" t="s">
        <v>1099</v>
      </c>
      <c r="E96" s="163">
        <v>-1197.3800000000001</v>
      </c>
    </row>
    <row r="97" spans="1:5">
      <c r="A97" s="100">
        <v>45100</v>
      </c>
      <c r="B97" s="8" t="s">
        <v>1100</v>
      </c>
      <c r="E97" s="163">
        <v>-418.5</v>
      </c>
    </row>
    <row r="98" spans="1:5">
      <c r="D98" s="3" t="s">
        <v>84</v>
      </c>
    </row>
    <row r="110" spans="1:5">
      <c r="D110" s="35"/>
    </row>
    <row r="111" spans="1:5">
      <c r="A111" s="113" t="s">
        <v>1101</v>
      </c>
      <c r="B111" s="104" t="s">
        <v>136</v>
      </c>
      <c r="C111" s="103">
        <v>2023</v>
      </c>
      <c r="D111" s="158"/>
      <c r="E111" s="159">
        <f>SUM(E112:E120)</f>
        <v>433286.58999999997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/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12372.88</v>
      </c>
    </row>
    <row r="115" spans="1:5">
      <c r="A115" s="100">
        <v>45077</v>
      </c>
      <c r="B115" s="8" t="s">
        <v>301</v>
      </c>
      <c r="C115" s="2"/>
      <c r="D115" s="2"/>
      <c r="E115" s="17">
        <v>26868.21</v>
      </c>
    </row>
    <row r="116" spans="1:5">
      <c r="A116" s="100">
        <v>45077</v>
      </c>
      <c r="B116" s="8" t="s">
        <v>1005</v>
      </c>
      <c r="C116" s="2">
        <v>1647</v>
      </c>
      <c r="D116" s="2">
        <v>111</v>
      </c>
      <c r="E116" s="17">
        <f>D116*C116</f>
        <v>182817</v>
      </c>
    </row>
    <row r="117" spans="1:5">
      <c r="A117" s="100">
        <v>45077</v>
      </c>
      <c r="B117" s="8" t="s">
        <v>1102</v>
      </c>
      <c r="C117" s="2">
        <v>26.73</v>
      </c>
      <c r="D117" s="2">
        <v>850</v>
      </c>
      <c r="E117" s="17">
        <f>D117*C117</f>
        <v>22720.5</v>
      </c>
    </row>
    <row r="118" spans="1:5">
      <c r="A118" s="100">
        <v>45077</v>
      </c>
      <c r="B118" s="8" t="s">
        <v>1103</v>
      </c>
      <c r="C118" s="2">
        <v>29.2</v>
      </c>
      <c r="D118" s="2">
        <v>100</v>
      </c>
      <c r="E118" s="17">
        <f>D118*C118</f>
        <v>2920</v>
      </c>
    </row>
    <row r="119" spans="1:5">
      <c r="A119" s="100">
        <v>45077</v>
      </c>
      <c r="B119" s="8" t="s">
        <v>152</v>
      </c>
      <c r="C119" s="2"/>
      <c r="D119" s="2"/>
      <c r="E119" s="17">
        <v>67500</v>
      </c>
    </row>
    <row r="120" spans="1:5">
      <c r="A120" s="100"/>
      <c r="B120" s="8" t="s">
        <v>153</v>
      </c>
      <c r="C120" s="2"/>
      <c r="D120" s="2"/>
      <c r="E120" s="17">
        <v>1000</v>
      </c>
    </row>
    <row r="121" spans="1:5">
      <c r="C121" s="3" t="str">
        <f>A111</f>
        <v>TEMMUZ</v>
      </c>
      <c r="D121" s="18" t="s">
        <v>156</v>
      </c>
      <c r="E121" s="63">
        <f>H13</f>
        <v>-23354.9</v>
      </c>
    </row>
    <row r="122" spans="1:5">
      <c r="D122" s="3"/>
    </row>
    <row r="123" spans="1:5">
      <c r="D123" s="18" t="s">
        <v>155</v>
      </c>
      <c r="E123" s="8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1104</v>
      </c>
      <c r="C2" s="79" t="s">
        <v>67</v>
      </c>
      <c r="D2" s="306">
        <f>SUM(D4:D30)</f>
        <v>28744</v>
      </c>
      <c r="E2" s="306">
        <f>SUM(E4:E29)</f>
        <v>-26572.629999999997</v>
      </c>
      <c r="F2" s="306">
        <f>SUM(F4:F31)</f>
        <v>33133</v>
      </c>
      <c r="G2" s="306">
        <f>SUM(G4:G31)</f>
        <v>-28830.22</v>
      </c>
      <c r="H2" s="306">
        <f>F2+G2</f>
        <v>4302.7799999999988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-204</v>
      </c>
      <c r="H4" s="63">
        <f t="shared" ref="H4:H29" si="0">H3+F4+G4</f>
        <v>-204</v>
      </c>
    </row>
    <row r="5" spans="1:8">
      <c r="B5" s="101" t="s">
        <v>81</v>
      </c>
      <c r="C5" s="101"/>
      <c r="D5" s="101"/>
      <c r="E5" s="63">
        <v>-500</v>
      </c>
      <c r="G5" s="63">
        <v>-411</v>
      </c>
      <c r="H5" s="63">
        <f t="shared" si="0"/>
        <v>-615</v>
      </c>
    </row>
    <row r="6" spans="1:8">
      <c r="A6" s="165">
        <v>45082</v>
      </c>
      <c r="B6" s="101" t="s">
        <v>1105</v>
      </c>
      <c r="C6" s="101"/>
      <c r="D6" s="101"/>
      <c r="E6" s="63">
        <v>-250</v>
      </c>
      <c r="G6" s="63">
        <v>-250</v>
      </c>
      <c r="H6" s="63">
        <f t="shared" si="0"/>
        <v>-865</v>
      </c>
    </row>
    <row r="7" spans="1:8">
      <c r="B7" s="178" t="s">
        <v>72</v>
      </c>
      <c r="C7" s="101"/>
      <c r="D7" s="63"/>
      <c r="E7" s="63">
        <v>-44</v>
      </c>
      <c r="F7" s="63"/>
      <c r="G7" s="63">
        <v>-44</v>
      </c>
      <c r="H7" s="63">
        <f t="shared" si="0"/>
        <v>-909</v>
      </c>
    </row>
    <row r="8" spans="1:8">
      <c r="A8" s="165">
        <v>45082</v>
      </c>
      <c r="B8" s="178" t="s">
        <v>68</v>
      </c>
      <c r="C8" s="101"/>
      <c r="E8" s="63">
        <f>E49</f>
        <v>-4946.47</v>
      </c>
      <c r="F8" s="63"/>
      <c r="G8" s="63">
        <v>-4946.47</v>
      </c>
      <c r="H8" s="63">
        <f t="shared" si="0"/>
        <v>-5855.47</v>
      </c>
    </row>
    <row r="9" spans="1:8">
      <c r="A9" s="165">
        <v>45082</v>
      </c>
      <c r="B9" s="178" t="s">
        <v>69</v>
      </c>
      <c r="C9" s="101"/>
      <c r="E9" s="63">
        <f>E84</f>
        <v>-1207.42</v>
      </c>
      <c r="G9" s="63">
        <v>-1207.42</v>
      </c>
      <c r="H9" s="63">
        <f t="shared" si="0"/>
        <v>-7062.89</v>
      </c>
    </row>
    <row r="10" spans="1:8">
      <c r="A10" s="100">
        <v>45084</v>
      </c>
      <c r="B10" s="101" t="s">
        <v>555</v>
      </c>
      <c r="D10" s="101"/>
      <c r="E10" s="63">
        <v>-5375</v>
      </c>
      <c r="G10" s="63">
        <v>-5375</v>
      </c>
      <c r="H10" s="63">
        <f t="shared" si="0"/>
        <v>-12437.89</v>
      </c>
    </row>
    <row r="11" spans="1:8">
      <c r="A11" s="100"/>
      <c r="B11" s="101" t="s">
        <v>1106</v>
      </c>
      <c r="C11" s="101"/>
      <c r="D11" s="101"/>
      <c r="E11" s="63">
        <v>-2125</v>
      </c>
      <c r="G11" s="63">
        <v>-2125</v>
      </c>
      <c r="H11" s="63">
        <f t="shared" si="0"/>
        <v>-14562.89</v>
      </c>
    </row>
    <row r="12" spans="1:8">
      <c r="A12" s="100"/>
      <c r="B12" s="101" t="s">
        <v>1107</v>
      </c>
      <c r="C12" s="101"/>
      <c r="D12" s="101"/>
      <c r="E12" s="163"/>
      <c r="G12" s="63">
        <v>-16.059999999999999</v>
      </c>
      <c r="H12" s="63">
        <f t="shared" si="0"/>
        <v>-14578.949999999999</v>
      </c>
    </row>
    <row r="13" spans="1:8">
      <c r="A13" s="165">
        <v>45078</v>
      </c>
      <c r="B13" s="101" t="s">
        <v>553</v>
      </c>
      <c r="C13" s="101"/>
      <c r="D13" s="101"/>
      <c r="E13" s="63">
        <v>-674.74</v>
      </c>
      <c r="F13" s="163"/>
      <c r="G13" s="63">
        <v>-670.27</v>
      </c>
      <c r="H13" s="63">
        <f t="shared" si="0"/>
        <v>-15249.22</v>
      </c>
    </row>
    <row r="14" spans="1:8">
      <c r="B14" s="101" t="s">
        <v>75</v>
      </c>
      <c r="C14" s="101" t="s">
        <v>323</v>
      </c>
      <c r="D14" s="101"/>
      <c r="E14" s="63">
        <v>-150</v>
      </c>
      <c r="F14" s="163"/>
      <c r="G14" s="63"/>
      <c r="H14" s="63">
        <f t="shared" si="0"/>
        <v>-15249.22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-104</v>
      </c>
      <c r="H15" s="63">
        <f t="shared" si="0"/>
        <v>-15353.22</v>
      </c>
    </row>
    <row r="16" spans="1:8">
      <c r="B16" s="106" t="s">
        <v>74</v>
      </c>
      <c r="C16" s="106"/>
      <c r="D16" s="106"/>
      <c r="E16" s="63">
        <v>-150</v>
      </c>
      <c r="F16" s="163"/>
      <c r="G16" s="63">
        <v>-127</v>
      </c>
      <c r="H16" s="63">
        <f t="shared" si="0"/>
        <v>-15480.22</v>
      </c>
    </row>
    <row r="17" spans="1:8">
      <c r="B17" t="s">
        <v>77</v>
      </c>
      <c r="E17" s="63">
        <v>-3500</v>
      </c>
      <c r="F17" s="163"/>
      <c r="G17" s="63">
        <v>-3500</v>
      </c>
      <c r="H17" s="63">
        <f t="shared" si="0"/>
        <v>-18980.22</v>
      </c>
    </row>
    <row r="18" spans="1:8">
      <c r="B18" t="s">
        <v>78</v>
      </c>
      <c r="E18" s="63">
        <v>-3500</v>
      </c>
      <c r="F18" s="163"/>
      <c r="G18" s="63">
        <v>-3500</v>
      </c>
      <c r="H18" s="63">
        <f t="shared" si="0"/>
        <v>-22480.22</v>
      </c>
    </row>
    <row r="19" spans="1:8">
      <c r="B19" t="s">
        <v>79</v>
      </c>
      <c r="E19" s="63">
        <v>-2750</v>
      </c>
      <c r="F19" s="163"/>
      <c r="G19" s="63">
        <v>-2750</v>
      </c>
      <c r="H19" s="63">
        <f t="shared" si="0"/>
        <v>-25230.22</v>
      </c>
    </row>
    <row r="20" spans="1:8">
      <c r="B20" t="s">
        <v>2</v>
      </c>
      <c r="D20">
        <v>1111</v>
      </c>
      <c r="E20" s="163"/>
      <c r="F20" s="63"/>
      <c r="G20" s="63"/>
      <c r="H20" s="63">
        <f t="shared" si="0"/>
        <v>-25230.22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-17730.22</v>
      </c>
    </row>
    <row r="22" spans="1:8">
      <c r="B22" t="s">
        <v>1108</v>
      </c>
      <c r="D22" s="102"/>
      <c r="F22" s="63">
        <v>2000</v>
      </c>
      <c r="G22" s="63"/>
      <c r="H22" s="63">
        <f t="shared" si="0"/>
        <v>-15730.220000000001</v>
      </c>
    </row>
    <row r="23" spans="1:8">
      <c r="A23" s="165">
        <v>45119</v>
      </c>
      <c r="B23" s="8" t="s">
        <v>671</v>
      </c>
      <c r="D23" s="186">
        <v>2800</v>
      </c>
      <c r="F23" s="63">
        <v>2800</v>
      </c>
      <c r="G23" s="63"/>
      <c r="H23" s="63">
        <f t="shared" si="0"/>
        <v>-12930.220000000001</v>
      </c>
    </row>
    <row r="24" spans="1:8">
      <c r="B24" t="s">
        <v>1109</v>
      </c>
      <c r="D24" s="186">
        <v>6500</v>
      </c>
      <c r="F24" s="63">
        <v>6500</v>
      </c>
      <c r="G24" s="63"/>
      <c r="H24" s="63">
        <f t="shared" si="0"/>
        <v>-6430.2200000000012</v>
      </c>
    </row>
    <row r="25" spans="1:8">
      <c r="A25" s="100">
        <v>45107</v>
      </c>
      <c r="B25" s="8" t="s">
        <v>1110</v>
      </c>
      <c r="D25" s="186">
        <v>10833</v>
      </c>
      <c r="F25">
        <v>10833</v>
      </c>
      <c r="H25" s="63">
        <f t="shared" si="0"/>
        <v>4402.7799999999988</v>
      </c>
    </row>
    <row r="26" spans="1:8">
      <c r="A26" s="165">
        <v>45080</v>
      </c>
      <c r="B26" s="8" t="s">
        <v>1111</v>
      </c>
      <c r="D26" s="102"/>
      <c r="F26" s="63"/>
      <c r="G26" s="63"/>
      <c r="H26" s="63">
        <f t="shared" si="0"/>
        <v>4402.7799999999988</v>
      </c>
    </row>
    <row r="27" spans="1:8">
      <c r="A27" s="100"/>
      <c r="B27" s="8" t="s">
        <v>1112</v>
      </c>
      <c r="D27" s="102"/>
      <c r="G27">
        <v>-100</v>
      </c>
      <c r="H27" s="63">
        <f t="shared" si="0"/>
        <v>4302.7799999999988</v>
      </c>
    </row>
    <row r="28" spans="1:8">
      <c r="A28" s="165">
        <v>45092</v>
      </c>
      <c r="B28" s="8" t="s">
        <v>1113</v>
      </c>
      <c r="D28" s="63"/>
      <c r="F28" s="63">
        <v>3500</v>
      </c>
      <c r="G28" s="63"/>
      <c r="H28" s="63">
        <f t="shared" si="0"/>
        <v>7802.7799999999988</v>
      </c>
    </row>
    <row r="29" spans="1:8" ht="15">
      <c r="A29" s="165">
        <v>45092</v>
      </c>
      <c r="B29" s="320" t="s">
        <v>1114</v>
      </c>
      <c r="F29" s="63"/>
      <c r="G29" s="63">
        <v>-3500</v>
      </c>
      <c r="H29" s="63">
        <f t="shared" si="0"/>
        <v>4302.7799999999988</v>
      </c>
    </row>
    <row r="30" spans="1:8">
      <c r="E30" s="63"/>
      <c r="G30" s="63"/>
      <c r="H30" s="63"/>
    </row>
    <row r="31" spans="1:8">
      <c r="B31" t="s">
        <v>325</v>
      </c>
      <c r="E31" s="63"/>
      <c r="G31" s="63"/>
      <c r="H31" s="63"/>
    </row>
    <row r="32" spans="1:8">
      <c r="A32" s="103" t="s">
        <v>326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327</v>
      </c>
      <c r="C37" s="103"/>
      <c r="D37" s="201">
        <f>SUM(D38:D45)</f>
        <v>3377.9</v>
      </c>
      <c r="E37" s="201">
        <f>SUM(E38:E45)</f>
        <v>3379.06</v>
      </c>
      <c r="H37" s="63"/>
    </row>
    <row r="38" spans="1:8">
      <c r="A38">
        <v>20</v>
      </c>
      <c r="B38" t="s">
        <v>920</v>
      </c>
      <c r="D38">
        <v>557.09</v>
      </c>
      <c r="E38" s="63">
        <v>557</v>
      </c>
      <c r="F38" s="63"/>
      <c r="G38" s="63"/>
    </row>
    <row r="39" spans="1:8">
      <c r="A39">
        <v>50</v>
      </c>
      <c r="B39" t="s">
        <v>329</v>
      </c>
      <c r="D39">
        <v>927.27</v>
      </c>
      <c r="E39" s="63">
        <v>927</v>
      </c>
      <c r="F39" s="63"/>
      <c r="G39" s="63"/>
    </row>
    <row r="40" spans="1:8">
      <c r="A40">
        <v>10</v>
      </c>
      <c r="B40" t="s">
        <v>330</v>
      </c>
      <c r="D40">
        <v>129.21</v>
      </c>
      <c r="E40">
        <v>130</v>
      </c>
      <c r="F40" s="63"/>
      <c r="G40" s="63"/>
    </row>
    <row r="41" spans="1:8">
      <c r="A41">
        <v>20</v>
      </c>
      <c r="B41" t="s">
        <v>331</v>
      </c>
      <c r="D41">
        <v>1380.9</v>
      </c>
      <c r="E41">
        <v>1381</v>
      </c>
      <c r="F41" s="63"/>
      <c r="G41" s="63"/>
    </row>
    <row r="42" spans="1:8">
      <c r="A42">
        <v>30</v>
      </c>
      <c r="B42" t="s">
        <v>332</v>
      </c>
      <c r="D42">
        <v>339.37</v>
      </c>
      <c r="E42">
        <v>340</v>
      </c>
      <c r="F42" s="63"/>
      <c r="G42" s="63"/>
    </row>
    <row r="43" spans="1:8">
      <c r="A43">
        <v>10</v>
      </c>
      <c r="B43" t="s">
        <v>333</v>
      </c>
      <c r="C43" s="106"/>
      <c r="D43" s="106">
        <v>44.06</v>
      </c>
      <c r="E43">
        <v>44.06</v>
      </c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201">
        <f>SUM(E50:E69)</f>
        <v>-4946.47</v>
      </c>
    </row>
    <row r="50" spans="1:8">
      <c r="A50" s="100">
        <v>44873</v>
      </c>
      <c r="B50" s="8" t="s">
        <v>1054</v>
      </c>
      <c r="C50" s="106"/>
      <c r="D50" s="106" t="s">
        <v>395</v>
      </c>
      <c r="E50" s="163">
        <v>-1111.1099999999999</v>
      </c>
      <c r="F50">
        <v>3</v>
      </c>
      <c r="G50" s="63"/>
      <c r="H50" s="63"/>
    </row>
    <row r="51" spans="1:8">
      <c r="A51" s="100">
        <v>44982</v>
      </c>
      <c r="B51" s="8" t="s">
        <v>1115</v>
      </c>
      <c r="C51">
        <v>659.93</v>
      </c>
      <c r="D51" s="35" t="s">
        <v>983</v>
      </c>
      <c r="E51" s="163">
        <v>-164.98</v>
      </c>
      <c r="F51" s="63"/>
      <c r="G51" s="63"/>
      <c r="H51" s="63"/>
    </row>
    <row r="52" spans="1:8">
      <c r="A52" s="100">
        <v>44995</v>
      </c>
      <c r="B52" s="8" t="s">
        <v>771</v>
      </c>
      <c r="C52">
        <v>613.91</v>
      </c>
      <c r="D52" s="35" t="s">
        <v>1116</v>
      </c>
      <c r="E52" s="163">
        <v>-61.39</v>
      </c>
      <c r="F52" s="63">
        <v>3</v>
      </c>
      <c r="G52" s="63"/>
      <c r="H52" s="63"/>
    </row>
    <row r="53" spans="1:8">
      <c r="A53" s="100">
        <v>44995</v>
      </c>
      <c r="B53" s="8" t="s">
        <v>1117</v>
      </c>
      <c r="C53">
        <v>720.19</v>
      </c>
      <c r="D53" s="321" t="s">
        <v>1118</v>
      </c>
      <c r="E53" s="163">
        <v>-240.06</v>
      </c>
      <c r="F53" s="63"/>
      <c r="G53" s="63"/>
      <c r="H53" s="63"/>
    </row>
    <row r="54" spans="1:8">
      <c r="A54" s="100">
        <v>44995</v>
      </c>
      <c r="B54" s="8" t="s">
        <v>1028</v>
      </c>
      <c r="C54">
        <v>2258.94</v>
      </c>
      <c r="D54" s="35" t="s">
        <v>1119</v>
      </c>
      <c r="E54" s="163">
        <v>-376.49</v>
      </c>
      <c r="F54" s="63">
        <v>3</v>
      </c>
      <c r="G54" s="63"/>
      <c r="H54" s="63"/>
    </row>
    <row r="55" spans="1:8">
      <c r="A55" s="100"/>
      <c r="D55" s="35"/>
      <c r="E55" s="163"/>
      <c r="F55" s="63"/>
      <c r="G55" s="63"/>
      <c r="H55" s="63"/>
    </row>
    <row r="56" spans="1:8">
      <c r="A56" s="100"/>
      <c r="D56" s="35"/>
      <c r="E56" s="163"/>
      <c r="F56" s="63"/>
      <c r="G56" s="63"/>
      <c r="H56" s="63"/>
    </row>
    <row r="57" spans="1:8">
      <c r="A57" s="100">
        <v>45043</v>
      </c>
      <c r="B57" s="106" t="s">
        <v>723</v>
      </c>
      <c r="C57" s="106">
        <v>10764.57</v>
      </c>
      <c r="D57" s="35" t="s">
        <v>988</v>
      </c>
      <c r="E57" s="163">
        <v>-1196.06</v>
      </c>
      <c r="F57" s="63">
        <v>3</v>
      </c>
      <c r="G57" s="63"/>
      <c r="H57" s="63"/>
    </row>
    <row r="58" spans="1:8">
      <c r="A58" s="100">
        <v>45043</v>
      </c>
      <c r="B58" s="106" t="s">
        <v>949</v>
      </c>
      <c r="C58" s="106">
        <v>3299</v>
      </c>
      <c r="D58" s="35" t="s">
        <v>644</v>
      </c>
      <c r="E58" s="163">
        <v>-549.83000000000004</v>
      </c>
      <c r="F58" s="63">
        <v>3</v>
      </c>
      <c r="G58" s="63"/>
      <c r="H58" s="63"/>
    </row>
    <row r="59" spans="1:8">
      <c r="F59" s="63"/>
      <c r="G59" s="63"/>
      <c r="H59" s="63"/>
    </row>
    <row r="60" spans="1:8">
      <c r="A60" s="100">
        <v>45044</v>
      </c>
      <c r="B60" s="8" t="s">
        <v>951</v>
      </c>
      <c r="C60" s="106">
        <v>3123.29</v>
      </c>
      <c r="D60" s="204" t="s">
        <v>644</v>
      </c>
      <c r="E60" s="163">
        <v>-520.54999999999995</v>
      </c>
      <c r="F60" s="63">
        <v>3</v>
      </c>
      <c r="G60" s="63"/>
      <c r="H60" s="63"/>
    </row>
    <row r="61" spans="1:8">
      <c r="A61" s="100"/>
      <c r="C61" s="106"/>
      <c r="D61" s="204"/>
      <c r="E61" s="163"/>
      <c r="F61" s="63"/>
      <c r="G61" s="63"/>
      <c r="H61" s="63"/>
    </row>
    <row r="62" spans="1:8">
      <c r="A62" s="100">
        <v>45043</v>
      </c>
      <c r="B62" s="106" t="s">
        <v>1120</v>
      </c>
      <c r="C62" s="106">
        <v>-476.91</v>
      </c>
      <c r="D62" s="204"/>
      <c r="E62" s="163"/>
      <c r="F62" s="63"/>
      <c r="G62" s="63"/>
      <c r="H62" s="63"/>
    </row>
    <row r="63" spans="1:8">
      <c r="A63" s="100">
        <v>45043</v>
      </c>
      <c r="B63" s="8" t="s">
        <v>1121</v>
      </c>
      <c r="E63" s="163">
        <v>-496</v>
      </c>
    </row>
    <row r="64" spans="1:8">
      <c r="A64" s="100">
        <v>45043</v>
      </c>
      <c r="B64" s="106" t="s">
        <v>1122</v>
      </c>
      <c r="C64" s="106"/>
      <c r="D64" s="106"/>
      <c r="E64" s="163">
        <v>-120</v>
      </c>
    </row>
    <row r="65" spans="1:6">
      <c r="A65" s="100">
        <v>45044</v>
      </c>
      <c r="B65" s="8" t="s">
        <v>1123</v>
      </c>
      <c r="E65" s="163">
        <v>-321</v>
      </c>
      <c r="F65" s="63"/>
    </row>
    <row r="66" spans="1:6">
      <c r="A66" s="100">
        <v>45044</v>
      </c>
      <c r="B66" s="8" t="s">
        <v>1124</v>
      </c>
      <c r="E66" s="163">
        <v>110.52</v>
      </c>
      <c r="F66" s="63"/>
    </row>
    <row r="67" spans="1:6">
      <c r="A67" s="100"/>
      <c r="E67" s="163">
        <v>100.48</v>
      </c>
      <c r="F67" s="63"/>
    </row>
    <row r="68" spans="1:6">
      <c r="A68" s="100">
        <v>45051</v>
      </c>
      <c r="B68" s="8" t="s">
        <v>1125</v>
      </c>
      <c r="C68">
        <v>150</v>
      </c>
      <c r="D68" s="160">
        <v>45107</v>
      </c>
      <c r="E68" s="163"/>
    </row>
    <row r="69" spans="1:6">
      <c r="A69" s="100">
        <v>45062</v>
      </c>
      <c r="B69" s="8" t="s">
        <v>1125</v>
      </c>
      <c r="C69">
        <v>225</v>
      </c>
      <c r="E69" s="163"/>
    </row>
    <row r="70" spans="1:6">
      <c r="A70" s="100">
        <v>45062</v>
      </c>
      <c r="B70" s="8" t="s">
        <v>1125</v>
      </c>
      <c r="C70">
        <v>500</v>
      </c>
      <c r="E70" s="163"/>
    </row>
    <row r="71" spans="1:6">
      <c r="A71" s="100">
        <v>45066</v>
      </c>
      <c r="B71" s="8" t="s">
        <v>1126</v>
      </c>
      <c r="C71">
        <v>-187.19</v>
      </c>
      <c r="E71" s="163"/>
    </row>
    <row r="72" spans="1:6">
      <c r="A72" s="100"/>
      <c r="E72" s="163"/>
    </row>
    <row r="73" spans="1:6">
      <c r="A73" s="100"/>
      <c r="E73" s="163"/>
    </row>
    <row r="74" spans="1:6">
      <c r="A74" s="100"/>
      <c r="E74" s="163"/>
    </row>
    <row r="75" spans="1:6">
      <c r="A75" s="100"/>
      <c r="E75" s="163" t="s">
        <v>84</v>
      </c>
    </row>
    <row r="76" spans="1:6">
      <c r="A76" s="100"/>
      <c r="E76" s="163"/>
    </row>
    <row r="77" spans="1:6">
      <c r="A77" s="100"/>
      <c r="E77" s="163"/>
    </row>
    <row r="78" spans="1:6">
      <c r="A78" s="100"/>
      <c r="E78" s="163"/>
    </row>
    <row r="79" spans="1:6">
      <c r="A79" s="100"/>
      <c r="E79" s="163"/>
    </row>
    <row r="80" spans="1:6">
      <c r="A80" s="100"/>
      <c r="E80" s="163"/>
    </row>
    <row r="81" spans="1:8">
      <c r="A81" s="100"/>
      <c r="E81" s="163"/>
    </row>
    <row r="82" spans="1:8">
      <c r="D82" s="35"/>
    </row>
    <row r="84" spans="1:8">
      <c r="A84" s="103"/>
      <c r="B84" s="104" t="s">
        <v>85</v>
      </c>
      <c r="C84" s="103"/>
      <c r="D84" s="103"/>
      <c r="E84" s="159">
        <f>SUM(E85:E96)</f>
        <v>-1207.42</v>
      </c>
    </row>
    <row r="85" spans="1:8">
      <c r="A85" s="100">
        <v>45044</v>
      </c>
      <c r="B85" s="106" t="s">
        <v>1127</v>
      </c>
      <c r="C85" s="106"/>
      <c r="D85" s="106"/>
      <c r="E85" s="163">
        <v>-140</v>
      </c>
      <c r="F85" s="63" t="s">
        <v>1128</v>
      </c>
      <c r="G85" s="63"/>
      <c r="H85" s="63"/>
    </row>
    <row r="86" spans="1:8">
      <c r="A86" s="100">
        <v>45044</v>
      </c>
      <c r="B86" s="106" t="s">
        <v>1129</v>
      </c>
      <c r="C86" s="106"/>
      <c r="D86" s="106"/>
      <c r="E86" s="163">
        <v>-35.78</v>
      </c>
      <c r="F86" s="63" t="s">
        <v>1128</v>
      </c>
      <c r="G86" s="63"/>
      <c r="H86" s="63"/>
    </row>
    <row r="87" spans="1:8">
      <c r="A87" s="100">
        <v>45045</v>
      </c>
      <c r="B87" s="106" t="s">
        <v>269</v>
      </c>
      <c r="C87" s="106">
        <v>-221.54</v>
      </c>
      <c r="D87" s="106"/>
      <c r="E87" s="163"/>
      <c r="F87" s="63" t="s">
        <v>1128</v>
      </c>
      <c r="G87" s="63"/>
      <c r="H87" s="63"/>
    </row>
    <row r="88" spans="1:8">
      <c r="A88" s="100">
        <v>45023</v>
      </c>
      <c r="B88" s="106" t="s">
        <v>127</v>
      </c>
      <c r="C88" s="106"/>
      <c r="D88" s="106"/>
      <c r="E88" s="163">
        <v>-39.950000000000003</v>
      </c>
      <c r="F88" s="63" t="s">
        <v>1128</v>
      </c>
      <c r="G88" s="63"/>
      <c r="H88" s="63"/>
    </row>
    <row r="89" spans="1:8">
      <c r="A89" s="100">
        <v>45023</v>
      </c>
      <c r="B89" s="106" t="s">
        <v>127</v>
      </c>
      <c r="C89" s="106"/>
      <c r="D89" s="106"/>
      <c r="E89" s="163">
        <v>-154.44999999999999</v>
      </c>
      <c r="F89" s="63" t="s">
        <v>1128</v>
      </c>
      <c r="G89" s="63"/>
      <c r="H89" s="63"/>
    </row>
    <row r="90" spans="1:8">
      <c r="A90" s="100">
        <v>45023</v>
      </c>
      <c r="B90" s="107" t="s">
        <v>127</v>
      </c>
      <c r="E90" s="163">
        <v>-260</v>
      </c>
      <c r="F90" s="63" t="s">
        <v>1128</v>
      </c>
    </row>
    <row r="91" spans="1:8">
      <c r="A91" s="100">
        <v>45026</v>
      </c>
      <c r="B91" s="8" t="s">
        <v>1130</v>
      </c>
      <c r="E91" s="163">
        <v>-140</v>
      </c>
      <c r="F91" s="63" t="s">
        <v>1128</v>
      </c>
    </row>
    <row r="92" spans="1:8">
      <c r="A92" s="100">
        <v>45026</v>
      </c>
      <c r="B92" s="8" t="s">
        <v>1129</v>
      </c>
      <c r="E92" s="163">
        <v>-57.07</v>
      </c>
      <c r="F92" s="63" t="s">
        <v>1128</v>
      </c>
    </row>
    <row r="93" spans="1:8">
      <c r="A93" s="100">
        <v>45026</v>
      </c>
      <c r="B93" s="8" t="s">
        <v>952</v>
      </c>
      <c r="C93">
        <v>1140.99</v>
      </c>
      <c r="D93" s="8" t="s">
        <v>955</v>
      </c>
      <c r="E93" s="163">
        <v>-190.17</v>
      </c>
      <c r="F93" s="8" t="s">
        <v>1128</v>
      </c>
    </row>
    <row r="94" spans="1:8">
      <c r="A94" s="100">
        <v>45061</v>
      </c>
      <c r="B94" s="8" t="s">
        <v>1131</v>
      </c>
      <c r="E94" s="163">
        <v>-190</v>
      </c>
      <c r="F94" s="63" t="s">
        <v>1128</v>
      </c>
    </row>
    <row r="95" spans="1:8">
      <c r="E95" t="s">
        <v>84</v>
      </c>
    </row>
    <row r="96" spans="1:8">
      <c r="D96" s="35"/>
    </row>
    <row r="97" spans="1:5">
      <c r="D97" s="35"/>
    </row>
    <row r="111" spans="1:5">
      <c r="A111" s="113" t="s">
        <v>1132</v>
      </c>
      <c r="B111" s="104" t="s">
        <v>1133</v>
      </c>
      <c r="C111" s="103"/>
      <c r="D111" s="158"/>
      <c r="E111" s="159">
        <f>SUM(E112:E120)</f>
        <v>377425.43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>
        <v>1380</v>
      </c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28049.84</v>
      </c>
    </row>
    <row r="115" spans="1:5">
      <c r="A115" s="100">
        <v>45077</v>
      </c>
      <c r="B115" s="8" t="s">
        <v>301</v>
      </c>
      <c r="C115" s="2"/>
      <c r="D115" s="2"/>
      <c r="E115" s="17">
        <v>6000.59</v>
      </c>
    </row>
    <row r="116" spans="1:5">
      <c r="A116" s="100">
        <v>45077</v>
      </c>
      <c r="B116" s="8" t="s">
        <v>1005</v>
      </c>
      <c r="C116" s="2">
        <v>1438</v>
      </c>
      <c r="D116" s="2">
        <v>111</v>
      </c>
      <c r="E116" s="17">
        <f>D116*C116</f>
        <v>159618</v>
      </c>
    </row>
    <row r="117" spans="1:5">
      <c r="A117" s="100">
        <v>45077</v>
      </c>
      <c r="B117" s="8" t="s">
        <v>1102</v>
      </c>
      <c r="C117" s="2">
        <v>23.34</v>
      </c>
      <c r="D117" s="2">
        <v>850</v>
      </c>
      <c r="E117" s="17">
        <f>D117*C117</f>
        <v>19839</v>
      </c>
    </row>
    <row r="118" spans="1:5">
      <c r="A118" s="100">
        <v>45077</v>
      </c>
      <c r="B118" s="8" t="s">
        <v>1103</v>
      </c>
      <c r="C118" s="2">
        <v>25.3</v>
      </c>
      <c r="D118" s="2">
        <v>100</v>
      </c>
      <c r="E118" s="17">
        <f>D118*C118</f>
        <v>2530</v>
      </c>
    </row>
    <row r="119" spans="1:5">
      <c r="A119" s="100">
        <v>45077</v>
      </c>
      <c r="B119" s="8" t="s">
        <v>152</v>
      </c>
      <c r="C119" s="2"/>
      <c r="D119" s="2"/>
      <c r="E119" s="17">
        <v>42600</v>
      </c>
    </row>
    <row r="120" spans="1:5">
      <c r="A120" s="100"/>
      <c r="B120" s="8" t="s">
        <v>153</v>
      </c>
      <c r="C120" s="2"/>
      <c r="D120" s="2"/>
      <c r="E120" s="17">
        <v>1700</v>
      </c>
    </row>
    <row r="121" spans="1:5">
      <c r="D121" s="18" t="s">
        <v>1134</v>
      </c>
      <c r="E121" s="63">
        <f>H8</f>
        <v>-5855.47</v>
      </c>
    </row>
    <row r="122" spans="1:5">
      <c r="D122" s="3"/>
    </row>
    <row r="123" spans="1:5">
      <c r="D123" s="18" t="s">
        <v>155</v>
      </c>
      <c r="E123" s="8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375623"/>
  </sheetPr>
  <dimension ref="A1:H145"/>
  <sheetViews>
    <sheetView topLeftCell="A16" zoomScale="170" zoomScaleNormal="170" workbookViewId="0">
      <selection activeCell="B32" sqref="B32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1135</v>
      </c>
      <c r="C2" s="79" t="s">
        <v>67</v>
      </c>
      <c r="D2" s="306">
        <f>SUM(D4:D40)</f>
        <v>17911</v>
      </c>
      <c r="E2" s="306">
        <f>SUM(E4:E39)</f>
        <v>-20977.52</v>
      </c>
      <c r="F2" s="306">
        <f>SUM(F4:F41)</f>
        <v>19800</v>
      </c>
      <c r="G2" s="306">
        <f>SUM(G4:G41)</f>
        <v>-25248.52</v>
      </c>
      <c r="H2" s="306">
        <f>F2+G2</f>
        <v>-5448.52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-267</v>
      </c>
      <c r="H4" s="63">
        <f t="shared" ref="H4:H23" si="0">H3+F4+G4</f>
        <v>-267</v>
      </c>
    </row>
    <row r="5" spans="1:8">
      <c r="B5" s="101" t="s">
        <v>81</v>
      </c>
      <c r="C5" s="101"/>
      <c r="D5" s="101"/>
      <c r="E5" s="63">
        <v>-500</v>
      </c>
      <c r="G5" s="63">
        <v>-504</v>
      </c>
      <c r="H5" s="63">
        <f t="shared" si="0"/>
        <v>-771</v>
      </c>
    </row>
    <row r="6" spans="1:8">
      <c r="B6" s="178" t="s">
        <v>72</v>
      </c>
      <c r="D6" s="63"/>
      <c r="E6" s="63">
        <f>D53*-1</f>
        <v>-110</v>
      </c>
      <c r="F6" s="63"/>
      <c r="G6" s="63">
        <v>-110</v>
      </c>
      <c r="H6" s="63">
        <f t="shared" si="0"/>
        <v>-881</v>
      </c>
    </row>
    <row r="7" spans="1:8">
      <c r="B7" s="178" t="s">
        <v>68</v>
      </c>
      <c r="E7" s="63">
        <f>E59</f>
        <v>-4975.71</v>
      </c>
      <c r="F7" s="63"/>
      <c r="G7" s="63">
        <v>-4975.71</v>
      </c>
      <c r="H7" s="63">
        <f t="shared" si="0"/>
        <v>-5856.71</v>
      </c>
    </row>
    <row r="8" spans="1:8">
      <c r="B8" s="178" t="s">
        <v>69</v>
      </c>
      <c r="E8" s="63">
        <f>E80</f>
        <v>-221.54</v>
      </c>
      <c r="G8" s="63">
        <v>-221.54</v>
      </c>
      <c r="H8" s="63">
        <f t="shared" si="0"/>
        <v>-6078.25</v>
      </c>
    </row>
    <row r="9" spans="1:8">
      <c r="A9" s="100">
        <v>45051</v>
      </c>
      <c r="B9" s="101" t="s">
        <v>1136</v>
      </c>
      <c r="C9" s="101"/>
      <c r="D9" s="101"/>
      <c r="E9" s="63">
        <v>-250</v>
      </c>
      <c r="G9" s="63">
        <v>-250</v>
      </c>
      <c r="H9" s="63">
        <f t="shared" si="0"/>
        <v>-6328.25</v>
      </c>
    </row>
    <row r="10" spans="1:8">
      <c r="A10" s="100">
        <v>44933</v>
      </c>
      <c r="B10" s="101" t="s">
        <v>603</v>
      </c>
      <c r="C10" s="101"/>
      <c r="D10" s="101"/>
      <c r="E10" s="63">
        <v>-4300</v>
      </c>
      <c r="G10" s="63">
        <v>-4300</v>
      </c>
      <c r="H10" s="63">
        <f t="shared" si="0"/>
        <v>-10628.25</v>
      </c>
    </row>
    <row r="11" spans="1:8">
      <c r="B11" s="101" t="s">
        <v>602</v>
      </c>
      <c r="C11" s="101"/>
      <c r="D11" s="101"/>
      <c r="E11" s="63">
        <v>-670.27</v>
      </c>
      <c r="F11" s="163"/>
      <c r="G11" s="63">
        <v>-670.27</v>
      </c>
      <c r="H11" s="63">
        <f t="shared" si="0"/>
        <v>-11298.52</v>
      </c>
    </row>
    <row r="12" spans="1:8">
      <c r="B12" s="101" t="s">
        <v>1137</v>
      </c>
      <c r="C12" s="101" t="s">
        <v>323</v>
      </c>
      <c r="D12" s="101"/>
      <c r="E12" s="63">
        <v>-150</v>
      </c>
      <c r="F12" s="163"/>
      <c r="G12" s="63">
        <v>0</v>
      </c>
      <c r="H12" s="63">
        <f t="shared" si="0"/>
        <v>-11298.52</v>
      </c>
    </row>
    <row r="13" spans="1:8">
      <c r="B13" s="106" t="s">
        <v>73</v>
      </c>
      <c r="C13" s="106" t="s">
        <v>323</v>
      </c>
      <c r="D13" s="106"/>
      <c r="E13" s="63">
        <v>-1000</v>
      </c>
      <c r="F13" s="163"/>
      <c r="G13" s="63">
        <v>0</v>
      </c>
      <c r="H13" s="63">
        <f t="shared" si="0"/>
        <v>-11298.52</v>
      </c>
    </row>
    <row r="14" spans="1:8">
      <c r="B14" s="106" t="s">
        <v>74</v>
      </c>
      <c r="C14" s="106" t="s">
        <v>323</v>
      </c>
      <c r="D14" s="106"/>
      <c r="E14" s="63">
        <v>-150</v>
      </c>
      <c r="F14" s="163"/>
      <c r="G14" s="63">
        <v>0</v>
      </c>
      <c r="H14" s="63">
        <f t="shared" si="0"/>
        <v>-11298.52</v>
      </c>
    </row>
    <row r="15" spans="1:8">
      <c r="B15" t="s">
        <v>77</v>
      </c>
      <c r="E15" s="63">
        <v>-2750</v>
      </c>
      <c r="F15" s="63"/>
      <c r="G15" s="63">
        <v>-3500</v>
      </c>
      <c r="H15" s="63">
        <f t="shared" si="0"/>
        <v>-14798.52</v>
      </c>
    </row>
    <row r="16" spans="1:8">
      <c r="B16" t="s">
        <v>78</v>
      </c>
      <c r="E16" s="63">
        <v>-2750</v>
      </c>
      <c r="F16" s="63"/>
      <c r="G16" s="63">
        <v>-3500</v>
      </c>
      <c r="H16" s="63">
        <f t="shared" si="0"/>
        <v>-18298.52</v>
      </c>
    </row>
    <row r="17" spans="1:8">
      <c r="B17" t="s">
        <v>79</v>
      </c>
      <c r="E17" s="63">
        <v>-2750</v>
      </c>
      <c r="F17" s="63"/>
      <c r="G17" s="63">
        <v>-3500</v>
      </c>
      <c r="H17" s="63">
        <f t="shared" si="0"/>
        <v>-21798.52</v>
      </c>
    </row>
    <row r="18" spans="1:8">
      <c r="B18" t="s">
        <v>2</v>
      </c>
      <c r="D18">
        <v>1111</v>
      </c>
      <c r="E18" s="63"/>
      <c r="F18" s="63"/>
      <c r="G18" s="63"/>
      <c r="H18" s="63">
        <f t="shared" si="0"/>
        <v>-21798.52</v>
      </c>
    </row>
    <row r="19" spans="1:8">
      <c r="B19" t="s">
        <v>76</v>
      </c>
      <c r="D19" s="102">
        <v>7500</v>
      </c>
      <c r="F19" s="63">
        <v>7500</v>
      </c>
      <c r="G19" s="63"/>
      <c r="H19" s="63">
        <f t="shared" si="0"/>
        <v>-14298.52</v>
      </c>
    </row>
    <row r="20" spans="1:8">
      <c r="A20" s="165">
        <v>45070</v>
      </c>
      <c r="B20" s="8" t="s">
        <v>671</v>
      </c>
      <c r="D20" s="102">
        <v>2800</v>
      </c>
      <c r="F20" s="63">
        <v>2800</v>
      </c>
      <c r="G20" s="63"/>
      <c r="H20" s="63">
        <f t="shared" si="0"/>
        <v>-11498.52</v>
      </c>
    </row>
    <row r="21" spans="1:8">
      <c r="A21" s="165">
        <v>45080</v>
      </c>
      <c r="B21" s="8" t="s">
        <v>1138</v>
      </c>
      <c r="D21" s="102">
        <v>6500</v>
      </c>
      <c r="F21" s="63">
        <v>6500</v>
      </c>
      <c r="G21" s="63"/>
      <c r="H21" s="63">
        <f t="shared" si="0"/>
        <v>-4998.5200000000004</v>
      </c>
    </row>
    <row r="22" spans="1:8">
      <c r="A22" s="100">
        <v>45061</v>
      </c>
      <c r="B22" s="8" t="s">
        <v>1139</v>
      </c>
      <c r="D22" s="102"/>
      <c r="F22">
        <v>3000</v>
      </c>
      <c r="H22" s="63">
        <f t="shared" si="0"/>
        <v>-1998.5200000000004</v>
      </c>
    </row>
    <row r="23" spans="1:8">
      <c r="A23" s="100">
        <v>45031</v>
      </c>
      <c r="B23" s="8" t="s">
        <v>1114</v>
      </c>
      <c r="D23" s="102"/>
      <c r="F23" s="63"/>
      <c r="G23" s="63">
        <v>-3450</v>
      </c>
      <c r="H23" s="63">
        <f t="shared" si="0"/>
        <v>-5448.52</v>
      </c>
    </row>
    <row r="24" spans="1:8">
      <c r="A24" s="100"/>
      <c r="D24" s="102"/>
      <c r="F24" s="63"/>
      <c r="G24" s="63"/>
      <c r="H24" s="63"/>
    </row>
    <row r="25" spans="1:8">
      <c r="A25" s="100"/>
      <c r="D25" s="102"/>
      <c r="F25" s="63"/>
      <c r="G25" s="63"/>
      <c r="H25" s="63"/>
    </row>
    <row r="26" spans="1:8">
      <c r="A26" s="100"/>
      <c r="D26" s="102"/>
      <c r="F26" s="63"/>
      <c r="G26" s="63"/>
      <c r="H26" s="63"/>
    </row>
    <row r="27" spans="1:8">
      <c r="A27" s="100"/>
      <c r="D27" s="102"/>
      <c r="H27" s="63"/>
    </row>
    <row r="28" spans="1:8">
      <c r="A28" s="100"/>
      <c r="B28" s="101" t="s">
        <v>1140</v>
      </c>
      <c r="C28" s="101"/>
      <c r="D28" s="101"/>
      <c r="E28" s="163"/>
      <c r="H28" s="63"/>
    </row>
    <row r="29" spans="1:8">
      <c r="A29" s="100"/>
      <c r="B29" s="101" t="s">
        <v>1141</v>
      </c>
      <c r="C29" s="101"/>
      <c r="D29" s="101"/>
      <c r="E29" s="163"/>
      <c r="H29" s="63"/>
    </row>
    <row r="30" spans="1:8">
      <c r="A30" s="100"/>
      <c r="B30" s="101" t="s">
        <v>1142</v>
      </c>
      <c r="C30" s="101"/>
      <c r="D30" s="101"/>
      <c r="E30" s="163"/>
      <c r="H30" s="63"/>
    </row>
    <row r="31" spans="1:8">
      <c r="A31" s="100"/>
      <c r="B31" s="101" t="s">
        <v>118</v>
      </c>
      <c r="C31" s="101"/>
      <c r="D31" s="101"/>
      <c r="E31" s="163"/>
      <c r="H31" s="63"/>
    </row>
    <row r="32" spans="1:8">
      <c r="A32" s="100"/>
      <c r="B32" s="101" t="s">
        <v>1143</v>
      </c>
      <c r="C32" s="101" t="s">
        <v>1144</v>
      </c>
      <c r="D32" s="101"/>
      <c r="E32" s="163"/>
      <c r="H32" s="63"/>
    </row>
    <row r="33" spans="1:8">
      <c r="A33" s="100"/>
      <c r="B33" s="8" t="s">
        <v>1145</v>
      </c>
      <c r="C33" s="101"/>
      <c r="D33" s="101"/>
      <c r="E33" s="163"/>
      <c r="H33" s="63"/>
    </row>
    <row r="34" spans="1:8">
      <c r="A34" s="100"/>
      <c r="B34" s="8" t="s">
        <v>1146</v>
      </c>
      <c r="C34" s="101"/>
      <c r="D34" s="101"/>
      <c r="E34" s="163"/>
      <c r="H34" s="63"/>
    </row>
    <row r="35" spans="1:8">
      <c r="A35" s="100"/>
      <c r="B35" s="101" t="s">
        <v>1147</v>
      </c>
      <c r="C35" s="101"/>
      <c r="D35" s="101"/>
      <c r="E35" s="163"/>
      <c r="H35" s="63"/>
    </row>
    <row r="36" spans="1:8">
      <c r="A36" s="100"/>
      <c r="B36" s="101" t="s">
        <v>1148</v>
      </c>
      <c r="C36" s="101"/>
      <c r="D36" s="101"/>
      <c r="E36" s="163"/>
      <c r="H36" s="63"/>
    </row>
    <row r="37" spans="1:8">
      <c r="A37" s="100"/>
      <c r="B37" s="101"/>
      <c r="C37" s="101"/>
      <c r="D37" s="101"/>
      <c r="E37" s="163"/>
      <c r="H37" s="63"/>
    </row>
    <row r="38" spans="1:8">
      <c r="D38" s="63"/>
      <c r="F38" s="63"/>
      <c r="G38" s="63"/>
      <c r="H38" s="63"/>
    </row>
    <row r="39" spans="1:8" ht="15.75">
      <c r="B39" s="179"/>
      <c r="F39" s="63"/>
      <c r="G39" s="63"/>
      <c r="H39" s="63"/>
    </row>
    <row r="40" spans="1:8">
      <c r="E40" s="63"/>
      <c r="G40" s="63"/>
      <c r="H40" s="63"/>
    </row>
    <row r="41" spans="1:8">
      <c r="B41" t="s">
        <v>325</v>
      </c>
      <c r="E41" s="63"/>
      <c r="G41" s="63"/>
      <c r="H41" s="63"/>
    </row>
    <row r="42" spans="1:8">
      <c r="A42" s="103" t="s">
        <v>326</v>
      </c>
      <c r="B42" s="103"/>
      <c r="C42" s="103"/>
      <c r="D42" s="103"/>
      <c r="E42" s="158"/>
      <c r="G42" s="63"/>
      <c r="H42" s="63"/>
    </row>
    <row r="43" spans="1:8">
      <c r="A43" s="317"/>
      <c r="B43" s="312"/>
      <c r="C43" s="312"/>
      <c r="D43" s="312"/>
      <c r="E43" s="313"/>
      <c r="H43" s="63"/>
    </row>
    <row r="44" spans="1:8">
      <c r="A44" s="317"/>
      <c r="B44" s="312"/>
      <c r="C44" s="314"/>
      <c r="D44" s="312"/>
      <c r="E44" s="312"/>
      <c r="H44" s="63"/>
    </row>
    <row r="45" spans="1:8">
      <c r="A45" s="317"/>
      <c r="B45" s="312"/>
      <c r="C45" s="314"/>
      <c r="D45" s="312"/>
      <c r="E45" s="312"/>
      <c r="H45" s="63"/>
    </row>
    <row r="46" spans="1:8">
      <c r="A46" s="100"/>
      <c r="C46" s="171"/>
      <c r="H46" s="63"/>
    </row>
    <row r="47" spans="1:8">
      <c r="A47" s="172">
        <v>44929</v>
      </c>
      <c r="B47" s="173" t="s">
        <v>327</v>
      </c>
      <c r="C47" s="103"/>
      <c r="D47" s="201">
        <f>SUM(D48:D55)</f>
        <v>2838.0099999999998</v>
      </c>
      <c r="E47" s="201">
        <f>SUM(E48:E55)</f>
        <v>2839.5</v>
      </c>
      <c r="H47" s="63"/>
    </row>
    <row r="48" spans="1:8">
      <c r="B48" t="s">
        <v>920</v>
      </c>
      <c r="D48">
        <v>509.04</v>
      </c>
      <c r="E48" s="63">
        <v>510</v>
      </c>
      <c r="F48" s="63"/>
      <c r="G48" s="63"/>
    </row>
    <row r="49" spans="1:8">
      <c r="B49" t="s">
        <v>329</v>
      </c>
      <c r="D49">
        <v>938.46</v>
      </c>
      <c r="E49" s="63">
        <v>938.5</v>
      </c>
      <c r="F49" s="63"/>
      <c r="G49" s="63"/>
    </row>
    <row r="50" spans="1:8">
      <c r="B50" t="s">
        <v>330</v>
      </c>
      <c r="D50">
        <v>126.34</v>
      </c>
      <c r="E50">
        <v>126</v>
      </c>
      <c r="F50" s="63"/>
      <c r="G50" s="63"/>
    </row>
    <row r="51" spans="1:8">
      <c r="B51" t="s">
        <v>331</v>
      </c>
      <c r="D51">
        <v>934.05</v>
      </c>
      <c r="E51">
        <v>935</v>
      </c>
      <c r="F51" s="63"/>
      <c r="G51" s="63"/>
    </row>
    <row r="52" spans="1:8">
      <c r="B52" t="s">
        <v>332</v>
      </c>
      <c r="D52">
        <v>220.12</v>
      </c>
      <c r="E52">
        <v>220</v>
      </c>
      <c r="F52" s="63"/>
      <c r="G52" s="63"/>
    </row>
    <row r="53" spans="1:8">
      <c r="B53" t="s">
        <v>333</v>
      </c>
      <c r="C53" s="106"/>
      <c r="D53" s="106">
        <v>110</v>
      </c>
      <c r="E53">
        <v>110</v>
      </c>
      <c r="F53" s="63"/>
      <c r="G53" s="63"/>
    </row>
    <row r="54" spans="1:8">
      <c r="C54" s="106"/>
      <c r="E54" s="106"/>
      <c r="F54" s="63"/>
      <c r="G54" s="63"/>
    </row>
    <row r="55" spans="1:8">
      <c r="C55" s="106"/>
      <c r="D55" s="106"/>
      <c r="E55" s="163"/>
      <c r="F55" s="63"/>
      <c r="G55" s="63"/>
    </row>
    <row r="57" spans="1:8">
      <c r="B57" s="17"/>
    </row>
    <row r="58" spans="1:8">
      <c r="B58" s="102"/>
    </row>
    <row r="59" spans="1:8">
      <c r="A59" s="103"/>
      <c r="B59" s="104" t="s">
        <v>83</v>
      </c>
      <c r="C59" s="103"/>
      <c r="D59" s="158"/>
      <c r="E59" s="159">
        <f>SUM(E60:E77)</f>
        <v>-4975.71</v>
      </c>
    </row>
    <row r="60" spans="1:8">
      <c r="A60" s="100">
        <v>44873</v>
      </c>
      <c r="B60" s="8" t="s">
        <v>1054</v>
      </c>
      <c r="C60" s="106"/>
      <c r="D60" s="106" t="s">
        <v>674</v>
      </c>
      <c r="E60" s="163">
        <v>-1111.1099999999999</v>
      </c>
      <c r="G60" s="63"/>
      <c r="H60" s="63"/>
    </row>
    <row r="61" spans="1:8">
      <c r="A61" s="100">
        <v>45016</v>
      </c>
      <c r="B61" s="8" t="s">
        <v>817</v>
      </c>
      <c r="C61">
        <v>437.97</v>
      </c>
      <c r="D61" s="35" t="s">
        <v>1118</v>
      </c>
      <c r="E61" s="163">
        <v>-145.99</v>
      </c>
      <c r="F61" s="63"/>
      <c r="G61" s="63"/>
      <c r="H61" s="63"/>
    </row>
    <row r="62" spans="1:8">
      <c r="A62" s="100">
        <v>45016</v>
      </c>
      <c r="B62" s="8" t="s">
        <v>818</v>
      </c>
      <c r="C62">
        <v>404.23</v>
      </c>
      <c r="D62" s="35" t="s">
        <v>1118</v>
      </c>
      <c r="E62" s="163">
        <v>-134.75</v>
      </c>
      <c r="F62" s="63"/>
      <c r="G62" s="63"/>
      <c r="H62" s="63"/>
    </row>
    <row r="63" spans="1:8">
      <c r="A63" s="100">
        <v>45016</v>
      </c>
      <c r="B63" s="8" t="s">
        <v>819</v>
      </c>
      <c r="C63">
        <v>1135</v>
      </c>
      <c r="D63" s="35" t="s">
        <v>1118</v>
      </c>
      <c r="E63" s="163">
        <v>-378.34</v>
      </c>
      <c r="F63" s="63"/>
      <c r="G63" s="63"/>
      <c r="H63" s="63"/>
    </row>
    <row r="64" spans="1:8">
      <c r="A64" s="100">
        <v>44982</v>
      </c>
      <c r="B64" s="8" t="s">
        <v>1115</v>
      </c>
      <c r="C64">
        <v>659.93</v>
      </c>
      <c r="D64" s="35" t="s">
        <v>1029</v>
      </c>
      <c r="E64" s="163">
        <v>-164.98</v>
      </c>
      <c r="F64" s="63"/>
      <c r="G64" s="63"/>
      <c r="H64" s="63"/>
    </row>
    <row r="65" spans="1:8">
      <c r="A65" s="100">
        <v>44995</v>
      </c>
      <c r="B65" s="8" t="s">
        <v>1117</v>
      </c>
      <c r="C65">
        <v>720.19</v>
      </c>
      <c r="D65" s="321" t="s">
        <v>1149</v>
      </c>
      <c r="E65" s="163">
        <v>-240.06</v>
      </c>
      <c r="F65" s="63"/>
      <c r="G65" s="63"/>
      <c r="H65" s="63"/>
    </row>
    <row r="66" spans="1:8">
      <c r="A66" s="100">
        <v>44995</v>
      </c>
      <c r="B66" s="8" t="s">
        <v>771</v>
      </c>
      <c r="C66">
        <v>613.91</v>
      </c>
      <c r="D66" s="35" t="s">
        <v>1150</v>
      </c>
      <c r="E66" s="163">
        <v>-61.39</v>
      </c>
      <c r="F66" s="63"/>
      <c r="G66" s="63"/>
      <c r="H66" s="63"/>
    </row>
    <row r="67" spans="1:8">
      <c r="A67" s="100">
        <v>44995</v>
      </c>
      <c r="B67" s="8" t="s">
        <v>1028</v>
      </c>
      <c r="C67">
        <v>2258.94</v>
      </c>
      <c r="D67" s="35" t="s">
        <v>605</v>
      </c>
      <c r="E67" s="163">
        <v>-376.49</v>
      </c>
      <c r="F67" s="63"/>
      <c r="G67" s="63"/>
      <c r="H67" s="63"/>
    </row>
    <row r="68" spans="1:8">
      <c r="A68" s="100">
        <v>45013</v>
      </c>
      <c r="B68" s="106" t="s">
        <v>1151</v>
      </c>
      <c r="C68" s="106"/>
      <c r="D68" s="106"/>
      <c r="E68" s="163">
        <v>-800</v>
      </c>
      <c r="F68" s="63"/>
      <c r="G68" s="63"/>
      <c r="H68" s="63"/>
    </row>
    <row r="69" spans="1:8">
      <c r="A69" s="100">
        <v>45013</v>
      </c>
      <c r="B69" s="8" t="s">
        <v>1152</v>
      </c>
      <c r="C69" s="106"/>
      <c r="D69" s="106"/>
      <c r="E69" s="163">
        <v>-294.89999999999998</v>
      </c>
      <c r="F69" s="63"/>
      <c r="G69" s="63"/>
      <c r="H69" s="63"/>
    </row>
    <row r="70" spans="1:8">
      <c r="A70" s="100">
        <v>45015</v>
      </c>
      <c r="B70" s="8" t="s">
        <v>1153</v>
      </c>
      <c r="E70" s="163">
        <v>-291.8</v>
      </c>
    </row>
    <row r="71" spans="1:8">
      <c r="A71" s="100">
        <v>45025</v>
      </c>
      <c r="E71" s="163">
        <v>-77.52</v>
      </c>
    </row>
    <row r="72" spans="1:8">
      <c r="A72" s="100">
        <v>45025</v>
      </c>
      <c r="B72" s="8" t="s">
        <v>414</v>
      </c>
      <c r="E72" s="163">
        <v>-158.63999999999999</v>
      </c>
    </row>
    <row r="73" spans="1:8">
      <c r="A73" s="100">
        <v>45037</v>
      </c>
      <c r="B73" s="8" t="s">
        <v>1057</v>
      </c>
      <c r="D73" s="35"/>
      <c r="E73" s="163">
        <v>-100</v>
      </c>
    </row>
    <row r="74" spans="1:8">
      <c r="A74" s="100">
        <v>45037</v>
      </c>
      <c r="B74" s="8" t="s">
        <v>1057</v>
      </c>
      <c r="E74" s="163">
        <v>-15</v>
      </c>
    </row>
    <row r="75" spans="1:8">
      <c r="A75" s="100">
        <v>45039</v>
      </c>
      <c r="B75" s="8" t="s">
        <v>1154</v>
      </c>
      <c r="E75" s="163">
        <v>-430</v>
      </c>
    </row>
    <row r="76" spans="1:8">
      <c r="A76" s="100">
        <v>45040</v>
      </c>
      <c r="B76" s="8" t="s">
        <v>1155</v>
      </c>
      <c r="E76" s="163">
        <v>-69.739999999999995</v>
      </c>
    </row>
    <row r="77" spans="1:8">
      <c r="A77" s="100">
        <v>45040</v>
      </c>
      <c r="B77" s="8" t="s">
        <v>1156</v>
      </c>
      <c r="E77" s="163">
        <v>-125</v>
      </c>
    </row>
    <row r="78" spans="1:8">
      <c r="A78" s="100"/>
      <c r="E78" s="163" t="s">
        <v>1157</v>
      </c>
    </row>
    <row r="80" spans="1:8">
      <c r="A80" s="103"/>
      <c r="B80" s="104" t="s">
        <v>85</v>
      </c>
      <c r="C80" s="103"/>
      <c r="D80" s="103"/>
      <c r="E80" s="201">
        <f>SUM(E81:E106)</f>
        <v>-221.54</v>
      </c>
    </row>
    <row r="81" spans="1:8">
      <c r="A81" s="100">
        <v>45013</v>
      </c>
      <c r="B81" s="106" t="s">
        <v>1158</v>
      </c>
      <c r="C81" s="106"/>
      <c r="D81" s="106"/>
      <c r="E81" s="163">
        <v>-221.54</v>
      </c>
      <c r="F81" s="63"/>
      <c r="G81" s="63"/>
      <c r="H81" s="63"/>
    </row>
    <row r="82" spans="1:8">
      <c r="A82" s="100"/>
      <c r="B82" s="106"/>
      <c r="C82" s="106"/>
      <c r="D82" s="106"/>
      <c r="E82" s="163" t="s">
        <v>1157</v>
      </c>
      <c r="F82" s="63"/>
      <c r="G82" s="63"/>
      <c r="H82" s="63"/>
    </row>
    <row r="83" spans="1:8">
      <c r="A83" s="100"/>
      <c r="B83" s="106"/>
      <c r="C83" s="106"/>
      <c r="D83" s="106"/>
      <c r="E83" s="163"/>
      <c r="F83" s="63"/>
      <c r="G83" s="63"/>
      <c r="H83" s="63"/>
    </row>
    <row r="84" spans="1:8">
      <c r="A84" s="100"/>
      <c r="B84" s="106"/>
      <c r="C84" s="106"/>
      <c r="D84" s="106"/>
      <c r="E84" s="163"/>
      <c r="F84" s="63"/>
      <c r="G84" s="63"/>
      <c r="H84" s="63"/>
    </row>
    <row r="85" spans="1:8">
      <c r="A85" s="100"/>
      <c r="B85" s="106"/>
      <c r="C85" s="106"/>
      <c r="D85" s="106"/>
      <c r="E85" s="163"/>
      <c r="F85" s="63"/>
      <c r="G85" s="63"/>
      <c r="H85" s="63"/>
    </row>
    <row r="86" spans="1:8">
      <c r="A86" s="100"/>
      <c r="B86" s="106"/>
      <c r="C86" s="106"/>
      <c r="D86" s="106"/>
      <c r="E86" s="163"/>
      <c r="F86" s="63"/>
      <c r="G86" s="63"/>
      <c r="H86" s="63"/>
    </row>
    <row r="87" spans="1:8">
      <c r="A87" s="100"/>
      <c r="B87" s="106"/>
      <c r="C87" s="106"/>
      <c r="D87" s="106"/>
      <c r="E87" s="163"/>
      <c r="F87" s="63"/>
      <c r="G87" s="63"/>
      <c r="H87" s="63"/>
    </row>
    <row r="88" spans="1:8">
      <c r="A88" s="100"/>
      <c r="B88" s="106"/>
      <c r="C88" s="106"/>
      <c r="D88" s="106"/>
      <c r="E88" s="163"/>
      <c r="F88" s="63"/>
      <c r="G88" s="63"/>
      <c r="H88" s="63"/>
    </row>
    <row r="89" spans="1:8">
      <c r="A89" s="100"/>
      <c r="B89" s="106"/>
      <c r="C89" s="106"/>
      <c r="D89" s="106"/>
      <c r="E89" s="163"/>
      <c r="F89" s="63"/>
      <c r="G89" s="63"/>
      <c r="H89" s="63"/>
    </row>
    <row r="90" spans="1:8">
      <c r="A90" s="100"/>
      <c r="B90" s="106"/>
      <c r="C90" s="106"/>
      <c r="D90" s="106"/>
      <c r="E90" s="163"/>
      <c r="F90" s="63"/>
      <c r="G90" s="63"/>
      <c r="H90" s="63"/>
    </row>
    <row r="91" spans="1:8">
      <c r="A91" s="100"/>
      <c r="B91" s="106"/>
      <c r="C91" s="106"/>
      <c r="D91" s="106"/>
      <c r="E91" s="163"/>
      <c r="F91" s="63"/>
      <c r="G91" s="63"/>
      <c r="H91" s="63"/>
    </row>
    <row r="92" spans="1:8">
      <c r="A92" s="100"/>
      <c r="B92" s="106"/>
      <c r="C92" s="106"/>
      <c r="D92" s="106"/>
      <c r="E92" s="163"/>
      <c r="F92" s="63"/>
      <c r="G92" s="63"/>
      <c r="H92" s="63"/>
    </row>
    <row r="93" spans="1:8">
      <c r="A93" s="100"/>
      <c r="B93" s="106"/>
      <c r="C93" s="106"/>
      <c r="D93" s="106"/>
      <c r="E93" s="163"/>
      <c r="F93" s="63"/>
      <c r="G93" s="63"/>
      <c r="H93" s="63"/>
    </row>
    <row r="94" spans="1:8">
      <c r="A94" s="100"/>
      <c r="B94" s="106"/>
      <c r="C94" s="106"/>
      <c r="D94" s="106"/>
      <c r="E94" s="163"/>
      <c r="F94" s="63"/>
      <c r="G94" s="63"/>
      <c r="H94" s="63"/>
    </row>
    <row r="95" spans="1:8">
      <c r="A95" s="100"/>
      <c r="B95" s="106"/>
      <c r="C95" s="106"/>
      <c r="D95" s="106"/>
      <c r="E95" s="163"/>
      <c r="F95" s="63"/>
      <c r="G95" s="63"/>
      <c r="H95" s="63"/>
    </row>
    <row r="96" spans="1:8">
      <c r="A96" s="100"/>
      <c r="B96" s="106"/>
      <c r="C96" s="106"/>
      <c r="D96" s="106"/>
      <c r="E96" s="163"/>
      <c r="F96" s="63"/>
      <c r="G96" s="63"/>
      <c r="H96" s="63"/>
    </row>
    <row r="97" spans="1:8">
      <c r="A97" s="100"/>
      <c r="B97" s="106"/>
      <c r="C97" s="106"/>
      <c r="D97" s="106"/>
      <c r="E97" s="163"/>
      <c r="F97" s="63"/>
      <c r="G97" s="63"/>
      <c r="H97" s="63"/>
    </row>
    <row r="98" spans="1:8">
      <c r="A98" s="100"/>
      <c r="B98" s="106"/>
      <c r="C98" s="106"/>
      <c r="D98" s="106"/>
      <c r="E98" s="163"/>
      <c r="F98" s="63"/>
      <c r="G98" s="63"/>
      <c r="H98" s="63"/>
    </row>
    <row r="99" spans="1:8">
      <c r="A99" s="100"/>
      <c r="B99" s="106"/>
      <c r="C99" s="106"/>
      <c r="D99" s="106"/>
      <c r="E99" s="163"/>
      <c r="F99" s="63"/>
      <c r="G99" s="63"/>
      <c r="H99" s="63"/>
    </row>
    <row r="100" spans="1:8">
      <c r="A100" s="100"/>
      <c r="B100" s="106"/>
      <c r="C100" s="106"/>
      <c r="D100" s="106"/>
      <c r="E100" s="163"/>
      <c r="F100" s="63"/>
      <c r="G100" s="63"/>
      <c r="H100" s="63"/>
    </row>
    <row r="101" spans="1:8">
      <c r="A101" s="100"/>
      <c r="B101" s="106"/>
      <c r="C101" s="106"/>
      <c r="D101" s="106"/>
      <c r="E101" s="163"/>
      <c r="F101" s="63"/>
      <c r="G101" s="63"/>
      <c r="H101" s="63"/>
    </row>
    <row r="102" spans="1:8">
      <c r="A102" s="100"/>
      <c r="B102" s="106"/>
      <c r="C102" s="106"/>
      <c r="D102" s="106"/>
      <c r="E102" s="163"/>
      <c r="F102" s="63"/>
      <c r="G102" s="63"/>
      <c r="H102" s="63"/>
    </row>
    <row r="103" spans="1:8">
      <c r="A103" s="100"/>
      <c r="B103" s="106"/>
      <c r="C103" s="106"/>
      <c r="D103" s="106"/>
      <c r="E103" s="163"/>
      <c r="F103" s="63"/>
      <c r="G103" s="63"/>
      <c r="H103" s="63"/>
    </row>
    <row r="104" spans="1:8">
      <c r="A104" s="100"/>
      <c r="B104" s="106"/>
      <c r="C104" s="106"/>
      <c r="D104" s="106"/>
      <c r="E104" s="163"/>
      <c r="F104" s="63"/>
      <c r="G104" s="63"/>
      <c r="H104" s="63"/>
    </row>
    <row r="105" spans="1:8">
      <c r="A105" s="100"/>
      <c r="B105" s="106"/>
      <c r="C105" s="106"/>
      <c r="D105" s="106"/>
      <c r="E105" s="163"/>
      <c r="F105" s="63"/>
      <c r="G105" s="63"/>
      <c r="H105" s="63"/>
    </row>
    <row r="106" spans="1:8">
      <c r="A106" s="100"/>
      <c r="B106" s="106"/>
      <c r="C106" s="106"/>
      <c r="D106" s="106"/>
      <c r="E106" s="163"/>
      <c r="F106" s="63"/>
      <c r="G106" s="63"/>
      <c r="H106" s="63"/>
    </row>
    <row r="107" spans="1:8">
      <c r="A107" s="100"/>
      <c r="B107" s="106"/>
      <c r="C107" s="106"/>
      <c r="D107" s="106"/>
      <c r="E107" s="163"/>
      <c r="F107" s="63"/>
      <c r="G107" s="63"/>
      <c r="H107" s="63"/>
    </row>
    <row r="108" spans="1:8">
      <c r="A108" s="100"/>
      <c r="B108" s="107"/>
      <c r="E108" s="163"/>
    </row>
    <row r="111" spans="1:8">
      <c r="A111" s="113" t="s">
        <v>1159</v>
      </c>
      <c r="B111" s="104" t="s">
        <v>1133</v>
      </c>
      <c r="C111" s="103"/>
      <c r="D111" s="158"/>
      <c r="E111" s="159">
        <f>SUM(E112:E120)</f>
        <v>358028.33999999997</v>
      </c>
    </row>
    <row r="112" spans="1:8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/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28049.84</v>
      </c>
    </row>
    <row r="115" spans="1:5">
      <c r="A115" s="100">
        <v>45077</v>
      </c>
      <c r="B115" s="8" t="s">
        <v>301</v>
      </c>
      <c r="C115" s="2"/>
      <c r="D115" s="2"/>
      <c r="E115" s="17">
        <v>6000.59</v>
      </c>
    </row>
    <row r="116" spans="1:5">
      <c r="A116" s="100">
        <v>45077</v>
      </c>
      <c r="B116" s="8" t="s">
        <v>1005</v>
      </c>
      <c r="C116" s="2">
        <v>1288.25</v>
      </c>
      <c r="D116" s="2">
        <v>111</v>
      </c>
      <c r="E116" s="17">
        <f>D116*C116</f>
        <v>142995.75</v>
      </c>
    </row>
    <row r="117" spans="1:5">
      <c r="A117" s="100">
        <v>45077</v>
      </c>
      <c r="B117" s="8" t="s">
        <v>1102</v>
      </c>
      <c r="C117" s="2">
        <v>20.475200000000001</v>
      </c>
      <c r="D117" s="2">
        <v>850</v>
      </c>
      <c r="E117" s="17">
        <f>D117*C117</f>
        <v>17403.920000000002</v>
      </c>
    </row>
    <row r="118" spans="1:5">
      <c r="A118" s="100">
        <v>45077</v>
      </c>
      <c r="B118" s="8" t="s">
        <v>1103</v>
      </c>
      <c r="C118" s="2">
        <v>21.9024</v>
      </c>
      <c r="D118" s="2">
        <v>100</v>
      </c>
      <c r="E118" s="17">
        <f>D118*C118</f>
        <v>2190.2399999999998</v>
      </c>
    </row>
    <row r="119" spans="1:5">
      <c r="A119" s="100">
        <v>45077</v>
      </c>
      <c r="B119" s="8" t="s">
        <v>152</v>
      </c>
      <c r="C119" s="2"/>
      <c r="D119" s="2"/>
      <c r="E119" s="17">
        <v>42600</v>
      </c>
    </row>
    <row r="120" spans="1:5">
      <c r="A120" s="100"/>
      <c r="B120" s="8" t="s">
        <v>153</v>
      </c>
      <c r="C120" s="2"/>
      <c r="D120" s="2"/>
      <c r="E120" s="17">
        <v>1700</v>
      </c>
    </row>
    <row r="121" spans="1:5">
      <c r="D121" s="18" t="s">
        <v>1134</v>
      </c>
      <c r="E121" s="63">
        <f>H3</f>
        <v>0</v>
      </c>
    </row>
    <row r="122" spans="1:5">
      <c r="D122" s="3"/>
    </row>
    <row r="123" spans="1:5">
      <c r="D123" s="18" t="s">
        <v>155</v>
      </c>
      <c r="E123" s="8">
        <f>SUM(E112:E122)</f>
        <v>358028.33999999997</v>
      </c>
    </row>
    <row r="133" spans="1:5">
      <c r="A133" s="103"/>
      <c r="B133" s="104"/>
      <c r="C133" s="103"/>
      <c r="D133" s="158"/>
      <c r="E133" s="159"/>
    </row>
    <row r="134" spans="1:5">
      <c r="A134" s="100"/>
      <c r="C134" s="2"/>
      <c r="D134" s="2"/>
      <c r="E134" s="17"/>
    </row>
    <row r="135" spans="1:5">
      <c r="A135" s="100"/>
      <c r="C135" s="2"/>
      <c r="D135" s="2"/>
      <c r="E135" s="17"/>
    </row>
    <row r="136" spans="1:5">
      <c r="A136" s="100"/>
      <c r="C136" s="2"/>
      <c r="D136" s="2"/>
      <c r="E136" s="17"/>
    </row>
    <row r="137" spans="1:5">
      <c r="A137" s="100"/>
      <c r="C137" s="2"/>
      <c r="D137" s="2"/>
      <c r="E137" s="17"/>
    </row>
    <row r="138" spans="1:5">
      <c r="A138" s="100"/>
      <c r="C138" s="2"/>
      <c r="D138" s="2"/>
      <c r="E138" s="17"/>
    </row>
    <row r="139" spans="1:5">
      <c r="A139" s="100"/>
      <c r="C139" s="2"/>
      <c r="D139" s="2"/>
      <c r="E139" s="17"/>
    </row>
    <row r="140" spans="1:5">
      <c r="A140" s="100"/>
      <c r="C140" s="2"/>
      <c r="D140" s="2"/>
      <c r="E140" s="17"/>
    </row>
    <row r="141" spans="1:5">
      <c r="A141" s="100"/>
      <c r="C141" s="2"/>
      <c r="D141" s="2"/>
      <c r="E141" s="17"/>
    </row>
    <row r="142" spans="1:5">
      <c r="A142" s="100"/>
      <c r="C142" s="2"/>
      <c r="D142" s="2"/>
      <c r="E142" s="17"/>
    </row>
    <row r="143" spans="1:5">
      <c r="D143" s="18"/>
      <c r="E143" s="63"/>
    </row>
    <row r="144" spans="1:5">
      <c r="D144" s="3"/>
    </row>
    <row r="145" spans="4:4">
      <c r="D145" s="18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395511"/>
  </sheetPr>
  <dimension ref="A1:H123"/>
  <sheetViews>
    <sheetView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1160</v>
      </c>
      <c r="C2" s="79" t="s">
        <v>67</v>
      </c>
      <c r="D2" s="306">
        <f>SUM(D4:D35)</f>
        <v>20911</v>
      </c>
      <c r="E2" s="306">
        <f>SUM(E4:E26)</f>
        <v>-54277.093000000001</v>
      </c>
      <c r="F2" s="306">
        <f>SUM(F4:F36)</f>
        <v>72630</v>
      </c>
      <c r="G2" s="306">
        <f>SUM(G4:G36)</f>
        <v>-58332.79</v>
      </c>
      <c r="H2" s="306">
        <f>F2+G2</f>
        <v>14297.21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-207</v>
      </c>
      <c r="H4" s="63">
        <f t="shared" ref="H4:H30" si="0">H3+F4+G4</f>
        <v>-207</v>
      </c>
    </row>
    <row r="5" spans="1:8">
      <c r="B5" s="101" t="s">
        <v>81</v>
      </c>
      <c r="C5" s="101"/>
      <c r="D5" s="101"/>
      <c r="E5" s="63">
        <v>-500</v>
      </c>
      <c r="G5" s="63">
        <v>-456</v>
      </c>
      <c r="H5" s="63">
        <f t="shared" si="0"/>
        <v>-663</v>
      </c>
    </row>
    <row r="6" spans="1:8">
      <c r="A6" s="100">
        <v>45019</v>
      </c>
      <c r="B6" s="101" t="s">
        <v>632</v>
      </c>
      <c r="C6" s="101"/>
      <c r="D6" s="101"/>
      <c r="E6" s="63">
        <v>-4300</v>
      </c>
      <c r="G6" s="63">
        <v>-4300</v>
      </c>
      <c r="H6" s="63">
        <f t="shared" si="0"/>
        <v>-4963</v>
      </c>
    </row>
    <row r="7" spans="1:8">
      <c r="A7" s="100">
        <v>45019</v>
      </c>
      <c r="B7" s="101" t="s">
        <v>626</v>
      </c>
      <c r="C7" s="101"/>
      <c r="D7" s="101"/>
      <c r="E7" s="63">
        <v>-674.74</v>
      </c>
      <c r="F7" s="163"/>
      <c r="G7" s="63">
        <v>-670.27</v>
      </c>
      <c r="H7" s="63">
        <f t="shared" si="0"/>
        <v>-5633.27</v>
      </c>
    </row>
    <row r="8" spans="1:8">
      <c r="A8" s="100" t="s">
        <v>1161</v>
      </c>
      <c r="B8" s="101" t="s">
        <v>75</v>
      </c>
      <c r="C8" s="101"/>
      <c r="D8" s="101"/>
      <c r="E8" s="63">
        <v>-150</v>
      </c>
      <c r="F8" s="163"/>
      <c r="G8" s="63">
        <v>-139.9</v>
      </c>
      <c r="H8" s="63">
        <f t="shared" si="0"/>
        <v>-5773.17</v>
      </c>
    </row>
    <row r="9" spans="1:8">
      <c r="B9" s="106" t="s">
        <v>73</v>
      </c>
      <c r="C9" s="106"/>
      <c r="D9" s="106"/>
      <c r="E9" s="63">
        <v>-1000</v>
      </c>
      <c r="F9" s="63"/>
      <c r="G9" s="63">
        <v>-1148</v>
      </c>
      <c r="H9" s="63">
        <f t="shared" si="0"/>
        <v>-6921.17</v>
      </c>
    </row>
    <row r="10" spans="1:8">
      <c r="B10" s="106" t="s">
        <v>74</v>
      </c>
      <c r="C10" s="106"/>
      <c r="D10" s="106"/>
      <c r="E10" s="63">
        <v>-150</v>
      </c>
      <c r="F10" s="63"/>
      <c r="G10" s="63">
        <v>-93.5</v>
      </c>
      <c r="H10" s="63">
        <f t="shared" si="0"/>
        <v>-7014.67</v>
      </c>
    </row>
    <row r="11" spans="1:8">
      <c r="B11" s="178" t="s">
        <v>72</v>
      </c>
      <c r="D11" s="63"/>
      <c r="E11" s="63">
        <f>D48*-1</f>
        <v>-107.14</v>
      </c>
      <c r="F11" s="63"/>
      <c r="G11" s="63">
        <v>-107.14</v>
      </c>
      <c r="H11" s="63">
        <f t="shared" si="0"/>
        <v>-7121.81</v>
      </c>
    </row>
    <row r="12" spans="1:8">
      <c r="B12" s="178" t="s">
        <v>68</v>
      </c>
      <c r="E12" s="63">
        <f>E54</f>
        <v>-5461.222999999999</v>
      </c>
      <c r="F12" s="63"/>
      <c r="G12" s="63">
        <v>-5461.22</v>
      </c>
      <c r="H12" s="63">
        <f t="shared" si="0"/>
        <v>-12583.03</v>
      </c>
    </row>
    <row r="13" spans="1:8">
      <c r="B13" s="178" t="s">
        <v>69</v>
      </c>
      <c r="E13" s="63">
        <f>E78</f>
        <v>-31033.99</v>
      </c>
      <c r="F13" s="63"/>
      <c r="G13" s="63">
        <v>-31033.99</v>
      </c>
      <c r="H13" s="63">
        <f t="shared" si="0"/>
        <v>-43617.020000000004</v>
      </c>
    </row>
    <row r="14" spans="1:8">
      <c r="B14" t="s">
        <v>77</v>
      </c>
      <c r="E14" s="63">
        <v>-3500</v>
      </c>
      <c r="F14" s="63"/>
      <c r="G14" s="63">
        <v>-3500</v>
      </c>
      <c r="H14" s="63">
        <f t="shared" si="0"/>
        <v>-47117.020000000004</v>
      </c>
    </row>
    <row r="15" spans="1:8">
      <c r="B15" t="s">
        <v>1074</v>
      </c>
      <c r="E15" s="63"/>
      <c r="F15" s="63"/>
      <c r="G15" s="63">
        <v>-1000</v>
      </c>
      <c r="H15" s="63">
        <f t="shared" si="0"/>
        <v>-48117.020000000004</v>
      </c>
    </row>
    <row r="16" spans="1:8">
      <c r="B16" t="s">
        <v>78</v>
      </c>
      <c r="E16" s="63">
        <v>-3500</v>
      </c>
      <c r="F16" s="63"/>
      <c r="G16" s="63">
        <v>-3500</v>
      </c>
      <c r="H16" s="63">
        <f t="shared" si="0"/>
        <v>-51617.020000000004</v>
      </c>
    </row>
    <row r="17" spans="1:8">
      <c r="B17" t="s">
        <v>1073</v>
      </c>
      <c r="E17" s="63"/>
      <c r="F17" s="63"/>
      <c r="G17" s="63">
        <v>-1000</v>
      </c>
      <c r="H17" s="63">
        <f t="shared" si="0"/>
        <v>-52617.020000000004</v>
      </c>
    </row>
    <row r="18" spans="1:8">
      <c r="B18" t="s">
        <v>79</v>
      </c>
      <c r="E18" s="63">
        <v>-3500</v>
      </c>
      <c r="F18" s="63"/>
      <c r="G18" s="63">
        <v>-3500</v>
      </c>
      <c r="H18" s="63">
        <f t="shared" si="0"/>
        <v>-56117.020000000004</v>
      </c>
    </row>
    <row r="19" spans="1:8">
      <c r="B19" t="s">
        <v>2</v>
      </c>
      <c r="D19">
        <v>1111</v>
      </c>
      <c r="E19" s="63"/>
      <c r="F19" s="63">
        <v>6000</v>
      </c>
      <c r="G19" s="63"/>
      <c r="H19" s="63">
        <f t="shared" si="0"/>
        <v>-50117.020000000004</v>
      </c>
    </row>
    <row r="20" spans="1:8">
      <c r="B20" t="s">
        <v>76</v>
      </c>
      <c r="D20" s="186">
        <v>7500</v>
      </c>
      <c r="F20" s="163">
        <v>7500</v>
      </c>
      <c r="G20" s="63"/>
      <c r="H20" s="63">
        <f t="shared" si="0"/>
        <v>-42617.020000000004</v>
      </c>
    </row>
    <row r="21" spans="1:8">
      <c r="B21" t="s">
        <v>1162</v>
      </c>
      <c r="D21" s="186">
        <v>2000</v>
      </c>
      <c r="F21" s="163">
        <v>2000</v>
      </c>
      <c r="G21" s="63"/>
      <c r="H21" s="63">
        <f t="shared" si="0"/>
        <v>-40617.020000000004</v>
      </c>
    </row>
    <row r="22" spans="1:8">
      <c r="B22" t="s">
        <v>671</v>
      </c>
      <c r="D22" s="186">
        <v>2800</v>
      </c>
      <c r="F22" s="63">
        <v>2800</v>
      </c>
      <c r="G22" s="63"/>
      <c r="H22" s="63">
        <f t="shared" si="0"/>
        <v>-37817.020000000004</v>
      </c>
    </row>
    <row r="23" spans="1:8">
      <c r="B23" t="s">
        <v>1163</v>
      </c>
      <c r="D23" s="186">
        <v>6500</v>
      </c>
      <c r="F23" s="63">
        <v>6500</v>
      </c>
      <c r="G23" s="63"/>
      <c r="H23" s="63">
        <f t="shared" si="0"/>
        <v>-31317.020000000004</v>
      </c>
    </row>
    <row r="24" spans="1:8">
      <c r="B24" t="s">
        <v>1164</v>
      </c>
      <c r="D24" s="322">
        <v>1000</v>
      </c>
      <c r="H24" s="63">
        <f t="shared" si="0"/>
        <v>-31317.020000000004</v>
      </c>
    </row>
    <row r="25" spans="1:8">
      <c r="A25" s="100">
        <v>45028</v>
      </c>
      <c r="B25" s="8" t="s">
        <v>1165</v>
      </c>
      <c r="D25" s="102"/>
      <c r="F25" s="63">
        <v>13000</v>
      </c>
      <c r="G25" s="63"/>
      <c r="H25" s="63">
        <f t="shared" si="0"/>
        <v>-18317.020000000004</v>
      </c>
    </row>
    <row r="26" spans="1:8">
      <c r="A26" s="100"/>
      <c r="B26" s="8" t="s">
        <v>1166</v>
      </c>
      <c r="D26" s="102"/>
      <c r="H26" s="63">
        <f t="shared" si="0"/>
        <v>-18317.020000000004</v>
      </c>
    </row>
    <row r="27" spans="1:8">
      <c r="A27" s="100">
        <v>45042</v>
      </c>
      <c r="B27" s="8" t="s">
        <v>1167</v>
      </c>
      <c r="F27" s="63">
        <v>28080</v>
      </c>
      <c r="G27" s="63"/>
      <c r="H27" s="63">
        <f t="shared" si="0"/>
        <v>9762.9799999999959</v>
      </c>
    </row>
    <row r="28" spans="1:8">
      <c r="A28" s="100">
        <v>45042</v>
      </c>
      <c r="B28" s="8" t="s">
        <v>1168</v>
      </c>
      <c r="F28" s="63"/>
      <c r="G28" s="63">
        <v>-600</v>
      </c>
      <c r="H28" s="63">
        <f t="shared" si="0"/>
        <v>9162.9799999999959</v>
      </c>
    </row>
    <row r="29" spans="1:8">
      <c r="A29" s="100">
        <v>45042</v>
      </c>
      <c r="B29" s="8" t="s">
        <v>1169</v>
      </c>
      <c r="F29" s="63"/>
      <c r="G29" s="63">
        <v>-1615.77</v>
      </c>
      <c r="H29" s="63">
        <f t="shared" si="0"/>
        <v>7547.2099999999955</v>
      </c>
    </row>
    <row r="30" spans="1:8">
      <c r="A30" s="100">
        <v>45042</v>
      </c>
      <c r="B30" s="8" t="s">
        <v>1170</v>
      </c>
      <c r="F30" s="163">
        <v>6750</v>
      </c>
      <c r="G30" s="63"/>
      <c r="H30" s="163">
        <f t="shared" si="0"/>
        <v>14297.209999999995</v>
      </c>
    </row>
    <row r="31" spans="1:8">
      <c r="F31" s="63"/>
      <c r="G31" s="63"/>
      <c r="H31" s="63"/>
    </row>
    <row r="32" spans="1:8">
      <c r="F32" s="63"/>
      <c r="G32" s="63"/>
      <c r="H32" s="63"/>
    </row>
    <row r="33" spans="1:8">
      <c r="F33" s="63"/>
      <c r="G33" s="63"/>
      <c r="H33" s="63"/>
    </row>
    <row r="34" spans="1:8">
      <c r="F34" s="63"/>
      <c r="G34" s="63"/>
      <c r="H34" s="63"/>
    </row>
    <row r="35" spans="1:8">
      <c r="E35" s="63"/>
      <c r="G35" s="63"/>
      <c r="H35" s="63"/>
    </row>
    <row r="36" spans="1:8">
      <c r="B36" t="s">
        <v>325</v>
      </c>
      <c r="E36" s="63"/>
      <c r="G36" s="63"/>
      <c r="H36" s="63"/>
    </row>
    <row r="37" spans="1:8">
      <c r="A37" s="103" t="s">
        <v>326</v>
      </c>
      <c r="B37" s="103"/>
      <c r="C37" s="103"/>
      <c r="D37" s="103"/>
      <c r="E37" s="158"/>
      <c r="G37" s="63"/>
      <c r="H37" s="63"/>
    </row>
    <row r="38" spans="1:8">
      <c r="A38" s="317"/>
      <c r="B38" s="312"/>
      <c r="C38" s="312"/>
      <c r="D38" s="312"/>
      <c r="E38" s="313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100"/>
      <c r="C41" s="171"/>
      <c r="H41" s="63"/>
    </row>
    <row r="42" spans="1:8">
      <c r="A42" s="172">
        <v>44929</v>
      </c>
      <c r="B42" s="173" t="s">
        <v>327</v>
      </c>
      <c r="C42" s="103"/>
      <c r="D42" s="201">
        <f>SUM(D43:D50)</f>
        <v>4161.9400000000005</v>
      </c>
      <c r="E42" s="201">
        <f>SUM(E43:E50)</f>
        <v>4162</v>
      </c>
      <c r="H42" s="63"/>
    </row>
    <row r="43" spans="1:8">
      <c r="B43" t="s">
        <v>920</v>
      </c>
      <c r="D43">
        <v>835.27</v>
      </c>
      <c r="E43" s="63">
        <v>835</v>
      </c>
      <c r="F43" s="63"/>
      <c r="G43" s="63"/>
    </row>
    <row r="44" spans="1:8">
      <c r="B44" t="s">
        <v>329</v>
      </c>
      <c r="D44">
        <v>1240.45</v>
      </c>
      <c r="E44" s="63">
        <v>1240</v>
      </c>
      <c r="F44" s="63"/>
      <c r="G44" s="63"/>
    </row>
    <row r="45" spans="1:8">
      <c r="B45" t="s">
        <v>330</v>
      </c>
      <c r="D45">
        <v>195.7</v>
      </c>
      <c r="E45">
        <v>195</v>
      </c>
      <c r="F45" s="63"/>
      <c r="G45" s="63"/>
    </row>
    <row r="46" spans="1:8">
      <c r="B46" t="s">
        <v>331</v>
      </c>
      <c r="D46">
        <v>1448.09</v>
      </c>
      <c r="E46">
        <v>1450</v>
      </c>
      <c r="F46" s="63"/>
      <c r="G46" s="63"/>
    </row>
    <row r="47" spans="1:8">
      <c r="B47" t="s">
        <v>332</v>
      </c>
      <c r="D47">
        <v>335.29</v>
      </c>
      <c r="E47">
        <v>335</v>
      </c>
      <c r="F47" s="63"/>
      <c r="G47" s="63"/>
    </row>
    <row r="48" spans="1:8">
      <c r="B48" t="s">
        <v>333</v>
      </c>
      <c r="C48" s="106"/>
      <c r="D48" s="106">
        <v>107.14</v>
      </c>
      <c r="E48">
        <v>107</v>
      </c>
      <c r="F48" s="63"/>
      <c r="G48" s="63"/>
    </row>
    <row r="49" spans="1:8">
      <c r="C49" s="106"/>
      <c r="E49" s="106"/>
      <c r="F49" s="63"/>
      <c r="G49" s="63"/>
    </row>
    <row r="50" spans="1:8">
      <c r="C50" s="106"/>
      <c r="D50" s="106"/>
      <c r="E50" s="163"/>
      <c r="F50" s="63"/>
      <c r="G50" s="63"/>
    </row>
    <row r="52" spans="1:8">
      <c r="B52" s="17"/>
    </row>
    <row r="53" spans="1:8">
      <c r="B53" s="102"/>
    </row>
    <row r="54" spans="1:8">
      <c r="A54" s="103"/>
      <c r="B54" s="104" t="s">
        <v>83</v>
      </c>
      <c r="C54" s="103"/>
      <c r="D54" s="158"/>
      <c r="E54" s="159">
        <f>SUM(E55:E75)</f>
        <v>-5461.222999999999</v>
      </c>
    </row>
    <row r="55" spans="1:8">
      <c r="A55" s="100">
        <v>44873</v>
      </c>
      <c r="B55" s="8" t="s">
        <v>1171</v>
      </c>
      <c r="C55" s="106"/>
      <c r="D55" s="106" t="s">
        <v>725</v>
      </c>
      <c r="E55" s="163">
        <v>-1111.1099999999999</v>
      </c>
      <c r="F55" s="63"/>
      <c r="G55" s="63"/>
      <c r="H55" s="63"/>
    </row>
    <row r="56" spans="1:8">
      <c r="A56" s="100">
        <v>44920</v>
      </c>
      <c r="B56" s="106" t="s">
        <v>1172</v>
      </c>
      <c r="C56" s="106"/>
      <c r="D56" s="106" t="s">
        <v>983</v>
      </c>
      <c r="E56" s="163">
        <v>-397.47</v>
      </c>
      <c r="F56" s="63"/>
      <c r="G56" s="63"/>
      <c r="H56" s="63"/>
    </row>
    <row r="57" spans="1:8">
      <c r="A57" s="100">
        <v>44920</v>
      </c>
      <c r="B57" s="106" t="s">
        <v>1173</v>
      </c>
      <c r="C57" s="106"/>
      <c r="D57" s="106" t="s">
        <v>983</v>
      </c>
      <c r="E57" s="163">
        <v>-80.92</v>
      </c>
      <c r="F57" s="63"/>
      <c r="G57" s="63"/>
      <c r="H57" s="63"/>
    </row>
    <row r="58" spans="1:8">
      <c r="A58" s="100">
        <v>44920</v>
      </c>
      <c r="B58" s="106" t="s">
        <v>1174</v>
      </c>
      <c r="C58" s="106"/>
      <c r="D58" s="106" t="s">
        <v>983</v>
      </c>
      <c r="E58" s="163">
        <v>-127.05</v>
      </c>
      <c r="F58" s="63"/>
      <c r="G58" s="63"/>
      <c r="H58" s="63"/>
    </row>
    <row r="59" spans="1:8">
      <c r="A59" s="100">
        <v>44920</v>
      </c>
      <c r="B59" s="106" t="s">
        <v>1175</v>
      </c>
      <c r="C59" s="106"/>
      <c r="D59" s="106" t="s">
        <v>983</v>
      </c>
      <c r="E59" s="163">
        <v>-49.323</v>
      </c>
      <c r="F59" s="63"/>
      <c r="G59" s="63"/>
      <c r="H59" s="63"/>
    </row>
    <row r="60" spans="1:8">
      <c r="A60" s="100">
        <v>44985</v>
      </c>
      <c r="B60" s="8" t="s">
        <v>817</v>
      </c>
      <c r="C60">
        <v>437.97</v>
      </c>
      <c r="D60" s="35" t="s">
        <v>1149</v>
      </c>
      <c r="E60" s="163">
        <v>-145.99</v>
      </c>
      <c r="F60" s="63"/>
      <c r="G60" s="63"/>
      <c r="H60" s="63"/>
    </row>
    <row r="61" spans="1:8">
      <c r="A61" s="100">
        <v>44985</v>
      </c>
      <c r="B61" s="8" t="s">
        <v>818</v>
      </c>
      <c r="C61">
        <v>404.23</v>
      </c>
      <c r="D61" s="35" t="s">
        <v>1149</v>
      </c>
      <c r="E61" s="163">
        <v>-134.74</v>
      </c>
      <c r="F61" s="63"/>
    </row>
    <row r="62" spans="1:8">
      <c r="A62" s="100">
        <v>44985</v>
      </c>
      <c r="B62" s="8" t="s">
        <v>819</v>
      </c>
      <c r="C62">
        <v>1135</v>
      </c>
      <c r="D62" s="35" t="s">
        <v>1149</v>
      </c>
      <c r="E62" s="163">
        <v>-378.33</v>
      </c>
      <c r="F62" s="63"/>
    </row>
    <row r="63" spans="1:8">
      <c r="A63" s="100">
        <v>44982</v>
      </c>
      <c r="B63" s="8" t="s">
        <v>1176</v>
      </c>
      <c r="C63">
        <v>659.93</v>
      </c>
      <c r="D63" s="35" t="s">
        <v>1056</v>
      </c>
      <c r="E63" s="163">
        <v>-164.98</v>
      </c>
      <c r="F63" s="63"/>
    </row>
    <row r="64" spans="1:8">
      <c r="A64" s="100">
        <v>44995</v>
      </c>
      <c r="B64" s="8" t="s">
        <v>1117</v>
      </c>
      <c r="C64">
        <v>720.19</v>
      </c>
      <c r="D64" s="321" t="s">
        <v>1177</v>
      </c>
      <c r="E64" s="163">
        <v>-240.06</v>
      </c>
      <c r="F64" s="63"/>
    </row>
    <row r="65" spans="1:8">
      <c r="A65" s="100">
        <v>44995</v>
      </c>
      <c r="B65" s="8" t="s">
        <v>771</v>
      </c>
      <c r="C65">
        <v>613.91</v>
      </c>
      <c r="D65" s="35" t="s">
        <v>1178</v>
      </c>
      <c r="E65" s="163">
        <v>-61.39</v>
      </c>
      <c r="F65" s="63"/>
    </row>
    <row r="66" spans="1:8">
      <c r="A66" s="100">
        <v>44995</v>
      </c>
      <c r="B66" s="8" t="s">
        <v>1028</v>
      </c>
      <c r="C66">
        <v>2258.94</v>
      </c>
      <c r="D66" s="35" t="s">
        <v>644</v>
      </c>
      <c r="E66" s="163">
        <v>-376.49</v>
      </c>
      <c r="F66" s="63"/>
    </row>
    <row r="67" spans="1:8">
      <c r="A67" s="100">
        <v>44985</v>
      </c>
      <c r="B67" s="8" t="s">
        <v>1179</v>
      </c>
      <c r="D67" s="35"/>
      <c r="E67" s="163">
        <v>-161.31</v>
      </c>
      <c r="F67" s="63"/>
    </row>
    <row r="68" spans="1:8">
      <c r="A68" s="100">
        <v>44986</v>
      </c>
      <c r="B68" s="8" t="s">
        <v>1179</v>
      </c>
      <c r="D68" s="35"/>
      <c r="E68" s="163">
        <v>-137.93</v>
      </c>
      <c r="F68" s="63"/>
    </row>
    <row r="69" spans="1:8">
      <c r="A69" s="100">
        <v>44987</v>
      </c>
      <c r="B69" s="8" t="s">
        <v>1179</v>
      </c>
      <c r="D69" s="35"/>
      <c r="E69" s="163">
        <v>-121.99</v>
      </c>
      <c r="F69" s="63"/>
    </row>
    <row r="70" spans="1:8">
      <c r="A70" s="100">
        <v>45004</v>
      </c>
      <c r="B70" s="8" t="s">
        <v>1180</v>
      </c>
      <c r="D70" s="35"/>
      <c r="E70" s="163">
        <v>-94.85</v>
      </c>
      <c r="F70" s="63"/>
    </row>
    <row r="71" spans="1:8">
      <c r="A71" s="100">
        <v>45005</v>
      </c>
      <c r="B71" s="8" t="s">
        <v>1181</v>
      </c>
      <c r="D71" s="35"/>
      <c r="E71" s="163">
        <v>-456.1</v>
      </c>
      <c r="F71" s="63"/>
    </row>
    <row r="72" spans="1:8">
      <c r="A72" s="100">
        <v>45005</v>
      </c>
      <c r="B72" s="8" t="s">
        <v>1182</v>
      </c>
      <c r="E72" s="163">
        <v>-110</v>
      </c>
    </row>
    <row r="73" spans="1:8">
      <c r="A73" s="100">
        <v>45007</v>
      </c>
      <c r="B73" s="8" t="s">
        <v>1183</v>
      </c>
      <c r="D73" s="35"/>
      <c r="E73" s="163">
        <v>-554.11</v>
      </c>
    </row>
    <row r="74" spans="1:8">
      <c r="A74" s="100">
        <v>45010</v>
      </c>
      <c r="B74" s="8" t="s">
        <v>1184</v>
      </c>
      <c r="D74" s="35"/>
      <c r="E74" s="163">
        <v>-530.54999999999995</v>
      </c>
    </row>
    <row r="75" spans="1:8">
      <c r="A75" s="100">
        <v>45010</v>
      </c>
      <c r="B75" s="8" t="s">
        <v>1185</v>
      </c>
      <c r="D75" s="35"/>
      <c r="E75" s="163">
        <v>-26.53</v>
      </c>
    </row>
    <row r="76" spans="1:8">
      <c r="A76" s="100"/>
      <c r="D76" s="35"/>
      <c r="E76" s="163" t="s">
        <v>1157</v>
      </c>
    </row>
    <row r="78" spans="1:8">
      <c r="A78" s="103"/>
      <c r="B78" s="104" t="s">
        <v>85</v>
      </c>
      <c r="C78" s="103"/>
      <c r="D78" s="103"/>
      <c r="E78" s="159">
        <f>SUM(E79:E83)</f>
        <v>-31033.99</v>
      </c>
    </row>
    <row r="79" spans="1:8">
      <c r="A79" s="100">
        <v>44984</v>
      </c>
      <c r="B79" s="106" t="s">
        <v>364</v>
      </c>
      <c r="C79" s="106"/>
      <c r="D79" s="106"/>
      <c r="E79" s="163">
        <v>-30374</v>
      </c>
      <c r="F79" s="63"/>
      <c r="G79" s="63"/>
      <c r="H79" s="63"/>
    </row>
    <row r="80" spans="1:8">
      <c r="A80" s="100">
        <v>44993</v>
      </c>
      <c r="B80" s="106" t="s">
        <v>651</v>
      </c>
      <c r="C80" s="106"/>
      <c r="D80" s="106"/>
      <c r="E80" s="163">
        <v>-160</v>
      </c>
      <c r="F80" s="63"/>
      <c r="G80" s="63"/>
      <c r="H80" s="63"/>
    </row>
    <row r="81" spans="1:8">
      <c r="A81" s="100">
        <v>44994</v>
      </c>
      <c r="B81" s="106" t="s">
        <v>650</v>
      </c>
      <c r="C81" s="106"/>
      <c r="D81" s="106"/>
      <c r="E81" s="163">
        <v>-160.04</v>
      </c>
      <c r="F81" s="63"/>
      <c r="G81" s="63"/>
      <c r="H81" s="63"/>
    </row>
    <row r="82" spans="1:8">
      <c r="A82" s="100">
        <v>44995</v>
      </c>
      <c r="B82" s="106" t="s">
        <v>651</v>
      </c>
      <c r="C82" s="106"/>
      <c r="D82" s="106"/>
      <c r="E82" s="163">
        <v>-110</v>
      </c>
      <c r="F82" s="63"/>
      <c r="G82" s="63"/>
      <c r="H82" s="63"/>
    </row>
    <row r="83" spans="1:8">
      <c r="A83" s="100">
        <v>45000</v>
      </c>
      <c r="B83" s="106" t="s">
        <v>1186</v>
      </c>
      <c r="C83" s="106"/>
      <c r="D83" s="106"/>
      <c r="E83" s="163">
        <v>-229.95</v>
      </c>
      <c r="F83" s="63"/>
      <c r="G83" s="63"/>
      <c r="H83" s="63"/>
    </row>
    <row r="84" spans="1:8">
      <c r="A84" s="100"/>
      <c r="B84" s="107"/>
      <c r="E84" s="163" t="s">
        <v>1157</v>
      </c>
    </row>
    <row r="85" spans="1:8">
      <c r="A85" s="100"/>
      <c r="B85" s="107"/>
      <c r="E85" s="163"/>
    </row>
    <row r="86" spans="1:8">
      <c r="A86" s="100"/>
      <c r="B86" s="107"/>
      <c r="E86" s="163"/>
    </row>
    <row r="87" spans="1:8">
      <c r="A87" s="100"/>
      <c r="B87" s="107"/>
      <c r="E87" s="163"/>
    </row>
    <row r="88" spans="1:8">
      <c r="A88" s="100"/>
      <c r="B88" s="107"/>
      <c r="E88" s="163"/>
    </row>
    <row r="89" spans="1:8">
      <c r="A89" s="100"/>
      <c r="B89" s="107"/>
      <c r="E89" s="163"/>
    </row>
    <row r="90" spans="1:8">
      <c r="A90" s="100"/>
      <c r="B90" s="107"/>
      <c r="E90" s="163"/>
    </row>
    <row r="91" spans="1:8">
      <c r="A91" s="100"/>
      <c r="B91" s="107"/>
      <c r="E91" s="163"/>
    </row>
    <row r="92" spans="1:8">
      <c r="A92" s="100"/>
      <c r="B92" s="107"/>
      <c r="E92" s="163"/>
    </row>
    <row r="93" spans="1:8">
      <c r="A93" s="100"/>
      <c r="B93" s="107"/>
      <c r="E93" s="163"/>
    </row>
    <row r="94" spans="1:8">
      <c r="A94" s="100"/>
      <c r="B94" s="107"/>
      <c r="E94" s="163"/>
    </row>
    <row r="95" spans="1:8">
      <c r="A95" s="100"/>
      <c r="B95" s="107"/>
      <c r="E95" s="163"/>
    </row>
    <row r="96" spans="1:8">
      <c r="A96" s="100"/>
      <c r="B96" s="107"/>
      <c r="E96" s="163"/>
    </row>
    <row r="97" spans="1:5">
      <c r="A97" s="100"/>
      <c r="B97" s="107"/>
      <c r="E97" s="163"/>
    </row>
    <row r="98" spans="1:5">
      <c r="A98" s="100"/>
      <c r="B98" s="107"/>
      <c r="E98" s="163"/>
    </row>
    <row r="99" spans="1:5">
      <c r="A99" s="100"/>
      <c r="B99" s="107"/>
      <c r="E99" s="163"/>
    </row>
    <row r="100" spans="1:5">
      <c r="A100" s="100"/>
      <c r="B100" s="107"/>
      <c r="E100" s="163"/>
    </row>
    <row r="101" spans="1:5">
      <c r="A101" s="100"/>
      <c r="B101" s="107"/>
      <c r="E101" s="163"/>
    </row>
    <row r="102" spans="1:5">
      <c r="A102" s="100"/>
      <c r="B102" s="107"/>
      <c r="E102" s="163"/>
    </row>
    <row r="103" spans="1:5">
      <c r="A103" s="100"/>
      <c r="B103" s="107"/>
      <c r="E103" s="163"/>
    </row>
    <row r="104" spans="1:5">
      <c r="A104" s="100"/>
      <c r="B104" s="107"/>
      <c r="E104" s="163"/>
    </row>
    <row r="105" spans="1:5">
      <c r="A105" s="100"/>
      <c r="B105" s="107"/>
      <c r="E105" s="163"/>
    </row>
    <row r="106" spans="1:5">
      <c r="A106" s="100"/>
      <c r="B106" s="107"/>
      <c r="E106" s="163"/>
    </row>
    <row r="107" spans="1:5">
      <c r="A107" s="100"/>
      <c r="B107" s="107"/>
      <c r="E107" s="163"/>
    </row>
    <row r="111" spans="1:5">
      <c r="A111" s="103"/>
      <c r="B111" s="104" t="s">
        <v>1187</v>
      </c>
      <c r="C111" s="103"/>
      <c r="D111" s="158"/>
      <c r="E111" s="159">
        <f>SUM(E112:E120)</f>
        <v>367483.41000000003</v>
      </c>
    </row>
    <row r="112" spans="1:5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1068</v>
      </c>
      <c r="C113" s="2"/>
      <c r="D113" s="2"/>
      <c r="E113" s="17">
        <v>53088</v>
      </c>
    </row>
    <row r="114" spans="1:5">
      <c r="A114" s="100">
        <v>45016</v>
      </c>
      <c r="B114" s="8" t="s">
        <v>300</v>
      </c>
      <c r="C114" s="2"/>
      <c r="D114" s="2"/>
      <c r="E114" s="17">
        <v>44063.82</v>
      </c>
    </row>
    <row r="115" spans="1:5">
      <c r="A115" s="100">
        <v>45016</v>
      </c>
      <c r="B115" s="8" t="s">
        <v>301</v>
      </c>
      <c r="C115" s="2"/>
      <c r="D115" s="2"/>
      <c r="E115" s="17">
        <v>6000.59</v>
      </c>
    </row>
    <row r="116" spans="1:5">
      <c r="A116" s="100">
        <v>45016</v>
      </c>
      <c r="B116" s="8" t="s">
        <v>1005</v>
      </c>
      <c r="C116" s="2">
        <v>1265</v>
      </c>
      <c r="D116" s="2">
        <v>111</v>
      </c>
      <c r="E116" s="17">
        <f>D116*C116</f>
        <v>140415</v>
      </c>
    </row>
    <row r="117" spans="1:5">
      <c r="A117" s="100">
        <v>45016</v>
      </c>
      <c r="B117" s="8" t="s">
        <v>1102</v>
      </c>
      <c r="C117" s="2">
        <v>19.5</v>
      </c>
      <c r="D117" s="2">
        <v>850</v>
      </c>
      <c r="E117" s="17">
        <f>D117*C117</f>
        <v>16575</v>
      </c>
    </row>
    <row r="118" spans="1:5">
      <c r="A118" s="100">
        <v>45016</v>
      </c>
      <c r="B118" s="8" t="s">
        <v>1103</v>
      </c>
      <c r="C118" s="2">
        <v>21.41</v>
      </c>
      <c r="D118" s="2">
        <v>100</v>
      </c>
      <c r="E118" s="17">
        <f>D118*C118</f>
        <v>2141</v>
      </c>
    </row>
    <row r="119" spans="1:5">
      <c r="A119" s="100">
        <v>45016</v>
      </c>
      <c r="B119" s="8" t="s">
        <v>152</v>
      </c>
      <c r="C119" s="2"/>
      <c r="D119" s="2"/>
      <c r="E119" s="17">
        <v>40000</v>
      </c>
    </row>
    <row r="120" spans="1:5">
      <c r="A120" s="100"/>
      <c r="B120" s="8" t="s">
        <v>153</v>
      </c>
      <c r="C120" s="2"/>
      <c r="D120" s="2"/>
      <c r="E120" s="17">
        <v>1200</v>
      </c>
    </row>
    <row r="121" spans="1:5">
      <c r="D121" s="18" t="s">
        <v>1188</v>
      </c>
      <c r="E121" s="63">
        <f>H2</f>
        <v>14297.21</v>
      </c>
    </row>
    <row r="122" spans="1:5">
      <c r="D122" s="3"/>
    </row>
    <row r="123" spans="1:5">
      <c r="D123" s="18" t="s">
        <v>155</v>
      </c>
      <c r="E123" s="8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395511"/>
  </sheetPr>
  <dimension ref="A1:H123"/>
  <sheetViews>
    <sheetView topLeftCell="A19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1189</v>
      </c>
      <c r="C2" s="79" t="s">
        <v>67</v>
      </c>
      <c r="D2" s="306">
        <f>SUM(D5:D36)</f>
        <v>88189</v>
      </c>
      <c r="E2" s="306">
        <f>SUM(E5:E35)</f>
        <v>-24634.690000000002</v>
      </c>
      <c r="F2" s="306">
        <f>SUM(F4:F36)</f>
        <v>23139.34</v>
      </c>
      <c r="G2" s="306">
        <f>SUM(G5:G40)</f>
        <v>-33283.54</v>
      </c>
      <c r="H2" s="306">
        <f>F2+G2</f>
        <v>-10144.200000000001</v>
      </c>
    </row>
    <row r="3" spans="1:8">
      <c r="B3" s="18"/>
      <c r="G3" s="63"/>
      <c r="H3" s="63">
        <f>F3+G3</f>
        <v>0</v>
      </c>
    </row>
    <row r="4" spans="1:8">
      <c r="A4" s="100">
        <v>44986</v>
      </c>
      <c r="B4" s="18" t="s">
        <v>1190</v>
      </c>
      <c r="F4">
        <v>5000</v>
      </c>
      <c r="G4" s="63"/>
      <c r="H4" s="63">
        <f t="shared" ref="H4:H38" si="0">H3+F4+G4</f>
        <v>5000</v>
      </c>
    </row>
    <row r="5" spans="1:8">
      <c r="A5" s="100">
        <v>44991</v>
      </c>
      <c r="B5" s="101" t="s">
        <v>80</v>
      </c>
      <c r="C5" s="101"/>
      <c r="D5" s="101"/>
      <c r="E5" s="63">
        <v>-400</v>
      </c>
      <c r="G5" s="63">
        <v>-224</v>
      </c>
      <c r="H5" s="63">
        <f t="shared" si="0"/>
        <v>4776</v>
      </c>
    </row>
    <row r="6" spans="1:8">
      <c r="A6" s="100">
        <v>44991</v>
      </c>
      <c r="B6" s="101" t="s">
        <v>81</v>
      </c>
      <c r="C6" s="101"/>
      <c r="D6" s="101"/>
      <c r="E6" s="63">
        <v>-500</v>
      </c>
      <c r="G6" s="63">
        <v>-461</v>
      </c>
      <c r="H6" s="63">
        <f t="shared" si="0"/>
        <v>4315</v>
      </c>
    </row>
    <row r="7" spans="1:8">
      <c r="A7" s="100">
        <v>44999</v>
      </c>
      <c r="B7" s="101" t="s">
        <v>668</v>
      </c>
      <c r="C7" s="101"/>
      <c r="D7" s="101"/>
      <c r="E7" s="63">
        <v>-4300</v>
      </c>
      <c r="G7" s="63">
        <v>-4300</v>
      </c>
      <c r="H7" s="63">
        <f t="shared" si="0"/>
        <v>15</v>
      </c>
    </row>
    <row r="8" spans="1:8">
      <c r="A8" s="100">
        <v>44987</v>
      </c>
      <c r="B8" s="101" t="s">
        <v>665</v>
      </c>
      <c r="C8" s="101"/>
      <c r="D8" s="101"/>
      <c r="E8" s="63">
        <v>-674.74</v>
      </c>
      <c r="F8" s="63"/>
      <c r="G8" s="63">
        <v>-672.15</v>
      </c>
      <c r="H8" s="63">
        <f t="shared" si="0"/>
        <v>-657.15</v>
      </c>
    </row>
    <row r="9" spans="1:8">
      <c r="A9" s="100">
        <v>44987</v>
      </c>
      <c r="B9" s="101" t="s">
        <v>75</v>
      </c>
      <c r="C9" s="101"/>
      <c r="D9" s="101"/>
      <c r="E9" s="63">
        <v>-150</v>
      </c>
      <c r="F9" s="63"/>
      <c r="G9" s="63">
        <v>-187.46</v>
      </c>
      <c r="H9" s="63">
        <f t="shared" si="0"/>
        <v>-844.61</v>
      </c>
    </row>
    <row r="10" spans="1:8">
      <c r="B10" s="106" t="s">
        <v>73</v>
      </c>
      <c r="C10" s="106"/>
      <c r="D10" s="106"/>
      <c r="E10" s="63">
        <v>-1000</v>
      </c>
      <c r="F10" s="163"/>
      <c r="G10" s="63">
        <v>-1464.5</v>
      </c>
      <c r="H10" s="63">
        <f t="shared" si="0"/>
        <v>-2309.11</v>
      </c>
    </row>
    <row r="11" spans="1:8">
      <c r="B11" s="106" t="s">
        <v>74</v>
      </c>
      <c r="C11" s="106"/>
      <c r="D11" s="106"/>
      <c r="E11" s="63">
        <v>-150</v>
      </c>
      <c r="F11" s="163"/>
      <c r="G11" s="63">
        <v>-64.5</v>
      </c>
      <c r="H11" s="63">
        <f t="shared" si="0"/>
        <v>-2373.61</v>
      </c>
    </row>
    <row r="12" spans="1:8">
      <c r="B12" s="178" t="s">
        <v>72</v>
      </c>
      <c r="E12" s="63">
        <f>D53*-1</f>
        <v>-64.930000000000007</v>
      </c>
      <c r="F12" s="63"/>
      <c r="G12" s="63">
        <v>-64.930000000000007</v>
      </c>
      <c r="H12" s="63">
        <f t="shared" si="0"/>
        <v>-2438.54</v>
      </c>
    </row>
    <row r="13" spans="1:8">
      <c r="B13" s="178" t="s">
        <v>68</v>
      </c>
      <c r="E13" s="63">
        <f>E58</f>
        <v>-7675.4</v>
      </c>
      <c r="F13" s="63"/>
      <c r="G13" s="63">
        <v>-7675.38</v>
      </c>
      <c r="H13" s="63">
        <f t="shared" si="0"/>
        <v>-10113.92</v>
      </c>
    </row>
    <row r="14" spans="1:8">
      <c r="B14" s="178" t="s">
        <v>69</v>
      </c>
      <c r="E14" s="63">
        <f>E95</f>
        <v>-1174.72</v>
      </c>
      <c r="G14" s="63">
        <v>-1174.72</v>
      </c>
      <c r="H14" s="63">
        <f t="shared" si="0"/>
        <v>-11288.64</v>
      </c>
    </row>
    <row r="15" spans="1:8">
      <c r="B15" t="s">
        <v>77</v>
      </c>
      <c r="E15" s="63">
        <v>-2750</v>
      </c>
      <c r="F15" s="63"/>
      <c r="G15" s="63">
        <v>-2750</v>
      </c>
      <c r="H15" s="63">
        <f t="shared" si="0"/>
        <v>-14038.64</v>
      </c>
    </row>
    <row r="16" spans="1:8">
      <c r="B16" t="s">
        <v>1191</v>
      </c>
      <c r="E16" s="63">
        <v>-2750</v>
      </c>
      <c r="F16" s="63"/>
      <c r="G16" s="63">
        <v>-1621</v>
      </c>
      <c r="H16" s="63">
        <f t="shared" si="0"/>
        <v>-15659.64</v>
      </c>
    </row>
    <row r="17" spans="1:8">
      <c r="B17" t="s">
        <v>79</v>
      </c>
      <c r="E17" s="63">
        <v>-2750</v>
      </c>
      <c r="F17" s="63"/>
      <c r="G17" s="63">
        <v>-2750</v>
      </c>
      <c r="H17" s="63">
        <f t="shared" si="0"/>
        <v>-18409.64</v>
      </c>
    </row>
    <row r="18" spans="1:8">
      <c r="B18" t="s">
        <v>1192</v>
      </c>
      <c r="D18" s="2">
        <v>1111</v>
      </c>
      <c r="E18" s="163"/>
      <c r="F18" s="63"/>
      <c r="G18" s="63"/>
      <c r="H18" s="63">
        <f t="shared" si="0"/>
        <v>-18409.64</v>
      </c>
    </row>
    <row r="19" spans="1:8">
      <c r="B19" t="s">
        <v>1193</v>
      </c>
      <c r="D19" s="2">
        <v>2428</v>
      </c>
      <c r="E19" s="163"/>
      <c r="F19" s="63"/>
      <c r="G19" s="63"/>
      <c r="H19" s="63">
        <f t="shared" si="0"/>
        <v>-18409.64</v>
      </c>
    </row>
    <row r="20" spans="1:8">
      <c r="B20" t="s">
        <v>76</v>
      </c>
      <c r="D20" s="186">
        <v>5500</v>
      </c>
      <c r="F20" s="63">
        <v>5589.34</v>
      </c>
      <c r="G20" s="63"/>
      <c r="H20" s="63">
        <f t="shared" si="0"/>
        <v>-12820.3</v>
      </c>
    </row>
    <row r="21" spans="1:8">
      <c r="B21" t="s">
        <v>671</v>
      </c>
      <c r="D21" s="186">
        <v>1650</v>
      </c>
      <c r="F21" s="63">
        <v>1650</v>
      </c>
      <c r="G21" s="63"/>
      <c r="H21" s="63">
        <f t="shared" si="0"/>
        <v>-11170.3</v>
      </c>
    </row>
    <row r="22" spans="1:8">
      <c r="A22" s="100">
        <v>45016</v>
      </c>
      <c r="B22" s="8" t="s">
        <v>1194</v>
      </c>
      <c r="D22" s="186">
        <v>6500</v>
      </c>
      <c r="F22" s="63">
        <v>6500</v>
      </c>
      <c r="G22" s="63"/>
      <c r="H22" s="63">
        <f t="shared" si="0"/>
        <v>-4670.2999999999993</v>
      </c>
    </row>
    <row r="23" spans="1:8">
      <c r="B23" t="s">
        <v>1195</v>
      </c>
      <c r="D23" s="102"/>
      <c r="F23" s="63">
        <v>4000</v>
      </c>
      <c r="G23" s="63"/>
      <c r="H23" s="63">
        <f t="shared" si="0"/>
        <v>-670.29999999999927</v>
      </c>
    </row>
    <row r="24" spans="1:8">
      <c r="B24" t="s">
        <v>1196</v>
      </c>
      <c r="D24" s="102"/>
      <c r="F24" s="63">
        <v>400</v>
      </c>
      <c r="G24" s="63"/>
      <c r="H24" s="63">
        <f t="shared" si="0"/>
        <v>-270.29999999999927</v>
      </c>
    </row>
    <row r="25" spans="1:8">
      <c r="B25" t="s">
        <v>1197</v>
      </c>
      <c r="D25" s="102"/>
      <c r="F25" s="63"/>
      <c r="G25" s="63"/>
      <c r="H25" s="63">
        <f t="shared" si="0"/>
        <v>-270.29999999999927</v>
      </c>
    </row>
    <row r="26" spans="1:8">
      <c r="B26" t="s">
        <v>1198</v>
      </c>
      <c r="D26" s="102"/>
      <c r="F26" s="63"/>
      <c r="G26" s="63"/>
      <c r="H26" s="63">
        <f t="shared" si="0"/>
        <v>-270.29999999999927</v>
      </c>
    </row>
    <row r="27" spans="1:8">
      <c r="B27" t="s">
        <v>1199</v>
      </c>
      <c r="D27" s="322">
        <v>1000</v>
      </c>
      <c r="G27" s="63"/>
      <c r="H27" s="63">
        <f t="shared" si="0"/>
        <v>-270.29999999999927</v>
      </c>
    </row>
    <row r="28" spans="1:8">
      <c r="A28" s="100">
        <v>45002</v>
      </c>
      <c r="B28" s="8" t="s">
        <v>651</v>
      </c>
      <c r="D28" s="186"/>
      <c r="G28" s="63">
        <v>-200</v>
      </c>
      <c r="H28" s="63">
        <f t="shared" si="0"/>
        <v>-470.29999999999927</v>
      </c>
    </row>
    <row r="29" spans="1:8">
      <c r="A29" s="100">
        <v>45000</v>
      </c>
      <c r="B29" s="8" t="s">
        <v>1200</v>
      </c>
      <c r="D29" s="186"/>
      <c r="G29" s="63">
        <v>-3450</v>
      </c>
      <c r="H29" s="63">
        <f t="shared" si="0"/>
        <v>-3920.2999999999993</v>
      </c>
    </row>
    <row r="30" spans="1:8">
      <c r="A30" s="100"/>
      <c r="D30" s="102"/>
      <c r="E30" s="163"/>
      <c r="G30" s="63"/>
      <c r="H30" s="63">
        <f t="shared" si="0"/>
        <v>-3920.2999999999993</v>
      </c>
    </row>
    <row r="31" spans="1:8">
      <c r="A31" s="100">
        <v>45016</v>
      </c>
      <c r="B31" s="8" t="s">
        <v>1201</v>
      </c>
      <c r="D31" s="102"/>
      <c r="E31" s="63">
        <v>-294.89999999999998</v>
      </c>
      <c r="G31" s="63">
        <v>-294.89999999999998</v>
      </c>
      <c r="H31" s="63">
        <f t="shared" si="0"/>
        <v>-4215.1999999999989</v>
      </c>
    </row>
    <row r="32" spans="1:8">
      <c r="A32" s="100">
        <v>45015</v>
      </c>
      <c r="B32" s="8" t="s">
        <v>765</v>
      </c>
      <c r="D32" s="102">
        <v>70000</v>
      </c>
      <c r="F32" s="63"/>
      <c r="G32" s="63"/>
      <c r="H32" s="63">
        <f t="shared" si="0"/>
        <v>-4215.1999999999989</v>
      </c>
    </row>
    <row r="33" spans="1:8">
      <c r="A33" s="100"/>
      <c r="D33" s="102"/>
      <c r="G33" s="63"/>
      <c r="H33" s="63">
        <f t="shared" si="0"/>
        <v>-4215.1999999999989</v>
      </c>
    </row>
    <row r="34" spans="1:8">
      <c r="D34" s="63"/>
      <c r="F34" s="63"/>
      <c r="G34" s="63"/>
      <c r="H34" s="63">
        <f t="shared" si="0"/>
        <v>-4215.1999999999989</v>
      </c>
    </row>
    <row r="35" spans="1:8">
      <c r="A35" s="100">
        <v>44998</v>
      </c>
      <c r="B35" s="8" t="s">
        <v>1202</v>
      </c>
      <c r="D35" s="8" t="s">
        <v>386</v>
      </c>
      <c r="E35" s="163"/>
      <c r="F35" s="63"/>
      <c r="G35" s="63"/>
      <c r="H35" s="63">
        <f t="shared" si="0"/>
        <v>-4215.1999999999989</v>
      </c>
    </row>
    <row r="36" spans="1:8">
      <c r="A36" s="100">
        <v>44998</v>
      </c>
      <c r="B36" s="8" t="s">
        <v>1203</v>
      </c>
      <c r="D36" s="8" t="s">
        <v>386</v>
      </c>
      <c r="E36" s="163"/>
      <c r="F36" s="63"/>
      <c r="G36" s="63"/>
      <c r="H36" s="63">
        <f t="shared" si="0"/>
        <v>-4215.1999999999989</v>
      </c>
    </row>
    <row r="37" spans="1:8">
      <c r="A37" s="100">
        <v>44998</v>
      </c>
      <c r="B37" s="8" t="s">
        <v>1204</v>
      </c>
      <c r="E37" s="163"/>
      <c r="F37" s="63"/>
      <c r="G37" s="63">
        <v>-4800</v>
      </c>
      <c r="H37" s="63">
        <f t="shared" si="0"/>
        <v>-9015.1999999999989</v>
      </c>
    </row>
    <row r="38" spans="1:8">
      <c r="A38" s="100">
        <v>44998</v>
      </c>
      <c r="B38" s="8" t="s">
        <v>1205</v>
      </c>
      <c r="E38" s="163"/>
      <c r="F38" s="63">
        <v>1129</v>
      </c>
      <c r="G38" s="63">
        <v>-1129</v>
      </c>
      <c r="H38" s="63">
        <f t="shared" si="0"/>
        <v>-9015.1999999999989</v>
      </c>
    </row>
    <row r="39" spans="1:8">
      <c r="A39" s="100"/>
      <c r="E39" s="163"/>
      <c r="F39" s="63" t="s">
        <v>1206</v>
      </c>
      <c r="G39" s="63"/>
      <c r="H39" s="63"/>
    </row>
    <row r="40" spans="1:8">
      <c r="B40" t="s">
        <v>325</v>
      </c>
      <c r="E40" s="63"/>
      <c r="G40" s="63"/>
      <c r="H40" s="63"/>
    </row>
    <row r="41" spans="1:8">
      <c r="A41" s="103" t="s">
        <v>326</v>
      </c>
      <c r="B41" s="103"/>
      <c r="C41" s="103"/>
      <c r="D41" s="103"/>
      <c r="E41" s="158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C43" s="171"/>
      <c r="G43" s="63"/>
      <c r="H43" s="63"/>
    </row>
    <row r="44" spans="1:8">
      <c r="A44" s="100"/>
      <c r="C44" s="171"/>
      <c r="G44" s="63"/>
      <c r="H44" s="63"/>
    </row>
    <row r="45" spans="1:8">
      <c r="A45" s="100"/>
      <c r="C45" s="171"/>
      <c r="G45" s="63"/>
      <c r="H45" s="63"/>
    </row>
    <row r="46" spans="1:8">
      <c r="A46" s="172">
        <v>44929</v>
      </c>
      <c r="B46" s="173" t="s">
        <v>327</v>
      </c>
      <c r="C46" s="103"/>
      <c r="D46" s="201">
        <f>SUM(D47:D54)</f>
        <v>3899.0699999999997</v>
      </c>
      <c r="E46" s="201">
        <f>SUM(E47:E54)</f>
        <v>3699.0699999999997</v>
      </c>
      <c r="G46" s="63"/>
      <c r="H46" s="63"/>
    </row>
    <row r="47" spans="1:8">
      <c r="B47" t="s">
        <v>1207</v>
      </c>
      <c r="D47">
        <v>933.16</v>
      </c>
      <c r="E47" s="63">
        <v>933.16</v>
      </c>
      <c r="F47" s="63"/>
      <c r="G47" s="63"/>
    </row>
    <row r="48" spans="1:8">
      <c r="B48" t="s">
        <v>329</v>
      </c>
      <c r="D48">
        <v>996.81</v>
      </c>
      <c r="E48" s="63">
        <v>996.81</v>
      </c>
      <c r="F48" s="63"/>
      <c r="G48" s="63"/>
    </row>
    <row r="49" spans="1:8">
      <c r="B49" t="s">
        <v>330</v>
      </c>
      <c r="D49">
        <v>233.14</v>
      </c>
      <c r="E49">
        <v>233.14</v>
      </c>
      <c r="F49" s="63"/>
      <c r="G49" s="63"/>
    </row>
    <row r="50" spans="1:8">
      <c r="B50" t="s">
        <v>1208</v>
      </c>
      <c r="D50">
        <v>200</v>
      </c>
      <c r="F50" s="63"/>
      <c r="G50" s="63"/>
    </row>
    <row r="51" spans="1:8">
      <c r="B51" t="s">
        <v>1209</v>
      </c>
      <c r="D51">
        <v>1128.6300000000001</v>
      </c>
      <c r="E51">
        <v>1128.6300000000001</v>
      </c>
      <c r="F51" s="63"/>
      <c r="G51" s="63"/>
    </row>
    <row r="52" spans="1:8">
      <c r="B52" t="s">
        <v>332</v>
      </c>
      <c r="C52" s="106"/>
      <c r="D52" s="106">
        <v>342.4</v>
      </c>
      <c r="E52">
        <v>342.4</v>
      </c>
      <c r="F52" s="63"/>
      <c r="G52" s="63"/>
    </row>
    <row r="53" spans="1:8">
      <c r="B53" t="s">
        <v>333</v>
      </c>
      <c r="C53" s="106"/>
      <c r="D53">
        <v>64.930000000000007</v>
      </c>
      <c r="E53" s="106">
        <v>64.930000000000007</v>
      </c>
      <c r="F53" s="63"/>
      <c r="G53" s="63"/>
    </row>
    <row r="54" spans="1:8">
      <c r="C54" s="106"/>
      <c r="D54" s="106"/>
      <c r="E54" s="163"/>
      <c r="F54" s="63"/>
      <c r="G54" s="63"/>
    </row>
    <row r="55" spans="1:8">
      <c r="G55" s="63"/>
    </row>
    <row r="56" spans="1:8">
      <c r="B56" s="17"/>
      <c r="G56" s="63"/>
    </row>
    <row r="57" spans="1:8">
      <c r="B57" s="102"/>
      <c r="G57" s="63"/>
    </row>
    <row r="58" spans="1:8">
      <c r="A58" s="103"/>
      <c r="B58" s="104" t="s">
        <v>83</v>
      </c>
      <c r="C58" s="103"/>
      <c r="D58" s="158"/>
      <c r="E58" s="316">
        <f>SUM(E59:E92)</f>
        <v>-7675.4</v>
      </c>
      <c r="G58" s="63"/>
    </row>
    <row r="59" spans="1:8">
      <c r="G59" s="63"/>
      <c r="H59" s="63"/>
    </row>
    <row r="60" spans="1:8">
      <c r="A60" s="100">
        <v>44866</v>
      </c>
      <c r="B60" s="106" t="s">
        <v>1210</v>
      </c>
      <c r="C60" s="106"/>
      <c r="D60" s="106" t="s">
        <v>439</v>
      </c>
      <c r="E60" s="163">
        <v>-208.17</v>
      </c>
      <c r="F60" s="63"/>
      <c r="G60" s="63"/>
      <c r="H60" s="63"/>
    </row>
    <row r="61" spans="1:8">
      <c r="A61" s="100">
        <v>44871</v>
      </c>
      <c r="B61" s="106" t="s">
        <v>1211</v>
      </c>
      <c r="C61" s="106"/>
      <c r="D61" s="106" t="s">
        <v>439</v>
      </c>
      <c r="E61" s="163">
        <v>-151.65</v>
      </c>
      <c r="F61" s="63"/>
      <c r="G61" s="63"/>
      <c r="H61" s="63"/>
    </row>
    <row r="62" spans="1:8">
      <c r="A62" s="100">
        <v>44873</v>
      </c>
      <c r="B62" s="8" t="s">
        <v>1212</v>
      </c>
      <c r="C62" s="106"/>
      <c r="D62" s="106" t="s">
        <v>770</v>
      </c>
      <c r="E62" s="163">
        <v>-1111.1099999999999</v>
      </c>
      <c r="F62" s="63"/>
      <c r="G62" s="63"/>
      <c r="H62" s="63"/>
    </row>
    <row r="63" spans="1:8">
      <c r="A63" s="100">
        <v>44920</v>
      </c>
      <c r="B63" s="106" t="s">
        <v>1172</v>
      </c>
      <c r="C63" s="106"/>
      <c r="D63" s="106" t="s">
        <v>1029</v>
      </c>
      <c r="E63" s="163">
        <v>-397.46</v>
      </c>
      <c r="F63" s="63"/>
      <c r="G63" s="63"/>
      <c r="H63" s="63"/>
    </row>
    <row r="64" spans="1:8">
      <c r="A64" s="100">
        <v>44920</v>
      </c>
      <c r="B64" s="106" t="s">
        <v>1173</v>
      </c>
      <c r="C64" s="106"/>
      <c r="D64" s="106" t="s">
        <v>1029</v>
      </c>
      <c r="E64" s="163">
        <v>-80.91</v>
      </c>
      <c r="F64" s="63"/>
      <c r="G64" s="63"/>
      <c r="H64" s="63"/>
    </row>
    <row r="65" spans="1:8">
      <c r="A65" s="100">
        <v>44920</v>
      </c>
      <c r="B65" s="106" t="s">
        <v>1174</v>
      </c>
      <c r="C65" s="106"/>
      <c r="D65" s="106" t="s">
        <v>1029</v>
      </c>
      <c r="E65" s="163">
        <v>-127.05</v>
      </c>
      <c r="F65" s="63"/>
      <c r="G65" s="63"/>
      <c r="H65" s="63"/>
    </row>
    <row r="66" spans="1:8">
      <c r="A66" s="100">
        <v>44920</v>
      </c>
      <c r="B66" s="106" t="s">
        <v>1175</v>
      </c>
      <c r="C66" s="106"/>
      <c r="D66" s="106" t="s">
        <v>1029</v>
      </c>
      <c r="E66" s="163">
        <v>-49.31</v>
      </c>
      <c r="F66" s="63"/>
      <c r="G66" s="63"/>
      <c r="H66" s="63"/>
    </row>
    <row r="67" spans="1:8">
      <c r="A67" s="100">
        <v>44952</v>
      </c>
      <c r="B67" s="8" t="s">
        <v>1213</v>
      </c>
      <c r="E67" s="163">
        <v>-167.74</v>
      </c>
      <c r="F67" s="63"/>
      <c r="G67" s="63"/>
      <c r="H67" s="63"/>
    </row>
    <row r="68" spans="1:8">
      <c r="A68" s="100">
        <v>44953</v>
      </c>
      <c r="B68" s="8" t="s">
        <v>1214</v>
      </c>
      <c r="E68" s="163">
        <v>-169.33</v>
      </c>
      <c r="F68" s="63"/>
      <c r="G68" s="63"/>
      <c r="H68" s="63"/>
    </row>
    <row r="69" spans="1:8">
      <c r="A69" s="100">
        <v>44954</v>
      </c>
      <c r="B69" s="8" t="s">
        <v>1215</v>
      </c>
      <c r="D69" s="35"/>
      <c r="E69" s="163">
        <v>-150.32</v>
      </c>
      <c r="F69" s="63"/>
      <c r="G69" s="63"/>
      <c r="H69" s="63"/>
    </row>
    <row r="70" spans="1:8">
      <c r="A70" s="100">
        <v>44956</v>
      </c>
      <c r="B70" s="8" t="s">
        <v>1216</v>
      </c>
      <c r="D70" s="35"/>
      <c r="E70" s="163">
        <v>-171.76</v>
      </c>
      <c r="F70" s="63"/>
      <c r="G70" s="63"/>
      <c r="H70" s="63"/>
    </row>
    <row r="71" spans="1:8">
      <c r="A71" s="100">
        <v>44957</v>
      </c>
      <c r="B71" s="8" t="s">
        <v>1217</v>
      </c>
      <c r="D71" s="35"/>
      <c r="E71" s="163">
        <v>-119.42</v>
      </c>
      <c r="F71" s="63"/>
      <c r="G71" s="63"/>
      <c r="H71" s="63"/>
    </row>
    <row r="72" spans="1:8">
      <c r="A72" s="100">
        <v>44957</v>
      </c>
      <c r="B72" s="8" t="s">
        <v>816</v>
      </c>
      <c r="D72" s="35"/>
      <c r="E72" s="163">
        <v>-225.4</v>
      </c>
      <c r="F72" s="63"/>
      <c r="G72" s="63"/>
      <c r="H72" s="63"/>
    </row>
    <row r="73" spans="1:8">
      <c r="A73" s="100">
        <v>44957</v>
      </c>
      <c r="B73" s="8" t="s">
        <v>816</v>
      </c>
      <c r="D73" s="35"/>
      <c r="E73" s="163">
        <v>-225.4</v>
      </c>
      <c r="F73" s="63"/>
      <c r="G73" s="63"/>
      <c r="H73" s="63"/>
    </row>
    <row r="74" spans="1:8">
      <c r="A74" s="100">
        <v>44957</v>
      </c>
      <c r="B74" s="8" t="s">
        <v>817</v>
      </c>
      <c r="C74">
        <v>437.97</v>
      </c>
      <c r="D74" s="35" t="s">
        <v>1177</v>
      </c>
      <c r="E74" s="163">
        <v>-145.99</v>
      </c>
      <c r="F74" s="63"/>
      <c r="G74" s="63"/>
      <c r="H74" s="63"/>
    </row>
    <row r="75" spans="1:8">
      <c r="A75" s="100">
        <v>44957</v>
      </c>
      <c r="B75" s="8" t="s">
        <v>818</v>
      </c>
      <c r="C75">
        <v>404.23</v>
      </c>
      <c r="D75" s="35" t="s">
        <v>1177</v>
      </c>
      <c r="E75" s="163">
        <v>-134.74</v>
      </c>
      <c r="F75" s="63"/>
      <c r="G75" s="63"/>
      <c r="H75" s="63"/>
    </row>
    <row r="76" spans="1:8">
      <c r="A76" s="100">
        <v>44957</v>
      </c>
      <c r="B76" s="8" t="s">
        <v>819</v>
      </c>
      <c r="C76">
        <v>1135</v>
      </c>
      <c r="D76" s="35" t="s">
        <v>1177</v>
      </c>
      <c r="E76" s="163">
        <v>-378.33</v>
      </c>
      <c r="F76" s="63"/>
      <c r="G76" s="63"/>
      <c r="H76" s="63"/>
    </row>
    <row r="77" spans="1:8">
      <c r="A77" s="100">
        <v>44958</v>
      </c>
      <c r="B77" s="8" t="s">
        <v>1218</v>
      </c>
      <c r="E77" s="163">
        <v>-880.22</v>
      </c>
      <c r="G77" s="63"/>
    </row>
    <row r="78" spans="1:8">
      <c r="A78" s="100">
        <v>44958</v>
      </c>
      <c r="B78" s="8" t="s">
        <v>1219</v>
      </c>
      <c r="E78" s="163">
        <v>-218.24</v>
      </c>
      <c r="G78" s="63"/>
    </row>
    <row r="79" spans="1:8">
      <c r="A79" s="100">
        <v>44960</v>
      </c>
      <c r="B79" s="8" t="s">
        <v>1220</v>
      </c>
      <c r="E79" s="163">
        <v>-120.45</v>
      </c>
      <c r="G79" s="63"/>
    </row>
    <row r="80" spans="1:8">
      <c r="A80" s="100">
        <v>44963</v>
      </c>
      <c r="B80" s="8" t="s">
        <v>1221</v>
      </c>
      <c r="D80" s="35"/>
      <c r="E80" s="163">
        <v>-130.56</v>
      </c>
      <c r="G80" s="63"/>
    </row>
    <row r="81" spans="1:8">
      <c r="A81" s="100">
        <v>44969</v>
      </c>
      <c r="B81" s="8" t="s">
        <v>1222</v>
      </c>
      <c r="D81" s="35"/>
      <c r="E81" s="163">
        <v>-51.99</v>
      </c>
      <c r="G81" s="63"/>
    </row>
    <row r="82" spans="1:8">
      <c r="A82" s="100">
        <v>44970</v>
      </c>
      <c r="B82" s="8" t="s">
        <v>524</v>
      </c>
      <c r="D82" s="35"/>
      <c r="E82" s="163">
        <v>-379</v>
      </c>
      <c r="G82" s="63"/>
    </row>
    <row r="83" spans="1:8">
      <c r="A83" s="100">
        <v>44970</v>
      </c>
      <c r="B83" s="8" t="s">
        <v>524</v>
      </c>
      <c r="D83" s="35"/>
      <c r="E83" s="163">
        <v>-510</v>
      </c>
      <c r="G83" s="63"/>
    </row>
    <row r="84" spans="1:8">
      <c r="A84" s="100">
        <v>44971</v>
      </c>
      <c r="B84" s="8" t="s">
        <v>1222</v>
      </c>
      <c r="D84" s="35"/>
      <c r="E84" s="163">
        <v>-51.99</v>
      </c>
      <c r="G84" s="63"/>
    </row>
    <row r="85" spans="1:8">
      <c r="A85" s="100">
        <v>44972</v>
      </c>
      <c r="B85" s="8" t="s">
        <v>1223</v>
      </c>
      <c r="D85" s="35"/>
      <c r="E85" s="163">
        <v>-54.77</v>
      </c>
      <c r="G85" s="63"/>
    </row>
    <row r="86" spans="1:8">
      <c r="A86" s="100">
        <v>44972</v>
      </c>
      <c r="B86" s="8" t="s">
        <v>1224</v>
      </c>
      <c r="D86" s="35"/>
      <c r="E86" s="163">
        <v>-459</v>
      </c>
      <c r="G86" s="63"/>
    </row>
    <row r="87" spans="1:8">
      <c r="A87" s="100">
        <v>44972</v>
      </c>
      <c r="B87" s="8" t="s">
        <v>1225</v>
      </c>
      <c r="D87" s="35"/>
      <c r="E87" s="163">
        <v>-211</v>
      </c>
      <c r="G87" s="63"/>
    </row>
    <row r="88" spans="1:8">
      <c r="A88" s="100">
        <v>44977</v>
      </c>
      <c r="B88" s="8" t="s">
        <v>1226</v>
      </c>
      <c r="D88" s="35"/>
      <c r="E88" s="163">
        <v>-100</v>
      </c>
      <c r="G88" s="63"/>
    </row>
    <row r="89" spans="1:8">
      <c r="A89" s="100">
        <v>44977</v>
      </c>
      <c r="B89" s="8" t="s">
        <v>1226</v>
      </c>
      <c r="D89" s="35"/>
      <c r="E89" s="163">
        <v>-10</v>
      </c>
      <c r="G89" s="63"/>
    </row>
    <row r="90" spans="1:8">
      <c r="A90" s="100">
        <v>44981</v>
      </c>
      <c r="B90" s="8" t="s">
        <v>134</v>
      </c>
      <c r="D90" s="35"/>
      <c r="E90" s="163">
        <v>-132.77000000000001</v>
      </c>
      <c r="G90" s="63"/>
    </row>
    <row r="91" spans="1:8">
      <c r="A91" s="100">
        <v>44982</v>
      </c>
      <c r="B91" s="8" t="s">
        <v>134</v>
      </c>
      <c r="D91" s="35"/>
      <c r="E91" s="163">
        <v>-186.34</v>
      </c>
      <c r="G91" s="63"/>
    </row>
    <row r="92" spans="1:8">
      <c r="A92" s="100">
        <v>44982</v>
      </c>
      <c r="B92" s="8" t="s">
        <v>1115</v>
      </c>
      <c r="C92">
        <v>659.93</v>
      </c>
      <c r="D92" s="35" t="s">
        <v>1084</v>
      </c>
      <c r="E92" s="163">
        <v>-164.98</v>
      </c>
      <c r="G92" s="63"/>
    </row>
    <row r="93" spans="1:8">
      <c r="A93" s="323">
        <v>44982</v>
      </c>
      <c r="D93" s="35"/>
      <c r="E93" s="324" t="s">
        <v>1157</v>
      </c>
      <c r="G93" s="63"/>
    </row>
    <row r="94" spans="1:8">
      <c r="G94" s="63"/>
    </row>
    <row r="95" spans="1:8">
      <c r="A95" s="103"/>
      <c r="B95" s="104" t="s">
        <v>85</v>
      </c>
      <c r="C95" s="103"/>
      <c r="D95" s="103"/>
      <c r="E95" s="159">
        <f>SUM(E96:E109)</f>
        <v>-1174.72</v>
      </c>
      <c r="G95" s="63"/>
    </row>
    <row r="96" spans="1:8">
      <c r="A96" s="100">
        <v>44965</v>
      </c>
      <c r="B96" s="106" t="s">
        <v>1227</v>
      </c>
      <c r="C96" s="106"/>
      <c r="D96" s="106"/>
      <c r="E96" s="163">
        <v>-122.33</v>
      </c>
      <c r="F96" s="63"/>
      <c r="G96" s="63"/>
      <c r="H96" s="63"/>
    </row>
    <row r="97" spans="1:8">
      <c r="A97" s="100">
        <v>44965</v>
      </c>
      <c r="B97" s="106" t="s">
        <v>1228</v>
      </c>
      <c r="C97" s="106"/>
      <c r="D97" s="106"/>
      <c r="E97" s="163">
        <v>-713.25</v>
      </c>
      <c r="F97" s="63"/>
      <c r="G97" s="63"/>
      <c r="H97" s="63"/>
    </row>
    <row r="98" spans="1:8">
      <c r="A98" s="100">
        <v>44974</v>
      </c>
      <c r="B98" s="106" t="s">
        <v>1155</v>
      </c>
      <c r="C98" s="106"/>
      <c r="D98" s="106"/>
      <c r="E98" s="163">
        <v>-41.98</v>
      </c>
      <c r="F98" s="63"/>
      <c r="G98" s="63"/>
      <c r="H98" s="63"/>
    </row>
    <row r="99" spans="1:8">
      <c r="A99" s="100">
        <v>44979</v>
      </c>
      <c r="B99" s="106" t="s">
        <v>1155</v>
      </c>
      <c r="C99" s="106"/>
      <c r="D99" s="106"/>
      <c r="E99" s="163">
        <v>-130.93</v>
      </c>
      <c r="F99" s="63"/>
      <c r="G99" s="63"/>
      <c r="H99" s="63"/>
    </row>
    <row r="100" spans="1:8">
      <c r="A100" s="100">
        <v>44980</v>
      </c>
      <c r="B100" s="106" t="s">
        <v>1155</v>
      </c>
      <c r="C100" s="106"/>
      <c r="D100" s="106"/>
      <c r="E100" s="163">
        <v>-166.23</v>
      </c>
      <c r="F100" s="63"/>
      <c r="G100" s="63"/>
      <c r="H100" s="63"/>
    </row>
    <row r="101" spans="1:8">
      <c r="A101" s="323">
        <v>44981</v>
      </c>
      <c r="C101" s="106"/>
      <c r="D101" s="106"/>
      <c r="E101" s="324" t="s">
        <v>1157</v>
      </c>
      <c r="F101" s="63"/>
      <c r="G101" s="63"/>
      <c r="H101" s="63"/>
    </row>
    <row r="102" spans="1:8">
      <c r="A102" s="100"/>
      <c r="B102" s="107"/>
      <c r="E102" s="163"/>
    </row>
    <row r="103" spans="1:8">
      <c r="A103" s="100"/>
      <c r="B103" s="107"/>
      <c r="E103" s="163"/>
    </row>
    <row r="104" spans="1:8">
      <c r="A104" s="100"/>
      <c r="B104" s="107"/>
      <c r="E104" s="163"/>
    </row>
    <row r="105" spans="1:8">
      <c r="A105" s="100"/>
      <c r="B105" s="107"/>
      <c r="E105" s="163"/>
    </row>
    <row r="106" spans="1:8">
      <c r="A106" s="100"/>
      <c r="B106" s="107"/>
      <c r="E106" s="163"/>
    </row>
    <row r="107" spans="1:8">
      <c r="A107" s="100"/>
      <c r="B107" s="107"/>
      <c r="E107" s="163"/>
    </row>
    <row r="111" spans="1:8">
      <c r="A111" s="103"/>
      <c r="B111" s="104" t="s">
        <v>1229</v>
      </c>
      <c r="C111" s="103"/>
      <c r="D111" s="158"/>
      <c r="E111" s="159">
        <f>SUM(E112:E120)</f>
        <v>310932.3</v>
      </c>
    </row>
    <row r="112" spans="1:8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1230</v>
      </c>
      <c r="C113" s="2"/>
      <c r="D113" s="2"/>
      <c r="E113" s="17">
        <v>53088</v>
      </c>
    </row>
    <row r="114" spans="1:5">
      <c r="A114" s="100">
        <v>45016</v>
      </c>
      <c r="B114" s="8" t="s">
        <v>300</v>
      </c>
      <c r="C114" s="2"/>
      <c r="D114" s="2"/>
      <c r="E114" s="17">
        <v>17383.580000000002</v>
      </c>
    </row>
    <row r="115" spans="1:5">
      <c r="A115" s="100">
        <v>45016</v>
      </c>
      <c r="B115" s="8" t="s">
        <v>301</v>
      </c>
      <c r="C115" s="2"/>
      <c r="D115" s="2"/>
      <c r="E115" s="17">
        <v>0.59</v>
      </c>
    </row>
    <row r="116" spans="1:5">
      <c r="A116" s="100">
        <v>45016</v>
      </c>
      <c r="B116" s="8" t="s">
        <v>1005</v>
      </c>
      <c r="C116" s="2">
        <v>1179.83</v>
      </c>
      <c r="D116" s="2">
        <v>111</v>
      </c>
      <c r="E116" s="17">
        <f>D116*C116</f>
        <v>130961.12999999999</v>
      </c>
    </row>
    <row r="117" spans="1:5">
      <c r="A117" s="100">
        <v>45016</v>
      </c>
      <c r="B117" s="8" t="s">
        <v>1102</v>
      </c>
      <c r="C117" s="2">
        <v>18.78</v>
      </c>
      <c r="D117" s="2">
        <v>850</v>
      </c>
      <c r="E117" s="17">
        <f>D117*C117</f>
        <v>15963.000000000002</v>
      </c>
    </row>
    <row r="118" spans="1:5">
      <c r="A118" s="100">
        <v>45016</v>
      </c>
      <c r="B118" s="8" t="s">
        <v>1103</v>
      </c>
      <c r="C118" s="2">
        <v>20.36</v>
      </c>
      <c r="D118" s="2">
        <v>100</v>
      </c>
      <c r="E118" s="17">
        <f>D118*C118</f>
        <v>2036</v>
      </c>
    </row>
    <row r="119" spans="1:5">
      <c r="A119" s="100">
        <v>45016</v>
      </c>
      <c r="B119" s="8" t="s">
        <v>152</v>
      </c>
      <c r="C119" s="2"/>
      <c r="D119" s="2"/>
      <c r="E119" s="17">
        <v>26300</v>
      </c>
    </row>
    <row r="120" spans="1:5">
      <c r="A120" s="100"/>
      <c r="B120" s="8" t="s">
        <v>153</v>
      </c>
      <c r="C120" s="2"/>
      <c r="D120" s="2"/>
      <c r="E120" s="17">
        <v>1200</v>
      </c>
    </row>
    <row r="121" spans="1:5">
      <c r="D121" s="18" t="s">
        <v>1231</v>
      </c>
      <c r="E121" s="63">
        <f>H2</f>
        <v>-10144.200000000001</v>
      </c>
    </row>
    <row r="122" spans="1:5">
      <c r="D122" s="3"/>
    </row>
    <row r="123" spans="1:5">
      <c r="D123" s="18" t="s">
        <v>155</v>
      </c>
      <c r="E123" s="8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395511"/>
  </sheetPr>
  <dimension ref="A1:H123"/>
  <sheetViews>
    <sheetView topLeftCell="A11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163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A2" s="3" t="s">
        <v>1071</v>
      </c>
      <c r="C2" s="79" t="s">
        <v>67</v>
      </c>
      <c r="D2" s="306">
        <f>SUM(D4:D43)</f>
        <v>15761</v>
      </c>
      <c r="E2" s="163">
        <f>SUM(E4:E38)</f>
        <v>-56286.92</v>
      </c>
      <c r="F2" s="306">
        <f>SUM(F4:F43)</f>
        <v>26990.010000000002</v>
      </c>
      <c r="G2" s="306">
        <f>SUM(G4:G43)</f>
        <v>-77441.489999999991</v>
      </c>
      <c r="H2" s="306">
        <f>F2+G2</f>
        <v>-50451.479999999989</v>
      </c>
    </row>
    <row r="3" spans="1:8">
      <c r="B3" s="18"/>
      <c r="H3" s="63"/>
    </row>
    <row r="4" spans="1:8">
      <c r="A4" s="100">
        <v>44959</v>
      </c>
      <c r="B4" s="101" t="s">
        <v>80</v>
      </c>
      <c r="C4" s="101"/>
      <c r="D4" s="101"/>
      <c r="E4" s="63">
        <v>-400</v>
      </c>
      <c r="G4" s="63">
        <v>-264</v>
      </c>
      <c r="H4" s="63">
        <f t="shared" ref="H4:H41" si="0">H3+F4+G4</f>
        <v>-264</v>
      </c>
    </row>
    <row r="5" spans="1:8">
      <c r="A5" s="100">
        <v>44959</v>
      </c>
      <c r="B5" s="101" t="s">
        <v>81</v>
      </c>
      <c r="C5" s="101"/>
      <c r="D5" s="101"/>
      <c r="E5" s="63">
        <v>-500</v>
      </c>
      <c r="G5" s="63">
        <v>-531</v>
      </c>
      <c r="H5" s="63">
        <f t="shared" si="0"/>
        <v>-795</v>
      </c>
    </row>
    <row r="6" spans="1:8">
      <c r="A6" s="100">
        <v>44960</v>
      </c>
      <c r="B6" s="178" t="s">
        <v>69</v>
      </c>
      <c r="E6" s="63">
        <f>E87</f>
        <v>-3076.2899999999995</v>
      </c>
      <c r="G6" s="63">
        <v>-3076.29</v>
      </c>
      <c r="H6" s="63">
        <f t="shared" si="0"/>
        <v>-3871.29</v>
      </c>
    </row>
    <row r="7" spans="1:8">
      <c r="A7" s="100">
        <v>44962</v>
      </c>
      <c r="B7" s="325" t="s">
        <v>1232</v>
      </c>
      <c r="C7" s="325"/>
      <c r="D7" s="326"/>
      <c r="E7" s="327"/>
      <c r="F7" s="328">
        <v>6920</v>
      </c>
      <c r="G7" s="63"/>
      <c r="H7" s="63">
        <f t="shared" si="0"/>
        <v>3048.71</v>
      </c>
    </row>
    <row r="8" spans="1:8">
      <c r="A8" s="100">
        <v>44963</v>
      </c>
      <c r="B8" s="325" t="s">
        <v>1233</v>
      </c>
      <c r="C8" s="325" t="s">
        <v>386</v>
      </c>
      <c r="D8" s="326"/>
      <c r="E8" s="327"/>
      <c r="F8" s="328">
        <v>6000</v>
      </c>
      <c r="G8" s="63"/>
      <c r="H8" s="63">
        <f t="shared" si="0"/>
        <v>9048.7099999999991</v>
      </c>
    </row>
    <row r="9" spans="1:8">
      <c r="A9" s="100">
        <v>44963</v>
      </c>
      <c r="B9" s="178" t="s">
        <v>68</v>
      </c>
      <c r="E9" s="63">
        <f>E62</f>
        <v>-4657.2000000000007</v>
      </c>
      <c r="F9" s="63"/>
      <c r="G9" s="63">
        <v>-4657.21</v>
      </c>
      <c r="H9" s="63">
        <f t="shared" si="0"/>
        <v>4391.4999999999991</v>
      </c>
    </row>
    <row r="10" spans="1:8">
      <c r="A10" s="100">
        <v>44963</v>
      </c>
      <c r="B10" s="8" t="s">
        <v>1234</v>
      </c>
      <c r="F10" s="63"/>
      <c r="G10" s="63">
        <v>-5000</v>
      </c>
      <c r="H10" s="63">
        <f t="shared" si="0"/>
        <v>-608.50000000000091</v>
      </c>
    </row>
    <row r="11" spans="1:8">
      <c r="A11" s="100">
        <v>44964</v>
      </c>
      <c r="B11" s="101" t="s">
        <v>715</v>
      </c>
      <c r="C11" s="101"/>
      <c r="D11" s="101"/>
      <c r="E11" s="63">
        <v>-4300</v>
      </c>
      <c r="G11" s="63">
        <v>-4300</v>
      </c>
      <c r="H11" s="63">
        <f t="shared" si="0"/>
        <v>-4908.5000000000009</v>
      </c>
    </row>
    <row r="12" spans="1:8">
      <c r="A12" s="100">
        <v>44964</v>
      </c>
      <c r="B12" s="101" t="s">
        <v>70</v>
      </c>
      <c r="C12" s="101"/>
      <c r="D12" s="101"/>
      <c r="E12" s="63">
        <v>-674.74</v>
      </c>
      <c r="F12" s="63"/>
      <c r="G12" s="63">
        <v>-670.27</v>
      </c>
      <c r="H12" s="63">
        <f t="shared" si="0"/>
        <v>-5578.77</v>
      </c>
    </row>
    <row r="13" spans="1:8">
      <c r="A13" s="100">
        <v>44964</v>
      </c>
      <c r="B13" s="101" t="s">
        <v>75</v>
      </c>
      <c r="C13" s="101"/>
      <c r="D13" s="101"/>
      <c r="E13" s="63">
        <v>-150</v>
      </c>
      <c r="F13" s="63"/>
      <c r="G13" s="63">
        <v>-102.03</v>
      </c>
      <c r="H13" s="63">
        <f t="shared" si="0"/>
        <v>-5680.8</v>
      </c>
    </row>
    <row r="14" spans="1:8">
      <c r="A14" s="100">
        <v>44964</v>
      </c>
      <c r="B14" s="8" t="s">
        <v>1235</v>
      </c>
      <c r="D14" s="102"/>
      <c r="E14" s="63">
        <v>-2667</v>
      </c>
      <c r="G14" s="63">
        <v>-3000</v>
      </c>
      <c r="H14" s="63">
        <f t="shared" si="0"/>
        <v>-8680.7999999999993</v>
      </c>
    </row>
    <row r="15" spans="1:8">
      <c r="A15" s="100"/>
      <c r="B15" s="178" t="s">
        <v>72</v>
      </c>
      <c r="E15" s="63">
        <f>D58*-1</f>
        <v>-87.69</v>
      </c>
      <c r="G15" s="63">
        <f>D58*-1</f>
        <v>-87.69</v>
      </c>
      <c r="H15" s="63">
        <f t="shared" si="0"/>
        <v>-8768.49</v>
      </c>
    </row>
    <row r="16" spans="1:8">
      <c r="A16" s="100">
        <v>44971</v>
      </c>
      <c r="B16" s="178" t="s">
        <v>1236</v>
      </c>
      <c r="E16" s="63"/>
      <c r="G16" s="63">
        <v>-204</v>
      </c>
      <c r="H16" s="63">
        <f t="shared" si="0"/>
        <v>-8972.49</v>
      </c>
    </row>
    <row r="17" spans="1:8">
      <c r="A17" s="100"/>
      <c r="B17" s="101" t="s">
        <v>1237</v>
      </c>
      <c r="E17" s="63"/>
      <c r="G17" s="63">
        <v>-95</v>
      </c>
      <c r="H17" s="63">
        <f t="shared" si="0"/>
        <v>-9067.49</v>
      </c>
    </row>
    <row r="18" spans="1:8">
      <c r="A18" s="100">
        <v>44977</v>
      </c>
      <c r="B18" s="106" t="s">
        <v>73</v>
      </c>
      <c r="D18" s="106"/>
      <c r="E18" s="63">
        <v>-1000</v>
      </c>
      <c r="F18" s="163"/>
      <c r="G18" s="63">
        <v>-1872.5</v>
      </c>
      <c r="H18" s="63">
        <f t="shared" si="0"/>
        <v>-10939.99</v>
      </c>
    </row>
    <row r="19" spans="1:8">
      <c r="A19" s="100">
        <v>44977</v>
      </c>
      <c r="B19" s="106" t="s">
        <v>74</v>
      </c>
      <c r="C19" s="106"/>
      <c r="D19" s="106"/>
      <c r="E19" s="63">
        <v>-150</v>
      </c>
      <c r="F19" s="163"/>
      <c r="G19" s="63">
        <v>-99.5</v>
      </c>
      <c r="H19" s="63">
        <f t="shared" si="0"/>
        <v>-11039.49</v>
      </c>
    </row>
    <row r="20" spans="1:8">
      <c r="B20" s="106"/>
      <c r="C20" s="106"/>
      <c r="D20" s="106"/>
      <c r="F20" s="163"/>
      <c r="G20" s="63"/>
      <c r="H20" s="63">
        <f t="shared" si="0"/>
        <v>-11039.49</v>
      </c>
    </row>
    <row r="21" spans="1:8">
      <c r="A21" s="100">
        <v>44974</v>
      </c>
      <c r="B21" s="8" t="s">
        <v>1238</v>
      </c>
      <c r="D21" s="186">
        <v>5500</v>
      </c>
      <c r="E21" s="63"/>
      <c r="F21" s="63">
        <v>5570.01</v>
      </c>
      <c r="G21" s="63"/>
      <c r="H21" s="63">
        <f t="shared" si="0"/>
        <v>-5469.48</v>
      </c>
    </row>
    <row r="22" spans="1:8">
      <c r="B22" s="106"/>
      <c r="C22" s="106"/>
      <c r="D22" s="106"/>
      <c r="F22" s="163"/>
      <c r="G22" s="163"/>
      <c r="H22" s="63">
        <f t="shared" si="0"/>
        <v>-5469.48</v>
      </c>
    </row>
    <row r="23" spans="1:8">
      <c r="B23" t="s">
        <v>77</v>
      </c>
      <c r="E23" s="63">
        <v>-2750</v>
      </c>
      <c r="F23" s="63"/>
      <c r="G23" s="63">
        <v>-2702</v>
      </c>
      <c r="H23" s="63">
        <f t="shared" si="0"/>
        <v>-8171.48</v>
      </c>
    </row>
    <row r="24" spans="1:8">
      <c r="A24" s="100">
        <v>44984</v>
      </c>
      <c r="B24" s="8" t="s">
        <v>1239</v>
      </c>
      <c r="E24" s="63">
        <v>-30374</v>
      </c>
      <c r="F24" s="63"/>
      <c r="G24" s="63"/>
      <c r="H24" s="63">
        <f t="shared" si="0"/>
        <v>-8171.48</v>
      </c>
    </row>
    <row r="25" spans="1:8">
      <c r="B25" t="s">
        <v>78</v>
      </c>
      <c r="E25" s="63">
        <v>-2750</v>
      </c>
      <c r="F25" s="63"/>
      <c r="G25" s="63">
        <v>-2702</v>
      </c>
      <c r="H25" s="63">
        <f t="shared" si="0"/>
        <v>-10873.48</v>
      </c>
    </row>
    <row r="26" spans="1:8">
      <c r="B26" t="s">
        <v>79</v>
      </c>
      <c r="E26" s="63">
        <v>-2750</v>
      </c>
      <c r="F26" s="63"/>
      <c r="G26" s="63">
        <v>-2750</v>
      </c>
      <c r="H26" s="63">
        <f t="shared" si="0"/>
        <v>-13623.48</v>
      </c>
    </row>
    <row r="27" spans="1:8">
      <c r="B27" t="s">
        <v>1240</v>
      </c>
      <c r="F27" s="63"/>
      <c r="G27" s="63">
        <v>-5040</v>
      </c>
      <c r="H27" s="63">
        <f t="shared" si="0"/>
        <v>-18663.48</v>
      </c>
    </row>
    <row r="28" spans="1:8">
      <c r="B28" t="s">
        <v>1192</v>
      </c>
      <c r="D28" s="2">
        <v>1111</v>
      </c>
      <c r="F28" s="63"/>
      <c r="G28" s="63"/>
      <c r="H28" s="63">
        <f t="shared" si="0"/>
        <v>-18663.48</v>
      </c>
    </row>
    <row r="29" spans="1:8">
      <c r="A29" s="100">
        <v>44981</v>
      </c>
      <c r="B29" s="8" t="s">
        <v>1241</v>
      </c>
      <c r="F29" s="63">
        <v>2000</v>
      </c>
      <c r="G29" s="63"/>
      <c r="H29" s="63">
        <f t="shared" si="0"/>
        <v>-16663.48</v>
      </c>
    </row>
    <row r="30" spans="1:8">
      <c r="B30" t="s">
        <v>1242</v>
      </c>
      <c r="D30" s="186">
        <v>1650</v>
      </c>
      <c r="F30" s="63"/>
      <c r="G30" s="63"/>
      <c r="H30" s="63">
        <f t="shared" si="0"/>
        <v>-16663.48</v>
      </c>
    </row>
    <row r="31" spans="1:8">
      <c r="A31" s="100">
        <v>44987</v>
      </c>
      <c r="B31" s="8" t="s">
        <v>1243</v>
      </c>
      <c r="D31" s="186">
        <v>6500</v>
      </c>
      <c r="F31" s="63">
        <v>6500</v>
      </c>
      <c r="G31" s="63"/>
      <c r="H31" s="63">
        <f t="shared" si="0"/>
        <v>-10163.48</v>
      </c>
    </row>
    <row r="32" spans="1:8">
      <c r="B32" t="s">
        <v>1244</v>
      </c>
      <c r="D32" s="329">
        <v>1000</v>
      </c>
      <c r="H32" s="63">
        <f t="shared" si="0"/>
        <v>-10163.48</v>
      </c>
    </row>
    <row r="33" spans="1:8">
      <c r="B33" s="25" t="s">
        <v>1245</v>
      </c>
      <c r="D33" s="102"/>
      <c r="G33" s="63"/>
      <c r="H33" s="63">
        <f t="shared" si="0"/>
        <v>-10163.48</v>
      </c>
    </row>
    <row r="34" spans="1:8">
      <c r="A34" s="100"/>
      <c r="B34" s="312" t="s">
        <v>1246</v>
      </c>
      <c r="C34" s="106"/>
      <c r="D34" s="106"/>
      <c r="H34" s="63">
        <f t="shared" si="0"/>
        <v>-10163.48</v>
      </c>
    </row>
    <row r="35" spans="1:8">
      <c r="H35" s="63">
        <f t="shared" si="0"/>
        <v>-10163.48</v>
      </c>
    </row>
    <row r="36" spans="1:8">
      <c r="H36" s="63">
        <f t="shared" si="0"/>
        <v>-10163.48</v>
      </c>
    </row>
    <row r="37" spans="1:8">
      <c r="H37" s="63">
        <f t="shared" si="0"/>
        <v>-10163.48</v>
      </c>
    </row>
    <row r="38" spans="1:8">
      <c r="A38" s="100">
        <v>44962</v>
      </c>
      <c r="B38" s="8" t="s">
        <v>1247</v>
      </c>
      <c r="C38" s="8" t="s">
        <v>386</v>
      </c>
      <c r="D38" s="102"/>
      <c r="G38" s="63">
        <v>-1368</v>
      </c>
      <c r="H38" s="63">
        <f t="shared" si="0"/>
        <v>-11531.48</v>
      </c>
    </row>
    <row r="39" spans="1:8">
      <c r="A39" s="100">
        <v>44962</v>
      </c>
      <c r="B39" s="8" t="s">
        <v>1248</v>
      </c>
      <c r="C39" s="8" t="s">
        <v>386</v>
      </c>
      <c r="D39" s="63"/>
      <c r="F39" s="63"/>
      <c r="G39" s="63">
        <v>-6920</v>
      </c>
      <c r="H39" s="63">
        <f t="shared" si="0"/>
        <v>-18451.48</v>
      </c>
    </row>
    <row r="40" spans="1:8">
      <c r="A40" s="100"/>
      <c r="D40" s="63"/>
      <c r="F40" s="63"/>
      <c r="G40" s="63"/>
      <c r="H40" s="63">
        <f t="shared" si="0"/>
        <v>-18451.48</v>
      </c>
    </row>
    <row r="41" spans="1:8">
      <c r="A41" s="100">
        <v>44974</v>
      </c>
      <c r="B41" s="8" t="s">
        <v>1249</v>
      </c>
      <c r="D41" s="63"/>
      <c r="F41" s="63"/>
      <c r="G41" s="63">
        <v>-32000</v>
      </c>
      <c r="H41" s="63">
        <f t="shared" si="0"/>
        <v>-50451.479999999996</v>
      </c>
    </row>
    <row r="42" spans="1:8">
      <c r="H42" s="63"/>
    </row>
    <row r="43" spans="1:8">
      <c r="G43" s="63"/>
      <c r="H43" s="63"/>
    </row>
    <row r="44" spans="1:8">
      <c r="B44" t="s">
        <v>325</v>
      </c>
      <c r="G44" s="63"/>
      <c r="H44" s="63"/>
    </row>
    <row r="45" spans="1:8">
      <c r="A45" s="103" t="s">
        <v>326</v>
      </c>
      <c r="B45" s="103"/>
      <c r="C45" s="103"/>
      <c r="D45" s="103"/>
      <c r="G45" s="63"/>
      <c r="H45" s="63"/>
    </row>
    <row r="46" spans="1:8">
      <c r="A46" s="317">
        <v>44650</v>
      </c>
      <c r="B46" s="312" t="s">
        <v>1250</v>
      </c>
      <c r="C46" s="312"/>
      <c r="D46" s="312" t="s">
        <v>1251</v>
      </c>
      <c r="H46" s="63"/>
    </row>
    <row r="47" spans="1:8">
      <c r="A47" s="317">
        <v>44844</v>
      </c>
      <c r="B47" s="312" t="s">
        <v>1252</v>
      </c>
      <c r="C47" s="314"/>
      <c r="D47" s="312" t="s">
        <v>1253</v>
      </c>
      <c r="H47" s="63"/>
    </row>
    <row r="48" spans="1:8">
      <c r="A48" s="317"/>
      <c r="B48" s="312" t="s">
        <v>1254</v>
      </c>
      <c r="C48" s="314"/>
      <c r="D48" s="312"/>
      <c r="E48" s="163">
        <v>300</v>
      </c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327</v>
      </c>
      <c r="C50" s="103"/>
      <c r="D50" s="201">
        <f>SUM(D51:D58)</f>
        <v>4615.6899999999996</v>
      </c>
      <c r="E50" s="163">
        <f>SUM(E51:E58)</f>
        <v>4215.6899999999996</v>
      </c>
      <c r="H50" s="63"/>
    </row>
    <row r="51" spans="1:8">
      <c r="B51" t="s">
        <v>1207</v>
      </c>
      <c r="D51">
        <v>1245.19</v>
      </c>
      <c r="E51" s="163">
        <v>1245</v>
      </c>
      <c r="F51" s="63"/>
      <c r="G51" s="63"/>
    </row>
    <row r="52" spans="1:8">
      <c r="B52" t="s">
        <v>329</v>
      </c>
      <c r="D52">
        <v>914.78</v>
      </c>
      <c r="E52" s="163">
        <v>915</v>
      </c>
      <c r="F52" s="63"/>
      <c r="G52" s="63"/>
    </row>
    <row r="53" spans="1:8">
      <c r="B53" t="s">
        <v>330</v>
      </c>
      <c r="D53">
        <v>295.54000000000002</v>
      </c>
      <c r="E53" s="163">
        <v>295</v>
      </c>
      <c r="F53" s="63"/>
      <c r="G53" s="63"/>
    </row>
    <row r="54" spans="1:8">
      <c r="B54" t="s">
        <v>1255</v>
      </c>
      <c r="D54">
        <v>200</v>
      </c>
      <c r="F54" s="63"/>
      <c r="G54" s="63"/>
    </row>
    <row r="55" spans="1:8">
      <c r="B55" t="s">
        <v>1256</v>
      </c>
      <c r="D55">
        <v>1367.33</v>
      </c>
      <c r="E55" s="163">
        <v>1368</v>
      </c>
      <c r="F55" s="63"/>
      <c r="G55" s="63"/>
    </row>
    <row r="56" spans="1:8">
      <c r="B56" t="s">
        <v>332</v>
      </c>
      <c r="C56" s="106"/>
      <c r="D56">
        <v>305.16000000000003</v>
      </c>
      <c r="E56" s="163">
        <v>305</v>
      </c>
      <c r="F56" s="63"/>
      <c r="G56" s="63"/>
    </row>
    <row r="57" spans="1:8">
      <c r="B57" t="s">
        <v>1257</v>
      </c>
      <c r="C57" s="106"/>
      <c r="D57" s="330">
        <v>200</v>
      </c>
      <c r="F57" s="63"/>
      <c r="G57" s="63"/>
    </row>
    <row r="58" spans="1:8">
      <c r="B58" t="s">
        <v>228</v>
      </c>
      <c r="C58" s="106"/>
      <c r="D58" s="106">
        <v>87.69</v>
      </c>
      <c r="E58" s="163">
        <v>87.69</v>
      </c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331">
        <f>SUM(E63:E85)</f>
        <v>-4657.2000000000007</v>
      </c>
    </row>
    <row r="63" spans="1:8">
      <c r="G63" s="63"/>
      <c r="H63" s="63"/>
    </row>
    <row r="64" spans="1:8">
      <c r="A64" s="100">
        <v>44866</v>
      </c>
      <c r="B64" s="106" t="s">
        <v>1210</v>
      </c>
      <c r="C64" s="106"/>
      <c r="D64" s="106" t="s">
        <v>470</v>
      </c>
      <c r="E64" s="163">
        <v>-208.17</v>
      </c>
      <c r="F64" s="63"/>
      <c r="G64" s="63"/>
      <c r="H64" s="63"/>
    </row>
    <row r="65" spans="1:8">
      <c r="A65" s="100">
        <v>44871</v>
      </c>
      <c r="B65" s="106" t="s">
        <v>1211</v>
      </c>
      <c r="C65" s="106"/>
      <c r="D65" s="106" t="s">
        <v>470</v>
      </c>
      <c r="E65" s="163">
        <v>-151.65</v>
      </c>
      <c r="F65" s="63"/>
      <c r="G65" s="63"/>
      <c r="H65" s="63"/>
    </row>
    <row r="66" spans="1:8">
      <c r="A66" s="100">
        <v>44873</v>
      </c>
      <c r="B66" s="8" t="s">
        <v>1258</v>
      </c>
      <c r="C66" s="106"/>
      <c r="D66" s="106" t="s">
        <v>925</v>
      </c>
      <c r="E66" s="163">
        <v>-1111.1099999999999</v>
      </c>
      <c r="F66" s="63"/>
      <c r="G66" s="63"/>
      <c r="H66" s="63"/>
    </row>
    <row r="67" spans="1:8">
      <c r="A67" s="100">
        <v>44887</v>
      </c>
      <c r="B67" s="106" t="s">
        <v>1259</v>
      </c>
      <c r="C67" s="106"/>
      <c r="D67" s="101" t="s">
        <v>1118</v>
      </c>
      <c r="E67" s="163">
        <v>-678.58</v>
      </c>
      <c r="F67" s="63"/>
      <c r="G67" s="63"/>
      <c r="H67" s="63"/>
    </row>
    <row r="68" spans="1:8">
      <c r="A68" s="100">
        <v>44920</v>
      </c>
      <c r="B68" s="106" t="s">
        <v>1172</v>
      </c>
      <c r="C68" s="106"/>
      <c r="D68" s="106" t="s">
        <v>1056</v>
      </c>
      <c r="E68" s="163">
        <v>-397.46</v>
      </c>
      <c r="F68" s="63"/>
      <c r="G68" s="63"/>
      <c r="H68" s="63"/>
    </row>
    <row r="69" spans="1:8">
      <c r="A69" s="100">
        <v>44920</v>
      </c>
      <c r="B69" s="106" t="s">
        <v>1173</v>
      </c>
      <c r="C69" s="106"/>
      <c r="D69" s="106" t="s">
        <v>1056</v>
      </c>
      <c r="E69" s="163">
        <v>-80.91</v>
      </c>
      <c r="F69" s="63"/>
      <c r="G69" s="63"/>
      <c r="H69" s="63"/>
    </row>
    <row r="70" spans="1:8">
      <c r="A70" s="100">
        <v>44920</v>
      </c>
      <c r="B70" s="106" t="s">
        <v>1174</v>
      </c>
      <c r="C70" s="106"/>
      <c r="D70" s="106" t="s">
        <v>1056</v>
      </c>
      <c r="E70" s="163">
        <v>-127.05</v>
      </c>
      <c r="F70" s="63"/>
      <c r="G70" s="63"/>
      <c r="H70" s="63"/>
    </row>
    <row r="71" spans="1:8">
      <c r="A71" s="100">
        <v>44920</v>
      </c>
      <c r="B71" s="106" t="s">
        <v>1175</v>
      </c>
      <c r="C71" s="106"/>
      <c r="D71" s="106" t="s">
        <v>1056</v>
      </c>
      <c r="E71" s="163">
        <v>-49.31</v>
      </c>
      <c r="F71" s="63"/>
      <c r="G71" s="63"/>
      <c r="H71" s="63"/>
    </row>
    <row r="72" spans="1:8">
      <c r="A72" s="100">
        <v>44924</v>
      </c>
      <c r="B72" s="8" t="s">
        <v>743</v>
      </c>
      <c r="C72" s="106"/>
      <c r="D72" s="106"/>
      <c r="E72" s="163">
        <v>-76.3</v>
      </c>
      <c r="F72" s="63"/>
      <c r="G72" s="63"/>
      <c r="H72" s="63"/>
    </row>
    <row r="73" spans="1:8">
      <c r="A73" s="100">
        <v>44925</v>
      </c>
      <c r="B73" s="8" t="s">
        <v>1260</v>
      </c>
      <c r="D73" s="8" t="s">
        <v>1261</v>
      </c>
    </row>
    <row r="74" spans="1:8">
      <c r="A74" s="100">
        <v>44925</v>
      </c>
      <c r="B74" s="8" t="s">
        <v>1262</v>
      </c>
      <c r="E74" s="163">
        <v>-47.8</v>
      </c>
    </row>
    <row r="75" spans="1:8">
      <c r="A75" s="100">
        <v>44934</v>
      </c>
      <c r="B75" s="8" t="s">
        <v>1263</v>
      </c>
      <c r="E75" s="163">
        <v>-556.07000000000005</v>
      </c>
    </row>
    <row r="76" spans="1:8">
      <c r="A76" s="100">
        <v>44936</v>
      </c>
      <c r="B76" s="8" t="s">
        <v>1264</v>
      </c>
      <c r="E76" s="163">
        <v>-79.34</v>
      </c>
    </row>
    <row r="77" spans="1:8">
      <c r="A77" s="100">
        <v>44937</v>
      </c>
      <c r="B77" s="8" t="s">
        <v>1214</v>
      </c>
      <c r="E77" s="163">
        <v>-123.45</v>
      </c>
    </row>
    <row r="78" spans="1:8">
      <c r="A78" s="100">
        <v>44938</v>
      </c>
      <c r="B78" s="8" t="s">
        <v>1215</v>
      </c>
      <c r="E78" s="163">
        <v>-113.57</v>
      </c>
    </row>
    <row r="79" spans="1:8">
      <c r="A79" s="100">
        <v>44939</v>
      </c>
      <c r="B79" s="8" t="s">
        <v>1216</v>
      </c>
      <c r="E79" s="163">
        <v>-118.62</v>
      </c>
    </row>
    <row r="80" spans="1:8">
      <c r="A80" s="100">
        <v>44940</v>
      </c>
      <c r="B80" s="8" t="s">
        <v>1217</v>
      </c>
      <c r="E80" s="163">
        <v>-123.85</v>
      </c>
    </row>
    <row r="81" spans="1:8">
      <c r="A81" s="100">
        <v>44942</v>
      </c>
      <c r="B81" s="8" t="s">
        <v>1220</v>
      </c>
      <c r="E81" s="163">
        <v>-177.33</v>
      </c>
    </row>
    <row r="82" spans="1:8">
      <c r="A82" s="100">
        <v>44947</v>
      </c>
      <c r="B82" s="8" t="s">
        <v>1057</v>
      </c>
      <c r="E82" s="163">
        <v>-100</v>
      </c>
    </row>
    <row r="83" spans="1:8">
      <c r="A83" s="100">
        <v>44949</v>
      </c>
      <c r="B83" s="8" t="s">
        <v>1221</v>
      </c>
      <c r="E83" s="163">
        <v>-111.1</v>
      </c>
    </row>
    <row r="84" spans="1:8">
      <c r="A84" s="100">
        <v>44950</v>
      </c>
      <c r="B84" s="8" t="s">
        <v>1265</v>
      </c>
      <c r="E84" s="163">
        <v>-99.87</v>
      </c>
    </row>
    <row r="85" spans="1:8">
      <c r="A85" s="100">
        <v>44951</v>
      </c>
      <c r="B85" s="8" t="s">
        <v>1266</v>
      </c>
      <c r="E85" s="163">
        <v>-125.66</v>
      </c>
    </row>
    <row r="87" spans="1:8">
      <c r="A87" s="103"/>
      <c r="B87" s="104" t="s">
        <v>85</v>
      </c>
      <c r="C87" s="103"/>
      <c r="D87" s="103"/>
      <c r="E87" s="331">
        <f>SUM(E88:E103)</f>
        <v>-3076.2899999999995</v>
      </c>
    </row>
    <row r="88" spans="1:8">
      <c r="A88" s="100">
        <v>44919</v>
      </c>
      <c r="B88" s="106" t="s">
        <v>1267</v>
      </c>
      <c r="C88" s="106"/>
      <c r="D88" s="106"/>
      <c r="E88" s="163">
        <v>-136.19</v>
      </c>
      <c r="F88" s="63"/>
      <c r="G88" s="63"/>
      <c r="H88" s="63"/>
    </row>
    <row r="89" spans="1:8">
      <c r="A89" s="100">
        <v>44921</v>
      </c>
      <c r="B89" s="106" t="s">
        <v>1268</v>
      </c>
      <c r="C89" s="106"/>
      <c r="D89" s="106"/>
      <c r="E89" s="163">
        <v>-193.47</v>
      </c>
      <c r="F89" s="63"/>
      <c r="G89" s="63"/>
      <c r="H89" s="63"/>
    </row>
    <row r="90" spans="1:8">
      <c r="A90" s="100">
        <v>44922</v>
      </c>
      <c r="B90" s="106" t="s">
        <v>1269</v>
      </c>
      <c r="C90" s="106"/>
      <c r="D90" s="106"/>
      <c r="E90" s="163">
        <v>-600</v>
      </c>
      <c r="F90" s="63"/>
      <c r="G90" s="63"/>
      <c r="H90" s="63"/>
    </row>
    <row r="91" spans="1:8">
      <c r="A91" s="100">
        <v>44922</v>
      </c>
      <c r="B91" s="106" t="s">
        <v>1270</v>
      </c>
      <c r="C91" s="106"/>
      <c r="D91" s="106"/>
      <c r="E91" s="163">
        <v>-206.27</v>
      </c>
      <c r="F91" s="63"/>
      <c r="G91" s="63"/>
      <c r="H91" s="63"/>
    </row>
    <row r="92" spans="1:8">
      <c r="A92" s="100">
        <v>44923</v>
      </c>
      <c r="B92" s="106" t="s">
        <v>1271</v>
      </c>
      <c r="C92" s="106"/>
      <c r="D92" s="106"/>
      <c r="E92" s="163">
        <v>-146.44</v>
      </c>
      <c r="F92" s="63"/>
      <c r="G92" s="63"/>
      <c r="H92" s="63"/>
    </row>
    <row r="93" spans="1:8">
      <c r="A93" s="100">
        <v>44927</v>
      </c>
      <c r="B93" s="106" t="s">
        <v>540</v>
      </c>
      <c r="C93" s="106"/>
      <c r="D93" s="106"/>
      <c r="E93" s="163">
        <v>-340</v>
      </c>
      <c r="F93" s="63"/>
      <c r="G93" s="63"/>
      <c r="H93" s="63"/>
    </row>
    <row r="94" spans="1:8">
      <c r="A94" s="100">
        <v>44928</v>
      </c>
      <c r="B94" s="107" t="s">
        <v>1272</v>
      </c>
      <c r="E94" s="163">
        <v>-164.8</v>
      </c>
    </row>
    <row r="95" spans="1:8">
      <c r="A95" s="100">
        <v>44930</v>
      </c>
      <c r="B95" s="107" t="s">
        <v>1273</v>
      </c>
      <c r="E95" s="163">
        <v>-139.33000000000001</v>
      </c>
    </row>
    <row r="96" spans="1:8">
      <c r="A96" s="100">
        <v>44931</v>
      </c>
      <c r="B96" s="107" t="s">
        <v>1274</v>
      </c>
      <c r="E96" s="163">
        <v>-143.19999999999999</v>
      </c>
    </row>
    <row r="97" spans="1:7">
      <c r="A97" s="100">
        <v>44934</v>
      </c>
      <c r="B97" s="8" t="s">
        <v>1275</v>
      </c>
      <c r="E97" s="163">
        <v>-297.38</v>
      </c>
    </row>
    <row r="98" spans="1:7">
      <c r="A98" s="100">
        <v>44944</v>
      </c>
      <c r="B98" s="8" t="s">
        <v>1276</v>
      </c>
      <c r="E98" s="163">
        <v>-286.02999999999997</v>
      </c>
    </row>
    <row r="99" spans="1:7">
      <c r="A99" s="100">
        <v>44944</v>
      </c>
      <c r="B99" s="8" t="s">
        <v>1276</v>
      </c>
      <c r="E99" s="163">
        <v>-423.18</v>
      </c>
    </row>
    <row r="100" spans="1:7">
      <c r="A100" s="100">
        <v>44950</v>
      </c>
      <c r="B100" s="8" t="s">
        <v>1277</v>
      </c>
      <c r="D100" s="35"/>
      <c r="E100" s="163">
        <v>-31.35</v>
      </c>
    </row>
    <row r="101" spans="1:7">
      <c r="B101" t="s">
        <v>1278</v>
      </c>
      <c r="D101" s="35"/>
      <c r="E101" s="163">
        <v>31.35</v>
      </c>
    </row>
    <row r="109" spans="1:7">
      <c r="A109" s="100"/>
      <c r="D109" s="63"/>
      <c r="F109" s="63"/>
      <c r="G109" s="63"/>
    </row>
    <row r="111" spans="1:7">
      <c r="A111" s="103"/>
      <c r="B111" s="104" t="s">
        <v>1279</v>
      </c>
      <c r="C111" s="103"/>
      <c r="D111" s="158"/>
      <c r="E111" s="159">
        <f>SUM(E112:E119)</f>
        <v>335748</v>
      </c>
    </row>
    <row r="112" spans="1:7">
      <c r="A112" s="100">
        <v>45291</v>
      </c>
      <c r="B112" s="8" t="s">
        <v>77</v>
      </c>
      <c r="E112" s="163">
        <v>64000</v>
      </c>
    </row>
    <row r="113" spans="1:5">
      <c r="A113" s="100">
        <v>45291</v>
      </c>
      <c r="B113" s="8" t="s">
        <v>78</v>
      </c>
      <c r="E113" s="163">
        <v>48288</v>
      </c>
    </row>
    <row r="114" spans="1:5">
      <c r="A114" s="100">
        <v>45291</v>
      </c>
      <c r="B114" s="8" t="s">
        <v>300</v>
      </c>
      <c r="E114" s="163">
        <v>44567</v>
      </c>
    </row>
    <row r="115" spans="1:5">
      <c r="A115" s="100">
        <v>45291</v>
      </c>
      <c r="B115" s="8" t="s">
        <v>301</v>
      </c>
      <c r="E115" s="163">
        <v>5590</v>
      </c>
    </row>
    <row r="116" spans="1:5">
      <c r="A116" s="100">
        <v>45291</v>
      </c>
      <c r="B116" s="8" t="s">
        <v>805</v>
      </c>
      <c r="C116">
        <v>1093</v>
      </c>
      <c r="D116">
        <v>111</v>
      </c>
      <c r="E116" s="163">
        <f>D116*C116</f>
        <v>121323</v>
      </c>
    </row>
    <row r="117" spans="1:5">
      <c r="A117" s="100">
        <v>45291</v>
      </c>
      <c r="B117" s="8" t="s">
        <v>806</v>
      </c>
      <c r="C117">
        <v>18.8</v>
      </c>
      <c r="D117">
        <v>850</v>
      </c>
      <c r="E117" s="163">
        <f>D117*C117</f>
        <v>15980</v>
      </c>
    </row>
    <row r="118" spans="1:5">
      <c r="A118" s="100">
        <v>45291</v>
      </c>
      <c r="B118" s="8" t="s">
        <v>807</v>
      </c>
      <c r="C118">
        <v>20</v>
      </c>
      <c r="D118">
        <v>100</v>
      </c>
      <c r="E118" s="163">
        <f>D118*C118</f>
        <v>2000</v>
      </c>
    </row>
    <row r="119" spans="1:5">
      <c r="A119" s="100">
        <v>45291</v>
      </c>
      <c r="B119" s="8" t="s">
        <v>808</v>
      </c>
      <c r="E119" s="163">
        <v>34000</v>
      </c>
    </row>
    <row r="120" spans="1:5">
      <c r="A120" s="100"/>
    </row>
    <row r="121" spans="1:5">
      <c r="D121" t="s">
        <v>1280</v>
      </c>
      <c r="E121" s="63">
        <f>H2</f>
        <v>-50451.479999999989</v>
      </c>
    </row>
    <row r="123" spans="1:5">
      <c r="D123" s="18" t="s">
        <v>155</v>
      </c>
      <c r="E123" s="163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395511"/>
  </sheetPr>
  <dimension ref="A1:H122"/>
  <sheetViews>
    <sheetView topLeftCell="A83"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1281</v>
      </c>
      <c r="C2" s="79" t="s">
        <v>67</v>
      </c>
      <c r="D2" s="306">
        <f>SUM(D4:D27)</f>
        <v>13261</v>
      </c>
      <c r="E2" s="306">
        <f>SUM(E5:E27)</f>
        <v>-22808.309999999998</v>
      </c>
      <c r="F2" s="306">
        <f>SUM(F4:F28)</f>
        <v>8049.2</v>
      </c>
      <c r="G2" s="306">
        <f>SUM(G4:G28)</f>
        <v>-23047.62</v>
      </c>
      <c r="H2" s="306">
        <f>F2+G2</f>
        <v>-14998.419999999998</v>
      </c>
    </row>
    <row r="3" spans="1:8">
      <c r="B3" s="18"/>
      <c r="H3" s="63"/>
    </row>
    <row r="4" spans="1:8">
      <c r="B4" s="18"/>
      <c r="H4" s="63"/>
    </row>
    <row r="5" spans="1:8">
      <c r="A5" s="100">
        <v>44928</v>
      </c>
      <c r="B5" s="101" t="s">
        <v>80</v>
      </c>
      <c r="C5" s="101"/>
      <c r="D5" s="101"/>
      <c r="E5" s="63">
        <v>-400</v>
      </c>
      <c r="G5" s="63">
        <v>-230</v>
      </c>
      <c r="H5" s="63">
        <f t="shared" ref="H5:H24" si="0">H4+F5+G5</f>
        <v>-230</v>
      </c>
    </row>
    <row r="6" spans="1:8">
      <c r="A6" s="100">
        <v>44928</v>
      </c>
      <c r="B6" s="101" t="s">
        <v>81</v>
      </c>
      <c r="C6" s="101"/>
      <c r="D6" s="101"/>
      <c r="E6" s="63">
        <v>-500</v>
      </c>
      <c r="G6" s="63">
        <v>-523</v>
      </c>
      <c r="H6" s="63">
        <f t="shared" si="0"/>
        <v>-753</v>
      </c>
    </row>
    <row r="7" spans="1:8">
      <c r="A7" s="100">
        <v>44933</v>
      </c>
      <c r="B7" s="101" t="s">
        <v>753</v>
      </c>
      <c r="C7" s="101"/>
      <c r="D7" s="101"/>
      <c r="E7" s="63">
        <v>-4300</v>
      </c>
      <c r="G7" s="63">
        <v>-4300</v>
      </c>
      <c r="H7" s="63">
        <f t="shared" si="0"/>
        <v>-5053</v>
      </c>
    </row>
    <row r="8" spans="1:8">
      <c r="A8" s="100">
        <v>44568</v>
      </c>
      <c r="B8" s="101" t="s">
        <v>754</v>
      </c>
      <c r="C8" s="101"/>
      <c r="D8" s="101"/>
      <c r="E8" s="63">
        <v>-674.74</v>
      </c>
      <c r="F8" s="163"/>
      <c r="G8" s="63">
        <v>-674.74</v>
      </c>
      <c r="H8" s="63">
        <f t="shared" si="0"/>
        <v>-5727.74</v>
      </c>
    </row>
    <row r="9" spans="1:8">
      <c r="A9" s="100">
        <v>44568</v>
      </c>
      <c r="B9" s="101" t="s">
        <v>75</v>
      </c>
      <c r="C9" s="101"/>
      <c r="D9" s="101"/>
      <c r="E9" s="63">
        <v>-150</v>
      </c>
      <c r="F9" s="163"/>
      <c r="G9" s="63">
        <v>-153.05000000000001</v>
      </c>
      <c r="H9" s="63">
        <f t="shared" si="0"/>
        <v>-5880.79</v>
      </c>
    </row>
    <row r="10" spans="1:8">
      <c r="A10" s="100">
        <v>44942</v>
      </c>
      <c r="B10" s="106" t="s">
        <v>74</v>
      </c>
      <c r="C10" s="106"/>
      <c r="D10" s="106"/>
      <c r="E10" s="63">
        <v>-100</v>
      </c>
      <c r="F10" s="163"/>
      <c r="G10" s="63">
        <v>-87</v>
      </c>
      <c r="H10" s="63">
        <f t="shared" si="0"/>
        <v>-5967.79</v>
      </c>
    </row>
    <row r="11" spans="1:8">
      <c r="A11" s="100">
        <v>44942</v>
      </c>
      <c r="B11" s="106" t="s">
        <v>73</v>
      </c>
      <c r="C11" s="106"/>
      <c r="D11" s="106"/>
      <c r="E11" s="63">
        <v>-1000</v>
      </c>
      <c r="F11" s="163"/>
      <c r="G11" s="63">
        <v>-1560</v>
      </c>
      <c r="H11" s="63">
        <f t="shared" si="0"/>
        <v>-7527.79</v>
      </c>
    </row>
    <row r="12" spans="1:8">
      <c r="B12" s="178" t="s">
        <v>72</v>
      </c>
      <c r="D12" s="63"/>
      <c r="E12" s="63">
        <v>-200</v>
      </c>
      <c r="G12" s="63">
        <v>-183.26</v>
      </c>
      <c r="H12" s="63">
        <f t="shared" si="0"/>
        <v>-7711.05</v>
      </c>
    </row>
    <row r="13" spans="1:8">
      <c r="B13" s="178" t="s">
        <v>68</v>
      </c>
      <c r="E13" s="63">
        <f>E48</f>
        <v>-7233.5699999999988</v>
      </c>
      <c r="F13" s="63"/>
      <c r="G13" s="63">
        <v>-7233.57</v>
      </c>
      <c r="H13" s="63">
        <f t="shared" si="0"/>
        <v>-14944.619999999999</v>
      </c>
    </row>
    <row r="14" spans="1:8">
      <c r="B14" s="178" t="s">
        <v>1282</v>
      </c>
      <c r="E14" s="2"/>
      <c r="H14" s="63">
        <f t="shared" si="0"/>
        <v>-14944.619999999999</v>
      </c>
    </row>
    <row r="15" spans="1:8">
      <c r="B15" t="s">
        <v>77</v>
      </c>
      <c r="E15" s="63">
        <v>-2750</v>
      </c>
      <c r="F15" s="63"/>
      <c r="G15" s="63">
        <v>-2701</v>
      </c>
      <c r="H15" s="63">
        <f t="shared" si="0"/>
        <v>-17645.62</v>
      </c>
    </row>
    <row r="16" spans="1:8">
      <c r="B16" t="s">
        <v>78</v>
      </c>
      <c r="E16" s="63">
        <v>-2750</v>
      </c>
      <c r="F16" s="63"/>
      <c r="G16" s="63">
        <v>-2701</v>
      </c>
      <c r="H16" s="63">
        <f t="shared" si="0"/>
        <v>-20346.62</v>
      </c>
    </row>
    <row r="17" spans="1:8">
      <c r="B17" t="s">
        <v>79</v>
      </c>
      <c r="E17" s="63">
        <v>-2750</v>
      </c>
      <c r="F17" s="63"/>
      <c r="G17" s="63">
        <v>-2701</v>
      </c>
      <c r="H17" s="63">
        <f t="shared" si="0"/>
        <v>-23047.62</v>
      </c>
    </row>
    <row r="18" spans="1:8">
      <c r="B18" t="s">
        <v>1283</v>
      </c>
      <c r="D18">
        <v>1111</v>
      </c>
      <c r="E18" s="163"/>
      <c r="F18" s="63"/>
      <c r="G18" s="63"/>
      <c r="H18" s="63">
        <f t="shared" si="0"/>
        <v>-23047.62</v>
      </c>
    </row>
    <row r="19" spans="1:8">
      <c r="A19" s="100">
        <v>44944</v>
      </c>
      <c r="B19" s="8" t="s">
        <v>815</v>
      </c>
      <c r="E19" s="163"/>
      <c r="F19" s="63">
        <v>1500</v>
      </c>
      <c r="G19" s="63"/>
      <c r="H19" s="63">
        <f t="shared" si="0"/>
        <v>-21547.62</v>
      </c>
    </row>
    <row r="20" spans="1:8">
      <c r="B20" t="s">
        <v>76</v>
      </c>
      <c r="D20" s="186">
        <v>5500</v>
      </c>
      <c r="F20" s="63">
        <v>5549.2</v>
      </c>
      <c r="G20" s="63"/>
      <c r="H20" s="63">
        <f t="shared" si="0"/>
        <v>-15998.419999999998</v>
      </c>
    </row>
    <row r="21" spans="1:8">
      <c r="B21" t="s">
        <v>1242</v>
      </c>
      <c r="D21" s="186">
        <v>1650</v>
      </c>
      <c r="F21" s="63"/>
      <c r="G21" s="63"/>
      <c r="H21" s="63">
        <f t="shared" si="0"/>
        <v>-15998.419999999998</v>
      </c>
    </row>
    <row r="22" spans="1:8">
      <c r="A22" t="s">
        <v>870</v>
      </c>
      <c r="B22" t="s">
        <v>1233</v>
      </c>
      <c r="D22" s="186">
        <v>3000</v>
      </c>
      <c r="F22" s="63"/>
      <c r="G22" s="63"/>
      <c r="H22" s="63">
        <f t="shared" si="0"/>
        <v>-15998.419999999998</v>
      </c>
    </row>
    <row r="23" spans="1:8">
      <c r="A23" t="s">
        <v>870</v>
      </c>
      <c r="B23" t="s">
        <v>1284</v>
      </c>
      <c r="D23" s="329">
        <v>1000</v>
      </c>
      <c r="H23" s="63">
        <f t="shared" si="0"/>
        <v>-15998.419999999998</v>
      </c>
    </row>
    <row r="24" spans="1:8">
      <c r="A24" s="100">
        <v>44928</v>
      </c>
      <c r="B24" s="312" t="s">
        <v>1285</v>
      </c>
      <c r="C24" s="312"/>
      <c r="D24" s="332">
        <v>1000</v>
      </c>
      <c r="F24" s="63">
        <v>1000</v>
      </c>
      <c r="G24" s="63"/>
      <c r="H24" s="63">
        <f t="shared" si="0"/>
        <v>-14998.419999999998</v>
      </c>
    </row>
    <row r="25" spans="1:8">
      <c r="A25" s="100"/>
      <c r="D25" s="102"/>
      <c r="H25" s="63"/>
    </row>
    <row r="26" spans="1:8">
      <c r="D26" s="63"/>
      <c r="F26" s="63"/>
      <c r="G26" s="63"/>
      <c r="H26" s="63"/>
    </row>
    <row r="27" spans="1:8" ht="15.75">
      <c r="B27" s="179"/>
      <c r="F27" s="63"/>
      <c r="G27" s="63"/>
      <c r="H27" s="63"/>
    </row>
    <row r="28" spans="1:8">
      <c r="E28" s="63"/>
      <c r="G28" s="63"/>
      <c r="H28" s="63"/>
    </row>
    <row r="29" spans="1:8">
      <c r="B29" t="s">
        <v>325</v>
      </c>
      <c r="E29" s="63"/>
      <c r="G29" s="63"/>
      <c r="H29" s="63"/>
    </row>
    <row r="30" spans="1:8">
      <c r="A30" s="103" t="s">
        <v>326</v>
      </c>
      <c r="B30" s="103"/>
      <c r="C30" s="103"/>
      <c r="D30" s="103"/>
      <c r="E30" s="158"/>
      <c r="G30" s="63"/>
      <c r="H30" s="63"/>
    </row>
    <row r="31" spans="1:8">
      <c r="A31" s="317">
        <v>44650</v>
      </c>
      <c r="B31" s="312" t="s">
        <v>1250</v>
      </c>
      <c r="C31" s="312"/>
      <c r="D31" s="312" t="s">
        <v>1286</v>
      </c>
      <c r="E31" s="313"/>
      <c r="H31" s="63"/>
    </row>
    <row r="32" spans="1:8">
      <c r="A32" s="317">
        <v>44844</v>
      </c>
      <c r="B32" s="312" t="s">
        <v>1252</v>
      </c>
      <c r="C32" s="314"/>
      <c r="D32" s="312" t="s">
        <v>1253</v>
      </c>
      <c r="E32" s="312"/>
      <c r="H32" s="63"/>
    </row>
    <row r="33" spans="1:8">
      <c r="A33" s="317"/>
      <c r="B33" s="312" t="s">
        <v>1287</v>
      </c>
      <c r="C33" s="314"/>
      <c r="D33" s="312"/>
      <c r="E33" s="312">
        <v>100</v>
      </c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327</v>
      </c>
      <c r="C35" s="103"/>
      <c r="D35" s="201">
        <f>SUM(D36:D43)</f>
        <v>6130.21</v>
      </c>
      <c r="E35" s="201">
        <f>SUM(E36:E43)</f>
        <v>5930.26</v>
      </c>
      <c r="H35" s="63"/>
    </row>
    <row r="36" spans="1:8">
      <c r="A36" s="100"/>
      <c r="B36" s="106" t="s">
        <v>328</v>
      </c>
      <c r="D36" s="2">
        <v>1221.74</v>
      </c>
      <c r="E36" s="63">
        <v>1222</v>
      </c>
      <c r="H36" s="63"/>
    </row>
    <row r="37" spans="1:8">
      <c r="B37" t="s">
        <v>329</v>
      </c>
      <c r="D37" s="2">
        <v>1264.8699999999999</v>
      </c>
      <c r="E37" s="63">
        <v>1265</v>
      </c>
      <c r="F37" s="63"/>
      <c r="G37" s="63"/>
    </row>
    <row r="38" spans="1:8">
      <c r="B38" t="s">
        <v>330</v>
      </c>
      <c r="D38" s="2">
        <v>366.02</v>
      </c>
      <c r="E38" s="63">
        <v>366</v>
      </c>
      <c r="F38" s="63"/>
      <c r="G38" s="63"/>
    </row>
    <row r="39" spans="1:8">
      <c r="B39" t="s">
        <v>1288</v>
      </c>
      <c r="D39" s="17">
        <v>200</v>
      </c>
      <c r="F39" s="63"/>
      <c r="G39" s="63"/>
    </row>
    <row r="40" spans="1:8">
      <c r="B40" t="s">
        <v>1289</v>
      </c>
      <c r="D40" s="2">
        <v>1479.95</v>
      </c>
      <c r="E40">
        <v>1480</v>
      </c>
      <c r="F40" s="63"/>
      <c r="G40" s="63"/>
    </row>
    <row r="41" spans="1:8">
      <c r="B41" t="s">
        <v>1290</v>
      </c>
      <c r="D41" s="2">
        <v>1214.3699999999999</v>
      </c>
      <c r="E41">
        <v>1214</v>
      </c>
      <c r="F41" s="63"/>
      <c r="G41" s="63"/>
    </row>
    <row r="42" spans="1:8">
      <c r="A42" s="100">
        <v>44928</v>
      </c>
      <c r="B42" s="8" t="s">
        <v>1291</v>
      </c>
      <c r="C42" s="106"/>
      <c r="D42" s="333">
        <v>200</v>
      </c>
      <c r="E42">
        <v>200</v>
      </c>
      <c r="F42" s="63"/>
      <c r="G42" s="63"/>
    </row>
    <row r="43" spans="1:8">
      <c r="B43" t="s">
        <v>333</v>
      </c>
      <c r="C43" s="106"/>
      <c r="D43" s="2">
        <v>183.26</v>
      </c>
      <c r="E43" s="106">
        <v>183.26</v>
      </c>
      <c r="F43" s="63"/>
      <c r="G43" s="63"/>
    </row>
    <row r="44" spans="1:8">
      <c r="C44" s="106"/>
      <c r="D44" s="106"/>
      <c r="E44" s="163"/>
      <c r="F44" s="63"/>
      <c r="G44" s="63"/>
    </row>
    <row r="46" spans="1:8">
      <c r="B46" s="17"/>
    </row>
    <row r="47" spans="1:8">
      <c r="B47" s="102"/>
    </row>
    <row r="48" spans="1:8">
      <c r="A48" s="103"/>
      <c r="B48" s="104" t="s">
        <v>83</v>
      </c>
      <c r="C48" s="103"/>
      <c r="D48" s="158"/>
      <c r="E48" s="159">
        <f>SUM(E49:E82)</f>
        <v>-7233.5699999999988</v>
      </c>
    </row>
    <row r="49" spans="1:8">
      <c r="G49" s="63"/>
      <c r="H49" s="63"/>
    </row>
    <row r="50" spans="1:8">
      <c r="A50" s="100">
        <v>44866</v>
      </c>
      <c r="B50" s="106" t="s">
        <v>1292</v>
      </c>
      <c r="C50" s="106"/>
      <c r="D50" s="106" t="s">
        <v>513</v>
      </c>
      <c r="E50" s="63">
        <v>-208.17</v>
      </c>
      <c r="F50" s="63"/>
      <c r="G50" s="63"/>
      <c r="H50" s="63"/>
    </row>
    <row r="51" spans="1:8">
      <c r="A51" s="100">
        <v>44871</v>
      </c>
      <c r="B51" s="106" t="s">
        <v>1293</v>
      </c>
      <c r="C51" s="106"/>
      <c r="D51" s="106" t="s">
        <v>513</v>
      </c>
      <c r="E51" s="63">
        <v>-151.65</v>
      </c>
      <c r="F51" s="63"/>
      <c r="G51" s="63"/>
      <c r="H51" s="63"/>
    </row>
    <row r="52" spans="1:8">
      <c r="A52" s="100">
        <v>44873</v>
      </c>
      <c r="B52" s="8" t="s">
        <v>1294</v>
      </c>
      <c r="C52" s="106"/>
      <c r="D52" s="106" t="s">
        <v>607</v>
      </c>
      <c r="E52" s="63">
        <v>-1111.1099999999999</v>
      </c>
      <c r="F52" s="63"/>
      <c r="G52" s="63"/>
      <c r="H52" s="63"/>
    </row>
    <row r="53" spans="1:8">
      <c r="A53" s="100">
        <v>44887</v>
      </c>
      <c r="B53" s="106" t="s">
        <v>1295</v>
      </c>
      <c r="C53" s="106"/>
      <c r="D53" s="101" t="s">
        <v>1149</v>
      </c>
      <c r="E53" s="63">
        <v>-678.58</v>
      </c>
      <c r="F53" s="63"/>
      <c r="G53" s="63"/>
      <c r="H53" s="63"/>
    </row>
    <row r="54" spans="1:8">
      <c r="A54" s="100">
        <v>44920</v>
      </c>
      <c r="B54" s="106" t="s">
        <v>1172</v>
      </c>
      <c r="C54" s="106"/>
      <c r="D54" s="106" t="s">
        <v>1084</v>
      </c>
      <c r="E54" s="63">
        <v>-397.46</v>
      </c>
      <c r="F54" s="63"/>
      <c r="G54" s="63"/>
      <c r="H54" s="63"/>
    </row>
    <row r="55" spans="1:8">
      <c r="A55" s="100">
        <v>44920</v>
      </c>
      <c r="B55" s="106" t="s">
        <v>1173</v>
      </c>
      <c r="C55" s="106"/>
      <c r="D55" s="106" t="s">
        <v>1084</v>
      </c>
      <c r="E55" s="63">
        <v>-80.91</v>
      </c>
      <c r="F55" s="63"/>
      <c r="G55" s="63"/>
      <c r="H55" s="63"/>
    </row>
    <row r="56" spans="1:8">
      <c r="A56" s="100">
        <v>44920</v>
      </c>
      <c r="B56" s="106" t="s">
        <v>1174</v>
      </c>
      <c r="C56" s="106"/>
      <c r="D56" s="106" t="s">
        <v>1084</v>
      </c>
      <c r="E56" s="63">
        <v>-127.05</v>
      </c>
      <c r="F56" s="63"/>
      <c r="G56" s="63"/>
      <c r="H56" s="63"/>
    </row>
    <row r="57" spans="1:8">
      <c r="A57" s="100">
        <v>44920</v>
      </c>
      <c r="B57" s="106" t="s">
        <v>1175</v>
      </c>
      <c r="C57" s="106"/>
      <c r="D57" s="106" t="s">
        <v>1084</v>
      </c>
      <c r="E57" s="63">
        <v>-49.31</v>
      </c>
      <c r="F57" s="63"/>
      <c r="G57" s="63"/>
      <c r="H57" s="63"/>
    </row>
    <row r="58" spans="1:8">
      <c r="A58" s="100">
        <v>44894</v>
      </c>
      <c r="B58" s="3" t="s">
        <v>1296</v>
      </c>
      <c r="E58" s="63">
        <v>-182.4</v>
      </c>
      <c r="F58" s="63"/>
      <c r="G58" s="63"/>
      <c r="H58" s="63"/>
    </row>
    <row r="59" spans="1:8">
      <c r="A59" s="100"/>
      <c r="B59" s="8" t="s">
        <v>1297</v>
      </c>
      <c r="E59" s="63">
        <v>-74.900000000000006</v>
      </c>
      <c r="F59" s="63"/>
      <c r="G59" s="63"/>
      <c r="H59" s="63"/>
    </row>
    <row r="60" spans="1:8">
      <c r="A60" s="100">
        <v>44895</v>
      </c>
      <c r="B60" s="3" t="s">
        <v>1298</v>
      </c>
      <c r="E60" s="63">
        <v>-137.88999999999999</v>
      </c>
      <c r="F60" s="63"/>
      <c r="G60" s="63"/>
      <c r="H60" s="63"/>
    </row>
    <row r="61" spans="1:8">
      <c r="A61" s="100">
        <v>44897</v>
      </c>
      <c r="B61" s="106" t="s">
        <v>1299</v>
      </c>
      <c r="C61" s="106"/>
      <c r="D61" s="106"/>
      <c r="E61" s="63">
        <v>-200</v>
      </c>
      <c r="F61" s="63"/>
      <c r="G61" s="63"/>
      <c r="H61" s="63"/>
    </row>
    <row r="62" spans="1:8">
      <c r="A62" s="100">
        <v>44900</v>
      </c>
      <c r="B62" s="106" t="s">
        <v>409</v>
      </c>
      <c r="C62" s="106"/>
      <c r="D62" s="106"/>
      <c r="E62" s="63">
        <v>-142.63999999999999</v>
      </c>
      <c r="F62" s="63"/>
      <c r="G62" s="63"/>
      <c r="H62" s="63"/>
    </row>
    <row r="63" spans="1:8">
      <c r="A63" s="100">
        <v>44900</v>
      </c>
      <c r="B63" s="107" t="s">
        <v>1300</v>
      </c>
      <c r="C63" s="106"/>
      <c r="D63" s="106"/>
      <c r="E63" s="63">
        <v>-148.47</v>
      </c>
      <c r="F63" s="63"/>
      <c r="G63" s="63"/>
      <c r="H63" s="63"/>
    </row>
    <row r="64" spans="1:8">
      <c r="A64" s="100">
        <v>44901</v>
      </c>
      <c r="B64" s="107" t="s">
        <v>1301</v>
      </c>
      <c r="C64" s="106"/>
      <c r="D64" s="106"/>
      <c r="E64" s="63">
        <v>-142.77000000000001</v>
      </c>
      <c r="F64" s="63"/>
      <c r="G64" s="63"/>
      <c r="H64" s="63"/>
    </row>
    <row r="65" spans="1:8">
      <c r="A65" s="100">
        <v>44901</v>
      </c>
      <c r="B65" s="106" t="s">
        <v>1302</v>
      </c>
      <c r="C65" s="106"/>
      <c r="D65" s="106"/>
      <c r="E65" s="63">
        <v>-334.55</v>
      </c>
      <c r="F65" s="63"/>
      <c r="G65" s="63"/>
      <c r="H65" s="63"/>
    </row>
    <row r="66" spans="1:8">
      <c r="A66" s="100">
        <v>44901</v>
      </c>
      <c r="B66" s="106" t="s">
        <v>1303</v>
      </c>
      <c r="C66" s="106"/>
      <c r="D66" s="106"/>
      <c r="E66" s="63">
        <v>-148.75</v>
      </c>
      <c r="F66" s="63"/>
      <c r="G66" s="63"/>
      <c r="H66" s="63"/>
    </row>
    <row r="67" spans="1:8">
      <c r="A67" s="100">
        <v>44901</v>
      </c>
      <c r="B67" s="106" t="s">
        <v>1304</v>
      </c>
      <c r="C67" s="106"/>
      <c r="D67" s="106"/>
      <c r="E67" s="63">
        <v>-200</v>
      </c>
      <c r="F67" s="63"/>
      <c r="G67" s="63"/>
      <c r="H67" s="63"/>
    </row>
    <row r="68" spans="1:8">
      <c r="A68" s="100">
        <v>44903</v>
      </c>
      <c r="B68" s="106" t="s">
        <v>1305</v>
      </c>
      <c r="C68" s="106"/>
      <c r="D68" s="106"/>
      <c r="E68" s="63">
        <v>-223.23</v>
      </c>
      <c r="F68" s="63"/>
      <c r="G68" s="63"/>
      <c r="H68" s="63"/>
    </row>
    <row r="69" spans="1:8">
      <c r="A69" s="100">
        <v>44904</v>
      </c>
      <c r="B69" s="107" t="s">
        <v>1306</v>
      </c>
      <c r="C69" s="106"/>
      <c r="D69" s="106"/>
      <c r="E69" s="63">
        <v>-218.37</v>
      </c>
      <c r="F69" s="63"/>
      <c r="G69" s="63"/>
      <c r="H69" s="63"/>
    </row>
    <row r="70" spans="1:8">
      <c r="A70" s="100">
        <v>44905</v>
      </c>
      <c r="B70" s="107" t="s">
        <v>1307</v>
      </c>
      <c r="C70" s="106"/>
      <c r="D70" s="106"/>
      <c r="E70" s="63">
        <v>-209.35</v>
      </c>
      <c r="F70" s="63"/>
      <c r="G70" s="63"/>
      <c r="H70" s="63"/>
    </row>
    <row r="71" spans="1:8">
      <c r="A71" s="100">
        <v>44907</v>
      </c>
      <c r="B71" s="107" t="s">
        <v>1308</v>
      </c>
      <c r="E71" s="63">
        <v>-202.93</v>
      </c>
      <c r="F71" s="63"/>
      <c r="G71" s="63"/>
      <c r="H71" s="63"/>
    </row>
    <row r="72" spans="1:8">
      <c r="A72" s="100">
        <v>44909</v>
      </c>
      <c r="B72" s="107" t="s">
        <v>1309</v>
      </c>
      <c r="C72" s="106"/>
      <c r="D72" s="106"/>
      <c r="E72" s="63">
        <v>-167.75</v>
      </c>
      <c r="F72" s="63"/>
      <c r="G72" s="63"/>
      <c r="H72" s="63"/>
    </row>
    <row r="73" spans="1:8">
      <c r="A73" s="100">
        <v>44912</v>
      </c>
      <c r="B73" s="3" t="s">
        <v>1310</v>
      </c>
      <c r="E73" s="63">
        <v>-221.18</v>
      </c>
      <c r="F73" s="63"/>
      <c r="G73" s="63"/>
      <c r="H73" s="63"/>
    </row>
    <row r="74" spans="1:8">
      <c r="A74" s="100">
        <v>44913</v>
      </c>
      <c r="B74" s="106" t="s">
        <v>132</v>
      </c>
      <c r="C74" s="106"/>
      <c r="D74" s="106"/>
      <c r="E74" s="63">
        <v>-200</v>
      </c>
      <c r="F74" s="63"/>
      <c r="G74" s="63"/>
      <c r="H74" s="63"/>
    </row>
    <row r="75" spans="1:8">
      <c r="A75" s="100">
        <v>44913</v>
      </c>
      <c r="B75" s="106" t="s">
        <v>1311</v>
      </c>
      <c r="C75" s="106"/>
      <c r="D75" s="106"/>
      <c r="E75" s="63">
        <v>-268.73</v>
      </c>
      <c r="F75" s="63"/>
      <c r="G75" s="63"/>
      <c r="H75" s="63"/>
    </row>
    <row r="76" spans="1:8">
      <c r="A76" s="100">
        <v>44913</v>
      </c>
      <c r="B76" s="106" t="s">
        <v>1312</v>
      </c>
      <c r="C76" s="106"/>
      <c r="D76" s="106"/>
      <c r="E76" s="63">
        <v>-140.9</v>
      </c>
      <c r="F76" s="63"/>
      <c r="G76" s="63"/>
      <c r="H76" s="63"/>
    </row>
    <row r="77" spans="1:8">
      <c r="A77" s="100">
        <v>44914</v>
      </c>
      <c r="B77" s="3" t="s">
        <v>1313</v>
      </c>
      <c r="C77" s="106"/>
      <c r="D77" s="106"/>
      <c r="E77" s="63">
        <v>-138.4</v>
      </c>
      <c r="F77" s="63"/>
      <c r="G77" s="63"/>
      <c r="H77" s="63"/>
    </row>
    <row r="78" spans="1:8">
      <c r="A78" s="100">
        <v>44915</v>
      </c>
      <c r="B78" s="3" t="s">
        <v>1314</v>
      </c>
      <c r="C78" s="106"/>
      <c r="D78" s="106"/>
      <c r="E78" s="63">
        <v>-277.5</v>
      </c>
      <c r="F78" s="63"/>
      <c r="G78" s="63"/>
      <c r="H78" s="63"/>
    </row>
    <row r="79" spans="1:8">
      <c r="A79" s="100">
        <v>44916</v>
      </c>
      <c r="B79" s="3" t="s">
        <v>1315</v>
      </c>
      <c r="C79" s="106"/>
      <c r="D79" s="106"/>
      <c r="E79" s="63">
        <v>-166.62</v>
      </c>
      <c r="F79" s="63"/>
      <c r="G79" s="63"/>
      <c r="H79" s="63"/>
    </row>
    <row r="80" spans="1:8">
      <c r="A80" s="100">
        <v>44917</v>
      </c>
      <c r="B80" s="106" t="s">
        <v>391</v>
      </c>
      <c r="C80" s="106"/>
      <c r="D80" s="106"/>
      <c r="E80" s="63">
        <v>-90</v>
      </c>
      <c r="F80" s="63"/>
      <c r="G80" s="63"/>
      <c r="H80" s="63"/>
    </row>
    <row r="81" spans="1:8">
      <c r="A81" s="100">
        <v>44918</v>
      </c>
      <c r="B81" s="3" t="s">
        <v>1316</v>
      </c>
      <c r="C81" s="106"/>
      <c r="D81" s="106"/>
      <c r="E81" s="63">
        <v>-192</v>
      </c>
      <c r="F81" s="63"/>
      <c r="G81" s="63"/>
      <c r="H81" s="63"/>
    </row>
    <row r="82" spans="1:8">
      <c r="A82" s="100"/>
      <c r="B82" s="3"/>
      <c r="C82" s="106"/>
      <c r="D82" s="106"/>
      <c r="E82" s="163"/>
      <c r="F82" s="63"/>
      <c r="G82" s="63"/>
      <c r="H82" s="63"/>
    </row>
    <row r="83" spans="1:8">
      <c r="A83" s="100"/>
      <c r="B83" s="3"/>
      <c r="C83" s="106"/>
      <c r="D83" s="106"/>
      <c r="E83" s="163"/>
      <c r="F83" s="63"/>
      <c r="G83" s="63"/>
      <c r="H83" s="63"/>
    </row>
    <row r="84" spans="1:8">
      <c r="A84" s="100"/>
      <c r="B84" s="3"/>
      <c r="C84" s="106"/>
      <c r="D84" s="106"/>
      <c r="E84" s="163"/>
      <c r="F84" s="63"/>
      <c r="G84" s="63"/>
      <c r="H84" s="63"/>
    </row>
    <row r="85" spans="1:8">
      <c r="A85" s="100"/>
      <c r="B85" s="3"/>
      <c r="C85" s="106"/>
      <c r="D85" s="106"/>
      <c r="E85" s="163"/>
      <c r="F85" s="63"/>
      <c r="G85" s="63"/>
      <c r="H85" s="63"/>
    </row>
    <row r="86" spans="1:8">
      <c r="A86" s="100"/>
      <c r="B86" s="3"/>
      <c r="C86" s="106"/>
      <c r="D86" s="106"/>
      <c r="E86" s="163"/>
      <c r="F86" s="63"/>
      <c r="G86" s="63"/>
      <c r="H86" s="63"/>
    </row>
    <row r="87" spans="1:8">
      <c r="A87" s="100"/>
      <c r="B87" s="3"/>
      <c r="C87" s="106"/>
      <c r="D87" s="106"/>
      <c r="E87" s="163"/>
      <c r="F87" s="63"/>
      <c r="G87" s="63"/>
      <c r="H87" s="63"/>
    </row>
    <row r="88" spans="1:8">
      <c r="A88" s="100"/>
      <c r="B88" s="3"/>
      <c r="C88" s="106"/>
      <c r="D88" s="106"/>
      <c r="E88" s="163"/>
      <c r="F88" s="63"/>
      <c r="G88" s="63"/>
      <c r="H88" s="63"/>
    </row>
    <row r="89" spans="1:8">
      <c r="A89" s="100"/>
      <c r="B89" s="3"/>
      <c r="C89" s="106"/>
      <c r="D89" s="106"/>
      <c r="E89" s="163"/>
      <c r="F89" s="63"/>
      <c r="G89" s="63"/>
      <c r="H89" s="63"/>
    </row>
    <row r="90" spans="1:8">
      <c r="A90" s="100"/>
      <c r="B90" s="3"/>
      <c r="C90" s="106"/>
      <c r="D90" s="106"/>
      <c r="E90" s="163"/>
      <c r="F90" s="63"/>
      <c r="G90" s="63"/>
      <c r="H90" s="63"/>
    </row>
    <row r="91" spans="1:8">
      <c r="A91" s="100"/>
      <c r="B91" s="3"/>
      <c r="C91" s="106"/>
      <c r="D91" s="106"/>
      <c r="E91" s="163"/>
      <c r="F91" s="63"/>
      <c r="G91" s="63"/>
      <c r="H91" s="63"/>
    </row>
    <row r="92" spans="1:8">
      <c r="A92" s="100"/>
      <c r="B92" s="3"/>
      <c r="C92" s="106"/>
      <c r="D92" s="106"/>
      <c r="E92" s="163"/>
      <c r="F92" s="63"/>
      <c r="G92" s="63"/>
      <c r="H92" s="63"/>
    </row>
    <row r="93" spans="1:8">
      <c r="A93" s="100"/>
      <c r="B93" s="3"/>
      <c r="C93" s="106"/>
      <c r="D93" s="106"/>
      <c r="E93" s="163"/>
      <c r="F93" s="63"/>
      <c r="G93" s="63"/>
      <c r="H93" s="63"/>
    </row>
    <row r="94" spans="1:8">
      <c r="A94" s="100"/>
      <c r="B94" s="3"/>
      <c r="C94" s="106"/>
      <c r="D94" s="106"/>
      <c r="E94" s="163"/>
      <c r="F94" s="63"/>
      <c r="G94" s="63"/>
      <c r="H94" s="63"/>
    </row>
    <row r="95" spans="1:8">
      <c r="A95" s="100"/>
      <c r="B95" s="3"/>
      <c r="C95" s="106"/>
      <c r="D95" s="106"/>
      <c r="E95" s="163"/>
      <c r="F95" s="63"/>
      <c r="G95" s="63"/>
      <c r="H95" s="63"/>
    </row>
    <row r="96" spans="1:8">
      <c r="A96" s="100"/>
      <c r="B96" s="3"/>
      <c r="C96" s="106"/>
      <c r="D96" s="106"/>
      <c r="E96" s="163"/>
      <c r="F96" s="63"/>
      <c r="G96" s="63"/>
      <c r="H96" s="63"/>
    </row>
    <row r="97" spans="1:8">
      <c r="A97" s="100"/>
      <c r="B97" s="3"/>
      <c r="C97" s="106"/>
      <c r="D97" s="106"/>
      <c r="E97" s="163"/>
      <c r="F97" s="63"/>
      <c r="G97" s="63"/>
      <c r="H97" s="63"/>
    </row>
    <row r="98" spans="1:8">
      <c r="A98" s="100"/>
      <c r="B98" s="3"/>
      <c r="C98" s="106"/>
      <c r="D98" s="106"/>
      <c r="E98" s="163"/>
      <c r="F98" s="63"/>
      <c r="G98" s="63"/>
      <c r="H98" s="63"/>
    </row>
    <row r="99" spans="1:8">
      <c r="A99" s="100"/>
      <c r="B99" s="3"/>
      <c r="C99" s="106"/>
      <c r="D99" s="106"/>
      <c r="E99" s="163"/>
      <c r="F99" s="63"/>
      <c r="G99" s="63"/>
      <c r="H99" s="63"/>
    </row>
    <row r="100" spans="1:8">
      <c r="A100" s="100"/>
      <c r="B100" s="3"/>
      <c r="C100" s="106"/>
      <c r="D100" s="106"/>
      <c r="E100" s="163"/>
      <c r="F100" s="63"/>
      <c r="G100" s="63"/>
      <c r="H100" s="63"/>
    </row>
    <row r="101" spans="1:8">
      <c r="A101" s="100"/>
      <c r="B101" s="3"/>
      <c r="C101" s="106"/>
      <c r="D101" s="106"/>
      <c r="E101" s="163"/>
      <c r="F101" s="63"/>
      <c r="G101" s="63"/>
      <c r="H101" s="63"/>
    </row>
    <row r="102" spans="1:8">
      <c r="A102" s="100"/>
      <c r="B102" s="3"/>
      <c r="C102" s="106"/>
      <c r="D102" s="106"/>
      <c r="E102" s="163"/>
      <c r="F102" s="63"/>
      <c r="G102" s="63"/>
      <c r="H102" s="63"/>
    </row>
    <row r="103" spans="1:8">
      <c r="A103" s="100"/>
      <c r="B103" s="3"/>
      <c r="C103" s="106"/>
      <c r="D103" s="106"/>
      <c r="E103" s="163"/>
      <c r="F103" s="63"/>
      <c r="G103" s="63"/>
      <c r="H103" s="63"/>
    </row>
    <row r="104" spans="1:8">
      <c r="A104" s="100"/>
      <c r="B104" s="3"/>
      <c r="C104" s="106"/>
      <c r="D104" s="106"/>
      <c r="E104" s="163"/>
      <c r="F104" s="63"/>
      <c r="G104" s="63"/>
      <c r="H104" s="63"/>
    </row>
    <row r="105" spans="1:8">
      <c r="A105" s="100"/>
      <c r="B105" s="3"/>
      <c r="C105" s="106"/>
      <c r="D105" s="106"/>
      <c r="E105" s="163"/>
      <c r="F105" s="63"/>
      <c r="G105" s="63"/>
      <c r="H105" s="63"/>
    </row>
    <row r="106" spans="1:8">
      <c r="A106" s="100"/>
      <c r="B106" s="3"/>
      <c r="C106" s="106"/>
      <c r="D106" s="106"/>
      <c r="E106" s="163"/>
      <c r="F106" s="63"/>
      <c r="G106" s="63"/>
      <c r="H106" s="63"/>
    </row>
    <row r="107" spans="1:8">
      <c r="A107" s="100"/>
      <c r="B107" s="3"/>
      <c r="C107" s="106"/>
      <c r="D107" s="106"/>
      <c r="E107" s="163"/>
      <c r="F107" s="63"/>
      <c r="G107" s="63"/>
      <c r="H107" s="63"/>
    </row>
    <row r="108" spans="1:8">
      <c r="A108" s="100"/>
      <c r="B108" s="3"/>
      <c r="C108" s="106"/>
      <c r="D108" s="106"/>
      <c r="E108" s="163"/>
      <c r="F108" s="63"/>
      <c r="G108" s="63"/>
      <c r="H108" s="63"/>
    </row>
    <row r="109" spans="1:8">
      <c r="A109" s="100"/>
      <c r="B109" s="3"/>
      <c r="C109" s="106"/>
      <c r="D109" s="106"/>
      <c r="E109" s="163"/>
      <c r="F109" s="63"/>
      <c r="G109" s="63"/>
      <c r="H109" s="63"/>
    </row>
    <row r="111" spans="1:8">
      <c r="A111" s="103"/>
      <c r="B111" s="104" t="s">
        <v>1317</v>
      </c>
      <c r="C111" s="103"/>
      <c r="D111" s="158"/>
      <c r="E111" s="159">
        <f>SUM(E112:E119)</f>
        <v>356022.27</v>
      </c>
    </row>
    <row r="112" spans="1:8">
      <c r="A112" s="100">
        <v>45291</v>
      </c>
      <c r="B112" s="8" t="s">
        <v>77</v>
      </c>
      <c r="E112">
        <v>32000</v>
      </c>
    </row>
    <row r="113" spans="1:5">
      <c r="A113" s="100">
        <v>45291</v>
      </c>
      <c r="B113" s="8" t="s">
        <v>78</v>
      </c>
      <c r="E113">
        <v>40000</v>
      </c>
    </row>
    <row r="114" spans="1:5">
      <c r="A114" s="100">
        <v>45291</v>
      </c>
      <c r="B114" s="8" t="s">
        <v>300</v>
      </c>
      <c r="E114">
        <v>40162.18</v>
      </c>
    </row>
    <row r="115" spans="1:5">
      <c r="A115" s="100">
        <v>45291</v>
      </c>
      <c r="B115" s="8" t="s">
        <v>301</v>
      </c>
      <c r="E115">
        <v>44912.09</v>
      </c>
    </row>
    <row r="116" spans="1:5">
      <c r="A116" s="100">
        <v>45291</v>
      </c>
      <c r="B116" s="8" t="s">
        <v>805</v>
      </c>
      <c r="C116">
        <v>1093</v>
      </c>
      <c r="D116">
        <v>111</v>
      </c>
      <c r="E116" s="8">
        <f>D116*C116</f>
        <v>121323</v>
      </c>
    </row>
    <row r="117" spans="1:5">
      <c r="A117" s="100">
        <v>45291</v>
      </c>
      <c r="B117" s="8" t="s">
        <v>806</v>
      </c>
      <c r="C117">
        <v>18.5</v>
      </c>
      <c r="D117">
        <v>850</v>
      </c>
      <c r="E117" s="8">
        <f>D117*C117</f>
        <v>15725</v>
      </c>
    </row>
    <row r="118" spans="1:5">
      <c r="A118" s="100">
        <v>45291</v>
      </c>
      <c r="B118" s="8" t="s">
        <v>807</v>
      </c>
      <c r="C118">
        <v>19</v>
      </c>
      <c r="D118">
        <v>100</v>
      </c>
      <c r="E118" s="8">
        <f>D118*C118</f>
        <v>1900</v>
      </c>
    </row>
    <row r="119" spans="1:5">
      <c r="A119" s="100">
        <v>45291</v>
      </c>
      <c r="B119" s="8" t="s">
        <v>808</v>
      </c>
      <c r="E119">
        <v>60000</v>
      </c>
    </row>
    <row r="120" spans="1:5">
      <c r="B120" t="s">
        <v>1318</v>
      </c>
      <c r="E120" s="63">
        <f>H2</f>
        <v>-14998.419999999998</v>
      </c>
    </row>
    <row r="122" spans="1:5">
      <c r="D122" s="18" t="s">
        <v>155</v>
      </c>
      <c r="E122" s="8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N18"/>
  <sheetViews>
    <sheetView zoomScale="170" zoomScaleNormal="170" workbookViewId="0">
      <selection activeCell="E1" sqref="E1"/>
    </sheetView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5" width="13.5703125" customWidth="1"/>
    <col min="6" max="6" width="15.5703125" customWidth="1"/>
    <col min="7" max="7" width="15.42578125" customWidth="1"/>
    <col min="8" max="8" width="0.85546875" customWidth="1"/>
    <col min="9" max="9" width="5.42578125" customWidth="1"/>
    <col min="10" max="10" width="5.8554687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334">
        <v>0.23471</v>
      </c>
      <c r="L1" s="334">
        <f>1-K1</f>
        <v>0.76529000000000003</v>
      </c>
      <c r="M1" s="335"/>
      <c r="N1" s="26" t="s">
        <v>26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335" t="s">
        <v>797</v>
      </c>
      <c r="L2" s="335" t="s">
        <v>798</v>
      </c>
      <c r="M2" s="335" t="s">
        <v>32</v>
      </c>
      <c r="N2" s="26" t="s">
        <v>1319</v>
      </c>
    </row>
    <row r="3" spans="1:14">
      <c r="A3" t="s">
        <v>33</v>
      </c>
      <c r="B3" s="213">
        <f>'22_1'!D2</f>
        <v>7333.3</v>
      </c>
      <c r="C3" s="214">
        <f>'22_1'!E2</f>
        <v>-6834.05</v>
      </c>
      <c r="D3" s="215">
        <f>B3+C3</f>
        <v>499.25</v>
      </c>
      <c r="E3" s="213">
        <f>'22_1'!F2</f>
        <v>46462.64</v>
      </c>
      <c r="F3" s="214">
        <f>'22_1'!G2</f>
        <v>-6834.05</v>
      </c>
      <c r="G3" s="216">
        <f>E3+F3</f>
        <v>39628.589999999997</v>
      </c>
      <c r="H3" s="34"/>
      <c r="I3" s="35" t="s">
        <v>34</v>
      </c>
      <c r="J3">
        <v>36</v>
      </c>
      <c r="M3" s="2">
        <v>36</v>
      </c>
    </row>
    <row r="4" spans="1:14">
      <c r="A4" t="s">
        <v>35</v>
      </c>
      <c r="B4" s="213">
        <f>'22_2'!D2</f>
        <v>10567.09</v>
      </c>
      <c r="C4" s="214">
        <f>'22_2'!E2</f>
        <v>-21938.15</v>
      </c>
      <c r="D4" s="215">
        <f t="shared" ref="D4:D14" si="0">B4+C4+D3</f>
        <v>-10871.810000000001</v>
      </c>
      <c r="E4" s="213">
        <f>'22_2'!F2</f>
        <v>11567.09</v>
      </c>
      <c r="F4" s="214">
        <f>'22_2'!G2</f>
        <v>-21938.15</v>
      </c>
      <c r="G4" s="216">
        <f t="shared" ref="G4:G14" si="1">E4+F4+G3</f>
        <v>29257.529999999995</v>
      </c>
      <c r="H4" s="34"/>
      <c r="I4" s="35" t="s">
        <v>38</v>
      </c>
      <c r="J4">
        <v>19.8</v>
      </c>
      <c r="M4" s="2">
        <v>19.8</v>
      </c>
    </row>
    <row r="5" spans="1:14">
      <c r="A5" t="s">
        <v>37</v>
      </c>
      <c r="B5" s="213">
        <f>'03'!D2</f>
        <v>36859.61</v>
      </c>
      <c r="C5" s="214">
        <f>'03'!E2</f>
        <v>-30109.3</v>
      </c>
      <c r="D5" s="215">
        <f t="shared" si="0"/>
        <v>-4121.5</v>
      </c>
      <c r="E5" s="213">
        <f>'03'!F2</f>
        <v>35859.61</v>
      </c>
      <c r="F5" s="214">
        <f>'03'!G2</f>
        <v>-30109.3</v>
      </c>
      <c r="G5" s="216">
        <f t="shared" si="1"/>
        <v>35007.839999999997</v>
      </c>
      <c r="H5" s="34"/>
      <c r="I5" s="35" t="s">
        <v>76</v>
      </c>
      <c r="N5" s="2">
        <v>46.1</v>
      </c>
    </row>
    <row r="6" spans="1:14">
      <c r="A6" t="s">
        <v>39</v>
      </c>
      <c r="B6" s="213">
        <f>'04'!D2</f>
        <v>15937.59</v>
      </c>
      <c r="C6" s="214">
        <f>'04'!E2</f>
        <v>-11790.68</v>
      </c>
      <c r="D6" s="215">
        <f t="shared" si="0"/>
        <v>25.409999999999854</v>
      </c>
      <c r="E6" s="213">
        <f>'04'!F2</f>
        <v>17940.28</v>
      </c>
      <c r="F6" s="214">
        <f>'04'!G2</f>
        <v>-11140.68</v>
      </c>
      <c r="G6" s="216">
        <f t="shared" si="1"/>
        <v>41807.439999999995</v>
      </c>
      <c r="H6" s="34"/>
      <c r="I6" s="35" t="s">
        <v>48</v>
      </c>
      <c r="J6">
        <v>60</v>
      </c>
      <c r="M6" s="2">
        <v>6.5</v>
      </c>
    </row>
    <row r="7" spans="1:14">
      <c r="A7" t="s">
        <v>41</v>
      </c>
      <c r="B7" s="213">
        <f>'05'!D2</f>
        <v>11328.34</v>
      </c>
      <c r="C7" s="214">
        <f>'05'!E2</f>
        <v>-7712.66</v>
      </c>
      <c r="D7" s="215">
        <f t="shared" si="0"/>
        <v>3641.09</v>
      </c>
      <c r="E7" s="213">
        <f>'05'!F2</f>
        <v>9522.369999999999</v>
      </c>
      <c r="F7" s="214">
        <f>'05'!G2</f>
        <v>-7722.66</v>
      </c>
      <c r="G7" s="216">
        <f t="shared" si="1"/>
        <v>43607.149999999994</v>
      </c>
      <c r="H7" s="34"/>
      <c r="I7" s="35" t="s">
        <v>1320</v>
      </c>
      <c r="J7">
        <v>95</v>
      </c>
      <c r="M7" s="2">
        <v>23.75</v>
      </c>
    </row>
    <row r="8" spans="1:14">
      <c r="A8" t="s">
        <v>1321</v>
      </c>
      <c r="B8" s="213">
        <f>'06'!D2</f>
        <v>17837.05</v>
      </c>
      <c r="C8" s="214">
        <f>'06'!E2</f>
        <v>-28058.100000000002</v>
      </c>
      <c r="D8" s="215">
        <f t="shared" si="0"/>
        <v>-6579.9600000000028</v>
      </c>
      <c r="E8" s="213">
        <f>'06'!F2</f>
        <v>16654.189999999999</v>
      </c>
      <c r="F8" s="214">
        <f>'06'!G2</f>
        <v>-28058.1</v>
      </c>
      <c r="G8" s="216">
        <f t="shared" si="1"/>
        <v>32203.239999999994</v>
      </c>
      <c r="H8" s="34"/>
    </row>
    <row r="9" spans="1:14">
      <c r="A9" t="s">
        <v>1322</v>
      </c>
      <c r="B9" s="213">
        <f>'07'!D2</f>
        <v>27131.070000000003</v>
      </c>
      <c r="C9" s="214">
        <f>'07'!E2</f>
        <v>-17400.82</v>
      </c>
      <c r="D9" s="215">
        <f t="shared" si="0"/>
        <v>3150.2900000000009</v>
      </c>
      <c r="E9" s="213">
        <f>'07'!F2</f>
        <v>16133.3</v>
      </c>
      <c r="F9" s="214">
        <f>'07'!G2</f>
        <v>-20600.82</v>
      </c>
      <c r="G9" s="216">
        <f t="shared" si="1"/>
        <v>27735.719999999994</v>
      </c>
      <c r="H9" s="34"/>
      <c r="I9" s="35" t="s">
        <v>52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1323</v>
      </c>
      <c r="B10" s="213">
        <f>'08'!D2</f>
        <v>34617.910000000003</v>
      </c>
      <c r="C10" s="214">
        <f>'08'!E2</f>
        <v>-11695.349999999999</v>
      </c>
      <c r="D10" s="215">
        <f t="shared" si="0"/>
        <v>26072.850000000006</v>
      </c>
      <c r="E10" s="213">
        <f>'08'!F2</f>
        <v>102061.66</v>
      </c>
      <c r="F10" s="214">
        <f>'08'!G2</f>
        <v>-33894.33</v>
      </c>
      <c r="G10" s="216">
        <f t="shared" si="1"/>
        <v>95903.049999999988</v>
      </c>
      <c r="H10" s="34"/>
      <c r="I10" s="35" t="s">
        <v>56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49</v>
      </c>
      <c r="B11" s="213">
        <f>'09'!D2</f>
        <v>66162.31</v>
      </c>
      <c r="C11" s="214">
        <f>'09'!E2</f>
        <v>-61978.720000000001</v>
      </c>
      <c r="D11" s="215">
        <f t="shared" si="0"/>
        <v>30256.440000000002</v>
      </c>
      <c r="E11" s="213">
        <f>'09'!F2</f>
        <v>9260.5</v>
      </c>
      <c r="F11" s="214">
        <f>'09'!G2</f>
        <v>-25729.239999999998</v>
      </c>
      <c r="G11" s="216">
        <f t="shared" si="1"/>
        <v>79434.31</v>
      </c>
      <c r="H11" s="34"/>
      <c r="I11" s="35" t="s">
        <v>54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51</v>
      </c>
      <c r="B12" s="213">
        <f>'10'!D2</f>
        <v>23872.199999999997</v>
      </c>
      <c r="C12" s="214">
        <f>'10'!E2</f>
        <v>-33587.82</v>
      </c>
      <c r="D12" s="215">
        <f t="shared" si="0"/>
        <v>20540.82</v>
      </c>
      <c r="E12" s="213">
        <f>'10'!F2</f>
        <v>79418.41</v>
      </c>
      <c r="F12" s="214">
        <f>'10'!G2</f>
        <v>-90424.320000000007</v>
      </c>
      <c r="G12" s="216">
        <f t="shared" si="1"/>
        <v>68428.399999999994</v>
      </c>
      <c r="H12" s="34"/>
      <c r="I12" s="35" t="s">
        <v>46</v>
      </c>
      <c r="J12">
        <v>45</v>
      </c>
      <c r="K12" s="2">
        <f t="shared" si="2"/>
        <v>10.56195</v>
      </c>
      <c r="L12" s="2">
        <f t="shared" si="3"/>
        <v>34.438050000000004</v>
      </c>
      <c r="N12" s="336">
        <f>L15+M15+N15</f>
        <v>400.76679000000001</v>
      </c>
    </row>
    <row r="13" spans="1:14">
      <c r="A13" t="s">
        <v>53</v>
      </c>
      <c r="B13" s="213">
        <f>'11'!D2</f>
        <v>179191.62</v>
      </c>
      <c r="C13" s="214">
        <f>'11'!E2</f>
        <v>-14175.82</v>
      </c>
      <c r="D13" s="215">
        <f t="shared" si="0"/>
        <v>185556.62</v>
      </c>
      <c r="E13" s="213">
        <f>'11'!F2</f>
        <v>178439.6</v>
      </c>
      <c r="F13" s="214">
        <f>'11'!G2</f>
        <v>-18452.8</v>
      </c>
      <c r="G13" s="216">
        <f t="shared" si="1"/>
        <v>228415.2</v>
      </c>
      <c r="H13" s="34"/>
      <c r="I13" s="35" t="s">
        <v>36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337">
        <f>N12/12</f>
        <v>33.397232500000001</v>
      </c>
    </row>
    <row r="14" spans="1:14">
      <c r="A14" t="s">
        <v>55</v>
      </c>
      <c r="B14" s="213">
        <f>'22_12'!D2</f>
        <v>15475.960000000001</v>
      </c>
      <c r="C14" s="214">
        <f>'22_12'!E2</f>
        <v>-16961.339999999997</v>
      </c>
      <c r="D14" s="215">
        <f t="shared" si="0"/>
        <v>184071.24</v>
      </c>
      <c r="E14" s="213">
        <f>'22_12'!F2</f>
        <v>22052.39</v>
      </c>
      <c r="F14" s="214">
        <f>'22_12'!G2</f>
        <v>-21692.25</v>
      </c>
      <c r="G14" s="216">
        <f t="shared" si="1"/>
        <v>228775.34000000003</v>
      </c>
      <c r="H14" s="34"/>
      <c r="I14" s="35" t="s">
        <v>50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6" t="s">
        <v>67</v>
      </c>
      <c r="B15" s="219">
        <f>SUM(B3:B14)</f>
        <v>446314.05000000005</v>
      </c>
      <c r="C15" s="220">
        <f>SUM(C3:C14)</f>
        <v>-262242.81000000006</v>
      </c>
      <c r="D15" s="338">
        <f>B15+C15</f>
        <v>184071.24</v>
      </c>
      <c r="E15" s="219">
        <f>SUM(E3:E14)</f>
        <v>545372.04</v>
      </c>
      <c r="F15" s="220">
        <f>SUM(F3:F14)</f>
        <v>-316596.7</v>
      </c>
      <c r="G15" s="338">
        <f>E15+F15</f>
        <v>228775.34000000003</v>
      </c>
      <c r="H15" s="34"/>
      <c r="I15" s="222"/>
      <c r="J15" s="222">
        <f>SUM(J9:J14)</f>
        <v>351</v>
      </c>
      <c r="K15" s="339">
        <f>SUM(K9:K14)</f>
        <v>82.383210000000005</v>
      </c>
      <c r="L15" s="339">
        <f>SUM(L9:L14)</f>
        <v>268.61678999999998</v>
      </c>
      <c r="M15" s="339">
        <f>SUM(M3:M14)</f>
        <v>86.05</v>
      </c>
      <c r="N15" s="339">
        <f>SUM(N3:N7)</f>
        <v>46.1</v>
      </c>
    </row>
    <row r="16" spans="1:14">
      <c r="A16" s="340">
        <v>12</v>
      </c>
      <c r="B16" s="341">
        <f>B15/A16</f>
        <v>37192.837500000001</v>
      </c>
      <c r="C16" s="342">
        <f>C15/A16</f>
        <v>-21853.567500000005</v>
      </c>
      <c r="D16" s="342"/>
      <c r="E16" s="342">
        <f>E15/A16</f>
        <v>45447.670000000006</v>
      </c>
      <c r="F16" s="342">
        <f>F15/A16</f>
        <v>-26383.058333333334</v>
      </c>
      <c r="G16" s="342">
        <f>G15/A16</f>
        <v>19064.611666666668</v>
      </c>
      <c r="H16" s="56"/>
      <c r="I16" s="224"/>
      <c r="J16" s="342">
        <f>J15/12</f>
        <v>29.25</v>
      </c>
      <c r="K16" s="342">
        <f>K15/12</f>
        <v>6.8652675000000007</v>
      </c>
      <c r="L16" s="342">
        <f>L15/12</f>
        <v>22.384732499999998</v>
      </c>
      <c r="M16" s="342">
        <f>M15/12</f>
        <v>7.1708333333333334</v>
      </c>
      <c r="N16" s="342">
        <f>N15/12</f>
        <v>3.8416666666666668</v>
      </c>
    </row>
    <row r="17" spans="3:10">
      <c r="C17" s="2"/>
      <c r="D17" s="2"/>
      <c r="G17" s="63"/>
      <c r="H17" s="63"/>
      <c r="I17" s="35"/>
    </row>
    <row r="18" spans="3:10">
      <c r="J18" s="3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H76"/>
  <sheetViews>
    <sheetView topLeftCell="A43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89"/>
      <c r="F1" s="189" t="s">
        <v>28</v>
      </c>
      <c r="G1" s="343" t="s">
        <v>29</v>
      </c>
      <c r="H1" s="189" t="s">
        <v>3</v>
      </c>
    </row>
    <row r="2" spans="1:8">
      <c r="A2" s="3" t="s">
        <v>1324</v>
      </c>
      <c r="C2" s="79" t="s">
        <v>67</v>
      </c>
      <c r="D2" s="306">
        <f>SUM(D11:D62)</f>
        <v>15475.960000000001</v>
      </c>
      <c r="E2" s="306">
        <f>SUM(E11:E94)</f>
        <v>-16961.339999999997</v>
      </c>
      <c r="F2" s="306">
        <f>SUM(F11:F92)</f>
        <v>22052.39</v>
      </c>
      <c r="G2" s="344">
        <f>SUM(G11:G92)</f>
        <v>-21692.25</v>
      </c>
      <c r="H2" s="306">
        <f>F2+G2</f>
        <v>360.13999999999942</v>
      </c>
    </row>
    <row r="3" spans="1:8">
      <c r="B3" s="18"/>
      <c r="H3" s="63"/>
    </row>
    <row r="4" spans="1:8">
      <c r="B4" s="18"/>
      <c r="H4" s="63">
        <f>H3+F11+G11</f>
        <v>680</v>
      </c>
    </row>
    <row r="5" spans="1:8">
      <c r="A5" s="100">
        <v>44897</v>
      </c>
      <c r="B5" s="101" t="s">
        <v>1325</v>
      </c>
      <c r="C5" s="101"/>
      <c r="D5" s="101"/>
      <c r="E5" s="63">
        <v>-200</v>
      </c>
      <c r="G5" s="2">
        <v>-214</v>
      </c>
      <c r="H5" s="63">
        <f t="shared" ref="H5:H36" si="0">H4+F5+G5</f>
        <v>466</v>
      </c>
    </row>
    <row r="6" spans="1:8">
      <c r="A6" s="100">
        <v>44897</v>
      </c>
      <c r="B6" s="101" t="s">
        <v>1326</v>
      </c>
      <c r="C6" s="101"/>
      <c r="D6" s="101"/>
      <c r="E6" s="63">
        <v>-400</v>
      </c>
      <c r="G6" s="2">
        <v>-491</v>
      </c>
      <c r="H6" s="63">
        <f t="shared" si="0"/>
        <v>-25</v>
      </c>
    </row>
    <row r="7" spans="1:8">
      <c r="B7" s="106"/>
      <c r="C7" s="106"/>
      <c r="D7" s="106"/>
      <c r="E7" s="63"/>
      <c r="H7" s="63">
        <f t="shared" si="0"/>
        <v>-25</v>
      </c>
    </row>
    <row r="8" spans="1:8">
      <c r="A8" s="100">
        <v>44902</v>
      </c>
      <c r="B8" s="101" t="s">
        <v>1327</v>
      </c>
      <c r="C8" s="101"/>
      <c r="D8" s="101"/>
      <c r="E8" s="63">
        <v>-4300</v>
      </c>
      <c r="G8" s="2">
        <v>-4300</v>
      </c>
      <c r="H8" s="63">
        <f t="shared" si="0"/>
        <v>-4325</v>
      </c>
    </row>
    <row r="9" spans="1:8">
      <c r="A9" s="100">
        <v>44902</v>
      </c>
      <c r="B9" s="101" t="s">
        <v>1328</v>
      </c>
      <c r="C9" s="101"/>
      <c r="D9" s="101"/>
      <c r="E9" s="63">
        <v>-496.5</v>
      </c>
      <c r="G9" s="2">
        <v>-496.5</v>
      </c>
      <c r="H9" s="63">
        <f t="shared" si="0"/>
        <v>-4821.5</v>
      </c>
    </row>
    <row r="10" spans="1:8">
      <c r="B10" s="18"/>
      <c r="H10" s="63">
        <f t="shared" si="0"/>
        <v>-4821.5</v>
      </c>
    </row>
    <row r="11" spans="1:8">
      <c r="B11" s="35" t="s">
        <v>1329</v>
      </c>
      <c r="D11">
        <v>693.79</v>
      </c>
      <c r="F11" s="63">
        <v>680</v>
      </c>
      <c r="H11" s="63">
        <f t="shared" si="0"/>
        <v>-4141.5</v>
      </c>
    </row>
    <row r="12" spans="1:8">
      <c r="B12" s="35" t="s">
        <v>329</v>
      </c>
      <c r="D12">
        <v>1399.75</v>
      </c>
      <c r="E12" s="63"/>
      <c r="F12" s="63">
        <v>1400</v>
      </c>
      <c r="H12" s="63">
        <f t="shared" si="0"/>
        <v>-2741.5</v>
      </c>
    </row>
    <row r="13" spans="1:8">
      <c r="B13" s="35" t="s">
        <v>330</v>
      </c>
      <c r="D13">
        <v>295.51</v>
      </c>
      <c r="E13" s="63"/>
      <c r="F13" s="63">
        <v>295</v>
      </c>
      <c r="H13" s="63">
        <f t="shared" si="0"/>
        <v>-2446.5</v>
      </c>
    </row>
    <row r="14" spans="1:8">
      <c r="B14" s="35" t="s">
        <v>1330</v>
      </c>
      <c r="D14">
        <v>200</v>
      </c>
      <c r="E14" s="63"/>
      <c r="F14" s="327">
        <v>100</v>
      </c>
      <c r="H14" s="63">
        <f t="shared" si="0"/>
        <v>-2346.5</v>
      </c>
    </row>
    <row r="15" spans="1:8">
      <c r="B15" s="35" t="s">
        <v>331</v>
      </c>
      <c r="D15">
        <v>1681.84</v>
      </c>
      <c r="E15" s="63"/>
      <c r="F15" s="63">
        <v>1680</v>
      </c>
      <c r="H15" s="63">
        <f t="shared" si="0"/>
        <v>-666.5</v>
      </c>
    </row>
    <row r="16" spans="1:8">
      <c r="B16" s="35" t="s">
        <v>332</v>
      </c>
      <c r="D16">
        <v>1087.68</v>
      </c>
      <c r="F16" s="63">
        <v>1080</v>
      </c>
      <c r="H16" s="63">
        <f t="shared" si="0"/>
        <v>413.5</v>
      </c>
    </row>
    <row r="17" spans="1:8">
      <c r="B17" s="35" t="s">
        <v>1331</v>
      </c>
      <c r="C17" s="106"/>
      <c r="D17" s="106">
        <v>200</v>
      </c>
      <c r="E17" s="63"/>
      <c r="F17" s="63">
        <v>200</v>
      </c>
      <c r="H17" s="63">
        <f t="shared" si="0"/>
        <v>613.5</v>
      </c>
    </row>
    <row r="18" spans="1:8">
      <c r="B18" s="35" t="s">
        <v>333</v>
      </c>
      <c r="C18" s="106"/>
      <c r="D18" s="106">
        <v>217.89</v>
      </c>
      <c r="E18" s="63"/>
      <c r="F18" s="63">
        <v>217.89</v>
      </c>
      <c r="H18" s="63">
        <f t="shared" si="0"/>
        <v>831.39</v>
      </c>
    </row>
    <row r="19" spans="1:8">
      <c r="B19" s="106" t="s">
        <v>1332</v>
      </c>
      <c r="C19" s="106"/>
      <c r="D19" s="106"/>
      <c r="E19" s="63">
        <v>-4516</v>
      </c>
      <c r="F19" s="63"/>
      <c r="G19" s="2">
        <v>-4516</v>
      </c>
      <c r="H19" s="63">
        <f t="shared" si="0"/>
        <v>-3684.61</v>
      </c>
    </row>
    <row r="20" spans="1:8">
      <c r="B20" s="106"/>
      <c r="C20" s="106"/>
      <c r="D20" s="106"/>
      <c r="E20" s="163"/>
      <c r="F20" s="63"/>
      <c r="H20" s="63">
        <f t="shared" si="0"/>
        <v>-3684.61</v>
      </c>
    </row>
    <row r="21" spans="1:8">
      <c r="A21" s="100">
        <v>44866</v>
      </c>
      <c r="B21" s="106" t="s">
        <v>1333</v>
      </c>
      <c r="C21" s="106"/>
      <c r="D21" s="106"/>
      <c r="E21" s="63">
        <v>-208.17</v>
      </c>
      <c r="F21" s="63"/>
      <c r="H21" s="63">
        <f t="shared" si="0"/>
        <v>-3684.61</v>
      </c>
    </row>
    <row r="22" spans="1:8">
      <c r="A22" s="100">
        <v>44871</v>
      </c>
      <c r="B22" s="106" t="s">
        <v>1334</v>
      </c>
      <c r="C22" s="106"/>
      <c r="D22" s="106"/>
      <c r="E22" s="63">
        <v>-151.65</v>
      </c>
      <c r="F22" s="63"/>
      <c r="H22" s="63">
        <f t="shared" si="0"/>
        <v>-3684.61</v>
      </c>
    </row>
    <row r="23" spans="1:8">
      <c r="A23" s="100">
        <v>44860</v>
      </c>
      <c r="B23" s="8" t="s">
        <v>1335</v>
      </c>
      <c r="E23" s="63">
        <v>-40</v>
      </c>
      <c r="F23" s="63"/>
      <c r="H23" s="63">
        <f t="shared" si="0"/>
        <v>-3684.61</v>
      </c>
    </row>
    <row r="24" spans="1:8">
      <c r="A24" s="100">
        <v>44868</v>
      </c>
      <c r="B24" s="107" t="s">
        <v>1336</v>
      </c>
      <c r="C24" s="106"/>
      <c r="D24" s="106"/>
      <c r="E24" s="63">
        <v>-173.67</v>
      </c>
      <c r="F24" s="63"/>
      <c r="H24" s="63">
        <f t="shared" si="0"/>
        <v>-3684.61</v>
      </c>
    </row>
    <row r="25" spans="1:8">
      <c r="A25" s="100">
        <v>44870</v>
      </c>
      <c r="B25" s="106" t="s">
        <v>1337</v>
      </c>
      <c r="C25" s="106"/>
      <c r="D25" s="106"/>
      <c r="E25" s="63">
        <v>-398.07</v>
      </c>
      <c r="F25" s="63"/>
      <c r="H25" s="63">
        <f t="shared" si="0"/>
        <v>-3684.61</v>
      </c>
    </row>
    <row r="26" spans="1:8">
      <c r="A26" s="100">
        <v>44873</v>
      </c>
      <c r="B26" s="8" t="s">
        <v>1338</v>
      </c>
      <c r="C26" s="106"/>
      <c r="D26" s="106"/>
      <c r="E26" s="63">
        <v>-1111.1099999999999</v>
      </c>
      <c r="F26" s="63"/>
      <c r="H26" s="63">
        <f t="shared" si="0"/>
        <v>-3684.61</v>
      </c>
    </row>
    <row r="27" spans="1:8">
      <c r="A27" s="100">
        <v>44888</v>
      </c>
      <c r="B27" s="8" t="s">
        <v>1339</v>
      </c>
      <c r="C27" s="106"/>
      <c r="D27" s="106"/>
      <c r="E27" s="63"/>
      <c r="F27" s="328">
        <v>1150</v>
      </c>
      <c r="H27" s="63">
        <f t="shared" si="0"/>
        <v>-2534.61</v>
      </c>
    </row>
    <row r="28" spans="1:8">
      <c r="A28" s="100">
        <v>44875</v>
      </c>
      <c r="B28" s="106" t="s">
        <v>1340</v>
      </c>
      <c r="C28" s="106"/>
      <c r="D28" s="106"/>
      <c r="E28" s="63">
        <v>-279.99</v>
      </c>
      <c r="F28" s="63"/>
      <c r="H28" s="63">
        <f t="shared" si="0"/>
        <v>-2534.61</v>
      </c>
    </row>
    <row r="29" spans="1:8">
      <c r="A29" s="100">
        <v>44875</v>
      </c>
      <c r="B29" s="106" t="s">
        <v>1341</v>
      </c>
      <c r="C29" s="106"/>
      <c r="D29" s="106"/>
      <c r="E29" s="63">
        <v>-89</v>
      </c>
      <c r="F29" s="63"/>
      <c r="H29" s="63">
        <f t="shared" si="0"/>
        <v>-2534.61</v>
      </c>
    </row>
    <row r="30" spans="1:8">
      <c r="A30" s="100">
        <v>44875</v>
      </c>
      <c r="B30" s="106" t="s">
        <v>1342</v>
      </c>
      <c r="C30" s="106"/>
      <c r="D30" s="106"/>
      <c r="E30" s="63">
        <v>-189.9</v>
      </c>
      <c r="F30" s="63"/>
      <c r="H30" s="63">
        <f t="shared" si="0"/>
        <v>-2534.61</v>
      </c>
    </row>
    <row r="31" spans="1:8">
      <c r="A31" s="100">
        <v>44875</v>
      </c>
      <c r="B31" s="106" t="s">
        <v>1343</v>
      </c>
      <c r="C31" s="106"/>
      <c r="D31" s="106"/>
      <c r="E31" s="63">
        <v>-2146.5</v>
      </c>
      <c r="F31" s="63"/>
      <c r="H31" s="63">
        <f t="shared" si="0"/>
        <v>-2534.61</v>
      </c>
    </row>
    <row r="32" spans="1:8">
      <c r="A32" s="100">
        <v>44875</v>
      </c>
      <c r="B32" s="106" t="s">
        <v>1343</v>
      </c>
      <c r="C32" s="106"/>
      <c r="D32" s="106"/>
      <c r="E32" s="63">
        <v>-275</v>
      </c>
      <c r="F32" s="63"/>
      <c r="H32" s="63">
        <f t="shared" si="0"/>
        <v>-2534.61</v>
      </c>
    </row>
    <row r="33" spans="1:8">
      <c r="A33" s="100">
        <v>44877</v>
      </c>
      <c r="B33" s="107" t="s">
        <v>1344</v>
      </c>
      <c r="C33" s="106"/>
      <c r="D33" s="106"/>
      <c r="E33" s="63">
        <v>-189.66</v>
      </c>
      <c r="F33" s="63"/>
      <c r="H33" s="63">
        <f t="shared" si="0"/>
        <v>-2534.61</v>
      </c>
    </row>
    <row r="34" spans="1:8">
      <c r="A34" s="100">
        <v>44879</v>
      </c>
      <c r="B34" s="106" t="s">
        <v>1345</v>
      </c>
      <c r="C34" s="106"/>
      <c r="D34" s="106"/>
      <c r="E34" s="63">
        <v>-1720</v>
      </c>
      <c r="F34" s="63"/>
      <c r="H34" s="63">
        <f t="shared" si="0"/>
        <v>-2534.61</v>
      </c>
    </row>
    <row r="35" spans="1:8">
      <c r="A35" s="100">
        <v>44882</v>
      </c>
      <c r="B35" s="107" t="s">
        <v>1346</v>
      </c>
      <c r="C35" s="106"/>
      <c r="D35" s="106"/>
      <c r="E35" s="63">
        <f>-204.04</f>
        <v>-204.04</v>
      </c>
      <c r="F35" s="63"/>
      <c r="H35" s="63">
        <f t="shared" si="0"/>
        <v>-2534.61</v>
      </c>
    </row>
    <row r="36" spans="1:8">
      <c r="A36" s="100">
        <v>44887</v>
      </c>
      <c r="B36" s="106" t="s">
        <v>1347</v>
      </c>
      <c r="C36" s="106"/>
      <c r="D36" s="106"/>
      <c r="E36" s="63">
        <v>-90</v>
      </c>
      <c r="F36" s="63"/>
      <c r="H36" s="63">
        <f t="shared" si="0"/>
        <v>-2534.61</v>
      </c>
    </row>
    <row r="37" spans="1:8">
      <c r="A37" s="100">
        <v>44887</v>
      </c>
      <c r="B37" s="106" t="s">
        <v>1348</v>
      </c>
      <c r="C37" s="106"/>
      <c r="D37" s="106"/>
      <c r="E37" s="63">
        <v>-678.58</v>
      </c>
      <c r="F37" s="63"/>
      <c r="H37" s="63">
        <f t="shared" ref="H37:H65" si="1">H36+F37+G37</f>
        <v>-2534.61</v>
      </c>
    </row>
    <row r="38" spans="1:8">
      <c r="A38" s="100">
        <v>44900</v>
      </c>
      <c r="B38" s="106" t="s">
        <v>1349</v>
      </c>
      <c r="C38" s="106"/>
      <c r="D38" s="106"/>
      <c r="E38" s="163"/>
      <c r="F38" s="63"/>
      <c r="G38" s="2">
        <v>-7945.34</v>
      </c>
      <c r="H38" s="63">
        <f t="shared" si="1"/>
        <v>-10479.950000000001</v>
      </c>
    </row>
    <row r="39" spans="1:8">
      <c r="A39" s="100"/>
      <c r="B39" s="106"/>
      <c r="C39" s="106"/>
      <c r="D39" s="106"/>
      <c r="E39" s="163"/>
      <c r="F39" s="63"/>
      <c r="H39" s="63">
        <f t="shared" si="1"/>
        <v>-10479.950000000001</v>
      </c>
    </row>
    <row r="40" spans="1:8">
      <c r="A40" s="100">
        <v>44907</v>
      </c>
      <c r="B40" s="106" t="s">
        <v>1350</v>
      </c>
      <c r="C40" s="106"/>
      <c r="D40" s="106"/>
      <c r="E40" s="163"/>
      <c r="F40" s="63"/>
      <c r="G40" s="2">
        <v>-1000</v>
      </c>
      <c r="H40" s="63">
        <f t="shared" si="1"/>
        <v>-11479.95</v>
      </c>
    </row>
    <row r="41" spans="1:8">
      <c r="A41" s="100">
        <v>44911</v>
      </c>
      <c r="B41" s="106" t="s">
        <v>1351</v>
      </c>
      <c r="C41" s="106"/>
      <c r="D41" s="63">
        <v>-200</v>
      </c>
      <c r="E41" s="163"/>
      <c r="F41" s="63"/>
      <c r="G41" s="2">
        <v>-1012.5</v>
      </c>
      <c r="H41" s="63">
        <f t="shared" si="1"/>
        <v>-12492.45</v>
      </c>
    </row>
    <row r="42" spans="1:8">
      <c r="A42" s="100">
        <v>44911</v>
      </c>
      <c r="B42" s="106" t="s">
        <v>1352</v>
      </c>
      <c r="C42" s="106"/>
      <c r="D42" s="63">
        <v>-50</v>
      </c>
      <c r="E42" s="163"/>
      <c r="F42" s="63"/>
      <c r="G42" s="2">
        <v>-96.5</v>
      </c>
      <c r="H42" s="63">
        <f t="shared" si="1"/>
        <v>-12588.95</v>
      </c>
    </row>
    <row r="43" spans="1:8">
      <c r="A43" s="100">
        <v>44911</v>
      </c>
      <c r="B43" s="106" t="s">
        <v>1353</v>
      </c>
      <c r="C43" s="106"/>
      <c r="D43" s="106"/>
      <c r="E43" s="163"/>
      <c r="F43" s="63"/>
      <c r="G43" s="2">
        <v>-123</v>
      </c>
      <c r="H43" s="63">
        <f t="shared" si="1"/>
        <v>-12711.95</v>
      </c>
    </row>
    <row r="44" spans="1:8">
      <c r="A44" s="100">
        <v>44914</v>
      </c>
      <c r="B44" s="106" t="s">
        <v>1354</v>
      </c>
      <c r="C44" s="106"/>
      <c r="D44" s="106"/>
      <c r="E44" s="163"/>
      <c r="F44" s="328">
        <v>2500</v>
      </c>
      <c r="H44" s="63">
        <f t="shared" si="1"/>
        <v>-10211.950000000001</v>
      </c>
    </row>
    <row r="45" spans="1:8">
      <c r="A45" s="100"/>
      <c r="B45" s="106"/>
      <c r="C45" s="106"/>
      <c r="D45" s="106"/>
      <c r="E45" s="163"/>
      <c r="F45" s="63"/>
      <c r="H45" s="63">
        <f t="shared" si="1"/>
        <v>-10211.950000000001</v>
      </c>
    </row>
    <row r="46" spans="1:8">
      <c r="A46" s="100">
        <v>44908</v>
      </c>
      <c r="B46" s="107" t="s">
        <v>1355</v>
      </c>
      <c r="C46" s="106" t="s">
        <v>1356</v>
      </c>
      <c r="D46" s="106"/>
      <c r="E46" s="163"/>
      <c r="F46" s="63"/>
      <c r="G46" s="2">
        <v>-140</v>
      </c>
      <c r="H46" s="63">
        <f t="shared" si="1"/>
        <v>-10351.950000000001</v>
      </c>
    </row>
    <row r="47" spans="1:8">
      <c r="A47" s="100">
        <v>44910</v>
      </c>
      <c r="B47" s="107" t="s">
        <v>1357</v>
      </c>
      <c r="C47" s="106" t="s">
        <v>1356</v>
      </c>
      <c r="D47" s="106"/>
      <c r="E47" s="163"/>
      <c r="F47" s="63"/>
      <c r="G47" s="2">
        <v>-170</v>
      </c>
      <c r="H47" s="63">
        <f t="shared" si="1"/>
        <v>-10521.95</v>
      </c>
    </row>
    <row r="48" spans="1:8">
      <c r="A48" s="100">
        <v>44921</v>
      </c>
      <c r="B48" s="106" t="s">
        <v>1358</v>
      </c>
      <c r="C48" s="106" t="s">
        <v>1359</v>
      </c>
      <c r="D48" s="106"/>
      <c r="E48" s="163"/>
      <c r="F48" s="63"/>
      <c r="G48" s="2">
        <v>-114.91</v>
      </c>
      <c r="H48" s="63">
        <f t="shared" si="1"/>
        <v>-10636.86</v>
      </c>
    </row>
    <row r="49" spans="1:8">
      <c r="A49" s="100"/>
      <c r="B49" s="107"/>
      <c r="C49" s="106"/>
      <c r="D49" s="106"/>
      <c r="E49" s="163"/>
      <c r="F49" s="63"/>
      <c r="H49" s="63">
        <f t="shared" si="1"/>
        <v>-10636.86</v>
      </c>
    </row>
    <row r="50" spans="1:8">
      <c r="A50" s="100">
        <v>44925</v>
      </c>
      <c r="B50" s="107" t="s">
        <v>1360</v>
      </c>
      <c r="C50" s="106"/>
      <c r="D50" s="106"/>
      <c r="E50" s="163"/>
      <c r="F50" s="63"/>
      <c r="G50" s="2">
        <v>-350</v>
      </c>
      <c r="H50" s="63">
        <f t="shared" si="1"/>
        <v>-10986.86</v>
      </c>
    </row>
    <row r="51" spans="1:8">
      <c r="B51" t="s">
        <v>77</v>
      </c>
      <c r="E51" s="163">
        <v>-1500</v>
      </c>
      <c r="F51" s="63"/>
      <c r="G51" s="2">
        <v>-2112</v>
      </c>
      <c r="H51" s="63">
        <f t="shared" si="1"/>
        <v>-13098.86</v>
      </c>
    </row>
    <row r="52" spans="1:8">
      <c r="B52" t="s">
        <v>78</v>
      </c>
      <c r="E52" s="163">
        <v>-1500</v>
      </c>
      <c r="F52" s="63"/>
      <c r="G52" s="2">
        <v>-2112</v>
      </c>
      <c r="H52" s="63">
        <f t="shared" si="1"/>
        <v>-15210.86</v>
      </c>
    </row>
    <row r="53" spans="1:8">
      <c r="B53" t="s">
        <v>79</v>
      </c>
      <c r="E53" s="163">
        <v>-1500</v>
      </c>
      <c r="F53" s="63"/>
      <c r="G53" s="2">
        <v>-1500</v>
      </c>
      <c r="H53" s="63">
        <f t="shared" si="1"/>
        <v>-16710.86</v>
      </c>
    </row>
    <row r="54" spans="1:8">
      <c r="B54" s="106"/>
      <c r="C54" s="106"/>
      <c r="D54" s="106"/>
      <c r="E54" s="63"/>
      <c r="F54" s="63"/>
      <c r="H54" s="63">
        <f t="shared" si="1"/>
        <v>-16710.86</v>
      </c>
    </row>
    <row r="55" spans="1:8">
      <c r="B55" t="s">
        <v>76</v>
      </c>
      <c r="D55" s="186">
        <v>4299.5</v>
      </c>
      <c r="F55" s="63">
        <v>4299.5</v>
      </c>
      <c r="H55" s="63">
        <f t="shared" si="1"/>
        <v>-12411.36</v>
      </c>
    </row>
    <row r="56" spans="1:8">
      <c r="A56" s="100">
        <v>44912</v>
      </c>
      <c r="B56" s="8" t="s">
        <v>671</v>
      </c>
      <c r="D56" s="186">
        <v>1650</v>
      </c>
      <c r="F56" s="63">
        <v>1650</v>
      </c>
      <c r="H56" s="63">
        <f t="shared" si="1"/>
        <v>-10761.36</v>
      </c>
    </row>
    <row r="57" spans="1:8">
      <c r="A57" s="100"/>
      <c r="B57" s="8" t="s">
        <v>1361</v>
      </c>
      <c r="D57" s="186">
        <v>3000</v>
      </c>
      <c r="F57" s="63">
        <v>3000</v>
      </c>
      <c r="H57" s="63">
        <f t="shared" si="1"/>
        <v>-7761.3600000000006</v>
      </c>
    </row>
    <row r="58" spans="1:8">
      <c r="B58" t="s">
        <v>1362</v>
      </c>
      <c r="D58" s="102">
        <v>1000</v>
      </c>
      <c r="H58" s="63">
        <f t="shared" si="1"/>
        <v>-7761.3600000000006</v>
      </c>
    </row>
    <row r="59" spans="1:8">
      <c r="D59" s="102"/>
      <c r="F59" s="63"/>
      <c r="H59" s="63">
        <f t="shared" si="1"/>
        <v>-7761.3600000000006</v>
      </c>
    </row>
    <row r="60" spans="1:8">
      <c r="A60" s="100">
        <v>44921</v>
      </c>
      <c r="B60" s="8" t="s">
        <v>1363</v>
      </c>
      <c r="D60" s="102"/>
      <c r="F60" s="2">
        <v>3300</v>
      </c>
      <c r="H60" s="63">
        <f t="shared" si="1"/>
        <v>-4461.3600000000006</v>
      </c>
    </row>
    <row r="61" spans="1:8">
      <c r="A61" s="100">
        <v>44922</v>
      </c>
      <c r="B61" s="8" t="s">
        <v>1364</v>
      </c>
      <c r="D61" s="63"/>
      <c r="F61" s="63">
        <v>500</v>
      </c>
      <c r="H61" s="63">
        <f t="shared" si="1"/>
        <v>-3961.3600000000006</v>
      </c>
    </row>
    <row r="62" spans="1:8">
      <c r="A62" s="100">
        <v>44922</v>
      </c>
      <c r="B62" s="106" t="s">
        <v>1365</v>
      </c>
      <c r="C62" s="106"/>
      <c r="D62" s="106"/>
      <c r="E62" s="163"/>
      <c r="F62" s="63"/>
      <c r="G62" s="63">
        <v>-500</v>
      </c>
      <c r="H62" s="63">
        <f t="shared" si="1"/>
        <v>-4461.3600000000006</v>
      </c>
    </row>
    <row r="63" spans="1:8">
      <c r="E63" s="63"/>
      <c r="H63" s="63">
        <f t="shared" si="1"/>
        <v>-4461.3600000000006</v>
      </c>
    </row>
    <row r="64" spans="1:8">
      <c r="B64" t="s">
        <v>1366</v>
      </c>
      <c r="E64" s="63"/>
      <c r="H64" s="63">
        <f t="shared" si="1"/>
        <v>-4461.3600000000006</v>
      </c>
    </row>
    <row r="65" spans="1:8">
      <c r="E65" s="63"/>
      <c r="H65" s="63">
        <f t="shared" si="1"/>
        <v>-4461.3600000000006</v>
      </c>
    </row>
    <row r="66" spans="1:8">
      <c r="E66" s="63"/>
      <c r="H66" s="63"/>
    </row>
    <row r="67" spans="1:8">
      <c r="H67" s="63"/>
    </row>
    <row r="68" spans="1:8">
      <c r="A68" s="277"/>
      <c r="B68" s="277"/>
      <c r="C68" s="277"/>
      <c r="D68" s="277"/>
      <c r="E68" s="63"/>
      <c r="H68" s="63"/>
    </row>
    <row r="69" spans="1:8">
      <c r="A69" s="345">
        <v>44871</v>
      </c>
      <c r="B69" s="277" t="s">
        <v>1367</v>
      </c>
      <c r="C69" s="277"/>
      <c r="D69" s="326">
        <v>200</v>
      </c>
      <c r="E69" s="63" t="s">
        <v>1368</v>
      </c>
      <c r="H69" s="63"/>
    </row>
    <row r="70" spans="1:8">
      <c r="A70" s="345">
        <v>44839</v>
      </c>
      <c r="B70" s="277" t="s">
        <v>1369</v>
      </c>
      <c r="C70" s="277"/>
      <c r="D70" s="326">
        <v>200</v>
      </c>
      <c r="E70" s="63" t="s">
        <v>1368</v>
      </c>
      <c r="H70" s="63"/>
    </row>
    <row r="71" spans="1:8">
      <c r="A71" s="345"/>
      <c r="B71" s="277"/>
      <c r="C71" s="277"/>
      <c r="D71" s="346"/>
      <c r="E71" s="63"/>
      <c r="H71" s="63"/>
    </row>
    <row r="72" spans="1:8">
      <c r="A72" s="345">
        <v>44650</v>
      </c>
      <c r="B72" s="277" t="s">
        <v>1250</v>
      </c>
      <c r="C72" s="277">
        <v>3</v>
      </c>
      <c r="D72" s="8" t="s">
        <v>1370</v>
      </c>
      <c r="E72" s="63"/>
    </row>
    <row r="73" spans="1:8">
      <c r="A73" s="345">
        <v>44844</v>
      </c>
      <c r="B73" s="277" t="s">
        <v>1252</v>
      </c>
      <c r="C73" s="171"/>
      <c r="D73" s="8" t="s">
        <v>1253</v>
      </c>
    </row>
    <row r="74" spans="1:8">
      <c r="D74" s="63"/>
    </row>
    <row r="76" spans="1:8">
      <c r="D76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1371</v>
      </c>
      <c r="C2" s="79" t="s">
        <v>67</v>
      </c>
      <c r="D2" s="306">
        <f>SUM(D4:D52)</f>
        <v>179191.62</v>
      </c>
      <c r="E2" s="306">
        <f>SUM(E4:E73)</f>
        <v>-14175.82</v>
      </c>
      <c r="F2" s="306">
        <f>SUM(F4:F71)</f>
        <v>178439.6</v>
      </c>
      <c r="G2" s="306">
        <f>SUM(G4:G71)</f>
        <v>-18452.8</v>
      </c>
      <c r="H2" s="306">
        <f>F2+G2</f>
        <v>159986.80000000002</v>
      </c>
    </row>
    <row r="3" spans="1:8">
      <c r="B3" s="18"/>
      <c r="D3" s="186"/>
      <c r="E3" s="186"/>
      <c r="F3" s="186"/>
      <c r="G3" s="186"/>
      <c r="H3" s="63"/>
    </row>
    <row r="4" spans="1:8">
      <c r="D4" s="186"/>
      <c r="E4" s="186"/>
      <c r="F4" s="102"/>
      <c r="G4" s="186"/>
      <c r="H4" s="63">
        <f t="shared" ref="H4:H35" si="0">H3+F4+G4</f>
        <v>0</v>
      </c>
    </row>
    <row r="5" spans="1:8">
      <c r="A5" s="100">
        <v>44874</v>
      </c>
      <c r="B5" s="8" t="s">
        <v>329</v>
      </c>
      <c r="D5" s="186">
        <v>1221.4100000000001</v>
      </c>
      <c r="E5" s="186"/>
      <c r="F5" s="186">
        <v>1220</v>
      </c>
      <c r="G5" s="186"/>
      <c r="H5" s="63">
        <f t="shared" si="0"/>
        <v>1220</v>
      </c>
    </row>
    <row r="6" spans="1:8">
      <c r="A6" s="100">
        <v>44874</v>
      </c>
      <c r="B6" s="8" t="s">
        <v>330</v>
      </c>
      <c r="D6" s="186">
        <v>98.9</v>
      </c>
      <c r="E6" s="186"/>
      <c r="F6" s="186">
        <v>98</v>
      </c>
      <c r="G6" s="186"/>
      <c r="H6" s="63">
        <f t="shared" si="0"/>
        <v>1318</v>
      </c>
    </row>
    <row r="7" spans="1:8">
      <c r="A7" s="100">
        <v>44871</v>
      </c>
      <c r="B7" s="8" t="s">
        <v>1367</v>
      </c>
      <c r="D7" s="102">
        <v>200</v>
      </c>
      <c r="E7" s="186"/>
      <c r="F7" s="186"/>
      <c r="G7" s="186"/>
      <c r="H7" s="63">
        <f t="shared" si="0"/>
        <v>1318</v>
      </c>
    </row>
    <row r="8" spans="1:8">
      <c r="A8" s="100">
        <v>44874</v>
      </c>
      <c r="B8" s="8" t="s">
        <v>331</v>
      </c>
      <c r="D8" s="186">
        <v>1182.1600000000001</v>
      </c>
      <c r="E8" s="186"/>
      <c r="F8" s="186">
        <v>1182.1500000000001</v>
      </c>
      <c r="G8" s="186"/>
      <c r="H8" s="63">
        <f t="shared" si="0"/>
        <v>2500.15</v>
      </c>
    </row>
    <row r="9" spans="1:8">
      <c r="A9" s="100">
        <v>44874</v>
      </c>
      <c r="B9" s="8" t="s">
        <v>332</v>
      </c>
      <c r="D9" s="186">
        <v>289.7</v>
      </c>
      <c r="E9" s="186"/>
      <c r="F9" s="186">
        <v>290</v>
      </c>
      <c r="G9" s="186"/>
      <c r="H9" s="63">
        <f t="shared" si="0"/>
        <v>2790.15</v>
      </c>
    </row>
    <row r="10" spans="1:8">
      <c r="A10" s="100">
        <v>44874</v>
      </c>
      <c r="B10" s="8" t="s">
        <v>1372</v>
      </c>
      <c r="D10" s="186">
        <v>200</v>
      </c>
      <c r="E10" s="186"/>
      <c r="F10" s="186">
        <v>200</v>
      </c>
      <c r="G10" s="186"/>
      <c r="H10" s="63">
        <f t="shared" si="0"/>
        <v>2990.15</v>
      </c>
    </row>
    <row r="11" spans="1:8">
      <c r="A11" s="100">
        <v>44874</v>
      </c>
      <c r="B11" s="8" t="s">
        <v>333</v>
      </c>
      <c r="D11" s="186">
        <v>49.95</v>
      </c>
      <c r="E11" s="186"/>
      <c r="F11" s="186">
        <v>49.95</v>
      </c>
      <c r="G11" s="186"/>
      <c r="H11" s="63">
        <f t="shared" si="0"/>
        <v>3040.1</v>
      </c>
    </row>
    <row r="12" spans="1:8">
      <c r="A12" s="100">
        <v>44875</v>
      </c>
      <c r="B12" s="106" t="s">
        <v>1332</v>
      </c>
      <c r="C12" s="106"/>
      <c r="D12" s="347"/>
      <c r="E12" s="186">
        <v>-1500</v>
      </c>
      <c r="F12" s="186"/>
      <c r="G12" s="186">
        <v>-2334</v>
      </c>
      <c r="H12" s="63">
        <f t="shared" si="0"/>
        <v>706.09999999999991</v>
      </c>
    </row>
    <row r="13" spans="1:8">
      <c r="A13" s="100">
        <v>44872</v>
      </c>
      <c r="B13" s="8" t="s">
        <v>1373</v>
      </c>
      <c r="D13" s="186"/>
      <c r="E13" s="186"/>
      <c r="F13" s="186">
        <v>200</v>
      </c>
      <c r="G13" s="186"/>
      <c r="H13" s="63">
        <f t="shared" si="0"/>
        <v>906.09999999999991</v>
      </c>
    </row>
    <row r="14" spans="1:8">
      <c r="D14" s="186"/>
      <c r="E14" s="186"/>
      <c r="F14" s="186"/>
      <c r="G14" s="186"/>
      <c r="H14" s="63">
        <f t="shared" si="0"/>
        <v>906.09999999999991</v>
      </c>
    </row>
    <row r="15" spans="1:8">
      <c r="A15" s="100">
        <v>44868</v>
      </c>
      <c r="B15" s="101" t="s">
        <v>1325</v>
      </c>
      <c r="C15" s="101"/>
      <c r="D15" s="347"/>
      <c r="E15" s="186">
        <v>-200</v>
      </c>
      <c r="F15" s="186"/>
      <c r="G15" s="186">
        <v>-255</v>
      </c>
      <c r="H15" s="63">
        <f t="shared" si="0"/>
        <v>651.09999999999991</v>
      </c>
    </row>
    <row r="16" spans="1:8">
      <c r="A16" s="100">
        <v>44868</v>
      </c>
      <c r="B16" s="101" t="s">
        <v>1326</v>
      </c>
      <c r="C16" s="101"/>
      <c r="D16" s="347"/>
      <c r="E16" s="186">
        <v>-400</v>
      </c>
      <c r="F16" s="186"/>
      <c r="G16" s="186">
        <v>-536</v>
      </c>
      <c r="H16" s="63">
        <f t="shared" si="0"/>
        <v>115.09999999999991</v>
      </c>
    </row>
    <row r="17" spans="1:8">
      <c r="B17" s="101"/>
      <c r="C17" s="101"/>
      <c r="D17" s="347"/>
      <c r="E17" s="102"/>
      <c r="F17" s="186"/>
      <c r="G17" s="186"/>
      <c r="H17" s="63">
        <f t="shared" si="0"/>
        <v>115.09999999999991</v>
      </c>
    </row>
    <row r="18" spans="1:8">
      <c r="A18" s="100">
        <v>44873</v>
      </c>
      <c r="B18" s="101" t="s">
        <v>1374</v>
      </c>
      <c r="C18" s="101"/>
      <c r="D18" s="347"/>
      <c r="E18" s="102"/>
      <c r="F18" s="186"/>
      <c r="G18" s="186">
        <v>-1250</v>
      </c>
      <c r="H18" s="63">
        <f t="shared" si="0"/>
        <v>-1134.9000000000001</v>
      </c>
    </row>
    <row r="19" spans="1:8">
      <c r="B19" s="106" t="s">
        <v>1375</v>
      </c>
      <c r="C19" s="106"/>
      <c r="D19" s="347"/>
      <c r="E19" s="102"/>
      <c r="F19" s="348">
        <v>1250</v>
      </c>
      <c r="G19" s="186"/>
      <c r="H19" s="63">
        <f t="shared" si="0"/>
        <v>115.09999999999991</v>
      </c>
    </row>
    <row r="20" spans="1:8">
      <c r="A20" s="100">
        <v>44872</v>
      </c>
      <c r="B20" s="101" t="s">
        <v>1376</v>
      </c>
      <c r="C20" s="101"/>
      <c r="D20" s="347"/>
      <c r="E20" s="186">
        <v>-4300</v>
      </c>
      <c r="F20" s="102"/>
      <c r="G20" s="186">
        <v>-4150</v>
      </c>
      <c r="H20" s="63">
        <f t="shared" si="0"/>
        <v>-4034.9</v>
      </c>
    </row>
    <row r="21" spans="1:8">
      <c r="A21" s="100">
        <v>44872</v>
      </c>
      <c r="B21" s="101" t="s">
        <v>1377</v>
      </c>
      <c r="C21" s="101"/>
      <c r="D21" s="347"/>
      <c r="E21" s="186">
        <v>-496.5</v>
      </c>
      <c r="F21" s="102"/>
      <c r="G21" s="186">
        <v>-496.5</v>
      </c>
      <c r="H21" s="63">
        <f t="shared" si="0"/>
        <v>-4531.3999999999996</v>
      </c>
    </row>
    <row r="22" spans="1:8">
      <c r="B22" s="106"/>
      <c r="C22" s="106"/>
      <c r="D22" s="347"/>
      <c r="E22" s="102"/>
      <c r="F22" s="186"/>
      <c r="G22" s="186"/>
      <c r="H22" s="63">
        <f t="shared" si="0"/>
        <v>-4531.3999999999996</v>
      </c>
    </row>
    <row r="23" spans="1:8">
      <c r="A23" s="100">
        <v>44830</v>
      </c>
      <c r="B23" s="106" t="s">
        <v>1378</v>
      </c>
      <c r="C23" s="106"/>
      <c r="D23" s="347"/>
      <c r="E23" s="186">
        <v>-112.67</v>
      </c>
      <c r="F23" s="186"/>
      <c r="G23" s="186"/>
      <c r="H23" s="63">
        <f t="shared" si="0"/>
        <v>-4531.3999999999996</v>
      </c>
    </row>
    <row r="24" spans="1:8">
      <c r="A24" s="100">
        <v>44835</v>
      </c>
      <c r="B24" s="106" t="s">
        <v>1379</v>
      </c>
      <c r="C24" s="106"/>
      <c r="D24" s="347"/>
      <c r="E24" s="186">
        <v>-754.45</v>
      </c>
      <c r="F24" s="186"/>
      <c r="G24" s="186"/>
      <c r="H24" s="63">
        <f t="shared" si="0"/>
        <v>-4531.3999999999996</v>
      </c>
    </row>
    <row r="25" spans="1:8">
      <c r="A25" s="100">
        <v>44835</v>
      </c>
      <c r="B25" s="106" t="s">
        <v>1380</v>
      </c>
      <c r="C25" s="106"/>
      <c r="D25" s="347"/>
      <c r="E25" s="186">
        <v>-208.17</v>
      </c>
      <c r="F25" s="186"/>
      <c r="G25" s="186"/>
      <c r="H25" s="63">
        <f t="shared" si="0"/>
        <v>-4531.3999999999996</v>
      </c>
    </row>
    <row r="26" spans="1:8">
      <c r="A26" s="100">
        <v>44840</v>
      </c>
      <c r="B26" s="106" t="s">
        <v>1381</v>
      </c>
      <c r="C26" s="106"/>
      <c r="D26" s="347"/>
      <c r="E26" s="186">
        <v>-151.65</v>
      </c>
      <c r="F26" s="186"/>
      <c r="G26" s="186"/>
      <c r="H26" s="63">
        <f t="shared" si="0"/>
        <v>-4531.3999999999996</v>
      </c>
    </row>
    <row r="27" spans="1:8">
      <c r="A27" s="100">
        <v>44833</v>
      </c>
      <c r="B27" s="8" t="s">
        <v>1382</v>
      </c>
      <c r="D27" s="186"/>
      <c r="E27" s="186">
        <v>-721.38</v>
      </c>
      <c r="F27" s="186"/>
      <c r="G27" s="186"/>
      <c r="H27" s="63">
        <f t="shared" si="0"/>
        <v>-4531.3999999999996</v>
      </c>
    </row>
    <row r="28" spans="1:8">
      <c r="A28" s="100">
        <v>44850</v>
      </c>
      <c r="B28" s="106" t="s">
        <v>1383</v>
      </c>
      <c r="C28" s="106"/>
      <c r="D28" s="347"/>
      <c r="E28" s="186">
        <v>-500</v>
      </c>
      <c r="F28" s="186"/>
      <c r="G28" s="186"/>
      <c r="H28" s="63">
        <f t="shared" si="0"/>
        <v>-4531.3999999999996</v>
      </c>
    </row>
    <row r="29" spans="1:8">
      <c r="A29" s="100">
        <v>44857</v>
      </c>
      <c r="B29" s="106" t="s">
        <v>1226</v>
      </c>
      <c r="C29" s="106"/>
      <c r="D29" s="347"/>
      <c r="E29" s="186">
        <v>-80</v>
      </c>
      <c r="F29" s="186"/>
      <c r="G29" s="186"/>
      <c r="H29" s="63">
        <f t="shared" si="0"/>
        <v>-4531.3999999999996</v>
      </c>
    </row>
    <row r="30" spans="1:8">
      <c r="A30" s="100">
        <v>44869</v>
      </c>
      <c r="B30" s="106" t="s">
        <v>1384</v>
      </c>
      <c r="C30" s="106"/>
      <c r="D30" s="347"/>
      <c r="E30" s="102"/>
      <c r="F30" s="186"/>
      <c r="G30" s="186">
        <v>-2528.3000000000002</v>
      </c>
      <c r="H30" s="63">
        <f t="shared" si="0"/>
        <v>-7059.7</v>
      </c>
    </row>
    <row r="31" spans="1:8">
      <c r="B31" s="106"/>
      <c r="C31" s="106"/>
      <c r="D31" s="347"/>
      <c r="E31" s="102"/>
      <c r="F31" s="186"/>
      <c r="G31" s="186"/>
      <c r="H31" s="63">
        <f t="shared" si="0"/>
        <v>-7059.7</v>
      </c>
    </row>
    <row r="32" spans="1:8">
      <c r="B32" s="106" t="s">
        <v>1385</v>
      </c>
      <c r="C32" s="106"/>
      <c r="D32" s="347"/>
      <c r="E32" s="186">
        <v>-200</v>
      </c>
      <c r="F32" s="186"/>
      <c r="G32" s="186">
        <v>-569</v>
      </c>
      <c r="H32" s="63">
        <f t="shared" si="0"/>
        <v>-7628.7</v>
      </c>
    </row>
    <row r="33" spans="1:8">
      <c r="B33" s="106" t="s">
        <v>1386</v>
      </c>
      <c r="C33" s="106"/>
      <c r="D33" s="347"/>
      <c r="E33" s="186">
        <v>-51</v>
      </c>
      <c r="F33" s="186"/>
      <c r="G33" s="186">
        <v>-51</v>
      </c>
      <c r="H33" s="63">
        <f t="shared" si="0"/>
        <v>-7679.7</v>
      </c>
    </row>
    <row r="34" spans="1:8">
      <c r="B34" s="106"/>
      <c r="C34" s="106"/>
      <c r="D34" s="347"/>
      <c r="E34" s="186"/>
      <c r="F34" s="186"/>
      <c r="G34" s="186"/>
      <c r="H34" s="63">
        <f t="shared" si="0"/>
        <v>-7679.7</v>
      </c>
    </row>
    <row r="35" spans="1:8">
      <c r="A35" s="100">
        <v>44890</v>
      </c>
      <c r="B35" s="107" t="s">
        <v>1387</v>
      </c>
      <c r="C35" s="106"/>
      <c r="D35" s="347"/>
      <c r="E35" s="186"/>
      <c r="F35" s="186"/>
      <c r="G35" s="186">
        <v>-175</v>
      </c>
      <c r="H35" s="63">
        <f t="shared" si="0"/>
        <v>-7854.7</v>
      </c>
    </row>
    <row r="36" spans="1:8">
      <c r="A36" s="100">
        <v>44891</v>
      </c>
      <c r="B36" s="107" t="s">
        <v>1388</v>
      </c>
      <c r="C36" s="106"/>
      <c r="D36" s="347"/>
      <c r="E36" s="186"/>
      <c r="F36" s="186"/>
      <c r="G36" s="186">
        <v>-204</v>
      </c>
      <c r="H36" s="63">
        <f t="shared" ref="H36:H54" si="1">H35+F36+G36</f>
        <v>-8058.7</v>
      </c>
    </row>
    <row r="37" spans="1:8">
      <c r="A37" s="100">
        <v>44894</v>
      </c>
      <c r="B37" s="107" t="s">
        <v>1389</v>
      </c>
      <c r="C37" s="106"/>
      <c r="D37" s="347"/>
      <c r="E37" s="186"/>
      <c r="F37" s="186"/>
      <c r="G37" s="186">
        <v>-182</v>
      </c>
      <c r="H37" s="63">
        <f t="shared" si="1"/>
        <v>-8240.7000000000007</v>
      </c>
    </row>
    <row r="38" spans="1:8">
      <c r="B38" s="106"/>
      <c r="C38" s="106"/>
      <c r="D38" s="347"/>
      <c r="E38" s="102"/>
      <c r="F38" s="186"/>
      <c r="G38" s="186"/>
      <c r="H38" s="63">
        <f t="shared" si="1"/>
        <v>-8240.7000000000007</v>
      </c>
    </row>
    <row r="39" spans="1:8">
      <c r="B39" t="s">
        <v>77</v>
      </c>
      <c r="D39" s="186"/>
      <c r="E39" s="102">
        <v>-1500</v>
      </c>
      <c r="F39" s="186"/>
      <c r="G39" s="186">
        <v>-2111</v>
      </c>
      <c r="H39" s="63">
        <f t="shared" si="1"/>
        <v>-10351.700000000001</v>
      </c>
    </row>
    <row r="40" spans="1:8">
      <c r="B40" t="s">
        <v>78</v>
      </c>
      <c r="D40" s="186"/>
      <c r="E40" s="102">
        <v>-1500</v>
      </c>
      <c r="F40" s="186"/>
      <c r="G40" s="186">
        <v>-2111</v>
      </c>
      <c r="H40" s="63">
        <f t="shared" si="1"/>
        <v>-12462.7</v>
      </c>
    </row>
    <row r="41" spans="1:8">
      <c r="B41" t="s">
        <v>79</v>
      </c>
      <c r="D41" s="186"/>
      <c r="E41" s="102">
        <v>-1500</v>
      </c>
      <c r="F41" s="186"/>
      <c r="G41" s="186">
        <v>-1500</v>
      </c>
      <c r="H41" s="63">
        <f t="shared" si="1"/>
        <v>-13962.7</v>
      </c>
    </row>
    <row r="42" spans="1:8">
      <c r="D42" s="186"/>
      <c r="E42" s="186"/>
      <c r="F42" s="186"/>
      <c r="G42" s="186"/>
      <c r="H42" s="63">
        <f t="shared" si="1"/>
        <v>-13962.7</v>
      </c>
    </row>
    <row r="43" spans="1:8">
      <c r="B43" t="s">
        <v>76</v>
      </c>
      <c r="D43" s="186">
        <v>4299.5</v>
      </c>
      <c r="E43" s="186"/>
      <c r="F43" s="186">
        <v>4299.5</v>
      </c>
      <c r="G43" s="186"/>
      <c r="H43" s="63">
        <f t="shared" si="1"/>
        <v>-9663.2000000000007</v>
      </c>
    </row>
    <row r="44" spans="1:8">
      <c r="B44" t="s">
        <v>671</v>
      </c>
      <c r="D44" s="186">
        <v>1650</v>
      </c>
      <c r="E44" s="186"/>
      <c r="F44" s="186">
        <v>1650</v>
      </c>
      <c r="G44" s="186"/>
      <c r="H44" s="63">
        <f t="shared" si="1"/>
        <v>-8013.2000000000007</v>
      </c>
    </row>
    <row r="45" spans="1:8">
      <c r="A45" s="100">
        <v>44903</v>
      </c>
      <c r="B45" s="8" t="s">
        <v>1390</v>
      </c>
      <c r="D45" s="186">
        <v>3000</v>
      </c>
      <c r="E45" s="186"/>
      <c r="F45" s="186">
        <v>3000</v>
      </c>
      <c r="G45" s="186"/>
      <c r="H45" s="63">
        <f t="shared" si="1"/>
        <v>-5013.2000000000007</v>
      </c>
    </row>
    <row r="46" spans="1:8">
      <c r="A46" s="100">
        <v>44895</v>
      </c>
      <c r="B46" s="8" t="s">
        <v>1391</v>
      </c>
      <c r="D46" s="186">
        <v>1000</v>
      </c>
      <c r="E46" s="186"/>
      <c r="F46" s="186">
        <v>1000</v>
      </c>
      <c r="G46" s="186"/>
      <c r="H46" s="63">
        <f t="shared" si="1"/>
        <v>-4013.2000000000007</v>
      </c>
    </row>
    <row r="47" spans="1:8">
      <c r="A47" s="100"/>
      <c r="D47" s="102"/>
      <c r="E47" s="186"/>
      <c r="F47" s="186"/>
      <c r="G47" s="186"/>
      <c r="H47" s="63">
        <f t="shared" si="1"/>
        <v>-4013.2000000000007</v>
      </c>
    </row>
    <row r="48" spans="1:8">
      <c r="B48" t="s">
        <v>1392</v>
      </c>
      <c r="D48" s="186">
        <v>82000</v>
      </c>
      <c r="E48" s="186"/>
      <c r="F48" s="186">
        <v>80000</v>
      </c>
      <c r="G48" s="186"/>
      <c r="H48" s="63">
        <f t="shared" si="1"/>
        <v>75986.8</v>
      </c>
    </row>
    <row r="49" spans="1:8">
      <c r="B49" t="s">
        <v>1393</v>
      </c>
      <c r="D49" s="186"/>
      <c r="E49" s="186"/>
      <c r="F49" s="186"/>
      <c r="G49" s="186"/>
      <c r="H49" s="63">
        <f t="shared" si="1"/>
        <v>75986.8</v>
      </c>
    </row>
    <row r="50" spans="1:8">
      <c r="A50" s="100">
        <v>44893</v>
      </c>
      <c r="B50" s="8" t="s">
        <v>1394</v>
      </c>
      <c r="D50" s="186">
        <v>84000</v>
      </c>
      <c r="E50" s="186"/>
      <c r="F50" s="186">
        <v>84000</v>
      </c>
      <c r="G50" s="186"/>
      <c r="H50" s="63">
        <f t="shared" si="1"/>
        <v>159986.79999999999</v>
      </c>
    </row>
    <row r="51" spans="1:8">
      <c r="H51" s="63">
        <f t="shared" si="1"/>
        <v>159986.79999999999</v>
      </c>
    </row>
    <row r="52" spans="1:8">
      <c r="E52" s="63"/>
      <c r="F52" s="63"/>
      <c r="G52" s="63"/>
      <c r="H52" s="63">
        <f t="shared" si="1"/>
        <v>159986.79999999999</v>
      </c>
    </row>
    <row r="53" spans="1:8">
      <c r="H53" s="63">
        <f t="shared" si="1"/>
        <v>159986.79999999999</v>
      </c>
    </row>
    <row r="54" spans="1:8">
      <c r="B54" t="s">
        <v>1395</v>
      </c>
      <c r="H54" s="63">
        <f t="shared" si="1"/>
        <v>159986.79999999999</v>
      </c>
    </row>
    <row r="56" spans="1:8">
      <c r="A56" s="100">
        <v>44844</v>
      </c>
      <c r="B56" s="349" t="s">
        <v>1252</v>
      </c>
      <c r="C56" s="349"/>
      <c r="D56" s="350">
        <v>2000</v>
      </c>
    </row>
    <row r="57" spans="1:8">
      <c r="A57" s="100">
        <v>44839</v>
      </c>
      <c r="B57" s="349" t="s">
        <v>1369</v>
      </c>
      <c r="C57" s="349"/>
      <c r="D57" s="350">
        <v>200</v>
      </c>
    </row>
    <row r="59" spans="1:8">
      <c r="A59" s="345">
        <v>44803</v>
      </c>
      <c r="B59" s="277" t="s">
        <v>1250</v>
      </c>
      <c r="C59" s="277"/>
      <c r="D59" s="346"/>
    </row>
    <row r="60" spans="1:8">
      <c r="A60" s="345">
        <v>44772</v>
      </c>
      <c r="B60" s="277" t="s">
        <v>1396</v>
      </c>
      <c r="C60" s="277"/>
      <c r="D60" s="346"/>
    </row>
    <row r="61" spans="1:8">
      <c r="A61" s="345">
        <v>44742</v>
      </c>
      <c r="B61" s="277" t="s">
        <v>1397</v>
      </c>
      <c r="C61" s="277"/>
      <c r="D61" s="34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1">
        <v>3.54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1398</v>
      </c>
      <c r="C2" s="79" t="s">
        <v>67</v>
      </c>
      <c r="D2" s="306">
        <f>SUM(D4:D78)</f>
        <v>23872.199999999997</v>
      </c>
      <c r="E2" s="306">
        <f>SUM(E4:E107)</f>
        <v>-33587.82</v>
      </c>
      <c r="F2" s="306">
        <f>SUM(F4:F104)</f>
        <v>79418.41</v>
      </c>
      <c r="G2" s="306">
        <f>SUM(G4:G104)</f>
        <v>-90424.320000000007</v>
      </c>
      <c r="H2" s="306">
        <f>F2+G2</f>
        <v>-11005.910000000003</v>
      </c>
    </row>
    <row r="3" spans="1:8">
      <c r="B3" s="18"/>
      <c r="H3" s="63"/>
    </row>
    <row r="4" spans="1:8">
      <c r="A4" s="100">
        <v>44838</v>
      </c>
      <c r="B4" s="8" t="s">
        <v>1399</v>
      </c>
      <c r="F4" s="328">
        <v>3000</v>
      </c>
      <c r="G4" s="63"/>
      <c r="H4" s="63">
        <f>H3+F4+G4</f>
        <v>3000</v>
      </c>
    </row>
    <row r="5" spans="1:8">
      <c r="E5" s="63"/>
      <c r="F5" s="63"/>
      <c r="G5" s="63"/>
      <c r="H5" s="63">
        <f>H4+F5+G5</f>
        <v>3000</v>
      </c>
    </row>
    <row r="6" spans="1:8">
      <c r="B6" t="s">
        <v>329</v>
      </c>
      <c r="D6" s="2">
        <v>933.39</v>
      </c>
      <c r="E6" s="63"/>
      <c r="F6" s="63">
        <v>933</v>
      </c>
      <c r="G6" s="63"/>
      <c r="H6" s="63">
        <f>H5+F6+G6</f>
        <v>3933</v>
      </c>
    </row>
    <row r="7" spans="1:8">
      <c r="B7" t="s">
        <v>330</v>
      </c>
      <c r="D7" s="2">
        <v>99.8</v>
      </c>
      <c r="E7" s="63"/>
      <c r="F7" s="63">
        <v>99</v>
      </c>
      <c r="G7" s="63"/>
      <c r="H7" s="63">
        <f>H6+F7+G7</f>
        <v>4032</v>
      </c>
    </row>
    <row r="8" spans="1:8">
      <c r="B8" t="s">
        <v>1369</v>
      </c>
      <c r="D8" s="17">
        <v>200</v>
      </c>
      <c r="E8" s="63"/>
      <c r="F8" s="63"/>
      <c r="G8" s="63"/>
      <c r="H8" s="63"/>
    </row>
    <row r="9" spans="1:8">
      <c r="B9" t="s">
        <v>331</v>
      </c>
      <c r="D9" s="2">
        <v>846.7</v>
      </c>
      <c r="E9" s="63"/>
      <c r="F9" s="63">
        <v>845</v>
      </c>
      <c r="G9" s="63"/>
      <c r="H9" s="63">
        <f>H7+F9+G9</f>
        <v>4877</v>
      </c>
    </row>
    <row r="10" spans="1:8">
      <c r="A10" s="100">
        <v>44837</v>
      </c>
      <c r="B10" s="8" t="s">
        <v>332</v>
      </c>
      <c r="D10" s="2">
        <v>445.75</v>
      </c>
      <c r="E10" s="63"/>
      <c r="F10" s="63">
        <v>445</v>
      </c>
      <c r="G10" s="63"/>
      <c r="H10" s="63">
        <f>H9+F10+G10</f>
        <v>5322</v>
      </c>
    </row>
    <row r="11" spans="1:8">
      <c r="A11" s="100"/>
      <c r="B11" s="8" t="s">
        <v>332</v>
      </c>
      <c r="D11" s="2">
        <v>200</v>
      </c>
      <c r="E11" s="63"/>
      <c r="F11" s="63">
        <v>200</v>
      </c>
      <c r="G11" s="63"/>
      <c r="H11" s="63"/>
    </row>
    <row r="12" spans="1:8">
      <c r="A12" s="100">
        <v>44837</v>
      </c>
      <c r="B12" s="8" t="s">
        <v>333</v>
      </c>
      <c r="D12" s="2">
        <v>202.91</v>
      </c>
      <c r="E12" s="63"/>
      <c r="F12" s="63">
        <v>202.91</v>
      </c>
      <c r="G12" s="63"/>
      <c r="H12" s="63">
        <f>H10+F12+G12</f>
        <v>5524.91</v>
      </c>
    </row>
    <row r="13" spans="1:8">
      <c r="A13" s="100">
        <v>44838</v>
      </c>
      <c r="B13" s="106" t="s">
        <v>1332</v>
      </c>
      <c r="C13" s="106"/>
      <c r="D13" s="106"/>
      <c r="E13" s="63">
        <v>-1500</v>
      </c>
      <c r="F13" s="63"/>
      <c r="G13" s="63">
        <v>-1998</v>
      </c>
      <c r="H13" s="63">
        <f t="shared" ref="H13:H44" si="0">H12+F13+G13</f>
        <v>3526.91</v>
      </c>
    </row>
    <row r="14" spans="1:8">
      <c r="A14" s="100">
        <v>44837</v>
      </c>
      <c r="B14" s="101" t="s">
        <v>1325</v>
      </c>
      <c r="C14" s="101"/>
      <c r="D14" s="101"/>
      <c r="E14" s="63">
        <v>-200</v>
      </c>
      <c r="F14" s="63"/>
      <c r="G14" s="63">
        <v>-299</v>
      </c>
      <c r="H14" s="63">
        <f t="shared" si="0"/>
        <v>3227.91</v>
      </c>
    </row>
    <row r="15" spans="1:8">
      <c r="A15" s="100">
        <v>44837</v>
      </c>
      <c r="B15" s="101" t="s">
        <v>1326</v>
      </c>
      <c r="C15" s="101"/>
      <c r="D15" s="101"/>
      <c r="E15" s="63">
        <v>-400</v>
      </c>
      <c r="F15" s="63"/>
      <c r="G15" s="63">
        <v>-649</v>
      </c>
      <c r="H15" s="63">
        <f t="shared" si="0"/>
        <v>2578.91</v>
      </c>
    </row>
    <row r="16" spans="1:8">
      <c r="A16" s="100">
        <v>44851</v>
      </c>
      <c r="B16" s="101" t="s">
        <v>1400</v>
      </c>
      <c r="C16" s="101"/>
      <c r="D16" s="101"/>
      <c r="E16" s="163"/>
      <c r="F16" s="63"/>
      <c r="G16" s="63">
        <v>-193</v>
      </c>
      <c r="H16" s="63">
        <f t="shared" si="0"/>
        <v>2385.91</v>
      </c>
    </row>
    <row r="17" spans="1:8">
      <c r="A17" s="100">
        <v>44838</v>
      </c>
      <c r="B17" s="101" t="s">
        <v>1401</v>
      </c>
      <c r="C17" s="101"/>
      <c r="D17" s="101"/>
      <c r="E17" s="63">
        <v>-4300</v>
      </c>
      <c r="F17" s="163"/>
      <c r="G17" s="63">
        <v>-4300</v>
      </c>
      <c r="H17" s="63">
        <f t="shared" si="0"/>
        <v>-1914.0900000000001</v>
      </c>
    </row>
    <row r="18" spans="1:8">
      <c r="A18" s="100">
        <v>44837</v>
      </c>
      <c r="B18" s="101" t="s">
        <v>1402</v>
      </c>
      <c r="C18" s="101"/>
      <c r="D18" s="101"/>
      <c r="E18" s="63">
        <v>-496.5</v>
      </c>
      <c r="F18" s="163"/>
      <c r="G18" s="63">
        <v>-492.5</v>
      </c>
      <c r="H18" s="63">
        <f t="shared" si="0"/>
        <v>-2406.59</v>
      </c>
    </row>
    <row r="19" spans="1:8">
      <c r="B19" s="106"/>
      <c r="C19" s="106"/>
      <c r="D19" s="106"/>
      <c r="E19" s="63"/>
      <c r="F19" s="63"/>
      <c r="G19" s="63"/>
      <c r="H19" s="63">
        <f t="shared" si="0"/>
        <v>-2406.59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-2406.59</v>
      </c>
    </row>
    <row r="21" spans="1:8">
      <c r="A21" s="100">
        <v>44799</v>
      </c>
      <c r="B21" s="106" t="s">
        <v>1403</v>
      </c>
      <c r="C21" s="106"/>
      <c r="D21" s="106"/>
      <c r="E21" s="63">
        <v>-112.67</v>
      </c>
      <c r="F21" s="63"/>
      <c r="G21" s="63"/>
      <c r="H21" s="63">
        <f t="shared" si="0"/>
        <v>-2406.59</v>
      </c>
    </row>
    <row r="22" spans="1:8">
      <c r="A22" s="100">
        <v>44801</v>
      </c>
      <c r="B22" s="106" t="s">
        <v>1404</v>
      </c>
      <c r="C22" s="106"/>
      <c r="D22" s="106"/>
      <c r="E22" s="63">
        <v>-355.2</v>
      </c>
      <c r="F22" s="63"/>
      <c r="G22" s="63"/>
      <c r="H22" s="63">
        <f t="shared" si="0"/>
        <v>-2406.59</v>
      </c>
    </row>
    <row r="23" spans="1:8">
      <c r="A23" s="100">
        <v>44802</v>
      </c>
      <c r="B23" s="106" t="s">
        <v>1405</v>
      </c>
      <c r="C23" s="106"/>
      <c r="D23" s="106"/>
      <c r="E23" s="63">
        <v>-363.48</v>
      </c>
      <c r="F23" s="63"/>
      <c r="G23" s="63"/>
      <c r="H23" s="63">
        <f t="shared" si="0"/>
        <v>-2406.59</v>
      </c>
    </row>
    <row r="24" spans="1:8">
      <c r="A24" s="100">
        <v>44802</v>
      </c>
      <c r="B24" s="106" t="s">
        <v>1406</v>
      </c>
      <c r="C24" s="106"/>
      <c r="D24" s="106"/>
      <c r="E24" s="63">
        <v>-250</v>
      </c>
      <c r="F24" s="63"/>
      <c r="G24" s="63"/>
      <c r="H24" s="63">
        <f t="shared" si="0"/>
        <v>-2406.59</v>
      </c>
    </row>
    <row r="25" spans="1:8">
      <c r="A25" s="100">
        <v>44802</v>
      </c>
      <c r="B25" s="106" t="s">
        <v>1407</v>
      </c>
      <c r="C25" s="106"/>
      <c r="D25" s="106"/>
      <c r="E25" s="63">
        <v>-240</v>
      </c>
      <c r="F25" s="63"/>
      <c r="G25" s="63"/>
      <c r="H25" s="63">
        <f t="shared" si="0"/>
        <v>-2406.59</v>
      </c>
    </row>
    <row r="26" spans="1:8">
      <c r="A26" s="100">
        <v>44802</v>
      </c>
      <c r="B26" s="106" t="s">
        <v>1408</v>
      </c>
      <c r="C26" s="106"/>
      <c r="D26" s="106"/>
      <c r="E26" s="63">
        <v>-232.5</v>
      </c>
      <c r="F26" s="63"/>
      <c r="G26" s="63"/>
      <c r="H26" s="63">
        <f t="shared" si="0"/>
        <v>-2406.59</v>
      </c>
    </row>
    <row r="27" spans="1:8">
      <c r="A27" s="100">
        <v>44803</v>
      </c>
      <c r="B27" s="106" t="s">
        <v>611</v>
      </c>
      <c r="C27" s="106"/>
      <c r="D27" s="106"/>
      <c r="E27" s="63">
        <v>-104.65</v>
      </c>
      <c r="F27" s="63"/>
      <c r="G27" s="63"/>
      <c r="H27" s="63">
        <f t="shared" si="0"/>
        <v>-2406.59</v>
      </c>
    </row>
    <row r="28" spans="1:8">
      <c r="A28" s="100">
        <v>44803</v>
      </c>
      <c r="B28" s="106" t="s">
        <v>611</v>
      </c>
      <c r="C28" s="106"/>
      <c r="D28" s="106"/>
      <c r="E28" s="63">
        <v>-185.75</v>
      </c>
      <c r="F28" s="63"/>
      <c r="G28" s="63"/>
      <c r="H28" s="63">
        <f t="shared" si="0"/>
        <v>-2406.59</v>
      </c>
    </row>
    <row r="29" spans="1:8">
      <c r="A29" s="100">
        <v>44803</v>
      </c>
      <c r="B29" s="106" t="s">
        <v>1409</v>
      </c>
      <c r="C29" s="106"/>
      <c r="D29" s="106"/>
      <c r="E29" s="63">
        <v>-368.74</v>
      </c>
      <c r="F29" s="63"/>
      <c r="G29" s="63"/>
      <c r="H29" s="63">
        <f t="shared" si="0"/>
        <v>-2406.59</v>
      </c>
    </row>
    <row r="30" spans="1:8">
      <c r="A30" s="100">
        <v>44803</v>
      </c>
      <c r="B30" s="106" t="s">
        <v>611</v>
      </c>
      <c r="C30" s="106"/>
      <c r="D30" s="106"/>
      <c r="E30" s="63">
        <v>-127.46</v>
      </c>
      <c r="F30" s="63"/>
      <c r="G30" s="63"/>
      <c r="H30" s="63">
        <f t="shared" si="0"/>
        <v>-2406.59</v>
      </c>
    </row>
    <row r="31" spans="1:8">
      <c r="A31" s="100">
        <v>44803</v>
      </c>
      <c r="B31" s="106" t="s">
        <v>1410</v>
      </c>
      <c r="C31" s="106"/>
      <c r="D31" s="106"/>
      <c r="E31" s="63">
        <v>-65.97</v>
      </c>
      <c r="F31" s="63"/>
      <c r="G31" s="63"/>
      <c r="H31" s="63">
        <f t="shared" si="0"/>
        <v>-2406.59</v>
      </c>
    </row>
    <row r="32" spans="1:8">
      <c r="A32" s="100">
        <v>44803</v>
      </c>
      <c r="B32" s="106" t="s">
        <v>524</v>
      </c>
      <c r="C32" s="106"/>
      <c r="D32" s="106"/>
      <c r="E32" s="63">
        <v>-204</v>
      </c>
      <c r="F32" s="63"/>
      <c r="G32" s="63"/>
      <c r="H32" s="63">
        <f t="shared" si="0"/>
        <v>-2406.59</v>
      </c>
    </row>
    <row r="33" spans="1:8">
      <c r="A33" s="100">
        <v>44805</v>
      </c>
      <c r="B33" s="106" t="s">
        <v>1411</v>
      </c>
      <c r="C33" s="106"/>
      <c r="D33" s="106"/>
      <c r="E33" s="63">
        <v>-208.17</v>
      </c>
      <c r="F33" s="63"/>
      <c r="G33" s="63"/>
      <c r="H33" s="63">
        <f t="shared" si="0"/>
        <v>-2406.59</v>
      </c>
    </row>
    <row r="34" spans="1:8">
      <c r="A34" s="100">
        <v>44805</v>
      </c>
      <c r="B34" s="106" t="s">
        <v>1412</v>
      </c>
      <c r="C34" s="106"/>
      <c r="D34" s="106"/>
      <c r="E34" s="63">
        <v>-754.45</v>
      </c>
      <c r="F34" s="63"/>
      <c r="G34" s="63"/>
      <c r="H34" s="63">
        <f t="shared" si="0"/>
        <v>-2406.59</v>
      </c>
    </row>
    <row r="35" spans="1:8">
      <c r="A35" s="100">
        <v>44806</v>
      </c>
      <c r="B35" s="106" t="s">
        <v>611</v>
      </c>
      <c r="C35" s="106"/>
      <c r="D35" s="106"/>
      <c r="E35" s="63">
        <v>-137.69999999999999</v>
      </c>
      <c r="F35" s="63"/>
      <c r="G35" s="63"/>
      <c r="H35" s="63">
        <f t="shared" si="0"/>
        <v>-2406.59</v>
      </c>
    </row>
    <row r="36" spans="1:8">
      <c r="A36" s="100">
        <v>44806</v>
      </c>
      <c r="B36" s="106" t="s">
        <v>611</v>
      </c>
      <c r="C36" s="106"/>
      <c r="D36" s="106"/>
      <c r="E36" s="63">
        <v>-161.91</v>
      </c>
      <c r="F36" s="63"/>
      <c r="G36" s="63"/>
      <c r="H36" s="63">
        <f t="shared" si="0"/>
        <v>-2406.59</v>
      </c>
    </row>
    <row r="37" spans="1:8">
      <c r="A37" s="100">
        <v>44807</v>
      </c>
      <c r="B37" s="8" t="s">
        <v>1413</v>
      </c>
      <c r="C37" s="106"/>
      <c r="D37" s="106"/>
      <c r="E37" s="63">
        <v>-697.3</v>
      </c>
      <c r="F37" s="63"/>
      <c r="G37" s="63"/>
      <c r="H37" s="63">
        <f t="shared" si="0"/>
        <v>-2406.59</v>
      </c>
    </row>
    <row r="38" spans="1:8">
      <c r="A38" s="100">
        <v>44807</v>
      </c>
      <c r="B38" s="106" t="s">
        <v>1414</v>
      </c>
      <c r="C38" s="106"/>
      <c r="D38" s="106"/>
      <c r="E38" s="63">
        <v>-600</v>
      </c>
      <c r="F38" s="63"/>
      <c r="G38" s="63"/>
      <c r="H38" s="63">
        <f t="shared" si="0"/>
        <v>-2406.59</v>
      </c>
    </row>
    <row r="39" spans="1:8">
      <c r="A39" s="100">
        <v>44807</v>
      </c>
      <c r="B39" s="106" t="s">
        <v>1415</v>
      </c>
      <c r="C39" s="106"/>
      <c r="D39" s="106"/>
      <c r="E39" s="63">
        <v>-350</v>
      </c>
      <c r="F39" s="63"/>
      <c r="G39" s="63"/>
      <c r="H39" s="63">
        <f t="shared" si="0"/>
        <v>-2406.59</v>
      </c>
    </row>
    <row r="40" spans="1:8">
      <c r="A40" s="100">
        <v>44808</v>
      </c>
      <c r="B40" s="106" t="s">
        <v>1416</v>
      </c>
      <c r="C40" s="106"/>
      <c r="D40" s="106"/>
      <c r="E40" s="63">
        <v>-920</v>
      </c>
      <c r="F40" s="63"/>
      <c r="G40" s="63"/>
      <c r="H40" s="63">
        <f t="shared" si="0"/>
        <v>-2406.59</v>
      </c>
    </row>
    <row r="41" spans="1:8">
      <c r="A41" s="100">
        <v>44808</v>
      </c>
      <c r="B41" s="106" t="s">
        <v>1417</v>
      </c>
      <c r="C41" s="106"/>
      <c r="D41" s="106"/>
      <c r="E41" s="63">
        <v>-392</v>
      </c>
      <c r="F41" s="63"/>
      <c r="G41" s="63"/>
      <c r="H41" s="63">
        <f t="shared" si="0"/>
        <v>-2406.59</v>
      </c>
    </row>
    <row r="42" spans="1:8">
      <c r="A42" s="100">
        <v>44809</v>
      </c>
      <c r="B42" s="106" t="s">
        <v>611</v>
      </c>
      <c r="C42" s="106"/>
      <c r="D42" s="106"/>
      <c r="E42" s="63">
        <v>-98.8</v>
      </c>
      <c r="F42" s="63"/>
      <c r="G42" s="63"/>
      <c r="H42" s="63">
        <f t="shared" si="0"/>
        <v>-2406.59</v>
      </c>
    </row>
    <row r="43" spans="1:8">
      <c r="A43" s="100">
        <v>44810</v>
      </c>
      <c r="B43" s="106" t="s">
        <v>1409</v>
      </c>
      <c r="C43" s="106"/>
      <c r="D43" s="106"/>
      <c r="E43" s="63">
        <v>-339.36</v>
      </c>
      <c r="F43" s="63"/>
      <c r="G43" s="63"/>
      <c r="H43" s="63">
        <f t="shared" si="0"/>
        <v>-2406.59</v>
      </c>
    </row>
    <row r="44" spans="1:8">
      <c r="A44" s="100">
        <v>44810</v>
      </c>
      <c r="B44" s="106" t="s">
        <v>1418</v>
      </c>
      <c r="C44" s="106"/>
      <c r="D44" s="106"/>
      <c r="E44" s="63">
        <v>-151.65</v>
      </c>
      <c r="F44" s="63"/>
      <c r="G44" s="63"/>
      <c r="H44" s="63">
        <f t="shared" si="0"/>
        <v>-2406.59</v>
      </c>
    </row>
    <row r="45" spans="1:8">
      <c r="A45" s="100">
        <v>44810</v>
      </c>
      <c r="B45" s="106" t="s">
        <v>1419</v>
      </c>
      <c r="C45" s="106"/>
      <c r="D45" s="106"/>
      <c r="E45" s="63">
        <v>-75</v>
      </c>
      <c r="F45" s="63"/>
      <c r="G45" s="63"/>
      <c r="H45" s="63">
        <f t="shared" ref="H45:H76" si="1">H44+F45+G45</f>
        <v>-2406.59</v>
      </c>
    </row>
    <row r="46" spans="1:8">
      <c r="A46" s="100">
        <v>44810</v>
      </c>
      <c r="B46" s="106" t="s">
        <v>1408</v>
      </c>
      <c r="C46" s="106"/>
      <c r="D46" s="106"/>
      <c r="E46" s="63">
        <v>-397.56</v>
      </c>
      <c r="F46" s="63"/>
      <c r="G46" s="63"/>
      <c r="H46" s="63">
        <f t="shared" si="1"/>
        <v>-2406.59</v>
      </c>
    </row>
    <row r="47" spans="1:8">
      <c r="A47" s="100">
        <v>44810</v>
      </c>
      <c r="B47" s="106" t="s">
        <v>1420</v>
      </c>
      <c r="C47" s="106"/>
      <c r="D47" s="106"/>
      <c r="E47" s="63">
        <v>-120</v>
      </c>
      <c r="F47" s="63"/>
      <c r="G47" s="63"/>
      <c r="H47" s="63">
        <f t="shared" si="1"/>
        <v>-2406.59</v>
      </c>
    </row>
    <row r="48" spans="1:8">
      <c r="A48" s="100">
        <v>44810</v>
      </c>
      <c r="B48" s="106" t="s">
        <v>1421</v>
      </c>
      <c r="C48" s="106"/>
      <c r="D48" s="106"/>
      <c r="E48" s="63">
        <v>-250</v>
      </c>
      <c r="F48" s="63"/>
      <c r="G48" s="63"/>
      <c r="H48" s="63">
        <f t="shared" si="1"/>
        <v>-2406.59</v>
      </c>
    </row>
    <row r="49" spans="1:8">
      <c r="A49" s="100">
        <v>44810</v>
      </c>
      <c r="B49" s="106" t="s">
        <v>1422</v>
      </c>
      <c r="C49" s="106"/>
      <c r="D49" s="106"/>
      <c r="E49" s="63">
        <v>-200</v>
      </c>
      <c r="F49" s="63"/>
      <c r="G49" s="63"/>
      <c r="H49" s="63">
        <f t="shared" si="1"/>
        <v>-2406.59</v>
      </c>
    </row>
    <row r="50" spans="1:8">
      <c r="A50" s="100">
        <v>44810</v>
      </c>
      <c r="B50" s="106" t="s">
        <v>1423</v>
      </c>
      <c r="C50" s="106"/>
      <c r="D50" s="106"/>
      <c r="E50" s="63">
        <v>-100</v>
      </c>
      <c r="F50" s="63"/>
      <c r="G50" s="63"/>
      <c r="H50" s="63">
        <f t="shared" si="1"/>
        <v>-2406.59</v>
      </c>
    </row>
    <row r="51" spans="1:8">
      <c r="A51" s="100">
        <v>44811</v>
      </c>
      <c r="B51" s="106" t="s">
        <v>1424</v>
      </c>
      <c r="C51" s="106"/>
      <c r="D51" s="106"/>
      <c r="E51" s="63">
        <v>-360</v>
      </c>
      <c r="F51" s="63"/>
      <c r="G51" s="63"/>
      <c r="H51" s="63">
        <f t="shared" si="1"/>
        <v>-2406.59</v>
      </c>
    </row>
    <row r="52" spans="1:8">
      <c r="A52" s="100">
        <v>44814</v>
      </c>
      <c r="B52" s="106" t="s">
        <v>1425</v>
      </c>
      <c r="C52" s="106"/>
      <c r="D52" s="106"/>
      <c r="E52" s="63">
        <v>-400</v>
      </c>
      <c r="F52" s="63"/>
      <c r="G52" s="63"/>
      <c r="H52" s="63">
        <f t="shared" si="1"/>
        <v>-2406.59</v>
      </c>
    </row>
    <row r="53" spans="1:8">
      <c r="B53" s="106" t="s">
        <v>1426</v>
      </c>
      <c r="C53" s="106"/>
      <c r="D53" s="106"/>
      <c r="E53" s="163"/>
      <c r="F53" s="63"/>
      <c r="G53" s="63">
        <v>-9324.32</v>
      </c>
      <c r="H53" s="63">
        <f t="shared" si="1"/>
        <v>-11730.91</v>
      </c>
    </row>
    <row r="54" spans="1:8">
      <c r="A54" s="100">
        <v>44837</v>
      </c>
      <c r="B54" s="8" t="s">
        <v>364</v>
      </c>
      <c r="G54" s="63">
        <v>-30374</v>
      </c>
      <c r="H54" s="63">
        <f t="shared" si="1"/>
        <v>-42104.91</v>
      </c>
    </row>
    <row r="55" spans="1:8">
      <c r="A55" s="100"/>
      <c r="G55" s="63"/>
      <c r="H55" s="63">
        <f t="shared" si="1"/>
        <v>-42104.91</v>
      </c>
    </row>
    <row r="56" spans="1:8">
      <c r="A56" s="100"/>
      <c r="B56" s="8" t="s">
        <v>1427</v>
      </c>
      <c r="G56" s="63"/>
      <c r="H56" s="63">
        <f t="shared" si="1"/>
        <v>-42104.91</v>
      </c>
    </row>
    <row r="57" spans="1:8">
      <c r="A57" s="100"/>
      <c r="B57" s="8" t="s">
        <v>1428</v>
      </c>
      <c r="G57" s="63"/>
      <c r="H57" s="63">
        <f t="shared" si="1"/>
        <v>-42104.91</v>
      </c>
    </row>
    <row r="58" spans="1:8">
      <c r="A58" s="100">
        <v>44844</v>
      </c>
      <c r="B58" s="8" t="s">
        <v>1429</v>
      </c>
      <c r="F58">
        <v>10300</v>
      </c>
      <c r="G58" s="63"/>
      <c r="H58" s="63">
        <f t="shared" si="1"/>
        <v>-31804.910000000003</v>
      </c>
    </row>
    <row r="59" spans="1:8">
      <c r="A59" s="100">
        <v>44847</v>
      </c>
      <c r="B59" s="8" t="s">
        <v>1429</v>
      </c>
      <c r="D59">
        <v>9000</v>
      </c>
      <c r="F59">
        <v>9000</v>
      </c>
      <c r="G59" s="63"/>
      <c r="H59" s="63">
        <f t="shared" si="1"/>
        <v>-22804.910000000003</v>
      </c>
    </row>
    <row r="60" spans="1:8">
      <c r="A60" s="100">
        <v>44844</v>
      </c>
      <c r="B60" s="8" t="s">
        <v>1430</v>
      </c>
      <c r="D60" s="3"/>
      <c r="F60">
        <v>20700</v>
      </c>
      <c r="G60" s="63"/>
      <c r="H60" s="63">
        <f t="shared" si="1"/>
        <v>-2104.9100000000035</v>
      </c>
    </row>
    <row r="61" spans="1:8">
      <c r="A61" s="100">
        <v>44844</v>
      </c>
      <c r="B61" s="8" t="s">
        <v>1252</v>
      </c>
      <c r="D61" s="3">
        <v>2000</v>
      </c>
      <c r="G61" s="63"/>
      <c r="H61" s="63">
        <f t="shared" si="1"/>
        <v>-2104.9100000000035</v>
      </c>
    </row>
    <row r="62" spans="1:8">
      <c r="A62" s="100"/>
      <c r="B62" s="8" t="s">
        <v>1431</v>
      </c>
      <c r="G62" s="63">
        <v>-2620</v>
      </c>
      <c r="H62" s="63">
        <f t="shared" si="1"/>
        <v>-4724.9100000000035</v>
      </c>
    </row>
    <row r="63" spans="1:8">
      <c r="A63" s="100"/>
      <c r="G63" s="63"/>
      <c r="H63" s="63">
        <f t="shared" si="1"/>
        <v>-4724.9100000000035</v>
      </c>
    </row>
    <row r="64" spans="1:8">
      <c r="A64" s="100"/>
      <c r="B64" s="106" t="s">
        <v>1432</v>
      </c>
      <c r="C64" s="106"/>
      <c r="D64" s="106"/>
      <c r="E64" s="163">
        <v>-200</v>
      </c>
      <c r="G64" s="63"/>
      <c r="H64" s="63">
        <f t="shared" si="1"/>
        <v>-4724.9100000000035</v>
      </c>
    </row>
    <row r="65" spans="1:8">
      <c r="A65" s="100"/>
      <c r="B65" s="106" t="s">
        <v>1433</v>
      </c>
      <c r="C65" s="106"/>
      <c r="D65" s="106"/>
      <c r="E65" s="163"/>
      <c r="G65" s="63">
        <v>-94.5</v>
      </c>
      <c r="H65" s="63">
        <f t="shared" si="1"/>
        <v>-4819.4100000000035</v>
      </c>
    </row>
    <row r="66" spans="1:8">
      <c r="A66" s="100"/>
      <c r="G66" s="63"/>
      <c r="H66" s="63">
        <f t="shared" si="1"/>
        <v>-4819.4100000000035</v>
      </c>
    </row>
    <row r="67" spans="1:8">
      <c r="B67" t="s">
        <v>77</v>
      </c>
      <c r="D67" s="3"/>
      <c r="E67" s="163">
        <v>-1500</v>
      </c>
      <c r="F67" s="63"/>
      <c r="G67" s="63">
        <v>-2110</v>
      </c>
      <c r="H67" s="63">
        <f t="shared" si="1"/>
        <v>-6929.4100000000035</v>
      </c>
    </row>
    <row r="68" spans="1:8">
      <c r="B68" t="s">
        <v>78</v>
      </c>
      <c r="D68" s="3"/>
      <c r="E68" s="163">
        <v>-1500</v>
      </c>
      <c r="F68" s="63"/>
      <c r="G68" s="63">
        <v>-2110</v>
      </c>
      <c r="H68" s="63">
        <f t="shared" si="1"/>
        <v>-9039.4100000000035</v>
      </c>
    </row>
    <row r="69" spans="1:8">
      <c r="B69" t="s">
        <v>79</v>
      </c>
      <c r="D69" s="3"/>
      <c r="E69" s="163">
        <v>-1500</v>
      </c>
      <c r="G69" s="63">
        <v>-2110</v>
      </c>
      <c r="H69" s="63">
        <f t="shared" si="1"/>
        <v>-11149.410000000003</v>
      </c>
    </row>
    <row r="70" spans="1:8">
      <c r="B70" s="106"/>
      <c r="C70" s="106"/>
      <c r="D70" s="107"/>
      <c r="E70" s="163"/>
      <c r="F70" s="63"/>
      <c r="G70" s="63"/>
      <c r="H70" s="63">
        <f t="shared" si="1"/>
        <v>-11149.410000000003</v>
      </c>
    </row>
    <row r="71" spans="1:8">
      <c r="B71" t="s">
        <v>76</v>
      </c>
      <c r="D71" s="186">
        <v>4293.6499999999996</v>
      </c>
      <c r="E71" s="3"/>
      <c r="F71" s="186">
        <v>4293.5</v>
      </c>
      <c r="G71" s="63"/>
      <c r="H71" s="63">
        <f t="shared" si="1"/>
        <v>-6855.9100000000035</v>
      </c>
    </row>
    <row r="72" spans="1:8">
      <c r="A72" s="100">
        <v>44861</v>
      </c>
      <c r="B72" s="8" t="s">
        <v>671</v>
      </c>
      <c r="D72" s="186">
        <v>1650</v>
      </c>
      <c r="E72" s="3"/>
      <c r="F72" s="63">
        <v>1650</v>
      </c>
      <c r="G72" s="63"/>
      <c r="H72" s="63">
        <f t="shared" si="1"/>
        <v>-5205.9100000000035</v>
      </c>
    </row>
    <row r="73" spans="1:8">
      <c r="A73" s="100">
        <v>44865</v>
      </c>
      <c r="B73" s="8" t="s">
        <v>1434</v>
      </c>
      <c r="D73" s="186">
        <v>3000</v>
      </c>
      <c r="E73" s="3"/>
      <c r="F73" s="63">
        <v>3000</v>
      </c>
      <c r="G73" s="63"/>
      <c r="H73" s="63">
        <f t="shared" si="1"/>
        <v>-2205.9100000000035</v>
      </c>
    </row>
    <row r="74" spans="1:8">
      <c r="A74" s="100">
        <v>44865</v>
      </c>
      <c r="B74" s="8" t="s">
        <v>1435</v>
      </c>
      <c r="D74" s="186">
        <v>1000</v>
      </c>
      <c r="E74" s="3"/>
      <c r="F74">
        <v>1000</v>
      </c>
      <c r="H74" s="63">
        <f t="shared" si="1"/>
        <v>-1205.9100000000035</v>
      </c>
    </row>
    <row r="75" spans="1:8">
      <c r="D75" s="102"/>
      <c r="E75" s="3"/>
      <c r="H75" s="63">
        <f t="shared" si="1"/>
        <v>-1205.9100000000035</v>
      </c>
    </row>
    <row r="76" spans="1:8">
      <c r="H76" s="63">
        <f t="shared" si="1"/>
        <v>-1205.9100000000035</v>
      </c>
    </row>
    <row r="77" spans="1:8">
      <c r="A77" s="100">
        <v>44847</v>
      </c>
      <c r="B77" s="8" t="s">
        <v>1436</v>
      </c>
      <c r="E77" s="163">
        <v>-12667</v>
      </c>
      <c r="G77" s="63">
        <v>-10000</v>
      </c>
      <c r="H77" s="63">
        <f t="shared" ref="H77:H84" si="2">H76+F77+G77</f>
        <v>-11205.910000000003</v>
      </c>
    </row>
    <row r="78" spans="1:8">
      <c r="H78" s="63">
        <f t="shared" si="2"/>
        <v>-11205.910000000003</v>
      </c>
    </row>
    <row r="79" spans="1:8">
      <c r="H79" s="63">
        <f t="shared" si="2"/>
        <v>-11205.910000000003</v>
      </c>
    </row>
    <row r="80" spans="1:8">
      <c r="B80" t="s">
        <v>1395</v>
      </c>
      <c r="H80" s="63">
        <f t="shared" si="2"/>
        <v>-11205.910000000003</v>
      </c>
    </row>
    <row r="81" spans="1:8">
      <c r="H81" s="63">
        <f t="shared" si="2"/>
        <v>-11205.910000000003</v>
      </c>
    </row>
    <row r="82" spans="1:8">
      <c r="B82" t="s">
        <v>1437</v>
      </c>
      <c r="H82" s="63">
        <f t="shared" si="2"/>
        <v>-11205.910000000003</v>
      </c>
    </row>
    <row r="83" spans="1:8">
      <c r="B83" s="351" t="s">
        <v>1438</v>
      </c>
      <c r="C83" s="351"/>
      <c r="D83" s="352">
        <v>20000</v>
      </c>
      <c r="F83">
        <v>23750</v>
      </c>
      <c r="H83" s="63">
        <f t="shared" si="2"/>
        <v>12544.089999999997</v>
      </c>
    </row>
    <row r="84" spans="1:8">
      <c r="B84" s="351" t="s">
        <v>1439</v>
      </c>
      <c r="C84" s="351"/>
      <c r="D84" s="352"/>
      <c r="G84" s="63">
        <v>-23750</v>
      </c>
      <c r="H84" s="63">
        <f t="shared" si="2"/>
        <v>-11205.910000000003</v>
      </c>
    </row>
    <row r="85" spans="1:8">
      <c r="D85" s="2"/>
      <c r="G85" s="63"/>
      <c r="H85" s="63"/>
    </row>
    <row r="86" spans="1:8">
      <c r="A86" s="345"/>
      <c r="B86" s="277"/>
      <c r="C86" s="277"/>
      <c r="D86" s="353"/>
      <c r="G86" s="63"/>
      <c r="H86" s="63"/>
    </row>
    <row r="87" spans="1:8">
      <c r="A87" s="345">
        <v>44803</v>
      </c>
      <c r="B87" s="277" t="s">
        <v>1250</v>
      </c>
      <c r="C87" s="277"/>
      <c r="D87" s="353">
        <v>4000</v>
      </c>
      <c r="H87" s="63"/>
    </row>
    <row r="88" spans="1:8">
      <c r="A88" s="345">
        <v>44772</v>
      </c>
      <c r="B88" s="277" t="s">
        <v>1396</v>
      </c>
      <c r="C88" s="277"/>
      <c r="D88" s="353">
        <v>4000</v>
      </c>
      <c r="H88" s="63"/>
    </row>
    <row r="89" spans="1:8">
      <c r="A89" s="345">
        <v>44742</v>
      </c>
      <c r="B89" s="277" t="s">
        <v>1397</v>
      </c>
      <c r="C89" s="277"/>
      <c r="D89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3.08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1440</v>
      </c>
      <c r="C2" s="79" t="s">
        <v>67</v>
      </c>
      <c r="D2" s="306">
        <f>SUM(D5:D42)</f>
        <v>66162.31</v>
      </c>
      <c r="E2" s="306">
        <f>SUM(E5:E69)</f>
        <v>-61978.720000000001</v>
      </c>
      <c r="F2" s="306">
        <f>SUM(F5:F66)</f>
        <v>9260.5</v>
      </c>
      <c r="G2" s="306">
        <f>SUM(G5:G66)</f>
        <v>-25729.239999999998</v>
      </c>
      <c r="H2" s="306">
        <f>F2+G2</f>
        <v>-16468.739999999998</v>
      </c>
    </row>
    <row r="3" spans="1:8">
      <c r="B3" s="18"/>
      <c r="H3" s="63"/>
    </row>
    <row r="4" spans="1:8">
      <c r="B4" s="18"/>
      <c r="H4" s="63">
        <f t="shared" ref="H4:H46" si="0">H3+F4+G4</f>
        <v>0</v>
      </c>
    </row>
    <row r="5" spans="1:8">
      <c r="E5" s="63"/>
      <c r="F5" s="63"/>
      <c r="G5" s="63"/>
      <c r="H5" s="63">
        <f t="shared" si="0"/>
        <v>0</v>
      </c>
    </row>
    <row r="6" spans="1:8">
      <c r="B6" t="s">
        <v>329</v>
      </c>
      <c r="D6">
        <v>1156.32</v>
      </c>
      <c r="E6" s="63"/>
      <c r="F6" s="63">
        <v>1155</v>
      </c>
      <c r="G6" s="63"/>
      <c r="H6" s="63">
        <f t="shared" si="0"/>
        <v>1155</v>
      </c>
    </row>
    <row r="7" spans="1:8">
      <c r="B7" t="s">
        <v>1441</v>
      </c>
      <c r="D7">
        <v>904.99</v>
      </c>
      <c r="E7" s="63"/>
      <c r="F7" s="63">
        <v>905</v>
      </c>
      <c r="G7" s="63"/>
      <c r="H7" s="63">
        <f t="shared" si="0"/>
        <v>2060</v>
      </c>
    </row>
    <row r="8" spans="1:8">
      <c r="B8" t="s">
        <v>333</v>
      </c>
      <c r="D8">
        <v>51</v>
      </c>
      <c r="E8" s="63"/>
      <c r="F8" s="63">
        <v>51</v>
      </c>
      <c r="G8" s="63"/>
      <c r="H8" s="63">
        <f t="shared" si="0"/>
        <v>2111</v>
      </c>
    </row>
    <row r="9" spans="1:8">
      <c r="B9" s="106" t="s">
        <v>1332</v>
      </c>
      <c r="C9" s="106"/>
      <c r="D9" s="106"/>
      <c r="E9" s="63">
        <v>-1500</v>
      </c>
      <c r="F9" s="63"/>
      <c r="G9" s="63">
        <v>-1763.74</v>
      </c>
      <c r="H9" s="63">
        <f t="shared" si="0"/>
        <v>347.26</v>
      </c>
    </row>
    <row r="10" spans="1:8">
      <c r="A10" s="100">
        <v>44805</v>
      </c>
      <c r="B10" s="101" t="s">
        <v>1325</v>
      </c>
      <c r="C10" s="101"/>
      <c r="D10" s="101"/>
      <c r="E10" s="63">
        <v>-200</v>
      </c>
      <c r="F10" s="163"/>
      <c r="G10" s="63">
        <v>-229.9</v>
      </c>
      <c r="H10" s="63">
        <f t="shared" si="0"/>
        <v>117.35999999999999</v>
      </c>
    </row>
    <row r="11" spans="1:8">
      <c r="A11" s="100">
        <v>44805</v>
      </c>
      <c r="B11" s="101" t="s">
        <v>1326</v>
      </c>
      <c r="C11" s="101"/>
      <c r="D11" s="101"/>
      <c r="E11" s="63">
        <v>-400</v>
      </c>
      <c r="F11" s="163"/>
      <c r="G11" s="63">
        <v>-501.1</v>
      </c>
      <c r="H11" s="63">
        <f t="shared" si="0"/>
        <v>-383.74</v>
      </c>
    </row>
    <row r="12" spans="1:8">
      <c r="A12" s="100">
        <v>44807</v>
      </c>
      <c r="B12" s="101" t="s">
        <v>1442</v>
      </c>
      <c r="C12" s="101"/>
      <c r="D12" s="101"/>
      <c r="E12" s="63"/>
      <c r="F12" s="163"/>
      <c r="G12" s="63">
        <v>-1000</v>
      </c>
      <c r="H12" s="63">
        <f t="shared" si="0"/>
        <v>-1383.74</v>
      </c>
    </row>
    <row r="13" spans="1:8">
      <c r="A13" s="100">
        <v>44816</v>
      </c>
      <c r="B13" s="101" t="s">
        <v>1443</v>
      </c>
      <c r="C13" s="101"/>
      <c r="D13" s="101"/>
      <c r="E13" s="63">
        <v>-4300</v>
      </c>
      <c r="F13" s="163"/>
      <c r="G13" s="63">
        <v>-4300</v>
      </c>
      <c r="H13" s="63">
        <f t="shared" si="0"/>
        <v>-5683.74</v>
      </c>
    </row>
    <row r="14" spans="1:8">
      <c r="A14" s="100">
        <v>44805</v>
      </c>
      <c r="B14" s="101" t="s">
        <v>1444</v>
      </c>
      <c r="C14" s="101"/>
      <c r="D14" s="101"/>
      <c r="E14" s="63">
        <v>-396.5</v>
      </c>
      <c r="F14" s="163"/>
      <c r="G14" s="63">
        <v>-696.5</v>
      </c>
      <c r="H14" s="63">
        <f t="shared" si="0"/>
        <v>-6380.24</v>
      </c>
    </row>
    <row r="15" spans="1:8">
      <c r="B15" s="106"/>
      <c r="C15" s="106"/>
      <c r="D15" s="106"/>
      <c r="E15" s="63"/>
      <c r="F15" s="63"/>
      <c r="G15" s="63"/>
      <c r="H15" s="63">
        <f t="shared" si="0"/>
        <v>-6380.24</v>
      </c>
    </row>
    <row r="16" spans="1:8">
      <c r="B16" s="106" t="s">
        <v>1432</v>
      </c>
      <c r="C16" s="106"/>
      <c r="D16" s="106"/>
      <c r="E16" s="63">
        <v>-200</v>
      </c>
      <c r="F16" s="63"/>
      <c r="G16" s="63">
        <v>-61.44</v>
      </c>
      <c r="H16" s="63">
        <f t="shared" si="0"/>
        <v>-6441.6799999999994</v>
      </c>
    </row>
    <row r="17" spans="1:8">
      <c r="B17" s="106" t="s">
        <v>1445</v>
      </c>
      <c r="C17" s="106"/>
      <c r="D17" s="106"/>
      <c r="E17" s="63">
        <v>-50</v>
      </c>
      <c r="F17" s="63"/>
      <c r="G17" s="63">
        <v>-26.33</v>
      </c>
      <c r="H17" s="63">
        <f t="shared" si="0"/>
        <v>-6468.0099999999993</v>
      </c>
    </row>
    <row r="18" spans="1:8">
      <c r="B18" s="106"/>
      <c r="C18" s="106"/>
      <c r="D18" s="106"/>
      <c r="E18" s="63"/>
      <c r="F18" s="63"/>
      <c r="G18" s="63"/>
      <c r="H18" s="63">
        <f t="shared" si="0"/>
        <v>-6468.0099999999993</v>
      </c>
    </row>
    <row r="19" spans="1:8">
      <c r="A19" s="100">
        <v>44796</v>
      </c>
      <c r="B19" s="106" t="s">
        <v>1446</v>
      </c>
      <c r="C19" s="106"/>
      <c r="D19" s="106"/>
      <c r="E19" s="63">
        <v>-177.65</v>
      </c>
      <c r="F19" s="63"/>
      <c r="G19" s="63"/>
      <c r="H19" s="63">
        <f t="shared" si="0"/>
        <v>-6468.0099999999993</v>
      </c>
    </row>
    <row r="20" spans="1:8">
      <c r="A20" s="100">
        <v>44768</v>
      </c>
      <c r="B20" s="106" t="s">
        <v>1447</v>
      </c>
      <c r="C20" s="106"/>
      <c r="D20" s="106"/>
      <c r="E20" s="63">
        <v>-448.35</v>
      </c>
      <c r="F20" s="63"/>
      <c r="G20" s="63"/>
      <c r="H20" s="63">
        <f t="shared" si="0"/>
        <v>-6468.0099999999993</v>
      </c>
    </row>
    <row r="21" spans="1:8">
      <c r="A21" s="100">
        <v>44768</v>
      </c>
      <c r="B21" s="106" t="s">
        <v>1448</v>
      </c>
      <c r="C21" s="106"/>
      <c r="D21" s="106"/>
      <c r="E21" s="63">
        <v>-112.67</v>
      </c>
      <c r="F21" s="63"/>
      <c r="G21" s="63"/>
      <c r="H21" s="63">
        <f t="shared" si="0"/>
        <v>-6468.0099999999993</v>
      </c>
    </row>
    <row r="22" spans="1:8">
      <c r="A22" s="100">
        <v>44779</v>
      </c>
      <c r="B22" s="8" t="s">
        <v>1449</v>
      </c>
      <c r="E22" s="63">
        <v>-900.19</v>
      </c>
      <c r="H22" s="63">
        <f t="shared" si="0"/>
        <v>-6468.0099999999993</v>
      </c>
    </row>
    <row r="23" spans="1:8">
      <c r="A23" s="100">
        <v>44783</v>
      </c>
      <c r="B23" s="106" t="s">
        <v>1450</v>
      </c>
      <c r="C23" s="106"/>
      <c r="D23" s="106"/>
      <c r="E23" s="63">
        <v>-633.20000000000005</v>
      </c>
      <c r="F23" s="63"/>
      <c r="G23" s="63"/>
      <c r="H23" s="63">
        <f t="shared" si="0"/>
        <v>-6468.0099999999993</v>
      </c>
    </row>
    <row r="24" spans="1:8">
      <c r="A24" s="100">
        <v>44787</v>
      </c>
      <c r="B24" s="106" t="s">
        <v>1451</v>
      </c>
      <c r="C24" s="106"/>
      <c r="D24" s="106"/>
      <c r="E24" s="63">
        <v>-1080.1600000000001</v>
      </c>
      <c r="F24" s="63"/>
      <c r="G24" s="63"/>
      <c r="H24" s="63">
        <f t="shared" si="0"/>
        <v>-6468.0099999999993</v>
      </c>
    </row>
    <row r="25" spans="1:8">
      <c r="A25" s="100">
        <v>44796</v>
      </c>
      <c r="B25" s="106">
        <v>2240</v>
      </c>
      <c r="C25" s="106"/>
      <c r="D25" s="106"/>
      <c r="E25" s="63">
        <v>-80</v>
      </c>
      <c r="F25" s="63"/>
      <c r="G25" s="63"/>
      <c r="H25" s="63">
        <f t="shared" si="0"/>
        <v>-6468.0099999999993</v>
      </c>
    </row>
    <row r="26" spans="1:8">
      <c r="B26" s="106" t="s">
        <v>1452</v>
      </c>
      <c r="C26" s="106"/>
      <c r="D26" s="106"/>
      <c r="E26" s="163"/>
      <c r="F26" s="63"/>
      <c r="G26" s="63">
        <v>-3432.23</v>
      </c>
      <c r="H26" s="63">
        <f t="shared" si="0"/>
        <v>-9900.24</v>
      </c>
    </row>
    <row r="27" spans="1:8">
      <c r="B27" s="106" t="s">
        <v>1453</v>
      </c>
      <c r="C27" s="106" t="s">
        <v>1454</v>
      </c>
      <c r="D27" s="106"/>
      <c r="E27" s="163"/>
      <c r="F27" s="63"/>
      <c r="G27" s="63">
        <v>-7000</v>
      </c>
      <c r="H27" s="63">
        <f t="shared" si="0"/>
        <v>-16900.239999999998</v>
      </c>
    </row>
    <row r="28" spans="1:8">
      <c r="F28" s="63"/>
      <c r="G28" s="63"/>
      <c r="H28" s="63">
        <f t="shared" si="0"/>
        <v>-16900.239999999998</v>
      </c>
    </row>
    <row r="29" spans="1:8">
      <c r="B29" s="106"/>
      <c r="C29" s="106"/>
      <c r="D29" s="106"/>
      <c r="E29" s="163"/>
      <c r="F29" s="63"/>
      <c r="G29" s="63"/>
      <c r="H29" s="63">
        <f t="shared" si="0"/>
        <v>-16900.239999999998</v>
      </c>
    </row>
    <row r="30" spans="1:8">
      <c r="B30" t="s">
        <v>77</v>
      </c>
      <c r="D30" s="63"/>
      <c r="E30" s="63">
        <v>-1500</v>
      </c>
      <c r="F30" s="63"/>
      <c r="G30" s="63">
        <v>-2609</v>
      </c>
      <c r="H30" s="63">
        <f t="shared" si="0"/>
        <v>-19509.239999999998</v>
      </c>
    </row>
    <row r="31" spans="1:8">
      <c r="B31" t="s">
        <v>364</v>
      </c>
      <c r="D31" s="63"/>
      <c r="E31" s="63">
        <v>-32000</v>
      </c>
      <c r="G31" s="63"/>
      <c r="H31" s="63">
        <f t="shared" si="0"/>
        <v>-19509.239999999998</v>
      </c>
    </row>
    <row r="32" spans="1:8">
      <c r="B32" t="s">
        <v>78</v>
      </c>
      <c r="D32" s="63"/>
      <c r="E32" s="63">
        <v>-1500</v>
      </c>
      <c r="F32" s="63"/>
      <c r="G32" s="63">
        <v>-2609</v>
      </c>
      <c r="H32" s="63">
        <f t="shared" si="0"/>
        <v>-22118.239999999998</v>
      </c>
    </row>
    <row r="33" spans="1:8">
      <c r="B33" t="s">
        <v>1455</v>
      </c>
      <c r="D33" s="63"/>
      <c r="E33" s="163">
        <v>-15000</v>
      </c>
      <c r="F33" s="63"/>
      <c r="G33" s="63"/>
      <c r="H33" s="63">
        <f t="shared" si="0"/>
        <v>-22118.239999999998</v>
      </c>
    </row>
    <row r="34" spans="1:8">
      <c r="B34" t="s">
        <v>1456</v>
      </c>
      <c r="E34" s="63">
        <v>-1500</v>
      </c>
      <c r="G34" s="2">
        <v>-1500</v>
      </c>
      <c r="H34" s="63">
        <f t="shared" si="0"/>
        <v>-23618.239999999998</v>
      </c>
    </row>
    <row r="35" spans="1:8">
      <c r="B35" s="106"/>
      <c r="C35" s="106"/>
      <c r="D35" s="106"/>
      <c r="E35" s="163"/>
      <c r="F35" s="63"/>
      <c r="G35" s="63"/>
      <c r="H35" s="63">
        <f t="shared" si="0"/>
        <v>-23618.239999999998</v>
      </c>
    </row>
    <row r="36" spans="1:8">
      <c r="B36" t="s">
        <v>76</v>
      </c>
      <c r="D36" s="63">
        <v>4200</v>
      </c>
      <c r="F36" s="63">
        <v>4299.5</v>
      </c>
      <c r="G36" s="63"/>
      <c r="H36" s="63">
        <f t="shared" si="0"/>
        <v>-19318.739999999998</v>
      </c>
    </row>
    <row r="37" spans="1:8">
      <c r="B37" t="s">
        <v>671</v>
      </c>
      <c r="D37" s="63">
        <v>1650</v>
      </c>
      <c r="F37" s="63">
        <v>1650</v>
      </c>
      <c r="G37" s="63"/>
      <c r="H37" s="63">
        <f t="shared" si="0"/>
        <v>-17668.739999999998</v>
      </c>
    </row>
    <row r="38" spans="1:8">
      <c r="B38" t="s">
        <v>1457</v>
      </c>
      <c r="D38" s="2">
        <v>1200</v>
      </c>
      <c r="F38" s="2">
        <v>1200</v>
      </c>
      <c r="H38" s="63">
        <f t="shared" si="0"/>
        <v>-16468.739999999998</v>
      </c>
    </row>
    <row r="39" spans="1:8">
      <c r="B39" t="s">
        <v>1458</v>
      </c>
      <c r="D39" s="2">
        <v>54000</v>
      </c>
      <c r="F39" s="2"/>
      <c r="G39" s="2"/>
      <c r="H39" s="63">
        <f t="shared" si="0"/>
        <v>-16468.739999999998</v>
      </c>
    </row>
    <row r="40" spans="1:8">
      <c r="H40" s="63">
        <f t="shared" si="0"/>
        <v>-16468.739999999998</v>
      </c>
    </row>
    <row r="41" spans="1:8">
      <c r="B41" t="s">
        <v>1459</v>
      </c>
      <c r="D41" s="163">
        <v>3000</v>
      </c>
      <c r="H41" s="63">
        <f t="shared" si="0"/>
        <v>-16468.739999999998</v>
      </c>
    </row>
    <row r="42" spans="1:8">
      <c r="D42" s="17"/>
      <c r="H42" s="63">
        <f t="shared" si="0"/>
        <v>-16468.739999999998</v>
      </c>
    </row>
    <row r="43" spans="1:8">
      <c r="H43" s="63">
        <f t="shared" si="0"/>
        <v>-16468.739999999998</v>
      </c>
    </row>
    <row r="44" spans="1:8">
      <c r="H44" s="63">
        <f t="shared" si="0"/>
        <v>-16468.739999999998</v>
      </c>
    </row>
    <row r="45" spans="1:8">
      <c r="B45" s="354" t="s">
        <v>1438</v>
      </c>
      <c r="C45" s="354"/>
      <c r="D45" s="355">
        <v>20000</v>
      </c>
      <c r="H45" s="63">
        <f t="shared" si="0"/>
        <v>-16468.739999999998</v>
      </c>
    </row>
    <row r="46" spans="1:8">
      <c r="A46" s="345">
        <v>44803</v>
      </c>
      <c r="B46" s="277" t="s">
        <v>1250</v>
      </c>
      <c r="C46" s="277"/>
      <c r="D46" s="353">
        <v>4000</v>
      </c>
      <c r="H46" s="63">
        <f t="shared" si="0"/>
        <v>-16468.739999999998</v>
      </c>
    </row>
    <row r="47" spans="1:8">
      <c r="A47" s="345">
        <v>44772</v>
      </c>
      <c r="B47" s="277" t="s">
        <v>1396</v>
      </c>
      <c r="C47" s="277"/>
      <c r="D47" s="353">
        <v>4000</v>
      </c>
      <c r="H47" s="63" t="e">
        <f>#REF!+F47+G47</f>
        <v>#REF!</v>
      </c>
    </row>
    <row r="48" spans="1:8">
      <c r="A48" s="345">
        <v>44742</v>
      </c>
      <c r="B48" s="277" t="s">
        <v>1397</v>
      </c>
      <c r="C48" s="277"/>
      <c r="D48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1.46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1460</v>
      </c>
      <c r="C2" s="79" t="s">
        <v>67</v>
      </c>
      <c r="D2" s="306">
        <f>SUM(D4:D52)</f>
        <v>34617.910000000003</v>
      </c>
      <c r="E2" s="306">
        <f>SUM(E4:E84)</f>
        <v>-11695.349999999999</v>
      </c>
      <c r="F2" s="306">
        <f>SUM(F4:F81)</f>
        <v>102061.66</v>
      </c>
      <c r="G2" s="306">
        <f>SUM(G4:G81)</f>
        <v>-33894.33</v>
      </c>
      <c r="H2" s="306">
        <f>F2+G2</f>
        <v>68167.33</v>
      </c>
    </row>
    <row r="3" spans="1:8">
      <c r="B3" s="18"/>
      <c r="H3" s="63"/>
    </row>
    <row r="4" spans="1:8">
      <c r="H4" s="63">
        <f t="shared" ref="H4:H35" si="0">H3+F4+G4</f>
        <v>0</v>
      </c>
    </row>
    <row r="5" spans="1:8">
      <c r="B5" t="s">
        <v>329</v>
      </c>
      <c r="D5">
        <v>901.88</v>
      </c>
      <c r="E5" s="63"/>
      <c r="F5" s="63">
        <v>900</v>
      </c>
      <c r="G5" s="63"/>
      <c r="H5" s="63">
        <f t="shared" si="0"/>
        <v>900</v>
      </c>
    </row>
    <row r="6" spans="1:8">
      <c r="B6" t="s">
        <v>1461</v>
      </c>
      <c r="D6">
        <v>208.85</v>
      </c>
      <c r="E6" s="63"/>
      <c r="F6" s="63">
        <v>208.85</v>
      </c>
      <c r="G6" s="63"/>
      <c r="H6" s="63">
        <f t="shared" si="0"/>
        <v>1108.8499999999999</v>
      </c>
    </row>
    <row r="7" spans="1:8">
      <c r="B7" t="s">
        <v>1441</v>
      </c>
      <c r="D7">
        <v>488.3</v>
      </c>
      <c r="E7" s="63"/>
      <c r="F7" s="63">
        <v>488.3</v>
      </c>
      <c r="G7" s="63"/>
      <c r="H7" s="63">
        <f t="shared" si="0"/>
        <v>1597.1499999999999</v>
      </c>
    </row>
    <row r="8" spans="1:8">
      <c r="B8" t="s">
        <v>333</v>
      </c>
      <c r="D8">
        <v>69.38</v>
      </c>
      <c r="E8" s="63"/>
      <c r="F8" s="63">
        <v>69.38</v>
      </c>
      <c r="G8" s="63"/>
      <c r="H8" s="63">
        <f t="shared" si="0"/>
        <v>1666.5299999999997</v>
      </c>
    </row>
    <row r="9" spans="1:8">
      <c r="B9" s="106" t="s">
        <v>1332</v>
      </c>
      <c r="C9" s="106"/>
      <c r="D9" s="107"/>
      <c r="E9" s="63">
        <v>-1311.2</v>
      </c>
      <c r="F9" s="63"/>
      <c r="G9" s="63">
        <v>-1311.2</v>
      </c>
      <c r="H9" s="63">
        <f t="shared" si="0"/>
        <v>355.3299999999997</v>
      </c>
    </row>
    <row r="10" spans="1:8">
      <c r="B10" s="106"/>
      <c r="C10" s="106"/>
      <c r="D10" s="107"/>
      <c r="E10" s="163"/>
      <c r="F10" s="63"/>
      <c r="G10" s="63"/>
      <c r="H10" s="63">
        <f t="shared" si="0"/>
        <v>355.3299999999997</v>
      </c>
    </row>
    <row r="11" spans="1:8">
      <c r="B11" s="101" t="s">
        <v>1325</v>
      </c>
      <c r="C11" s="101"/>
      <c r="D11" s="99"/>
      <c r="E11" s="63">
        <v>-200</v>
      </c>
      <c r="F11" s="163"/>
      <c r="G11" s="63">
        <v>-254.9</v>
      </c>
      <c r="H11" s="63">
        <f t="shared" si="0"/>
        <v>100.42999999999969</v>
      </c>
    </row>
    <row r="12" spans="1:8">
      <c r="B12" s="101" t="s">
        <v>1326</v>
      </c>
      <c r="C12" s="101"/>
      <c r="D12" s="99"/>
      <c r="E12" s="63">
        <v>-400</v>
      </c>
      <c r="F12" s="163"/>
      <c r="G12" s="63">
        <v>-531.9</v>
      </c>
      <c r="H12" s="63">
        <f t="shared" si="0"/>
        <v>-431.47000000000025</v>
      </c>
    </row>
    <row r="13" spans="1:8">
      <c r="A13" s="100">
        <v>44788</v>
      </c>
      <c r="B13" s="106" t="s">
        <v>1462</v>
      </c>
      <c r="C13" s="101"/>
      <c r="D13" s="99"/>
      <c r="E13" s="163"/>
      <c r="F13" s="163"/>
      <c r="G13" s="63">
        <v>-149.30000000000001</v>
      </c>
      <c r="H13" s="63">
        <f t="shared" si="0"/>
        <v>-580.77000000000021</v>
      </c>
    </row>
    <row r="14" spans="1:8">
      <c r="B14" s="101" t="s">
        <v>1463</v>
      </c>
      <c r="C14" s="101"/>
      <c r="D14" s="99"/>
      <c r="E14" s="63">
        <v>-4300</v>
      </c>
      <c r="F14" s="163"/>
      <c r="G14" s="63">
        <v>-4300</v>
      </c>
      <c r="H14" s="63">
        <f t="shared" si="0"/>
        <v>-4880.7700000000004</v>
      </c>
    </row>
    <row r="15" spans="1:8">
      <c r="B15" s="101" t="s">
        <v>1464</v>
      </c>
      <c r="C15" s="101"/>
      <c r="D15" s="99"/>
      <c r="E15" s="63">
        <v>-396.5</v>
      </c>
      <c r="F15" s="163"/>
      <c r="G15" s="63">
        <v>-396.5</v>
      </c>
      <c r="H15" s="63">
        <f t="shared" si="0"/>
        <v>-5277.27</v>
      </c>
    </row>
    <row r="16" spans="1:8">
      <c r="B16" s="106"/>
      <c r="C16" s="106"/>
      <c r="D16" s="107"/>
      <c r="E16" s="163"/>
      <c r="F16" s="63"/>
      <c r="G16" s="63"/>
      <c r="H16" s="63">
        <f t="shared" si="0"/>
        <v>-5277.27</v>
      </c>
    </row>
    <row r="17" spans="1:8">
      <c r="B17" s="106" t="s">
        <v>1432</v>
      </c>
      <c r="C17" s="106"/>
      <c r="D17" s="107"/>
      <c r="E17" s="63">
        <v>-200</v>
      </c>
      <c r="F17" s="63"/>
      <c r="G17" s="63">
        <v>-140.51</v>
      </c>
      <c r="H17" s="63">
        <f t="shared" si="0"/>
        <v>-5417.7800000000007</v>
      </c>
    </row>
    <row r="18" spans="1:8">
      <c r="B18" s="106" t="s">
        <v>1445</v>
      </c>
      <c r="C18" s="106"/>
      <c r="D18" s="107"/>
      <c r="E18" s="63">
        <v>-50</v>
      </c>
      <c r="F18" s="63"/>
      <c r="G18" s="63">
        <v>-59.47</v>
      </c>
      <c r="H18" s="63">
        <f t="shared" si="0"/>
        <v>-5477.2500000000009</v>
      </c>
    </row>
    <row r="19" spans="1:8">
      <c r="B19" s="106"/>
      <c r="C19" s="106"/>
      <c r="D19" s="107"/>
      <c r="E19" s="163"/>
      <c r="F19" s="63"/>
      <c r="G19" s="63"/>
      <c r="H19" s="63">
        <f t="shared" si="0"/>
        <v>-5477.2500000000009</v>
      </c>
    </row>
    <row r="20" spans="1:8">
      <c r="B20" s="106" t="s">
        <v>1465</v>
      </c>
      <c r="C20" s="106"/>
      <c r="D20" s="107"/>
      <c r="E20" s="63">
        <v>-177.65</v>
      </c>
      <c r="F20" s="63"/>
      <c r="G20" s="63"/>
      <c r="H20" s="63">
        <f t="shared" si="0"/>
        <v>-5477.2500000000009</v>
      </c>
    </row>
    <row r="21" spans="1:8">
      <c r="B21" s="106" t="s">
        <v>1466</v>
      </c>
      <c r="C21" s="106"/>
      <c r="D21" s="107"/>
      <c r="E21" s="63">
        <v>-100</v>
      </c>
      <c r="F21" s="63"/>
      <c r="G21" s="63"/>
      <c r="H21" s="63">
        <f t="shared" si="0"/>
        <v>-5477.2500000000009</v>
      </c>
    </row>
    <row r="22" spans="1:8">
      <c r="B22" s="106">
        <v>2240</v>
      </c>
      <c r="C22" s="106"/>
      <c r="D22" s="107"/>
      <c r="E22" s="63">
        <v>-60</v>
      </c>
      <c r="F22" s="63"/>
      <c r="G22" s="63"/>
      <c r="H22" s="63">
        <f t="shared" si="0"/>
        <v>-5477.2500000000009</v>
      </c>
    </row>
    <row r="23" spans="1:8">
      <c r="A23" s="100">
        <v>44777</v>
      </c>
      <c r="B23" s="106" t="s">
        <v>1452</v>
      </c>
      <c r="C23" s="106"/>
      <c r="D23" s="107"/>
      <c r="E23" s="163"/>
      <c r="F23" s="63"/>
      <c r="G23" s="63">
        <v>-337.65</v>
      </c>
      <c r="H23" s="63">
        <f t="shared" si="0"/>
        <v>-5814.9000000000005</v>
      </c>
    </row>
    <row r="24" spans="1:8">
      <c r="A24" s="100">
        <v>44799</v>
      </c>
      <c r="B24" s="106" t="s">
        <v>1467</v>
      </c>
      <c r="C24" s="106"/>
      <c r="D24" s="107"/>
      <c r="E24" s="163"/>
      <c r="F24" s="63"/>
      <c r="G24" s="63">
        <v>-1500</v>
      </c>
      <c r="H24" s="63">
        <f t="shared" si="0"/>
        <v>-7314.9000000000005</v>
      </c>
    </row>
    <row r="25" spans="1:8">
      <c r="A25" s="100">
        <v>44805</v>
      </c>
      <c r="B25" s="8" t="s">
        <v>77</v>
      </c>
      <c r="D25" s="3"/>
      <c r="E25" s="63">
        <v>-1500</v>
      </c>
      <c r="F25" s="63"/>
      <c r="G25" s="63">
        <v>-2108</v>
      </c>
      <c r="H25" s="63">
        <f t="shared" si="0"/>
        <v>-9422.9000000000015</v>
      </c>
    </row>
    <row r="26" spans="1:8">
      <c r="A26" s="100">
        <v>44805</v>
      </c>
      <c r="B26" s="8" t="s">
        <v>78</v>
      </c>
      <c r="D26" s="3"/>
      <c r="E26" s="63">
        <v>-1500</v>
      </c>
      <c r="F26" s="63"/>
      <c r="G26" s="63">
        <v>-2108</v>
      </c>
      <c r="H26" s="63">
        <f t="shared" si="0"/>
        <v>-11530.900000000001</v>
      </c>
    </row>
    <row r="27" spans="1:8">
      <c r="B27" t="s">
        <v>79</v>
      </c>
      <c r="D27" s="3"/>
      <c r="E27" s="63">
        <v>-1500</v>
      </c>
      <c r="H27" s="63">
        <f t="shared" si="0"/>
        <v>-11530.900000000001</v>
      </c>
    </row>
    <row r="28" spans="1:8">
      <c r="A28" s="100">
        <v>44779</v>
      </c>
      <c r="B28" s="8" t="s">
        <v>1468</v>
      </c>
      <c r="D28" s="3"/>
      <c r="E28" s="3"/>
      <c r="G28" s="63">
        <v>-1038</v>
      </c>
      <c r="H28" s="63">
        <f t="shared" si="0"/>
        <v>-12568.900000000001</v>
      </c>
    </row>
    <row r="29" spans="1:8">
      <c r="B29" t="s">
        <v>1469</v>
      </c>
      <c r="D29" s="3"/>
      <c r="E29" s="3"/>
      <c r="G29" s="63">
        <v>-3000</v>
      </c>
      <c r="H29" s="63">
        <f t="shared" si="0"/>
        <v>-15568.900000000001</v>
      </c>
    </row>
    <row r="30" spans="1:8">
      <c r="A30" s="100">
        <v>44788</v>
      </c>
      <c r="B30" s="8" t="s">
        <v>1470</v>
      </c>
      <c r="D30" s="3"/>
      <c r="E30" s="3"/>
      <c r="G30" s="63">
        <v>-638</v>
      </c>
      <c r="H30" s="63">
        <f t="shared" si="0"/>
        <v>-16206.900000000001</v>
      </c>
    </row>
    <row r="31" spans="1:8">
      <c r="B31" t="s">
        <v>179</v>
      </c>
      <c r="D31" s="3"/>
      <c r="E31" s="3"/>
      <c r="G31" s="63">
        <v>-400</v>
      </c>
      <c r="H31" s="63">
        <f t="shared" si="0"/>
        <v>-16606.900000000001</v>
      </c>
    </row>
    <row r="32" spans="1:8">
      <c r="B32" t="s">
        <v>1471</v>
      </c>
      <c r="D32" s="3"/>
      <c r="E32" s="3"/>
      <c r="G32" s="63">
        <v>-1872.16</v>
      </c>
      <c r="H32" s="63">
        <f t="shared" si="0"/>
        <v>-18479.060000000001</v>
      </c>
    </row>
    <row r="33" spans="1:8">
      <c r="B33" t="s">
        <v>1472</v>
      </c>
      <c r="D33" s="3"/>
      <c r="E33" s="3"/>
      <c r="G33" s="63">
        <v>-3.74</v>
      </c>
      <c r="H33" s="63">
        <f t="shared" si="0"/>
        <v>-18482.800000000003</v>
      </c>
    </row>
    <row r="34" spans="1:8">
      <c r="B34" t="s">
        <v>1473</v>
      </c>
      <c r="D34" s="3"/>
      <c r="E34" s="3"/>
      <c r="G34" s="63">
        <v>-700</v>
      </c>
      <c r="H34" s="63">
        <f t="shared" si="0"/>
        <v>-19182.800000000003</v>
      </c>
    </row>
    <row r="35" spans="1:8">
      <c r="B35" t="s">
        <v>1474</v>
      </c>
      <c r="D35" s="3"/>
      <c r="E35" s="3"/>
      <c r="G35" s="63">
        <v>-380</v>
      </c>
      <c r="H35" s="63">
        <f t="shared" si="0"/>
        <v>-19562.800000000003</v>
      </c>
    </row>
    <row r="36" spans="1:8">
      <c r="B36" t="s">
        <v>1475</v>
      </c>
      <c r="D36" s="3"/>
      <c r="E36" s="3"/>
      <c r="G36" s="63">
        <v>-200</v>
      </c>
      <c r="H36" s="63">
        <f t="shared" ref="H36:H60" si="1">H35+F36+G36</f>
        <v>-19762.800000000003</v>
      </c>
    </row>
    <row r="37" spans="1:8">
      <c r="B37" t="s">
        <v>1476</v>
      </c>
      <c r="D37" s="3"/>
      <c r="E37" s="3"/>
      <c r="G37" s="63">
        <v>-100</v>
      </c>
      <c r="H37" s="63">
        <f t="shared" si="1"/>
        <v>-19862.800000000003</v>
      </c>
    </row>
    <row r="38" spans="1:8">
      <c r="B38" t="s">
        <v>1477</v>
      </c>
      <c r="D38" s="3"/>
      <c r="E38" s="3"/>
      <c r="G38">
        <v>-7000</v>
      </c>
      <c r="H38" s="63">
        <f t="shared" si="1"/>
        <v>-26862.800000000003</v>
      </c>
    </row>
    <row r="39" spans="1:8">
      <c r="D39" s="3"/>
      <c r="E39" s="3"/>
      <c r="H39" s="63">
        <f t="shared" si="1"/>
        <v>-26862.800000000003</v>
      </c>
    </row>
    <row r="40" spans="1:8">
      <c r="A40" s="100">
        <v>44774</v>
      </c>
      <c r="B40" s="8" t="s">
        <v>1478</v>
      </c>
      <c r="C40" s="106"/>
      <c r="D40" s="107"/>
      <c r="E40" s="163"/>
      <c r="F40" s="63"/>
      <c r="G40" s="63"/>
      <c r="H40" s="63">
        <f t="shared" si="1"/>
        <v>-26862.800000000003</v>
      </c>
    </row>
    <row r="41" spans="1:8">
      <c r="A41" s="100">
        <v>44774</v>
      </c>
      <c r="B41" s="8" t="s">
        <v>1479</v>
      </c>
      <c r="C41" s="106"/>
      <c r="D41" s="356"/>
      <c r="E41" s="163"/>
      <c r="F41" s="63">
        <v>20000</v>
      </c>
      <c r="G41" s="63"/>
      <c r="H41" s="63">
        <f t="shared" si="1"/>
        <v>-6862.8000000000029</v>
      </c>
    </row>
    <row r="42" spans="1:8">
      <c r="A42" s="100">
        <v>44778</v>
      </c>
      <c r="B42" s="8" t="s">
        <v>1479</v>
      </c>
      <c r="C42" s="106"/>
      <c r="D42" s="107"/>
      <c r="E42" s="163"/>
      <c r="F42" s="63">
        <v>25000</v>
      </c>
      <c r="G42" s="63"/>
      <c r="H42" s="63">
        <f t="shared" si="1"/>
        <v>18137.199999999997</v>
      </c>
    </row>
    <row r="43" spans="1:8">
      <c r="A43" s="100"/>
      <c r="B43" s="8" t="s">
        <v>1480</v>
      </c>
      <c r="C43" s="106"/>
      <c r="D43" s="107"/>
      <c r="E43" s="163"/>
      <c r="F43" s="63"/>
      <c r="G43" s="63">
        <v>-5365</v>
      </c>
      <c r="H43" s="63">
        <f t="shared" si="1"/>
        <v>12772.199999999997</v>
      </c>
    </row>
    <row r="44" spans="1:8">
      <c r="A44" s="100"/>
      <c r="B44" s="8" t="s">
        <v>1481</v>
      </c>
      <c r="C44" s="106"/>
      <c r="D44" s="107"/>
      <c r="E44" s="163"/>
      <c r="F44" s="63">
        <v>40000</v>
      </c>
      <c r="G44" s="63"/>
      <c r="H44" s="63">
        <f t="shared" si="1"/>
        <v>52772.2</v>
      </c>
    </row>
    <row r="45" spans="1:8">
      <c r="A45" s="100"/>
      <c r="B45" s="8" t="s">
        <v>1482</v>
      </c>
      <c r="C45" s="106"/>
      <c r="D45" s="107"/>
      <c r="E45" s="163"/>
      <c r="F45" s="63"/>
      <c r="G45" s="63"/>
      <c r="H45" s="63">
        <f t="shared" si="1"/>
        <v>52772.2</v>
      </c>
    </row>
    <row r="46" spans="1:8">
      <c r="A46" s="100"/>
      <c r="C46" s="106"/>
      <c r="D46" s="107"/>
      <c r="E46" s="163"/>
      <c r="F46" s="63"/>
      <c r="G46" s="63"/>
      <c r="H46" s="63">
        <f t="shared" si="1"/>
        <v>52772.2</v>
      </c>
    </row>
    <row r="47" spans="1:8">
      <c r="B47" t="s">
        <v>76</v>
      </c>
      <c r="D47" s="63">
        <v>4299.5</v>
      </c>
      <c r="E47" s="3"/>
      <c r="F47" s="63">
        <v>4299.5</v>
      </c>
      <c r="G47" s="63"/>
      <c r="H47" s="63">
        <f t="shared" si="1"/>
        <v>57071.7</v>
      </c>
    </row>
    <row r="48" spans="1:8">
      <c r="B48" t="s">
        <v>671</v>
      </c>
      <c r="D48" s="63">
        <v>1650</v>
      </c>
      <c r="E48" s="3"/>
      <c r="F48" s="63">
        <v>1650</v>
      </c>
      <c r="G48" s="63"/>
      <c r="H48" s="63">
        <f t="shared" si="1"/>
        <v>58721.7</v>
      </c>
    </row>
    <row r="49" spans="1:8">
      <c r="A49" s="100">
        <v>44802</v>
      </c>
      <c r="B49" s="8" t="s">
        <v>1483</v>
      </c>
      <c r="D49" s="63">
        <v>3000</v>
      </c>
      <c r="E49" s="3"/>
      <c r="F49" s="63">
        <v>3000</v>
      </c>
      <c r="G49" s="63"/>
      <c r="H49" s="63">
        <f t="shared" si="1"/>
        <v>61721.7</v>
      </c>
    </row>
    <row r="50" spans="1:8">
      <c r="B50" t="s">
        <v>1438</v>
      </c>
      <c r="D50" s="17">
        <v>20000</v>
      </c>
      <c r="E50" s="3"/>
      <c r="H50" s="63">
        <f t="shared" si="1"/>
        <v>61721.7</v>
      </c>
    </row>
    <row r="51" spans="1:8">
      <c r="H51" s="63">
        <f t="shared" si="1"/>
        <v>61721.7</v>
      </c>
    </row>
    <row r="52" spans="1:8">
      <c r="B52" t="s">
        <v>1250</v>
      </c>
      <c r="D52" s="17">
        <v>4000</v>
      </c>
      <c r="H52" s="63">
        <f t="shared" si="1"/>
        <v>61721.7</v>
      </c>
    </row>
    <row r="53" spans="1:8">
      <c r="H53" s="63">
        <f t="shared" si="1"/>
        <v>61721.7</v>
      </c>
    </row>
    <row r="54" spans="1:8">
      <c r="B54" s="148" t="s">
        <v>1484</v>
      </c>
      <c r="H54" s="63">
        <f t="shared" si="1"/>
        <v>61721.7</v>
      </c>
    </row>
    <row r="55" spans="1:8">
      <c r="B55" s="325" t="s">
        <v>1485</v>
      </c>
      <c r="C55" s="325"/>
      <c r="D55" s="328">
        <v>1000</v>
      </c>
      <c r="E55" s="325"/>
      <c r="F55" s="357">
        <v>1000</v>
      </c>
      <c r="H55" s="63">
        <f t="shared" si="1"/>
        <v>62721.7</v>
      </c>
    </row>
    <row r="56" spans="1:8">
      <c r="A56" s="100">
        <v>44802</v>
      </c>
      <c r="B56" s="358" t="s">
        <v>1486</v>
      </c>
      <c r="C56" s="358" t="s">
        <v>1487</v>
      </c>
      <c r="D56" s="359">
        <v>5000</v>
      </c>
      <c r="E56" s="358"/>
      <c r="F56" s="360">
        <v>5000</v>
      </c>
      <c r="H56" s="63">
        <f t="shared" si="1"/>
        <v>67721.7</v>
      </c>
    </row>
    <row r="57" spans="1:8">
      <c r="B57" s="325" t="s">
        <v>1488</v>
      </c>
      <c r="C57" s="325"/>
      <c r="D57" s="361"/>
      <c r="E57" s="325"/>
      <c r="F57" s="325">
        <v>445.63</v>
      </c>
      <c r="H57" s="63">
        <f t="shared" si="1"/>
        <v>68167.33</v>
      </c>
    </row>
    <row r="58" spans="1:8">
      <c r="H58" s="63">
        <f t="shared" si="1"/>
        <v>68167.33</v>
      </c>
    </row>
    <row r="59" spans="1:8">
      <c r="B59" s="277" t="s">
        <v>1397</v>
      </c>
      <c r="C59" s="277"/>
      <c r="D59" s="353">
        <f>'07'!D55</f>
        <v>4000</v>
      </c>
      <c r="H59" s="63">
        <f t="shared" si="1"/>
        <v>68167.33</v>
      </c>
    </row>
    <row r="60" spans="1:8">
      <c r="B60" s="277" t="s">
        <v>1396</v>
      </c>
      <c r="C60" s="277"/>
      <c r="D60" s="353">
        <v>4000</v>
      </c>
      <c r="H60" s="63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2.37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1489</v>
      </c>
      <c r="C2" s="79" t="s">
        <v>67</v>
      </c>
      <c r="D2" s="306">
        <f>SUM(D4:D90)</f>
        <v>27131.070000000003</v>
      </c>
      <c r="E2" s="306">
        <f>SUM(E4:E90)</f>
        <v>-17400.82</v>
      </c>
      <c r="F2" s="306">
        <f>SUM(F4:F87)</f>
        <v>16133.3</v>
      </c>
      <c r="G2" s="306">
        <f>SUM(G4:G87)</f>
        <v>-20600.82</v>
      </c>
      <c r="H2" s="306">
        <f>F2+G2</f>
        <v>-4467.5200000000004</v>
      </c>
    </row>
    <row r="3" spans="1:8">
      <c r="B3" s="18"/>
      <c r="C3" s="3"/>
      <c r="D3" s="3"/>
      <c r="E3" s="63"/>
      <c r="F3" s="63"/>
      <c r="G3" s="63"/>
      <c r="H3" s="63"/>
    </row>
    <row r="4" spans="1:8">
      <c r="H4" s="63">
        <f t="shared" ref="H4:H35" si="0">H3+F4+G4</f>
        <v>0</v>
      </c>
    </row>
    <row r="5" spans="1:8">
      <c r="B5" t="s">
        <v>329</v>
      </c>
      <c r="D5">
        <v>1062.9100000000001</v>
      </c>
      <c r="E5" s="63"/>
      <c r="F5">
        <v>1060</v>
      </c>
      <c r="G5" s="63"/>
      <c r="H5" s="63">
        <f t="shared" si="0"/>
        <v>1060</v>
      </c>
    </row>
    <row r="6" spans="1:8">
      <c r="B6" t="s">
        <v>1461</v>
      </c>
      <c r="D6">
        <v>324.23</v>
      </c>
      <c r="E6" s="63"/>
      <c r="F6">
        <v>325</v>
      </c>
      <c r="G6" s="63"/>
      <c r="H6" s="63">
        <f t="shared" si="0"/>
        <v>1385</v>
      </c>
    </row>
    <row r="7" spans="1:8">
      <c r="H7" s="63">
        <f t="shared" si="0"/>
        <v>1385</v>
      </c>
    </row>
    <row r="8" spans="1:8">
      <c r="B8" t="s">
        <v>333</v>
      </c>
      <c r="D8">
        <v>48.8</v>
      </c>
      <c r="E8" s="63"/>
      <c r="F8" s="63">
        <v>48.8</v>
      </c>
      <c r="G8" s="63"/>
      <c r="H8" s="63">
        <f t="shared" si="0"/>
        <v>1433.8</v>
      </c>
    </row>
    <row r="9" spans="1:8">
      <c r="A9" s="100">
        <v>44755</v>
      </c>
      <c r="B9" s="106" t="s">
        <v>1332</v>
      </c>
      <c r="C9" s="106"/>
      <c r="D9" s="106"/>
      <c r="E9" s="63">
        <v>-1429.2</v>
      </c>
      <c r="F9" s="63"/>
      <c r="G9" s="63">
        <v>-1429.2</v>
      </c>
      <c r="H9" s="63">
        <f t="shared" si="0"/>
        <v>4.5999999999999091</v>
      </c>
    </row>
    <row r="10" spans="1:8">
      <c r="A10" s="100"/>
      <c r="B10" s="106"/>
      <c r="C10" s="106"/>
      <c r="D10" s="106"/>
      <c r="E10" s="63"/>
      <c r="F10" s="63"/>
      <c r="G10" s="63"/>
      <c r="H10" s="63">
        <f t="shared" si="0"/>
        <v>4.5999999999999091</v>
      </c>
    </row>
    <row r="11" spans="1:8">
      <c r="A11" s="100">
        <v>44746</v>
      </c>
      <c r="B11" s="101" t="s">
        <v>1325</v>
      </c>
      <c r="C11" s="101"/>
      <c r="D11" s="101"/>
      <c r="E11" s="63">
        <v>-219</v>
      </c>
      <c r="F11" s="163"/>
      <c r="G11" s="63">
        <v>-219</v>
      </c>
      <c r="H11" s="63">
        <f t="shared" si="0"/>
        <v>-214.40000000000009</v>
      </c>
    </row>
    <row r="12" spans="1:8">
      <c r="A12" s="100">
        <v>44746</v>
      </c>
      <c r="B12" s="101" t="s">
        <v>1326</v>
      </c>
      <c r="C12" s="101"/>
      <c r="D12" s="101"/>
      <c r="E12" s="63">
        <v>-438.6</v>
      </c>
      <c r="F12" s="163"/>
      <c r="G12" s="63">
        <v>-438.6</v>
      </c>
      <c r="H12" s="63">
        <f t="shared" si="0"/>
        <v>-653.00000000000011</v>
      </c>
    </row>
    <row r="13" spans="1:8">
      <c r="A13" s="100"/>
      <c r="B13" s="101"/>
      <c r="C13" s="101"/>
      <c r="D13" s="101"/>
      <c r="E13" s="63"/>
      <c r="F13" s="163"/>
      <c r="G13" s="63"/>
      <c r="H13" s="63">
        <f t="shared" si="0"/>
        <v>-653.00000000000011</v>
      </c>
    </row>
    <row r="14" spans="1:8">
      <c r="A14" s="100">
        <v>44747</v>
      </c>
      <c r="B14" s="101" t="s">
        <v>1490</v>
      </c>
      <c r="C14" s="101"/>
      <c r="D14" s="101"/>
      <c r="E14" s="63"/>
      <c r="F14" s="163"/>
      <c r="G14" s="63">
        <v>-3450</v>
      </c>
      <c r="H14" s="63">
        <f t="shared" si="0"/>
        <v>-4103</v>
      </c>
    </row>
    <row r="15" spans="1:8">
      <c r="A15" s="100">
        <v>44747</v>
      </c>
      <c r="B15" s="8" t="s">
        <v>1491</v>
      </c>
      <c r="F15" s="2">
        <v>3450</v>
      </c>
      <c r="H15" s="63">
        <f t="shared" si="0"/>
        <v>-653</v>
      </c>
    </row>
    <row r="16" spans="1:8">
      <c r="A16" s="100"/>
      <c r="F16" s="2"/>
      <c r="H16" s="63">
        <f t="shared" si="0"/>
        <v>-653</v>
      </c>
    </row>
    <row r="17" spans="1:8">
      <c r="A17" s="100">
        <v>44749</v>
      </c>
      <c r="B17" s="8" t="s">
        <v>1492</v>
      </c>
      <c r="E17" s="63">
        <v>-4.8899999999999997</v>
      </c>
      <c r="F17" s="2"/>
      <c r="G17" s="63">
        <v>-4.8899999999999997</v>
      </c>
      <c r="H17" s="63">
        <f t="shared" si="0"/>
        <v>-657.89</v>
      </c>
    </row>
    <row r="18" spans="1:8">
      <c r="A18" s="100">
        <v>44749</v>
      </c>
      <c r="B18" s="101" t="s">
        <v>1493</v>
      </c>
      <c r="C18" s="101"/>
      <c r="D18" s="101"/>
      <c r="E18" s="63">
        <v>-4300</v>
      </c>
      <c r="F18" s="163"/>
      <c r="G18" s="63">
        <v>-4300</v>
      </c>
      <c r="H18" s="63">
        <f t="shared" si="0"/>
        <v>-4957.8900000000003</v>
      </c>
    </row>
    <row r="19" spans="1:8">
      <c r="A19" s="100">
        <v>44749</v>
      </c>
      <c r="B19" s="101" t="s">
        <v>1494</v>
      </c>
      <c r="C19" s="101"/>
      <c r="D19" s="101"/>
      <c r="E19" s="63">
        <v>-396.5</v>
      </c>
      <c r="F19" s="163"/>
      <c r="G19" s="63">
        <v>-396.5</v>
      </c>
      <c r="H19" s="63">
        <f t="shared" si="0"/>
        <v>-5354.39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-5354.39</v>
      </c>
    </row>
    <row r="21" spans="1:8">
      <c r="B21" s="106" t="s">
        <v>1432</v>
      </c>
      <c r="C21" s="106"/>
      <c r="D21" s="106"/>
      <c r="E21" s="163">
        <v>-200</v>
      </c>
      <c r="F21" s="63"/>
      <c r="G21" s="63"/>
      <c r="H21" s="63">
        <f t="shared" si="0"/>
        <v>-5354.39</v>
      </c>
    </row>
    <row r="22" spans="1:8">
      <c r="B22" s="106" t="s">
        <v>1445</v>
      </c>
      <c r="C22" s="106"/>
      <c r="D22" s="106"/>
      <c r="E22" s="163">
        <v>-50</v>
      </c>
      <c r="F22" s="63"/>
      <c r="G22" s="63"/>
      <c r="H22" s="63">
        <f t="shared" si="0"/>
        <v>-5354.39</v>
      </c>
    </row>
    <row r="23" spans="1:8">
      <c r="B23" s="106"/>
      <c r="C23" s="106"/>
      <c r="D23" s="106"/>
      <c r="E23" s="63"/>
      <c r="F23" s="63"/>
      <c r="G23" s="63"/>
      <c r="H23" s="63">
        <f t="shared" si="0"/>
        <v>-5354.39</v>
      </c>
    </row>
    <row r="24" spans="1:8">
      <c r="B24" s="106" t="s">
        <v>1495</v>
      </c>
      <c r="C24" s="106"/>
      <c r="D24" s="106"/>
      <c r="E24" s="63">
        <v>-177.65</v>
      </c>
      <c r="F24" s="63"/>
      <c r="G24" s="63"/>
      <c r="H24" s="63">
        <f t="shared" si="0"/>
        <v>-5354.39</v>
      </c>
    </row>
    <row r="25" spans="1:8">
      <c r="B25" s="106" t="s">
        <v>1496</v>
      </c>
      <c r="C25" s="106"/>
      <c r="D25" s="106"/>
      <c r="E25" s="63">
        <v>-300</v>
      </c>
      <c r="F25" s="63"/>
      <c r="G25" s="63"/>
      <c r="H25" s="63">
        <f t="shared" si="0"/>
        <v>-5354.39</v>
      </c>
    </row>
    <row r="26" spans="1:8">
      <c r="B26" s="106" t="s">
        <v>1222</v>
      </c>
      <c r="C26" s="106"/>
      <c r="D26" s="106"/>
      <c r="E26" s="63">
        <v>-31.99</v>
      </c>
      <c r="F26" s="63"/>
      <c r="G26" s="63"/>
      <c r="H26" s="63">
        <f t="shared" si="0"/>
        <v>-5354.39</v>
      </c>
    </row>
    <row r="27" spans="1:8">
      <c r="B27" s="106" t="s">
        <v>1497</v>
      </c>
      <c r="C27" s="106"/>
      <c r="D27" s="106"/>
      <c r="E27" s="63">
        <v>-100</v>
      </c>
      <c r="F27" s="63"/>
      <c r="G27" s="63"/>
      <c r="H27" s="63">
        <f t="shared" si="0"/>
        <v>-5354.39</v>
      </c>
    </row>
    <row r="28" spans="1:8">
      <c r="B28" s="106" t="s">
        <v>1498</v>
      </c>
      <c r="C28" s="106"/>
      <c r="D28" s="106"/>
      <c r="E28" s="63">
        <v>-344.2</v>
      </c>
      <c r="F28" s="63"/>
      <c r="G28" s="63"/>
      <c r="H28" s="63">
        <f t="shared" si="0"/>
        <v>-5354.39</v>
      </c>
    </row>
    <row r="29" spans="1:8">
      <c r="B29" s="106" t="s">
        <v>1499</v>
      </c>
      <c r="C29" s="106"/>
      <c r="D29" s="106"/>
      <c r="E29" s="63">
        <v>-400</v>
      </c>
      <c r="F29" s="63"/>
      <c r="G29" s="63"/>
      <c r="H29" s="63">
        <f t="shared" si="0"/>
        <v>-5354.39</v>
      </c>
    </row>
    <row r="30" spans="1:8">
      <c r="B30" s="106" t="s">
        <v>1500</v>
      </c>
      <c r="C30" s="106"/>
      <c r="D30" s="106"/>
      <c r="E30" s="63">
        <v>-256.89</v>
      </c>
      <c r="F30" s="63"/>
      <c r="G30" s="63"/>
      <c r="H30" s="63">
        <f t="shared" si="0"/>
        <v>-5354.39</v>
      </c>
    </row>
    <row r="31" spans="1:8">
      <c r="B31" s="106" t="s">
        <v>1501</v>
      </c>
      <c r="C31" s="106"/>
      <c r="D31" s="106"/>
      <c r="E31" s="63">
        <v>-400</v>
      </c>
      <c r="F31" s="63"/>
      <c r="G31" s="63"/>
      <c r="H31" s="63">
        <f t="shared" si="0"/>
        <v>-5354.39</v>
      </c>
    </row>
    <row r="32" spans="1:8">
      <c r="B32" s="106" t="s">
        <v>1502</v>
      </c>
      <c r="C32" s="106"/>
      <c r="D32" s="106"/>
      <c r="E32" s="63">
        <v>-529.9</v>
      </c>
      <c r="F32" s="63"/>
      <c r="G32" s="63"/>
      <c r="H32" s="63">
        <f t="shared" si="0"/>
        <v>-5354.39</v>
      </c>
    </row>
    <row r="33" spans="1:8">
      <c r="B33" s="106" t="s">
        <v>1226</v>
      </c>
      <c r="C33" s="106"/>
      <c r="D33" s="106"/>
      <c r="E33" s="63">
        <v>-70</v>
      </c>
      <c r="F33" s="63"/>
      <c r="G33" s="63"/>
      <c r="H33" s="63">
        <f t="shared" si="0"/>
        <v>-5354.39</v>
      </c>
    </row>
    <row r="34" spans="1:8">
      <c r="A34" s="100">
        <v>44747</v>
      </c>
      <c r="B34" s="106" t="s">
        <v>1452</v>
      </c>
      <c r="C34" s="106"/>
      <c r="D34" s="106"/>
      <c r="E34" s="163"/>
      <c r="F34" s="63"/>
      <c r="G34" s="63">
        <v>-2610.63</v>
      </c>
      <c r="H34" s="63">
        <f t="shared" si="0"/>
        <v>-7965.02</v>
      </c>
    </row>
    <row r="35" spans="1:8">
      <c r="B35" s="106" t="s">
        <v>1503</v>
      </c>
      <c r="C35" s="106"/>
      <c r="D35" s="356">
        <v>200</v>
      </c>
      <c r="E35" s="63"/>
      <c r="F35" s="63">
        <v>200</v>
      </c>
      <c r="G35" s="63"/>
      <c r="H35" s="63">
        <f t="shared" si="0"/>
        <v>-7765.02</v>
      </c>
    </row>
    <row r="36" spans="1:8">
      <c r="B36" t="s">
        <v>77</v>
      </c>
      <c r="E36" s="63">
        <v>-2107</v>
      </c>
      <c r="F36" s="63"/>
      <c r="G36" s="63">
        <v>-2107</v>
      </c>
      <c r="H36" s="63">
        <f t="shared" ref="H36:H55" si="1">H35+F36+G36</f>
        <v>-9872.02</v>
      </c>
    </row>
    <row r="37" spans="1:8">
      <c r="B37" t="s">
        <v>1074</v>
      </c>
      <c r="E37" s="63">
        <v>-500</v>
      </c>
      <c r="F37" s="63"/>
      <c r="G37" s="63">
        <v>-500</v>
      </c>
      <c r="H37" s="63">
        <f t="shared" si="1"/>
        <v>-10372.02</v>
      </c>
    </row>
    <row r="38" spans="1:8">
      <c r="B38" t="s">
        <v>78</v>
      </c>
      <c r="E38" s="63">
        <v>-2107</v>
      </c>
      <c r="F38" s="63"/>
      <c r="G38" s="63">
        <v>-2107</v>
      </c>
      <c r="H38" s="63">
        <f t="shared" si="1"/>
        <v>-12479.02</v>
      </c>
    </row>
    <row r="39" spans="1:8">
      <c r="B39" t="s">
        <v>1073</v>
      </c>
      <c r="E39" s="63">
        <v>-500</v>
      </c>
      <c r="F39" s="63"/>
      <c r="G39" s="63">
        <v>-500</v>
      </c>
      <c r="H39" s="63">
        <f t="shared" si="1"/>
        <v>-12979.02</v>
      </c>
    </row>
    <row r="40" spans="1:8">
      <c r="B40" t="s">
        <v>79</v>
      </c>
      <c r="E40" s="63">
        <v>-1500</v>
      </c>
      <c r="G40" s="63">
        <v>-1500</v>
      </c>
      <c r="H40" s="63">
        <f t="shared" si="1"/>
        <v>-14479.02</v>
      </c>
    </row>
    <row r="41" spans="1:8">
      <c r="A41" s="100">
        <v>44764</v>
      </c>
      <c r="B41" s="8" t="s">
        <v>1504</v>
      </c>
      <c r="C41" s="8" t="s">
        <v>1487</v>
      </c>
      <c r="E41" s="63">
        <v>-1038</v>
      </c>
      <c r="G41" s="63">
        <v>-1038</v>
      </c>
      <c r="H41" s="63">
        <f t="shared" si="1"/>
        <v>-15517.02</v>
      </c>
    </row>
    <row r="42" spans="1:8">
      <c r="B42" s="106"/>
      <c r="C42" s="106"/>
      <c r="D42" s="106"/>
      <c r="E42" s="63"/>
      <c r="F42" s="63"/>
      <c r="G42" s="63"/>
      <c r="H42" s="63">
        <f t="shared" si="1"/>
        <v>-15517.02</v>
      </c>
    </row>
    <row r="43" spans="1:8">
      <c r="B43" s="106" t="s">
        <v>1505</v>
      </c>
      <c r="C43" s="106"/>
      <c r="D43" s="356">
        <v>1100</v>
      </c>
      <c r="E43" s="63"/>
      <c r="F43" s="63">
        <v>1100</v>
      </c>
      <c r="G43" s="63"/>
      <c r="H43" s="63">
        <f t="shared" si="1"/>
        <v>-14417.02</v>
      </c>
    </row>
    <row r="44" spans="1:8">
      <c r="B44" t="s">
        <v>76</v>
      </c>
      <c r="D44" s="163">
        <v>4299.5</v>
      </c>
      <c r="F44" s="63">
        <v>4299.5</v>
      </c>
      <c r="G44" s="63"/>
      <c r="H44" s="63">
        <f t="shared" si="1"/>
        <v>-10117.52</v>
      </c>
    </row>
    <row r="45" spans="1:8">
      <c r="B45" t="s">
        <v>1506</v>
      </c>
      <c r="D45" s="63">
        <v>1650</v>
      </c>
      <c r="F45" s="63">
        <v>1650</v>
      </c>
      <c r="G45" s="63"/>
      <c r="H45" s="63">
        <f t="shared" si="1"/>
        <v>-8467.52</v>
      </c>
    </row>
    <row r="46" spans="1:8">
      <c r="D46" s="163"/>
      <c r="F46" s="63"/>
      <c r="G46" s="63"/>
      <c r="H46" s="63">
        <f t="shared" si="1"/>
        <v>-8467.52</v>
      </c>
    </row>
    <row r="47" spans="1:8">
      <c r="A47" s="362">
        <v>44747</v>
      </c>
      <c r="B47" s="358" t="s">
        <v>1507</v>
      </c>
      <c r="C47" s="358"/>
      <c r="D47" s="359">
        <v>4000</v>
      </c>
      <c r="E47" s="358"/>
      <c r="F47" s="360">
        <v>4000</v>
      </c>
      <c r="G47" s="63"/>
      <c r="H47" s="63">
        <f t="shared" si="1"/>
        <v>-4467.5200000000004</v>
      </c>
    </row>
    <row r="48" spans="1:8">
      <c r="A48" s="100"/>
      <c r="B48" s="354" t="s">
        <v>1485</v>
      </c>
      <c r="C48" s="354"/>
      <c r="D48" s="363">
        <v>1000</v>
      </c>
      <c r="E48" s="354"/>
      <c r="F48" s="364"/>
      <c r="G48" s="365"/>
      <c r="H48" s="63">
        <f t="shared" si="1"/>
        <v>-4467.5200000000004</v>
      </c>
    </row>
    <row r="49" spans="1:8">
      <c r="B49" t="s">
        <v>1508</v>
      </c>
      <c r="D49" s="163">
        <v>5000</v>
      </c>
      <c r="E49" s="63"/>
      <c r="F49" s="63"/>
      <c r="G49" s="63"/>
      <c r="H49" s="63">
        <f t="shared" si="1"/>
        <v>-4467.5200000000004</v>
      </c>
    </row>
    <row r="50" spans="1:8">
      <c r="B50" t="s">
        <v>1396</v>
      </c>
      <c r="D50" s="17">
        <v>4000</v>
      </c>
      <c r="E50" s="63"/>
      <c r="F50" s="63"/>
      <c r="G50" s="63"/>
      <c r="H50" s="63">
        <f t="shared" si="1"/>
        <v>-4467.5200000000004</v>
      </c>
    </row>
    <row r="51" spans="1:8">
      <c r="D51" s="163"/>
      <c r="E51" s="63"/>
      <c r="F51" s="63"/>
      <c r="G51" s="63"/>
      <c r="H51" s="63">
        <f t="shared" si="1"/>
        <v>-4467.5200000000004</v>
      </c>
    </row>
    <row r="52" spans="1:8">
      <c r="D52" s="163"/>
      <c r="E52" s="63"/>
      <c r="F52" s="63"/>
      <c r="G52" s="63"/>
      <c r="H52" s="63">
        <f t="shared" si="1"/>
        <v>-4467.5200000000004</v>
      </c>
    </row>
    <row r="53" spans="1:8">
      <c r="D53" s="163"/>
      <c r="E53" s="63"/>
      <c r="F53" s="63"/>
      <c r="G53" s="63"/>
      <c r="H53" s="63">
        <f t="shared" si="1"/>
        <v>-4467.5200000000004</v>
      </c>
    </row>
    <row r="54" spans="1:8">
      <c r="A54" s="366"/>
      <c r="B54" s="366" t="s">
        <v>1509</v>
      </c>
      <c r="C54" s="366"/>
      <c r="D54" s="367">
        <v>445.63</v>
      </c>
      <c r="E54" s="368"/>
      <c r="F54" s="366"/>
      <c r="G54" s="368"/>
      <c r="H54" s="63">
        <f t="shared" si="1"/>
        <v>-4467.5200000000004</v>
      </c>
    </row>
    <row r="55" spans="1:8">
      <c r="B55" s="366" t="s">
        <v>1397</v>
      </c>
      <c r="C55" s="366"/>
      <c r="D55" s="355">
        <v>4000</v>
      </c>
      <c r="E55" s="354"/>
      <c r="F55" s="354"/>
      <c r="G55" s="354"/>
      <c r="H55" s="63">
        <f t="shared" si="1"/>
        <v>-4467.5200000000004</v>
      </c>
    </row>
    <row r="58" spans="1:8">
      <c r="H5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4.95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1510</v>
      </c>
      <c r="C2" s="79" t="s">
        <v>67</v>
      </c>
      <c r="D2" s="306">
        <f>SUM(D4:D44)</f>
        <v>17837.05</v>
      </c>
      <c r="E2" s="306">
        <f>SUM(E4:E80)</f>
        <v>-28058.100000000002</v>
      </c>
      <c r="F2" s="306">
        <f>SUM(F4:F77)</f>
        <v>16654.189999999999</v>
      </c>
      <c r="G2" s="306">
        <f>SUM(G4:G77)</f>
        <v>-28058.1</v>
      </c>
      <c r="H2" s="306">
        <f>F2+G2</f>
        <v>-11403.91</v>
      </c>
    </row>
    <row r="3" spans="1:8">
      <c r="B3" s="18"/>
      <c r="H3" s="63"/>
    </row>
    <row r="4" spans="1:8">
      <c r="B4" s="3"/>
      <c r="C4" s="3"/>
      <c r="D4" s="3"/>
      <c r="E4" s="63"/>
      <c r="F4" s="63"/>
      <c r="G4" s="63"/>
      <c r="H4" s="63">
        <f t="shared" ref="H4:H47" si="0">H3+F4+G4</f>
        <v>0</v>
      </c>
    </row>
    <row r="5" spans="1:8">
      <c r="A5" s="366"/>
      <c r="B5" s="369" t="s">
        <v>1511</v>
      </c>
      <c r="C5" s="369"/>
      <c r="D5" s="369">
        <v>182.86</v>
      </c>
      <c r="E5" s="370"/>
      <c r="F5" s="370"/>
      <c r="G5" s="370"/>
      <c r="H5" s="63">
        <f t="shared" si="0"/>
        <v>0</v>
      </c>
    </row>
    <row r="6" spans="1:8">
      <c r="B6" t="s">
        <v>329</v>
      </c>
      <c r="D6">
        <v>996.77</v>
      </c>
      <c r="E6" s="63"/>
      <c r="F6" s="63">
        <v>996.77</v>
      </c>
      <c r="G6" s="63"/>
      <c r="H6" s="63">
        <f t="shared" si="0"/>
        <v>996.77</v>
      </c>
    </row>
    <row r="7" spans="1:8">
      <c r="B7" t="s">
        <v>1461</v>
      </c>
      <c r="D7">
        <v>249.02</v>
      </c>
      <c r="E7" s="63"/>
      <c r="F7" s="63">
        <v>249.02</v>
      </c>
      <c r="G7" s="63"/>
      <c r="H7" s="63">
        <f t="shared" si="0"/>
        <v>1245.79</v>
      </c>
    </row>
    <row r="8" spans="1:8">
      <c r="B8" t="s">
        <v>333</v>
      </c>
      <c r="D8">
        <v>140.4</v>
      </c>
      <c r="E8" s="63"/>
      <c r="F8" s="63">
        <v>140.4</v>
      </c>
      <c r="G8" s="63"/>
      <c r="H8" s="63">
        <f t="shared" si="0"/>
        <v>1386.19</v>
      </c>
    </row>
    <row r="9" spans="1:8">
      <c r="B9" s="371" t="s">
        <v>1332</v>
      </c>
      <c r="C9" s="371"/>
      <c r="D9" s="371"/>
      <c r="E9" s="372">
        <v>-1317.2</v>
      </c>
      <c r="F9" s="372"/>
      <c r="G9" s="372">
        <v>-1317.2</v>
      </c>
      <c r="H9" s="63">
        <f t="shared" si="0"/>
        <v>68.990000000000009</v>
      </c>
    </row>
    <row r="10" spans="1:8">
      <c r="B10" s="106"/>
      <c r="C10" s="106"/>
      <c r="D10" s="106"/>
      <c r="E10" s="63"/>
      <c r="F10" s="63"/>
      <c r="G10" s="63"/>
      <c r="H10" s="63">
        <f t="shared" si="0"/>
        <v>68.990000000000009</v>
      </c>
    </row>
    <row r="11" spans="1:8">
      <c r="A11" s="100">
        <v>44718</v>
      </c>
      <c r="B11" s="101" t="s">
        <v>1325</v>
      </c>
      <c r="C11" s="101"/>
      <c r="D11" s="101"/>
      <c r="E11" s="63">
        <v>-200.1</v>
      </c>
      <c r="F11" s="163"/>
      <c r="G11" s="63">
        <v>-200.1</v>
      </c>
      <c r="H11" s="63">
        <f t="shared" si="0"/>
        <v>-131.10999999999999</v>
      </c>
    </row>
    <row r="12" spans="1:8">
      <c r="A12" s="100">
        <v>44718</v>
      </c>
      <c r="B12" s="101" t="s">
        <v>1326</v>
      </c>
      <c r="C12" s="101"/>
      <c r="D12" s="101"/>
      <c r="E12" s="63">
        <v>-395.4</v>
      </c>
      <c r="F12" s="163"/>
      <c r="G12" s="63">
        <v>-395.4</v>
      </c>
      <c r="H12" s="63">
        <f t="shared" si="0"/>
        <v>-526.51</v>
      </c>
    </row>
    <row r="13" spans="1:8">
      <c r="A13" s="100"/>
      <c r="B13" s="101"/>
      <c r="C13" s="101"/>
      <c r="D13" s="101"/>
      <c r="E13" s="163"/>
      <c r="F13" s="163"/>
      <c r="G13" s="63"/>
      <c r="H13" s="63">
        <f t="shared" si="0"/>
        <v>-526.51</v>
      </c>
    </row>
    <row r="14" spans="1:8">
      <c r="A14" s="100">
        <v>44719</v>
      </c>
      <c r="B14" s="101" t="s">
        <v>1512</v>
      </c>
      <c r="C14" s="101"/>
      <c r="D14" s="101"/>
      <c r="E14" s="163"/>
      <c r="F14" s="163"/>
      <c r="G14" s="63"/>
      <c r="H14" s="63">
        <f t="shared" si="0"/>
        <v>-526.51</v>
      </c>
    </row>
    <row r="15" spans="1:8">
      <c r="B15" t="s">
        <v>1513</v>
      </c>
      <c r="C15" t="s">
        <v>1487</v>
      </c>
      <c r="E15" s="63">
        <v>-4820</v>
      </c>
      <c r="F15" s="63"/>
      <c r="G15" s="63">
        <v>-4820</v>
      </c>
      <c r="H15" s="63">
        <f t="shared" si="0"/>
        <v>-5346.51</v>
      </c>
    </row>
    <row r="16" spans="1:8">
      <c r="B16" t="s">
        <v>1514</v>
      </c>
      <c r="C16" t="s">
        <v>1515</v>
      </c>
      <c r="E16" s="63">
        <v>-250</v>
      </c>
      <c r="F16" s="63"/>
      <c r="G16" s="63">
        <v>-250</v>
      </c>
      <c r="H16" s="63">
        <f t="shared" si="0"/>
        <v>-5596.51</v>
      </c>
    </row>
    <row r="17" spans="1:8">
      <c r="F17" s="63"/>
      <c r="G17" s="63"/>
      <c r="H17" s="63">
        <f t="shared" si="0"/>
        <v>-5596.51</v>
      </c>
    </row>
    <row r="18" spans="1:8">
      <c r="B18" t="s">
        <v>1516</v>
      </c>
      <c r="E18" s="63"/>
      <c r="F18" s="63"/>
      <c r="G18" s="63"/>
      <c r="H18" s="63">
        <f t="shared" si="0"/>
        <v>-5596.51</v>
      </c>
    </row>
    <row r="19" spans="1:8">
      <c r="B19" t="s">
        <v>1517</v>
      </c>
      <c r="E19" s="63"/>
      <c r="F19" s="63"/>
      <c r="G19" s="63"/>
      <c r="H19" s="63">
        <f t="shared" si="0"/>
        <v>-5596.51</v>
      </c>
    </row>
    <row r="20" spans="1:8">
      <c r="B20" t="s">
        <v>1518</v>
      </c>
      <c r="E20" s="63"/>
      <c r="F20" s="63"/>
      <c r="G20" s="63"/>
      <c r="H20" s="63">
        <f t="shared" si="0"/>
        <v>-5596.51</v>
      </c>
    </row>
    <row r="21" spans="1:8">
      <c r="B21" t="s">
        <v>1519</v>
      </c>
      <c r="C21" t="s">
        <v>1487</v>
      </c>
      <c r="E21" s="63">
        <v>-12800</v>
      </c>
      <c r="F21" s="63"/>
      <c r="G21" s="63">
        <v>-12800</v>
      </c>
      <c r="H21" s="63">
        <f t="shared" si="0"/>
        <v>-18396.510000000002</v>
      </c>
    </row>
    <row r="22" spans="1:8">
      <c r="B22" t="s">
        <v>1520</v>
      </c>
      <c r="E22" s="63">
        <v>-421.5</v>
      </c>
      <c r="F22" s="63"/>
      <c r="G22" s="63">
        <v>-421.5</v>
      </c>
      <c r="H22" s="63">
        <f t="shared" si="0"/>
        <v>-18818.010000000002</v>
      </c>
    </row>
    <row r="23" spans="1:8">
      <c r="A23" s="100"/>
      <c r="B23" s="101"/>
      <c r="C23" s="101"/>
      <c r="D23" s="101"/>
      <c r="E23" s="163"/>
      <c r="F23" s="163"/>
      <c r="G23" s="63"/>
      <c r="H23" s="63">
        <f t="shared" si="0"/>
        <v>-18818.010000000002</v>
      </c>
    </row>
    <row r="24" spans="1:8">
      <c r="B24" s="373" t="s">
        <v>1521</v>
      </c>
      <c r="C24" s="373"/>
      <c r="D24" s="373"/>
      <c r="E24" s="374">
        <v>-177.65</v>
      </c>
      <c r="F24" s="374"/>
      <c r="G24" s="374"/>
      <c r="H24" s="63">
        <f t="shared" si="0"/>
        <v>-18818.010000000002</v>
      </c>
    </row>
    <row r="25" spans="1:8">
      <c r="B25" s="106" t="s">
        <v>1500</v>
      </c>
      <c r="C25" s="106"/>
      <c r="D25" s="106"/>
      <c r="E25" s="63">
        <v>-389.06</v>
      </c>
      <c r="F25" s="63"/>
      <c r="G25" s="63"/>
      <c r="H25" s="63">
        <f t="shared" si="0"/>
        <v>-18818.010000000002</v>
      </c>
    </row>
    <row r="26" spans="1:8">
      <c r="B26" s="106" t="s">
        <v>1522</v>
      </c>
      <c r="C26" s="106"/>
      <c r="D26" s="106"/>
      <c r="E26" s="63">
        <v>-200</v>
      </c>
      <c r="F26" s="63"/>
      <c r="G26" s="63"/>
      <c r="H26" s="63">
        <f t="shared" si="0"/>
        <v>-18818.010000000002</v>
      </c>
    </row>
    <row r="27" spans="1:8">
      <c r="B27" s="106" t="s">
        <v>1523</v>
      </c>
      <c r="C27" s="106"/>
      <c r="D27" s="106"/>
      <c r="E27" s="63">
        <v>-225</v>
      </c>
      <c r="F27" s="63"/>
      <c r="G27" s="63"/>
      <c r="H27" s="63">
        <f t="shared" si="0"/>
        <v>-18818.010000000002</v>
      </c>
    </row>
    <row r="28" spans="1:8">
      <c r="B28" s="106" t="s">
        <v>1524</v>
      </c>
      <c r="C28" s="106"/>
      <c r="D28" s="106"/>
      <c r="E28" s="63">
        <v>-300</v>
      </c>
      <c r="F28" s="63"/>
      <c r="G28" s="63"/>
      <c r="H28" s="63">
        <f t="shared" si="0"/>
        <v>-18818.010000000002</v>
      </c>
    </row>
    <row r="29" spans="1:8">
      <c r="B29" s="106" t="s">
        <v>1525</v>
      </c>
      <c r="C29" s="106"/>
      <c r="D29" s="106"/>
      <c r="E29" s="63">
        <v>-200</v>
      </c>
      <c r="F29" s="63"/>
      <c r="G29" s="63"/>
      <c r="H29" s="63">
        <f t="shared" si="0"/>
        <v>-18818.010000000002</v>
      </c>
    </row>
    <row r="30" spans="1:8">
      <c r="B30" s="106" t="s">
        <v>1057</v>
      </c>
      <c r="C30" s="106"/>
      <c r="D30" s="106"/>
      <c r="E30" s="63">
        <v>-70</v>
      </c>
      <c r="F30" s="63"/>
      <c r="G30" s="63"/>
      <c r="H30" s="63">
        <f t="shared" si="0"/>
        <v>-18818.010000000002</v>
      </c>
    </row>
    <row r="31" spans="1:8">
      <c r="A31" s="100">
        <v>44718</v>
      </c>
      <c r="B31" s="371" t="s">
        <v>1452</v>
      </c>
      <c r="C31" s="371"/>
      <c r="D31" s="371"/>
      <c r="E31" s="375"/>
      <c r="F31" s="372"/>
      <c r="G31" s="372">
        <v>-1561.71</v>
      </c>
      <c r="H31" s="63">
        <f t="shared" si="0"/>
        <v>-20379.72</v>
      </c>
    </row>
    <row r="32" spans="1:8">
      <c r="A32" s="100"/>
      <c r="B32" s="106"/>
      <c r="C32" s="106"/>
      <c r="D32" s="106"/>
      <c r="E32" s="163"/>
      <c r="F32" s="63"/>
      <c r="G32" s="63"/>
      <c r="H32" s="63">
        <f t="shared" si="0"/>
        <v>-20379.72</v>
      </c>
    </row>
    <row r="33" spans="1:8">
      <c r="A33" s="100">
        <v>44728</v>
      </c>
      <c r="B33" s="106" t="s">
        <v>1526</v>
      </c>
      <c r="C33" s="106"/>
      <c r="D33" s="106"/>
      <c r="E33" s="63">
        <v>-99.5</v>
      </c>
      <c r="F33" s="63"/>
      <c r="G33" s="63">
        <v>-130.72999999999999</v>
      </c>
      <c r="H33" s="63">
        <f t="shared" si="0"/>
        <v>-20510.45</v>
      </c>
    </row>
    <row r="34" spans="1:8">
      <c r="A34" s="100">
        <v>44729</v>
      </c>
      <c r="B34" s="106" t="s">
        <v>1432</v>
      </c>
      <c r="C34" s="106"/>
      <c r="D34" s="106"/>
      <c r="E34" s="63">
        <v>-49.96</v>
      </c>
      <c r="F34" s="63"/>
      <c r="G34" s="63">
        <v>-49.96</v>
      </c>
      <c r="H34" s="63">
        <f t="shared" si="0"/>
        <v>-20560.41</v>
      </c>
    </row>
    <row r="35" spans="1:8">
      <c r="A35" s="100">
        <v>44728</v>
      </c>
      <c r="B35" s="106" t="s">
        <v>1445</v>
      </c>
      <c r="C35" s="106"/>
      <c r="D35" s="106"/>
      <c r="E35" s="63">
        <v>-130.72999999999999</v>
      </c>
      <c r="F35" s="63"/>
      <c r="G35" s="63">
        <v>-99.5</v>
      </c>
      <c r="H35" s="63">
        <f t="shared" si="0"/>
        <v>-20659.91</v>
      </c>
    </row>
    <row r="36" spans="1:8">
      <c r="B36" s="106"/>
      <c r="C36" s="106"/>
      <c r="D36" s="106"/>
      <c r="E36" s="63"/>
      <c r="F36" s="63"/>
      <c r="G36" s="63"/>
      <c r="H36" s="63">
        <f t="shared" si="0"/>
        <v>-20659.91</v>
      </c>
    </row>
    <row r="37" spans="1:8">
      <c r="A37" s="100">
        <v>44739</v>
      </c>
      <c r="B37" s="8" t="s">
        <v>77</v>
      </c>
      <c r="E37" s="63">
        <v>-1506</v>
      </c>
      <c r="F37" s="63"/>
      <c r="G37" s="63">
        <v>-1506</v>
      </c>
      <c r="H37" s="63">
        <f t="shared" si="0"/>
        <v>-22165.91</v>
      </c>
    </row>
    <row r="38" spans="1:8">
      <c r="A38" s="100">
        <v>44739</v>
      </c>
      <c r="B38" s="8" t="s">
        <v>78</v>
      </c>
      <c r="E38" s="63">
        <v>-1506</v>
      </c>
      <c r="F38" s="63"/>
      <c r="G38" s="63">
        <v>-1506</v>
      </c>
      <c r="H38" s="63">
        <f t="shared" si="0"/>
        <v>-23671.91</v>
      </c>
    </row>
    <row r="39" spans="1:8">
      <c r="B39" t="s">
        <v>1527</v>
      </c>
      <c r="E39" s="63">
        <v>-3000</v>
      </c>
      <c r="G39" s="63">
        <v>-3000</v>
      </c>
      <c r="H39" s="63">
        <f t="shared" si="0"/>
        <v>-26671.91</v>
      </c>
    </row>
    <row r="40" spans="1:8">
      <c r="B40" s="106"/>
      <c r="C40" s="106"/>
      <c r="D40" s="106"/>
      <c r="E40" s="63"/>
      <c r="F40" s="63"/>
      <c r="G40" s="63"/>
      <c r="H40" s="63">
        <f t="shared" si="0"/>
        <v>-26671.91</v>
      </c>
    </row>
    <row r="41" spans="1:8">
      <c r="A41" s="100">
        <v>44739</v>
      </c>
      <c r="B41" s="8" t="s">
        <v>76</v>
      </c>
      <c r="D41" s="63">
        <v>3020.37</v>
      </c>
      <c r="E41" s="63"/>
      <c r="F41" s="63">
        <v>3020.37</v>
      </c>
      <c r="G41" s="63"/>
      <c r="H41" s="63">
        <f t="shared" si="0"/>
        <v>-23651.54</v>
      </c>
    </row>
    <row r="42" spans="1:8">
      <c r="A42" s="100">
        <v>44742</v>
      </c>
      <c r="B42" s="8" t="s">
        <v>1528</v>
      </c>
      <c r="D42" s="63">
        <v>1650</v>
      </c>
      <c r="F42" s="63">
        <v>1650</v>
      </c>
      <c r="G42" s="63"/>
      <c r="H42" s="63">
        <f t="shared" si="0"/>
        <v>-22001.54</v>
      </c>
    </row>
    <row r="43" spans="1:8">
      <c r="A43" s="366"/>
      <c r="B43" s="366" t="s">
        <v>1529</v>
      </c>
      <c r="C43" s="366"/>
      <c r="D43" s="368">
        <v>5000</v>
      </c>
      <c r="E43" s="368"/>
      <c r="F43" s="368"/>
      <c r="G43" s="368"/>
      <c r="H43" s="63">
        <f t="shared" si="0"/>
        <v>-22001.54</v>
      </c>
    </row>
    <row r="44" spans="1:8">
      <c r="A44">
        <v>2022</v>
      </c>
      <c r="B44" t="s">
        <v>1530</v>
      </c>
      <c r="D44" s="2">
        <v>6597.63</v>
      </c>
      <c r="F44" s="2">
        <v>6597.63</v>
      </c>
      <c r="H44" s="63">
        <f t="shared" si="0"/>
        <v>-15403.91</v>
      </c>
    </row>
    <row r="45" spans="1:8">
      <c r="D45" s="2"/>
      <c r="F45" s="2"/>
      <c r="H45" s="63">
        <f t="shared" si="0"/>
        <v>-15403.91</v>
      </c>
    </row>
    <row r="46" spans="1:8">
      <c r="A46" s="362">
        <v>44732</v>
      </c>
      <c r="B46" s="358" t="s">
        <v>1531</v>
      </c>
      <c r="C46" s="358"/>
      <c r="D46" s="358"/>
      <c r="E46" s="358"/>
      <c r="F46" s="360">
        <v>4000</v>
      </c>
      <c r="G46" s="358"/>
      <c r="H46" s="63">
        <f t="shared" si="0"/>
        <v>-11403.91</v>
      </c>
    </row>
    <row r="47" spans="1:8">
      <c r="A47" s="366"/>
      <c r="B47" s="366" t="s">
        <v>1397</v>
      </c>
      <c r="C47" s="366"/>
      <c r="D47" s="376">
        <v>4000</v>
      </c>
      <c r="E47" s="366"/>
      <c r="F47" s="366"/>
      <c r="G47" s="366"/>
      <c r="H47" s="63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1532</v>
      </c>
      <c r="B1" s="41">
        <v>2.98</v>
      </c>
      <c r="F1" s="189" t="s">
        <v>28</v>
      </c>
      <c r="G1" s="189" t="s">
        <v>29</v>
      </c>
      <c r="H1" s="189" t="s">
        <v>3</v>
      </c>
    </row>
    <row r="2" spans="1:8">
      <c r="A2" s="3" t="s">
        <v>1533</v>
      </c>
      <c r="C2" s="79" t="s">
        <v>67</v>
      </c>
      <c r="D2" s="306">
        <f>SUM(D4:D32)</f>
        <v>11328.34</v>
      </c>
      <c r="E2" s="306">
        <f>SUM(E4:E68)</f>
        <v>-7712.66</v>
      </c>
      <c r="F2" s="306">
        <f>SUM(F4:F65)</f>
        <v>9522.369999999999</v>
      </c>
      <c r="G2" s="306">
        <f>SUM(G4:G65)</f>
        <v>-7722.66</v>
      </c>
      <c r="H2" s="306">
        <f>F2+G2</f>
        <v>1799.7099999999991</v>
      </c>
    </row>
    <row r="3" spans="1:8">
      <c r="B3" s="18"/>
      <c r="E3" s="189"/>
      <c r="F3" s="189"/>
      <c r="G3" s="189"/>
      <c r="H3" s="63"/>
    </row>
    <row r="4" spans="1:8">
      <c r="B4" s="3"/>
      <c r="C4" s="3"/>
      <c r="D4" s="3"/>
      <c r="E4" s="63"/>
      <c r="F4" s="63"/>
      <c r="G4" s="63"/>
      <c r="H4" s="63">
        <f t="shared" ref="H4:H34" si="0">H3+F4+G4</f>
        <v>0</v>
      </c>
    </row>
    <row r="5" spans="1:8">
      <c r="B5" t="s">
        <v>1511</v>
      </c>
      <c r="D5">
        <v>155.6</v>
      </c>
      <c r="E5" s="63"/>
      <c r="F5" s="63">
        <v>155</v>
      </c>
      <c r="G5" s="63"/>
      <c r="H5" s="63">
        <f t="shared" si="0"/>
        <v>155</v>
      </c>
    </row>
    <row r="6" spans="1:8">
      <c r="B6" t="s">
        <v>329</v>
      </c>
      <c r="D6">
        <v>1036.21</v>
      </c>
      <c r="E6" s="63"/>
      <c r="F6" s="63">
        <v>1035</v>
      </c>
      <c r="G6" s="63"/>
      <c r="H6" s="63">
        <f t="shared" si="0"/>
        <v>1190</v>
      </c>
    </row>
    <row r="7" spans="1:8">
      <c r="B7" t="s">
        <v>1534</v>
      </c>
      <c r="D7">
        <v>153.68</v>
      </c>
      <c r="E7" s="63"/>
      <c r="F7" s="63">
        <v>350</v>
      </c>
      <c r="G7" s="63"/>
      <c r="H7" s="63">
        <f t="shared" si="0"/>
        <v>1540</v>
      </c>
    </row>
    <row r="8" spans="1:8">
      <c r="B8" t="s">
        <v>1441</v>
      </c>
      <c r="D8">
        <v>230.48</v>
      </c>
      <c r="E8" s="63"/>
      <c r="F8" s="63">
        <v>230</v>
      </c>
      <c r="G8" s="63"/>
      <c r="H8" s="63">
        <f t="shared" si="0"/>
        <v>1770</v>
      </c>
    </row>
    <row r="9" spans="1:8">
      <c r="B9" t="s">
        <v>333</v>
      </c>
      <c r="D9">
        <v>82</v>
      </c>
      <c r="E9" s="63"/>
      <c r="F9" s="63">
        <v>82</v>
      </c>
      <c r="G9" s="63"/>
      <c r="H9" s="63">
        <f t="shared" si="0"/>
        <v>1852</v>
      </c>
    </row>
    <row r="10" spans="1:8">
      <c r="A10" s="100">
        <v>44691</v>
      </c>
      <c r="B10" s="106" t="s">
        <v>1332</v>
      </c>
      <c r="C10" s="106"/>
      <c r="D10" s="106"/>
      <c r="E10" s="63">
        <v>-1360.1</v>
      </c>
      <c r="F10" s="63"/>
      <c r="G10" s="63">
        <v>-1360.1</v>
      </c>
      <c r="H10" s="63">
        <f t="shared" si="0"/>
        <v>491.90000000000009</v>
      </c>
    </row>
    <row r="11" spans="1:8">
      <c r="A11" s="100">
        <v>44686</v>
      </c>
      <c r="B11" s="101" t="s">
        <v>1325</v>
      </c>
      <c r="C11" s="101"/>
      <c r="D11" s="101"/>
      <c r="E11" s="63">
        <v>-197.1</v>
      </c>
      <c r="F11" s="63"/>
      <c r="G11" s="63">
        <v>-197.1</v>
      </c>
      <c r="H11" s="63">
        <f t="shared" si="0"/>
        <v>294.80000000000007</v>
      </c>
    </row>
    <row r="12" spans="1:8">
      <c r="A12" s="100">
        <v>44686</v>
      </c>
      <c r="B12" s="101" t="s">
        <v>1326</v>
      </c>
      <c r="C12" s="101"/>
      <c r="D12" s="101"/>
      <c r="E12" s="63">
        <v>-365.7</v>
      </c>
      <c r="F12" s="63"/>
      <c r="G12" s="63">
        <v>-365.7</v>
      </c>
      <c r="H12" s="63">
        <f t="shared" si="0"/>
        <v>-70.89999999999992</v>
      </c>
    </row>
    <row r="13" spans="1:8">
      <c r="B13" s="106"/>
      <c r="C13" s="106"/>
      <c r="D13" s="106"/>
      <c r="E13" s="63"/>
      <c r="F13" s="63"/>
      <c r="G13" s="63"/>
      <c r="H13" s="63">
        <f t="shared" si="0"/>
        <v>-70.89999999999992</v>
      </c>
    </row>
    <row r="14" spans="1:8">
      <c r="B14" s="106" t="s">
        <v>1432</v>
      </c>
      <c r="C14" s="106"/>
      <c r="D14" s="106"/>
      <c r="E14" s="63">
        <v>-54.54</v>
      </c>
      <c r="F14" s="63"/>
      <c r="G14" s="63">
        <v>-54.54</v>
      </c>
      <c r="H14" s="63">
        <f t="shared" si="0"/>
        <v>-125.43999999999991</v>
      </c>
    </row>
    <row r="15" spans="1:8">
      <c r="B15" s="106" t="s">
        <v>1445</v>
      </c>
      <c r="C15" s="106"/>
      <c r="D15" s="106"/>
      <c r="E15" s="63">
        <v>-327.25</v>
      </c>
      <c r="F15" s="63"/>
      <c r="G15" s="63">
        <v>-327.25</v>
      </c>
      <c r="H15" s="63">
        <f t="shared" si="0"/>
        <v>-452.68999999999994</v>
      </c>
    </row>
    <row r="16" spans="1:8">
      <c r="B16" s="106"/>
      <c r="C16" s="106"/>
      <c r="D16" s="106"/>
      <c r="E16" s="63"/>
      <c r="F16" s="63"/>
      <c r="G16" s="63"/>
      <c r="H16" s="63">
        <f t="shared" si="0"/>
        <v>-452.68999999999994</v>
      </c>
    </row>
    <row r="17" spans="1:8">
      <c r="B17" s="373" t="s">
        <v>132</v>
      </c>
      <c r="C17" s="373"/>
      <c r="D17" s="373"/>
      <c r="E17" s="374">
        <v>-100</v>
      </c>
      <c r="F17" s="374"/>
      <c r="G17" s="374"/>
      <c r="H17" s="63">
        <f t="shared" si="0"/>
        <v>-452.68999999999994</v>
      </c>
    </row>
    <row r="18" spans="1:8">
      <c r="B18" s="106" t="s">
        <v>1535</v>
      </c>
      <c r="C18" s="106"/>
      <c r="D18" s="106"/>
      <c r="E18" s="63">
        <v>-115.31</v>
      </c>
      <c r="F18" s="63"/>
      <c r="G18" s="63"/>
      <c r="H18" s="63">
        <f t="shared" si="0"/>
        <v>-452.68999999999994</v>
      </c>
    </row>
    <row r="19" spans="1:8">
      <c r="B19" s="106" t="s">
        <v>1535</v>
      </c>
      <c r="C19" s="106"/>
      <c r="D19" s="106"/>
      <c r="E19" s="63">
        <v>-39.18</v>
      </c>
      <c r="F19" s="63"/>
      <c r="G19" s="63"/>
      <c r="H19" s="63">
        <f t="shared" si="0"/>
        <v>-452.68999999999994</v>
      </c>
    </row>
    <row r="20" spans="1:8">
      <c r="B20" s="106" t="s">
        <v>132</v>
      </c>
      <c r="C20" s="106"/>
      <c r="D20" s="106"/>
      <c r="E20" s="63">
        <v>-200</v>
      </c>
      <c r="F20" s="63"/>
      <c r="G20" s="63"/>
      <c r="H20" s="63">
        <f t="shared" si="0"/>
        <v>-452.68999999999994</v>
      </c>
    </row>
    <row r="21" spans="1:8">
      <c r="B21" s="106" t="s">
        <v>1347</v>
      </c>
      <c r="C21" s="106"/>
      <c r="D21" s="106"/>
      <c r="E21" s="63">
        <v>-70</v>
      </c>
      <c r="F21" s="63"/>
      <c r="G21" s="63"/>
      <c r="H21" s="63">
        <f t="shared" si="0"/>
        <v>-452.68999999999994</v>
      </c>
    </row>
    <row r="22" spans="1:8">
      <c r="B22" s="106" t="s">
        <v>1536</v>
      </c>
      <c r="C22" s="106"/>
      <c r="D22" s="106"/>
      <c r="E22" s="63">
        <v>-205.83</v>
      </c>
      <c r="F22" s="63"/>
      <c r="G22" s="63"/>
      <c r="H22" s="63">
        <f t="shared" si="0"/>
        <v>-452.68999999999994</v>
      </c>
    </row>
    <row r="23" spans="1:8">
      <c r="B23" s="106" t="s">
        <v>1537</v>
      </c>
      <c r="C23" s="106"/>
      <c r="D23" s="106"/>
      <c r="E23" s="63">
        <v>-177.65</v>
      </c>
      <c r="F23" s="63"/>
      <c r="G23" s="63"/>
      <c r="H23" s="63">
        <f t="shared" si="0"/>
        <v>-452.68999999999994</v>
      </c>
    </row>
    <row r="24" spans="1:8">
      <c r="A24" s="100">
        <v>44686</v>
      </c>
      <c r="B24" s="371" t="s">
        <v>1452</v>
      </c>
      <c r="C24" s="371"/>
      <c r="D24" s="371"/>
      <c r="E24" s="375"/>
      <c r="F24" s="372"/>
      <c r="G24" s="372">
        <v>-907.97</v>
      </c>
      <c r="H24" s="63">
        <f t="shared" si="0"/>
        <v>-1360.6599999999999</v>
      </c>
    </row>
    <row r="25" spans="1:8">
      <c r="B25" s="106"/>
      <c r="C25" s="106"/>
      <c r="D25" s="106"/>
      <c r="E25" s="63"/>
      <c r="F25" s="63"/>
      <c r="G25" s="63"/>
      <c r="H25" s="63">
        <f t="shared" si="0"/>
        <v>-1360.6599999999999</v>
      </c>
    </row>
    <row r="26" spans="1:8">
      <c r="A26" s="100">
        <v>44708</v>
      </c>
      <c r="B26" s="8" t="s">
        <v>77</v>
      </c>
      <c r="E26" s="63">
        <v>-1500</v>
      </c>
      <c r="F26" s="63"/>
      <c r="G26" s="63">
        <v>-1505</v>
      </c>
      <c r="H26" s="63">
        <f t="shared" si="0"/>
        <v>-2865.66</v>
      </c>
    </row>
    <row r="27" spans="1:8">
      <c r="A27" s="100">
        <v>44708</v>
      </c>
      <c r="B27" s="8" t="s">
        <v>78</v>
      </c>
      <c r="E27" s="63">
        <v>-1500</v>
      </c>
      <c r="F27" s="63"/>
      <c r="G27" s="63">
        <v>-1505</v>
      </c>
      <c r="H27" s="63">
        <f t="shared" si="0"/>
        <v>-4370.66</v>
      </c>
    </row>
    <row r="28" spans="1:8">
      <c r="A28" s="100">
        <v>44708</v>
      </c>
      <c r="B28" s="8" t="s">
        <v>79</v>
      </c>
      <c r="E28" s="63">
        <v>-1500</v>
      </c>
      <c r="F28" s="63"/>
      <c r="G28" s="63">
        <v>-1500</v>
      </c>
      <c r="H28" s="63">
        <f t="shared" si="0"/>
        <v>-5870.66</v>
      </c>
    </row>
    <row r="29" spans="1:8">
      <c r="E29" s="63"/>
      <c r="F29" s="63"/>
      <c r="G29" s="63"/>
      <c r="H29" s="63">
        <f t="shared" si="0"/>
        <v>-5870.66</v>
      </c>
    </row>
    <row r="30" spans="1:8">
      <c r="A30" s="100">
        <v>44708</v>
      </c>
      <c r="B30" s="8" t="s">
        <v>76</v>
      </c>
      <c r="D30" s="63">
        <v>3020.37</v>
      </c>
      <c r="E30" s="63"/>
      <c r="F30" s="63">
        <v>3020.37</v>
      </c>
      <c r="G30" s="63"/>
      <c r="H30" s="63">
        <f t="shared" si="0"/>
        <v>-2850.29</v>
      </c>
    </row>
    <row r="31" spans="1:8">
      <c r="A31" s="100">
        <v>44711</v>
      </c>
      <c r="B31" s="8" t="s">
        <v>671</v>
      </c>
      <c r="D31" s="63">
        <v>1650</v>
      </c>
      <c r="F31" s="63">
        <v>1650</v>
      </c>
      <c r="G31" s="63"/>
      <c r="H31" s="63">
        <f t="shared" si="0"/>
        <v>-1200.29</v>
      </c>
    </row>
    <row r="32" spans="1:8">
      <c r="A32" s="100">
        <v>44711</v>
      </c>
      <c r="B32" s="8" t="s">
        <v>1538</v>
      </c>
      <c r="C32" s="377"/>
      <c r="D32" s="63">
        <v>5000</v>
      </c>
      <c r="E32" s="63"/>
      <c r="F32" s="63">
        <v>3000</v>
      </c>
      <c r="G32" s="63"/>
      <c r="H32" s="63">
        <f t="shared" si="0"/>
        <v>1799.71</v>
      </c>
    </row>
    <row r="33" spans="1:8">
      <c r="F33" s="63"/>
      <c r="G33" s="63"/>
      <c r="H33" s="63">
        <f t="shared" si="0"/>
        <v>1799.71</v>
      </c>
    </row>
    <row r="34" spans="1:8">
      <c r="A34" s="378"/>
      <c r="B34" s="366" t="s">
        <v>1531</v>
      </c>
      <c r="C34" s="366"/>
      <c r="D34" s="379">
        <v>4000</v>
      </c>
      <c r="E34" s="366"/>
      <c r="F34" s="368"/>
      <c r="G34" s="368"/>
      <c r="H34" s="63">
        <f t="shared" si="0"/>
        <v>1799.71</v>
      </c>
    </row>
    <row r="35" spans="1:8">
      <c r="F35" s="63"/>
      <c r="G35" s="63"/>
      <c r="H35" s="63"/>
    </row>
    <row r="36" spans="1:8">
      <c r="F36" s="63"/>
      <c r="G36" s="63"/>
      <c r="H36" s="63"/>
    </row>
    <row r="37" spans="1:8">
      <c r="E37" s="63"/>
      <c r="F37" s="63"/>
      <c r="G37" s="63"/>
      <c r="H37" s="63"/>
    </row>
    <row r="38" spans="1:8">
      <c r="E38" s="63"/>
      <c r="F38" s="63"/>
      <c r="G38" s="63"/>
      <c r="H38" s="63"/>
    </row>
    <row r="39" spans="1:8">
      <c r="H39" s="63"/>
    </row>
    <row r="40" spans="1:8">
      <c r="H40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1">
        <v>7.25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1539</v>
      </c>
      <c r="C2" s="79" t="s">
        <v>67</v>
      </c>
      <c r="D2" s="306">
        <f>SUM(D5:D66)</f>
        <v>15937.59</v>
      </c>
      <c r="E2" s="306">
        <f>SUM(E5:E66)</f>
        <v>-11790.68</v>
      </c>
      <c r="F2" s="306">
        <f>SUM(F5:F66)</f>
        <v>17940.28</v>
      </c>
      <c r="G2" s="306">
        <f>SUM(G5:G66)</f>
        <v>-11140.68</v>
      </c>
      <c r="H2" s="306">
        <f>F2+G2</f>
        <v>6799.5999999999985</v>
      </c>
    </row>
    <row r="3" spans="1:8">
      <c r="A3" s="100"/>
      <c r="B3" s="18"/>
      <c r="E3" s="63"/>
      <c r="F3" s="63"/>
      <c r="G3" s="63"/>
      <c r="H3" s="63"/>
    </row>
    <row r="4" spans="1:8">
      <c r="A4" s="100"/>
      <c r="E4" s="63"/>
      <c r="F4" s="63"/>
      <c r="G4" s="63"/>
      <c r="H4" s="63">
        <f t="shared" ref="H4:H36" si="0">H3+F4+G4</f>
        <v>0</v>
      </c>
    </row>
    <row r="5" spans="1:8">
      <c r="A5" s="100">
        <v>44658</v>
      </c>
      <c r="B5" s="8" t="s">
        <v>1511</v>
      </c>
      <c r="D5">
        <v>257.31</v>
      </c>
      <c r="E5" s="63"/>
      <c r="F5" s="63">
        <v>260</v>
      </c>
      <c r="G5" s="63"/>
      <c r="H5" s="63">
        <f t="shared" si="0"/>
        <v>260</v>
      </c>
    </row>
    <row r="6" spans="1:8">
      <c r="A6" s="100"/>
      <c r="B6" s="8" t="s">
        <v>329</v>
      </c>
      <c r="D6">
        <v>1089.6300000000001</v>
      </c>
      <c r="E6" s="63"/>
      <c r="F6" s="63">
        <v>1089.6300000000001</v>
      </c>
      <c r="G6" s="63"/>
      <c r="H6" s="63">
        <f t="shared" si="0"/>
        <v>1349.63</v>
      </c>
    </row>
    <row r="7" spans="1:8">
      <c r="A7" s="100">
        <v>44654</v>
      </c>
      <c r="B7" s="8" t="s">
        <v>1461</v>
      </c>
      <c r="D7">
        <v>384.4</v>
      </c>
      <c r="E7" s="63"/>
      <c r="F7" s="63">
        <v>384.4</v>
      </c>
      <c r="G7" s="63"/>
      <c r="H7" s="63">
        <f t="shared" si="0"/>
        <v>1734.0300000000002</v>
      </c>
    </row>
    <row r="8" spans="1:8">
      <c r="A8" s="100">
        <v>44654</v>
      </c>
      <c r="B8" s="8" t="s">
        <v>333</v>
      </c>
      <c r="D8">
        <v>85.88</v>
      </c>
      <c r="E8" s="63"/>
      <c r="F8" s="63">
        <v>85.88</v>
      </c>
      <c r="G8" s="63"/>
      <c r="H8" s="63">
        <f t="shared" si="0"/>
        <v>1819.9100000000003</v>
      </c>
    </row>
    <row r="9" spans="1:8">
      <c r="A9" s="100"/>
      <c r="B9" s="106" t="s">
        <v>1332</v>
      </c>
      <c r="C9" s="106"/>
      <c r="D9" s="106"/>
      <c r="E9" s="63">
        <v>-1578.43</v>
      </c>
      <c r="F9" s="63"/>
      <c r="G9" s="63">
        <v>-1578.43</v>
      </c>
      <c r="H9" s="63">
        <f t="shared" si="0"/>
        <v>241.48000000000025</v>
      </c>
    </row>
    <row r="10" spans="1:8">
      <c r="A10" s="100">
        <v>44655</v>
      </c>
      <c r="B10" s="101" t="s">
        <v>1325</v>
      </c>
      <c r="C10" s="101"/>
      <c r="D10" s="101"/>
      <c r="E10" s="63">
        <v>-383.8</v>
      </c>
      <c r="F10" s="163"/>
      <c r="G10" s="63">
        <v>-383.8</v>
      </c>
      <c r="H10" s="63">
        <f t="shared" si="0"/>
        <v>-142.31999999999977</v>
      </c>
    </row>
    <row r="11" spans="1:8">
      <c r="A11" s="100">
        <v>44655</v>
      </c>
      <c r="B11" s="101" t="s">
        <v>1326</v>
      </c>
      <c r="C11" s="101"/>
      <c r="D11" s="101"/>
      <c r="E11" s="63">
        <v>-171.6</v>
      </c>
      <c r="F11" s="163"/>
      <c r="G11" s="63">
        <v>-171.6</v>
      </c>
      <c r="H11" s="63">
        <f t="shared" si="0"/>
        <v>-313.91999999999973</v>
      </c>
    </row>
    <row r="12" spans="1:8">
      <c r="A12" s="100"/>
      <c r="B12" s="101"/>
      <c r="C12" s="101"/>
      <c r="D12" s="101"/>
      <c r="F12" s="163"/>
      <c r="G12" s="63"/>
      <c r="H12" s="63">
        <f t="shared" si="0"/>
        <v>-313.91999999999973</v>
      </c>
    </row>
    <row r="13" spans="1:8">
      <c r="A13" s="100"/>
      <c r="B13" s="106" t="s">
        <v>1432</v>
      </c>
      <c r="C13" s="106"/>
      <c r="D13" s="106"/>
      <c r="E13" s="63">
        <v>-600</v>
      </c>
      <c r="F13" s="63"/>
      <c r="G13" s="63"/>
      <c r="H13" s="63">
        <f t="shared" si="0"/>
        <v>-313.91999999999973</v>
      </c>
    </row>
    <row r="14" spans="1:8">
      <c r="A14" s="100"/>
      <c r="B14" s="106" t="s">
        <v>1445</v>
      </c>
      <c r="C14" s="106"/>
      <c r="D14" s="106"/>
      <c r="E14" s="63">
        <v>-50</v>
      </c>
      <c r="F14" s="63"/>
      <c r="G14" s="63"/>
      <c r="H14" s="63">
        <f t="shared" si="0"/>
        <v>-313.91999999999973</v>
      </c>
    </row>
    <row r="15" spans="1:8">
      <c r="A15" s="100"/>
      <c r="B15" s="101"/>
      <c r="C15" s="101"/>
      <c r="D15" s="101"/>
      <c r="E15" s="63"/>
      <c r="F15" s="163"/>
      <c r="G15" s="63"/>
      <c r="H15" s="63">
        <f t="shared" si="0"/>
        <v>-313.91999999999973</v>
      </c>
    </row>
    <row r="16" spans="1:8">
      <c r="A16" s="100"/>
      <c r="B16" s="373" t="s">
        <v>1540</v>
      </c>
      <c r="C16" s="373"/>
      <c r="D16" s="373"/>
      <c r="E16" s="374">
        <v>-169</v>
      </c>
      <c r="F16" s="380"/>
      <c r="G16" s="374"/>
      <c r="H16" s="63">
        <f t="shared" si="0"/>
        <v>-313.91999999999973</v>
      </c>
    </row>
    <row r="17" spans="1:8">
      <c r="A17" s="100"/>
      <c r="B17" s="106" t="s">
        <v>1541</v>
      </c>
      <c r="C17" s="106"/>
      <c r="D17" s="106"/>
      <c r="E17" s="63">
        <v>-3270</v>
      </c>
      <c r="F17" s="163"/>
      <c r="G17" s="63"/>
      <c r="H17" s="63">
        <f t="shared" si="0"/>
        <v>-313.91999999999973</v>
      </c>
    </row>
    <row r="18" spans="1:8">
      <c r="A18" s="100"/>
      <c r="B18" s="106" t="s">
        <v>1542</v>
      </c>
      <c r="C18" s="106"/>
      <c r="D18" s="106"/>
      <c r="E18" s="63">
        <v>-238</v>
      </c>
      <c r="F18" s="163"/>
      <c r="G18" s="63"/>
      <c r="H18" s="63">
        <f t="shared" si="0"/>
        <v>-313.91999999999973</v>
      </c>
    </row>
    <row r="19" spans="1:8">
      <c r="A19" s="100"/>
      <c r="B19" s="106" t="s">
        <v>1543</v>
      </c>
      <c r="C19" s="106"/>
      <c r="D19" s="106"/>
      <c r="E19" s="63">
        <v>-11.9</v>
      </c>
      <c r="F19" s="163"/>
      <c r="G19" s="63"/>
      <c r="H19" s="63">
        <f t="shared" si="0"/>
        <v>-313.91999999999973</v>
      </c>
    </row>
    <row r="20" spans="1:8">
      <c r="A20" s="100"/>
      <c r="B20" s="106" t="s">
        <v>1544</v>
      </c>
      <c r="C20" s="106"/>
      <c r="D20" s="106"/>
      <c r="E20" s="63">
        <v>-177.65</v>
      </c>
      <c r="F20" s="163"/>
      <c r="G20" s="63"/>
      <c r="H20" s="63">
        <f t="shared" si="0"/>
        <v>-313.91999999999973</v>
      </c>
    </row>
    <row r="21" spans="1:8">
      <c r="A21" s="100"/>
      <c r="B21" s="106" t="s">
        <v>1545</v>
      </c>
      <c r="C21" s="106"/>
      <c r="D21" s="106"/>
      <c r="E21" s="63">
        <v>-132.30000000000001</v>
      </c>
      <c r="F21" s="163"/>
      <c r="G21" s="63"/>
      <c r="H21" s="63">
        <f t="shared" si="0"/>
        <v>-313.91999999999973</v>
      </c>
    </row>
    <row r="22" spans="1:8">
      <c r="A22" s="100">
        <v>44655</v>
      </c>
      <c r="B22" s="371" t="s">
        <v>1452</v>
      </c>
      <c r="C22" s="371"/>
      <c r="D22" s="371"/>
      <c r="E22" s="375"/>
      <c r="F22" s="375"/>
      <c r="G22" s="372">
        <v>-3998.85</v>
      </c>
      <c r="H22" s="63">
        <f t="shared" si="0"/>
        <v>-4312.7699999999995</v>
      </c>
    </row>
    <row r="23" spans="1:8">
      <c r="A23" s="100"/>
      <c r="B23" s="106"/>
      <c r="C23" s="106"/>
      <c r="D23" s="106"/>
      <c r="E23" s="163"/>
      <c r="F23" s="163"/>
      <c r="G23" s="63"/>
      <c r="H23" s="63">
        <f t="shared" si="0"/>
        <v>-4312.7699999999995</v>
      </c>
    </row>
    <row r="24" spans="1:8">
      <c r="A24" s="100"/>
      <c r="B24" s="8" t="s">
        <v>77</v>
      </c>
      <c r="E24" s="63">
        <v>-1504</v>
      </c>
      <c r="G24" s="63">
        <v>-1504</v>
      </c>
      <c r="H24" s="63">
        <f t="shared" si="0"/>
        <v>-5816.7699999999995</v>
      </c>
    </row>
    <row r="25" spans="1:8">
      <c r="A25" s="100"/>
      <c r="B25" s="8" t="s">
        <v>78</v>
      </c>
      <c r="E25" s="63">
        <v>-1504</v>
      </c>
      <c r="G25" s="63">
        <v>-1504</v>
      </c>
      <c r="H25" s="63">
        <f t="shared" si="0"/>
        <v>-7320.7699999999995</v>
      </c>
    </row>
    <row r="26" spans="1:8">
      <c r="A26" s="100"/>
      <c r="B26" s="8" t="s">
        <v>1546</v>
      </c>
      <c r="E26" s="63">
        <v>-500</v>
      </c>
      <c r="G26" s="63">
        <v>-500</v>
      </c>
      <c r="H26" s="63">
        <f t="shared" si="0"/>
        <v>-7820.7699999999995</v>
      </c>
    </row>
    <row r="27" spans="1:8">
      <c r="B27" t="s">
        <v>79</v>
      </c>
      <c r="E27" s="63">
        <v>-1500</v>
      </c>
      <c r="G27" s="63">
        <v>-1500</v>
      </c>
      <c r="H27" s="63">
        <f t="shared" si="0"/>
        <v>-9320.77</v>
      </c>
    </row>
    <row r="28" spans="1:8">
      <c r="H28" s="63">
        <f t="shared" si="0"/>
        <v>-9320.77</v>
      </c>
    </row>
    <row r="29" spans="1:8">
      <c r="A29" s="100"/>
      <c r="B29" s="8" t="s">
        <v>76</v>
      </c>
      <c r="D29" s="63">
        <v>3020.37</v>
      </c>
      <c r="E29" s="63"/>
      <c r="F29" s="63">
        <v>3020.37</v>
      </c>
      <c r="G29" s="63"/>
      <c r="H29" s="63">
        <f t="shared" si="0"/>
        <v>-6300.4000000000005</v>
      </c>
    </row>
    <row r="30" spans="1:8">
      <c r="A30" s="100">
        <v>44655</v>
      </c>
      <c r="B30" s="8" t="s">
        <v>1547</v>
      </c>
      <c r="D30" s="63">
        <v>2500</v>
      </c>
      <c r="E30" s="63"/>
      <c r="F30" s="63">
        <v>2500</v>
      </c>
      <c r="G30" s="63"/>
      <c r="H30" s="63">
        <f t="shared" si="0"/>
        <v>-3800.4000000000005</v>
      </c>
    </row>
    <row r="31" spans="1:8">
      <c r="A31" s="100">
        <v>44693</v>
      </c>
      <c r="B31" s="8" t="s">
        <v>1548</v>
      </c>
      <c r="D31" s="63">
        <v>1600</v>
      </c>
      <c r="F31" s="63">
        <v>1600</v>
      </c>
      <c r="G31" s="63"/>
      <c r="H31" s="63">
        <f t="shared" si="0"/>
        <v>-2200.4000000000005</v>
      </c>
    </row>
    <row r="32" spans="1:8">
      <c r="A32" s="100">
        <v>44691</v>
      </c>
      <c r="B32" s="358" t="s">
        <v>1549</v>
      </c>
      <c r="C32" s="377"/>
      <c r="D32" s="63">
        <v>3000</v>
      </c>
      <c r="F32" s="63">
        <v>5000</v>
      </c>
      <c r="G32" s="63"/>
      <c r="H32" s="63">
        <f t="shared" si="0"/>
        <v>2799.5999999999995</v>
      </c>
    </row>
    <row r="33" spans="1:8">
      <c r="H33" s="63">
        <f t="shared" si="0"/>
        <v>2799.5999999999995</v>
      </c>
    </row>
    <row r="34" spans="1:8">
      <c r="A34" s="100">
        <v>44688</v>
      </c>
      <c r="B34" s="8" t="s">
        <v>1550</v>
      </c>
      <c r="D34" s="2">
        <v>4000</v>
      </c>
      <c r="F34" s="2">
        <v>4000</v>
      </c>
      <c r="H34" s="63">
        <f t="shared" si="0"/>
        <v>6799.5999999999995</v>
      </c>
    </row>
    <row r="35" spans="1:8">
      <c r="A35" s="100"/>
      <c r="B35" s="8" t="s">
        <v>1551</v>
      </c>
      <c r="D35" s="63"/>
      <c r="F35" s="63"/>
      <c r="G35" s="63"/>
      <c r="H35" s="63">
        <f t="shared" si="0"/>
        <v>6799.5999999999995</v>
      </c>
    </row>
    <row r="36" spans="1:8">
      <c r="H36" s="63">
        <f t="shared" si="0"/>
        <v>6799.5999999999995</v>
      </c>
    </row>
    <row r="38" spans="1:8">
      <c r="A38" s="100"/>
      <c r="F38" s="63"/>
      <c r="G38" s="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1">
        <v>5.46</v>
      </c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1552</v>
      </c>
      <c r="C2" s="79" t="s">
        <v>67</v>
      </c>
      <c r="D2" s="306">
        <f>SUM(D5:D61)</f>
        <v>36859.61</v>
      </c>
      <c r="E2" s="306">
        <f>SUM(E5:E61)</f>
        <v>-30109.3</v>
      </c>
      <c r="F2" s="306">
        <f>SUM(F5:F61)</f>
        <v>35859.61</v>
      </c>
      <c r="G2" s="306">
        <f>SUM(G5:G61)</f>
        <v>-30109.3</v>
      </c>
      <c r="H2" s="306">
        <f>F2+G2</f>
        <v>5750.3100000000013</v>
      </c>
    </row>
    <row r="3" spans="1:9">
      <c r="A3" s="100"/>
      <c r="B3" s="18"/>
      <c r="C3" s="3"/>
      <c r="D3" s="3"/>
      <c r="E3" s="163"/>
      <c r="F3" s="163"/>
      <c r="G3" s="163"/>
      <c r="H3" s="63"/>
      <c r="I3" s="3"/>
    </row>
    <row r="4" spans="1:9">
      <c r="A4" s="100"/>
      <c r="B4" s="3"/>
      <c r="C4" s="3"/>
      <c r="D4" s="3"/>
      <c r="E4" s="163"/>
      <c r="F4" s="163"/>
      <c r="G4" s="163"/>
      <c r="H4" s="63">
        <f t="shared" ref="H4:H32" si="0">H3+F4+G4</f>
        <v>0</v>
      </c>
      <c r="I4" s="3"/>
    </row>
    <row r="5" spans="1:9">
      <c r="A5" s="100">
        <v>44623</v>
      </c>
      <c r="B5" s="8" t="s">
        <v>1511</v>
      </c>
      <c r="C5" s="8" t="s">
        <v>1553</v>
      </c>
      <c r="D5" s="63">
        <v>375.6</v>
      </c>
      <c r="F5" s="63">
        <v>375.6</v>
      </c>
      <c r="G5" s="63"/>
      <c r="H5" s="63">
        <f t="shared" si="0"/>
        <v>375.6</v>
      </c>
    </row>
    <row r="6" spans="1:9">
      <c r="A6" s="100">
        <v>44623</v>
      </c>
      <c r="B6" s="8" t="s">
        <v>329</v>
      </c>
      <c r="C6" s="8" t="s">
        <v>1553</v>
      </c>
      <c r="D6" s="63">
        <v>1137.8800000000001</v>
      </c>
      <c r="F6" s="63">
        <v>1137.8800000000001</v>
      </c>
      <c r="G6" s="63"/>
      <c r="H6" s="63">
        <f t="shared" si="0"/>
        <v>1513.48</v>
      </c>
    </row>
    <row r="7" spans="1:9">
      <c r="A7" s="100">
        <v>44623</v>
      </c>
      <c r="B7" s="8" t="s">
        <v>1461</v>
      </c>
      <c r="C7" s="8" t="s">
        <v>1553</v>
      </c>
      <c r="D7" s="63">
        <v>256.45</v>
      </c>
      <c r="F7" s="63">
        <v>256.45</v>
      </c>
      <c r="G7" s="63"/>
      <c r="H7" s="63">
        <f t="shared" si="0"/>
        <v>1769.93</v>
      </c>
    </row>
    <row r="8" spans="1:9">
      <c r="A8" s="100">
        <v>44623</v>
      </c>
      <c r="B8" s="8" t="s">
        <v>333</v>
      </c>
      <c r="C8" s="8" t="s">
        <v>1553</v>
      </c>
      <c r="D8" s="63">
        <v>69.31</v>
      </c>
      <c r="F8" s="63">
        <v>69.31</v>
      </c>
      <c r="G8" s="63"/>
      <c r="H8" s="63">
        <f t="shared" si="0"/>
        <v>1839.24</v>
      </c>
    </row>
    <row r="9" spans="1:9">
      <c r="A9" s="100">
        <v>44631</v>
      </c>
      <c r="B9" s="106" t="s">
        <v>1332</v>
      </c>
      <c r="C9" s="106" t="s">
        <v>1554</v>
      </c>
      <c r="D9" s="106"/>
      <c r="E9" s="63">
        <v>-1608.4</v>
      </c>
      <c r="F9" s="63"/>
      <c r="G9" s="63">
        <v>-1608.4</v>
      </c>
      <c r="H9" s="63">
        <f t="shared" si="0"/>
        <v>230.83999999999992</v>
      </c>
    </row>
    <row r="10" spans="1:9">
      <c r="A10" s="100">
        <v>44624</v>
      </c>
      <c r="B10" s="101" t="s">
        <v>1325</v>
      </c>
      <c r="C10" s="101" t="s">
        <v>1554</v>
      </c>
      <c r="D10" s="101"/>
      <c r="E10" s="63">
        <v>-167</v>
      </c>
      <c r="F10" s="163"/>
      <c r="G10" s="163">
        <v>-167</v>
      </c>
      <c r="H10" s="63">
        <f t="shared" si="0"/>
        <v>63.839999999999918</v>
      </c>
      <c r="I10" s="3"/>
    </row>
    <row r="11" spans="1:9">
      <c r="A11" s="100"/>
      <c r="B11" s="101" t="s">
        <v>1326</v>
      </c>
      <c r="C11" s="101" t="s">
        <v>1554</v>
      </c>
      <c r="D11" s="101"/>
      <c r="E11" s="63">
        <v>-428</v>
      </c>
      <c r="F11" s="163"/>
      <c r="G11" s="163">
        <v>-428</v>
      </c>
      <c r="H11" s="63">
        <f t="shared" si="0"/>
        <v>-364.16000000000008</v>
      </c>
      <c r="I11" s="3"/>
    </row>
    <row r="12" spans="1:9">
      <c r="A12" s="100"/>
      <c r="B12" s="106"/>
      <c r="C12" s="106"/>
      <c r="D12" s="106"/>
      <c r="E12" s="63"/>
      <c r="F12" s="63"/>
      <c r="G12" s="63"/>
      <c r="H12" s="63">
        <f t="shared" si="0"/>
        <v>-364.16000000000008</v>
      </c>
    </row>
    <row r="13" spans="1:9">
      <c r="A13" s="100"/>
      <c r="B13" s="106" t="s">
        <v>1432</v>
      </c>
      <c r="C13" s="106" t="s">
        <v>1554</v>
      </c>
      <c r="E13" s="63">
        <v>-37.229999999999997</v>
      </c>
      <c r="F13" s="63"/>
      <c r="G13" s="63">
        <v>-37.229999999999997</v>
      </c>
      <c r="H13" s="63">
        <f t="shared" si="0"/>
        <v>-401.3900000000001</v>
      </c>
    </row>
    <row r="14" spans="1:9">
      <c r="A14" s="100"/>
      <c r="B14" s="106" t="s">
        <v>1445</v>
      </c>
      <c r="C14" s="106" t="s">
        <v>1554</v>
      </c>
      <c r="E14" s="63">
        <v>-632.91999999999996</v>
      </c>
      <c r="F14" s="63"/>
      <c r="G14" s="63">
        <v>-632.91999999999996</v>
      </c>
      <c r="H14" s="63">
        <f t="shared" si="0"/>
        <v>-1034.31</v>
      </c>
    </row>
    <row r="15" spans="1:9">
      <c r="A15" s="100"/>
      <c r="B15" s="101"/>
      <c r="C15" s="101"/>
      <c r="D15" s="101"/>
      <c r="E15" s="63"/>
      <c r="F15" s="163"/>
      <c r="G15" s="163"/>
      <c r="H15" s="63">
        <f t="shared" si="0"/>
        <v>-1034.31</v>
      </c>
      <c r="I15" s="3"/>
    </row>
    <row r="16" spans="1:9">
      <c r="A16" s="100"/>
      <c r="B16" s="106" t="s">
        <v>1555</v>
      </c>
      <c r="C16" s="106"/>
      <c r="D16" s="106"/>
      <c r="E16" s="63">
        <v>-50</v>
      </c>
      <c r="F16" s="163"/>
      <c r="G16" s="163"/>
      <c r="H16" s="63">
        <f t="shared" si="0"/>
        <v>-1034.31</v>
      </c>
      <c r="I16" s="3"/>
    </row>
    <row r="17" spans="1:9">
      <c r="A17" s="100"/>
      <c r="B17" s="106" t="s">
        <v>1556</v>
      </c>
      <c r="C17" s="106"/>
      <c r="D17" s="106"/>
      <c r="E17" s="63">
        <v>-21510.75</v>
      </c>
      <c r="F17" s="163"/>
      <c r="G17" s="163"/>
      <c r="H17" s="63">
        <f t="shared" si="0"/>
        <v>-1034.31</v>
      </c>
      <c r="I17" s="3"/>
    </row>
    <row r="18" spans="1:9">
      <c r="A18" s="100"/>
      <c r="B18" s="106" t="s">
        <v>1557</v>
      </c>
      <c r="C18" s="106"/>
      <c r="D18" s="106"/>
      <c r="E18" s="63">
        <v>-169</v>
      </c>
      <c r="F18" s="163"/>
      <c r="G18" s="163"/>
      <c r="H18" s="63">
        <f t="shared" si="0"/>
        <v>-1034.31</v>
      </c>
      <c r="I18" s="3"/>
    </row>
    <row r="19" spans="1:9">
      <c r="A19" s="100">
        <v>44627</v>
      </c>
      <c r="B19" s="381" t="s">
        <v>1452</v>
      </c>
      <c r="C19" s="381" t="s">
        <v>1554</v>
      </c>
      <c r="D19" s="381"/>
      <c r="E19" s="63"/>
      <c r="F19" s="163"/>
      <c r="G19" s="163">
        <v>-21729.75</v>
      </c>
      <c r="H19" s="63">
        <f t="shared" si="0"/>
        <v>-22764.06</v>
      </c>
      <c r="I19" s="3"/>
    </row>
    <row r="20" spans="1:9">
      <c r="A20" s="100"/>
      <c r="B20" s="106"/>
      <c r="C20" s="106"/>
      <c r="D20" s="106"/>
      <c r="E20" s="163"/>
      <c r="F20" s="163"/>
      <c r="G20" s="163"/>
      <c r="H20" s="63">
        <f t="shared" si="0"/>
        <v>-22764.06</v>
      </c>
      <c r="I20" s="3"/>
    </row>
    <row r="21" spans="1:9">
      <c r="A21" s="100">
        <v>44647</v>
      </c>
      <c r="B21" s="8" t="s">
        <v>77</v>
      </c>
      <c r="C21" s="8" t="s">
        <v>1554</v>
      </c>
      <c r="D21" s="63"/>
      <c r="E21" s="63">
        <v>-1503</v>
      </c>
      <c r="G21" s="63">
        <v>-1503</v>
      </c>
      <c r="H21" s="63">
        <f t="shared" si="0"/>
        <v>-24267.06</v>
      </c>
    </row>
    <row r="22" spans="1:9">
      <c r="A22" s="100">
        <v>44647</v>
      </c>
      <c r="B22" s="8" t="s">
        <v>78</v>
      </c>
      <c r="C22" s="8" t="s">
        <v>1554</v>
      </c>
      <c r="D22" s="63"/>
      <c r="E22" s="63">
        <v>-1503</v>
      </c>
      <c r="G22" s="63">
        <v>-1503</v>
      </c>
      <c r="H22" s="63">
        <f t="shared" si="0"/>
        <v>-25770.06</v>
      </c>
    </row>
    <row r="23" spans="1:9">
      <c r="A23" s="100">
        <v>44651</v>
      </c>
      <c r="B23" s="8" t="s">
        <v>1558</v>
      </c>
      <c r="C23" s="8" t="s">
        <v>1554</v>
      </c>
      <c r="D23" s="63"/>
      <c r="E23" s="63">
        <v>-1000</v>
      </c>
      <c r="G23" s="63">
        <v>-1000</v>
      </c>
      <c r="H23" s="63">
        <f t="shared" si="0"/>
        <v>-26770.06</v>
      </c>
    </row>
    <row r="24" spans="1:9">
      <c r="B24" t="s">
        <v>79</v>
      </c>
      <c r="E24" s="63">
        <v>-1500</v>
      </c>
      <c r="F24" s="63"/>
      <c r="G24" s="63">
        <v>-1500</v>
      </c>
      <c r="H24" s="63">
        <f t="shared" si="0"/>
        <v>-28270.06</v>
      </c>
    </row>
    <row r="25" spans="1:9">
      <c r="H25" s="63">
        <f t="shared" si="0"/>
        <v>-28270.06</v>
      </c>
    </row>
    <row r="26" spans="1:9">
      <c r="A26" s="100">
        <v>44647</v>
      </c>
      <c r="B26" s="8" t="s">
        <v>76</v>
      </c>
      <c r="C26" s="8" t="s">
        <v>1554</v>
      </c>
      <c r="D26" s="63">
        <v>3020.37</v>
      </c>
      <c r="E26" s="63"/>
      <c r="F26" s="63">
        <v>3020.37</v>
      </c>
      <c r="G26" s="63"/>
      <c r="H26" s="63">
        <f t="shared" si="0"/>
        <v>-25249.690000000002</v>
      </c>
    </row>
    <row r="27" spans="1:9">
      <c r="A27" s="100">
        <v>44642</v>
      </c>
      <c r="B27" s="8" t="s">
        <v>671</v>
      </c>
      <c r="D27" s="63">
        <v>1000</v>
      </c>
      <c r="F27" s="63">
        <v>0</v>
      </c>
      <c r="G27" s="63"/>
      <c r="H27" s="63">
        <f t="shared" si="0"/>
        <v>-25249.690000000002</v>
      </c>
    </row>
    <row r="28" spans="1:9">
      <c r="A28" s="100">
        <v>44648</v>
      </c>
      <c r="B28" s="8" t="s">
        <v>1559</v>
      </c>
      <c r="C28" s="63" t="s">
        <v>1553</v>
      </c>
      <c r="D28" s="63">
        <v>3000</v>
      </c>
      <c r="E28" s="63"/>
      <c r="F28" s="63">
        <v>3000</v>
      </c>
      <c r="G28" s="63"/>
      <c r="H28" s="63">
        <f t="shared" si="0"/>
        <v>-22249.690000000002</v>
      </c>
    </row>
    <row r="29" spans="1:9">
      <c r="H29" s="63">
        <f t="shared" si="0"/>
        <v>-22249.690000000002</v>
      </c>
    </row>
    <row r="30" spans="1:9">
      <c r="A30" s="100">
        <v>44650</v>
      </c>
      <c r="B30" s="8" t="s">
        <v>1560</v>
      </c>
      <c r="C30" s="63" t="s">
        <v>1553</v>
      </c>
      <c r="D30" s="63">
        <v>28000</v>
      </c>
      <c r="E30" s="63"/>
      <c r="F30" s="63">
        <v>28000</v>
      </c>
      <c r="H30" s="63">
        <f t="shared" si="0"/>
        <v>5750.3099999999977</v>
      </c>
    </row>
    <row r="31" spans="1:9">
      <c r="A31" s="100"/>
      <c r="B31" s="8" t="s">
        <v>1561</v>
      </c>
      <c r="C31" s="63"/>
      <c r="D31" s="63"/>
      <c r="E31" s="63"/>
      <c r="F31" s="63"/>
      <c r="H31" s="63">
        <f t="shared" si="0"/>
        <v>5750.3099999999977</v>
      </c>
    </row>
    <row r="32" spans="1:9">
      <c r="A32" s="100"/>
      <c r="B32" s="8" t="s">
        <v>1562</v>
      </c>
      <c r="C32" s="63"/>
      <c r="D32" s="63"/>
      <c r="E32" s="63"/>
      <c r="F32" s="63"/>
      <c r="H32" s="63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1">
        <v>4.8099999999999996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1563</v>
      </c>
      <c r="C2" s="79" t="s">
        <v>67</v>
      </c>
      <c r="D2" s="306">
        <f>SUM(D5:D63)</f>
        <v>10567.09</v>
      </c>
      <c r="E2" s="306">
        <f>SUM(E5:E63)</f>
        <v>-21938.15</v>
      </c>
      <c r="F2" s="306">
        <f>SUM(F5:F63)</f>
        <v>11567.09</v>
      </c>
      <c r="G2" s="306">
        <f>SUM(G5:G63)</f>
        <v>-21938.15</v>
      </c>
      <c r="H2" s="306">
        <f>F2+G2</f>
        <v>-10371.060000000001</v>
      </c>
    </row>
    <row r="3" spans="1:8">
      <c r="A3" s="100"/>
      <c r="B3" s="18"/>
      <c r="E3" s="63"/>
      <c r="F3" s="163"/>
      <c r="G3" s="163"/>
      <c r="H3" s="189"/>
    </row>
    <row r="4" spans="1:8">
      <c r="A4" s="100"/>
      <c r="B4" s="18"/>
      <c r="E4" s="63"/>
      <c r="F4" s="163"/>
      <c r="G4" s="163"/>
      <c r="H4" s="63">
        <f t="shared" ref="H4:H30" si="0">H3+F4+G4</f>
        <v>0</v>
      </c>
    </row>
    <row r="5" spans="1:8">
      <c r="A5" s="100">
        <v>44595</v>
      </c>
      <c r="B5" s="8" t="s">
        <v>1511</v>
      </c>
      <c r="D5" s="63">
        <v>508.99</v>
      </c>
      <c r="F5" s="63">
        <v>508.99</v>
      </c>
      <c r="G5" s="63"/>
      <c r="H5" s="63">
        <f t="shared" si="0"/>
        <v>508.99</v>
      </c>
    </row>
    <row r="6" spans="1:8">
      <c r="A6" s="100">
        <v>44595</v>
      </c>
      <c r="B6" s="8" t="s">
        <v>329</v>
      </c>
      <c r="D6" s="63">
        <v>1487.83</v>
      </c>
      <c r="F6" s="63">
        <v>1487.83</v>
      </c>
      <c r="G6" s="63"/>
      <c r="H6" s="63">
        <f t="shared" si="0"/>
        <v>1996.82</v>
      </c>
    </row>
    <row r="7" spans="1:8">
      <c r="A7" s="100">
        <v>44595</v>
      </c>
      <c r="B7" s="8" t="s">
        <v>1461</v>
      </c>
      <c r="D7" s="63">
        <v>489.66</v>
      </c>
      <c r="F7" s="63">
        <v>489.66</v>
      </c>
      <c r="G7" s="63"/>
      <c r="H7" s="63">
        <f t="shared" si="0"/>
        <v>2486.48</v>
      </c>
    </row>
    <row r="8" spans="1:8">
      <c r="A8" s="100">
        <v>44595</v>
      </c>
      <c r="B8" s="8" t="s">
        <v>333</v>
      </c>
      <c r="D8" s="63">
        <v>60.24</v>
      </c>
      <c r="F8" s="63">
        <v>60.24</v>
      </c>
      <c r="G8" s="63"/>
      <c r="H8" s="63">
        <f t="shared" si="0"/>
        <v>2546.7199999999998</v>
      </c>
    </row>
    <row r="9" spans="1:8">
      <c r="A9" s="100">
        <v>44606</v>
      </c>
      <c r="B9" s="106" t="s">
        <v>1332</v>
      </c>
      <c r="C9" s="106" t="s">
        <v>1554</v>
      </c>
      <c r="D9" s="106"/>
      <c r="E9" s="63">
        <v>-2319.48</v>
      </c>
      <c r="F9" s="63"/>
      <c r="G9" s="63">
        <v>-2319.48</v>
      </c>
      <c r="H9" s="63">
        <f t="shared" si="0"/>
        <v>227.23999999999978</v>
      </c>
    </row>
    <row r="10" spans="1:8">
      <c r="A10" s="100">
        <v>44595</v>
      </c>
      <c r="B10" s="101" t="s">
        <v>1325</v>
      </c>
      <c r="C10" s="101" t="s">
        <v>1554</v>
      </c>
      <c r="D10" s="101"/>
      <c r="E10" s="63">
        <v>-182.2</v>
      </c>
      <c r="F10" s="63"/>
      <c r="G10" s="63">
        <v>-182.2</v>
      </c>
      <c r="H10" s="63">
        <f t="shared" si="0"/>
        <v>45.039999999999793</v>
      </c>
    </row>
    <row r="11" spans="1:8">
      <c r="A11" s="100">
        <v>44595</v>
      </c>
      <c r="B11" s="101" t="s">
        <v>1326</v>
      </c>
      <c r="C11" s="101" t="s">
        <v>1554</v>
      </c>
      <c r="D11" s="101"/>
      <c r="E11" s="63">
        <v>-436.3</v>
      </c>
      <c r="F11" s="63"/>
      <c r="G11" s="63">
        <v>-436.3</v>
      </c>
      <c r="H11" s="63">
        <f t="shared" si="0"/>
        <v>-391.26000000000022</v>
      </c>
    </row>
    <row r="12" spans="1:8">
      <c r="A12" s="100"/>
      <c r="B12" s="101"/>
      <c r="C12" s="101"/>
      <c r="D12" s="101"/>
      <c r="E12" s="63"/>
      <c r="F12" s="63"/>
      <c r="G12" s="63"/>
      <c r="H12" s="63">
        <f t="shared" si="0"/>
        <v>-391.26000000000022</v>
      </c>
    </row>
    <row r="13" spans="1:8">
      <c r="A13" s="100">
        <v>44610</v>
      </c>
      <c r="B13" s="106" t="s">
        <v>1432</v>
      </c>
      <c r="C13" s="106" t="s">
        <v>1554</v>
      </c>
      <c r="D13" s="106"/>
      <c r="E13" s="63">
        <v>-44.38</v>
      </c>
      <c r="F13" s="63"/>
      <c r="G13" s="63">
        <v>-44.38</v>
      </c>
      <c r="H13" s="63">
        <f t="shared" si="0"/>
        <v>-435.64000000000021</v>
      </c>
    </row>
    <row r="14" spans="1:8">
      <c r="A14" s="100">
        <v>44610</v>
      </c>
      <c r="B14" s="106" t="s">
        <v>1445</v>
      </c>
      <c r="C14" s="106" t="s">
        <v>1554</v>
      </c>
      <c r="D14" s="106"/>
      <c r="E14" s="63">
        <v>-1078.07</v>
      </c>
      <c r="F14" s="63"/>
      <c r="G14" s="63">
        <v>-1078.07</v>
      </c>
      <c r="H14" s="63">
        <f t="shared" si="0"/>
        <v>-1513.71</v>
      </c>
    </row>
    <row r="15" spans="1:8">
      <c r="A15" s="100"/>
      <c r="B15" s="106"/>
      <c r="C15" s="106"/>
      <c r="D15" s="106"/>
      <c r="E15" s="63"/>
      <c r="F15" s="63"/>
      <c r="G15" s="63"/>
      <c r="H15" s="63">
        <f t="shared" si="0"/>
        <v>-1513.71</v>
      </c>
    </row>
    <row r="16" spans="1:8">
      <c r="A16" s="100">
        <v>44596</v>
      </c>
      <c r="B16" s="381" t="s">
        <v>1452</v>
      </c>
      <c r="C16" s="381" t="s">
        <v>1554</v>
      </c>
      <c r="D16" s="381"/>
      <c r="E16" s="63"/>
      <c r="F16" s="63"/>
      <c r="G16" s="63">
        <v>-5577.72</v>
      </c>
      <c r="H16" s="63">
        <f t="shared" si="0"/>
        <v>-7091.43</v>
      </c>
    </row>
    <row r="17" spans="1:8">
      <c r="A17" s="100"/>
      <c r="B17" s="106" t="s">
        <v>1555</v>
      </c>
      <c r="C17" s="106"/>
      <c r="D17" s="106"/>
      <c r="E17" s="63">
        <v>-15</v>
      </c>
      <c r="F17" s="63"/>
      <c r="G17" s="63"/>
      <c r="H17" s="63">
        <f t="shared" si="0"/>
        <v>-7091.43</v>
      </c>
    </row>
    <row r="18" spans="1:8">
      <c r="A18" s="100"/>
      <c r="B18" s="106" t="s">
        <v>1564</v>
      </c>
      <c r="C18" s="106"/>
      <c r="D18" s="106"/>
      <c r="E18" s="63">
        <v>-5254.4</v>
      </c>
      <c r="F18" s="63"/>
      <c r="G18" s="63"/>
      <c r="H18" s="63">
        <f t="shared" si="0"/>
        <v>-7091.43</v>
      </c>
    </row>
    <row r="19" spans="1:8">
      <c r="A19" s="100"/>
      <c r="B19" s="106" t="s">
        <v>1565</v>
      </c>
      <c r="C19" s="106"/>
      <c r="D19" s="106"/>
      <c r="E19" s="63">
        <v>-308.32</v>
      </c>
      <c r="F19" s="63"/>
      <c r="G19" s="63"/>
      <c r="H19" s="63">
        <f t="shared" si="0"/>
        <v>-7091.43</v>
      </c>
    </row>
    <row r="20" spans="1:8">
      <c r="A20" s="100"/>
      <c r="B20" s="106"/>
      <c r="C20" s="106"/>
      <c r="D20" s="106"/>
      <c r="E20" s="63"/>
      <c r="F20" s="63"/>
      <c r="G20" s="63"/>
      <c r="H20" s="63">
        <f t="shared" si="0"/>
        <v>-7091.43</v>
      </c>
    </row>
    <row r="21" spans="1:8">
      <c r="A21" s="100">
        <v>44619</v>
      </c>
      <c r="B21" s="8" t="s">
        <v>77</v>
      </c>
      <c r="C21" s="8" t="s">
        <v>1487</v>
      </c>
      <c r="E21" s="63">
        <v>-1500</v>
      </c>
      <c r="F21" s="63"/>
      <c r="G21" s="63">
        <v>-1500</v>
      </c>
      <c r="H21" s="63">
        <f t="shared" si="0"/>
        <v>-8591.43</v>
      </c>
    </row>
    <row r="22" spans="1:8">
      <c r="A22" s="100">
        <v>44619</v>
      </c>
      <c r="B22" s="8" t="s">
        <v>1566</v>
      </c>
      <c r="C22" s="8" t="s">
        <v>1567</v>
      </c>
      <c r="E22" s="63"/>
      <c r="F22" s="63"/>
      <c r="G22" s="63"/>
      <c r="H22" s="63">
        <f t="shared" si="0"/>
        <v>-8591.43</v>
      </c>
    </row>
    <row r="23" spans="1:8">
      <c r="A23" s="100">
        <v>44619</v>
      </c>
      <c r="B23" s="8" t="s">
        <v>78</v>
      </c>
      <c r="C23" s="8" t="s">
        <v>1487</v>
      </c>
      <c r="E23" s="63">
        <v>-1400</v>
      </c>
      <c r="F23" s="63"/>
      <c r="G23" s="63">
        <v>-1400</v>
      </c>
      <c r="H23" s="63">
        <f t="shared" si="0"/>
        <v>-9991.43</v>
      </c>
    </row>
    <row r="24" spans="1:8">
      <c r="A24" s="100"/>
      <c r="B24" s="8" t="s">
        <v>1568</v>
      </c>
      <c r="C24" s="8" t="s">
        <v>1487</v>
      </c>
      <c r="E24" s="63">
        <v>-7900</v>
      </c>
      <c r="F24" s="63"/>
      <c r="G24" s="63">
        <v>-7900</v>
      </c>
      <c r="H24" s="63">
        <f t="shared" si="0"/>
        <v>-17891.43</v>
      </c>
    </row>
    <row r="25" spans="1:8">
      <c r="A25" s="100"/>
      <c r="B25" s="8" t="s">
        <v>79</v>
      </c>
      <c r="E25" s="63">
        <v>-1500</v>
      </c>
      <c r="F25" s="63"/>
      <c r="G25" s="63">
        <v>-1500</v>
      </c>
      <c r="H25" s="63">
        <f t="shared" si="0"/>
        <v>-19391.43</v>
      </c>
    </row>
    <row r="26" spans="1:8">
      <c r="H26" s="63">
        <f t="shared" si="0"/>
        <v>-19391.43</v>
      </c>
    </row>
    <row r="27" spans="1:8">
      <c r="A27" s="100">
        <v>44619</v>
      </c>
      <c r="B27" s="8" t="s">
        <v>76</v>
      </c>
      <c r="D27" s="63">
        <v>3020.37</v>
      </c>
      <c r="F27" s="63">
        <v>3020.37</v>
      </c>
      <c r="G27" s="63"/>
      <c r="H27" s="63">
        <f t="shared" si="0"/>
        <v>-16371.060000000001</v>
      </c>
    </row>
    <row r="28" spans="1:8">
      <c r="A28" s="100">
        <v>44614</v>
      </c>
      <c r="B28" s="8" t="s">
        <v>1569</v>
      </c>
      <c r="C28" s="8" t="s">
        <v>1554</v>
      </c>
      <c r="D28" s="63">
        <v>2000</v>
      </c>
      <c r="F28" s="63">
        <v>2500</v>
      </c>
      <c r="G28" s="63"/>
      <c r="H28" s="63">
        <f t="shared" si="0"/>
        <v>-13871.060000000001</v>
      </c>
    </row>
    <row r="29" spans="1:8">
      <c r="A29" s="100">
        <v>44614</v>
      </c>
      <c r="B29" s="8" t="s">
        <v>1569</v>
      </c>
      <c r="C29" s="8" t="s">
        <v>1554</v>
      </c>
      <c r="D29" s="63"/>
      <c r="F29" s="63">
        <v>500</v>
      </c>
      <c r="G29" s="63"/>
      <c r="H29" s="63">
        <f t="shared" si="0"/>
        <v>-13371.060000000001</v>
      </c>
    </row>
    <row r="30" spans="1:8">
      <c r="A30" s="100">
        <v>44620</v>
      </c>
      <c r="B30" s="8" t="s">
        <v>1570</v>
      </c>
      <c r="D30" s="63">
        <v>3000</v>
      </c>
      <c r="F30" s="63">
        <v>3000</v>
      </c>
      <c r="G30" s="63"/>
      <c r="H30" s="63">
        <f t="shared" si="0"/>
        <v>-10371.060000000001</v>
      </c>
    </row>
    <row r="37" spans="1:8">
      <c r="A37" s="100"/>
      <c r="E37" s="63"/>
      <c r="F37" s="63"/>
      <c r="G37" s="63"/>
      <c r="H37" s="63"/>
    </row>
    <row r="38" spans="1:8">
      <c r="A38" s="100"/>
      <c r="E38" s="63"/>
      <c r="F38" s="163"/>
      <c r="G38" s="1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3" customWidth="1"/>
    <col min="6" max="8" width="11.140625" style="63" customWidth="1"/>
    <col min="9" max="9" width="12.28515625" customWidth="1"/>
    <col min="10" max="10" width="9.140625" customWidth="1"/>
  </cols>
  <sheetData>
    <row r="1" spans="1:8">
      <c r="B1" s="41">
        <v>11.1</v>
      </c>
      <c r="E1" s="189"/>
      <c r="F1" s="189" t="s">
        <v>28</v>
      </c>
      <c r="G1" s="189" t="s">
        <v>29</v>
      </c>
      <c r="H1" s="189" t="s">
        <v>3</v>
      </c>
    </row>
    <row r="2" spans="1:8">
      <c r="A2" s="245" t="s">
        <v>1571</v>
      </c>
      <c r="C2" s="79" t="s">
        <v>67</v>
      </c>
      <c r="D2" s="306">
        <f>SUM(D3:D57)</f>
        <v>7333.3</v>
      </c>
      <c r="E2" s="306">
        <f>SUM(E3:E57)</f>
        <v>-6834.05</v>
      </c>
      <c r="F2" s="306">
        <f>SUM(F3:F57)</f>
        <v>46462.64</v>
      </c>
      <c r="G2" s="306">
        <f>SUM(G3:G57)</f>
        <v>-6834.05</v>
      </c>
      <c r="H2" s="306">
        <f>F2+G2</f>
        <v>39628.589999999997</v>
      </c>
    </row>
    <row r="3" spans="1:8">
      <c r="A3" s="100"/>
      <c r="B3" s="18" t="s">
        <v>1572</v>
      </c>
      <c r="F3" s="63">
        <v>40129.339999999997</v>
      </c>
      <c r="H3" s="63">
        <f>F3+G3</f>
        <v>40129.339999999997</v>
      </c>
    </row>
    <row r="4" spans="1:8">
      <c r="A4" s="100"/>
      <c r="H4" s="63">
        <f t="shared" ref="H4:H25" si="0">H3+F4+G4</f>
        <v>40129.339999999997</v>
      </c>
    </row>
    <row r="5" spans="1:8">
      <c r="A5" s="100">
        <v>44564</v>
      </c>
      <c r="B5" s="8" t="s">
        <v>1511</v>
      </c>
      <c r="C5" s="8" t="s">
        <v>1553</v>
      </c>
      <c r="D5" s="63">
        <v>298.99</v>
      </c>
      <c r="F5" s="63">
        <v>298.99</v>
      </c>
      <c r="H5" s="63">
        <f t="shared" si="0"/>
        <v>40428.329999999994</v>
      </c>
    </row>
    <row r="6" spans="1:8">
      <c r="A6" s="100">
        <v>44564</v>
      </c>
      <c r="B6" s="8" t="s">
        <v>329</v>
      </c>
      <c r="C6" s="8" t="s">
        <v>1553</v>
      </c>
      <c r="D6" s="63">
        <v>630.74</v>
      </c>
      <c r="F6" s="63">
        <v>630.74</v>
      </c>
      <c r="H6" s="63">
        <f t="shared" si="0"/>
        <v>41059.069999999992</v>
      </c>
    </row>
    <row r="7" spans="1:8">
      <c r="A7" s="100">
        <v>44564</v>
      </c>
      <c r="B7" s="8" t="s">
        <v>1461</v>
      </c>
      <c r="C7" s="8" t="s">
        <v>1553</v>
      </c>
      <c r="D7" s="63">
        <v>230.29</v>
      </c>
      <c r="F7" s="63">
        <v>230.29</v>
      </c>
      <c r="H7" s="63">
        <f t="shared" si="0"/>
        <v>41289.359999999993</v>
      </c>
    </row>
    <row r="8" spans="1:8">
      <c r="A8" s="100">
        <v>44564</v>
      </c>
      <c r="B8" s="8" t="s">
        <v>333</v>
      </c>
      <c r="C8" s="8" t="s">
        <v>1553</v>
      </c>
      <c r="D8" s="63">
        <v>152.91</v>
      </c>
      <c r="F8" s="63">
        <v>152.91</v>
      </c>
      <c r="H8" s="63">
        <f t="shared" si="0"/>
        <v>41442.269999999997</v>
      </c>
    </row>
    <row r="9" spans="1:8">
      <c r="A9" s="100">
        <v>44574</v>
      </c>
      <c r="B9" s="106" t="s">
        <v>1332</v>
      </c>
      <c r="C9" s="106" t="s">
        <v>1554</v>
      </c>
      <c r="D9" s="106"/>
      <c r="E9" s="63">
        <v>-1250.4000000000001</v>
      </c>
      <c r="G9" s="63">
        <v>-1250.4000000000001</v>
      </c>
      <c r="H9" s="63">
        <f t="shared" si="0"/>
        <v>40191.869999999995</v>
      </c>
    </row>
    <row r="10" spans="1:8">
      <c r="A10" s="100">
        <v>44564</v>
      </c>
      <c r="B10" s="101" t="s">
        <v>1325</v>
      </c>
      <c r="C10" s="101" t="s">
        <v>1554</v>
      </c>
      <c r="D10" s="101"/>
      <c r="E10" s="189">
        <v>-130.30000000000001</v>
      </c>
      <c r="F10" s="189"/>
      <c r="G10" s="189">
        <v>-130.30000000000001</v>
      </c>
      <c r="H10" s="63">
        <f t="shared" si="0"/>
        <v>40061.569999999992</v>
      </c>
    </row>
    <row r="11" spans="1:8">
      <c r="A11" s="100">
        <v>44564</v>
      </c>
      <c r="B11" s="101" t="s">
        <v>1326</v>
      </c>
      <c r="C11" s="101" t="s">
        <v>1554</v>
      </c>
      <c r="D11" s="101"/>
      <c r="E11" s="189">
        <v>-255.4</v>
      </c>
      <c r="F11" s="189"/>
      <c r="G11" s="189">
        <v>-255.4</v>
      </c>
      <c r="H11" s="63">
        <f t="shared" si="0"/>
        <v>39806.169999999991</v>
      </c>
    </row>
    <row r="12" spans="1:8">
      <c r="A12" s="100"/>
      <c r="B12" s="106"/>
      <c r="C12" s="106"/>
      <c r="D12" s="106"/>
      <c r="H12" s="63">
        <f t="shared" si="0"/>
        <v>39806.169999999991</v>
      </c>
    </row>
    <row r="13" spans="1:8">
      <c r="A13" s="100">
        <v>44578</v>
      </c>
      <c r="B13" s="106" t="s">
        <v>1432</v>
      </c>
      <c r="C13" s="106" t="s">
        <v>1554</v>
      </c>
      <c r="D13" s="106"/>
      <c r="E13" s="63">
        <v>-37.869999999999997</v>
      </c>
      <c r="G13" s="63">
        <v>-37.869999999999997</v>
      </c>
      <c r="H13" s="63">
        <f t="shared" si="0"/>
        <v>39768.299999999988</v>
      </c>
    </row>
    <row r="14" spans="1:8">
      <c r="A14" s="100">
        <v>44578</v>
      </c>
      <c r="B14" s="106" t="s">
        <v>1445</v>
      </c>
      <c r="C14" s="106" t="s">
        <v>1554</v>
      </c>
      <c r="D14" s="106"/>
      <c r="E14" s="63">
        <v>-608.08000000000004</v>
      </c>
      <c r="G14" s="63">
        <v>-608.08000000000004</v>
      </c>
      <c r="H14" s="63">
        <f t="shared" si="0"/>
        <v>39160.219999999987</v>
      </c>
    </row>
    <row r="15" spans="1:8">
      <c r="A15" s="100"/>
      <c r="B15" s="106"/>
      <c r="C15" s="106"/>
      <c r="D15" s="106"/>
      <c r="H15" s="63">
        <f t="shared" si="0"/>
        <v>39160.219999999987</v>
      </c>
    </row>
    <row r="16" spans="1:8">
      <c r="A16" s="100"/>
      <c r="B16" s="106" t="s">
        <v>1555</v>
      </c>
      <c r="C16" s="106"/>
      <c r="D16" s="106"/>
      <c r="E16" s="189">
        <v>-50</v>
      </c>
      <c r="F16" s="189"/>
      <c r="G16" s="189"/>
      <c r="H16" s="63">
        <f t="shared" si="0"/>
        <v>39160.219999999987</v>
      </c>
    </row>
    <row r="17" spans="1:8">
      <c r="A17" s="100">
        <v>44565</v>
      </c>
      <c r="B17" s="381" t="s">
        <v>1452</v>
      </c>
      <c r="C17" s="381" t="s">
        <v>1554</v>
      </c>
      <c r="D17" s="381"/>
      <c r="E17" s="189"/>
      <c r="F17" s="189"/>
      <c r="G17" s="189">
        <v>-50</v>
      </c>
      <c r="H17" s="63">
        <f t="shared" si="0"/>
        <v>39110.219999999987</v>
      </c>
    </row>
    <row r="18" spans="1:8">
      <c r="A18" s="100"/>
      <c r="B18" s="106"/>
      <c r="C18" s="106"/>
      <c r="D18" s="106"/>
      <c r="E18" s="189"/>
      <c r="F18" s="189"/>
      <c r="G18" s="189"/>
      <c r="H18" s="63">
        <f t="shared" si="0"/>
        <v>39110.219999999987</v>
      </c>
    </row>
    <row r="19" spans="1:8">
      <c r="A19" s="100">
        <v>44588</v>
      </c>
      <c r="B19" s="8" t="s">
        <v>77</v>
      </c>
      <c r="C19" s="8" t="s">
        <v>1487</v>
      </c>
      <c r="E19" s="63">
        <v>-1501</v>
      </c>
      <c r="G19" s="63">
        <v>-1501</v>
      </c>
      <c r="H19" s="63">
        <f t="shared" si="0"/>
        <v>37609.219999999987</v>
      </c>
    </row>
    <row r="20" spans="1:8">
      <c r="A20" s="100">
        <v>44588</v>
      </c>
      <c r="B20" s="8" t="s">
        <v>78</v>
      </c>
      <c r="C20" s="8" t="s">
        <v>1487</v>
      </c>
      <c r="E20" s="63">
        <v>-1501</v>
      </c>
      <c r="G20" s="63">
        <v>-1501</v>
      </c>
      <c r="H20" s="63">
        <f t="shared" si="0"/>
        <v>36108.219999999987</v>
      </c>
    </row>
    <row r="21" spans="1:8">
      <c r="A21" s="100">
        <v>44591</v>
      </c>
      <c r="B21" s="8" t="s">
        <v>79</v>
      </c>
      <c r="E21" s="63">
        <v>-1500</v>
      </c>
      <c r="G21" s="63">
        <v>-1500</v>
      </c>
      <c r="H21" s="63">
        <f t="shared" si="0"/>
        <v>34608.219999999987</v>
      </c>
    </row>
    <row r="22" spans="1:8">
      <c r="A22" s="100"/>
      <c r="B22" s="106"/>
      <c r="C22" s="106"/>
      <c r="D22" s="106"/>
      <c r="E22" s="189"/>
      <c r="F22" s="189"/>
      <c r="G22" s="189"/>
      <c r="H22" s="63">
        <f t="shared" si="0"/>
        <v>34608.219999999987</v>
      </c>
    </row>
    <row r="23" spans="1:8">
      <c r="A23" s="100">
        <v>44588</v>
      </c>
      <c r="B23" s="8" t="s">
        <v>76</v>
      </c>
      <c r="C23" s="8" t="s">
        <v>1554</v>
      </c>
      <c r="D23" s="63">
        <v>3020.37</v>
      </c>
      <c r="F23" s="63">
        <v>3020.37</v>
      </c>
      <c r="H23" s="63">
        <f t="shared" si="0"/>
        <v>37628.589999999989</v>
      </c>
    </row>
    <row r="24" spans="1:8">
      <c r="A24" s="100">
        <v>44583</v>
      </c>
      <c r="B24" s="8" t="s">
        <v>671</v>
      </c>
      <c r="D24" s="63">
        <v>1000</v>
      </c>
      <c r="F24" s="63">
        <v>0</v>
      </c>
      <c r="H24" s="63">
        <f t="shared" si="0"/>
        <v>37628.589999999989</v>
      </c>
    </row>
    <row r="25" spans="1:8">
      <c r="A25" s="100">
        <v>44591</v>
      </c>
      <c r="B25" s="8" t="s">
        <v>1573</v>
      </c>
      <c r="C25" s="8" t="s">
        <v>1553</v>
      </c>
      <c r="D25" s="63">
        <v>2000</v>
      </c>
      <c r="F25" s="63">
        <v>2000</v>
      </c>
      <c r="H25" s="63">
        <f t="shared" si="0"/>
        <v>39628.589999999989</v>
      </c>
    </row>
    <row r="29" spans="1:8">
      <c r="A29" s="100"/>
    </row>
    <row r="30" spans="1:8">
      <c r="A30" s="100"/>
    </row>
    <row r="31" spans="1:8">
      <c r="A31" s="100"/>
    </row>
    <row r="32" spans="1:8">
      <c r="A32" s="100"/>
      <c r="E32" s="189"/>
      <c r="F32" s="189"/>
      <c r="G32" s="189"/>
      <c r="H32" s="189"/>
    </row>
    <row r="54" spans="1:9">
      <c r="I54" s="3"/>
    </row>
    <row r="55" spans="1:9">
      <c r="A55" s="100"/>
      <c r="E55" s="163"/>
      <c r="F55" s="163"/>
      <c r="G55" s="163"/>
      <c r="I55" s="3"/>
    </row>
    <row r="75" spans="1:7">
      <c r="A75" s="100"/>
    </row>
    <row r="76" spans="1:7">
      <c r="A76" s="100"/>
    </row>
    <row r="77" spans="1:7">
      <c r="A77" s="100"/>
      <c r="E77" s="163"/>
      <c r="F77" s="163"/>
      <c r="G77" s="163"/>
    </row>
    <row r="78" spans="1:7">
      <c r="A78" s="100"/>
    </row>
    <row r="100" spans="1:7">
      <c r="A100" s="100"/>
      <c r="E100" s="163"/>
      <c r="F100" s="163"/>
      <c r="G100" s="163"/>
    </row>
    <row r="101" spans="1:7">
      <c r="A101" s="100"/>
      <c r="B101" s="3"/>
      <c r="C101" s="3"/>
      <c r="D101" s="3"/>
    </row>
    <row r="102" spans="1:7">
      <c r="A102" s="100"/>
      <c r="B102" s="101"/>
      <c r="C102" s="101"/>
      <c r="D102" s="101"/>
      <c r="E102" s="163"/>
      <c r="F102" s="163"/>
    </row>
    <row r="103" spans="1:7">
      <c r="A103" s="100"/>
      <c r="B103" s="101"/>
      <c r="C103" s="101"/>
      <c r="D103" s="101"/>
      <c r="E103" s="163"/>
      <c r="F103" s="163"/>
    </row>
    <row r="104" spans="1:7">
      <c r="A104" s="100"/>
      <c r="B104" s="106"/>
      <c r="C104" s="106"/>
      <c r="D104" s="106"/>
      <c r="E104" s="163"/>
      <c r="F104" s="163"/>
    </row>
    <row r="105" spans="1:7">
      <c r="A105" s="100"/>
    </row>
    <row r="106" spans="1:7">
      <c r="A106" s="100"/>
    </row>
    <row r="107" spans="1:7">
      <c r="A107" s="100"/>
    </row>
    <row r="108" spans="1:7">
      <c r="A108" s="100"/>
    </row>
    <row r="109" spans="1:7">
      <c r="A109" s="100"/>
    </row>
    <row r="110" spans="1:7">
      <c r="A110" s="100"/>
      <c r="B110" s="106"/>
      <c r="C110" s="106"/>
      <c r="D110" s="106"/>
    </row>
    <row r="111" spans="1:7">
      <c r="A111" s="100"/>
      <c r="B111" s="106"/>
      <c r="C111" s="106"/>
      <c r="D111" s="106"/>
    </row>
    <row r="112" spans="1:7">
      <c r="A112" s="100"/>
      <c r="B112" s="106"/>
      <c r="C112" s="106"/>
      <c r="D112" s="106"/>
    </row>
    <row r="113" spans="1:7">
      <c r="A113" s="100"/>
    </row>
    <row r="114" spans="1:7">
      <c r="A114" s="100"/>
    </row>
    <row r="115" spans="1:7">
      <c r="A115" s="100"/>
    </row>
    <row r="116" spans="1:7">
      <c r="A116" s="100"/>
    </row>
    <row r="117" spans="1:7">
      <c r="A117" s="100"/>
    </row>
    <row r="118" spans="1:7">
      <c r="A118" s="100"/>
    </row>
    <row r="119" spans="1:7">
      <c r="A119" s="100"/>
    </row>
    <row r="120" spans="1:7">
      <c r="A120" s="100"/>
    </row>
    <row r="121" spans="1:7">
      <c r="A121" s="100"/>
    </row>
    <row r="122" spans="1:7">
      <c r="A122" s="100"/>
      <c r="E122" s="163"/>
      <c r="F122" s="163"/>
      <c r="G122" s="163"/>
    </row>
    <row r="123" spans="1:7">
      <c r="A123" s="100"/>
    </row>
    <row r="124" spans="1:7">
      <c r="A124" s="100"/>
    </row>
    <row r="125" spans="1:7">
      <c r="A125" s="100"/>
    </row>
    <row r="126" spans="1:7">
      <c r="A126" s="100"/>
    </row>
    <row r="127" spans="1:7">
      <c r="A127" s="100"/>
    </row>
    <row r="128" spans="1:7">
      <c r="A128" s="100"/>
    </row>
    <row r="129" spans="1:1">
      <c r="A129" s="100"/>
    </row>
    <row r="130" spans="1:1">
      <c r="A130" s="100"/>
    </row>
    <row r="131" spans="1:1">
      <c r="A131" s="100"/>
    </row>
    <row r="132" spans="1:1">
      <c r="A132" s="100"/>
    </row>
    <row r="133" spans="1:1">
      <c r="A133" s="100"/>
    </row>
    <row r="134" spans="1:1">
      <c r="A134" s="100"/>
    </row>
    <row r="135" spans="1:1">
      <c r="A135" s="100"/>
    </row>
    <row r="136" spans="1:1">
      <c r="A136" s="100"/>
    </row>
    <row r="137" spans="1:1">
      <c r="A137" s="100"/>
    </row>
    <row r="138" spans="1:1">
      <c r="A138" s="100"/>
    </row>
    <row r="139" spans="1:1">
      <c r="A139" s="100"/>
    </row>
    <row r="140" spans="1:1">
      <c r="A140" s="100"/>
    </row>
    <row r="141" spans="1:1">
      <c r="A141" s="100"/>
    </row>
    <row r="142" spans="1:1">
      <c r="A142" s="100"/>
    </row>
    <row r="143" spans="1:1">
      <c r="A143" s="100"/>
    </row>
    <row r="144" spans="1:1">
      <c r="A144" s="100"/>
    </row>
    <row r="145" spans="1:7">
      <c r="A145" s="100"/>
      <c r="E145" s="163"/>
      <c r="F145" s="163"/>
      <c r="G145" s="163"/>
    </row>
    <row r="146" spans="1:7">
      <c r="A146" s="100"/>
      <c r="B146" s="3"/>
      <c r="C146" s="3"/>
      <c r="D146" s="3"/>
    </row>
    <row r="147" spans="1:7">
      <c r="A147" s="100"/>
      <c r="B147" s="3"/>
      <c r="C147" s="3"/>
      <c r="D147" s="3"/>
    </row>
    <row r="148" spans="1:7">
      <c r="A148" s="100"/>
      <c r="B148" s="101"/>
      <c r="C148" s="101"/>
      <c r="D148" s="101"/>
      <c r="E148" s="163"/>
      <c r="F148" s="163"/>
    </row>
    <row r="149" spans="1:7">
      <c r="A149" s="100"/>
      <c r="B149" s="101"/>
      <c r="C149" s="101"/>
      <c r="D149" s="101"/>
      <c r="E149" s="163"/>
      <c r="F149" s="163"/>
    </row>
    <row r="150" spans="1:7">
      <c r="A150" s="100"/>
      <c r="B150" s="106"/>
      <c r="C150" s="106"/>
      <c r="D150" s="106"/>
      <c r="E150" s="163"/>
      <c r="F150" s="163"/>
    </row>
    <row r="151" spans="1:7">
      <c r="A151" s="100"/>
    </row>
    <row r="152" spans="1:7">
      <c r="A152" s="100"/>
    </row>
    <row r="153" spans="1:7">
      <c r="A153" s="100"/>
    </row>
    <row r="154" spans="1:7">
      <c r="A154" s="100"/>
    </row>
    <row r="155" spans="1:7">
      <c r="A155" s="100"/>
    </row>
    <row r="156" spans="1:7">
      <c r="A156" s="100"/>
      <c r="B156" s="106"/>
      <c r="C156" s="106"/>
      <c r="D156" s="106"/>
    </row>
    <row r="157" spans="1:7">
      <c r="A157" s="100"/>
      <c r="B157" s="106"/>
      <c r="C157" s="106"/>
      <c r="D157" s="106"/>
    </row>
    <row r="158" spans="1:7">
      <c r="A158" s="100"/>
      <c r="B158" s="106"/>
      <c r="C158" s="106"/>
      <c r="D158" s="106"/>
    </row>
    <row r="159" spans="1:7">
      <c r="A159" s="100"/>
    </row>
    <row r="160" spans="1:7">
      <c r="A160" s="100"/>
    </row>
    <row r="161" spans="1:7">
      <c r="A161" s="100"/>
    </row>
    <row r="162" spans="1:7">
      <c r="A162" s="100"/>
    </row>
    <row r="163" spans="1:7">
      <c r="A163" s="100"/>
    </row>
    <row r="164" spans="1:7">
      <c r="A164" s="100"/>
    </row>
    <row r="165" spans="1:7">
      <c r="A165" s="100"/>
    </row>
    <row r="166" spans="1:7">
      <c r="A166" s="100"/>
    </row>
    <row r="167" spans="1:7">
      <c r="A167" s="100"/>
    </row>
    <row r="168" spans="1:7">
      <c r="A168" s="100"/>
      <c r="E168" s="163"/>
      <c r="F168" s="163"/>
      <c r="G168" s="163"/>
    </row>
    <row r="169" spans="1:7">
      <c r="A169" s="100"/>
      <c r="B169" s="3"/>
      <c r="C169" s="3"/>
      <c r="D169" s="3"/>
    </row>
    <row r="170" spans="1:7">
      <c r="B170" s="3"/>
      <c r="C170" s="3"/>
      <c r="D170" s="3"/>
    </row>
    <row r="171" spans="1:7">
      <c r="A171" s="100"/>
      <c r="B171" s="101"/>
      <c r="C171" s="101"/>
      <c r="D171" s="101"/>
      <c r="E171" s="163"/>
      <c r="F171" s="163"/>
    </row>
    <row r="172" spans="1:7">
      <c r="A172" s="100"/>
      <c r="B172" s="101"/>
      <c r="C172" s="101"/>
      <c r="D172" s="101"/>
      <c r="E172" s="163"/>
      <c r="F172" s="163"/>
    </row>
    <row r="173" spans="1:7">
      <c r="A173" s="100"/>
      <c r="B173" s="106"/>
      <c r="C173" s="106"/>
      <c r="D173" s="106"/>
      <c r="E173" s="163"/>
      <c r="F173" s="163"/>
    </row>
    <row r="174" spans="1:7">
      <c r="A174" s="100"/>
    </row>
    <row r="175" spans="1:7">
      <c r="A175" s="100"/>
    </row>
    <row r="176" spans="1:7">
      <c r="A176" s="100"/>
    </row>
    <row r="177" spans="1:7">
      <c r="A177" s="100"/>
    </row>
    <row r="178" spans="1:7">
      <c r="A178" s="100"/>
    </row>
    <row r="179" spans="1:7">
      <c r="A179" s="100"/>
      <c r="B179" s="106"/>
      <c r="C179" s="106"/>
      <c r="D179" s="106"/>
    </row>
    <row r="180" spans="1:7">
      <c r="A180" s="100"/>
      <c r="B180" s="106"/>
      <c r="C180" s="106"/>
      <c r="D180" s="106"/>
    </row>
    <row r="181" spans="1:7">
      <c r="A181" s="100"/>
      <c r="B181" s="106"/>
      <c r="C181" s="106"/>
      <c r="D181" s="106"/>
    </row>
    <row r="182" spans="1:7">
      <c r="A182" s="100"/>
    </row>
    <row r="183" spans="1:7">
      <c r="A183" s="100"/>
    </row>
    <row r="184" spans="1:7">
      <c r="A184" s="100"/>
    </row>
    <row r="185" spans="1:7">
      <c r="A185" s="100"/>
    </row>
    <row r="186" spans="1:7">
      <c r="A186" s="100"/>
    </row>
    <row r="187" spans="1:7">
      <c r="A187" s="100"/>
    </row>
    <row r="188" spans="1:7">
      <c r="A188" s="100"/>
    </row>
    <row r="189" spans="1:7">
      <c r="A189" s="100"/>
    </row>
    <row r="190" spans="1:7">
      <c r="A190" s="100"/>
    </row>
    <row r="191" spans="1:7">
      <c r="A191" s="100"/>
      <c r="E191" s="163"/>
      <c r="F191" s="163"/>
      <c r="G191" s="163"/>
    </row>
    <row r="192" spans="1:7">
      <c r="B192" s="3"/>
      <c r="C192" s="3"/>
      <c r="D192" s="3"/>
    </row>
    <row r="193" spans="1:6">
      <c r="B193" s="3"/>
      <c r="C193" s="3"/>
      <c r="D193" s="3"/>
      <c r="E193" s="163"/>
    </row>
    <row r="194" spans="1:6">
      <c r="A194" s="100"/>
      <c r="B194" s="101"/>
      <c r="C194" s="101"/>
      <c r="D194" s="101"/>
      <c r="E194" s="163"/>
      <c r="F194" s="163"/>
    </row>
    <row r="195" spans="1:6">
      <c r="A195" s="100"/>
      <c r="B195" s="101"/>
      <c r="C195" s="101"/>
      <c r="D195" s="101"/>
      <c r="E195" s="163"/>
      <c r="F195" s="163"/>
    </row>
    <row r="196" spans="1:6">
      <c r="A196" s="100"/>
      <c r="B196" s="106"/>
      <c r="C196" s="106"/>
      <c r="D196" s="106"/>
      <c r="E196" s="163"/>
      <c r="F196" s="163"/>
    </row>
    <row r="197" spans="1:6">
      <c r="A197" s="100"/>
    </row>
    <row r="198" spans="1:6">
      <c r="A198" s="100"/>
    </row>
    <row r="199" spans="1:6">
      <c r="A199" s="100"/>
    </row>
    <row r="200" spans="1:6">
      <c r="A200" s="100"/>
    </row>
    <row r="201" spans="1:6">
      <c r="A201" s="100"/>
    </row>
    <row r="202" spans="1:6">
      <c r="A202" s="100"/>
      <c r="B202" s="106"/>
      <c r="C202" s="106"/>
      <c r="D202" s="106"/>
    </row>
    <row r="203" spans="1:6">
      <c r="A203" s="100"/>
      <c r="B203" s="106"/>
      <c r="C203" s="106"/>
      <c r="D203" s="106"/>
    </row>
    <row r="204" spans="1:6">
      <c r="A204" s="100"/>
      <c r="B204" s="106"/>
      <c r="C204" s="106"/>
      <c r="D204" s="106"/>
    </row>
    <row r="205" spans="1:6">
      <c r="A205" s="100"/>
    </row>
    <row r="206" spans="1:6">
      <c r="A206" s="100"/>
    </row>
    <row r="207" spans="1:6">
      <c r="A207" s="100"/>
    </row>
    <row r="208" spans="1:6">
      <c r="A208" s="100"/>
    </row>
    <row r="209" spans="1:7">
      <c r="A209" s="100"/>
    </row>
    <row r="210" spans="1:7">
      <c r="A210" s="100"/>
    </row>
    <row r="211" spans="1:7">
      <c r="A211" s="100"/>
    </row>
    <row r="212" spans="1:7">
      <c r="A212" s="100"/>
    </row>
    <row r="213" spans="1:7">
      <c r="A213" s="100"/>
    </row>
    <row r="214" spans="1:7">
      <c r="A214" s="100"/>
      <c r="E214" s="163"/>
      <c r="F214" s="163"/>
      <c r="G214" s="163"/>
    </row>
    <row r="215" spans="1:7">
      <c r="B215" s="3"/>
      <c r="C215" s="3"/>
      <c r="D215" s="3"/>
      <c r="E215" s="163"/>
    </row>
    <row r="216" spans="1:7">
      <c r="B216" s="3"/>
      <c r="C216" s="3"/>
      <c r="D216" s="3"/>
    </row>
    <row r="217" spans="1:7">
      <c r="A217" s="100"/>
      <c r="B217" s="101"/>
      <c r="C217" s="101"/>
      <c r="D217" s="101"/>
      <c r="E217" s="163"/>
      <c r="F217" s="163"/>
    </row>
    <row r="218" spans="1:7">
      <c r="A218" s="100"/>
      <c r="B218" s="101"/>
      <c r="C218" s="101"/>
      <c r="D218" s="101"/>
      <c r="E218" s="163"/>
      <c r="F218" s="163"/>
    </row>
    <row r="219" spans="1:7">
      <c r="A219" s="100"/>
      <c r="B219" s="106"/>
      <c r="C219" s="106"/>
      <c r="D219" s="106"/>
      <c r="E219" s="163"/>
      <c r="F219" s="163"/>
    </row>
    <row r="220" spans="1:7">
      <c r="A220" s="100"/>
    </row>
    <row r="221" spans="1:7">
      <c r="A221" s="100"/>
    </row>
    <row r="222" spans="1:7">
      <c r="A222" s="100"/>
    </row>
    <row r="223" spans="1:7">
      <c r="A223" s="100"/>
    </row>
    <row r="224" spans="1:7">
      <c r="A224" s="100"/>
    </row>
    <row r="225" spans="1:7">
      <c r="A225" s="100"/>
      <c r="B225" s="106"/>
      <c r="C225" s="106"/>
      <c r="D225" s="106"/>
    </row>
    <row r="226" spans="1:7">
      <c r="A226" s="100"/>
      <c r="B226" s="106"/>
      <c r="C226" s="106"/>
      <c r="D226" s="106"/>
    </row>
    <row r="227" spans="1:7">
      <c r="A227" s="100"/>
      <c r="B227" s="106"/>
      <c r="C227" s="106"/>
      <c r="D227" s="106"/>
    </row>
    <row r="228" spans="1:7">
      <c r="A228" s="100"/>
    </row>
    <row r="229" spans="1:7">
      <c r="A229" s="100"/>
    </row>
    <row r="230" spans="1:7">
      <c r="A230" s="100"/>
    </row>
    <row r="231" spans="1:7">
      <c r="A231" s="100"/>
    </row>
    <row r="232" spans="1:7">
      <c r="A232" s="100"/>
    </row>
    <row r="233" spans="1:7">
      <c r="A233" s="100"/>
    </row>
    <row r="234" spans="1:7">
      <c r="A234" s="100"/>
    </row>
    <row r="235" spans="1:7">
      <c r="A235" s="100"/>
    </row>
    <row r="236" spans="1:7">
      <c r="A236" s="100"/>
    </row>
    <row r="237" spans="1:7">
      <c r="A237" s="100"/>
      <c r="E237" s="163"/>
      <c r="F237" s="163"/>
      <c r="G237" s="163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100"/>
      <c r="B240" s="101"/>
      <c r="C240" s="101"/>
      <c r="D240" s="101"/>
      <c r="E240" s="163"/>
      <c r="F240" s="163"/>
    </row>
    <row r="241" spans="1:6">
      <c r="A241" s="100"/>
      <c r="B241" s="101"/>
      <c r="C241" s="101"/>
      <c r="D241" s="101"/>
      <c r="E241" s="163"/>
      <c r="F241" s="163"/>
    </row>
    <row r="242" spans="1:6">
      <c r="A242" s="100"/>
      <c r="B242" s="106"/>
      <c r="C242" s="106"/>
      <c r="D242" s="106"/>
      <c r="E242" s="163"/>
      <c r="F242" s="163"/>
    </row>
    <row r="243" spans="1:6">
      <c r="A243" s="100"/>
    </row>
    <row r="244" spans="1:6">
      <c r="A244" s="100"/>
    </row>
    <row r="245" spans="1:6">
      <c r="A245" s="100"/>
    </row>
    <row r="246" spans="1:6">
      <c r="A246" s="100"/>
    </row>
    <row r="247" spans="1:6">
      <c r="A247" s="100"/>
    </row>
    <row r="248" spans="1:6">
      <c r="A248" s="100"/>
      <c r="B248" s="106"/>
      <c r="C248" s="106"/>
      <c r="D248" s="106"/>
    </row>
    <row r="249" spans="1:6">
      <c r="A249" s="100"/>
      <c r="B249" s="106"/>
      <c r="C249" s="106"/>
      <c r="D249" s="106"/>
    </row>
    <row r="250" spans="1:6">
      <c r="A250" s="100"/>
      <c r="B250" s="106"/>
      <c r="C250" s="106"/>
      <c r="D250" s="106"/>
    </row>
    <row r="251" spans="1:6">
      <c r="A251" s="100"/>
    </row>
    <row r="252" spans="1:6">
      <c r="A252" s="100"/>
    </row>
    <row r="253" spans="1:6">
      <c r="A253" s="100"/>
    </row>
    <row r="254" spans="1:6">
      <c r="A254" s="100"/>
    </row>
    <row r="255" spans="1:6">
      <c r="A255" s="100"/>
    </row>
    <row r="256" spans="1:6">
      <c r="A256" s="100"/>
    </row>
    <row r="257" spans="1:7">
      <c r="A257" s="100"/>
    </row>
    <row r="258" spans="1:7">
      <c r="A258" s="100"/>
    </row>
    <row r="259" spans="1:7">
      <c r="A259" s="100"/>
    </row>
    <row r="260" spans="1:7">
      <c r="A260" s="100"/>
      <c r="E260" s="163"/>
      <c r="F260" s="163"/>
      <c r="G260" s="163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100"/>
      <c r="B263" s="101"/>
      <c r="C263" s="101"/>
      <c r="D263" s="101"/>
      <c r="E263" s="163"/>
      <c r="F263" s="163"/>
    </row>
    <row r="264" spans="1:7">
      <c r="A264" s="100"/>
      <c r="B264" s="101"/>
      <c r="C264" s="101"/>
      <c r="D264" s="101"/>
      <c r="E264" s="163"/>
      <c r="F264" s="163"/>
    </row>
    <row r="265" spans="1:7">
      <c r="A265" s="100"/>
      <c r="B265" s="106"/>
      <c r="C265" s="106"/>
      <c r="D265" s="106"/>
      <c r="E265" s="163"/>
      <c r="F265" s="163"/>
    </row>
    <row r="266" spans="1:7">
      <c r="A266" s="100"/>
    </row>
    <row r="267" spans="1:7">
      <c r="A267" s="100"/>
    </row>
    <row r="268" spans="1:7">
      <c r="A268" s="100"/>
    </row>
    <row r="269" spans="1:7">
      <c r="A269" s="100"/>
    </row>
    <row r="270" spans="1:7">
      <c r="A270" s="100"/>
    </row>
    <row r="271" spans="1:7">
      <c r="A271" s="100"/>
      <c r="B271" s="106"/>
      <c r="C271" s="106"/>
      <c r="D271" s="106"/>
    </row>
    <row r="272" spans="1:7">
      <c r="A272" s="100"/>
      <c r="B272" s="106"/>
      <c r="C272" s="106"/>
      <c r="D272" s="106"/>
    </row>
    <row r="273" spans="1:7">
      <c r="A273" s="100"/>
      <c r="B273" s="106"/>
      <c r="C273" s="106"/>
      <c r="D273" s="106"/>
    </row>
    <row r="274" spans="1:7">
      <c r="A274" s="100"/>
    </row>
    <row r="275" spans="1:7">
      <c r="A275" s="100"/>
    </row>
    <row r="276" spans="1:7">
      <c r="A276" s="100"/>
    </row>
    <row r="277" spans="1:7">
      <c r="A277" s="100"/>
    </row>
    <row r="278" spans="1:7">
      <c r="A278" s="100"/>
    </row>
    <row r="279" spans="1:7">
      <c r="A279" s="100"/>
    </row>
    <row r="280" spans="1:7">
      <c r="A280" s="100"/>
    </row>
    <row r="281" spans="1:7">
      <c r="A281" s="100"/>
    </row>
    <row r="282" spans="1:7">
      <c r="A282" s="100"/>
    </row>
    <row r="283" spans="1:7">
      <c r="A283" s="100"/>
      <c r="E283" s="163"/>
      <c r="F283" s="163"/>
      <c r="G283" s="163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2:N25"/>
  <sheetViews>
    <sheetView topLeftCell="A9" zoomScale="170" zoomScaleNormal="170" workbookViewId="0">
      <selection activeCell="A9" sqref="A9"/>
    </sheetView>
  </sheetViews>
  <sheetFormatPr defaultColWidth="8.5703125" defaultRowHeight="12.75"/>
  <cols>
    <col min="1" max="1" width="12.28515625" customWidth="1"/>
    <col min="2" max="2" width="13.5703125" customWidth="1"/>
    <col min="3" max="3" width="14.28515625" customWidth="1"/>
    <col min="4" max="4" width="14.5703125" customWidth="1"/>
    <col min="5" max="5" width="14.140625" customWidth="1"/>
    <col min="6" max="6" width="15.5703125" customWidth="1"/>
    <col min="7" max="7" width="14.8554687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1574</v>
      </c>
    </row>
    <row r="3" spans="1:14">
      <c r="A3" t="s">
        <v>1575</v>
      </c>
      <c r="C3" t="s">
        <v>1576</v>
      </c>
      <c r="D3" t="s">
        <v>1577</v>
      </c>
    </row>
    <row r="4" spans="1:14">
      <c r="A4" t="s">
        <v>1578</v>
      </c>
      <c r="C4" t="s">
        <v>1579</v>
      </c>
      <c r="D4" t="s">
        <v>1580</v>
      </c>
    </row>
    <row r="5" spans="1:14">
      <c r="A5" t="s">
        <v>1581</v>
      </c>
      <c r="C5" t="s">
        <v>1579</v>
      </c>
      <c r="D5" t="s">
        <v>1582</v>
      </c>
    </row>
    <row r="10" spans="1:14" ht="15.75">
      <c r="A10" s="19"/>
      <c r="B10" s="20"/>
      <c r="C10" s="21" t="s">
        <v>23</v>
      </c>
      <c r="D10" s="22"/>
      <c r="E10" s="23"/>
      <c r="F10" s="21" t="s">
        <v>24</v>
      </c>
      <c r="G10" s="22"/>
      <c r="H10" s="24"/>
      <c r="I10" s="25"/>
      <c r="J10" s="26"/>
      <c r="K10" s="334">
        <v>0.23471</v>
      </c>
      <c r="L10" s="334">
        <v>0.76529000000000003</v>
      </c>
      <c r="M10" s="335"/>
      <c r="N10" s="26" t="s">
        <v>26</v>
      </c>
    </row>
    <row r="11" spans="1:14" ht="15.75">
      <c r="A11" s="19">
        <v>-2022</v>
      </c>
      <c r="B11" s="23" t="s">
        <v>28</v>
      </c>
      <c r="C11" s="28" t="s">
        <v>29</v>
      </c>
      <c r="D11" s="22" t="s">
        <v>30</v>
      </c>
      <c r="E11" s="23" t="s">
        <v>28</v>
      </c>
      <c r="F11" s="28" t="s">
        <v>29</v>
      </c>
      <c r="G11" s="22" t="s">
        <v>3</v>
      </c>
      <c r="H11" s="24"/>
      <c r="I11" s="25"/>
      <c r="J11" s="26" t="s">
        <v>31</v>
      </c>
      <c r="K11" s="335" t="s">
        <v>797</v>
      </c>
      <c r="L11" s="335" t="s">
        <v>798</v>
      </c>
      <c r="M11" s="335" t="s">
        <v>32</v>
      </c>
      <c r="N11" s="26" t="s">
        <v>1319</v>
      </c>
    </row>
    <row r="12" spans="1:14">
      <c r="A12" t="s">
        <v>33</v>
      </c>
      <c r="B12" s="213">
        <v>7333.3</v>
      </c>
      <c r="C12" s="214">
        <v>-6834.05</v>
      </c>
      <c r="D12" s="215">
        <v>499.25</v>
      </c>
      <c r="E12" s="213">
        <v>46462.64</v>
      </c>
      <c r="F12" s="214">
        <v>-6834.05</v>
      </c>
      <c r="G12" s="216">
        <v>39628.589999999997</v>
      </c>
      <c r="H12" s="34"/>
      <c r="I12" s="35" t="s">
        <v>34</v>
      </c>
      <c r="J12">
        <v>36</v>
      </c>
      <c r="K12" s="2"/>
      <c r="M12" s="2">
        <v>36</v>
      </c>
    </row>
    <row r="13" spans="1:14">
      <c r="A13" t="s">
        <v>35</v>
      </c>
      <c r="B13" s="213">
        <v>10567.09</v>
      </c>
      <c r="C13" s="214">
        <v>-21938.15</v>
      </c>
      <c r="D13" s="215">
        <v>-10871.81</v>
      </c>
      <c r="E13" s="213">
        <v>11567.09</v>
      </c>
      <c r="F13" s="214">
        <v>-21938.15</v>
      </c>
      <c r="G13" s="216">
        <v>29257.53</v>
      </c>
      <c r="H13" s="34"/>
      <c r="I13" s="35" t="s">
        <v>38</v>
      </c>
      <c r="J13">
        <v>19.8</v>
      </c>
      <c r="K13" s="2"/>
      <c r="M13" s="2">
        <v>19.8</v>
      </c>
    </row>
    <row r="14" spans="1:14">
      <c r="A14" t="s">
        <v>37</v>
      </c>
      <c r="B14" s="213">
        <v>36859.61</v>
      </c>
      <c r="C14" s="214">
        <v>-30109.3</v>
      </c>
      <c r="D14" s="215">
        <v>-4121.5</v>
      </c>
      <c r="E14" s="213">
        <v>35859.61</v>
      </c>
      <c r="F14" s="214">
        <v>-30109.3</v>
      </c>
      <c r="G14" s="216">
        <v>35007.839999999997</v>
      </c>
      <c r="H14" s="34"/>
      <c r="I14" s="35" t="s">
        <v>76</v>
      </c>
      <c r="N14" s="2">
        <v>46.1</v>
      </c>
    </row>
    <row r="15" spans="1:14">
      <c r="A15" t="s">
        <v>39</v>
      </c>
      <c r="B15" s="213">
        <v>15937.59</v>
      </c>
      <c r="C15" s="214">
        <v>-11790.68</v>
      </c>
      <c r="D15" s="215">
        <v>25.4100000000035</v>
      </c>
      <c r="E15" s="213">
        <v>17940.28</v>
      </c>
      <c r="F15" s="214">
        <v>-11140.68</v>
      </c>
      <c r="G15" s="216">
        <v>41807.440000000002</v>
      </c>
      <c r="H15" s="34"/>
      <c r="I15" s="35" t="s">
        <v>48</v>
      </c>
      <c r="J15">
        <v>60</v>
      </c>
      <c r="K15" s="2"/>
      <c r="M15" s="2">
        <v>6.5</v>
      </c>
    </row>
    <row r="16" spans="1:14">
      <c r="A16" t="s">
        <v>41</v>
      </c>
      <c r="B16" s="213">
        <v>11328.34</v>
      </c>
      <c r="C16" s="214">
        <v>-7712.66</v>
      </c>
      <c r="D16" s="215">
        <v>3641.09</v>
      </c>
      <c r="E16" s="213">
        <v>9522.3700000000008</v>
      </c>
      <c r="F16" s="214">
        <v>-7722.66</v>
      </c>
      <c r="G16" s="216">
        <v>43607.15</v>
      </c>
      <c r="H16" s="34"/>
      <c r="I16" s="35" t="s">
        <v>1320</v>
      </c>
      <c r="J16">
        <v>95</v>
      </c>
      <c r="K16" s="2"/>
      <c r="M16" s="2">
        <v>23.75</v>
      </c>
    </row>
    <row r="17" spans="1:14">
      <c r="A17" t="s">
        <v>1321</v>
      </c>
      <c r="B17" s="213">
        <v>17837.05</v>
      </c>
      <c r="C17" s="214">
        <v>-28058.1</v>
      </c>
      <c r="D17" s="215">
        <v>-6579.96</v>
      </c>
      <c r="E17" s="213">
        <v>16654.189999999999</v>
      </c>
      <c r="F17" s="214">
        <v>-28058.1</v>
      </c>
      <c r="G17" s="216">
        <v>32203.24</v>
      </c>
      <c r="H17" s="34"/>
    </row>
    <row r="18" spans="1:14">
      <c r="A18" t="s">
        <v>1322</v>
      </c>
      <c r="B18" s="213">
        <v>27131.07</v>
      </c>
      <c r="C18" s="214">
        <v>-17400.82</v>
      </c>
      <c r="D18" s="215">
        <v>3150.29</v>
      </c>
      <c r="E18" s="213">
        <v>16133.3</v>
      </c>
      <c r="F18" s="214">
        <v>-20600.82</v>
      </c>
      <c r="G18" s="216">
        <v>27735.72</v>
      </c>
      <c r="H18" s="34"/>
      <c r="I18" s="35" t="s">
        <v>52</v>
      </c>
      <c r="J18">
        <v>42</v>
      </c>
      <c r="K18" s="2">
        <v>9.8578200000000002</v>
      </c>
      <c r="L18" s="2">
        <v>32.142180000000003</v>
      </c>
    </row>
    <row r="19" spans="1:14">
      <c r="A19" t="s">
        <v>1323</v>
      </c>
      <c r="B19" s="213">
        <v>34617.910000000003</v>
      </c>
      <c r="C19" s="214">
        <v>-11695.35</v>
      </c>
      <c r="D19" s="215">
        <v>26072.85</v>
      </c>
      <c r="E19" s="213">
        <v>102061.66</v>
      </c>
      <c r="F19" s="214">
        <v>-33894.33</v>
      </c>
      <c r="G19" s="216">
        <v>95903.05</v>
      </c>
      <c r="H19" s="34"/>
      <c r="I19" s="35" t="s">
        <v>56</v>
      </c>
      <c r="J19">
        <v>84</v>
      </c>
      <c r="K19" s="2">
        <v>19.71564</v>
      </c>
      <c r="L19" s="2">
        <v>64.284360000000007</v>
      </c>
    </row>
    <row r="20" spans="1:14">
      <c r="A20" t="s">
        <v>49</v>
      </c>
      <c r="B20" s="213">
        <v>66162.31</v>
      </c>
      <c r="C20" s="214">
        <v>-61978.720000000001</v>
      </c>
      <c r="D20" s="215">
        <v>30256.44</v>
      </c>
      <c r="E20" s="213">
        <v>9260.5</v>
      </c>
      <c r="F20" s="214">
        <v>-25729.24</v>
      </c>
      <c r="G20" s="216">
        <v>79434.31</v>
      </c>
      <c r="H20" s="34"/>
      <c r="I20" s="35" t="s">
        <v>54</v>
      </c>
      <c r="J20">
        <v>84</v>
      </c>
      <c r="K20" s="2">
        <v>19.71564</v>
      </c>
      <c r="L20" s="2">
        <v>64.284360000000007</v>
      </c>
    </row>
    <row r="21" spans="1:14">
      <c r="A21" t="s">
        <v>51</v>
      </c>
      <c r="B21" s="213">
        <v>23872.2</v>
      </c>
      <c r="C21" s="214">
        <v>-34541.120000000003</v>
      </c>
      <c r="D21" s="215">
        <v>19587.52</v>
      </c>
      <c r="E21" s="213">
        <v>79418.41</v>
      </c>
      <c r="F21" s="214">
        <v>-90424.320000000007</v>
      </c>
      <c r="G21" s="216">
        <v>68428.399999999994</v>
      </c>
      <c r="H21" s="34"/>
      <c r="I21" s="35" t="s">
        <v>46</v>
      </c>
      <c r="J21">
        <v>45</v>
      </c>
      <c r="K21" s="2">
        <v>10.56195</v>
      </c>
      <c r="L21" s="2">
        <v>34.438049999999997</v>
      </c>
      <c r="N21" s="336">
        <v>400.76679000000001</v>
      </c>
    </row>
    <row r="22" spans="1:14">
      <c r="A22" t="s">
        <v>53</v>
      </c>
      <c r="B22" s="213">
        <v>179191.62</v>
      </c>
      <c r="C22" s="214">
        <v>-14175.82</v>
      </c>
      <c r="D22" s="215">
        <v>184603.32</v>
      </c>
      <c r="E22" s="213">
        <v>178439.6</v>
      </c>
      <c r="F22" s="214">
        <v>-18452.8</v>
      </c>
      <c r="G22" s="216">
        <v>228415.2</v>
      </c>
      <c r="H22" s="34"/>
      <c r="I22" s="35" t="s">
        <v>36</v>
      </c>
      <c r="J22">
        <v>48</v>
      </c>
      <c r="K22" s="2">
        <v>11.266080000000001</v>
      </c>
      <c r="L22" s="2">
        <v>36.733919999999998</v>
      </c>
      <c r="N22" s="337">
        <v>33.397232500000001</v>
      </c>
    </row>
    <row r="23" spans="1:14">
      <c r="A23" t="s">
        <v>55</v>
      </c>
      <c r="B23" s="213">
        <v>15475.96</v>
      </c>
      <c r="C23" s="214">
        <v>-16961.34</v>
      </c>
      <c r="D23" s="215">
        <v>183117.94</v>
      </c>
      <c r="E23" s="213">
        <v>22052.39</v>
      </c>
      <c r="F23" s="214">
        <v>-21692.25</v>
      </c>
      <c r="G23" s="216">
        <v>228775.34</v>
      </c>
      <c r="H23" s="34"/>
      <c r="I23" s="35" t="s">
        <v>50</v>
      </c>
      <c r="J23">
        <v>48</v>
      </c>
      <c r="K23" s="2">
        <v>11.266080000000001</v>
      </c>
      <c r="L23" s="2">
        <v>36.733919999999998</v>
      </c>
    </row>
    <row r="24" spans="1:14">
      <c r="A24" s="46" t="s">
        <v>67</v>
      </c>
      <c r="B24" s="219">
        <v>446314.05</v>
      </c>
      <c r="C24" s="220">
        <v>-263196.11</v>
      </c>
      <c r="D24" s="338">
        <v>183117.94</v>
      </c>
      <c r="E24" s="219">
        <v>545372.04</v>
      </c>
      <c r="F24" s="220">
        <v>-316596.7</v>
      </c>
      <c r="G24" s="338">
        <v>228775.34</v>
      </c>
      <c r="H24" s="34"/>
      <c r="I24" s="222"/>
      <c r="J24" s="222">
        <v>351</v>
      </c>
      <c r="K24" s="339">
        <v>82.383210000000005</v>
      </c>
      <c r="L24" s="339">
        <v>268.61678999999998</v>
      </c>
      <c r="M24" s="339">
        <v>86.05</v>
      </c>
      <c r="N24" s="339">
        <v>46.1</v>
      </c>
    </row>
    <row r="25" spans="1:14">
      <c r="A25" s="340">
        <v>12</v>
      </c>
      <c r="B25" s="341">
        <v>37192.837500000001</v>
      </c>
      <c r="C25" s="342">
        <v>-21933.009166666699</v>
      </c>
      <c r="D25" s="342"/>
      <c r="E25" s="342">
        <v>45447.67</v>
      </c>
      <c r="F25" s="342">
        <v>-26383.058333333302</v>
      </c>
      <c r="G25" s="342">
        <v>19064.6116666667</v>
      </c>
      <c r="H25" s="56"/>
      <c r="I25" s="224"/>
      <c r="J25" s="342">
        <v>29.25</v>
      </c>
      <c r="K25" s="342">
        <v>6.8652674999999999</v>
      </c>
      <c r="L25" s="342">
        <v>22.384732499999998</v>
      </c>
      <c r="M25" s="342">
        <v>7.1708333333333298</v>
      </c>
      <c r="N25" s="342">
        <v>3.8416666666666699</v>
      </c>
    </row>
  </sheetData>
  <hyperlinks>
    <hyperlink ref="D3" r:id="rId1" xr:uid="{00000000-0004-0000-3A00-000000000000}"/>
    <hyperlink ref="D4" r:id="rId2" xr:uid="{00000000-0004-0000-3A00-000001000000}"/>
    <hyperlink ref="D5" r:id="rId3" xr:uid="{00000000-0004-0000-3A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1131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59</vt:i4>
      </vt:variant>
    </vt:vector>
  </HeadingPairs>
  <TitlesOfParts>
    <vt:vector size="59" baseType="lpstr">
      <vt:lpstr>PERI_25</vt:lpstr>
      <vt:lpstr>GNLK-_2025</vt:lpstr>
      <vt:lpstr>12_25</vt:lpstr>
      <vt:lpstr>11_25</vt:lpstr>
      <vt:lpstr>10_25</vt:lpstr>
      <vt:lpstr>09_25</vt:lpstr>
      <vt:lpstr>08_25</vt:lpstr>
      <vt:lpstr>07_25</vt:lpstr>
      <vt:lpstr>06_25</vt:lpstr>
      <vt:lpstr>05_25</vt:lpstr>
      <vt:lpstr>04_25</vt:lpstr>
      <vt:lpstr>03_25</vt:lpstr>
      <vt:lpstr>02_25</vt:lpstr>
      <vt:lpstr>01_25</vt:lpstr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271</cp:revision>
  <cp:lastPrinted>2025-04-04T08:39:34Z</cp:lastPrinted>
  <dcterms:created xsi:type="dcterms:W3CDTF">2022-03-04T11:30:59Z</dcterms:created>
  <dcterms:modified xsi:type="dcterms:W3CDTF">2025-06-21T01:48:39Z</dcterms:modified>
  <dc:language>tr-TR</dc:language>
</cp:coreProperties>
</file>