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3.xml.rels" ContentType="application/vnd.openxmlformats-package.relationships+xml"/>
  <Override PartName="/xl/worksheets/_rels/sheet32.xml.rels" ContentType="application/vnd.openxmlformats-package.relationships+xml"/>
  <Override PartName="/xl/worksheets/_rels/sheet59.xml.rels" ContentType="application/vnd.openxmlformats-package.relationships+xml"/>
  <Override PartName="/xl/worksheets/sheet31.xml" ContentType="application/vnd.openxmlformats-officedocument.spreadsheetml.worksheet+xml"/>
  <Override PartName="/xl/worksheets/sheet47.xml" ContentType="application/vnd.openxmlformats-officedocument.spreadsheetml.worksheet+xml"/>
  <Override PartName="/xl/worksheets/sheet10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56.xml" ContentType="application/vnd.openxmlformats-officedocument.spreadsheetml.worksheet+xml"/>
  <Override PartName="/xl/worksheets/sheet44.xml" ContentType="application/vnd.openxmlformats-officedocument.spreadsheetml.worksheet+xml"/>
  <Override PartName="/xl/worksheets/sheet55.xml" ContentType="application/vnd.openxmlformats-officedocument.spreadsheetml.worksheet+xml"/>
  <Override PartName="/xl/worksheets/sheet43.xml" ContentType="application/vnd.openxmlformats-officedocument.spreadsheetml.worksheet+xml"/>
  <Override PartName="/xl/worksheets/sheet54.xml" ContentType="application/vnd.openxmlformats-officedocument.spreadsheetml.worksheet+xml"/>
  <Override PartName="/xl/worksheets/sheet42.xml" ContentType="application/vnd.openxmlformats-officedocument.spreadsheetml.worksheet+xml"/>
  <Override PartName="/xl/worksheets/sheet53.xml" ContentType="application/vnd.openxmlformats-officedocument.spreadsheetml.worksheet+xml"/>
  <Override PartName="/xl/worksheets/sheet39.xml" ContentType="application/vnd.openxmlformats-officedocument.spreadsheetml.worksheet+xml"/>
  <Override PartName="/xl/worksheets/sheet4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1.xml" ContentType="application/vnd.openxmlformats-officedocument.spreadsheetml.worksheet+xml"/>
  <Override PartName="/xl/worksheets/sheet48.xml" ContentType="application/vnd.openxmlformats-officedocument.spreadsheetml.worksheet+xml"/>
  <Override PartName="/xl/worksheets/sheet11.xml" ContentType="application/vnd.openxmlformats-officedocument.spreadsheetml.worksheet+xml"/>
  <Override PartName="/xl/worksheets/sheet50.xml" ContentType="application/vnd.openxmlformats-officedocument.spreadsheetml.worksheet+xml"/>
  <Override PartName="/xl/worksheets/sheet46.xml" ContentType="application/vnd.openxmlformats-officedocument.spreadsheetml.worksheet+xml"/>
  <Override PartName="/xl/worksheets/sheet45.xml" ContentType="application/vnd.openxmlformats-officedocument.spreadsheetml.worksheet+xml"/>
  <Override PartName="/xl/worksheets/sheet14.xml" ContentType="application/vnd.openxmlformats-officedocument.spreadsheetml.worksheet+xml"/>
  <Override PartName="/xl/worksheets/sheet30.xml" ContentType="application/vnd.openxmlformats-officedocument.spreadsheetml.worksheet+xml"/>
  <Override PartName="/xl/worksheets/sheet13.xml" ContentType="application/vnd.openxmlformats-officedocument.spreadsheetml.worksheet+xml"/>
  <Override PartName="/xl/worksheets/sheet49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57.xml" ContentType="application/vnd.openxmlformats-officedocument.spreadsheetml.worksheet+xml"/>
  <Override PartName="/xl/worksheets/sheet5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58.xml" ContentType="application/vnd.openxmlformats-officedocument.spreadsheetml.worksheet+xml"/>
  <Override PartName="/xl/worksheets/sheet6.xml" ContentType="application/vnd.openxmlformats-officedocument.spreadsheetml.worksheet+xml"/>
  <Override PartName="/xl/worksheets/sheet21.xml" ContentType="application/vnd.openxmlformats-officedocument.spreadsheetml.worksheet+xml"/>
  <Override PartName="/xl/worksheets/sheet59.xml" ContentType="application/vnd.openxmlformats-officedocument.spreadsheetml.worksheet+xml"/>
  <Override PartName="/xl/worksheets/sheet7.xml" ContentType="application/vnd.openxmlformats-officedocument.spreadsheetml.worksheet+xml"/>
  <Override PartName="/xl/worksheets/sheet22.xml" ContentType="application/vnd.openxmlformats-officedocument.spreadsheetml.worksheet+xml"/>
  <Override PartName="/xl/worksheets/sheet8.xml" ContentType="application/vnd.openxmlformats-officedocument.spreadsheetml.worksheet+xml"/>
  <Override PartName="/xl/worksheets/sheet23.xml" ContentType="application/vnd.openxmlformats-officedocument.spreadsheetml.worksheet+xml"/>
  <Override PartName="/xl/worksheets/sheet9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3"/>
  </bookViews>
  <sheets>
    <sheet name="PERI_25" sheetId="1" state="visible" r:id="rId3"/>
    <sheet name="GNLK-_2025" sheetId="2" state="visible" r:id="rId4"/>
    <sheet name="12_25" sheetId="3" state="visible" r:id="rId5"/>
    <sheet name="11_25" sheetId="4" state="visible" r:id="rId6"/>
    <sheet name="10_25" sheetId="5" state="visible" r:id="rId7"/>
    <sheet name="09_25" sheetId="6" state="visible" r:id="rId8"/>
    <sheet name="08_25" sheetId="7" state="visible" r:id="rId9"/>
    <sheet name="07_25" sheetId="8" state="visible" r:id="rId10"/>
    <sheet name="06_25" sheetId="9" state="visible" r:id="rId11"/>
    <sheet name="05_25" sheetId="10" state="visible" r:id="rId12"/>
    <sheet name="04_25" sheetId="11" state="visible" r:id="rId13"/>
    <sheet name="03_25" sheetId="12" state="visible" r:id="rId14"/>
    <sheet name="02_25" sheetId="13" state="visible" r:id="rId15"/>
    <sheet name="01_25" sheetId="14" state="visible" r:id="rId16"/>
    <sheet name="PERI_24" sheetId="15" state="visible" r:id="rId17"/>
    <sheet name="cross" sheetId="16" state="visible" r:id="rId18"/>
    <sheet name="GNLK-_2024" sheetId="17" state="visible" r:id="rId19"/>
    <sheet name="12_24" sheetId="18" state="visible" r:id="rId20"/>
    <sheet name="11_24" sheetId="19" state="visible" r:id="rId21"/>
    <sheet name="10_24" sheetId="20" state="visible" r:id="rId22"/>
    <sheet name="09_24" sheetId="21" state="visible" r:id="rId23"/>
    <sheet name="08_24" sheetId="22" state="visible" r:id="rId24"/>
    <sheet name="07_24" sheetId="23" state="visible" r:id="rId25"/>
    <sheet name="06_24" sheetId="24" state="visible" r:id="rId26"/>
    <sheet name="05_24" sheetId="25" state="visible" r:id="rId27"/>
    <sheet name="04_24" sheetId="26" state="visible" r:id="rId28"/>
    <sheet name="03_24" sheetId="27" state="visible" r:id="rId29"/>
    <sheet name="02_24" sheetId="28" state="visible" r:id="rId30"/>
    <sheet name="01_24" sheetId="29" state="visible" r:id="rId31"/>
    <sheet name="GNLK-_2023" sheetId="30" state="visible" r:id="rId32"/>
    <sheet name="PERI_23" sheetId="31" state="visible" r:id="rId33"/>
    <sheet name="NZN_24" sheetId="32" state="visible" r:id="rId34"/>
    <sheet name="NZN_23" sheetId="33" state="visible" r:id="rId35"/>
    <sheet name="12_23" sheetId="34" state="visible" r:id="rId36"/>
    <sheet name="11_23" sheetId="35" state="visible" r:id="rId37"/>
    <sheet name="10_23" sheetId="36" state="visible" r:id="rId38"/>
    <sheet name="09_23" sheetId="37" state="visible" r:id="rId39"/>
    <sheet name="08_23" sheetId="38" state="visible" r:id="rId40"/>
    <sheet name="07_23" sheetId="39" state="visible" r:id="rId41"/>
    <sheet name="06_23" sheetId="40" state="visible" r:id="rId42"/>
    <sheet name="05_23" sheetId="41" state="visible" r:id="rId43"/>
    <sheet name="04_23" sheetId="42" state="visible" r:id="rId44"/>
    <sheet name="03_23" sheetId="43" state="visible" r:id="rId45"/>
    <sheet name="02_23" sheetId="44" state="visible" r:id="rId46"/>
    <sheet name="01_23" sheetId="45" state="visible" r:id="rId47"/>
    <sheet name="GNLK-_2022" sheetId="46" state="visible" r:id="rId48"/>
    <sheet name="22_12" sheetId="47" state="visible" r:id="rId49"/>
    <sheet name="11" sheetId="48" state="visible" r:id="rId50"/>
    <sheet name="10" sheetId="49" state="visible" r:id="rId51"/>
    <sheet name="09" sheetId="50" state="visible" r:id="rId52"/>
    <sheet name="08" sheetId="51" state="visible" r:id="rId53"/>
    <sheet name="07" sheetId="52" state="visible" r:id="rId54"/>
    <sheet name="06" sheetId="53" state="visible" r:id="rId55"/>
    <sheet name="05" sheetId="54" state="visible" r:id="rId56"/>
    <sheet name="04" sheetId="55" state="visible" r:id="rId57"/>
    <sheet name="03" sheetId="56" state="visible" r:id="rId58"/>
    <sheet name="22_2" sheetId="57" state="visible" r:id="rId59"/>
    <sheet name="22_1" sheetId="58" state="visible" r:id="rId60"/>
    <sheet name="PROCESS" sheetId="59" state="visible" r:id="rId6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<sst xmlns="http://schemas.openxmlformats.org/spreadsheetml/2006/main" count="4374" uniqueCount="1593">
  <si>
    <t xml:space="preserve">hesaba yazılmayan</t>
  </si>
  <si>
    <t xml:space="preserve">hacı ödeme</t>
  </si>
  <si>
    <t xml:space="preserve">peri ödeme</t>
  </si>
  <si>
    <t xml:space="preserve">BAKİYE</t>
  </si>
  <si>
    <t xml:space="preserve">2023 den devir PERİ BORÇLU</t>
  </si>
  <si>
    <t xml:space="preserve">4 ad çeyrek *5000</t>
  </si>
  <si>
    <t xml:space="preserve">ÖDENECK</t>
  </si>
  <si>
    <t xml:space="preserve">Taksit 6/12</t>
  </si>
  <si>
    <t xml:space="preserve">Taksit 7/12</t>
  </si>
  <si>
    <t xml:space="preserve">Taksit 8/12</t>
  </si>
  <si>
    <t xml:space="preserve">Taksit 9/12</t>
  </si>
  <si>
    <t xml:space="preserve">Taksit 10/12</t>
  </si>
  <si>
    <t xml:space="preserve">Taksit 11/12</t>
  </si>
  <si>
    <t xml:space="preserve">Taksit 12/12</t>
  </si>
  <si>
    <t xml:space="preserve">KALAN BAKİYE</t>
  </si>
  <si>
    <t xml:space="preserve">YASEMİN ARAÇ HESABI</t>
  </si>
  <si>
    <t xml:space="preserve">YASEMİN KAPORA</t>
  </si>
  <si>
    <t xml:space="preserve">YASEMİN UMUTTAN OKUL PARASINDAN</t>
  </si>
  <si>
    <t xml:space="preserve">YASEMİN OKUL PARASINDAN</t>
  </si>
  <si>
    <t xml:space="preserve">YASEMİN OKUL PARASI</t>
  </si>
  <si>
    <t xml:space="preserve">DERSANE+ ÖDEME</t>
  </si>
  <si>
    <t xml:space="preserve">MAAŞTAN ÖDENECEK (okul parasından artan)</t>
  </si>
  <si>
    <t xml:space="preserve">TOPLAM  YASEMİNİN ARAÇ ÖDEMESİ</t>
  </si>
  <si>
    <t xml:space="preserve">TAHMİNİ</t>
  </si>
  <si>
    <t xml:space="preserve">GERÇEKLEŞEN</t>
  </si>
  <si>
    <t xml:space="preserve">NZN</t>
  </si>
  <si>
    <t xml:space="preserve">HC</t>
  </si>
  <si>
    <t xml:space="preserve">NY</t>
  </si>
  <si>
    <t xml:space="preserve">GİRİŞ</t>
  </si>
  <si>
    <t xml:space="preserve">ÇIKIŞ</t>
  </si>
  <si>
    <t xml:space="preserve"> BAKİYE</t>
  </si>
  <si>
    <t xml:space="preserve">kR</t>
  </si>
  <si>
    <t xml:space="preserve">Hc 1/1</t>
  </si>
  <si>
    <t xml:space="preserve">Ocak</t>
  </si>
  <si>
    <t xml:space="preserve">dgs</t>
  </si>
  <si>
    <t xml:space="preserve">Şubat</t>
  </si>
  <si>
    <t xml:space="preserve">sF</t>
  </si>
  <si>
    <t xml:space="preserve">Mart</t>
  </si>
  <si>
    <t xml:space="preserve">tzg</t>
  </si>
  <si>
    <t xml:space="preserve">Nisan</t>
  </si>
  <si>
    <t xml:space="preserve">maaş ocak-haziran</t>
  </si>
  <si>
    <t xml:space="preserve">Mayıs</t>
  </si>
  <si>
    <t xml:space="preserve">maaş temmuz-aralık</t>
  </si>
  <si>
    <t xml:space="preserve">Hazrn</t>
  </si>
  <si>
    <t xml:space="preserve">lise</t>
  </si>
  <si>
    <t xml:space="preserve">Temmz</t>
  </si>
  <si>
    <t xml:space="preserve">sE</t>
  </si>
  <si>
    <t xml:space="preserve">Ağusts</t>
  </si>
  <si>
    <t xml:space="preserve">ap</t>
  </si>
  <si>
    <t xml:space="preserve">Eylül</t>
  </si>
  <si>
    <t xml:space="preserve">sG</t>
  </si>
  <si>
    <t xml:space="preserve">Ekim</t>
  </si>
  <si>
    <t xml:space="preserve">sA</t>
  </si>
  <si>
    <t xml:space="preserve">Kasım</t>
  </si>
  <si>
    <t xml:space="preserve">sCD</t>
  </si>
  <si>
    <t xml:space="preserve">Aralık</t>
  </si>
  <si>
    <t xml:space="preserve">sB</t>
  </si>
  <si>
    <t xml:space="preserve">TPLM</t>
  </si>
  <si>
    <t xml:space="preserve">ocak-haziran maaş toplamı</t>
  </si>
  <si>
    <t xml:space="preserve">AYLK</t>
  </si>
  <si>
    <t xml:space="preserve">temmuz-aralık maaş toplamı</t>
  </si>
  <si>
    <t xml:space="preserve">Toplam ;Emekli maaşı</t>
  </si>
  <si>
    <t xml:space="preserve">ocak artış %</t>
  </si>
  <si>
    <t xml:space="preserve">ocak 23 maaş</t>
  </si>
  <si>
    <t xml:space="preserve">temmuz artış</t>
  </si>
  <si>
    <t xml:space="preserve">temmuz 23  maaş</t>
  </si>
  <si>
    <t xml:space="preserve"> - EKİM 2025</t>
  </si>
  <si>
    <t xml:space="preserve">TOPLAM</t>
  </si>
  <si>
    <t xml:space="preserve">KK 4876 İşbank</t>
  </si>
  <si>
    <t xml:space="preserve">KK 5165 Denizbank</t>
  </si>
  <si>
    <t xml:space="preserve">Aidat Marmara Royal Site 9/12</t>
  </si>
  <si>
    <t xml:space="preserve">Kira Adem Özen 7/12 Mrmr Ryl A Blok 82  </t>
  </si>
  <si>
    <t xml:space="preserve">Elektrik 9522138254 Sanayi</t>
  </si>
  <si>
    <t xml:space="preserve">Doğalgaz 800004222954 Kümbet D10</t>
  </si>
  <si>
    <t xml:space="preserve">Doğalgaz 800004222959 Kümbet D09</t>
  </si>
  <si>
    <t xml:space="preserve">Doğalgaz Marmara Royal Ablok D:82</t>
  </si>
  <si>
    <t xml:space="preserve">maaş</t>
  </si>
  <si>
    <t xml:space="preserve">yasemin</t>
  </si>
  <si>
    <t xml:space="preserve">umut</t>
  </si>
  <si>
    <t xml:space="preserve">Genel Masraf</t>
  </si>
  <si>
    <t xml:space="preserve">Elektrik 5847500300 Kümbet D09</t>
  </si>
  <si>
    <t xml:space="preserve">Elektrik 8222520300 Kümbet D10</t>
  </si>
  <si>
    <t xml:space="preserve">TUSDATA 2025    30/30        8845  -  8845 = 0</t>
  </si>
  <si>
    <t xml:space="preserve">İşbank 4876 KK                       </t>
  </si>
  <si>
    <t xml:space="preserve">HESAP KESİM</t>
  </si>
  <si>
    <t xml:space="preserve">Denizbank 5165 kk</t>
  </si>
  <si>
    <t xml:space="preserve">işkembe</t>
  </si>
  <si>
    <t xml:space="preserve"> - EYLÜL 2025</t>
  </si>
  <si>
    <t xml:space="preserve">TUSDATA 2025    29/30          17690    -  8845 = 8845</t>
  </si>
  <si>
    <t xml:space="preserve"> - AĞUSTOS 2025</t>
  </si>
  <si>
    <t xml:space="preserve">TUSDATA 2025    28/30         26535    -  8845 = 17690</t>
  </si>
  <si>
    <t xml:space="preserve"> - TEMMUZ 2025</t>
  </si>
  <si>
    <t xml:space="preserve">TUSDATA 2025    27/30        35380    -  8845 = 26535</t>
  </si>
  <si>
    <t xml:space="preserve"> - HAZİRAN 2025</t>
  </si>
  <si>
    <t xml:space="preserve">TUSDATA 2025    26/30        44225   -  8845 = 35380</t>
  </si>
  <si>
    <t xml:space="preserve"> - MAYIS 2025</t>
  </si>
  <si>
    <t xml:space="preserve">TUSDATA 2025    25/30      53070   -  8845 = 44225</t>
  </si>
  <si>
    <t xml:space="preserve"> - NİSAN 2025</t>
  </si>
  <si>
    <t xml:space="preserve">SANAYI BELEDIYE SAYC UCRETI</t>
  </si>
  <si>
    <t xml:space="preserve"> 2024 / 9 son</t>
  </si>
  <si>
    <t xml:space="preserve">TUSDATA 2025    24/30     61915  -  8845 = 53070</t>
  </si>
  <si>
    <t xml:space="preserve"> - MART 2025</t>
  </si>
  <si>
    <t xml:space="preserve"> 2024 / 8</t>
  </si>
  <si>
    <t xml:space="preserve">TUSDATA 2025    23/30    70760 -  8845 = 61915</t>
  </si>
  <si>
    <t xml:space="preserve"> - ŞUBAT 2025</t>
  </si>
  <si>
    <t xml:space="preserve">SnyB salih ant  16 asgari ücret * 22104 = 353664</t>
  </si>
  <si>
    <t xml:space="preserve"> 2024 / 7</t>
  </si>
  <si>
    <t xml:space="preserve">Doğuş Kira 7/12-2025-26</t>
  </si>
  <si>
    <t xml:space="preserve">TUSDATA 2025    22/30   79605 - 8845 = 70760</t>
  </si>
  <si>
    <t xml:space="preserve"> - OCAK 2025</t>
  </si>
  <si>
    <t xml:space="preserve">SnyB salih ant bankadan   </t>
  </si>
  <si>
    <t xml:space="preserve">umut banka hesabı – hmb hesaba havale – 801 – 209 nazan</t>
  </si>
  <si>
    <t xml:space="preserve"> 2024 / 5</t>
  </si>
  <si>
    <t xml:space="preserve"> 2024 / 6</t>
  </si>
  <si>
    <t xml:space="preserve">Doğuş Kira 5/12-2025-26</t>
  </si>
  <si>
    <t xml:space="preserve">Doğuş Kira 6/12-2025-26</t>
  </si>
  <si>
    <t xml:space="preserve">TUSDATA 2025    21/30   1*8595 = 8595-250 = 8345</t>
  </si>
  <si>
    <t xml:space="preserve">TUSDATA 2023    8/30   8*250 = 2000                    ÖDENDİ</t>
  </si>
  <si>
    <t xml:space="preserve">TUSDATA 2024    9/30 – 20/30   12*250 = 3000     ÖDENDİ + 250 TL fazla ödeme yapıldı</t>
  </si>
  <si>
    <t xml:space="preserve">TUSDATA 2025    21/30   1*8595 = 8595</t>
  </si>
  <si>
    <t xml:space="preserve">TUSDATA 2025    22/30-30/30   9*8845 = 79605</t>
  </si>
  <si>
    <t xml:space="preserve">TUSDATA  TOPLAM                         93450</t>
  </si>
  <si>
    <t xml:space="preserve">TUSDATA 2023 aylık ödendi</t>
  </si>
  <si>
    <t xml:space="preserve">ÖDENDİ</t>
  </si>
  <si>
    <t xml:space="preserve">TUSDATA 2024 aylık ödendi</t>
  </si>
  <si>
    <t xml:space="preserve">TUSDATA 2024 Toplu ödendi</t>
  </si>
  <si>
    <t xml:space="preserve">TUSDATA 2025</t>
  </si>
  <si>
    <t xml:space="preserve">ÖDENECEK</t>
  </si>
  <si>
    <t xml:space="preserve">BORÇ YOK</t>
  </si>
  <si>
    <t xml:space="preserve">belediye</t>
  </si>
  <si>
    <t xml:space="preserve">mrkt</t>
  </si>
  <si>
    <t xml:space="preserve">toyota gaz</t>
  </si>
  <si>
    <t xml:space="preserve">ödeme</t>
  </si>
  <si>
    <t xml:space="preserve">audi kışlık dğşm</t>
  </si>
  <si>
    <t xml:space="preserve">döner vedat</t>
  </si>
  <si>
    <t xml:space="preserve">audi benzin</t>
  </si>
  <si>
    <t xml:space="preserve">pervin ankara-tokat</t>
  </si>
  <si>
    <t xml:space="preserve">pide</t>
  </si>
  <si>
    <t xml:space="preserve">ŞUBAT 2025 e</t>
  </si>
  <si>
    <t xml:space="preserve">Devir</t>
  </si>
  <si>
    <t xml:space="preserve">alış Tutar</t>
  </si>
  <si>
    <t xml:space="preserve">pervin 329500-35800</t>
  </si>
  <si>
    <t xml:space="preserve">İş 1626748</t>
  </si>
  <si>
    <t xml:space="preserve">denizbank</t>
  </si>
  <si>
    <t xml:space="preserve">İş ytrm 1626748 801</t>
  </si>
  <si>
    <t xml:space="preserve">iş ytrm ALTIN.S1</t>
  </si>
  <si>
    <t xml:space="preserve">iş ytrm 382789 TTE</t>
  </si>
  <si>
    <t xml:space="preserve">iş ytrm 382789 RGYAS </t>
  </si>
  <si>
    <t xml:space="preserve">iş ytrm 382789 KOTON</t>
  </si>
  <si>
    <t xml:space="preserve">iş ytrm 382789 LILAK</t>
  </si>
  <si>
    <t xml:space="preserve">gau iş alış                         </t>
  </si>
  <si>
    <t xml:space="preserve">xau çeyrek</t>
  </si>
  <si>
    <t xml:space="preserve">xau tam</t>
  </si>
  <si>
    <t xml:space="preserve">USD iş alış                           35,4713</t>
  </si>
  <si>
    <t xml:space="preserve">eur iş alış                           39,3164</t>
  </si>
  <si>
    <t xml:space="preserve">kasa nakit</t>
  </si>
  <si>
    <t xml:space="preserve">nakit</t>
  </si>
  <si>
    <t xml:space="preserve">TOPLAM YATIRIM SONUCU</t>
  </si>
  <si>
    <t xml:space="preserve">Ay sonu BAKİYE</t>
  </si>
  <si>
    <t xml:space="preserve"> Bakiye</t>
  </si>
  <si>
    <t xml:space="preserve">NAZAN KİRA HESABI</t>
  </si>
  <si>
    <t xml:space="preserve">iş ytrm 382789 801 nzn</t>
  </si>
  <si>
    <t xml:space="preserve">emekli maaş aralık</t>
  </si>
  <si>
    <t xml:space="preserve">6 aylık enflasyon</t>
  </si>
  <si>
    <t xml:space="preserve">emekli maaş ocak</t>
  </si>
  <si>
    <t xml:space="preserve">aliden kredi için alınan 15/01/2024 taksidi </t>
  </si>
  <si>
    <t xml:space="preserve">audi mtv 2024-1</t>
  </si>
  <si>
    <t xml:space="preserve">trafik cezası maliyeden</t>
  </si>
  <si>
    <t xml:space="preserve">ankaraya giderken nakit (umut)</t>
  </si>
  <si>
    <t xml:space="preserve">trafik cezası muhtardan</t>
  </si>
  <si>
    <t xml:space="preserve">kayseri otobüs bileti </t>
  </si>
  <si>
    <t xml:space="preserve">1 adet çeyrek</t>
  </si>
  <si>
    <t xml:space="preserve">işbanktan hacıya havale</t>
  </si>
  <si>
    <t xml:space="preserve">işbanktan periye havale kred iiçin</t>
  </si>
  <si>
    <t xml:space="preserve">ziraat kredi ödemesi</t>
  </si>
  <si>
    <t xml:space="preserve">audi teker porya-yazlık lastik değişimi</t>
  </si>
  <si>
    <t xml:space="preserve">panter testere 1/9</t>
  </si>
  <si>
    <t xml:space="preserve">azaerbaycan otel için 240 usd *32</t>
  </si>
  <si>
    <t xml:space="preserve">ali kredi için -ali bankaya yatırmış</t>
  </si>
  <si>
    <t xml:space="preserve">panter testere 2/9</t>
  </si>
  <si>
    <t xml:space="preserve">audi kaza için alınan</t>
  </si>
  <si>
    <t xml:space="preserve">audi kaza için harcanan</t>
  </si>
  <si>
    <t xml:space="preserve">aliden kredi için alınan 15/06/2024 taksidi </t>
  </si>
  <si>
    <t xml:space="preserve">ziraate havale kredi için bayram öncesi</t>
  </si>
  <si>
    <t xml:space="preserve">benzin</t>
  </si>
  <si>
    <t xml:space="preserve">trafik cezaı yıldızeli</t>
  </si>
  <si>
    <t xml:space="preserve">çeyrek 5 ad. 4030 * 5</t>
  </si>
  <si>
    <t xml:space="preserve">panter testere 3/9</t>
  </si>
  <si>
    <t xml:space="preserve">elden nakit aliden alınan kredi için</t>
  </si>
  <si>
    <t xml:space="preserve">peri ziraat kredi ödemesi taksit 76</t>
  </si>
  <si>
    <t xml:space="preserve">panter testere 4/9 -9/9 6 taksit</t>
  </si>
  <si>
    <t xml:space="preserve">ARACI ALMADAN ÖNCE HACI BORÇ TOPLAMI </t>
  </si>
  <si>
    <t xml:space="preserve">tcross 12-8-2024</t>
  </si>
  <si>
    <t xml:space="preserve">sigorta</t>
  </si>
  <si>
    <t xml:space="preserve">kasko</t>
  </si>
  <si>
    <t xml:space="preserve">ARAÇ TOPLAM MALİYET</t>
  </si>
  <si>
    <t xml:space="preserve">ARAÇ ÖNCESİ HESAP</t>
  </si>
  <si>
    <t xml:space="preserve">TRAFİK SİGORTASI</t>
  </si>
  <si>
    <t xml:space="preserve">KASKO 9 taksitte ödenecek peri kk</t>
  </si>
  <si>
    <t xml:space="preserve">atiladan yasemine araba için</t>
  </si>
  <si>
    <t xml:space="preserve">Yasemin + dersanedwn</t>
  </si>
  <si>
    <t xml:space="preserve">Yasemin maaştan ödeyecek</t>
  </si>
  <si>
    <t xml:space="preserve">ATİLADAN geri alınan EMANET ALTIN</t>
  </si>
  <si>
    <t xml:space="preserve">pervin   6 ad çeyrek *4100</t>
  </si>
  <si>
    <t xml:space="preserve">pervin   1 ad tam *16200</t>
  </si>
  <si>
    <t xml:space="preserve">pervin   1 ad gram *2500 </t>
  </si>
  <si>
    <t xml:space="preserve">pervin   10 ad çeyrek *4100</t>
  </si>
  <si>
    <t xml:space="preserve">ziraat kredi 68000 TL aliden nakit alındı ziraate 22 taksitte ödenecek</t>
  </si>
  <si>
    <t xml:space="preserve">PERVİNDEN HAVALE taksit 1/12</t>
  </si>
  <si>
    <t xml:space="preserve">havale</t>
  </si>
  <si>
    <t xml:space="preserve">istanbul tokat topçam bilet</t>
  </si>
  <si>
    <t xml:space="preserve">Taksit 1/12 kalan</t>
  </si>
  <si>
    <t xml:space="preserve">Taksit 2/12 30000</t>
  </si>
  <si>
    <t xml:space="preserve">Taksit 2/12 6000</t>
  </si>
  <si>
    <t xml:space="preserve">500 noksan ÖDENDİ</t>
  </si>
  <si>
    <t xml:space="preserve">Taksit 3/12  30000</t>
  </si>
  <si>
    <t xml:space="preserve">Taksit 3/12   6000</t>
  </si>
  <si>
    <t xml:space="preserve">Taksit 4/12 36,500</t>
  </si>
  <si>
    <t xml:space="preserve">700 noksan ÖDENDİ</t>
  </si>
  <si>
    <t xml:space="preserve">ankara-tokat bilet</t>
  </si>
  <si>
    <t xml:space="preserve">Taksit 5/12 36,500</t>
  </si>
  <si>
    <t xml:space="preserve">1500 fazla</t>
  </si>
  <si>
    <t xml:space="preserve">TCROSS</t>
  </si>
  <si>
    <t xml:space="preserve">KASKO SİGORTASI</t>
  </si>
  <si>
    <t xml:space="preserve">T-CROSS TOPLAM MALİYET</t>
  </si>
  <si>
    <t xml:space="preserve">ÖDEMELER</t>
  </si>
  <si>
    <t xml:space="preserve">Ödeyen</t>
  </si>
  <si>
    <t xml:space="preserve">Miktar</t>
  </si>
  <si>
    <t xml:space="preserve">Bakiye</t>
  </si>
  <si>
    <t xml:space="preserve">Yasemin </t>
  </si>
  <si>
    <t xml:space="preserve">Yasemin</t>
  </si>
  <si>
    <t xml:space="preserve">ATİLA </t>
  </si>
  <si>
    <t xml:space="preserve">Atila</t>
  </si>
  <si>
    <t xml:space="preserve">hacı</t>
  </si>
  <si>
    <t xml:space="preserve">Yasemin Atila Hacı Toplam Ödeme</t>
  </si>
  <si>
    <t xml:space="preserve">PERVİN ALTIN</t>
  </si>
  <si>
    <t xml:space="preserve">Pervin</t>
  </si>
  <si>
    <t xml:space="preserve">ZİRAAT KREDİ</t>
  </si>
  <si>
    <t xml:space="preserve">AUDİ HESAPTAN</t>
  </si>
  <si>
    <t xml:space="preserve">ALTIN</t>
  </si>
  <si>
    <t xml:space="preserve">12*36500 taksit ödemesi</t>
  </si>
  <si>
    <t xml:space="preserve">Pervin Toplam Ödeme</t>
  </si>
  <si>
    <t xml:space="preserve">gr</t>
  </si>
  <si>
    <t xml:space="preserve">çeyrek</t>
  </si>
  <si>
    <t xml:space="preserve">s1</t>
  </si>
  <si>
    <t xml:space="preserve">iş 801</t>
  </si>
  <si>
    <t xml:space="preserve">adet</t>
  </si>
  <si>
    <t xml:space="preserve">fiyat</t>
  </si>
  <si>
    <t xml:space="preserve">tutar</t>
  </si>
  <si>
    <t xml:space="preserve">bakiye</t>
  </si>
  <si>
    <t xml:space="preserve">gelen</t>
  </si>
  <si>
    <t xml:space="preserve">94,25 gr bilezik * 2400 TL/gr (22 ayar)</t>
  </si>
  <si>
    <t xml:space="preserve">altın</t>
  </si>
  <si>
    <t xml:space="preserve">78 çeyrek * 4200</t>
  </si>
  <si>
    <t xml:space="preserve">iş 801 </t>
  </si>
  <si>
    <t xml:space="preserve">pervin</t>
  </si>
  <si>
    <t xml:space="preserve">pervin 13 ad çeyrek *4200 benim kasada</t>
  </si>
  <si>
    <t xml:space="preserve">pervin   6 ad çeyrek *4200 benim kasada</t>
  </si>
  <si>
    <t xml:space="preserve">pervin   1 ad tam *16200 benim kasada</t>
  </si>
  <si>
    <t xml:space="preserve">pervin   1 ad gram *2500 benim kasada</t>
  </si>
  <si>
    <t xml:space="preserve">pervin banka 10  kasada</t>
  </si>
  <si>
    <t xml:space="preserve">okul parasından gelecek (nakit)</t>
  </si>
  <si>
    <r>
      <rPr>
        <sz val="10"/>
        <color rgb="FF000000"/>
        <rFont val="Liberation Sans1"/>
        <family val="0"/>
        <charset val="162"/>
      </rPr>
      <t xml:space="preserve">gr altın 5 * 2500   </t>
    </r>
    <r>
      <rPr>
        <sz val="10"/>
        <color rgb="FFFF0000"/>
        <rFont val="Liberation Sans1"/>
        <family val="0"/>
        <charset val="162"/>
      </rPr>
      <t xml:space="preserve">OKUL PARASI KALSIN</t>
    </r>
  </si>
  <si>
    <t xml:space="preserve">gr altın 36 * 2500 (audi)</t>
  </si>
  <si>
    <t xml:space="preserve">BOZ</t>
  </si>
  <si>
    <t xml:space="preserve">gr altın 94 * 2520</t>
  </si>
  <si>
    <r>
      <rPr>
        <sz val="10"/>
        <color rgb="FF000000"/>
        <rFont val="Liberation Sans1"/>
        <family val="0"/>
        <charset val="162"/>
      </rPr>
      <t xml:space="preserve">dolsr 850 *32        </t>
    </r>
    <r>
      <rPr>
        <sz val="10"/>
        <color rgb="FFFF0000"/>
        <rFont val="Liberation Sans1"/>
        <family val="0"/>
        <charset val="162"/>
      </rPr>
      <t xml:space="preserve">OKUL PARASI KALSIN</t>
    </r>
  </si>
  <si>
    <t xml:space="preserve">s1                                  25,93*7500</t>
  </si>
  <si>
    <t xml:space="preserve">satıldı</t>
  </si>
  <si>
    <t xml:space="preserve">boz</t>
  </si>
  <si>
    <t xml:space="preserve">ytr 801</t>
  </si>
  <si>
    <t xml:space="preserve">ASIL HESAP</t>
  </si>
  <si>
    <t xml:space="preserve">ytr 808           722 adet deil TL imiş</t>
  </si>
  <si>
    <t xml:space="preserve">ytr 812</t>
  </si>
  <si>
    <t xml:space="preserve">KALSIN</t>
  </si>
  <si>
    <r>
      <rPr>
        <sz val="10"/>
        <color rgb="FF000000"/>
        <rFont val="Liberation Sans1"/>
        <family val="0"/>
        <charset val="162"/>
      </rPr>
      <t xml:space="preserve">gr               </t>
    </r>
    <r>
      <rPr>
        <sz val="10"/>
        <color rgb="FFFF0000"/>
        <rFont val="Liberation Sans1"/>
        <family val="0"/>
        <charset val="162"/>
      </rPr>
      <t xml:space="preserve">OKUL PARASI KALSIN</t>
    </r>
  </si>
  <si>
    <t xml:space="preserve">GELECEK</t>
  </si>
  <si>
    <t xml:space="preserve">Ali </t>
  </si>
  <si>
    <t xml:space="preserve">ÖDEME</t>
  </si>
  <si>
    <t xml:space="preserve">KALAN</t>
  </si>
  <si>
    <t xml:space="preserve">uyasemin iş 801</t>
  </si>
  <si>
    <t xml:space="preserve">umut okul parasından umut -&gt; peri &gt; yasemin havale edildi</t>
  </si>
  <si>
    <t xml:space="preserve">kaparo için doğuş otoya yaseminden havale</t>
  </si>
  <si>
    <t xml:space="preserve">yasemin 808 den gelen </t>
  </si>
  <si>
    <t xml:space="preserve">HESAPTA</t>
  </si>
  <si>
    <t xml:space="preserve">yasemin s1 den gelecek ÇARŞAMBA SATILDI</t>
  </si>
  <si>
    <t xml:space="preserve">hacı iş 801 </t>
  </si>
  <si>
    <t xml:space="preserve">fiziki</t>
  </si>
  <si>
    <t xml:space="preserve">s1 hacı</t>
  </si>
  <si>
    <t xml:space="preserve">atila</t>
  </si>
  <si>
    <t xml:space="preserve">ali</t>
  </si>
  <si>
    <t xml:space="preserve">PERŞEMBE</t>
  </si>
  <si>
    <t xml:space="preserve">yasemin s1 den gelecek</t>
  </si>
  <si>
    <t xml:space="preserve">s1 hacı   PERŞEMBE SATILDI</t>
  </si>
  <si>
    <t xml:space="preserve">MAHKEME</t>
  </si>
  <si>
    <t xml:space="preserve">DEMİREL ARABULUCULUK</t>
  </si>
  <si>
    <t xml:space="preserve">MERDAL TAKİP</t>
  </si>
  <si>
    <t xml:space="preserve">FATURA</t>
  </si>
  <si>
    <t xml:space="preserve">ELEKTRİK</t>
  </si>
  <si>
    <t xml:space="preserve">KREDİ</t>
  </si>
  <si>
    <t xml:space="preserve">TZG</t>
  </si>
  <si>
    <t xml:space="preserve">ÖLÇÜM</t>
  </si>
  <si>
    <t xml:space="preserve">SINIR TESPİTİ</t>
  </si>
  <si>
    <t xml:space="preserve">DUVAR VE KAPI YAPIMI</t>
  </si>
  <si>
    <t xml:space="preserve">ELEKTRİK-SU ABONE İŞLEMLERİ</t>
  </si>
  <si>
    <t xml:space="preserve">ELEKTRİK TESİSAT</t>
  </si>
  <si>
    <t xml:space="preserve">BAHÇE</t>
  </si>
  <si>
    <t xml:space="preserve">KERESTE</t>
  </si>
  <si>
    <t xml:space="preserve">ARALIK</t>
  </si>
  <si>
    <t xml:space="preserve">İş 789</t>
  </si>
  <si>
    <t xml:space="preserve">iş sny</t>
  </si>
  <si>
    <t xml:space="preserve">iş ytrm</t>
  </si>
  <si>
    <t xml:space="preserve">40 * 527,212240</t>
  </si>
  <si>
    <t xml:space="preserve">iş 808</t>
  </si>
  <si>
    <t xml:space="preserve">300 * 18,625761</t>
  </si>
  <si>
    <t xml:space="preserve">AVPGY</t>
  </si>
  <si>
    <t xml:space="preserve">MEGMT</t>
  </si>
  <si>
    <t xml:space="preserve">SURGY</t>
  </si>
  <si>
    <t xml:space="preserve">TABGD</t>
  </si>
  <si>
    <t xml:space="preserve">xau iş alış                                              1987</t>
  </si>
  <si>
    <t xml:space="preserve">usd iş satış-alış                 30,19258</t>
  </si>
  <si>
    <t xml:space="preserve">eur iş alış                           33,0124</t>
  </si>
  <si>
    <t xml:space="preserve"> - ARALIK 2024</t>
  </si>
  <si>
    <t xml:space="preserve"> 2024 / 3</t>
  </si>
  <si>
    <t xml:space="preserve">dnxkk</t>
  </si>
  <si>
    <t xml:space="preserve"> 2024 / 4</t>
  </si>
  <si>
    <t xml:space="preserve">BİNA VERGİSİ</t>
  </si>
  <si>
    <t xml:space="preserve">KÜLTÜR VERGİSİ</t>
  </si>
  <si>
    <t xml:space="preserve">Nazan Kira ödemesi 12+</t>
  </si>
  <si>
    <t xml:space="preserve">umut kiradan</t>
  </si>
  <si>
    <t xml:space="preserve">snyB Ali Demirel bankadan</t>
  </si>
  <si>
    <t xml:space="preserve">Doğuş Kira 4/12-2025-26</t>
  </si>
  <si>
    <t xml:space="preserve">devlet</t>
  </si>
  <si>
    <t xml:space="preserve"> 2024 / 9</t>
  </si>
  <si>
    <t xml:space="preserve">--------------------------------------------------------------------------------------------------------------------------------------------------</t>
  </si>
  <si>
    <t xml:space="preserve">KALAN BAKİYELER</t>
  </si>
  <si>
    <t xml:space="preserve">9522138254 Sanayi Elektrik</t>
  </si>
  <si>
    <t xml:space="preserve">Salih Ant Elektrik</t>
  </si>
  <si>
    <t xml:space="preserve">Hurdacı Elektrik</t>
  </si>
  <si>
    <t xml:space="preserve">Cihan Elektrik</t>
  </si>
  <si>
    <t xml:space="preserve">Merdal</t>
  </si>
  <si>
    <t xml:space="preserve">Metin</t>
  </si>
  <si>
    <t xml:space="preserve">Hacı Elektrik</t>
  </si>
  <si>
    <t xml:space="preserve">pazarama 64gb ram umut</t>
  </si>
  <si>
    <t xml:space="preserve">  9– 9</t>
  </si>
  <si>
    <t xml:space="preserve">amazon kc200 2tb nvme umut</t>
  </si>
  <si>
    <t xml:space="preserve">koctas</t>
  </si>
  <si>
    <t xml:space="preserve">koton</t>
  </si>
  <si>
    <t xml:space="preserve">tcross benzn</t>
  </si>
  <si>
    <t xml:space="preserve">dürümle</t>
  </si>
  <si>
    <t xml:space="preserve">mrkt erenler</t>
  </si>
  <si>
    <t xml:space="preserve">gaz</t>
  </si>
  <si>
    <t xml:space="preserve">tcdd tkt-ist-tkt bsnss</t>
  </si>
  <si>
    <t xml:space="preserve">ARALIKa</t>
  </si>
  <si>
    <t xml:space="preserve">xau iş alış                           2867,2</t>
  </si>
  <si>
    <t xml:space="preserve">pervinden   16 ad çeyrek *4100</t>
  </si>
  <si>
    <t xml:space="preserve">pervinden   1 ad tam *16200</t>
  </si>
  <si>
    <t xml:space="preserve">pervinden   1 ad gram *2500 </t>
  </si>
  <si>
    <t xml:space="preserve">OCAK 2025 e</t>
  </si>
  <si>
    <t xml:space="preserve"> - KASIM 2024</t>
  </si>
  <si>
    <t xml:space="preserve">TUSDATA 19/30</t>
  </si>
  <si>
    <t xml:space="preserve">17-2-24 de toplu ödendi</t>
  </si>
  <si>
    <t xml:space="preserve">Kira Adem Özen 6/12 Mrmr Ryl A Blok 82  </t>
  </si>
  <si>
    <t xml:space="preserve">Doğuş Kira 3/12-2025-26</t>
  </si>
  <si>
    <t xml:space="preserve">2240 VODAFONE fatura</t>
  </si>
  <si>
    <t xml:space="preserve">snyF merdal kipel icra yoluyla avukattan</t>
  </si>
  <si>
    <t xml:space="preserve">tcross pervinden 7</t>
  </si>
  <si>
    <t xml:space="preserve">Nazan Kira ödemesi 11 + 8 + 9+ 10</t>
  </si>
  <si>
    <t xml:space="preserve">yasemin winter</t>
  </si>
  <si>
    <t xml:space="preserve">umut winter</t>
  </si>
  <si>
    <t xml:space="preserve">snyCD</t>
  </si>
  <si>
    <t xml:space="preserve">  8– 9</t>
  </si>
  <si>
    <t xml:space="preserve"> 8 – 9</t>
  </si>
  <si>
    <t xml:space="preserve">yasemin okul</t>
  </si>
  <si>
    <t xml:space="preserve">BELEDİYE SU ABONESİ</t>
  </si>
  <si>
    <t xml:space="preserve">AÖF</t>
  </si>
  <si>
    <t xml:space="preserve">DÖNER TZG</t>
  </si>
  <si>
    <t xml:space="preserve">MRKT</t>
  </si>
  <si>
    <t xml:space="preserve">PİDE ET</t>
  </si>
  <si>
    <t xml:space="preserve">FIRIN PİDE</t>
  </si>
  <si>
    <t xml:space="preserve">tvk</t>
  </si>
  <si>
    <t xml:space="preserve">balık</t>
  </si>
  <si>
    <t xml:space="preserve">lknt tzg</t>
  </si>
  <si>
    <t xml:space="preserve">gaz sivas</t>
  </si>
  <si>
    <t xml:space="preserve">su</t>
  </si>
  <si>
    <t xml:space="preserve">aksoy 4 ad mil menteşe tzg</t>
  </si>
  <si>
    <t xml:space="preserve">KASIMa</t>
  </si>
  <si>
    <t xml:space="preserve">umut   </t>
  </si>
  <si>
    <t xml:space="preserve">pervin 365500-36000</t>
  </si>
  <si>
    <t xml:space="preserve">iş ALTIN.S1</t>
  </si>
  <si>
    <t xml:space="preserve"> - EKİM 2024</t>
  </si>
  <si>
    <t xml:space="preserve">TUSDATA 18/30</t>
  </si>
  <si>
    <t xml:space="preserve">Kira Adem Özen 5/12 Mrmr Ryl A Blok 82  </t>
  </si>
  <si>
    <t xml:space="preserve">ali demirel keşif için avukata denizbank havale</t>
  </si>
  <si>
    <t xml:space="preserve">Doğuş Kira 2/12-2025-26</t>
  </si>
  <si>
    <t xml:space="preserve">bankadan</t>
  </si>
  <si>
    <t xml:space="preserve">tcross pervinden 5</t>
  </si>
  <si>
    <t xml:space="preserve">Elektrik 8758480300 BAHÇE</t>
  </si>
  <si>
    <t xml:space="preserve">yasemin okul kk denizbnk -120000</t>
  </si>
  <si>
    <t xml:space="preserve">kk</t>
  </si>
  <si>
    <t xml:space="preserve">2240 vodafon</t>
  </si>
  <si>
    <t xml:space="preserve">tcross pervinden 6</t>
  </si>
  <si>
    <t xml:space="preserve">snyA 120000</t>
  </si>
  <si>
    <t xml:space="preserve">Nazan Kira ödemesi</t>
  </si>
  <si>
    <t xml:space="preserve"> 7 – 9</t>
  </si>
  <si>
    <t xml:space="preserve">pazarama umut cam teli</t>
  </si>
  <si>
    <t xml:space="preserve">mtv yb 1397</t>
  </si>
  <si>
    <t xml:space="preserve">shell tcross</t>
  </si>
  <si>
    <t xml:space="preserve">kanlıca yğrt</t>
  </si>
  <si>
    <t xml:space="preserve">fucicort</t>
  </si>
  <si>
    <t xml:space="preserve">şile yemek</t>
  </si>
  <si>
    <t xml:space="preserve">park</t>
  </si>
  <si>
    <t xml:space="preserve">şok</t>
  </si>
  <si>
    <t xml:space="preserve">migros farilya</t>
  </si>
  <si>
    <t xml:space="preserve">lc</t>
  </si>
  <si>
    <t xml:space="preserve">opet tcross</t>
  </si>
  <si>
    <t xml:space="preserve">migros emaar</t>
  </si>
  <si>
    <t xml:space="preserve">yedigöller</t>
  </si>
  <si>
    <t xml:space="preserve">erenler</t>
  </si>
  <si>
    <t xml:space="preserve">kasap</t>
  </si>
  <si>
    <t xml:space="preserve">tat pide</t>
  </si>
  <si>
    <t xml:space="preserve">vedat</t>
  </si>
  <si>
    <t xml:space="preserve">Pazar döner</t>
  </si>
  <si>
    <t xml:space="preserve">a101</t>
  </si>
  <si>
    <t xml:space="preserve">2 ad metal kesme</t>
  </si>
  <si>
    <t xml:space="preserve">2 tr çimento tzg</t>
  </si>
  <si>
    <t xml:space="preserve">adıgüzeller</t>
  </si>
  <si>
    <t xml:space="preserve">selanik pide</t>
  </si>
  <si>
    <t xml:space="preserve">EKİMe</t>
  </si>
  <si>
    <t xml:space="preserve">pervin 401500-36000</t>
  </si>
  <si>
    <t xml:space="preserve">kasa xau iş alış                           2867,2</t>
  </si>
  <si>
    <t xml:space="preserve">kasa xau çeyrek</t>
  </si>
  <si>
    <t xml:space="preserve">kasa xau tam</t>
  </si>
  <si>
    <t xml:space="preserve"> - EYLÜL 2024</t>
  </si>
  <si>
    <t xml:space="preserve">2240 Turkcell fatura</t>
  </si>
  <si>
    <t xml:space="preserve">TUSDATA 17/30</t>
  </si>
  <si>
    <t xml:space="preserve">Kira Adem Özen 4/12 Mrmr Ryl A Blok 82  </t>
  </si>
  <si>
    <t xml:space="preserve">Doğuş Kira 1/12-2025-26</t>
  </si>
  <si>
    <t xml:space="preserve">BANKADAN</t>
  </si>
  <si>
    <t xml:space="preserve">yasemin 2 maaş 17000*2</t>
  </si>
  <si>
    <t xml:space="preserve">tcross pervinden 3</t>
  </si>
  <si>
    <t xml:space="preserve"> 2024 / 2</t>
  </si>
  <si>
    <t xml:space="preserve">deniz kk</t>
  </si>
  <si>
    <t xml:space="preserve">tcross pervinden 4</t>
  </si>
  <si>
    <t xml:space="preserve">2240 vodafone</t>
  </si>
  <si>
    <t xml:space="preserve">Doğuş Kira 7/12-2024-25 15000 - 6500 (07/03) 29-Şubattan</t>
  </si>
  <si>
    <t xml:space="preserve">t-cross kurban sinana</t>
  </si>
  <si>
    <t xml:space="preserve">snyG</t>
  </si>
  <si>
    <t xml:space="preserve">Atasun Gözlük</t>
  </si>
  <si>
    <t xml:space="preserve"> 6 – 6</t>
  </si>
  <si>
    <t xml:space="preserve">  6– 9</t>
  </si>
  <si>
    <t xml:space="preserve">THY ist uçak bileti</t>
  </si>
  <si>
    <t xml:space="preserve">THY ist uçak bileti iptal vergi iade</t>
  </si>
  <si>
    <t xml:space="preserve">kurban kızılay</t>
  </si>
  <si>
    <t xml:space="preserve"> 3 / 3</t>
  </si>
  <si>
    <t xml:space="preserve">gib</t>
  </si>
  <si>
    <t xml:space="preserve">EYLÜLe</t>
  </si>
  <si>
    <t xml:space="preserve">pervin 438-35600</t>
  </si>
  <si>
    <t xml:space="preserve"> - AĞUSTOS 2024</t>
  </si>
  <si>
    <t xml:space="preserve">iş</t>
  </si>
  <si>
    <t xml:space="preserve">TUSDATA 16/30</t>
  </si>
  <si>
    <t xml:space="preserve">umut s24</t>
  </si>
  <si>
    <t xml:space="preserve">Doğuş Kira 12/12- Mart 2024- Mart 25 Ödenmiş oldu</t>
  </si>
  <si>
    <t xml:space="preserve">Kira Adem Özen 3/12 Mrmr Ryl A Blok 82  </t>
  </si>
  <si>
    <t xml:space="preserve">tcross pervinden 1 - 30000</t>
  </si>
  <si>
    <t xml:space="preserve">Elektrik 8758480300 Bahçe</t>
  </si>
  <si>
    <t xml:space="preserve">3074 usulsuzluk 2024071001FCp0000016</t>
  </si>
  <si>
    <t xml:space="preserve">ali balcı</t>
  </si>
  <si>
    <t xml:space="preserve">3074 usulsuzluk 2024071001FCp0000017</t>
  </si>
  <si>
    <t xml:space="preserve">3074 usulsuzluk 2024071001FCp0000018</t>
  </si>
  <si>
    <t xml:space="preserve">3074 usulsuzluk 2024071001FCp0000019</t>
  </si>
  <si>
    <t xml:space="preserve">3074 usulsuzluk 2024071001FCp0000020</t>
  </si>
  <si>
    <t xml:space="preserve">3074 usulsuzluk 2024071001FCp0000021</t>
  </si>
  <si>
    <t xml:space="preserve">3074 DV 2024071001FCp0000022</t>
  </si>
  <si>
    <t xml:space="preserve">19-09 ödeme</t>
  </si>
  <si>
    <t xml:space="preserve">3074 DV 2024071001FCp0000023</t>
  </si>
  <si>
    <t xml:space="preserve">3074 DV 2024071001FCp0000024</t>
  </si>
  <si>
    <t xml:space="preserve">3074 DV 2024071901FCp0000005</t>
  </si>
  <si>
    <t xml:space="preserve">tcross pervinden 2 -5600</t>
  </si>
  <si>
    <t xml:space="preserve">snyE süleymana 22-04-2024 de verildi</t>
  </si>
  <si>
    <t xml:space="preserve"> 5 – 6</t>
  </si>
  <si>
    <t xml:space="preserve">  5– 9</t>
  </si>
  <si>
    <t xml:space="preserve">bosch matkap 500maxipuan</t>
  </si>
  <si>
    <t xml:space="preserve"> 2 / 2</t>
  </si>
  <si>
    <t xml:space="preserve"> 2 / 3</t>
  </si>
  <si>
    <t xml:space="preserve">vergi dairesi</t>
  </si>
  <si>
    <r>
      <rPr>
        <b val="true"/>
        <sz val="10"/>
        <color rgb="FF000000"/>
        <rFont val="Liberation Sans1"/>
        <family val="0"/>
        <charset val="162"/>
      </rPr>
      <t xml:space="preserve">turknet 12ay 17-02-24 * 17-02-25 </t>
    </r>
    <r>
      <rPr>
        <b val="true"/>
        <sz val="8"/>
        <color rgb="FF000000"/>
        <rFont val="Liberation Sans1"/>
        <family val="0"/>
        <charset val="162"/>
      </rPr>
      <t xml:space="preserve">399,99 *12 + 299,99</t>
    </r>
  </si>
  <si>
    <t xml:space="preserve"> 6 - 6</t>
  </si>
  <si>
    <t xml:space="preserve">turknet 1. ay karttan iade</t>
  </si>
  <si>
    <t xml:space="preserve">Kızılay kurban 11750/2</t>
  </si>
  <si>
    <t xml:space="preserve">Kızılay kurban 4300*2 = 8600/2</t>
  </si>
  <si>
    <t xml:space="preserve">vergi ankara</t>
  </si>
  <si>
    <t xml:space="preserve">yaz okulu</t>
  </si>
  <si>
    <t xml:space="preserve">pide et</t>
  </si>
  <si>
    <t xml:space="preserve">tavk dnr</t>
  </si>
  <si>
    <t xml:space="preserve">motor yağı</t>
  </si>
  <si>
    <t xml:space="preserve">tat dnr</t>
  </si>
  <si>
    <t xml:space="preserve">ozcan iskndr</t>
  </si>
  <si>
    <t xml:space="preserve">petrol</t>
  </si>
  <si>
    <t xml:space="preserve">mercmk</t>
  </si>
  <si>
    <t xml:space="preserve">noter suleyman akan</t>
  </si>
  <si>
    <t xml:space="preserve">oödeme otomtk</t>
  </si>
  <si>
    <t xml:space="preserve">sofra bezi</t>
  </si>
  <si>
    <t xml:space="preserve">bim yağ</t>
  </si>
  <si>
    <t xml:space="preserve">ceviz</t>
  </si>
  <si>
    <t xml:space="preserve">cevizli yapım</t>
  </si>
  <si>
    <t xml:space="preserve">AĞUSTOSa</t>
  </si>
  <si>
    <t xml:space="preserve">iş sny umut-ortak 156</t>
  </si>
  <si>
    <t xml:space="preserve">iş TTE</t>
  </si>
  <si>
    <t xml:space="preserve">iş RNSGY </t>
  </si>
  <si>
    <t xml:space="preserve">iş KOTON</t>
  </si>
  <si>
    <t xml:space="preserve">iş LILAK</t>
  </si>
  <si>
    <t xml:space="preserve">xau iş alış                           2461,08</t>
  </si>
  <si>
    <t xml:space="preserve">usd iş satış-alış                 32,9542</t>
  </si>
  <si>
    <t xml:space="preserve">usd nakit</t>
  </si>
  <si>
    <t xml:space="preserve">eur iş alış                           35,47,85</t>
  </si>
  <si>
    <t xml:space="preserve"> - TEMMUZ 2024</t>
  </si>
  <si>
    <t xml:space="preserve">TUSDATA 15/30</t>
  </si>
  <si>
    <t xml:space="preserve">Doğuş Kira 11/12-2024-25</t>
  </si>
  <si>
    <t xml:space="preserve">Kira Adem Özen 2/12 Mrmr Ryl A Blok 82  </t>
  </si>
  <si>
    <t xml:space="preserve">AUB YGV 2.taksit</t>
  </si>
  <si>
    <t xml:space="preserve">hepsi</t>
  </si>
  <si>
    <t xml:space="preserve"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</si>
  <si>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</si>
  <si>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</si>
  <si>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</si>
  <si>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</si>
  <si>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</si>
  <si>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 xml:space="preserve">vergi</t>
  </si>
  <si>
    <t xml:space="preserve">avans maximil</t>
  </si>
  <si>
    <t xml:space="preserve">hepsiburada  yasemin laptop - 21,309,98</t>
  </si>
  <si>
    <t xml:space="preserve">        6 – 6</t>
  </si>
  <si>
    <t xml:space="preserve">       5 - 6</t>
  </si>
  <si>
    <t xml:space="preserve"> 5 - 6</t>
  </si>
  <si>
    <t xml:space="preserve">yemek</t>
  </si>
  <si>
    <t xml:space="preserve">ulusu mak eksoz için</t>
  </si>
  <si>
    <t xml:space="preserve">tavukçu</t>
  </si>
  <si>
    <t xml:space="preserve">sivas döner</t>
  </si>
  <si>
    <t xml:space="preserve">sivas market</t>
  </si>
  <si>
    <t xml:space="preserve">tat lok</t>
  </si>
  <si>
    <t xml:space="preserve">inş</t>
  </si>
  <si>
    <t xml:space="preserve">çorba</t>
  </si>
  <si>
    <t xml:space="preserve">çalışkan fide</t>
  </si>
  <si>
    <t xml:space="preserve">bonus</t>
  </si>
  <si>
    <t xml:space="preserve">örükçüoğlu toyota kapak contası</t>
  </si>
  <si>
    <t xml:space="preserve">yağlı kamil</t>
  </si>
  <si>
    <t xml:space="preserve">kebap-kamil</t>
  </si>
  <si>
    <t xml:space="preserve">çörek-kamil</t>
  </si>
  <si>
    <t xml:space="preserve">çorba-kamil</t>
  </si>
  <si>
    <t xml:space="preserve">yıllık ücret</t>
  </si>
  <si>
    <t xml:space="preserve">sivas yemek</t>
  </si>
  <si>
    <t xml:space="preserve">adıgüzel market</t>
  </si>
  <si>
    <t xml:space="preserve">kkdf</t>
  </si>
  <si>
    <t xml:space="preserve">gecikme faizi bsmv</t>
  </si>
  <si>
    <t xml:space="preserve">faiz</t>
  </si>
  <si>
    <t xml:space="preserve">,</t>
  </si>
  <si>
    <t xml:space="preserve">TEMMUZa</t>
  </si>
  <si>
    <t xml:space="preserve"> - HAZİRAN 2024</t>
  </si>
  <si>
    <t xml:space="preserve">TUSDATA 14/30</t>
  </si>
  <si>
    <t xml:space="preserve">KK 5165 Denizbank artı hesaptan</t>
  </si>
  <si>
    <t xml:space="preserve">KK 5165 Denizbank nakit ödeme</t>
  </si>
  <si>
    <t xml:space="preserve">KK 4876 İşbank EUR BAKU     35,5039</t>
  </si>
  <si>
    <t xml:space="preserve">KK 4876 İşbank EUR BAKU</t>
  </si>
  <si>
    <t xml:space="preserve">Aidat Marmara Royal Site 1/12</t>
  </si>
  <si>
    <t xml:space="preserve">Kira Adem Özen 1/12 Mrmr Ryl A Blok 82 </t>
  </si>
  <si>
    <t xml:space="preserve">Kira Adem Özen 1/12 Mrmr Ryl A Blok 82</t>
  </si>
  <si>
    <t xml:space="preserve">iphone 7+ ferro 3600 mA batarya</t>
  </si>
  <si>
    <t xml:space="preserve">maaş kurban ikramiyesi</t>
  </si>
  <si>
    <t xml:space="preserve">Süleyman Elektrik</t>
  </si>
  <si>
    <t xml:space="preserve">egea</t>
  </si>
  <si>
    <t xml:space="preserve">Pazarama –</t>
  </si>
  <si>
    <t xml:space="preserve">  9 – 9</t>
  </si>
  <si>
    <t xml:space="preserve">  3 – 6</t>
  </si>
  <si>
    <t xml:space="preserve">  3 – 9</t>
  </si>
  <si>
    <t xml:space="preserve">marmara royal market</t>
  </si>
  <si>
    <t xml:space="preserve">pizza locale ist</t>
  </si>
  <si>
    <t xml:space="preserve">        5 – 6</t>
  </si>
  <si>
    <t xml:space="preserve"> 4 - 6</t>
  </si>
  <si>
    <t xml:space="preserve">ajet</t>
  </si>
  <si>
    <t xml:space="preserve">akgünler</t>
  </si>
  <si>
    <t xml:space="preserve">pegasus kıbrıs umut askerlik</t>
  </si>
  <si>
    <t xml:space="preserve">akgünler iade</t>
  </si>
  <si>
    <t xml:space="preserve">topcam</t>
  </si>
  <si>
    <t xml:space="preserve">incipark</t>
  </si>
  <si>
    <t xml:space="preserve">talbay gıda</t>
  </si>
  <si>
    <t xml:space="preserve">et pide</t>
  </si>
  <si>
    <t xml:space="preserve">x</t>
  </si>
  <si>
    <t xml:space="preserve">noter merdal kipel ihtar</t>
  </si>
  <si>
    <t xml:space="preserve">belbim metro 3 lü biniş</t>
  </si>
  <si>
    <t xml:space="preserve">havaist saw-ist</t>
  </si>
  <si>
    <t xml:space="preserve">havaist yurt dışı çıkış harcı bakü</t>
  </si>
  <si>
    <t xml:space="preserve">paşa mercimek</t>
  </si>
  <si>
    <t xml:space="preserve">kayseri</t>
  </si>
  <si>
    <t xml:space="preserve">misli puan yükleme</t>
  </si>
  <si>
    <t xml:space="preserve">ykm pegasus kıbrıs</t>
  </si>
  <si>
    <t xml:space="preserve">ykm  </t>
  </si>
  <si>
    <t xml:space="preserve">kayseri otobüs</t>
  </si>
  <si>
    <t xml:space="preserve">iskender</t>
  </si>
  <si>
    <t xml:space="preserve">benzin mağusa</t>
  </si>
  <si>
    <t xml:space="preserve">önder mağusa</t>
  </si>
  <si>
    <t xml:space="preserve">ali yakar mağusa</t>
  </si>
  <si>
    <t xml:space="preserve">ekor</t>
  </si>
  <si>
    <t xml:space="preserve">kayseri-tokat</t>
  </si>
  <si>
    <t xml:space="preserve">aşçıbaşı sivas peri ankara</t>
  </si>
  <si>
    <t xml:space="preserve">HAZİRANa</t>
  </si>
  <si>
    <t xml:space="preserve">usd iş satış-alış                 33,5088</t>
  </si>
  <si>
    <t xml:space="preserve">eur iş alış                           35,1526</t>
  </si>
  <si>
    <t xml:space="preserve"> - MAYIS 2024</t>
  </si>
  <si>
    <t xml:space="preserve">TUSDATA 13/30</t>
  </si>
  <si>
    <t xml:space="preserve">işbank</t>
  </si>
  <si>
    <t xml:space="preserve">AUB usulsüzlük cezası Ali Demirel Damga vergisi için</t>
  </si>
  <si>
    <t xml:space="preserve">2-4 te ödendi</t>
  </si>
  <si>
    <t xml:space="preserve">Aidat Marmara Royal Site 12/12</t>
  </si>
  <si>
    <t xml:space="preserve">Kira Adem Özen 12/12 Mrmr Ryl A Blok 82</t>
  </si>
  <si>
    <t xml:space="preserve">Doğuş Kira 10/12-2024-25</t>
  </si>
  <si>
    <t xml:space="preserve"> 2 – 6</t>
  </si>
  <si>
    <t xml:space="preserve">  2– 9</t>
  </si>
  <si>
    <t xml:space="preserve"> 2 – 9</t>
  </si>
  <si>
    <t xml:space="preserve">  2 – 6</t>
  </si>
  <si>
    <t xml:space="preserve">pazarama bosch gsb 12v30 2295,18 - 740 maxipuan</t>
  </si>
  <si>
    <t xml:space="preserve">  1 – 9</t>
  </si>
  <si>
    <t xml:space="preserve">market</t>
  </si>
  <si>
    <t xml:space="preserve">gib vergi</t>
  </si>
  <si>
    <t xml:space="preserve">kafe356</t>
  </si>
  <si>
    <t xml:space="preserve">        4 – 6</t>
  </si>
  <si>
    <t xml:space="preserve"> 3 - 6</t>
  </si>
  <si>
    <t xml:space="preserve">et bahçe</t>
  </si>
  <si>
    <t xml:space="preserve">gaz kamil</t>
  </si>
  <si>
    <t xml:space="preserve">audi lastik değşm</t>
  </si>
  <si>
    <t xml:space="preserve">ajet tjk-saw azerbaycan</t>
  </si>
  <si>
    <t xml:space="preserve">azarbeijan airlines ist-baku-ist</t>
  </si>
  <si>
    <t xml:space="preserve">selanik yemek</t>
  </si>
  <si>
    <t xml:space="preserve">MAYISa</t>
  </si>
  <si>
    <t xml:space="preserve"> - NİSAN 2024</t>
  </si>
  <si>
    <t xml:space="preserve">TUSDATA 12/30 </t>
  </si>
  <si>
    <t xml:space="preserve">dnz kk</t>
  </si>
  <si>
    <t xml:space="preserve">Aidat Marmara Royal Site 11/12</t>
  </si>
  <si>
    <t xml:space="preserve">Ablama bayram öncesi (iş 5gr)</t>
  </si>
  <si>
    <t xml:space="preserve">AUB YGV 1.taksit</t>
  </si>
  <si>
    <t xml:space="preserve">2-5 vadeli idi</t>
  </si>
  <si>
    <t xml:space="preserve">Doğuş Kira 8/12-2024-25     30 Marttan</t>
  </si>
  <si>
    <t xml:space="preserve">SGK bayramlık</t>
  </si>
  <si>
    <t xml:space="preserve">Kira Adem Özen 11/12 Mrmr Ryl A Blok 82</t>
  </si>
  <si>
    <t xml:space="preserve">snyF Merdal Kipel bankadan ödeme </t>
  </si>
  <si>
    <t xml:space="preserve">Devlet 142,24</t>
  </si>
  <si>
    <t xml:space="preserve">lihkab ücreti - tuzgümrüğü ölçüm</t>
  </si>
  <si>
    <t xml:space="preserve">snyE Kira Bedeli Süleyman Akan</t>
  </si>
  <si>
    <t xml:space="preserve">işbank umut ortak hesabe KİRA BEDELİ</t>
  </si>
  <si>
    <t xml:space="preserve">snyE Kira Bedeli İADE Cihan ÇAM</t>
  </si>
  <si>
    <t xml:space="preserve">Yasemin + bayram</t>
  </si>
  <si>
    <t xml:space="preserve">Umut + bayram</t>
  </si>
  <si>
    <t xml:space="preserve">Doğuş Kira 9/12-2024-25</t>
  </si>
  <si>
    <t xml:space="preserve">snyE senet  5/5   7000 ödenmedi kiracı değişti</t>
  </si>
  <si>
    <t xml:space="preserve">umuta havale</t>
  </si>
  <si>
    <t xml:space="preserve"> 1 – 6</t>
  </si>
  <si>
    <t xml:space="preserve">  1 – 6</t>
  </si>
  <si>
    <t xml:space="preserve">  1– 9</t>
  </si>
  <si>
    <t xml:space="preserve">kofteci</t>
  </si>
  <si>
    <t xml:space="preserve">atasun yakın gözlük sigorta</t>
  </si>
  <si>
    <t xml:space="preserve">peri bilet kayseri</t>
  </si>
  <si>
    <t xml:space="preserve">benzin çapa</t>
  </si>
  <si>
    <t xml:space="preserve">et</t>
  </si>
  <si>
    <t xml:space="preserve">led-fiş aksoy</t>
  </si>
  <si>
    <t xml:space="preserve">kk ücret</t>
  </si>
  <si>
    <t xml:space="preserve">pazarama online indirim</t>
  </si>
  <si>
    <t xml:space="preserve">amazon coreliquid 240r 3201TL-Arctic Fan 399TL</t>
  </si>
  <si>
    <t xml:space="preserve">         6 – 6</t>
  </si>
  <si>
    <t xml:space="preserve">        3 – 6</t>
  </si>
  <si>
    <r>
      <rPr>
        <b val="true"/>
        <sz val="10"/>
        <color rgb="FF000000"/>
        <rFont val="Liberation Sans1"/>
        <family val="0"/>
        <charset val="162"/>
      </rPr>
      <t xml:space="preserve">turknet 12ay 17-02-24 * 17-02-25 2</t>
    </r>
    <r>
      <rPr>
        <b val="true"/>
        <sz val="8"/>
        <color rgb="FF000000"/>
        <rFont val="Liberation Sans1"/>
        <family val="0"/>
        <charset val="162"/>
      </rPr>
      <t xml:space="preserve">99,99 *12 + 299,99</t>
    </r>
  </si>
  <si>
    <t xml:space="preserve"> 2 - 6</t>
  </si>
  <si>
    <t xml:space="preserve">örükçüoğlu audi porya</t>
  </si>
  <si>
    <t xml:space="preserve">NİSANa</t>
  </si>
  <si>
    <t xml:space="preserve">125000*0,880976</t>
  </si>
  <si>
    <t xml:space="preserve"> - MART 2024</t>
  </si>
  <si>
    <t xml:space="preserve">TUSDATA 11/30</t>
  </si>
  <si>
    <t xml:space="preserve">Aidat Marmara Royal Site 10/12</t>
  </si>
  <si>
    <t xml:space="preserve">alumba gss prim borcu</t>
  </si>
  <si>
    <t xml:space="preserve">iş havale</t>
  </si>
  <si>
    <t xml:space="preserve">Kira Adem Özen 10/12 Mrmr Ryl A Blok 82</t>
  </si>
  <si>
    <t xml:space="preserve">Doğuş Kira 7/12-2024-25</t>
  </si>
  <si>
    <t xml:space="preserve">yasemin okul -65000 deniz kk ile</t>
  </si>
  <si>
    <t xml:space="preserve">Tuzgümrüğü kira</t>
  </si>
  <si>
    <t xml:space="preserve">Hurdacı Elektrik                  32,42 1. aydan ekleNDİ</t>
  </si>
  <si>
    <t xml:space="preserve">Merdal                                 90,58 2. aydan düş</t>
  </si>
  <si>
    <t xml:space="preserve"> 6 – 9</t>
  </si>
  <si>
    <t xml:space="preserve">Amazon -</t>
  </si>
  <si>
    <t xml:space="preserve">pçamlıbel pide</t>
  </si>
  <si>
    <t xml:space="preserve">kesik yemek</t>
  </si>
  <si>
    <t xml:space="preserve">erenler pide için</t>
  </si>
  <si>
    <t xml:space="preserve">damga vergisi ali demirel</t>
  </si>
  <si>
    <t xml:space="preserve">aşıkbaba yasemin</t>
  </si>
  <si>
    <t xml:space="preserve">atasun yakın gözlük</t>
  </si>
  <si>
    <t xml:space="preserve">amazon işlemci i9 13900k</t>
  </si>
  <si>
    <t xml:space="preserve">        6  – 6</t>
  </si>
  <si>
    <t xml:space="preserve">         5 – 6</t>
  </si>
  <si>
    <t xml:space="preserve">        2 – 6</t>
  </si>
  <si>
    <t xml:space="preserve">snyH Emlak vergileri</t>
  </si>
  <si>
    <t xml:space="preserve">        3 – 3</t>
  </si>
  <si>
    <t xml:space="preserve">Emlak vergisi ayşe balcı</t>
  </si>
  <si>
    <t xml:space="preserve">emlak vergisi atila ev POBA</t>
  </si>
  <si>
    <t xml:space="preserve">emlka vergisi hmb</t>
  </si>
  <si>
    <t xml:space="preserve"> 2 - 2</t>
  </si>
  <si>
    <t xml:space="preserve">audi mtv 2023-2 ek</t>
  </si>
  <si>
    <t xml:space="preserve">trafik cezası pervine yazıldı</t>
  </si>
  <si>
    <t xml:space="preserve"> 1 - 6</t>
  </si>
  <si>
    <t xml:space="preserve">aof 2. dönem harç</t>
  </si>
  <si>
    <t xml:space="preserve">turrknet 17-01-24 * 17-02-24 ilk fatura</t>
  </si>
  <si>
    <t xml:space="preserve">ceza dr184 sungurlu</t>
  </si>
  <si>
    <t xml:space="preserve">MART</t>
  </si>
  <si>
    <t xml:space="preserve">umut   29,500 yasemin okul iadesi</t>
  </si>
  <si>
    <t xml:space="preserve">125000*1,034036</t>
  </si>
  <si>
    <t xml:space="preserve">ALVES</t>
  </si>
  <si>
    <t xml:space="preserve">12*19,45</t>
  </si>
  <si>
    <t xml:space="preserve">LMKDC</t>
  </si>
  <si>
    <t xml:space="preserve">36*38</t>
  </si>
  <si>
    <t xml:space="preserve">OBAMS</t>
  </si>
  <si>
    <t xml:space="preserve">15*39,24</t>
  </si>
  <si>
    <t xml:space="preserve">MOGAN</t>
  </si>
  <si>
    <t xml:space="preserve">xau iş alış                           2087,56</t>
  </si>
  <si>
    <t xml:space="preserve">usd iş satış-alış                 31,6936</t>
  </si>
  <si>
    <t xml:space="preserve">eur iş alış                           34,2704</t>
  </si>
  <si>
    <t xml:space="preserve"> - ŞUBAT 2024</t>
  </si>
  <si>
    <t xml:space="preserve">TUSDATA 10/30</t>
  </si>
  <si>
    <t xml:space="preserve">TUSDATA 10/30 - 20-30 * 11 adet senet ödemesi (şubat 2 kez ödendi yanlışlıkla)</t>
  </si>
  <si>
    <t xml:space="preserve">Doğuş Kira 6/12-2024-25 </t>
  </si>
  <si>
    <t xml:space="preserve">Kira Adem Özen 9/12 Mrmr Ryl A Blok 82</t>
  </si>
  <si>
    <t xml:space="preserve">maaş ocak ayı EK ödeme</t>
  </si>
  <si>
    <t xml:space="preserve">trafik cezası sungurlu istanbula giderken 28-12-2023</t>
  </si>
  <si>
    <r>
      <rPr>
        <sz val="10"/>
        <color rgb="FF000000"/>
        <rFont val="Liberation Sans1"/>
        <family val="0"/>
        <charset val="162"/>
      </rPr>
      <t xml:space="preserve">29.01.2024 trafik cezası </t>
    </r>
    <r>
      <rPr>
        <b val="true"/>
        <u val="single"/>
        <sz val="10"/>
        <color rgb="FF000000"/>
        <rFont val="Liberation Sans1"/>
        <family val="0"/>
        <charset val="162"/>
      </rPr>
      <t xml:space="preserve">MB-26446083 </t>
    </r>
    <r>
      <rPr>
        <sz val="10"/>
        <color rgb="FF000000"/>
        <rFont val="Liberation Sans1"/>
        <family val="0"/>
        <charset val="162"/>
      </rPr>
      <t xml:space="preserve">tebliğ tar: 09-01-24  sungurlu </t>
    </r>
  </si>
  <si>
    <t xml:space="preserve">devlet 16,62</t>
  </si>
  <si>
    <t xml:space="preserve">devlet 138,75</t>
  </si>
  <si>
    <t xml:space="preserve">snyE senet  5/5   7- 7 =         0 kalan</t>
  </si>
  <si>
    <t xml:space="preserve">Merdal                                         fazla havale</t>
  </si>
  <si>
    <t xml:space="preserve"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</si>
  <si>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</si>
  <si>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</si>
  <si>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</si>
  <si>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</si>
  <si>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</si>
  <si>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</si>
  <si>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</si>
  <si>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 xml:space="preserve">ist yemek</t>
  </si>
  <si>
    <t xml:space="preserve">ist audi benzin</t>
  </si>
  <si>
    <t xml:space="preserve">ist cam fitili</t>
  </si>
  <si>
    <t xml:space="preserve">ist silikon</t>
  </si>
  <si>
    <t xml:space="preserve">ist otopark</t>
  </si>
  <si>
    <t xml:space="preserve">sakarya market</t>
  </si>
  <si>
    <t xml:space="preserve">sakarya audi benzin</t>
  </si>
  <si>
    <t xml:space="preserve">ist sucuk</t>
  </si>
  <si>
    <t xml:space="preserve">pide sebze</t>
  </si>
  <si>
    <t xml:space="preserve">ordu market</t>
  </si>
  <si>
    <t xml:space="preserve">ordu yemek nalan</t>
  </si>
  <si>
    <t xml:space="preserve">pide çökelik erenler</t>
  </si>
  <si>
    <t xml:space="preserve">superonline</t>
  </si>
  <si>
    <t xml:space="preserve">karadağ air montenegro uçak bileti</t>
  </si>
  <si>
    <t xml:space="preserve">hgs</t>
  </si>
  <si>
    <t xml:space="preserve">selanik pide kart toplam</t>
  </si>
  <si>
    <t xml:space="preserve">ŞUBAT</t>
  </si>
  <si>
    <t xml:space="preserve">umut   15+15=30000 yasemin okul iadesi</t>
  </si>
  <si>
    <t xml:space="preserve">57 * 576,588071</t>
  </si>
  <si>
    <t xml:space="preserve">36*28,66</t>
  </si>
  <si>
    <t xml:space="preserve"> - OCAK 2024</t>
  </si>
  <si>
    <t xml:space="preserve">TUSDATA 9/30</t>
  </si>
  <si>
    <t xml:space="preserve">Kira Adem Özen 8/12 Mrmr Ryl A Blok 82</t>
  </si>
  <si>
    <t xml:space="preserve">Aidat Marmara Royal Site 8/12</t>
  </si>
  <si>
    <t xml:space="preserve">atila balcı zeytinyağı için havale mehmet yabir</t>
  </si>
  <si>
    <t xml:space="preserve">Doğuş Kira 5/12-2024-25– 30-12-23</t>
  </si>
  <si>
    <t xml:space="preserve">Doğuş Kira 6/12-2024-25</t>
  </si>
  <si>
    <t xml:space="preserve">Kira snyE senet 4/5 13- 6 = 7000 kalan</t>
  </si>
  <si>
    <t xml:space="preserve">snyB Tahmin Edilen 120000</t>
  </si>
  <si>
    <t xml:space="preserve">snyB Nakit</t>
  </si>
  <si>
    <t xml:space="preserve">snyB bankadan umuta   </t>
  </si>
  <si>
    <t xml:space="preserve">umuta kiradan harçlık</t>
  </si>
  <si>
    <t xml:space="preserve">pimapen Orhan conta değişim</t>
  </si>
  <si>
    <t xml:space="preserve">Superonline modem yurtiçi kargo ile gitti</t>
  </si>
  <si>
    <t xml:space="preserve">snyF</t>
  </si>
  <si>
    <t xml:space="preserve">kaza yaptı</t>
  </si>
  <si>
    <t xml:space="preserve">Hurdacı Elektrik     32,42 eksik</t>
  </si>
  <si>
    <t xml:space="preserve">Merdal         382789 havale</t>
  </si>
  <si>
    <t xml:space="preserve">8 – 9</t>
  </si>
  <si>
    <t xml:space="preserve"> 4 – 9</t>
  </si>
  <si>
    <t xml:space="preserve">al nlbry bosch gal12-40 şarj</t>
  </si>
  <si>
    <t xml:space="preserve"> 10 – 10</t>
  </si>
  <si>
    <t xml:space="preserve">        4  – 6</t>
  </si>
  <si>
    <t xml:space="preserve">        1 – 3</t>
  </si>
  <si>
    <t xml:space="preserve">emrar arar tokat ?</t>
  </si>
  <si>
    <t xml:space="preserve">izzet çağlar tokat ?</t>
  </si>
  <si>
    <t xml:space="preserve">et ev</t>
  </si>
  <si>
    <t xml:space="preserve">kasap zeki tokat ?</t>
  </si>
  <si>
    <t xml:space="preserve">snycd noter ihtar süre bitimi</t>
  </si>
  <si>
    <t xml:space="preserve">erenler ev</t>
  </si>
  <si>
    <t xml:space="preserve">OCAK</t>
  </si>
  <si>
    <t xml:space="preserve">umut   250 usd * 30,97 = 7742,5</t>
  </si>
  <si>
    <t xml:space="preserve">236 * 559,833857</t>
  </si>
  <si>
    <t xml:space="preserve">iş 808 </t>
  </si>
  <si>
    <t xml:space="preserve">SURGY  51,35</t>
  </si>
  <si>
    <t xml:space="preserve">TABGD  139,7</t>
  </si>
  <si>
    <t xml:space="preserve">xau iş alış                                  2025,34</t>
  </si>
  <si>
    <t xml:space="preserve">usd iş satış-alış                 30,97120</t>
  </si>
  <si>
    <t xml:space="preserve">eur iş alış                           33,3869</t>
  </si>
  <si>
    <t xml:space="preserve">bankamatikten yatan (salih ant dan gelen 60000)</t>
  </si>
  <si>
    <t xml:space="preserve">umutun hesaba yatan</t>
  </si>
  <si>
    <t xml:space="preserve">nazan</t>
  </si>
  <si>
    <t xml:space="preserve">hesaba</t>
  </si>
  <si>
    <t xml:space="preserve">hacı hesap</t>
  </si>
  <si>
    <t xml:space="preserve">hacı hesap tzg kira</t>
  </si>
  <si>
    <t xml:space="preserve">cepte</t>
  </si>
  <si>
    <t xml:space="preserve">nzn</t>
  </si>
  <si>
    <t xml:space="preserve">hc</t>
  </si>
  <si>
    <t xml:space="preserve">HACI</t>
  </si>
  <si>
    <t xml:space="preserve"> / 12</t>
  </si>
  <si>
    <t xml:space="preserve">temmuz artış %</t>
  </si>
  <si>
    <t xml:space="preserve">bayram-100.yıl</t>
  </si>
  <si>
    <t xml:space="preserve">temmuz maaş</t>
  </si>
  <si>
    <t xml:space="preserve">2022 Aralık  Devir</t>
  </si>
  <si>
    <t xml:space="preserve">xau</t>
  </si>
  <si>
    <t xml:space="preserve">usd</t>
  </si>
  <si>
    <t xml:space="preserve">eur</t>
  </si>
  <si>
    <t xml:space="preserve">kasa</t>
  </si>
  <si>
    <t xml:space="preserve">Peri</t>
  </si>
  <si>
    <t xml:space="preserve">dil kurs havale</t>
  </si>
  <si>
    <t xml:space="preserve">diş iş kk 10000 / 9 = 1111  </t>
  </si>
  <si>
    <t xml:space="preserve">diş iş kk                           1 / 9</t>
  </si>
  <si>
    <t xml:space="preserve">diş iş kk                            2 / 9</t>
  </si>
  <si>
    <t xml:space="preserve">diş iş kk                            3 / 9</t>
  </si>
  <si>
    <t xml:space="preserve">peri havale</t>
  </si>
  <si>
    <t xml:space="preserve">gib trafik cezası</t>
  </si>
  <si>
    <t xml:space="preserve">gib mtv 2022-1 dr184</t>
  </si>
  <si>
    <t xml:space="preserve">gib mtv 2022-2 dr184</t>
  </si>
  <si>
    <t xml:space="preserve">gib mtv 2023-1-2 dr184</t>
  </si>
  <si>
    <t xml:space="preserve">diş iş kk                             4 / 9</t>
  </si>
  <si>
    <t xml:space="preserve">diş iş kk                             5 / 9</t>
  </si>
  <si>
    <t xml:space="preserve">diş iş kk                             6 / 9</t>
  </si>
  <si>
    <t xml:space="preserve">diş iş kk                             7 / 9</t>
  </si>
  <si>
    <t xml:space="preserve">diş iş kk                             8 / 9</t>
  </si>
  <si>
    <t xml:space="preserve">diş iş kk                             9 / 9</t>
  </si>
  <si>
    <t xml:space="preserve">Budama makası</t>
  </si>
  <si>
    <t xml:space="preserve">Budama şarj aleti</t>
  </si>
  <si>
    <t xml:space="preserve">Budama 12 v 3 ah li-on akü</t>
  </si>
  <si>
    <t xml:space="preserve">kıbrıs yemek   37 Euro * 28 TL</t>
  </si>
  <si>
    <t xml:space="preserve">Mersin-tokat otobüs bileti topçam</t>
  </si>
  <si>
    <t xml:space="preserve">ankara çeyrek altın</t>
  </si>
  <si>
    <t xml:space="preserve">ankara benzin</t>
  </si>
  <si>
    <t xml:space="preserve">Eskişehir benzin</t>
  </si>
  <si>
    <t xml:space="preserve">aliden ziraat kredi için alınan 15/07/2023 taksidi için</t>
  </si>
  <si>
    <t xml:space="preserve">lab mustafa gr altın</t>
  </si>
  <si>
    <t xml:space="preserve">aliden ziraat kredi için alınan 15/08/2023 taksidi için</t>
  </si>
  <si>
    <t xml:space="preserve">ARA TOPLAMLAR - KALAN BAKİYE</t>
  </si>
  <si>
    <t xml:space="preserve">ankara nilufer altın</t>
  </si>
  <si>
    <t xml:space="preserve">selnik için pervinin hesaba gelen havale</t>
  </si>
  <si>
    <t xml:space="preserve">selanik kredi 15/09/2023 taksidi için</t>
  </si>
  <si>
    <t xml:space="preserve">kayseri için toyota gaz       450 TL</t>
  </si>
  <si>
    <t xml:space="preserve">kayseri için toyota gaz       699 TL</t>
  </si>
  <si>
    <t xml:space="preserve">audi ek mtv - 1</t>
  </si>
  <si>
    <t xml:space="preserve">audi bakım                       1500 TL</t>
  </si>
  <si>
    <t xml:space="preserve">audi muayene                  </t>
  </si>
  <si>
    <t xml:space="preserve">eskişehir ceza   2 x 751   = 1502 TL</t>
  </si>
  <si>
    <t xml:space="preserve">aliden ziraat için alınan 15/10/2023 taksidi için</t>
  </si>
  <si>
    <t xml:space="preserve">ankaraya giderken nakit verilen</t>
  </si>
  <si>
    <t xml:space="preserve">aliden ziraat için alınan 15/11/2023 taksidi için</t>
  </si>
  <si>
    <t xml:space="preserve">audi ek mtv - 2</t>
  </si>
  <si>
    <t xml:space="preserve">aliden kredi için 15/12/2023 taksidi için</t>
  </si>
  <si>
    <t xml:space="preserve">peri ankaraya giderken elden verilen</t>
  </si>
  <si>
    <t xml:space="preserve">Toplamlar</t>
  </si>
  <si>
    <t xml:space="preserve">HESABA</t>
  </si>
  <si>
    <t xml:space="preserve">PERI</t>
  </si>
  <si>
    <t xml:space="preserve">PERİ</t>
  </si>
  <si>
    <t xml:space="preserve">YAZILMAYAN</t>
  </si>
  <si>
    <t xml:space="preserve">BORÇ</t>
  </si>
  <si>
    <t xml:space="preserve">BAKIYE</t>
  </si>
  <si>
    <t xml:space="preserve">2023 YILI NAZAN BALCI</t>
  </si>
  <si>
    <t xml:space="preserve">Yapılacak</t>
  </si>
  <si>
    <t xml:space="preserve">Kalacak</t>
  </si>
  <si>
    <t xml:space="preserve">Yapılan</t>
  </si>
  <si>
    <t xml:space="preserve">Kalan</t>
  </si>
  <si>
    <t xml:space="preserve">Ödeme</t>
  </si>
  <si>
    <t xml:space="preserve">2023 yıl sonu nazan kira geliri</t>
  </si>
  <si>
    <t xml:space="preserve">2024 yılı Toplam</t>
  </si>
  <si>
    <t xml:space="preserve">denizbanka</t>
  </si>
  <si>
    <t xml:space="preserve">nazan havale</t>
  </si>
  <si>
    <t xml:space="preserve">ödenmedi</t>
  </si>
  <si>
    <t xml:space="preserve">Hisse Oranı</t>
  </si>
  <si>
    <t xml:space="preserve">Tarih</t>
  </si>
  <si>
    <t xml:space="preserve">Açıklama</t>
  </si>
  <si>
    <t xml:space="preserve">snyA-H</t>
  </si>
  <si>
    <t xml:space="preserve">Oran %</t>
  </si>
  <si>
    <t xml:space="preserve">Oran TL Tutar</t>
  </si>
  <si>
    <t xml:space="preserve">Ödendi</t>
  </si>
  <si>
    <t xml:space="preserve">Oran TL</t>
  </si>
  <si>
    <t xml:space="preserve">Genel Toplam</t>
  </si>
  <si>
    <t xml:space="preserve">Toplam Gelir</t>
  </si>
  <si>
    <t xml:space="preserve">snyH- Yazıhane</t>
  </si>
  <si>
    <t xml:space="preserve">02-24-sny içinde takip ediliyor</t>
  </si>
  <si>
    <t xml:space="preserve">SnyE- Nakit-&gt;nazana</t>
  </si>
  <si>
    <t xml:space="preserve">snyB- bankadan umuta</t>
  </si>
  <si>
    <t xml:space="preserve">snyB- nakit</t>
  </si>
  <si>
    <t xml:space="preserve">Toplam</t>
  </si>
  <si>
    <t xml:space="preserve">Hacı</t>
  </si>
  <si>
    <t xml:space="preserve">Nazan</t>
  </si>
  <si>
    <t xml:space="preserve">%</t>
  </si>
  <si>
    <t xml:space="preserve">Toplam Gelecek</t>
  </si>
  <si>
    <t xml:space="preserve">Gelen</t>
  </si>
  <si>
    <t xml:space="preserve">Kalan Gelecek</t>
  </si>
  <si>
    <t xml:space="preserve">toplam</t>
  </si>
  <si>
    <t xml:space="preserve">zekat %</t>
  </si>
  <si>
    <t xml:space="preserve">zekat</t>
  </si>
  <si>
    <t xml:space="preserve">snyCD- Nakit-&gt;nazana</t>
  </si>
  <si>
    <t xml:space="preserve">snyB- 2024 yılı içerisinde</t>
  </si>
  <si>
    <t xml:space="preserve">snyF- Nakit-&gt;nazana</t>
  </si>
  <si>
    <t xml:space="preserve">snyA- Nakit-&gt;nazana</t>
  </si>
  <si>
    <t xml:space="preserve">snyG- Nakit-&gt;nazana</t>
  </si>
  <si>
    <t xml:space="preserve">SnyE- Nakit-&gt;nazana 3-1-24</t>
  </si>
  <si>
    <t xml:space="preserve">SnyE- Nakit-&gt;nazana 06-12-23</t>
  </si>
  <si>
    <t xml:space="preserve">SnyE- Nakit-&gt;nazana 06-11-23</t>
  </si>
  <si>
    <t xml:space="preserve">SnF-Çek-&gt;Nazan</t>
  </si>
  <si>
    <t xml:space="preserve">SnyF-bankadan  -&gt; Nazan</t>
  </si>
  <si>
    <t xml:space="preserve">SnyF-icra avukatdan  -&gt; Nazan</t>
  </si>
  <si>
    <t xml:space="preserve">SnyF-Ocak23 -&gt; Nazan</t>
  </si>
  <si>
    <t xml:space="preserve">Toplam Harcama</t>
  </si>
  <si>
    <t xml:space="preserve">Net Gelir</t>
  </si>
  <si>
    <t xml:space="preserve">NAZAN</t>
  </si>
  <si>
    <t xml:space="preserve"> - ARALIK 2023</t>
  </si>
  <si>
    <t xml:space="preserve">TUSDATA 8/30                  8*250 = 2000       2023</t>
  </si>
  <si>
    <t xml:space="preserve">TUSDATA 9/30 – 20/30   12*250 = 3000       2024</t>
  </si>
  <si>
    <t xml:space="preserve">TUSDATA 21/30-30/30   10*8845 = 88450    2025</t>
  </si>
  <si>
    <t xml:space="preserve">Kira Adem Özen 7/12 Mrmr Ryl A Blok 82</t>
  </si>
  <si>
    <t xml:space="preserve">Aidat Marmara Royal Site 7/12</t>
  </si>
  <si>
    <t xml:space="preserve">Elektrik 8758480300 bahçe</t>
  </si>
  <si>
    <t xml:space="preserve">Tuzgümrüğü kira nakit</t>
  </si>
  <si>
    <t xml:space="preserve">Kira snyE senet 3/5 19- 6 = 13000 kalan 30/11/2023 umutun hesabına</t>
  </si>
  <si>
    <t xml:space="preserve">Salih Ant elektrik</t>
  </si>
  <si>
    <t xml:space="preserve">banka</t>
  </si>
  <si>
    <t xml:space="preserve">banka umut</t>
  </si>
  <si>
    <t xml:space="preserve"> 9 – 10</t>
  </si>
  <si>
    <t xml:space="preserve"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</si>
  <si>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</si>
  <si>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</si>
  <si>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</si>
  <si>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</si>
  <si>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 xml:space="preserve">yeğenbey toyota ceza</t>
  </si>
  <si>
    <t xml:space="preserve">sebze yağ</t>
  </si>
  <si>
    <t xml:space="preserve">ayfer kurt</t>
  </si>
  <si>
    <t xml:space="preserve">çitlekçi izmir dönüş</t>
  </si>
  <si>
    <t xml:space="preserve">selanik kk 14 gün pide harcama toplamı</t>
  </si>
  <si>
    <t xml:space="preserve"> - KASIM 2023</t>
  </si>
  <si>
    <t xml:space="preserve">TUSDATA 7/30</t>
  </si>
  <si>
    <t xml:space="preserve">Kira Adem Özen 6/12 Mrmr Ryl A Blok 82</t>
  </si>
  <si>
    <t xml:space="preserve">Aidat Marmara Royal Site 6/12</t>
  </si>
  <si>
    <t xml:space="preserve">snyF Merdal 2023 yılı son kalan 31-12-2023 e kadar ödeme tamam</t>
  </si>
  <si>
    <t xml:space="preserve">Tuzgümrüğü kira 2/2   5600 TL kira bedeli yzl</t>
  </si>
  <si>
    <t xml:space="preserve">BANKADN</t>
  </si>
  <si>
    <t xml:space="preserve">Doğuş Kira 4/12-2024-25– 30-11-23</t>
  </si>
  <si>
    <t xml:space="preserve">Kira snyA Eylülde alındı   Tahmin edilen 60000</t>
  </si>
  <si>
    <t xml:space="preserve">Kira snyCD Tahmin Edilen 120000</t>
  </si>
  <si>
    <t xml:space="preserve">Kira snyE senet 3/5 19- 6 = 13000 kalan 30/11/2023</t>
  </si>
  <si>
    <t xml:space="preserve">snyG 30-10-2023 bankadan ödeme  10000 TL</t>
  </si>
  <si>
    <t xml:space="preserve">umuta snyG bankadan</t>
  </si>
  <si>
    <t xml:space="preserve">emlak vergisi hmb</t>
  </si>
  <si>
    <t xml:space="preserve"> 8 – 10</t>
  </si>
  <si>
    <t xml:space="preserve">Amazon – asus b660 plus anakart</t>
  </si>
  <si>
    <t xml:space="preserve">6 – 6</t>
  </si>
  <si>
    <t xml:space="preserve">Amazon – 32 gbRAM-farex3-klavye-pwrspply</t>
  </si>
  <si>
    <t xml:space="preserve">Mediamrkt – anneler günü filtre kahve mak.</t>
  </si>
  <si>
    <t xml:space="preserve">toyota mtv 545</t>
  </si>
  <si>
    <t xml:space="preserve"> 3 - 3</t>
  </si>
  <si>
    <t xml:space="preserve">         1 – 6</t>
  </si>
  <si>
    <t xml:space="preserve">aof harc</t>
  </si>
  <si>
    <t xml:space="preserve">trafik cezası audi</t>
  </si>
  <si>
    <t xml:space="preserve">sebze</t>
  </si>
  <si>
    <t xml:space="preserve">bim</t>
  </si>
  <si>
    <t xml:space="preserve">et fırın</t>
  </si>
  <si>
    <t xml:space="preserve">audi benzin sivas</t>
  </si>
  <si>
    <t xml:space="preserve">selanik kk 18 gün et harcama toplamı</t>
  </si>
  <si>
    <t xml:space="preserve">selanik 18 gün sebze  *30</t>
  </si>
  <si>
    <t xml:space="preserve">KASIM</t>
  </si>
  <si>
    <t xml:space="preserve">Umut  snyG 10000 snyCD 135000 Bankadan</t>
  </si>
  <si>
    <t xml:space="preserve">usd iş satış-alış                                30,1333</t>
  </si>
  <si>
    <t xml:space="preserve">eur iş alış                                       33,1557</t>
  </si>
  <si>
    <t xml:space="preserve"> -  EKİM 2023</t>
  </si>
  <si>
    <t xml:space="preserve">2240 Turkcell İLK FATURA</t>
  </si>
  <si>
    <t xml:space="preserve">AOF</t>
  </si>
  <si>
    <t xml:space="preserve"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</si>
  <si>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 val="true"/>
        <sz val="10"/>
        <color rgb="FF000000"/>
        <rFont val="F"/>
        <family val="0"/>
        <charset val="2"/>
      </rPr>
      <t xml:space="preserve">5</t>
    </r>
    <r>
      <rPr>
        <sz val="10"/>
        <color rgb="FF000000"/>
        <rFont val="Arial"/>
        <family val="2"/>
        <charset val="162"/>
      </rPr>
      <t xml:space="preserve">/12 Mrmr Ryl A Blok 82</t>
    </r>
  </si>
  <si>
    <t xml:space="preserve">Kira Adem Özen 5/12 Mrmr Ryl A Blok 82</t>
  </si>
  <si>
    <t xml:space="preserve">Aidat Marmara Royal Site 5/12</t>
  </si>
  <si>
    <t xml:space="preserve">yasemin okul karttan geçildi</t>
  </si>
  <si>
    <t xml:space="preserve">Tuzgümrüğü kira   1/2  5600 TL kira bedeli yzl</t>
  </si>
  <si>
    <t xml:space="preserve">Doğuş Kira 3/12-2024-25– 30-10-23</t>
  </si>
  <si>
    <t xml:space="preserve">Kira snyE senet 2/5 25- 6 = 19000 kalan</t>
  </si>
  <si>
    <t xml:space="preserve">snyG 07-11 de çıkacağını belirterek 10000 TL ödemeyi yapmadı - 28-11 de ödendi</t>
  </si>
  <si>
    <t xml:space="preserve">mezar baş taşı sistem pompa seçkin</t>
  </si>
  <si>
    <t xml:space="preserve"> 7 – 10</t>
  </si>
  <si>
    <t xml:space="preserve">BELEDİYE Ayşe Balcı</t>
  </si>
  <si>
    <t xml:space="preserve"> 4 – 4</t>
  </si>
  <si>
    <t xml:space="preserve">BELEDİYE POBA - atila ev</t>
  </si>
  <si>
    <t xml:space="preserve">BELEDİYE ALUMBA</t>
  </si>
  <si>
    <t xml:space="preserve">BELEDİYE HMB</t>
  </si>
  <si>
    <t xml:space="preserve">ödeme otomtk</t>
  </si>
  <si>
    <t xml:space="preserve"> 1 – 9</t>
  </si>
  <si>
    <t xml:space="preserve">Amazon - kc30001TB-macZ790</t>
  </si>
  <si>
    <t xml:space="preserve"> 2 - 3</t>
  </si>
  <si>
    <t xml:space="preserve">amazon- i913900k+psu</t>
  </si>
  <si>
    <t xml:space="preserve">audi mtv muayene için yattı 2023 mtv ek-1</t>
  </si>
  <si>
    <t xml:space="preserve">opet ağaoğlu</t>
  </si>
  <si>
    <t xml:space="preserve">sivas yerliyurt petrol</t>
  </si>
  <si>
    <t xml:space="preserve">isot çatı çivi 2 kg</t>
  </si>
  <si>
    <t xml:space="preserve">opet audi çatı</t>
  </si>
  <si>
    <t xml:space="preserve">mehmet katar</t>
  </si>
  <si>
    <t xml:space="preserve">kayseri yemek ananın yeri</t>
  </si>
  <si>
    <t xml:space="preserve">kayseri benzin</t>
  </si>
  <si>
    <t xml:space="preserve">çamlıbel pide</t>
  </si>
  <si>
    <t xml:space="preserve">kafkas mutfak</t>
  </si>
  <si>
    <t xml:space="preserve">toyota gaz kayseri nevzat</t>
  </si>
  <si>
    <t xml:space="preserve">EKİM</t>
  </si>
  <si>
    <t xml:space="preserve">Umut                                </t>
  </si>
  <si>
    <t xml:space="preserve">xau iş alış</t>
  </si>
  <si>
    <t xml:space="preserve">xau iş alış  50 gr x 1826 = 91300</t>
  </si>
  <si>
    <t xml:space="preserve">usd iş satış-alış                                 27,383</t>
  </si>
  <si>
    <t xml:space="preserve">eur iş alış                                       29,71050</t>
  </si>
  <si>
    <t xml:space="preserve"> - EYLÜL 2023</t>
  </si>
  <si>
    <t xml:space="preserve">TUSDATA 5/30</t>
  </si>
  <si>
    <t xml:space="preserve">Kira Adem Özen 4/12 Mrmr Ryl A Blok 82</t>
  </si>
  <si>
    <t xml:space="preserve">Aidat Marmara Royal Site 4/12</t>
  </si>
  <si>
    <t xml:space="preserve">Doğuş Kira 2/12-2024-25– 30-09-23 bankadan geldi</t>
  </si>
  <si>
    <t xml:space="preserve">Kira lise arkası 150/4</t>
  </si>
  <si>
    <t xml:space="preserve">snyG 30-9-23 - 96000 TL</t>
  </si>
  <si>
    <t xml:space="preserve">snyG 23-09-2023 nakit   83000 TL</t>
  </si>
  <si>
    <t xml:space="preserve">snyG 25-09-2023 nakit     3000 TL</t>
  </si>
  <si>
    <t xml:space="preserve">snyG 30-10-2023 banka 10000 TL</t>
  </si>
  <si>
    <t xml:space="preserve">snyE 96000 - 65000 = 31000 kalan</t>
  </si>
  <si>
    <t xml:space="preserve">snyE senet  1/5 31- 6 = 25000 kalan</t>
  </si>
  <si>
    <t xml:space="preserve">snyE senet  2/5 25- 6 = 19000 kalan</t>
  </si>
  <si>
    <t xml:space="preserve">snyE senet  3/5 19- 6 = 13000 kalan</t>
  </si>
  <si>
    <t xml:space="preserve">snyE senet  4/5 13- 6 =   7000 kalan</t>
  </si>
  <si>
    <t xml:space="preserve">Vodafon son fatura işbank tan ödendi</t>
  </si>
  <si>
    <t xml:space="preserve">snyA 30-09-2023 84000</t>
  </si>
  <si>
    <t xml:space="preserve">SnyA  - &gt; bnakadan umuta banka makbuzunda kira yazılmadı</t>
  </si>
  <si>
    <t xml:space="preserve">6 – 10</t>
  </si>
  <si>
    <t xml:space="preserve">amazon bosch pro pruner budama</t>
  </si>
  <si>
    <t xml:space="preserve"> 3 – 4</t>
  </si>
  <si>
    <t xml:space="preserve">gib merdal damga vrgs</t>
  </si>
  <si>
    <t xml:space="preserve">çapa motor arıza enj</t>
  </si>
  <si>
    <t xml:space="preserve">tcdd umut ank-svs   248+</t>
  </si>
  <si>
    <t xml:space="preserve">audi bnzn</t>
  </si>
  <si>
    <t xml:space="preserve">ev interntet superonline</t>
  </si>
  <si>
    <t xml:space="preserve">tcdd umut svs-ank-business  248+</t>
  </si>
  <si>
    <t xml:space="preserve">Lokanta yemek</t>
  </si>
  <si>
    <t xml:space="preserve">toyota gaz afyon</t>
  </si>
  <si>
    <t xml:space="preserve">kft ysf</t>
  </si>
  <si>
    <t xml:space="preserve">toyota gaz izmir</t>
  </si>
  <si>
    <t xml:space="preserve">işçi yemek</t>
  </si>
  <si>
    <t xml:space="preserve">toyota gaz çorum</t>
  </si>
  <si>
    <t xml:space="preserve"> 1 - 3</t>
  </si>
  <si>
    <t xml:space="preserve">EYLÜL</t>
  </si>
  <si>
    <t xml:space="preserve">Umut                          10000 bankadan snyA             </t>
  </si>
  <si>
    <t xml:space="preserve"> - AĞUSTOS 2023</t>
  </si>
  <si>
    <t xml:space="preserve">TUSDATA 4/30</t>
  </si>
  <si>
    <t xml:space="preserve">Kira Adem Özen 3/12 Mrmr Ryl A Blok 82</t>
  </si>
  <si>
    <t xml:space="preserve">Aidat Marmara Royal Site 3/12</t>
  </si>
  <si>
    <t xml:space="preserve">Doğuş 1/12-2024-25– 30-08-23</t>
  </si>
  <si>
    <t xml:space="preserve">Doğuş 24-25 için 6 aylık tüfe uygulanacak</t>
  </si>
  <si>
    <t xml:space="preserve">Doğuş 23-24 aylık kira 5000 TL üzerine tüfe</t>
  </si>
  <si>
    <t xml:space="preserve">Kira snyE</t>
  </si>
  <si>
    <t xml:space="preserve">salça</t>
  </si>
  <si>
    <t xml:space="preserve">peri diş</t>
  </si>
  <si>
    <t xml:space="preserve"> 5 – 10</t>
  </si>
  <si>
    <t xml:space="preserve"> 2 – 4</t>
  </si>
  <si>
    <t xml:space="preserve">Vodafone 2240</t>
  </si>
  <si>
    <t xml:space="preserve">         3 – 6</t>
  </si>
  <si>
    <r>
      <rPr>
        <sz val="10"/>
        <color rgb="FF000000"/>
        <rFont val="F"/>
        <family val="0"/>
        <charset val="2"/>
      </rPr>
      <t xml:space="preserve">kbrs </t>
    </r>
    <r>
      <rPr>
        <sz val="10"/>
        <color rgb="FF000000"/>
        <rFont val="Arial"/>
        <family val="2"/>
        <charset val="162"/>
      </rPr>
      <t xml:space="preserve">korcan iletişim kıbrıs</t>
    </r>
  </si>
  <si>
    <r>
      <rPr>
        <sz val="10"/>
        <color rgb="FF000000"/>
        <rFont val="F"/>
        <family val="0"/>
        <charset val="2"/>
      </rPr>
      <t xml:space="preserve">kbrs </t>
    </r>
    <r>
      <rPr>
        <sz val="10"/>
        <color rgb="FF000000"/>
        <rFont val="Arial"/>
        <family val="2"/>
        <charset val="162"/>
      </rPr>
      <t xml:space="preserve">benzin m nissan</t>
    </r>
  </si>
  <si>
    <r>
      <rPr>
        <sz val="10"/>
        <color rgb="FF000000"/>
        <rFont val="F"/>
        <family val="0"/>
        <charset val="2"/>
      </rPr>
      <t xml:space="preserve">kbrs </t>
    </r>
    <r>
      <rPr>
        <sz val="10"/>
        <color rgb="FF000000"/>
        <rFont val="Arial"/>
        <family val="2"/>
        <charset val="162"/>
      </rPr>
      <t xml:space="preserve">atlex co</t>
    </r>
  </si>
  <si>
    <t xml:space="preserve">ödeme oto</t>
  </si>
  <si>
    <t xml:space="preserve">iletişim</t>
  </si>
  <si>
    <t xml:space="preserve">koft ysf</t>
  </si>
  <si>
    <t xml:space="preserve">çapa benzin</t>
  </si>
  <si>
    <t xml:space="preserve">bsmv</t>
  </si>
  <si>
    <t xml:space="preserve">AĞUSTOS</t>
  </si>
  <si>
    <t xml:space="preserve">Umut                                        </t>
  </si>
  <si>
    <t xml:space="preserve">usd iş satış-alış                                    27,383</t>
  </si>
  <si>
    <t xml:space="preserve">eur iş alış                                                29,71050</t>
  </si>
  <si>
    <t xml:space="preserve">- ŞUBAT 2023</t>
  </si>
  <si>
    <t xml:space="preserve">TUSDATA 3/30</t>
  </si>
  <si>
    <t xml:space="preserve">umut bayram</t>
  </si>
  <si>
    <t xml:space="preserve">yasemin bayram</t>
  </si>
  <si>
    <t xml:space="preserve">KK 5165 Denizbank oto ödeme</t>
  </si>
  <si>
    <t xml:space="preserve">KK 5165 Denizbank ödeme</t>
  </si>
  <si>
    <t xml:space="preserve">Kira Adem Özen 2/12 Mrmr Ryl A Blok 82</t>
  </si>
  <si>
    <t xml:space="preserve">Aidat Marmara Royal Site /12</t>
  </si>
  <si>
    <t xml:space="preserve">snyF Merdalkipel-&gt;altunoğlu taahhüt çek (19-04-23)</t>
  </si>
  <si>
    <t xml:space="preserve">aliden ziraat için alınan periye yollanmadı perinin hesabından düşüldü</t>
  </si>
  <si>
    <t xml:space="preserve">Tuzgümrüğü kira ÖNCEKİ AYLA BİRLİKTE ÖDENECEK</t>
  </si>
  <si>
    <t xml:space="preserve">Doğuş Kira 12/12-2023-24– 30-07-23</t>
  </si>
  <si>
    <t xml:space="preserve"> 4 – 10</t>
  </si>
  <si>
    <t xml:space="preserve"> 1 – 4</t>
  </si>
  <si>
    <t xml:space="preserve">akgünler taşucu mersin flying anka</t>
  </si>
  <si>
    <t xml:space="preserve">ET 2 GÜNLÜK</t>
  </si>
  <si>
    <t xml:space="preserve">SEBZE</t>
  </si>
  <si>
    <t xml:space="preserve">ET</t>
  </si>
  <si>
    <t xml:space="preserve">AUDİ YAĞ FİLTRE</t>
  </si>
  <si>
    <t xml:space="preserve">ERENLER</t>
  </si>
  <si>
    <t xml:space="preserve">TRANSİT ÇEŞME MAZOT</t>
  </si>
  <si>
    <t xml:space="preserve">ÇEŞME İŞÇİ YEMEK</t>
  </si>
  <si>
    <t xml:space="preserve">LEBLEBİ</t>
  </si>
  <si>
    <t xml:space="preserve">mackbear cafe</t>
  </si>
  <si>
    <t xml:space="preserve">havaist</t>
  </si>
  <si>
    <t xml:space="preserve">kbrs mağusa kaym. Kimlik parası</t>
  </si>
  <si>
    <t xml:space="preserve">kbrs benzin</t>
  </si>
  <si>
    <t xml:space="preserve">kbrs premium inn</t>
  </si>
  <si>
    <t xml:space="preserve">kbrs erülkü</t>
  </si>
  <si>
    <t xml:space="preserve">aidat  </t>
  </si>
  <si>
    <t xml:space="preserve">TEMMUZ</t>
  </si>
  <si>
    <t xml:space="preserve">usd iş alış</t>
  </si>
  <si>
    <t xml:space="preserve">eur iş alış</t>
  </si>
  <si>
    <t xml:space="preserve">- HAZİRAN 2023</t>
  </si>
  <si>
    <t xml:space="preserve">TUSDATA 2/30</t>
  </si>
  <si>
    <t xml:space="preserve">%74,42 artış - 4300 * 25 % = 5375  -- 700 -5375 = 2125</t>
  </si>
  <si>
    <t xml:space="preserve">havale ücreti kira</t>
  </si>
  <si>
    <t xml:space="preserve">maaş bayram</t>
  </si>
  <si>
    <t xml:space="preserve">Doğuş Kira 11/12-2023-24– 30-06-23</t>
  </si>
  <si>
    <t xml:space="preserve">Kira ap</t>
  </si>
  <si>
    <t xml:space="preserve">Audi edge 5-30 4 lt yağ 600 TL flt hv100- yğ 150 kk</t>
  </si>
  <si>
    <t xml:space="preserve">işçilik motorcu yusuf</t>
  </si>
  <si>
    <t xml:space="preserve">balmerden ziraat için havale</t>
  </si>
  <si>
    <t xml:space="preserve">ziraate havale</t>
  </si>
  <si>
    <t xml:space="preserve">pazarama</t>
  </si>
  <si>
    <t xml:space="preserve"> 3 – 10</t>
  </si>
  <si>
    <t xml:space="preserve">n11 12v 3ah akü</t>
  </si>
  <si>
    <t xml:space="preserve"> 3 – 3</t>
  </si>
  <si>
    <t xml:space="preserve">3 – 6</t>
  </si>
  <si>
    <t xml:space="preserve">Pazarama – kullanılan maxipuan</t>
  </si>
  <si>
    <t xml:space="preserve">TCDD – Ankara- İstanbul</t>
  </si>
  <si>
    <t xml:space="preserve">Hepsiburada – lcd power</t>
  </si>
  <si>
    <t xml:space="preserve">hepsiburada – note 5 kılıf</t>
  </si>
  <si>
    <t xml:space="preserve">hepsiburada – note 5 kılıf  İADE</t>
  </si>
  <si>
    <t xml:space="preserve">MAXİPUAN</t>
  </si>
  <si>
    <t xml:space="preserve">USB FLASH İÇİN KULLANILAN 128GB</t>
  </si>
  <si>
    <t xml:space="preserve">Pide et</t>
  </si>
  <si>
    <t xml:space="preserve">*</t>
  </si>
  <si>
    <t xml:space="preserve">Pide sebze erenler</t>
  </si>
  <si>
    <t xml:space="preserve">pide et ½ kg</t>
  </si>
  <si>
    <t xml:space="preserve">Et  kg 280</t>
  </si>
  <si>
    <t xml:space="preserve">HAZİRAN</t>
  </si>
  <si>
    <t xml:space="preserve">2023  Devir</t>
  </si>
  <si>
    <t xml:space="preserve">mAYIS Bakiye</t>
  </si>
  <si>
    <t xml:space="preserve">- MAYIS 2023</t>
  </si>
  <si>
    <t xml:space="preserve">TUSDATA 1/30</t>
  </si>
  <si>
    <t xml:space="preserve">Doğalgaz Marmara Royal A blok D:82</t>
  </si>
  <si>
    <t xml:space="preserve">Doğuş Kira 10/12-2023-24– 30-05-23</t>
  </si>
  <si>
    <t xml:space="preserve">ali balcıdan ziraat için</t>
  </si>
  <si>
    <t xml:space="preserve">TUSDATA 8/30                  8*250 = 2000</t>
  </si>
  <si>
    <t xml:space="preserve">TUSDATA 9/30 – 20/30   12*250 = 3000</t>
  </si>
  <si>
    <t xml:space="preserve">TUSDATA 21/30-30/30   10*8845 = 88450</t>
  </si>
  <si>
    <t xml:space="preserve">TUSDATA anlaşma 31-3-2023 te yapıldı</t>
  </si>
  <si>
    <t xml:space="preserve"> </t>
  </si>
  <si>
    <t xml:space="preserve">TUSDATA NAKİT FİYATI  57950/18,78     = 3085,73 USD</t>
  </si>
  <si>
    <t xml:space="preserve">TUSDATA NAKİT FİYATI  57950/1179,83 =     49,12 gr Altın</t>
  </si>
  <si>
    <t xml:space="preserve">31-3-2023 USD    iş alış        18,78            </t>
  </si>
  <si>
    <t xml:space="preserve">31-3-2023 ALTIN İŞ ALIŞ 1179,83</t>
  </si>
  <si>
    <t xml:space="preserve"> 2 – 3</t>
  </si>
  <si>
    <t xml:space="preserve"> 2 – 10</t>
  </si>
  <si>
    <t xml:space="preserve">çapa bıçak 24 ad</t>
  </si>
  <si>
    <t xml:space="preserve">gib     </t>
  </si>
  <si>
    <t xml:space="preserve">migros</t>
  </si>
  <si>
    <t xml:space="preserve">sivas hasdöner</t>
  </si>
  <si>
    <t xml:space="preserve">erenler pide</t>
  </si>
  <si>
    <t xml:space="preserve">betul olgun</t>
  </si>
  <si>
    <t xml:space="preserve">hesap kesim</t>
  </si>
  <si>
    <t xml:space="preserve">Belediye 17761</t>
  </si>
  <si>
    <t xml:space="preserve">MAYIS</t>
  </si>
  <si>
    <t xml:space="preserve">- NİSAN 2023</t>
  </si>
  <si>
    <t xml:space="preserve">m</t>
  </si>
  <si>
    <t xml:space="preserve">maaş ikramiye</t>
  </si>
  <si>
    <t xml:space="preserve">Doğuş Kira 9/12-2023-24– 30-04-23</t>
  </si>
  <si>
    <t xml:space="preserve">Kira snyG Metin ÇELİK 8/8</t>
  </si>
  <si>
    <t xml:space="preserve">snyF Merdalkipel- emrullahözer-&gt;aliumutbalcı banka</t>
  </si>
  <si>
    <t xml:space="preserve">alumba-&gt;hmb iş 13000 iade havale</t>
  </si>
  <si>
    <t xml:space="preserve">snyF Merdalkipel-&gt;aliumutbalcı banka</t>
  </si>
  <si>
    <t xml:space="preserve">ziraate sigorta için havale 3400 aliden + 600</t>
  </si>
  <si>
    <t xml:space="preserve">işbank emekli maaşı promosyon iade</t>
  </si>
  <si>
    <t xml:space="preserve">işbank emekli maaşı promosyon 3 yıllık</t>
  </si>
  <si>
    <t xml:space="preserve">peri diş 5/9</t>
  </si>
  <si>
    <t xml:space="preserve">Tokat Belediyesi Vergi A.Umut Balcı 1589,85 ¼ taksit</t>
  </si>
  <si>
    <t xml:space="preserve">Tokat Belediyesi Vergi P.Özlem Balcı Atila ev -323,65 ¼ taksit</t>
  </si>
  <si>
    <t xml:space="preserve">Tokat Belediyesi Vergi H.Murat Balcı 508,20 ¼ taksit</t>
  </si>
  <si>
    <t xml:space="preserve">Tokat Belediyesi Vergi Ayşe Balcı 197,25 ¼ taksit</t>
  </si>
  <si>
    <t xml:space="preserve">pazarama ist uçak</t>
  </si>
  <si>
    <t xml:space="preserve"> 1 – 3</t>
  </si>
  <si>
    <t xml:space="preserve"> 1 – 10</t>
  </si>
  <si>
    <t xml:space="preserve">pide iş kk</t>
  </si>
  <si>
    <t xml:space="preserve">ankara kuruyemiş</t>
  </si>
  <si>
    <t xml:space="preserve">toyota gaz banaz</t>
  </si>
  <si>
    <t xml:space="preserve">yemek afyon-çay</t>
  </si>
  <si>
    <t xml:space="preserve">toyota gaz-benzin ankara</t>
  </si>
  <si>
    <t xml:space="preserve">kk aidat</t>
  </si>
  <si>
    <t xml:space="preserve">kk aidat bsmv</t>
  </si>
  <si>
    <t xml:space="preserve">dnz kk et yğ soğn bbr</t>
  </si>
  <si>
    <t xml:space="preserve">2023 Nisan  Devir</t>
  </si>
  <si>
    <t xml:space="preserve">Nisan Bakiye</t>
  </si>
  <si>
    <t xml:space="preserve">- MART 2023</t>
  </si>
  <si>
    <t xml:space="preserve">hasan avşar selanik için havale</t>
  </si>
  <si>
    <t xml:space="preserve">umut merdaldan elektrik parası ile 1129+1621</t>
  </si>
  <si>
    <t xml:space="preserve">peri ödeme diş kk</t>
  </si>
  <si>
    <t xml:space="preserve">peri ödeme dr184 kk</t>
  </si>
  <si>
    <t xml:space="preserve">Doğuş Kira 8/12-2023-24– 30-03-23 6000+500</t>
  </si>
  <si>
    <t xml:space="preserve">Kira snyG Metin ÇELİK 5-6-7-8</t>
  </si>
  <si>
    <t xml:space="preserve">Kira snyG Metin ÇELİK elektrik teminat</t>
  </si>
  <si>
    <t xml:space="preserve">Kira snyG Metin ÇELİK 4*1000 kira + 400 teminat + 342,40 şubat elektrik – 58 TL iade</t>
  </si>
  <si>
    <t xml:space="preserve">Kira snyG Metin ÇELİK bankadan ali umut balcıya 4800 TL kira havalesi</t>
  </si>
  <si>
    <t xml:space="preserve">Kira snyG Metin ÇELİK 7/8</t>
  </si>
  <si>
    <t xml:space="preserve">ziraate kredi için havale</t>
  </si>
  <si>
    <t xml:space="preserve">ALUMBA YGVBeynname 2022 Damga Vergisi</t>
  </si>
  <si>
    <t xml:space="preserve">Ali Umut BALCI snyG-Metin kira bedeli olarak</t>
  </si>
  <si>
    <t xml:space="preserve">Ali Umut BALCI snyG-Duran kira bedeli olarak</t>
  </si>
  <si>
    <t xml:space="preserve">alumba hesabına</t>
  </si>
  <si>
    <t xml:space="preserve">alumba hesabına umut boyraz elektrik</t>
  </si>
  <si>
    <t xml:space="preserve">umut aylık +</t>
  </si>
  <si>
    <t xml:space="preserve">Salih Ant</t>
  </si>
  <si>
    <t xml:space="preserve">Cihan Elektrik Teminat 1200 – 6/6</t>
  </si>
  <si>
    <t xml:space="preserve">Merdal  alumba hesabına havale</t>
  </si>
  <si>
    <t xml:space="preserve">ikea masa 5/6</t>
  </si>
  <si>
    <t xml:space="preserve">koçtaş pervane 5/6</t>
  </si>
  <si>
    <t xml:space="preserve">peri diş 4/9</t>
  </si>
  <si>
    <t xml:space="preserve">erenler pide 01- işkk1</t>
  </si>
  <si>
    <t xml:space="preserve">erenler pide 01- işkk2</t>
  </si>
  <si>
    <t xml:space="preserve">erenler pide 01- işkk3</t>
  </si>
  <si>
    <t xml:space="preserve">erenler pide 01- işkk4</t>
  </si>
  <si>
    <t xml:space="preserve">erenler pide 01- işkk5</t>
  </si>
  <si>
    <t xml:space="preserve">lcw umut pant gmlk</t>
  </si>
  <si>
    <t xml:space="preserve">hepsiburada telefon kılıf şarj</t>
  </si>
  <si>
    <t xml:space="preserve">erenler pide 01- işkk6</t>
  </si>
  <si>
    <t xml:space="preserve">erenler pide 01- işkk7</t>
  </si>
  <si>
    <t xml:space="preserve">istanbulkart</t>
  </si>
  <si>
    <t xml:space="preserve">marm royal</t>
  </si>
  <si>
    <t xml:space="preserve">tcdd yht  248 + 211</t>
  </si>
  <si>
    <t xml:space="preserve">tcdd yht yasemin dönüş</t>
  </si>
  <si>
    <t xml:space="preserve">vodafon</t>
  </si>
  <si>
    <t xml:space="preserve">erenler pide  </t>
  </si>
  <si>
    <t xml:space="preserve">trafik cezası atila</t>
  </si>
  <si>
    <t xml:space="preserve">2023 Mart  Devir</t>
  </si>
  <si>
    <t xml:space="preserve">Umut                                        4800</t>
  </si>
  <si>
    <t xml:space="preserve">Mart çıkışı</t>
  </si>
  <si>
    <t xml:space="preserve">SnyF-M.Kipel Ocak Ayı kirası</t>
  </si>
  <si>
    <t xml:space="preserve">Doğuş Kira 6/12-2023-24</t>
  </si>
  <si>
    <t xml:space="preserve">deprem</t>
  </si>
  <si>
    <t xml:space="preserve">Ayşe BALCI son kira ödemesi</t>
  </si>
  <si>
    <t xml:space="preserve">İstanbuldan gül</t>
  </si>
  <si>
    <t xml:space="preserve">Elektrik 8758480300</t>
  </si>
  <si>
    <t xml:space="preserve">maaş depremden dolsyı erken ödendi</t>
  </si>
  <si>
    <t xml:space="preserve">yasemin okul denizbank kk</t>
  </si>
  <si>
    <t xml:space="preserve">peri gold+kupe</t>
  </si>
  <si>
    <t xml:space="preserve">peri havale iş</t>
  </si>
  <si>
    <t xml:space="preserve">Tuzgümrüğü kira 12.ayda bankadan ödendi</t>
  </si>
  <si>
    <t xml:space="preserve">Doğuş Kira 7/12-2023-24– 28-02-23</t>
  </si>
  <si>
    <t xml:space="preserve">Kira snyG Metin ÇELİK 6/8</t>
  </si>
  <si>
    <t xml:space="preserve">Kira snyG Metin ÇELİK 5/8    1000 TL</t>
  </si>
  <si>
    <t xml:space="preserve">Metin Elektrik Teminat 1200 – 6/6 200 TL</t>
  </si>
  <si>
    <t xml:space="preserve">Ali Umut BALCI snyF-Mkipel elektrik</t>
  </si>
  <si>
    <t xml:space="preserve">Ali Umut BALCI snyF-Mkipel ocak kira</t>
  </si>
  <si>
    <t xml:space="preserve">Yasemin okuliçin 2.</t>
  </si>
  <si>
    <t xml:space="preserve">SnyF-Kynkçı Merdal 12/12-2022-23</t>
  </si>
  <si>
    <t xml:space="preserve">2 aylık kira bedeli</t>
  </si>
  <si>
    <t xml:space="preserve">snyA Ayhan Tüfek 42000-40000</t>
  </si>
  <si>
    <t xml:space="preserve">%57,14 aylık kira bedeli</t>
  </si>
  <si>
    <t xml:space="preserve">cihan oto 12-1 ay teminattan kalan</t>
  </si>
  <si>
    <t xml:space="preserve">Cihan Elektrik Teminat 1200 – 5/6</t>
  </si>
  <si>
    <t xml:space="preserve">Merdal  bakadan havale</t>
  </si>
  <si>
    <t xml:space="preserve">Metin Elektrik Teminat 1200 – 6/6</t>
  </si>
  <si>
    <t xml:space="preserve">peri diş 3/9</t>
  </si>
  <si>
    <t xml:space="preserve">atasun gözlük 3/3</t>
  </si>
  <si>
    <t xml:space="preserve">erenler pide 12- k14 puan kullanımı</t>
  </si>
  <si>
    <t xml:space="preserve">-150TL</t>
  </si>
  <si>
    <t xml:space="preserve">erenler pide 12- k14</t>
  </si>
  <si>
    <t xml:space="preserve">tk paz mar</t>
  </si>
  <si>
    <t xml:space="preserve">erenler pide 01- işkk1  180,34= puan 81 TL +    </t>
  </si>
  <si>
    <t xml:space="preserve">erenler pide 01- işkk8</t>
  </si>
  <si>
    <t xml:space="preserve">erenler pide 01- işkk9</t>
  </si>
  <si>
    <t xml:space="preserve">erenler pide 12- kkdnz01</t>
  </si>
  <si>
    <t xml:space="preserve">erenler pide 12- kkdnz02</t>
  </si>
  <si>
    <t xml:space="preserve">toyota rav4 yağ-filtre</t>
  </si>
  <si>
    <t xml:space="preserve">erenler pide 12- kkdnz03</t>
  </si>
  <si>
    <t xml:space="preserve">erenler pide 12- kkdnz04</t>
  </si>
  <si>
    <t xml:space="preserve">erenler pide 01- kkdnz01</t>
  </si>
  <si>
    <t xml:space="preserve">erenler pide 01- kkdnz02</t>
  </si>
  <si>
    <t xml:space="preserve">erenler pide 01- kkdnz03</t>
  </si>
  <si>
    <t xml:space="preserve">a101 ev</t>
  </si>
  <si>
    <t xml:space="preserve">toyota gaz manisa</t>
  </si>
  <si>
    <t xml:space="preserve">Sigorta ??????????????????????*</t>
  </si>
  <si>
    <t xml:space="preserve">Sigorta ??????      i a d e    ???????</t>
  </si>
  <si>
    <t xml:space="preserve">2023 Şubat  Devir</t>
  </si>
  <si>
    <t xml:space="preserve">Şubat çıkışı</t>
  </si>
  <si>
    <t xml:space="preserve">- OCAK 2023</t>
  </si>
  <si>
    <t xml:space="preserve">KK 5165 Denizbank işten havale</t>
  </si>
  <si>
    <t xml:space="preserve">peri kk ödeme</t>
  </si>
  <si>
    <t xml:space="preserve">Kira snyG Metin ÇELİK 5/8</t>
  </si>
  <si>
    <t xml:space="preserve">Kira snyG Metin ÇELİK 4/8 31-12-2022</t>
  </si>
  <si>
    <t xml:space="preserve">3 aylık kira bedeli</t>
  </si>
  <si>
    <t xml:space="preserve">cihan oto 12 ay teminattan kalan</t>
  </si>
  <si>
    <t xml:space="preserve">Cihan Elektrik Teminat 1200 – 4/6</t>
  </si>
  <si>
    <t xml:space="preserve">Merdal bankadan havale</t>
  </si>
  <si>
    <t xml:space="preserve">Metin bankadan havale</t>
  </si>
  <si>
    <t xml:space="preserve">Metin Elektrik Teminat 1200 – 5/6</t>
  </si>
  <si>
    <t xml:space="preserve">ikea masa 4/6</t>
  </si>
  <si>
    <t xml:space="preserve">koçtaş pervane 4/6</t>
  </si>
  <si>
    <t xml:space="preserve">peri diş 2/9</t>
  </si>
  <si>
    <t xml:space="preserve">atasun gözlük 2/3</t>
  </si>
  <si>
    <t xml:space="preserve">erenler pide 12- k1</t>
  </si>
  <si>
    <t xml:space="preserve">ev internet</t>
  </si>
  <si>
    <t xml:space="preserve">erenler pide 12- k2</t>
  </si>
  <si>
    <t xml:space="preserve">ayfer kurt ???</t>
  </si>
  <si>
    <t xml:space="preserve">erenler pide 12- k3</t>
  </si>
  <si>
    <t xml:space="preserve">erenler pide 12- k4</t>
  </si>
  <si>
    <t xml:space="preserve">aşıkbaba</t>
  </si>
  <si>
    <t xml:space="preserve">tokat avm yunus</t>
  </si>
  <si>
    <t xml:space="preserve">benzin audi</t>
  </si>
  <si>
    <t xml:space="preserve">yunus</t>
  </si>
  <si>
    <t xml:space="preserve">erenler pide 12- k5</t>
  </si>
  <si>
    <t xml:space="preserve">erenler pide 12- k6</t>
  </si>
  <si>
    <t xml:space="preserve">erenler pide 12- k7</t>
  </si>
  <si>
    <t xml:space="preserve">erenler pide 12- k8</t>
  </si>
  <si>
    <t xml:space="preserve">erenler pide 12- k9</t>
  </si>
  <si>
    <t xml:space="preserve">yunus market</t>
  </si>
  <si>
    <t xml:space="preserve">kuruymş</t>
  </si>
  <si>
    <t xml:space="preserve">erenler pide 12- k10</t>
  </si>
  <si>
    <t xml:space="preserve">erenler pide 12- k11</t>
  </si>
  <si>
    <t xml:space="preserve">erenler pide 12- k12</t>
  </si>
  <si>
    <t xml:space="preserve">erenler pide 12- k13</t>
  </si>
  <si>
    <t xml:space="preserve">2022 Ocak  Devir</t>
  </si>
  <si>
    <t xml:space="preserve">Ocak çıkışı</t>
  </si>
  <si>
    <t xml:space="preserve">TPL</t>
  </si>
  <si>
    <t xml:space="preserve">ls</t>
  </si>
  <si>
    <t xml:space="preserve">Haziran</t>
  </si>
  <si>
    <t xml:space="preserve">Temmuz</t>
  </si>
  <si>
    <t xml:space="preserve">Ağustos</t>
  </si>
  <si>
    <t xml:space="preserve">- ARALIK 2022</t>
  </si>
  <si>
    <t xml:space="preserve">5847500300 /CK ÇEPESAŞ/FATURA</t>
  </si>
  <si>
    <t xml:space="preserve">8222520300 /CK ÇEPESAŞ/FATURA</t>
  </si>
  <si>
    <t xml:space="preserve">Adem Özen Kira Ödemesi 7/12</t>
  </si>
  <si>
    <t xml:space="preserve">MarRyl Aidat 7/12</t>
  </si>
  <si>
    <t xml:space="preserve">SALİH ANT</t>
  </si>
  <si>
    <t xml:space="preserve">Cihan Elektrik Teminat 1200 – 3/6</t>
  </si>
  <si>
    <t xml:space="preserve">Metin Elektrik Teminat 1200 – 4/6</t>
  </si>
  <si>
    <t xml:space="preserve">9522138254 /CK ÇEPESAŞ/FATURA</t>
  </si>
  <si>
    <t xml:space="preserve">ikea masa 3/6</t>
  </si>
  <si>
    <t xml:space="preserve">koçtaş pervane 3/6</t>
  </si>
  <si>
    <t xml:space="preserve">özcan et</t>
  </si>
  <si>
    <t xml:space="preserve">erenler gıda pide mlzm 11- işkk 1</t>
  </si>
  <si>
    <t xml:space="preserve">mersin rav4 gaz</t>
  </si>
  <si>
    <t xml:space="preserve">peri diş 1/9</t>
  </si>
  <si>
    <t xml:space="preserve">pervinden havale  1/9</t>
  </si>
  <si>
    <t xml:space="preserve">lc kot – elçilik vatandaşlık</t>
  </si>
  <si>
    <t xml:space="preserve">hd isk</t>
  </si>
  <si>
    <t xml:space="preserve">Koçtaş 60*60 led</t>
  </si>
  <si>
    <t xml:space="preserve">KKTC vatandaşlık harcı</t>
  </si>
  <si>
    <t xml:space="preserve">erenler gıda pide mlzm 11- işkk2</t>
  </si>
  <si>
    <t xml:space="preserve">snyB alçıpan</t>
  </si>
  <si>
    <t xml:space="preserve">erenler gıda pide mlzm 11- işkk3</t>
  </si>
  <si>
    <t xml:space="preserve">Vodafon 2240</t>
  </si>
  <si>
    <t xml:space="preserve">atasun gözlük 1/3</t>
  </si>
  <si>
    <t xml:space="preserve">4876 KK                       7945,34</t>
  </si>
  <si>
    <t xml:space="preserve">pervine iş ten havale</t>
  </si>
  <si>
    <t xml:space="preserve">800004222954 doğalgaz</t>
  </si>
  <si>
    <t xml:space="preserve">800004222959 doğalgaz</t>
  </si>
  <si>
    <t xml:space="preserve">8758480300 elektrik bahçe</t>
  </si>
  <si>
    <t xml:space="preserve">pervinden havale  2/9</t>
  </si>
  <si>
    <t xml:space="preserve">selanik pide et 12- nkt 1</t>
  </si>
  <si>
    <t xml:space="preserve">nk</t>
  </si>
  <si>
    <t xml:space="preserve">selanik pide  12- nkt 2</t>
  </si>
  <si>
    <t xml:space="preserve">marmara royal doğalgaz</t>
  </si>
  <si>
    <t xml:space="preserve">bn</t>
  </si>
  <si>
    <t xml:space="preserve">merdal kipel ihtarname avukat emrullah</t>
  </si>
  <si>
    <t xml:space="preserve">Doğuş Kira 5/12-2023-24– 30-12-22</t>
  </si>
  <si>
    <t xml:space="preserve">snyG Metin ÇELİK 4/8</t>
  </si>
  <si>
    <t xml:space="preserve">Tuzgümrüğü salih kaymak ocak şubat kira bedeli bankadan</t>
  </si>
  <si>
    <t xml:space="preserve">motorcu cihan teminat bedeli ( 10-11 ay 12 ay ½ – işçilikten tahsilat )</t>
  </si>
  <si>
    <t xml:space="preserve">Motorcu cihan rav4 yağ-filtre-amortsr işçilik için ödenen</t>
  </si>
  <si>
    <t xml:space="preserve">-----------------------------------------------------</t>
  </si>
  <si>
    <t xml:space="preserve">Cihan Elektrik Teminat 1200 – 2/6</t>
  </si>
  <si>
    <t xml:space="preserve">işçilik</t>
  </si>
  <si>
    <t xml:space="preserve">Cihan Elektrik Teminat 1200 – 1/6</t>
  </si>
  <si>
    <t xml:space="preserve">aylık kira bedeli</t>
  </si>
  <si>
    <t xml:space="preserve">- KASIM 2022</t>
  </si>
  <si>
    <t xml:space="preserve">Metin Elektrik Teminat 1200 – 3/6</t>
  </si>
  <si>
    <t xml:space="preserve">SnyB Kapora ANT salih</t>
  </si>
  <si>
    <t xml:space="preserve">pervin dil kursu havale</t>
  </si>
  <si>
    <t xml:space="preserve">pervinden gelen</t>
  </si>
  <si>
    <t xml:space="preserve">Adem Özen Kira Ödemesi 6/12</t>
  </si>
  <si>
    <t xml:space="preserve">MarRyl Aidat 6/12</t>
  </si>
  <si>
    <t xml:space="preserve">Mtv 3/3</t>
  </si>
  <si>
    <t xml:space="preserve">koçtaş dolap 2/2</t>
  </si>
  <si>
    <t xml:space="preserve">ikea masa 2/6</t>
  </si>
  <si>
    <t xml:space="preserve">koçtaş pervane 2/6</t>
  </si>
  <si>
    <t xml:space="preserve">amazon obd2-çamurluk</t>
  </si>
  <si>
    <t xml:space="preserve"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</si>
  <si>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 val="true"/>
        <sz val="10"/>
        <color rgb="FF000000"/>
        <rFont val="F"/>
        <family val="0"/>
        <charset val="2"/>
      </rPr>
      <t xml:space="preserve">-2.528,32</t>
    </r>
  </si>
  <si>
    <t xml:space="preserve">954 /TOKATAMASY/FATURA</t>
  </si>
  <si>
    <t xml:space="preserve">959 /TOKATAMASY/FATURA</t>
  </si>
  <si>
    <t xml:space="preserve">erenler gıda pide mlzm 11- nkt 1</t>
  </si>
  <si>
    <t xml:space="preserve">erenler gıda pide mlzm 11- nkt 2</t>
  </si>
  <si>
    <t xml:space="preserve">erenler gıda pide mlzm 11- nkt 3</t>
  </si>
  <si>
    <t xml:space="preserve">Doğuş Kira 4/12-2023-24– 30-11-22</t>
  </si>
  <si>
    <t xml:space="preserve">snyG Metin ÇELİK 3/8</t>
  </si>
  <si>
    <t xml:space="preserve">Hurdacı Kira ++++++++++++++++++</t>
  </si>
  <si>
    <t xml:space="preserve">Yıkamacı Kira ++10, ayda alındı+++</t>
  </si>
  <si>
    <t xml:space="preserve">SnyB Salih ANT 10-12-2022 de ödenecekti</t>
  </si>
  <si>
    <t xml:space="preserve">---------------------------------------------------</t>
  </si>
  <si>
    <t xml:space="preserve">SnyF-Kynkçı Merdal 11/12-2022</t>
  </si>
  <si>
    <t xml:space="preserve">SnyF-Kynkçı Merdal 10/12-2022</t>
  </si>
  <si>
    <t xml:space="preserve">- EKİM 2022</t>
  </si>
  <si>
    <t xml:space="preserve">Doğuş Kira 2/12-2023-24– 30-09-22 kendi getirdi</t>
  </si>
  <si>
    <t xml:space="preserve">8758480300 ck bahçe</t>
  </si>
  <si>
    <t xml:space="preserve">Adem Özen Kira Ödemesi 5/12</t>
  </si>
  <si>
    <t xml:space="preserve">MarRyl Aidat 5/12</t>
  </si>
  <si>
    <t xml:space="preserve">Mtv 2/3</t>
  </si>
  <si>
    <t xml:space="preserve">toyota gaz tokat</t>
  </si>
  <si>
    <t xml:space="preserve">toyota gaz tosya</t>
  </si>
  <si>
    <t xml:space="preserve">toyota benzin bolu</t>
  </si>
  <si>
    <t xml:space="preserve">bolu yemek hanzade</t>
  </si>
  <si>
    <t xml:space="preserve">toyota gaz bolu</t>
  </si>
  <si>
    <t xml:space="preserve">toyota gaz istanbul</t>
  </si>
  <si>
    <t xml:space="preserve">ikea  </t>
  </si>
  <si>
    <t xml:space="preserve">ikea masa 1/6</t>
  </si>
  <si>
    <t xml:space="preserve">koçtaş dolap ½</t>
  </si>
  <si>
    <t xml:space="preserve">toyota benzin 300 + gaz</t>
  </si>
  <si>
    <t xml:space="preserve">bayramoğlu toyota buji</t>
  </si>
  <si>
    <t xml:space="preserve">bayramoğlu toyota rotil</t>
  </si>
  <si>
    <t xml:space="preserve">hummel ayakkabı 4 adet</t>
  </si>
  <si>
    <t xml:space="preserve">tavuk dünyası</t>
  </si>
  <si>
    <t xml:space="preserve">koçtaş pervane 1/6</t>
  </si>
  <si>
    <t xml:space="preserve">bolu yemek</t>
  </si>
  <si>
    <t xml:space="preserve">pirinç</t>
  </si>
  <si>
    <t xml:space="preserve">osmancık yolcu leblebi pirinç</t>
  </si>
  <si>
    <t xml:space="preserve">toyota benzin turhal</t>
  </si>
  <si>
    <t xml:space="preserve">toyota gaz şenyurt</t>
  </si>
  <si>
    <t xml:space="preserve">toyota şanz yağı 3 lt</t>
  </si>
  <si>
    <t xml:space="preserve">alçıpan</t>
  </si>
  <si>
    <t xml:space="preserve">4876 KK 9324,32</t>
  </si>
  <si>
    <t xml:space="preserve">snyA kira bedeli +++++++++++++++</t>
  </si>
  <si>
    <t xml:space="preserve">SnyA 42000 yıllık Ayhan Tüfek</t>
  </si>
  <si>
    <t xml:space="preserve">snyA banka havale</t>
  </si>
  <si>
    <t xml:space="preserve">snyA nakit</t>
  </si>
  <si>
    <t xml:space="preserve">snyA fehmi arat geri ödemesi</t>
  </si>
  <si>
    <t xml:space="preserve">0000383215 /TOKATAMASY/FATURA</t>
  </si>
  <si>
    <t xml:space="preserve">800004222959 /TOKATAMASY/FATURA</t>
  </si>
  <si>
    <t xml:space="preserve">Doğuş Kira 3/12-2023-24– 30-10-22</t>
  </si>
  <si>
    <t xml:space="preserve">snyG Metin ÇELİK 2/8</t>
  </si>
  <si>
    <t xml:space="preserve">Ayşe Balcı kira hesabı Bakiye ödemesi</t>
  </si>
  <si>
    <t xml:space="preserve">Lise arkası toplam 95000/ 4 = 23,750</t>
  </si>
  <si>
    <t xml:space="preserve">Lise Arkası Kira ++++++++++++++++</t>
  </si>
  <si>
    <t xml:space="preserve">selanik hesabına aktarılan</t>
  </si>
  <si>
    <t xml:space="preserve">- EYLÜL 2022</t>
  </si>
  <si>
    <t xml:space="preserve">Merdal Elektrik</t>
  </si>
  <si>
    <t xml:space="preserve">nakit istanbul</t>
  </si>
  <si>
    <t xml:space="preserve">Adem Özen Kira Ödemesi 4/12</t>
  </si>
  <si>
    <t xml:space="preserve">MarRyl Aidat 4/12</t>
  </si>
  <si>
    <t xml:space="preserve">000374398 /TOKATAMASY/FATURA</t>
  </si>
  <si>
    <t xml:space="preserve">amazon 240gbWd ssd-braun-64gb 6/6</t>
  </si>
  <si>
    <t xml:space="preserve">toyota trafik cezası</t>
  </si>
  <si>
    <t xml:space="preserve">mtv taksit 1/3</t>
  </si>
  <si>
    <t xml:space="preserve">ağaoğlu tokat-mersin benzin</t>
  </si>
  <si>
    <t xml:space="preserve">akgünler deniz otobüs bileti girne -taşucu</t>
  </si>
  <si>
    <t xml:space="preserve">toros benzin taşucu-tokat</t>
  </si>
  <si>
    <t xml:space="preserve">4876 KK</t>
  </si>
  <si>
    <t xml:space="preserve">Carraro 327 bisiklet</t>
  </si>
  <si>
    <t xml:space="preserve">bh</t>
  </si>
  <si>
    <t xml:space="preserve">umut okul</t>
  </si>
  <si>
    <t xml:space="preserve">genel</t>
  </si>
  <si>
    <t xml:space="preserve">snyG Metin ÇELİK 1/8</t>
  </si>
  <si>
    <t xml:space="preserve">Motorcu Emre Kira – 1-8-2022 kira sonu</t>
  </si>
  <si>
    <t xml:space="preserve">Doğuş Kira 2/12-2023-24– 30-09-22</t>
  </si>
  <si>
    <t xml:space="preserve">- AĞUSTOS 2022</t>
  </si>
  <si>
    <t xml:space="preserve">Emre Elektrik</t>
  </si>
  <si>
    <t xml:space="preserve">8758480300 /CK ÇEPESAŞ/FATURA</t>
  </si>
  <si>
    <t xml:space="preserve">Adem Özen Kira Ödemesi 3/12</t>
  </si>
  <si>
    <t xml:space="preserve">MarRyl Aidat 3/12</t>
  </si>
  <si>
    <t xml:space="preserve">amazon 240gbWd ssd-braun-64gb 5/6</t>
  </si>
  <si>
    <t xml:space="preserve">decathlon ayakkabı</t>
  </si>
  <si>
    <t xml:space="preserve">yasemin ehliyet</t>
  </si>
  <si>
    <t xml:space="preserve">kıbrıs deniz otobüs bileti 2 kişi</t>
  </si>
  <si>
    <t xml:space="preserve">kıbrıs genel masraf</t>
  </si>
  <si>
    <t xml:space="preserve">kıbrıs dönüş otobüs bileti</t>
  </si>
  <si>
    <t xml:space="preserve">100 euro iş 1,87216*100</t>
  </si>
  <si>
    <t xml:space="preserve">euro alış kmv</t>
  </si>
  <si>
    <t xml:space="preserve">audi buji iridyum 4 ad</t>
  </si>
  <si>
    <t xml:space="preserve">Audi 1. göz ateşleme bobini</t>
  </si>
  <si>
    <t xml:space="preserve">audi işçilik</t>
  </si>
  <si>
    <t xml:space="preserve">forklift mazot</t>
  </si>
  <si>
    <t xml:space="preserve">Bisiklet 327</t>
  </si>
  <si>
    <t xml:space="preserve">SnyE Cihan ÇAM Kira 45000</t>
  </si>
  <si>
    <t xml:space="preserve">SnyE Cihan ÇAM Kira ödemesi</t>
  </si>
  <si>
    <t xml:space="preserve">snyE Emre Aktaş kira geri ödemesi</t>
  </si>
  <si>
    <t xml:space="preserve">snyG Metin ÇELİK 31-9-22 – 23</t>
  </si>
  <si>
    <t xml:space="preserve">40000 + (8 x 1000) = 48000 TL</t>
  </si>
  <si>
    <t xml:space="preserve">Doğuş Kira 1/12-2023-24 – 30-08-22</t>
  </si>
  <si>
    <t xml:space="preserve">GEÇEN AYLARDAN BAKİYE</t>
  </si>
  <si>
    <t xml:space="preserve">Doğuş Kira 11/12-2022-23 kalan bakiye</t>
  </si>
  <si>
    <t xml:space="preserve">Doğuş Kira 12/12-2022-23 BANKADAN</t>
  </si>
  <si>
    <t xml:space="preserve">BH</t>
  </si>
  <si>
    <t xml:space="preserve">SnyF-Kynkçı Merdal elektrik haziran</t>
  </si>
  <si>
    <t xml:space="preserve">- TEMMUZ 2022</t>
  </si>
  <si>
    <t xml:space="preserve">ziraat pervine havale kredi için</t>
  </si>
  <si>
    <t xml:space="preserve">aliden gelen kredi için</t>
  </si>
  <si>
    <t xml:space="preserve">heft ücreti</t>
  </si>
  <si>
    <t xml:space="preserve">Adem Özen Kira Ödemesi 2/12</t>
  </si>
  <si>
    <t xml:space="preserve">MarRyl Aidat 2/12</t>
  </si>
  <si>
    <t xml:space="preserve">amazon 240gbWd ssd-braun-64gb 4/6</t>
  </si>
  <si>
    <t xml:space="preserve">topçam</t>
  </si>
  <si>
    <t xml:space="preserve">ayakkabı dechatlon ½</t>
  </si>
  <si>
    <t xml:space="preserve">kamil bebek</t>
  </si>
  <si>
    <t xml:space="preserve">topçam eskişehir tokat</t>
  </si>
  <si>
    <t xml:space="preserve">tokat avm</t>
  </si>
  <si>
    <t xml:space="preserve">sen yıl petrol</t>
  </si>
  <si>
    <t xml:space="preserve">a101 merdiven</t>
  </si>
  <si>
    <t xml:space="preserve">merdiven alüminyum motorcu ibo iade</t>
  </si>
  <si>
    <t xml:space="preserve">deniz otobüsü bileti</t>
  </si>
  <si>
    <t xml:space="preserve">maaş bayramlık</t>
  </si>
  <si>
    <t xml:space="preserve">Tuzgümrüğü kira mahmut</t>
  </si>
  <si>
    <r>
      <rPr>
        <sz val="10"/>
        <color rgb="FF000000"/>
        <rFont val="Liberation Sans1"/>
        <family val="0"/>
        <charset val="162"/>
      </rPr>
      <t xml:space="preserve">Doğuş Kira 11/12-2022-23 </t>
    </r>
    <r>
      <rPr>
        <sz val="10"/>
        <color rgb="FFC9211E"/>
        <rFont val="F"/>
        <family val="0"/>
        <charset val="2"/>
      </rPr>
      <t xml:space="preserve">BANKADAN</t>
    </r>
  </si>
  <si>
    <t xml:space="preserve">Doğuş Kira 12/12-2022-23</t>
  </si>
  <si>
    <t xml:space="preserve">SnyF-Kynkçı Merdal elektrik</t>
  </si>
  <si>
    <t xml:space="preserve">- HAZİRAN 2022</t>
  </si>
  <si>
    <t xml:space="preserve">Mesut Elektrik</t>
  </si>
  <si>
    <t xml:space="preserve">Yasemin İstanbul Kira</t>
  </si>
  <si>
    <t xml:space="preserve">Marmara Royal anadolu inş. Komisyon</t>
  </si>
  <si>
    <t xml:space="preserve">MarRyl anadolu inş. Komisyon 5070 TL</t>
  </si>
  <si>
    <t xml:space="preserve">NK</t>
  </si>
  <si>
    <t xml:space="preserve">Adem Özen depozit 8, 600</t>
  </si>
  <si>
    <t xml:space="preserve">Adem Özen kira 1/12 4, 300</t>
  </si>
  <si>
    <t xml:space="preserve">MarRyl aidat (7 gün) - 100</t>
  </si>
  <si>
    <t xml:space="preserve">Adem Özen Kira 1/12 + Depozit – Aidat</t>
  </si>
  <si>
    <t xml:space="preserve">MarRyl aidat</t>
  </si>
  <si>
    <t xml:space="preserve">amazon 240gbWd ssd-braun-64gb 3/6</t>
  </si>
  <si>
    <t xml:space="preserve">benzin   </t>
  </si>
  <si>
    <t xml:space="preserve">migros şimşek yem</t>
  </si>
  <si>
    <t xml:space="preserve">fide bahçe</t>
  </si>
  <si>
    <t xml:space="preserve">Benzin + gaz</t>
  </si>
  <si>
    <t xml:space="preserve">8758480300 çepesaş</t>
  </si>
  <si>
    <t xml:space="preserve">Genel Masraf + istatnbul</t>
  </si>
  <si>
    <t xml:space="preserve">Tuzgümrüğü kira salihten</t>
  </si>
  <si>
    <t xml:space="preserve">Doğuş Kira 11/12-2022-23</t>
  </si>
  <si>
    <t xml:space="preserve">Ali Paşa Kira ++++++++++++++++++</t>
  </si>
  <si>
    <t xml:space="preserve">SnyF-Kynkçı Merdal 9/12-2022</t>
  </si>
  <si>
    <t xml:space="preserve">tüfe</t>
  </si>
  <si>
    <t xml:space="preserve">- MAYIS 2022</t>
  </si>
  <si>
    <t xml:space="preserve">Emre Elektrik 200 kalan teminat</t>
  </si>
  <si>
    <t xml:space="preserve">erenler gıda</t>
  </si>
  <si>
    <t xml:space="preserve">bahçe su parası</t>
  </si>
  <si>
    <t xml:space="preserve">amazon 240gbWd ssd-braun-64gb 2/6</t>
  </si>
  <si>
    <t xml:space="preserve">Doğuş Kira 10/12-2022-23</t>
  </si>
  <si>
    <t xml:space="preserve">- NİSAN 2022</t>
  </si>
  <si>
    <t xml:space="preserve">06 yb 1397 2. taksit</t>
  </si>
  <si>
    <t xml:space="preserve">HAS KOMP ÇORUM</t>
  </si>
  <si>
    <t xml:space="preserve">yıllık kk ücreti</t>
  </si>
  <si>
    <t xml:space="preserve">yıllık kk ücreti bsmv</t>
  </si>
  <si>
    <t xml:space="preserve">amazon 240gbWd ssd-braun-64gb 1/6</t>
  </si>
  <si>
    <t xml:space="preserve">gib gov tr kira damga v.</t>
  </si>
  <si>
    <t xml:space="preserve">yasemin umut bayramlık</t>
  </si>
  <si>
    <t xml:space="preserve">işbank promosyon ödemesi</t>
  </si>
  <si>
    <t xml:space="preserve">Tuzgümrüğü kira +++++++++++++</t>
  </si>
  <si>
    <t xml:space="preserve">Doğuş Kira 9/12-2022-23    +2000</t>
  </si>
  <si>
    <t xml:space="preserve">SnyF-Kynkçı Merdal 8/12-2022</t>
  </si>
  <si>
    <t xml:space="preserve">Motorcu Mesut Kira ++++ 21-5-2022 Boşalttı</t>
  </si>
  <si>
    <t xml:space="preserve">- MART 2022</t>
  </si>
  <si>
    <t xml:space="preserve">N</t>
  </si>
  <si>
    <t xml:space="preserve">B</t>
  </si>
  <si>
    <t xml:space="preserve">vodafone</t>
  </si>
  <si>
    <t xml:space="preserve">daü yasemin 21-22  bahar okul ücreti</t>
  </si>
  <si>
    <t xml:space="preserve">06 yb 1397 1. taksit</t>
  </si>
  <si>
    <t xml:space="preserve">Umut-yasemin ramazan için</t>
  </si>
  <si>
    <t xml:space="preserve">Doğuş Kira 8/12-2022-23</t>
  </si>
  <si>
    <t xml:space="preserve">SnyF-Kynkçı Merdal 1-7/12-2022</t>
  </si>
  <si>
    <t xml:space="preserve">48000 TL-28000 7 aylık peşin</t>
  </si>
  <si>
    <t xml:space="preserve">Aylık 4000</t>
  </si>
  <si>
    <t xml:space="preserve">- ŞUBAT 2022</t>
  </si>
  <si>
    <t xml:space="preserve">balmer bilgisayar</t>
  </si>
  <si>
    <t xml:space="preserve">banggood lcd controller</t>
  </si>
  <si>
    <t xml:space="preserve">Yasemin 2021-2022 bahar KK</t>
  </si>
  <si>
    <t xml:space="preserve">KK</t>
  </si>
  <si>
    <t xml:space="preserve">Umut 2021-2022 bahar havale</t>
  </si>
  <si>
    <r>
      <rPr>
        <sz val="10"/>
        <color rgb="FF000000"/>
        <rFont val="Liberation Sans1"/>
        <family val="0"/>
        <charset val="162"/>
      </rPr>
      <t xml:space="preserve">Tuzgümrüğü kira </t>
    </r>
    <r>
      <rPr>
        <b val="true"/>
        <sz val="10"/>
        <color rgb="FF000000"/>
        <rFont val="F"/>
        <family val="0"/>
        <charset val="2"/>
      </rPr>
      <t xml:space="preserve">banka havalesi</t>
    </r>
  </si>
  <si>
    <t xml:space="preserve">Doğuş Kira +++++++++++++++++</t>
  </si>
  <si>
    <t xml:space="preserve">- OCAK 2022</t>
  </si>
  <si>
    <t xml:space="preserve">31-12-2021 İşbank</t>
  </si>
  <si>
    <t xml:space="preserve">Doğuş Kira</t>
  </si>
  <si>
    <t xml:space="preserve">2022 işlenecek dosyalar</t>
  </si>
  <si>
    <t xml:space="preserve">Dursun Durmuş İcra</t>
  </si>
  <si>
    <t xml:space="preserve">kira</t>
  </si>
  <si>
    <t xml:space="preserve">/media/m/depo_ssd/aa/hes2020/kira/sozlesmeler/2_sanayi/Sanayi_G_300m2_mermer/Sanayi_2_275m2_kaportacı/HSP dursun .ods</t>
  </si>
  <si>
    <t xml:space="preserve">ÇEPESAŞ hesap</t>
  </si>
  <si>
    <t xml:space="preserve">account</t>
  </si>
  <si>
    <t xml:space="preserve">/media/m/438C5BC92CEF8C4E/deeppoo_pc/aa/hes2020/Account/2022/2022 cepesas/2022 çedaş hesabı.ods</t>
  </si>
  <si>
    <t xml:space="preserve">SU SAYAC hesap</t>
  </si>
  <si>
    <t xml:space="preserve">/media/m/438C5BC92CEF8C4E/deeppoo_pc/aa/hes2020/Account/2022/2022 cepesas/2022 susayac hesabı.ods</t>
  </si>
</sst>
</file>

<file path=xl/styles.xml><?xml version="1.0" encoding="utf-8"?>
<styleSheet xmlns="http://schemas.openxmlformats.org/spreadsheetml/2006/main">
  <numFmts count="31">
    <numFmt numFmtId="164" formatCode="0.00;[RED]0.00"/>
    <numFmt numFmtId="165" formatCode="General"/>
    <numFmt numFmtId="166" formatCode="dd\.mm\.yy;@"/>
    <numFmt numFmtId="167" formatCode="#,##0.00"/>
    <numFmt numFmtId="168" formatCode="#,##0.00\ _T_L;[RED]\-#,##0.00\ _T_L"/>
    <numFmt numFmtId="169" formatCode="%0"/>
    <numFmt numFmtId="170" formatCode="#,##0.00_ ;[RED]\-#,##0.00\ "/>
    <numFmt numFmtId="171" formatCode="General"/>
    <numFmt numFmtId="172" formatCode="0"/>
    <numFmt numFmtId="173" formatCode="#,##0"/>
    <numFmt numFmtId="174" formatCode="&quot;Tpl / &quot;General"/>
    <numFmt numFmtId="175" formatCode="mmm/yy"/>
    <numFmt numFmtId="176" formatCode="0.0000%"/>
    <numFmt numFmtId="177" formatCode="%0.0000"/>
    <numFmt numFmtId="178" formatCode="%0.00"/>
    <numFmt numFmtId="179" formatCode="0.00_ ;[RED]\-0.00\ "/>
    <numFmt numFmtId="180" formatCode="d\.mmm"/>
    <numFmt numFmtId="181" formatCode="dd/mmm"/>
    <numFmt numFmtId="182" formatCode="dd\.mm\.yyyy"/>
    <numFmt numFmtId="183" formatCode="dd/mm/yyyy"/>
    <numFmt numFmtId="184" formatCode="dd/mm/yy;@"/>
    <numFmt numFmtId="185" formatCode="[$₺-41F]#,##0.00;[RED]\-[$₺-41F]#,##0.00"/>
    <numFmt numFmtId="186" formatCode="#,##0.000000"/>
    <numFmt numFmtId="187" formatCode="#,##0.0000"/>
    <numFmt numFmtId="188" formatCode="_-* #,##0.00_-;\-* #,##0.00_-;_-* \-??_-;_-@_-"/>
    <numFmt numFmtId="189" formatCode="#,##0.00;[RED]#,##0.00"/>
    <numFmt numFmtId="190" formatCode="d\.mm\.yyyy"/>
    <numFmt numFmtId="191" formatCode="#,##0.00\ ;[RED]\-#,##0.00\ "/>
    <numFmt numFmtId="192" formatCode="#,##0.000"/>
    <numFmt numFmtId="193" formatCode="0_ ;[RED]\-0\ "/>
    <numFmt numFmtId="194" formatCode="#,##0.000000000;[RED]\-#,##0.000000000"/>
  </numFmts>
  <fonts count="48">
    <font>
      <sz val="10"/>
      <color rgb="FF000000"/>
      <name val="Liberation Sans1"/>
      <family val="0"/>
      <charset val="16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Liberation Sans1"/>
      <family val="0"/>
      <charset val="162"/>
    </font>
    <font>
      <b val="true"/>
      <sz val="10"/>
      <color rgb="FF000000"/>
      <name val="Liberation Sans1"/>
      <family val="0"/>
      <charset val="162"/>
    </font>
    <font>
      <sz val="10"/>
      <color rgb="FFCC0000"/>
      <name val="Liberation Sans1"/>
      <family val="0"/>
      <charset val="162"/>
    </font>
    <font>
      <b val="true"/>
      <sz val="10"/>
      <color rgb="FFFFFFFF"/>
      <name val="Liberation Sans1"/>
      <family val="0"/>
      <charset val="162"/>
    </font>
    <font>
      <i val="true"/>
      <sz val="10"/>
      <color rgb="FF808080"/>
      <name val="Liberation Sans1"/>
      <family val="0"/>
      <charset val="162"/>
    </font>
    <font>
      <sz val="10"/>
      <color rgb="FF006600"/>
      <name val="Liberation Sans1"/>
      <family val="0"/>
      <charset val="162"/>
    </font>
    <font>
      <sz val="18"/>
      <color rgb="FF000000"/>
      <name val="Liberation Sans1"/>
      <family val="0"/>
      <charset val="162"/>
    </font>
    <font>
      <b val="true"/>
      <sz val="24"/>
      <color rgb="FF000000"/>
      <name val="Liberation Sans1"/>
      <family val="0"/>
      <charset val="162"/>
    </font>
    <font>
      <sz val="12"/>
      <color rgb="FF000000"/>
      <name val="Liberation Sans1"/>
      <family val="0"/>
      <charset val="162"/>
    </font>
    <font>
      <u val="single"/>
      <sz val="10"/>
      <color rgb="FF0000EE"/>
      <name val="Liberation Sans1"/>
      <family val="0"/>
      <charset val="162"/>
    </font>
    <font>
      <sz val="10"/>
      <color rgb="FF996600"/>
      <name val="Liberation Sans1"/>
      <family val="0"/>
      <charset val="162"/>
    </font>
    <font>
      <sz val="10"/>
      <color rgb="FF333333"/>
      <name val="Liberation Sans1"/>
      <family val="0"/>
      <charset val="162"/>
    </font>
    <font>
      <b val="true"/>
      <i val="true"/>
      <u val="single"/>
      <sz val="10"/>
      <color rgb="FF000000"/>
      <name val="Liberation Sans1"/>
      <family val="0"/>
      <charset val="162"/>
    </font>
    <font>
      <b val="true"/>
      <u val="single"/>
      <sz val="10"/>
      <color rgb="FF000000"/>
      <name val="Liberation Sans1"/>
      <family val="0"/>
      <charset val="162"/>
    </font>
    <font>
      <b val="true"/>
      <sz val="12"/>
      <color rgb="FF000000"/>
      <name val="Liberation Sans1"/>
      <family val="0"/>
      <charset val="162"/>
    </font>
    <font>
      <u val="single"/>
      <sz val="10"/>
      <color rgb="FF000000"/>
      <name val="Liberation Sans1"/>
      <family val="0"/>
      <charset val="162"/>
    </font>
    <font>
      <sz val="8"/>
      <color rgb="FF000000"/>
      <name val="Liberation Sans1"/>
      <family val="0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family val="0"/>
      <charset val="162"/>
    </font>
    <font>
      <i val="true"/>
      <u val="single"/>
      <sz val="10"/>
      <color rgb="FF000000"/>
      <name val="Arial"/>
      <family val="2"/>
      <charset val="162"/>
    </font>
    <font>
      <b val="true"/>
      <sz val="10"/>
      <color rgb="FF000000"/>
      <name val="Arial"/>
      <family val="2"/>
      <charset val="162"/>
    </font>
    <font>
      <b val="true"/>
      <i val="true"/>
      <u val="single"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 val="true"/>
      <u val="single"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family val="0"/>
      <charset val="162"/>
    </font>
    <font>
      <b val="true"/>
      <sz val="10"/>
      <color rgb="FFFF0000"/>
      <name val="Liberation Sans1"/>
      <family val="0"/>
      <charset val="162"/>
    </font>
    <font>
      <b val="true"/>
      <sz val="8"/>
      <color rgb="FF000000"/>
      <name val="Liberation Sans1"/>
      <family val="0"/>
      <charset val="162"/>
    </font>
    <font>
      <sz val="10"/>
      <color rgb="FFFF0000"/>
      <name val="Arial"/>
      <family val="2"/>
      <charset val="162"/>
    </font>
    <font>
      <b val="true"/>
      <u val="single"/>
      <sz val="12"/>
      <color rgb="FF000000"/>
      <name val="Liberation Sans1"/>
      <family val="0"/>
      <charset val="162"/>
    </font>
    <font>
      <b val="true"/>
      <sz val="11"/>
      <color rgb="FF000000"/>
      <name val="Liberation Sans1"/>
      <family val="0"/>
      <charset val="162"/>
    </font>
    <font>
      <b val="true"/>
      <sz val="9"/>
      <color rgb="FF000000"/>
      <name val="Liberation Sans1"/>
      <family val="0"/>
      <charset val="162"/>
    </font>
    <font>
      <b val="true"/>
      <i val="true"/>
      <u val="single"/>
      <sz val="11"/>
      <color rgb="FFFF0000"/>
      <name val="Liberation Sans1"/>
      <family val="0"/>
      <charset val="162"/>
    </font>
    <font>
      <b val="true"/>
      <i val="true"/>
      <u val="single"/>
      <sz val="11"/>
      <color rgb="FF000000"/>
      <name val="Liberation Sans1"/>
      <family val="0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 val="true"/>
      <sz val="10"/>
      <color rgb="FF000000"/>
      <name val="F"/>
      <family val="0"/>
      <charset val="2"/>
    </font>
    <font>
      <sz val="10"/>
      <color rgb="FF000000"/>
      <name val="F"/>
      <family val="0"/>
      <charset val="2"/>
    </font>
    <font>
      <b val="true"/>
      <sz val="10"/>
      <color rgb="FFC9211E"/>
      <name val="Liberation Sans1"/>
      <family val="0"/>
      <charset val="162"/>
    </font>
    <font>
      <b val="true"/>
      <sz val="10"/>
      <color rgb="FFC9211E"/>
      <name val="Arial"/>
      <family val="2"/>
      <charset val="162"/>
    </font>
    <font>
      <sz val="10"/>
      <color rgb="FFC9211E"/>
      <name val="F"/>
      <family val="0"/>
      <charset val="2"/>
    </font>
    <font>
      <sz val="10"/>
      <color rgb="FF000000"/>
      <name val="Arial1"/>
      <family val="0"/>
      <charset val="162"/>
    </font>
    <font>
      <u val="single"/>
      <sz val="10"/>
      <color rgb="FF000000"/>
      <name val="Arial"/>
      <family val="2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9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9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34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41"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88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4" fillId="2" borderId="0" applyFont="true" applyBorder="false" applyAlignment="true" applyProtection="false">
      <alignment horizontal="general" vertical="bottom" textRotation="0" wrapText="false" indent="0" shrinkToFit="false"/>
    </xf>
    <xf numFmtId="165" fontId="4" fillId="3" borderId="0" applyFont="true" applyBorder="false" applyAlignment="true" applyProtection="false">
      <alignment horizontal="general" vertical="bottom" textRotation="0" wrapText="false" indent="0" shrinkToFit="false"/>
    </xf>
    <xf numFmtId="165" fontId="5" fillId="4" borderId="0" applyFont="true" applyBorder="false" applyAlignment="true" applyProtection="false">
      <alignment horizontal="general" vertical="bottom" textRotation="0" wrapText="false" indent="0" shrinkToFit="false"/>
    </xf>
    <xf numFmtId="165" fontId="5" fillId="0" borderId="0" applyFont="true" applyBorder="false" applyAlignment="true" applyProtection="false">
      <alignment horizontal="general" vertical="bottom" textRotation="0" wrapText="false" indent="0" shrinkToFit="false"/>
    </xf>
    <xf numFmtId="165" fontId="6" fillId="5" borderId="0" applyFont="true" applyBorder="false" applyAlignment="true" applyProtection="false">
      <alignment horizontal="general" vertical="bottom" textRotation="0" wrapText="false" indent="0" shrinkToFit="false"/>
    </xf>
    <xf numFmtId="165" fontId="7" fillId="6" borderId="0" applyFont="true" applyBorder="false" applyAlignment="true" applyProtection="false">
      <alignment horizontal="general" vertical="bottom" textRotation="0" wrapText="false" indent="0" shrinkToFit="false"/>
    </xf>
    <xf numFmtId="165" fontId="8" fillId="0" borderId="0" applyFont="true" applyBorder="false" applyAlignment="true" applyProtection="false">
      <alignment horizontal="general" vertical="bottom" textRotation="0" wrapText="false" indent="0" shrinkToFit="false"/>
    </xf>
    <xf numFmtId="165" fontId="9" fillId="7" borderId="0" applyFont="true" applyBorder="false" applyAlignment="true" applyProtection="false">
      <alignment horizontal="general" vertical="bottom" textRotation="0" wrapText="false" indent="0" shrinkToFit="false"/>
    </xf>
    <xf numFmtId="165" fontId="10" fillId="0" borderId="0" applyFont="true" applyBorder="false" applyAlignment="true" applyProtection="false">
      <alignment horizontal="general" vertical="bottom" textRotation="0" wrapText="false" indent="0" shrinkToFit="false"/>
    </xf>
    <xf numFmtId="165" fontId="11" fillId="0" borderId="0" applyFont="true" applyBorder="false" applyAlignment="true" applyProtection="false">
      <alignment horizontal="general" vertical="bottom" textRotation="0" wrapText="false" indent="0" shrinkToFit="false"/>
    </xf>
    <xf numFmtId="165" fontId="12" fillId="0" borderId="0" applyFont="true" applyBorder="false" applyAlignment="true" applyProtection="false">
      <alignment horizontal="general" vertical="bottom" textRotation="0" wrapText="false" indent="0" shrinkToFit="false"/>
    </xf>
    <xf numFmtId="165" fontId="13" fillId="0" borderId="0" applyFont="true" applyBorder="false" applyAlignment="true" applyProtection="false">
      <alignment horizontal="general" vertical="bottom" textRotation="0" wrapText="false" indent="0" shrinkToFit="false"/>
    </xf>
    <xf numFmtId="165" fontId="14" fillId="8" borderId="0" applyFont="true" applyBorder="false" applyAlignment="true" applyProtection="false">
      <alignment horizontal="general" vertical="bottom" textRotation="0" wrapText="false" indent="0" shrinkToFit="false"/>
    </xf>
    <xf numFmtId="165" fontId="15" fillId="8" borderId="1" applyFont="true" applyBorder="true" applyAlignment="true" applyProtection="false">
      <alignment horizontal="general" vertical="bottom" textRotation="0" wrapText="false" indent="0" shrinkToFit="false"/>
    </xf>
    <xf numFmtId="165" fontId="16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6" fillId="0" borderId="0" applyFont="true" applyBorder="false" applyAlignment="true" applyProtection="false">
      <alignment horizontal="general" vertical="bottom" textRotation="0" wrapText="false" indent="0" shrinkToFit="false"/>
    </xf>
    <xf numFmtId="165" fontId="21" fillId="9" borderId="0" applyFont="true" applyBorder="false" applyAlignment="true" applyProtection="false">
      <alignment horizontal="general" vertical="bottom" textRotation="0" wrapText="false" indent="0" shrinkToFit="false"/>
    </xf>
    <xf numFmtId="165" fontId="22" fillId="10" borderId="0" applyFont="true" applyBorder="false" applyAlignment="true" applyProtection="false">
      <alignment horizontal="general" vertical="bottom" textRotation="0" wrapText="false" indent="0" shrinkToFit="false"/>
    </xf>
    <xf numFmtId="165" fontId="29" fillId="11" borderId="0" applyFont="true" applyBorder="false" applyAlignment="true" applyProtection="false">
      <alignment horizontal="general" vertical="bottom" textRotation="0" wrapText="false" indent="0" shrinkToFit="false"/>
    </xf>
  </cellStyleXfs>
  <cellXfs count="387"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8" fillId="1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9" fillId="1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9" fillId="1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9" fillId="13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9" fillId="13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9" fillId="14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0" fillId="15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0" fillId="1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13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0" fillId="15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16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1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0" fillId="1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1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14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0" fillId="15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6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16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15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6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0" fillId="16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6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1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1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9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19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1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1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1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4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0" fillId="15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0" fillId="16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0" fillId="16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6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0" fillId="16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6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1" fillId="9" borderId="0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7" fontId="0" fillId="0" borderId="0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21" fillId="9" borderId="0" xfId="38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7" fontId="23" fillId="10" borderId="0" xfId="3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23" fillId="10" borderId="0" xfId="3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8" fontId="0" fillId="0" borderId="0" xfId="19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0" fontId="0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5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9" fillId="11" borderId="0" xfId="4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5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5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36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7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7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5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5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5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5" fillId="0" borderId="2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5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1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9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9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0" fillId="0" borderId="0" xfId="15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89" fontId="31" fillId="0" borderId="0" xfId="15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2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7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27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2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0" fillId="2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5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9" fillId="0" borderId="0" xfId="4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85" fontId="0" fillId="2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5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2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0" fillId="2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5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7" fillId="2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1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2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2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7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0" fillId="2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0" fillId="2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20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16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1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17" borderId="2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1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25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13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24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4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19" borderId="2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1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19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1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0" fillId="2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0" fillId="15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0" fillId="15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5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5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2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36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6" fillId="0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2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37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38" fillId="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0" fillId="1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2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5" fillId="2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93" fontId="0" fillId="2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2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5" fillId="2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0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90" fontId="0" fillId="2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2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0" fillId="3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1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3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3" fontId="4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8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8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5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0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8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2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0" fillId="3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3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0" fillId="3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1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2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18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9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0" fillId="2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5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5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7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0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1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13" borderId="3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13" borderId="3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19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0" fillId="2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0" fillId="3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5" fillId="3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0" fillId="3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3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8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38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6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3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0" fillId="3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Error 9" xfId="25"/>
    <cellStyle name="Footnote 10" xfId="26"/>
    <cellStyle name="Good 11" xfId="27"/>
    <cellStyle name="Heading 1 13" xfId="28"/>
    <cellStyle name="Heading 12" xfId="29"/>
    <cellStyle name="Heading 2 14" xfId="30"/>
    <cellStyle name="Hyperlink 15" xfId="31"/>
    <cellStyle name="Neutral 16" xfId="32"/>
    <cellStyle name="Note 17" xfId="33"/>
    <cellStyle name="Result 18" xfId="34"/>
    <cellStyle name="Status 19" xfId="35"/>
    <cellStyle name="Text 20" xfId="36"/>
    <cellStyle name="Warning 21" xfId="37"/>
    <cellStyle name="Excel Built-in Bad" xfId="38"/>
    <cellStyle name="Excel Built-in 60% - Accent6" xfId="39"/>
    <cellStyle name="Excel Built-in Accent1" xfId="40"/>
  </cellStyles>
  <dxfs count="16">
    <dxf>
      <font>
        <b val="1"/>
        <i val="0"/>
        <strike val="0"/>
      </font>
      <numFmt numFmtId="164" formatCode="0.00;[RED]0.00"/>
      <fill>
        <patternFill>
          <bgColor theme="5" tint="0.7999"/>
        </patternFill>
      </fill>
    </dxf>
    <dxf>
      <font>
        <b val="1"/>
        <i val="0"/>
        <strike val="0"/>
      </font>
      <numFmt numFmtId="164" formatCode="0.00;[RED]0.00"/>
      <fill>
        <patternFill>
          <bgColor theme="5" tint="0.7999"/>
        </patternFill>
      </fill>
    </dxf>
    <dxf>
      <font>
        <b val="1"/>
        <i val="0"/>
        <strike val="0"/>
      </font>
      <numFmt numFmtId="164" formatCode="0.00;[RED]0.00"/>
      <fill>
        <patternFill>
          <bgColor theme="5" tint="0.7999"/>
        </patternFill>
      </fill>
    </dxf>
    <dxf>
      <font>
        <b val="1"/>
        <i val="0"/>
        <strike val="0"/>
      </font>
      <numFmt numFmtId="164" formatCode="0.00;[RED]0.00"/>
      <fill>
        <patternFill>
          <bgColor theme="5" tint="0.7999"/>
        </patternFill>
      </fill>
    </dxf>
    <dxf>
      <font>
        <b val="1"/>
        <i val="0"/>
        <strike val="0"/>
      </font>
      <numFmt numFmtId="164" formatCode="0.00;[RED]0.00"/>
      <fill>
        <patternFill>
          <bgColor theme="5" tint="0.7999"/>
        </patternFill>
      </fill>
    </dxf>
    <dxf>
      <fill>
        <patternFill patternType="solid">
          <fgColor rgb="FF9BC2E6"/>
          <bgColor rgb="FF000000"/>
        </patternFill>
      </fill>
    </dxf>
    <dxf>
      <fill>
        <patternFill patternType="solid">
          <fgColor rgb="FFF6F9D4"/>
          <bgColor rgb="FF000000"/>
        </patternFill>
      </fill>
    </dxf>
    <dxf>
      <fill>
        <patternFill patternType="solid">
          <fgColor rgb="FFF7D1D5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o1" displayName="Tablo1" ref="B6:I26" headerRowCount="1" totalsRowCount="0" totalsRowShown="0">
  <autoFilter ref="B6:I26"/>
  <tableColumns count="8">
    <tableColumn id="1" name="Tarih"/>
    <tableColumn id="2" name="Açıklama"/>
    <tableColumn id="3" name="snyA-H"/>
    <tableColumn id="4" name="Oran %"/>
    <tableColumn id="5" name="Oran TL Tutar"/>
    <tableColumn id="6" name="Ödendi"/>
    <tableColumn id="7" name="Oran TL"/>
    <tableColumn id="8" name="Genel Toplam"/>
  </tableColumns>
</table>
</file>

<file path=xl/tables/table2.xml><?xml version="1.0" encoding="utf-8"?>
<table xmlns="http://schemas.openxmlformats.org/spreadsheetml/2006/main" id="2" name="Tablo14" displayName="Tablo14" ref="B22:I37" headerRowCount="1" totalsRowCount="0" totalsRowShown="0">
  <autoFilter ref="B22:I37"/>
  <tableColumns count="8">
    <tableColumn id="1" name="Tarih"/>
    <tableColumn id="2" name="Açıklama"/>
    <tableColumn id="3" name="snyA-H"/>
    <tableColumn id="4" name="Oran %"/>
    <tableColumn id="5" name="Oran TL Tutar"/>
    <tableColumn id="6" name="Ödendi"/>
    <tableColumn id="7" name="Oran TL"/>
    <tableColumn id="8" name="Genel Toplam"/>
  </tableColumns>
</table>
</file>

<file path=xl/theme/theme1.xml><?xml version="1.0" encoding="utf-8"?>
<a:theme xmlns:a="http://schemas.openxmlformats.org/drawingml/2006/main" xmlns:r="http://schemas.openxmlformats.org/officeDocument/2006/relationships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3" Type="http://schemas.openxmlformats.org/officeDocument/2006/relationships/hyperlink" Target="../../../../../C:/Users/C:/Users/m/AppData/Roaming/Microsoft/Excel/2022%20cepesas/2022%20susayac%20hesab&#305;.od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4" colorId="64" zoomScale="175" zoomScaleNormal="175" zoomScalePageLayoutView="100" workbookViewId="0">
      <selection pane="topLeft" activeCell="D10" activeCellId="0" sqref="D10"/>
    </sheetView>
  </sheetViews>
  <sheetFormatPr defaultColWidth="8.57421875" defaultRowHeight="12.75" zeroHeight="false" outlineLevelRow="0" outlineLevelCol="0"/>
  <cols>
    <col collapsed="false" customWidth="true" hidden="false" outlineLevel="0" max="1" min="1" style="1" width="12.29"/>
    <col collapsed="false" customWidth="true" hidden="false" outlineLevel="0" max="2" min="2" style="0" width="31.29"/>
    <col collapsed="false" customWidth="true" hidden="false" outlineLevel="0" max="3" min="3" style="0" width="10.57"/>
    <col collapsed="false" customWidth="true" hidden="false" outlineLevel="0" max="6" min="4" style="2" width="12.29"/>
    <col collapsed="false" customWidth="true" hidden="false" outlineLevel="0" max="7" min="7" style="0" width="1.43"/>
    <col collapsed="false" customWidth="true" hidden="false" outlineLevel="0" max="8" min="8" style="0" width="35.43"/>
    <col collapsed="false" customWidth="true" hidden="false" outlineLevel="0" max="10" min="10" style="0" width="10.57"/>
  </cols>
  <sheetData>
    <row r="1" customFormat="false" ht="12.75" hidden="false" customHeight="false" outlineLevel="0" collapsed="false">
      <c r="C1" s="3"/>
      <c r="D1" s="4"/>
      <c r="E1" s="4"/>
    </row>
    <row r="2" customFormat="false" ht="27" hidden="false" customHeight="true" outlineLevel="0" collapsed="false">
      <c r="B2" s="5" t="n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5" customFormat="false" ht="12.75" hidden="false" customHeight="false" outlineLevel="0" collapsed="false">
      <c r="A5" s="1" t="n">
        <v>45657</v>
      </c>
      <c r="B5" s="8" t="s">
        <v>4</v>
      </c>
      <c r="F5" s="9" t="n">
        <v>256330</v>
      </c>
    </row>
    <row r="6" customFormat="false" ht="12.75" hidden="false" customHeight="false" outlineLevel="0" collapsed="false">
      <c r="A6" s="10"/>
      <c r="B6" s="11"/>
      <c r="C6" s="11"/>
      <c r="D6" s="12"/>
      <c r="E6" s="12"/>
      <c r="F6" s="2" t="n">
        <v>256330</v>
      </c>
    </row>
    <row r="7" customFormat="false" ht="12.75" hidden="false" customHeight="false" outlineLevel="0" collapsed="false">
      <c r="A7" s="10" t="n">
        <v>45667</v>
      </c>
      <c r="B7" s="11" t="s">
        <v>5</v>
      </c>
      <c r="C7" s="8" t="s">
        <v>6</v>
      </c>
      <c r="D7" s="12" t="n">
        <v>20000</v>
      </c>
      <c r="E7" s="12"/>
      <c r="F7" s="2" t="n">
        <f aca="false">F6+D7-E7</f>
        <v>276330</v>
      </c>
    </row>
    <row r="8" customFormat="false" ht="12.75" hidden="false" customHeight="false" outlineLevel="0" collapsed="false">
      <c r="A8" s="1" t="n">
        <v>45672</v>
      </c>
      <c r="B8" s="8" t="s">
        <v>7</v>
      </c>
      <c r="C8" s="8" t="s">
        <v>6</v>
      </c>
      <c r="E8" s="2" t="n">
        <v>36500</v>
      </c>
      <c r="F8" s="2" t="n">
        <f aca="false">F7+D8-E8</f>
        <v>239830</v>
      </c>
    </row>
    <row r="9" customFormat="false" ht="12.75" hidden="false" customHeight="false" outlineLevel="0" collapsed="false">
      <c r="A9" s="1" t="n">
        <v>45703</v>
      </c>
      <c r="B9" s="8" t="s">
        <v>8</v>
      </c>
      <c r="C9" s="8" t="s">
        <v>6</v>
      </c>
      <c r="E9" s="2" t="n">
        <v>36500</v>
      </c>
      <c r="F9" s="2" t="n">
        <f aca="false">F8+D9-E9</f>
        <v>203330</v>
      </c>
    </row>
    <row r="10" customFormat="false" ht="12.75" hidden="false" customHeight="false" outlineLevel="0" collapsed="false">
      <c r="A10" s="1" t="n">
        <v>45731</v>
      </c>
      <c r="B10" s="8" t="s">
        <v>9</v>
      </c>
      <c r="C10" s="8" t="s">
        <v>6</v>
      </c>
      <c r="E10" s="2" t="n">
        <v>36500</v>
      </c>
      <c r="F10" s="2" t="n">
        <f aca="false">F9+D10-E10</f>
        <v>166830</v>
      </c>
    </row>
    <row r="11" customFormat="false" ht="12.75" hidden="false" customHeight="false" outlineLevel="0" collapsed="false">
      <c r="A11" s="1" t="n">
        <v>45762</v>
      </c>
      <c r="B11" s="8" t="s">
        <v>10</v>
      </c>
      <c r="C11" s="8" t="s">
        <v>6</v>
      </c>
      <c r="E11" s="2" t="n">
        <v>36500</v>
      </c>
      <c r="F11" s="2" t="n">
        <f aca="false">F10+D11-E11</f>
        <v>130330</v>
      </c>
    </row>
    <row r="12" customFormat="false" ht="12.75" hidden="false" customHeight="false" outlineLevel="0" collapsed="false">
      <c r="A12" s="1" t="n">
        <v>45792</v>
      </c>
      <c r="B12" s="8" t="s">
        <v>11</v>
      </c>
      <c r="C12" s="8" t="s">
        <v>6</v>
      </c>
      <c r="E12" s="2" t="n">
        <v>36500</v>
      </c>
      <c r="F12" s="2" t="n">
        <f aca="false">F11+D12-E12</f>
        <v>93830</v>
      </c>
    </row>
    <row r="13" customFormat="false" ht="12.75" hidden="false" customHeight="false" outlineLevel="0" collapsed="false">
      <c r="A13" s="1" t="n">
        <v>45823</v>
      </c>
      <c r="B13" s="8" t="s">
        <v>12</v>
      </c>
      <c r="C13" s="8" t="s">
        <v>6</v>
      </c>
      <c r="E13" s="2" t="n">
        <v>36500</v>
      </c>
      <c r="F13" s="2" t="n">
        <f aca="false">F12+D13-E13</f>
        <v>57330</v>
      </c>
    </row>
    <row r="14" customFormat="false" ht="12.75" hidden="false" customHeight="false" outlineLevel="0" collapsed="false">
      <c r="A14" s="1" t="n">
        <v>45853</v>
      </c>
      <c r="B14" s="8" t="s">
        <v>13</v>
      </c>
      <c r="C14" s="8" t="s">
        <v>6</v>
      </c>
      <c r="E14" s="2" t="n">
        <v>36500</v>
      </c>
      <c r="F14" s="2" t="n">
        <f aca="false">F13+D14-E14</f>
        <v>20830</v>
      </c>
    </row>
    <row r="15" customFormat="false" ht="12.75" hidden="false" customHeight="false" outlineLevel="0" collapsed="false">
      <c r="E15" s="13"/>
      <c r="F15" s="14" t="n">
        <f aca="false">F14+D15-E15</f>
        <v>20830</v>
      </c>
    </row>
    <row r="16" customFormat="false" ht="12.75" hidden="false" customHeight="false" outlineLevel="0" collapsed="false">
      <c r="E16" s="15"/>
      <c r="F16" s="16" t="s">
        <v>14</v>
      </c>
    </row>
    <row r="35" customFormat="false" ht="12.75" hidden="false" customHeight="false" outlineLevel="0" collapsed="false">
      <c r="B35" s="8" t="s">
        <v>15</v>
      </c>
    </row>
    <row r="37" customFormat="false" ht="12.75" hidden="false" customHeight="false" outlineLevel="0" collapsed="false">
      <c r="F37" s="2" t="n">
        <f aca="false">F36+D37-E37</f>
        <v>0</v>
      </c>
    </row>
    <row r="38" customFormat="false" ht="12.75" hidden="false" customHeight="false" outlineLevel="0" collapsed="false">
      <c r="B38" s="8" t="s">
        <v>16</v>
      </c>
      <c r="D38" s="2" t="n">
        <v>50000</v>
      </c>
      <c r="F38" s="2" t="n">
        <f aca="false">F37+D38-E38</f>
        <v>50000</v>
      </c>
    </row>
    <row r="39" customFormat="false" ht="12.75" hidden="false" customHeight="false" outlineLevel="0" collapsed="false">
      <c r="B39" s="8" t="s">
        <v>17</v>
      </c>
      <c r="D39" s="2" t="n">
        <v>140000</v>
      </c>
      <c r="F39" s="2" t="n">
        <f aca="false">F38+D39-E39</f>
        <v>190000</v>
      </c>
    </row>
    <row r="40" customFormat="false" ht="12.75" hidden="false" customHeight="false" outlineLevel="0" collapsed="false">
      <c r="B40" s="8" t="s">
        <v>18</v>
      </c>
      <c r="D40" s="2" t="n">
        <v>195000</v>
      </c>
      <c r="F40" s="2" t="n">
        <f aca="false">F39+D40-E40</f>
        <v>385000</v>
      </c>
    </row>
    <row r="41" customFormat="false" ht="12.75" hidden="false" customHeight="false" outlineLevel="0" collapsed="false">
      <c r="B41" s="8" t="s">
        <v>19</v>
      </c>
      <c r="E41" s="2" t="n">
        <v>310000</v>
      </c>
      <c r="F41" s="2" t="n">
        <f aca="false">F40+D41-E41</f>
        <v>75000</v>
      </c>
    </row>
    <row r="42" customFormat="false" ht="12.75" hidden="false" customHeight="false" outlineLevel="0" collapsed="false">
      <c r="B42" s="3" t="s">
        <v>20</v>
      </c>
      <c r="C42" s="3"/>
      <c r="D42" s="17"/>
      <c r="E42" s="17"/>
      <c r="F42" s="17" t="n">
        <f aca="false">F41+D42-E42</f>
        <v>75000</v>
      </c>
    </row>
    <row r="43" customFormat="false" ht="12.75" hidden="false" customHeight="false" outlineLevel="0" collapsed="false">
      <c r="B43" s="3" t="s">
        <v>21</v>
      </c>
      <c r="C43" s="3"/>
      <c r="D43" s="17" t="e">
        <f aca="false">#REF!-F41</f>
        <v>#REF!</v>
      </c>
      <c r="F43" s="2" t="e">
        <f aca="false">F41+D43-E43</f>
        <v>#REF!</v>
      </c>
    </row>
    <row r="44" customFormat="false" ht="12.75" hidden="false" customHeight="false" outlineLevel="0" collapsed="false">
      <c r="E44" s="18" t="s">
        <v>22</v>
      </c>
      <c r="F44" s="17" t="e">
        <f aca="false">F43</f>
        <v>#REF!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overThenDown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68A1A"/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3" colorId="64" zoomScale="175" zoomScaleNormal="175" zoomScalePageLayoutView="100" workbookViewId="0">
      <selection pane="topLeft" activeCell="N2" activeCellId="0" sqref="N2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7.14"/>
    <col collapsed="false" customWidth="true" hidden="false" outlineLevel="0" max="2" min="2" style="0" width="14.14"/>
    <col collapsed="false" customWidth="true" hidden="false" outlineLevel="0" max="3" min="3" style="0" width="15.57"/>
    <col collapsed="false" customWidth="true" hidden="false" outlineLevel="0" max="4" min="4" style="0" width="11.43"/>
    <col collapsed="false" customWidth="true" hidden="false" outlineLevel="0" max="5" min="5" style="0" width="14.14"/>
    <col collapsed="false" customWidth="true" hidden="false" outlineLevel="0" max="6" min="6" style="0" width="14.71"/>
    <col collapsed="false" customWidth="true" hidden="false" outlineLevel="0" max="7" min="7" style="0" width="11.86"/>
    <col collapsed="false" customWidth="true" hidden="false" outlineLevel="0" max="8" min="8" style="0" width="0.86"/>
    <col collapsed="false" customWidth="true" hidden="false" outlineLevel="0" max="9" min="9" style="0" width="3.57"/>
    <col collapsed="false" customWidth="true" hidden="false" outlineLevel="0" max="10" min="10" style="0" width="8"/>
    <col collapsed="false" customWidth="true" hidden="false" outlineLevel="0" max="11" min="11" style="2" width="7"/>
    <col collapsed="false" customWidth="true" hidden="false" outlineLevel="0" max="12" min="12" style="2" width="6.86"/>
    <col collapsed="false" customWidth="true" hidden="false" outlineLevel="0" max="13" min="13" style="2" width="10"/>
    <col collapsed="false" customWidth="true" hidden="false" outlineLevel="0" max="14" min="14" style="0" width="7.43"/>
    <col collapsed="false" customWidth="true" hidden="false" outlineLevel="0" max="15" min="15" style="0" width="9.14"/>
  </cols>
  <sheetData>
    <row r="1" customFormat="false" ht="15" hidden="false" customHeight="false" outlineLevel="0" collapsed="false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28" t="s">
        <v>26</v>
      </c>
      <c r="M1" s="28"/>
      <c r="N1" s="8" t="s">
        <v>27</v>
      </c>
    </row>
    <row r="2" customFormat="false" ht="15" hidden="false" customHeight="false" outlineLevel="0" collapsed="false">
      <c r="A2" s="19" t="n">
        <v>-2024</v>
      </c>
      <c r="B2" s="23" t="s">
        <v>28</v>
      </c>
      <c r="C2" s="29" t="s">
        <v>29</v>
      </c>
      <c r="D2" s="22" t="s">
        <v>30</v>
      </c>
      <c r="E2" s="23" t="s">
        <v>28</v>
      </c>
      <c r="F2" s="29" t="s">
        <v>29</v>
      </c>
      <c r="G2" s="22" t="s">
        <v>3</v>
      </c>
      <c r="H2" s="24"/>
      <c r="I2" s="25"/>
      <c r="J2" s="26" t="s">
        <v>31</v>
      </c>
      <c r="K2" s="30" t="n">
        <v>0.235384</v>
      </c>
      <c r="L2" s="31" t="n">
        <f aca="false">1-K2</f>
        <v>0.764616</v>
      </c>
      <c r="M2" s="32" t="s">
        <v>32</v>
      </c>
      <c r="N2" s="8" t="e">
        <f aca="false">#REF!/1000</f>
        <v>#REF!</v>
      </c>
    </row>
    <row r="3" customFormat="false" ht="12.75" hidden="false" customHeight="false" outlineLevel="0" collapsed="false">
      <c r="A3" s="0" t="s">
        <v>33</v>
      </c>
      <c r="B3" s="33" t="n">
        <f aca="false">01_25!D2</f>
        <v>398664</v>
      </c>
      <c r="C3" s="33" t="n">
        <f aca="false">01_25!E2</f>
        <v>-55562.4</v>
      </c>
      <c r="D3" s="34" t="n">
        <f aca="false">B3+C3</f>
        <v>343101.6</v>
      </c>
      <c r="E3" s="33" t="n">
        <f aca="false">01_25!F2</f>
        <v>290000</v>
      </c>
      <c r="F3" s="33" t="n">
        <f aca="false">01_25!G2</f>
        <v>-27502.4</v>
      </c>
      <c r="G3" s="34" t="n">
        <f aca="false">E3+F3</f>
        <v>262497.6</v>
      </c>
      <c r="H3" s="35"/>
      <c r="I3" s="36" t="s">
        <v>34</v>
      </c>
      <c r="J3" s="0" t="n">
        <v>180</v>
      </c>
      <c r="K3" s="37"/>
      <c r="L3" s="38"/>
      <c r="M3" s="39" t="n">
        <f aca="false">J3</f>
        <v>180</v>
      </c>
      <c r="N3" s="8" t="n">
        <f aca="false">01_25!E120/1000</f>
        <v>0.96499</v>
      </c>
    </row>
    <row r="4" customFormat="false" ht="12.75" hidden="false" customHeight="false" outlineLevel="0" collapsed="false">
      <c r="A4" s="0" t="s">
        <v>35</v>
      </c>
      <c r="B4" s="33" t="n">
        <f aca="false">02_25!D2</f>
        <v>30000</v>
      </c>
      <c r="C4" s="33" t="n">
        <f aca="false">02_25!E2</f>
        <v>-46297.06</v>
      </c>
      <c r="D4" s="34" t="n">
        <f aca="false">B4+C4+D3</f>
        <v>326804.54</v>
      </c>
      <c r="E4" s="33" t="n">
        <f aca="false">02_25!F2</f>
        <v>0</v>
      </c>
      <c r="F4" s="33" t="n">
        <f aca="false">02_25!G2</f>
        <v>0</v>
      </c>
      <c r="G4" s="34" t="n">
        <f aca="false">E4+F4+G3</f>
        <v>262497.6</v>
      </c>
      <c r="H4" s="35"/>
      <c r="I4" s="36" t="s">
        <v>36</v>
      </c>
      <c r="J4" s="0" t="n">
        <v>235</v>
      </c>
      <c r="K4" s="40" t="n">
        <f aca="false">J4*$K$2</f>
        <v>55.31524</v>
      </c>
      <c r="L4" s="41" t="n">
        <f aca="false">J4-K4</f>
        <v>179.68476</v>
      </c>
      <c r="M4" s="39"/>
      <c r="N4" s="8" t="n">
        <f aca="false">02_25!E111/1000</f>
        <v>0</v>
      </c>
    </row>
    <row r="5" customFormat="false" ht="12.75" hidden="false" customHeight="false" outlineLevel="0" collapsed="false">
      <c r="A5" s="0" t="s">
        <v>37</v>
      </c>
      <c r="B5" s="33" t="n">
        <f aca="false">03_25!D2</f>
        <v>15000</v>
      </c>
      <c r="C5" s="33" t="n">
        <f aca="false">03_25!E2</f>
        <v>-46297.06</v>
      </c>
      <c r="D5" s="34" t="n">
        <f aca="false">B5+C5+D4</f>
        <v>295507.48</v>
      </c>
      <c r="E5" s="33" t="n">
        <f aca="false">03_25!F2</f>
        <v>0</v>
      </c>
      <c r="F5" s="33" t="n">
        <f aca="false">03_25!G2</f>
        <v>0</v>
      </c>
      <c r="G5" s="34" t="n">
        <f aca="false">E5+F5+G4</f>
        <v>262497.6</v>
      </c>
      <c r="H5" s="35"/>
      <c r="I5" s="36" t="s">
        <v>38</v>
      </c>
      <c r="K5" s="40"/>
      <c r="L5" s="38"/>
      <c r="M5" s="39" t="n">
        <f aca="false">J5</f>
        <v>0</v>
      </c>
      <c r="N5" s="8" t="n">
        <f aca="false">03_25!E108/1000</f>
        <v>0</v>
      </c>
    </row>
    <row r="6" customFormat="false" ht="12.75" hidden="false" customHeight="false" outlineLevel="0" collapsed="false">
      <c r="A6" s="0" t="s">
        <v>39</v>
      </c>
      <c r="B6" s="33" t="n">
        <f aca="false">04_25!D2</f>
        <v>15000</v>
      </c>
      <c r="C6" s="33" t="n">
        <f aca="false">04_25!E2</f>
        <v>-46297.06</v>
      </c>
      <c r="D6" s="34" t="n">
        <f aca="false">B6+C6+D5</f>
        <v>264210.42</v>
      </c>
      <c r="E6" s="33" t="n">
        <f aca="false">04_25!F2</f>
        <v>0</v>
      </c>
      <c r="F6" s="33" t="n">
        <f aca="false">04_25!G2</f>
        <v>0</v>
      </c>
      <c r="G6" s="34" t="n">
        <f aca="false">E6+F6+G5</f>
        <v>262497.6</v>
      </c>
      <c r="H6" s="35"/>
      <c r="I6" s="42" t="s">
        <v>40</v>
      </c>
      <c r="K6" s="40"/>
      <c r="L6" s="38"/>
      <c r="M6" s="43" t="n">
        <f aca="false">E18/1000</f>
        <v>0</v>
      </c>
      <c r="N6" s="8" t="n">
        <f aca="false">04_25!E111/1000</f>
        <v>0</v>
      </c>
    </row>
    <row r="7" customFormat="false" ht="12.75" hidden="false" customHeight="false" outlineLevel="0" collapsed="false">
      <c r="A7" s="0" t="s">
        <v>41</v>
      </c>
      <c r="B7" s="33" t="n">
        <f aca="false">05_25!D2</f>
        <v>15000</v>
      </c>
      <c r="C7" s="33" t="n">
        <f aca="false">05_25!E2</f>
        <v>-44917.06</v>
      </c>
      <c r="D7" s="34" t="n">
        <f aca="false">B7+C7+D6</f>
        <v>234293.36</v>
      </c>
      <c r="E7" s="33" t="n">
        <f aca="false">05_25!F2</f>
        <v>0</v>
      </c>
      <c r="F7" s="33" t="n">
        <f aca="false">05_25!G2</f>
        <v>0</v>
      </c>
      <c r="G7" s="34" t="n">
        <f aca="false">E7+F7+G6</f>
        <v>262497.6</v>
      </c>
      <c r="H7" s="35"/>
      <c r="I7" s="42" t="s">
        <v>42</v>
      </c>
      <c r="K7" s="40"/>
      <c r="L7" s="41"/>
      <c r="M7" s="43" t="n">
        <f aca="false">E19/1000</f>
        <v>0</v>
      </c>
      <c r="N7" s="8" t="n">
        <f aca="false">05_25!E101/1000</f>
        <v>0</v>
      </c>
    </row>
    <row r="8" customFormat="false" ht="12.75" hidden="false" customHeight="false" outlineLevel="0" collapsed="false">
      <c r="A8" s="0" t="s">
        <v>43</v>
      </c>
      <c r="B8" s="33" t="n">
        <f aca="false">06_25!D2</f>
        <v>15000</v>
      </c>
      <c r="C8" s="33" t="n">
        <f aca="false">06_25!E2</f>
        <v>-44917.06</v>
      </c>
      <c r="D8" s="34" t="n">
        <f aca="false">B8+C8+D7</f>
        <v>204376.3</v>
      </c>
      <c r="E8" s="33" t="n">
        <f aca="false">06_25!F2</f>
        <v>0</v>
      </c>
      <c r="F8" s="33" t="n">
        <f aca="false">06_25!G2</f>
        <v>0</v>
      </c>
      <c r="G8" s="34" t="n">
        <f aca="false">E8+F8+G7</f>
        <v>262497.6</v>
      </c>
      <c r="H8" s="35"/>
      <c r="I8" s="36" t="s">
        <v>44</v>
      </c>
      <c r="J8" s="0" t="n">
        <v>225</v>
      </c>
      <c r="K8" s="40"/>
      <c r="L8" s="41"/>
      <c r="M8" s="39" t="n">
        <f aca="false">J8/4</f>
        <v>56.25</v>
      </c>
      <c r="N8" s="8" t="n">
        <f aca="false">06_25!E118/1000</f>
        <v>0</v>
      </c>
    </row>
    <row r="9" customFormat="false" ht="12.75" hidden="false" customHeight="false" outlineLevel="0" collapsed="false">
      <c r="A9" s="0" t="s">
        <v>45</v>
      </c>
      <c r="B9" s="33" t="n">
        <f aca="false">07_25!D2</f>
        <v>15000</v>
      </c>
      <c r="C9" s="33" t="n">
        <f aca="false">07_25!E2</f>
        <v>-44917.06</v>
      </c>
      <c r="D9" s="34" t="n">
        <f aca="false">B9+C9+D8</f>
        <v>174459.24</v>
      </c>
      <c r="E9" s="33" t="n">
        <f aca="false">07_25!F2</f>
        <v>0</v>
      </c>
      <c r="F9" s="33" t="n">
        <f aca="false">07_25!G2</f>
        <v>0</v>
      </c>
      <c r="G9" s="34" t="n">
        <f aca="false">E9+F9+G8</f>
        <v>262497.6</v>
      </c>
      <c r="H9" s="35"/>
      <c r="I9" s="36" t="s">
        <v>46</v>
      </c>
      <c r="J9" s="0" t="n">
        <v>204</v>
      </c>
      <c r="K9" s="40" t="n">
        <f aca="false">J9*$K$2</f>
        <v>48.018336</v>
      </c>
      <c r="L9" s="41" t="n">
        <f aca="false">J9-K9</f>
        <v>155.981664</v>
      </c>
      <c r="M9" s="44"/>
      <c r="N9" s="8" t="n">
        <f aca="false">07_25!E133/1000</f>
        <v>0</v>
      </c>
    </row>
    <row r="10" customFormat="false" ht="12.75" hidden="false" customHeight="false" outlineLevel="0" collapsed="false">
      <c r="A10" s="0" t="s">
        <v>47</v>
      </c>
      <c r="B10" s="33" t="n">
        <f aca="false">08_25!D2</f>
        <v>15000</v>
      </c>
      <c r="C10" s="33" t="n">
        <f aca="false">08_25!E2</f>
        <v>-44917.06</v>
      </c>
      <c r="D10" s="34" t="n">
        <f aca="false">B10+C10+D9</f>
        <v>144542.18</v>
      </c>
      <c r="E10" s="33" t="n">
        <f aca="false">08_25!F2</f>
        <v>0</v>
      </c>
      <c r="F10" s="33" t="n">
        <f aca="false">08_25!G2</f>
        <v>0</v>
      </c>
      <c r="G10" s="34" t="n">
        <f aca="false">E10+F10+G9</f>
        <v>262497.6</v>
      </c>
      <c r="H10" s="35"/>
      <c r="I10" s="36" t="s">
        <v>48</v>
      </c>
      <c r="J10" s="0" t="n">
        <v>0</v>
      </c>
      <c r="K10" s="40"/>
      <c r="L10" s="41"/>
      <c r="M10" s="39" t="n">
        <f aca="false">J10*0.13</f>
        <v>0</v>
      </c>
      <c r="N10" s="8" t="n">
        <f aca="false">08_25!E125/1000</f>
        <v>0</v>
      </c>
    </row>
    <row r="11" customFormat="false" ht="12.75" hidden="false" customHeight="false" outlineLevel="0" collapsed="false">
      <c r="A11" s="0" t="s">
        <v>49</v>
      </c>
      <c r="B11" s="33" t="n">
        <f aca="false">09_25!D2</f>
        <v>15000</v>
      </c>
      <c r="C11" s="33" t="n">
        <f aca="false">09_25!E2</f>
        <v>-44917.06</v>
      </c>
      <c r="D11" s="34" t="n">
        <f aca="false">B11+C11+D10</f>
        <v>114625.12</v>
      </c>
      <c r="E11" s="33" t="n">
        <f aca="false">09_25!F2</f>
        <v>0</v>
      </c>
      <c r="F11" s="33" t="n">
        <f aca="false">09_25!G2</f>
        <v>0</v>
      </c>
      <c r="G11" s="34" t="n">
        <f aca="false">E11+F11+G10</f>
        <v>262497.6</v>
      </c>
      <c r="H11" s="35"/>
      <c r="I11" s="36" t="s">
        <v>50</v>
      </c>
      <c r="J11" s="0" t="n">
        <v>0</v>
      </c>
      <c r="K11" s="40" t="n">
        <f aca="false">J11*$K$2</f>
        <v>0</v>
      </c>
      <c r="L11" s="41" t="n">
        <f aca="false">J11-K11</f>
        <v>0</v>
      </c>
      <c r="M11" s="39"/>
      <c r="N11" s="8" t="n">
        <f aca="false">09_25!E101/1000</f>
        <v>0</v>
      </c>
    </row>
    <row r="12" customFormat="false" ht="12.75" hidden="false" customHeight="false" outlineLevel="0" collapsed="false">
      <c r="A12" s="0" t="s">
        <v>51</v>
      </c>
      <c r="B12" s="33" t="n">
        <f aca="false">10_25!D2</f>
        <v>15000</v>
      </c>
      <c r="C12" s="33" t="n">
        <f aca="false">10_25!E2</f>
        <v>-44917.06</v>
      </c>
      <c r="D12" s="34" t="n">
        <f aca="false">B12+C12+D11</f>
        <v>84708.06</v>
      </c>
      <c r="E12" s="33" t="n">
        <f aca="false">10_25!F2</f>
        <v>0</v>
      </c>
      <c r="F12" s="33" t="n">
        <f aca="false">10_25!G2</f>
        <v>0</v>
      </c>
      <c r="G12" s="34" t="n">
        <f aca="false">E12+F12+G11</f>
        <v>262497.6</v>
      </c>
      <c r="H12" s="35"/>
      <c r="I12" s="36" t="s">
        <v>52</v>
      </c>
      <c r="J12" s="0" t="n">
        <v>0</v>
      </c>
      <c r="K12" s="40" t="n">
        <f aca="false">J12*$K$2</f>
        <v>0</v>
      </c>
      <c r="L12" s="41" t="n">
        <f aca="false">J12-K12</f>
        <v>0</v>
      </c>
      <c r="M12" s="39"/>
      <c r="N12" s="8" t="n">
        <f aca="false">10_25!E136/1000</f>
        <v>0</v>
      </c>
    </row>
    <row r="13" customFormat="false" ht="12.75" hidden="false" customHeight="false" outlineLevel="0" collapsed="false">
      <c r="A13" s="0" t="s">
        <v>53</v>
      </c>
      <c r="B13" s="33" t="n">
        <f aca="false">11_25!D2</f>
        <v>15000</v>
      </c>
      <c r="C13" s="33" t="n">
        <f aca="false">11_25!E2</f>
        <v>-44917.06</v>
      </c>
      <c r="D13" s="34" t="n">
        <f aca="false">B13+C13+D12</f>
        <v>54791</v>
      </c>
      <c r="E13" s="33" t="n">
        <f aca="false">11_25!F2</f>
        <v>0</v>
      </c>
      <c r="F13" s="33" t="n">
        <f aca="false">11_25!G2</f>
        <v>0</v>
      </c>
      <c r="G13" s="34" t="n">
        <f aca="false">E13+F13+G12</f>
        <v>262497.6</v>
      </c>
      <c r="H13" s="35"/>
      <c r="I13" s="36" t="s">
        <v>54</v>
      </c>
      <c r="J13" s="0" t="n">
        <v>219</v>
      </c>
      <c r="K13" s="40" t="n">
        <f aca="false">J13*$K$2</f>
        <v>51.549096</v>
      </c>
      <c r="L13" s="41" t="n">
        <f aca="false">J13-K13</f>
        <v>167.450904</v>
      </c>
      <c r="M13" s="44"/>
      <c r="N13" s="8" t="n">
        <f aca="false">11_25!E111/1000</f>
        <v>0</v>
      </c>
    </row>
    <row r="14" customFormat="false" ht="12.75" hidden="false" customHeight="false" outlineLevel="0" collapsed="false">
      <c r="A14" s="0" t="s">
        <v>55</v>
      </c>
      <c r="B14" s="33" t="n">
        <f aca="false">12_25!D2</f>
        <v>15000</v>
      </c>
      <c r="C14" s="33" t="n">
        <f aca="false">12_25!E2</f>
        <v>-44917.06</v>
      </c>
      <c r="D14" s="34" t="n">
        <f aca="false">B14+C14+D13</f>
        <v>24873.94</v>
      </c>
      <c r="E14" s="33" t="n">
        <f aca="false">12_25!F2</f>
        <v>0</v>
      </c>
      <c r="F14" s="33" t="n">
        <f aca="false">12_25!G2</f>
        <v>0</v>
      </c>
      <c r="G14" s="34" t="n">
        <f aca="false">E14+F14+G13</f>
        <v>262497.6</v>
      </c>
      <c r="H14" s="35"/>
      <c r="I14" s="45" t="s">
        <v>56</v>
      </c>
      <c r="J14" s="46" t="n">
        <v>290</v>
      </c>
      <c r="K14" s="40" t="n">
        <f aca="false">J14*$K$2</f>
        <v>68.26136</v>
      </c>
      <c r="L14" s="41" t="n">
        <f aca="false">J14-K14</f>
        <v>221.73864</v>
      </c>
      <c r="M14" s="39"/>
      <c r="N14" s="8" t="n">
        <f aca="false">12_25!E125/1000</f>
        <v>0</v>
      </c>
    </row>
    <row r="15" customFormat="false" ht="12.75" hidden="false" customHeight="false" outlineLevel="0" collapsed="false">
      <c r="A15" s="47" t="s">
        <v>57</v>
      </c>
      <c r="B15" s="34" t="n">
        <f aca="false">SUM(B3:B14)</f>
        <v>578664</v>
      </c>
      <c r="C15" s="34" t="n">
        <f aca="false">SUM(C3:C14)</f>
        <v>-553790.06</v>
      </c>
      <c r="D15" s="34" t="n">
        <f aca="false">B15+C15</f>
        <v>24873.9399999999</v>
      </c>
      <c r="E15" s="34" t="n">
        <f aca="false">SUM(E3:E14)</f>
        <v>290000</v>
      </c>
      <c r="F15" s="34" t="n">
        <f aca="false">SUM(F3:F14)</f>
        <v>-27502.4</v>
      </c>
      <c r="G15" s="34" t="n">
        <f aca="false">E15+F15</f>
        <v>262497.6</v>
      </c>
      <c r="H15" s="48"/>
      <c r="I15" s="49"/>
      <c r="J15" s="50" t="n">
        <f aca="false">SUM(J3:J14)</f>
        <v>1353</v>
      </c>
      <c r="K15" s="51" t="n">
        <f aca="false">SUM(K4:K14)</f>
        <v>223.144032</v>
      </c>
      <c r="L15" s="52" t="n">
        <f aca="false">SUM(L4:L14)</f>
        <v>724.855968</v>
      </c>
      <c r="M15" s="53" t="n">
        <f aca="false">M10+M8+M6+M5+M3+M7</f>
        <v>236.25</v>
      </c>
    </row>
    <row r="16" customFormat="false" ht="12.75" hidden="false" customHeight="false" outlineLevel="0" collapsed="false">
      <c r="A16" s="54" t="n">
        <v>12</v>
      </c>
      <c r="B16" s="55" t="n">
        <f aca="false">B15/A16</f>
        <v>48222</v>
      </c>
      <c r="C16" s="56" t="n">
        <f aca="false">C15/A16</f>
        <v>-46149.1716666667</v>
      </c>
      <c r="D16" s="56"/>
      <c r="E16" s="56" t="n">
        <f aca="false">E15/A16</f>
        <v>24166.6666666667</v>
      </c>
      <c r="F16" s="56" t="n">
        <f aca="false">F15/A16</f>
        <v>-2291.86666666667</v>
      </c>
      <c r="G16" s="56" t="n">
        <f aca="false">G15/A16</f>
        <v>21874.8</v>
      </c>
      <c r="H16" s="57"/>
      <c r="I16" s="58"/>
      <c r="J16" s="59" t="n">
        <f aca="false">J15/12</f>
        <v>112.75</v>
      </c>
      <c r="K16" s="60" t="n">
        <f aca="false">K15/12</f>
        <v>18.595336</v>
      </c>
      <c r="L16" s="61" t="n">
        <f aca="false">L15/12</f>
        <v>60.404664</v>
      </c>
      <c r="M16" s="62" t="n">
        <f aca="false">M15/12</f>
        <v>19.6875</v>
      </c>
      <c r="N16" s="63" t="e">
        <f aca="false">AVERAGE(N2:N15)</f>
        <v>#REF!</v>
      </c>
    </row>
    <row r="17" customFormat="false" ht="12.75" hidden="false" customHeight="false" outlineLevel="0" collapsed="false">
      <c r="C17" s="2"/>
      <c r="D17" s="2"/>
      <c r="G17" s="64"/>
      <c r="H17" s="64"/>
      <c r="I17" s="36"/>
      <c r="K17" s="2" t="s">
        <v>57</v>
      </c>
      <c r="L17" s="65" t="n">
        <f aca="false">L15+M15</f>
        <v>961.105968</v>
      </c>
      <c r="M17" s="65"/>
    </row>
    <row r="18" customFormat="false" ht="12.75" hidden="false" customHeight="false" outlineLevel="0" collapsed="false">
      <c r="D18" s="66" t="s">
        <v>58</v>
      </c>
      <c r="E18" s="2" t="n">
        <f aca="false">01_25!F28+02_25!F14+02_25!F25+03_25!F19+04_25!F41+05_25!F22+06_25!F19+06_25!F31+04_25!F15</f>
        <v>0</v>
      </c>
      <c r="J18" s="36"/>
      <c r="K18" s="2" t="s">
        <v>59</v>
      </c>
      <c r="L18" s="67"/>
      <c r="M18" s="68" t="n">
        <f aca="false">L17/12</f>
        <v>80.092164</v>
      </c>
    </row>
    <row r="19" customFormat="false" ht="12.75" hidden="false" customHeight="false" outlineLevel="0" collapsed="false">
      <c r="C19" s="69"/>
      <c r="D19" s="70" t="s">
        <v>60</v>
      </c>
      <c r="E19" s="71" t="n">
        <f aca="false">07_25!F30+08_25!F25+09_25!F19+10_25!F29+11_25!F34+12_25!F22</f>
        <v>0</v>
      </c>
    </row>
    <row r="20" customFormat="false" ht="12.75" hidden="false" customHeight="false" outlineLevel="0" collapsed="false">
      <c r="D20" s="18" t="s">
        <v>61</v>
      </c>
      <c r="E20" s="17" t="n">
        <f aca="false">SUM(E18:E19)</f>
        <v>0</v>
      </c>
    </row>
    <row r="21" customFormat="false" ht="12.75" hidden="false" customHeight="false" outlineLevel="0" collapsed="false">
      <c r="B21" s="72" t="n">
        <v>44896</v>
      </c>
    </row>
    <row r="22" customFormat="false" ht="13.8" hidden="false" customHeight="false" outlineLevel="0" collapsed="false">
      <c r="B22" s="2" t="n">
        <v>6986.25</v>
      </c>
      <c r="C22" s="73" t="n">
        <v>0.375785</v>
      </c>
      <c r="D22" s="74" t="n">
        <v>0.4925919</v>
      </c>
    </row>
    <row r="23" customFormat="false" ht="13.8" hidden="false" customHeight="false" outlineLevel="0" collapsed="false">
      <c r="B23" s="2" t="n">
        <f aca="false">B22*C22</f>
        <v>2625.32795625</v>
      </c>
      <c r="C23" s="75" t="s">
        <v>62</v>
      </c>
      <c r="D23" s="2" t="n">
        <f aca="false">B22*D22</f>
        <v>3441.370161375</v>
      </c>
    </row>
    <row r="24" customFormat="false" ht="13.8" hidden="false" customHeight="false" outlineLevel="0" collapsed="false">
      <c r="B24" s="76" t="n">
        <f aca="false">SUM(B22:B23)</f>
        <v>9611.57795625</v>
      </c>
      <c r="C24" s="77" t="s">
        <v>63</v>
      </c>
      <c r="D24" s="76" t="n">
        <f aca="false">D23+B22</f>
        <v>10427.620161375</v>
      </c>
    </row>
    <row r="25" customFormat="false" ht="12.75" hidden="false" customHeight="false" outlineLevel="0" collapsed="false">
      <c r="C25" s="78" t="e">
        <f aca="false">(D27/D25)-1</f>
        <v>#DIV/0!</v>
      </c>
    </row>
    <row r="26" customFormat="false" ht="12.75" hidden="false" customHeight="false" outlineLevel="0" collapsed="false">
      <c r="C26" s="0" t="s">
        <v>64</v>
      </c>
    </row>
    <row r="27" customFormat="false" ht="12.75" hidden="false" customHeight="false" outlineLevel="0" collapsed="false">
      <c r="C27" s="0" t="s">
        <v>65</v>
      </c>
      <c r="D27" s="0" t="n">
        <v>13006.38</v>
      </c>
    </row>
  </sheetData>
  <mergeCells count="2">
    <mergeCell ref="L1:M1"/>
    <mergeCell ref="L17:M17"/>
  </mergeCells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C2E6"/>
    <pageSetUpPr fitToPage="false"/>
  </sheetPr>
  <dimension ref="A1:N77"/>
  <sheetViews>
    <sheetView showFormulas="false" showGridLines="true" showRowColHeaders="true" showZeros="true" rightToLeft="false" tabSelected="false" showOutlineSymbols="true" defaultGridColor="true" view="normal" topLeftCell="A65" colorId="64" zoomScale="145" zoomScaleNormal="145" zoomScalePageLayoutView="100" workbookViewId="0">
      <selection pane="topLeft" activeCell="A79" activeCellId="0" sqref="A79"/>
    </sheetView>
  </sheetViews>
  <sheetFormatPr defaultColWidth="12.2929687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79" width="11.57"/>
    <col collapsed="false" customWidth="false" hidden="false" outlineLevel="0" max="8" min="5" style="79" width="12.29"/>
    <col collapsed="false" customWidth="true" hidden="false" outlineLevel="0" max="10" min="10" style="0" width="27.43"/>
    <col collapsed="false" customWidth="true" hidden="false" outlineLevel="0" max="11" min="11" style="80" width="6.14"/>
    <col collapsed="false" customWidth="true" hidden="false" outlineLevel="0" max="12" min="12" style="80" width="14.57"/>
    <col collapsed="false" customWidth="false" hidden="false" outlineLevel="0" max="14" min="13" style="80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79" t="s">
        <v>28</v>
      </c>
      <c r="G1" s="79" t="s">
        <v>29</v>
      </c>
      <c r="H1" s="79" t="s">
        <v>3</v>
      </c>
    </row>
    <row r="2" customFormat="false" ht="12.75" hidden="false" customHeight="false" outlineLevel="0" collapsed="false">
      <c r="A2" s="3" t="s">
        <v>66</v>
      </c>
      <c r="C2" s="81" t="s">
        <v>67</v>
      </c>
      <c r="D2" s="79" t="n">
        <f aca="false">SUM(D4:D33)</f>
        <v>15000</v>
      </c>
      <c r="E2" s="79" t="n">
        <f aca="false">SUM(E4:E33)</f>
        <v>-44917.06</v>
      </c>
      <c r="F2" s="79" t="n">
        <f aca="false">SUM(F4:F33)</f>
        <v>0</v>
      </c>
      <c r="G2" s="79" t="n">
        <f aca="false">SUM(G4:G33)</f>
        <v>0</v>
      </c>
      <c r="H2" s="79" t="n">
        <f aca="false">F2+G2</f>
        <v>0</v>
      </c>
    </row>
    <row r="3" customFormat="false" ht="12.75" hidden="false" customHeight="false" outlineLevel="0" collapsed="false">
      <c r="B3" s="18"/>
    </row>
    <row r="4" customFormat="false" ht="12.75" hidden="false" customHeight="false" outlineLevel="0" collapsed="false">
      <c r="B4" s="42"/>
      <c r="H4" s="79" t="n">
        <f aca="false">H3+F4+G4</f>
        <v>0</v>
      </c>
    </row>
    <row r="5" customFormat="false" ht="12.75" hidden="false" customHeight="false" outlineLevel="0" collapsed="false">
      <c r="B5" s="42"/>
      <c r="H5" s="79" t="n">
        <f aca="false">H4+F5+G5</f>
        <v>0</v>
      </c>
    </row>
    <row r="6" customFormat="false" ht="12.75" hidden="false" customHeight="false" outlineLevel="0" collapsed="false">
      <c r="A6" s="82"/>
      <c r="B6" s="83"/>
      <c r="C6" s="84"/>
      <c r="D6" s="85"/>
      <c r="E6" s="85"/>
      <c r="H6" s="79" t="n">
        <f aca="false">H5+F6+G6</f>
        <v>0</v>
      </c>
    </row>
    <row r="7" customFormat="false" ht="12.75" hidden="false" customHeight="false" outlineLevel="0" collapsed="false">
      <c r="A7" s="86"/>
      <c r="B7" s="83" t="s">
        <v>68</v>
      </c>
      <c r="C7" s="87"/>
      <c r="D7" s="88"/>
      <c r="E7" s="88" t="n">
        <f aca="false">E39</f>
        <v>0</v>
      </c>
      <c r="F7" s="89"/>
      <c r="G7" s="89" t="n">
        <f aca="false">E7</f>
        <v>0</v>
      </c>
      <c r="H7" s="79" t="n">
        <f aca="false">H6+F7+G7</f>
        <v>0</v>
      </c>
    </row>
    <row r="8" customFormat="false" ht="12.75" hidden="false" customHeight="false" outlineLevel="0" collapsed="false">
      <c r="A8" s="82"/>
      <c r="B8" s="83" t="s">
        <v>69</v>
      </c>
      <c r="C8" s="87"/>
      <c r="D8" s="88"/>
      <c r="E8" s="88" t="n">
        <f aca="false">E54</f>
        <v>0</v>
      </c>
      <c r="F8" s="89"/>
      <c r="G8" s="89" t="n">
        <f aca="false">E8</f>
        <v>0</v>
      </c>
      <c r="H8" s="79" t="n">
        <f aca="false">H7+F8+G8</f>
        <v>0</v>
      </c>
    </row>
    <row r="9" customFormat="false" ht="12.75" hidden="false" customHeight="false" outlineLevel="0" collapsed="false">
      <c r="G9" s="89"/>
      <c r="H9" s="79" t="n">
        <f aca="false">H8+F9+G9</f>
        <v>0</v>
      </c>
    </row>
    <row r="10" customFormat="false" ht="12.75" hidden="false" customHeight="false" outlineLevel="0" collapsed="false">
      <c r="A10" s="90"/>
      <c r="B10" s="91" t="s">
        <v>70</v>
      </c>
      <c r="C10" s="91"/>
      <c r="D10" s="92"/>
      <c r="E10" s="92" t="n">
        <v>-2117.06</v>
      </c>
      <c r="H10" s="79" t="n">
        <f aca="false">H9+F10+G10</f>
        <v>0</v>
      </c>
    </row>
    <row r="11" customFormat="false" ht="12.75" hidden="false" customHeight="false" outlineLevel="0" collapsed="false">
      <c r="B11" s="91" t="s">
        <v>71</v>
      </c>
      <c r="C11" s="91"/>
      <c r="D11" s="92"/>
      <c r="E11" s="92" t="n">
        <v>-17500</v>
      </c>
      <c r="H11" s="79" t="n">
        <f aca="false">H10+F11+G11</f>
        <v>0</v>
      </c>
    </row>
    <row r="12" customFormat="false" ht="12.75" hidden="false" customHeight="false" outlineLevel="0" collapsed="false">
      <c r="B12" s="93" t="s">
        <v>72</v>
      </c>
      <c r="C12" s="94"/>
      <c r="D12" s="92"/>
      <c r="E12" s="92" t="n">
        <v>0</v>
      </c>
      <c r="H12" s="79" t="n">
        <f aca="false">H11+F12+G12</f>
        <v>0</v>
      </c>
    </row>
    <row r="13" customFormat="false" ht="12.75" hidden="false" customHeight="false" outlineLevel="0" collapsed="false">
      <c r="A13" s="90"/>
      <c r="B13" s="94"/>
      <c r="C13" s="94"/>
      <c r="D13" s="92"/>
      <c r="E13" s="92"/>
      <c r="H13" s="79" t="n">
        <f aca="false">H12+F13+G13</f>
        <v>0</v>
      </c>
    </row>
    <row r="14" s="80" customFormat="true" ht="12.75" hidden="false" customHeight="false" outlineLevel="0" collapsed="false">
      <c r="A14" s="90"/>
      <c r="B14" s="3"/>
      <c r="C14" s="3"/>
      <c r="D14" s="79"/>
      <c r="E14" s="79"/>
      <c r="F14" s="79"/>
      <c r="G14" s="79"/>
      <c r="H14" s="79" t="n">
        <f aca="false">H13+F14+G14</f>
        <v>0</v>
      </c>
      <c r="I14" s="0"/>
      <c r="J14" s="0"/>
    </row>
    <row r="15" s="80" customFormat="true" ht="12.75" hidden="false" customHeight="false" outlineLevel="0" collapsed="false">
      <c r="A15" s="90"/>
      <c r="B15" s="95" t="s">
        <v>73</v>
      </c>
      <c r="C15" s="95"/>
      <c r="D15" s="92"/>
      <c r="E15" s="92" t="n">
        <v>-1000</v>
      </c>
      <c r="F15" s="79"/>
      <c r="G15" s="79"/>
      <c r="H15" s="79" t="n">
        <f aca="false">H14+F15+G15</f>
        <v>0</v>
      </c>
    </row>
    <row r="16" s="80" customFormat="true" ht="12.75" hidden="false" customHeight="false" outlineLevel="0" collapsed="false">
      <c r="A16" s="90"/>
      <c r="B16" s="95" t="s">
        <v>74</v>
      </c>
      <c r="C16" s="95"/>
      <c r="D16" s="92"/>
      <c r="E16" s="92" t="n">
        <v>-200</v>
      </c>
      <c r="F16" s="79"/>
      <c r="G16" s="79"/>
      <c r="H16" s="79" t="n">
        <f aca="false">H15+F16+G16</f>
        <v>0</v>
      </c>
    </row>
    <row r="17" s="80" customFormat="true" ht="12.75" hidden="false" customHeight="false" outlineLevel="0" collapsed="false">
      <c r="A17" s="90"/>
      <c r="B17" s="91" t="s">
        <v>75</v>
      </c>
      <c r="C17" s="91"/>
      <c r="D17" s="92"/>
      <c r="E17" s="92" t="n">
        <v>-200</v>
      </c>
      <c r="F17" s="79"/>
      <c r="G17" s="79"/>
      <c r="H17" s="79" t="n">
        <f aca="false">H16+F17+G17</f>
        <v>0</v>
      </c>
    </row>
    <row r="18" s="80" customFormat="true" ht="12.75" hidden="false" customHeight="false" outlineLevel="0" collapsed="false">
      <c r="A18" s="90"/>
      <c r="B18" s="94" t="s">
        <v>76</v>
      </c>
      <c r="C18" s="94"/>
      <c r="D18" s="92" t="n">
        <v>15000</v>
      </c>
      <c r="E18" s="92"/>
      <c r="F18" s="79"/>
      <c r="G18" s="79"/>
      <c r="H18" s="79" t="n">
        <f aca="false">H17+F18+G18</f>
        <v>0</v>
      </c>
      <c r="J18" s="96"/>
      <c r="K18" s="96"/>
      <c r="L18" s="97"/>
      <c r="M18" s="98"/>
    </row>
    <row r="19" s="80" customFormat="true" ht="12.75" hidden="false" customHeight="false" outlineLevel="0" collapsed="false">
      <c r="B19" s="94" t="s">
        <v>77</v>
      </c>
      <c r="C19" s="94"/>
      <c r="D19" s="92"/>
      <c r="E19" s="92" t="n">
        <v>-7500</v>
      </c>
      <c r="F19" s="79"/>
      <c r="G19" s="79"/>
      <c r="H19" s="79" t="n">
        <f aca="false">H18+F19+G19</f>
        <v>0</v>
      </c>
      <c r="J19" s="96"/>
      <c r="K19" s="96"/>
      <c r="L19" s="97"/>
      <c r="M19" s="98"/>
    </row>
    <row r="20" s="80" customFormat="true" ht="12.75" hidden="false" customHeight="false" outlineLevel="0" collapsed="false">
      <c r="B20" s="94" t="s">
        <v>78</v>
      </c>
      <c r="C20" s="94"/>
      <c r="D20" s="92"/>
      <c r="E20" s="92" t="n">
        <v>-7500</v>
      </c>
      <c r="F20" s="79"/>
      <c r="G20" s="79"/>
      <c r="H20" s="79" t="n">
        <f aca="false">H19+F20+G20</f>
        <v>0</v>
      </c>
      <c r="J20" s="96"/>
      <c r="K20" s="96"/>
      <c r="L20" s="97"/>
      <c r="M20" s="98"/>
    </row>
    <row r="21" s="80" customFormat="true" ht="12.75" hidden="false" customHeight="false" outlineLevel="0" collapsed="false">
      <c r="B21" s="94" t="s">
        <v>79</v>
      </c>
      <c r="C21" s="94"/>
      <c r="D21" s="92"/>
      <c r="E21" s="92" t="n">
        <v>-7500</v>
      </c>
      <c r="F21" s="79"/>
      <c r="G21" s="79"/>
      <c r="H21" s="79" t="n">
        <f aca="false">H20+F21+G21</f>
        <v>0</v>
      </c>
      <c r="J21" s="96"/>
      <c r="K21" s="96"/>
      <c r="L21" s="97"/>
      <c r="M21" s="98"/>
    </row>
    <row r="22" s="80" customFormat="true" ht="12.75" hidden="false" customHeight="false" outlineLevel="0" collapsed="false">
      <c r="B22" s="3"/>
      <c r="C22" s="3"/>
      <c r="D22" s="79"/>
      <c r="E22" s="79"/>
      <c r="F22" s="79"/>
      <c r="G22" s="79"/>
      <c r="H22" s="79" t="n">
        <f aca="false">H21+F22+G22</f>
        <v>0</v>
      </c>
      <c r="J22" s="96"/>
      <c r="K22" s="96"/>
      <c r="L22" s="97"/>
      <c r="M22" s="98"/>
    </row>
    <row r="23" s="80" customFormat="true" ht="12.75" hidden="false" customHeight="false" outlineLevel="0" collapsed="false">
      <c r="A23" s="99"/>
      <c r="B23" s="94"/>
      <c r="C23" s="94"/>
      <c r="D23" s="92"/>
      <c r="E23" s="92"/>
      <c r="F23" s="79"/>
      <c r="G23" s="79"/>
      <c r="H23" s="79" t="n">
        <f aca="false">H22+F23+G23</f>
        <v>0</v>
      </c>
      <c r="J23" s="96"/>
      <c r="K23" s="96"/>
      <c r="L23" s="97"/>
      <c r="M23" s="98"/>
    </row>
    <row r="24" s="80" customFormat="true" ht="12.75" hidden="false" customHeight="false" outlineLevel="0" collapsed="false">
      <c r="A24" s="100"/>
      <c r="B24" s="3"/>
      <c r="C24" s="3"/>
      <c r="D24" s="79"/>
      <c r="E24" s="79"/>
      <c r="F24" s="79"/>
      <c r="G24" s="79"/>
      <c r="H24" s="79" t="n">
        <f aca="false">H23+F24+G24</f>
        <v>0</v>
      </c>
      <c r="J24" s="96"/>
      <c r="K24" s="96"/>
      <c r="L24" s="97"/>
      <c r="M24" s="98"/>
    </row>
    <row r="25" s="80" customFormat="true" ht="12.75" hidden="false" customHeight="false" outlineLevel="0" collapsed="false">
      <c r="B25" s="101" t="s">
        <v>80</v>
      </c>
      <c r="C25" s="101"/>
      <c r="D25" s="79"/>
      <c r="E25" s="79" t="n">
        <v>-600</v>
      </c>
      <c r="F25" s="79"/>
      <c r="G25" s="79"/>
      <c r="H25" s="79" t="n">
        <f aca="false">H24+F25+G25</f>
        <v>0</v>
      </c>
      <c r="J25" s="96"/>
      <c r="K25" s="96"/>
      <c r="L25" s="97"/>
      <c r="M25" s="98"/>
    </row>
    <row r="26" s="80" customFormat="true" ht="12.75" hidden="false" customHeight="false" outlineLevel="0" collapsed="false">
      <c r="B26" s="101" t="s">
        <v>81</v>
      </c>
      <c r="C26" s="101"/>
      <c r="D26" s="79"/>
      <c r="E26" s="79" t="n">
        <v>-800</v>
      </c>
      <c r="F26" s="79"/>
      <c r="G26" s="79"/>
      <c r="H26" s="79" t="n">
        <f aca="false">H25+F26+G26</f>
        <v>0</v>
      </c>
      <c r="J26" s="96"/>
      <c r="K26" s="96"/>
      <c r="L26" s="97"/>
      <c r="M26" s="98"/>
    </row>
    <row r="27" s="80" customFormat="true" ht="12.75" hidden="false" customHeight="false" outlineLevel="0" collapsed="false">
      <c r="B27" s="3"/>
      <c r="C27" s="3"/>
      <c r="D27" s="79"/>
      <c r="E27" s="79"/>
      <c r="F27" s="79"/>
      <c r="G27" s="79"/>
      <c r="H27" s="79" t="n">
        <f aca="false">H26+F27+G27</f>
        <v>0</v>
      </c>
    </row>
    <row r="28" s="80" customFormat="true" ht="12.75" hidden="false" customHeight="false" outlineLevel="0" collapsed="false">
      <c r="D28" s="79"/>
      <c r="E28" s="79"/>
      <c r="F28" s="79"/>
      <c r="G28" s="79"/>
      <c r="H28" s="79" t="n">
        <f aca="false">H27+F28+G28</f>
        <v>0</v>
      </c>
    </row>
    <row r="29" customFormat="false" ht="12.75" hidden="false" customHeight="false" outlineLevel="0" collapsed="false">
      <c r="A29" s="102"/>
      <c r="B29" s="103" t="s">
        <v>82</v>
      </c>
      <c r="C29" s="103"/>
      <c r="H29" s="79" t="n">
        <f aca="false">H28+F29+G29</f>
        <v>0</v>
      </c>
      <c r="I29" s="80"/>
      <c r="J29" s="80"/>
    </row>
    <row r="30" customFormat="false" ht="12.75" hidden="false" customHeight="false" outlineLevel="0" collapsed="false">
      <c r="A30" s="102"/>
      <c r="H30" s="79" t="n">
        <f aca="false">H29+F30+G30</f>
        <v>0</v>
      </c>
    </row>
    <row r="31" customFormat="false" ht="12.75" hidden="false" customHeight="false" outlineLevel="0" collapsed="false">
      <c r="H31" s="79" t="n">
        <f aca="false">H30+F31+G31</f>
        <v>0</v>
      </c>
    </row>
    <row r="33" s="80" customFormat="true" ht="12.75" hidden="false" customHeight="false" outlineLevel="0" collapsed="false">
      <c r="A33" s="100"/>
      <c r="B33" s="0"/>
      <c r="C33" s="0"/>
      <c r="D33" s="79"/>
      <c r="E33" s="79"/>
      <c r="F33" s="79"/>
      <c r="G33" s="79"/>
      <c r="H33" s="79"/>
      <c r="I33" s="0"/>
      <c r="J33" s="0"/>
    </row>
    <row r="34" s="80" customFormat="true" ht="12.75" hidden="false" customHeight="false" outlineLevel="0" collapsed="false">
      <c r="B34" s="103"/>
      <c r="C34" s="103"/>
      <c r="D34" s="79"/>
      <c r="E34" s="79"/>
      <c r="F34" s="79"/>
      <c r="G34" s="79"/>
      <c r="H34" s="79"/>
      <c r="J34" s="96"/>
      <c r="K34" s="96"/>
      <c r="L34" s="97"/>
      <c r="M34" s="98"/>
    </row>
    <row r="35" s="80" customFormat="true" ht="12.75" hidden="false" customHeight="false" outlineLevel="0" collapsed="false">
      <c r="B35" s="103"/>
      <c r="C35" s="103"/>
      <c r="D35" s="79"/>
      <c r="E35" s="79"/>
      <c r="F35" s="79"/>
      <c r="G35" s="79"/>
      <c r="H35" s="79"/>
      <c r="J35" s="96"/>
      <c r="K35" s="96"/>
      <c r="L35" s="97"/>
      <c r="M35" s="98"/>
    </row>
    <row r="36" s="80" customFormat="true" ht="12.75" hidden="false" customHeight="false" outlineLevel="0" collapsed="false">
      <c r="A36" s="100"/>
      <c r="D36" s="79"/>
      <c r="E36" s="79"/>
      <c r="F36" s="79"/>
      <c r="G36" s="79"/>
      <c r="H36" s="79"/>
    </row>
    <row r="37" s="79" customFormat="true" ht="12.75" hidden="false" customHeight="false" outlineLevel="0" collapsed="false">
      <c r="A37" s="90"/>
      <c r="B37" s="80"/>
      <c r="C37" s="80"/>
      <c r="I37" s="80"/>
      <c r="J37" s="80"/>
      <c r="K37" s="80"/>
      <c r="L37" s="80"/>
      <c r="M37" s="80"/>
      <c r="N37" s="80"/>
    </row>
    <row r="38" s="79" customFormat="true" ht="12.75" hidden="false" customHeight="false" outlineLevel="0" collapsed="false">
      <c r="B38" s="104"/>
      <c r="K38" s="80"/>
      <c r="L38" s="80"/>
      <c r="M38" s="80"/>
      <c r="N38" s="80"/>
    </row>
    <row r="39" customFormat="false" ht="12.75" hidden="false" customHeight="false" outlineLevel="0" collapsed="false">
      <c r="A39" s="105"/>
      <c r="B39" s="106" t="s">
        <v>83</v>
      </c>
      <c r="C39" s="105"/>
      <c r="E39" s="79" t="n">
        <f aca="false">SUM(E40:E51)</f>
        <v>0</v>
      </c>
      <c r="I39" s="79"/>
      <c r="J39" s="79"/>
    </row>
    <row r="40" s="79" customFormat="true" ht="13.8" hidden="false" customHeight="false" outlineLevel="0" collapsed="false">
      <c r="A40" s="0"/>
      <c r="B40" s="0"/>
      <c r="C40" s="0"/>
      <c r="E40" s="107" t="s">
        <v>84</v>
      </c>
      <c r="I40" s="0"/>
      <c r="J40" s="0"/>
      <c r="K40" s="80"/>
      <c r="L40" s="80"/>
      <c r="M40" s="80"/>
      <c r="N40" s="80"/>
    </row>
    <row r="41" s="79" customFormat="true" ht="12.75" hidden="false" customHeight="false" outlineLevel="0" collapsed="false">
      <c r="A41" s="90"/>
      <c r="K41" s="80"/>
      <c r="L41" s="80"/>
      <c r="M41" s="80"/>
      <c r="N41" s="80"/>
    </row>
    <row r="42" s="79" customFormat="true" ht="12.75" hidden="false" customHeight="false" outlineLevel="0" collapsed="false">
      <c r="A42" s="90"/>
      <c r="K42" s="80"/>
      <c r="L42" s="80"/>
      <c r="M42" s="80"/>
      <c r="N42" s="80"/>
    </row>
    <row r="43" s="79" customFormat="true" ht="12.75" hidden="false" customHeight="false" outlineLevel="0" collapsed="false">
      <c r="A43" s="90"/>
      <c r="K43" s="80"/>
      <c r="L43" s="80"/>
      <c r="M43" s="80"/>
      <c r="N43" s="80"/>
    </row>
    <row r="44" customFormat="false" ht="12.75" hidden="false" customHeight="false" outlineLevel="0" collapsed="false">
      <c r="A44" s="90"/>
      <c r="B44" s="79"/>
      <c r="C44" s="79"/>
      <c r="I44" s="79"/>
      <c r="J44" s="79"/>
    </row>
    <row r="45" s="79" customFormat="true" ht="12.75" hidden="false" customHeight="false" outlineLevel="0" collapsed="false">
      <c r="A45" s="0"/>
      <c r="B45" s="0"/>
      <c r="C45" s="0"/>
      <c r="I45" s="0"/>
      <c r="J45" s="0"/>
      <c r="K45" s="80"/>
      <c r="L45" s="80"/>
      <c r="M45" s="80"/>
      <c r="N45" s="80"/>
    </row>
    <row r="46" s="79" customFormat="true" ht="12.75" hidden="false" customHeight="false" outlineLevel="0" collapsed="false">
      <c r="A46" s="102"/>
      <c r="B46" s="108"/>
      <c r="C46" s="108"/>
      <c r="K46" s="80"/>
      <c r="L46" s="80"/>
      <c r="M46" s="80"/>
      <c r="N46" s="80"/>
    </row>
    <row r="47" s="79" customFormat="true" ht="12.75" hidden="false" customHeight="false" outlineLevel="0" collapsed="false">
      <c r="A47" s="102"/>
      <c r="B47" s="108"/>
      <c r="C47" s="108"/>
      <c r="K47" s="80"/>
      <c r="L47" s="80"/>
      <c r="M47" s="80"/>
      <c r="N47" s="80"/>
    </row>
    <row r="48" s="79" customFormat="true" ht="12.75" hidden="false" customHeight="false" outlineLevel="0" collapsed="false">
      <c r="A48" s="102"/>
      <c r="B48" s="109"/>
      <c r="C48" s="108"/>
      <c r="K48" s="80"/>
      <c r="L48" s="80"/>
      <c r="M48" s="80"/>
      <c r="N48" s="80"/>
    </row>
    <row r="49" s="79" customFormat="true" ht="12.75" hidden="false" customHeight="false" outlineLevel="0" collapsed="false">
      <c r="A49" s="102"/>
      <c r="B49" s="109"/>
      <c r="C49" s="108"/>
      <c r="K49" s="80"/>
      <c r="L49" s="80"/>
      <c r="M49" s="80"/>
      <c r="N49" s="80"/>
    </row>
    <row r="50" s="79" customFormat="true" ht="12.75" hidden="false" customHeight="false" outlineLevel="0" collapsed="false">
      <c r="A50" s="102"/>
      <c r="B50" s="109"/>
      <c r="K50" s="80"/>
      <c r="L50" s="80"/>
      <c r="M50" s="80"/>
      <c r="N50" s="80"/>
    </row>
    <row r="51" s="79" customFormat="true" ht="12.75" hidden="false" customHeight="false" outlineLevel="0" collapsed="false">
      <c r="A51" s="102"/>
      <c r="B51" s="109"/>
      <c r="C51" s="108"/>
      <c r="K51" s="80"/>
      <c r="L51" s="80"/>
      <c r="M51" s="80"/>
      <c r="N51" s="80"/>
    </row>
    <row r="52" s="79" customFormat="true" ht="12.75" hidden="false" customHeight="false" outlineLevel="0" collapsed="false">
      <c r="A52" s="102"/>
      <c r="B52" s="3"/>
      <c r="K52" s="80"/>
      <c r="L52" s="80"/>
      <c r="M52" s="80"/>
      <c r="N52" s="80"/>
    </row>
    <row r="53" s="79" customFormat="true" ht="12.75" hidden="false" customHeight="false" outlineLevel="0" collapsed="false">
      <c r="A53" s="102"/>
      <c r="B53" s="108"/>
      <c r="C53" s="108"/>
      <c r="K53" s="80"/>
      <c r="L53" s="80"/>
      <c r="M53" s="80"/>
      <c r="N53" s="80"/>
    </row>
    <row r="54" s="79" customFormat="true" ht="12.75" hidden="false" customHeight="false" outlineLevel="0" collapsed="false">
      <c r="A54" s="105"/>
      <c r="B54" s="106" t="s">
        <v>85</v>
      </c>
      <c r="C54" s="105"/>
      <c r="E54" s="79" t="n">
        <f aca="false">SUM(E55:E73)</f>
        <v>0</v>
      </c>
      <c r="K54" s="80"/>
      <c r="L54" s="80"/>
      <c r="M54" s="80"/>
      <c r="N54" s="80"/>
    </row>
    <row r="55" s="79" customFormat="true" ht="12.75" hidden="false" customHeight="false" outlineLevel="0" collapsed="false">
      <c r="A55" s="102"/>
      <c r="B55" s="108"/>
      <c r="C55" s="108"/>
      <c r="K55" s="80"/>
      <c r="L55" s="80"/>
      <c r="M55" s="80"/>
      <c r="N55" s="80"/>
    </row>
    <row r="56" s="79" customFormat="true" ht="12.75" hidden="false" customHeight="false" outlineLevel="0" collapsed="false">
      <c r="A56" s="102"/>
      <c r="B56" s="108"/>
      <c r="C56" s="108"/>
      <c r="K56" s="80"/>
      <c r="L56" s="80"/>
      <c r="M56" s="80"/>
      <c r="N56" s="80"/>
    </row>
    <row r="57" s="79" customFormat="true" ht="12.75" hidden="false" customHeight="false" outlineLevel="0" collapsed="false">
      <c r="A57" s="102"/>
      <c r="B57" s="3"/>
      <c r="C57" s="108"/>
      <c r="K57" s="80"/>
      <c r="L57" s="80"/>
      <c r="M57" s="80"/>
      <c r="N57" s="80"/>
    </row>
    <row r="58" s="79" customFormat="true" ht="12.75" hidden="false" customHeight="false" outlineLevel="0" collapsed="false">
      <c r="A58" s="102"/>
      <c r="B58" s="3"/>
      <c r="C58" s="108"/>
      <c r="K58" s="80"/>
      <c r="L58" s="80"/>
      <c r="M58" s="80"/>
      <c r="N58" s="80"/>
    </row>
    <row r="59" s="79" customFormat="true" ht="12.75" hidden="false" customHeight="false" outlineLevel="0" collapsed="false">
      <c r="A59" s="102"/>
      <c r="B59" s="3"/>
      <c r="C59" s="108"/>
      <c r="K59" s="80"/>
      <c r="L59" s="80"/>
      <c r="M59" s="80"/>
      <c r="N59" s="80"/>
    </row>
    <row r="60" s="79" customFormat="true" ht="12.75" hidden="false" customHeight="false" outlineLevel="0" collapsed="false">
      <c r="A60" s="102"/>
      <c r="B60" s="3"/>
      <c r="C60" s="108"/>
      <c r="K60" s="80"/>
      <c r="L60" s="80"/>
      <c r="M60" s="80"/>
      <c r="N60" s="80"/>
    </row>
    <row r="61" s="79" customFormat="true" ht="12.75" hidden="false" customHeight="false" outlineLevel="0" collapsed="false">
      <c r="A61" s="102"/>
      <c r="B61" s="3"/>
      <c r="C61" s="108"/>
      <c r="K61" s="80"/>
      <c r="L61" s="80"/>
      <c r="M61" s="80"/>
      <c r="N61" s="80"/>
    </row>
    <row r="62" s="79" customFormat="true" ht="12.75" hidden="false" customHeight="false" outlineLevel="0" collapsed="false">
      <c r="A62" s="102"/>
      <c r="B62" s="3"/>
      <c r="C62" s="108"/>
      <c r="K62" s="80"/>
      <c r="L62" s="80"/>
      <c r="M62" s="80"/>
      <c r="N62" s="80"/>
    </row>
    <row r="63" s="79" customFormat="true" ht="12.75" hidden="false" customHeight="false" outlineLevel="0" collapsed="false">
      <c r="A63" s="102"/>
      <c r="B63" s="3"/>
      <c r="C63" s="108"/>
      <c r="K63" s="80"/>
      <c r="L63" s="80"/>
      <c r="M63" s="80"/>
      <c r="N63" s="80"/>
    </row>
    <row r="64" s="79" customFormat="true" ht="12.75" hidden="false" customHeight="false" outlineLevel="0" collapsed="false">
      <c r="A64" s="102"/>
      <c r="B64" s="3"/>
      <c r="C64" s="108"/>
      <c r="K64" s="80"/>
      <c r="L64" s="80"/>
      <c r="M64" s="80"/>
      <c r="N64" s="80"/>
    </row>
    <row r="65" s="79" customFormat="true" ht="12.75" hidden="false" customHeight="false" outlineLevel="0" collapsed="false">
      <c r="A65" s="102"/>
      <c r="B65" s="3"/>
      <c r="C65" s="108"/>
      <c r="K65" s="80"/>
      <c r="L65" s="80"/>
      <c r="M65" s="80"/>
      <c r="N65" s="80"/>
    </row>
    <row r="66" s="79" customFormat="true" ht="12.75" hidden="false" customHeight="false" outlineLevel="0" collapsed="false">
      <c r="A66" s="102"/>
      <c r="B66" s="3"/>
      <c r="C66" s="108"/>
      <c r="K66" s="80"/>
      <c r="L66" s="80"/>
      <c r="M66" s="80"/>
      <c r="N66" s="80"/>
    </row>
    <row r="67" s="79" customFormat="true" ht="12.75" hidden="false" customHeight="false" outlineLevel="0" collapsed="false">
      <c r="A67" s="102" t="n">
        <v>45649</v>
      </c>
      <c r="B67" s="3" t="s">
        <v>86</v>
      </c>
      <c r="C67" s="108"/>
      <c r="K67" s="80"/>
      <c r="L67" s="80"/>
      <c r="M67" s="80"/>
      <c r="N67" s="80"/>
    </row>
    <row r="68" s="79" customFormat="true" ht="13.8" hidden="false" customHeight="false" outlineLevel="0" collapsed="false">
      <c r="A68" s="102"/>
      <c r="B68" s="3"/>
      <c r="C68" s="108"/>
      <c r="E68" s="107" t="s">
        <v>84</v>
      </c>
      <c r="K68" s="80"/>
      <c r="L68" s="80"/>
      <c r="M68" s="80"/>
      <c r="N68" s="80"/>
    </row>
    <row r="69" s="79" customFormat="true" ht="12.75" hidden="false" customHeight="false" outlineLevel="0" collapsed="false">
      <c r="A69" s="102"/>
      <c r="B69" s="3"/>
      <c r="C69" s="108"/>
      <c r="K69" s="80"/>
      <c r="L69" s="80"/>
      <c r="M69" s="80"/>
      <c r="N69" s="80"/>
    </row>
    <row r="70" s="79" customFormat="true" ht="12.75" hidden="false" customHeight="false" outlineLevel="0" collapsed="false">
      <c r="A70" s="102"/>
      <c r="B70" s="3"/>
      <c r="C70" s="108"/>
      <c r="K70" s="80"/>
      <c r="L70" s="80"/>
      <c r="M70" s="80"/>
      <c r="N70" s="80"/>
    </row>
    <row r="71" s="79" customFormat="true" ht="12.75" hidden="false" customHeight="false" outlineLevel="0" collapsed="false">
      <c r="A71" s="102"/>
      <c r="B71" s="3"/>
      <c r="C71" s="108"/>
      <c r="K71" s="80"/>
      <c r="L71" s="80"/>
      <c r="M71" s="80"/>
      <c r="N71" s="80"/>
    </row>
    <row r="72" s="79" customFormat="true" ht="12.75" hidden="false" customHeight="false" outlineLevel="0" collapsed="false">
      <c r="A72" s="102"/>
      <c r="B72" s="3"/>
      <c r="C72" s="108"/>
      <c r="K72" s="80"/>
      <c r="L72" s="80"/>
      <c r="M72" s="80"/>
      <c r="N72" s="80"/>
    </row>
    <row r="73" s="79" customFormat="true" ht="12.75" hidden="false" customHeight="false" outlineLevel="0" collapsed="false">
      <c r="A73" s="102"/>
      <c r="B73" s="3"/>
      <c r="C73" s="108"/>
      <c r="K73" s="80"/>
      <c r="L73" s="80"/>
      <c r="M73" s="80"/>
      <c r="N73" s="80"/>
    </row>
    <row r="74" s="79" customFormat="true" ht="12.75" hidden="false" customHeight="false" outlineLevel="0" collapsed="false">
      <c r="A74" s="102"/>
      <c r="B74" s="3"/>
      <c r="K74" s="80"/>
      <c r="L74" s="80"/>
      <c r="M74" s="80"/>
      <c r="N74" s="80"/>
    </row>
    <row r="75" s="79" customFormat="true" ht="12.75" hidden="false" customHeight="false" outlineLevel="0" collapsed="false">
      <c r="A75" s="102"/>
      <c r="B75" s="3"/>
      <c r="C75" s="108"/>
      <c r="K75" s="80"/>
      <c r="L75" s="80"/>
      <c r="M75" s="80"/>
      <c r="N75" s="80"/>
    </row>
    <row r="76" s="79" customFormat="true" ht="12.75" hidden="false" customHeight="false" outlineLevel="0" collapsed="false">
      <c r="A76" s="102"/>
      <c r="B76" s="3"/>
      <c r="C76" s="108"/>
      <c r="K76" s="80"/>
      <c r="L76" s="80"/>
      <c r="M76" s="80"/>
      <c r="N76" s="80"/>
    </row>
    <row r="77" customFormat="false" ht="12.75" hidden="false" customHeight="false" outlineLevel="0" collapsed="false">
      <c r="A77" s="102"/>
      <c r="B77" s="3"/>
      <c r="C77" s="108"/>
      <c r="I77" s="79"/>
      <c r="J77" s="79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C2E6"/>
    <pageSetUpPr fitToPage="false"/>
  </sheetPr>
  <dimension ref="A1:N77"/>
  <sheetViews>
    <sheetView showFormulas="false" showGridLines="true" showRowColHeaders="true" showZeros="true" rightToLeft="false" tabSelected="false" showOutlineSymbols="true" defaultGridColor="true" view="normal" topLeftCell="A65" colorId="64" zoomScale="145" zoomScaleNormal="145" zoomScalePageLayoutView="100" workbookViewId="0">
      <selection pane="topLeft" activeCell="A79" activeCellId="0" sqref="A79"/>
    </sheetView>
  </sheetViews>
  <sheetFormatPr defaultColWidth="12.2929687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79" width="11.57"/>
    <col collapsed="false" customWidth="false" hidden="false" outlineLevel="0" max="8" min="5" style="79" width="12.29"/>
    <col collapsed="false" customWidth="true" hidden="false" outlineLevel="0" max="10" min="10" style="0" width="27.43"/>
    <col collapsed="false" customWidth="true" hidden="false" outlineLevel="0" max="11" min="11" style="80" width="6.14"/>
    <col collapsed="false" customWidth="true" hidden="false" outlineLevel="0" max="12" min="12" style="80" width="14.57"/>
    <col collapsed="false" customWidth="false" hidden="false" outlineLevel="0" max="14" min="13" style="80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79" t="s">
        <v>28</v>
      </c>
      <c r="G1" s="79" t="s">
        <v>29</v>
      </c>
      <c r="H1" s="79" t="s">
        <v>3</v>
      </c>
    </row>
    <row r="2" customFormat="false" ht="12.75" hidden="false" customHeight="false" outlineLevel="0" collapsed="false">
      <c r="A2" s="3" t="s">
        <v>66</v>
      </c>
      <c r="C2" s="81" t="s">
        <v>67</v>
      </c>
      <c r="D2" s="79" t="n">
        <f aca="false">SUM(D4:D33)</f>
        <v>15000</v>
      </c>
      <c r="E2" s="79" t="n">
        <f aca="false">SUM(E4:E33)</f>
        <v>-44917.06</v>
      </c>
      <c r="F2" s="79" t="n">
        <f aca="false">SUM(F4:F33)</f>
        <v>0</v>
      </c>
      <c r="G2" s="79" t="n">
        <f aca="false">SUM(G4:G33)</f>
        <v>0</v>
      </c>
      <c r="H2" s="79" t="n">
        <f aca="false">F2+G2</f>
        <v>0</v>
      </c>
    </row>
    <row r="3" customFormat="false" ht="12.75" hidden="false" customHeight="false" outlineLevel="0" collapsed="false">
      <c r="B3" s="18"/>
    </row>
    <row r="4" customFormat="false" ht="12.75" hidden="false" customHeight="false" outlineLevel="0" collapsed="false">
      <c r="B4" s="42"/>
      <c r="H4" s="79" t="n">
        <f aca="false">H3+F4+G4</f>
        <v>0</v>
      </c>
    </row>
    <row r="5" customFormat="false" ht="12.75" hidden="false" customHeight="false" outlineLevel="0" collapsed="false">
      <c r="B5" s="42"/>
      <c r="H5" s="79" t="n">
        <f aca="false">H4+F5+G5</f>
        <v>0</v>
      </c>
    </row>
    <row r="6" customFormat="false" ht="12.75" hidden="false" customHeight="false" outlineLevel="0" collapsed="false">
      <c r="A6" s="82"/>
      <c r="B6" s="83"/>
      <c r="C6" s="84"/>
      <c r="D6" s="85"/>
      <c r="E6" s="85"/>
      <c r="H6" s="79" t="n">
        <f aca="false">H5+F6+G6</f>
        <v>0</v>
      </c>
    </row>
    <row r="7" customFormat="false" ht="12.75" hidden="false" customHeight="false" outlineLevel="0" collapsed="false">
      <c r="A7" s="86"/>
      <c r="B7" s="83" t="s">
        <v>68</v>
      </c>
      <c r="C7" s="87"/>
      <c r="D7" s="88"/>
      <c r="E7" s="88" t="n">
        <f aca="false">E39</f>
        <v>0</v>
      </c>
      <c r="F7" s="89"/>
      <c r="G7" s="89" t="n">
        <f aca="false">E7</f>
        <v>0</v>
      </c>
      <c r="H7" s="79" t="n">
        <f aca="false">H6+F7+G7</f>
        <v>0</v>
      </c>
    </row>
    <row r="8" customFormat="false" ht="12.75" hidden="false" customHeight="false" outlineLevel="0" collapsed="false">
      <c r="A8" s="82"/>
      <c r="B8" s="83" t="s">
        <v>69</v>
      </c>
      <c r="C8" s="87"/>
      <c r="D8" s="88"/>
      <c r="E8" s="88" t="n">
        <f aca="false">E54</f>
        <v>0</v>
      </c>
      <c r="F8" s="89"/>
      <c r="G8" s="89" t="n">
        <f aca="false">E8</f>
        <v>0</v>
      </c>
      <c r="H8" s="79" t="n">
        <f aca="false">H7+F8+G8</f>
        <v>0</v>
      </c>
    </row>
    <row r="9" customFormat="false" ht="12.75" hidden="false" customHeight="false" outlineLevel="0" collapsed="false">
      <c r="G9" s="89"/>
      <c r="H9" s="79" t="n">
        <f aca="false">H8+F9+G9</f>
        <v>0</v>
      </c>
    </row>
    <row r="10" customFormat="false" ht="12.75" hidden="false" customHeight="false" outlineLevel="0" collapsed="false">
      <c r="A10" s="90"/>
      <c r="B10" s="91" t="s">
        <v>70</v>
      </c>
      <c r="C10" s="91"/>
      <c r="D10" s="92"/>
      <c r="E10" s="92" t="n">
        <v>-2117.06</v>
      </c>
      <c r="H10" s="79" t="n">
        <f aca="false">H9+F10+G10</f>
        <v>0</v>
      </c>
    </row>
    <row r="11" customFormat="false" ht="12.75" hidden="false" customHeight="false" outlineLevel="0" collapsed="false">
      <c r="B11" s="91" t="s">
        <v>71</v>
      </c>
      <c r="C11" s="91"/>
      <c r="D11" s="92"/>
      <c r="E11" s="92" t="n">
        <v>-17500</v>
      </c>
      <c r="H11" s="79" t="n">
        <f aca="false">H10+F11+G11</f>
        <v>0</v>
      </c>
    </row>
    <row r="12" customFormat="false" ht="12.75" hidden="false" customHeight="false" outlineLevel="0" collapsed="false">
      <c r="B12" s="93" t="s">
        <v>72</v>
      </c>
      <c r="C12" s="94"/>
      <c r="D12" s="92"/>
      <c r="E12" s="92" t="n">
        <v>0</v>
      </c>
      <c r="H12" s="79" t="n">
        <f aca="false">H11+F12+G12</f>
        <v>0</v>
      </c>
    </row>
    <row r="13" customFormat="false" ht="12.75" hidden="false" customHeight="false" outlineLevel="0" collapsed="false">
      <c r="A13" s="90"/>
      <c r="B13" s="94"/>
      <c r="C13" s="94"/>
      <c r="D13" s="92"/>
      <c r="E13" s="92"/>
      <c r="H13" s="79" t="n">
        <f aca="false">H12+F13+G13</f>
        <v>0</v>
      </c>
    </row>
    <row r="14" s="80" customFormat="true" ht="12.75" hidden="false" customHeight="false" outlineLevel="0" collapsed="false">
      <c r="A14" s="90"/>
      <c r="B14" s="3"/>
      <c r="C14" s="3"/>
      <c r="D14" s="79"/>
      <c r="E14" s="79"/>
      <c r="F14" s="79"/>
      <c r="G14" s="79"/>
      <c r="H14" s="79" t="n">
        <f aca="false">H13+F14+G14</f>
        <v>0</v>
      </c>
      <c r="I14" s="0"/>
      <c r="J14" s="0"/>
    </row>
    <row r="15" s="80" customFormat="true" ht="12.75" hidden="false" customHeight="false" outlineLevel="0" collapsed="false">
      <c r="A15" s="90"/>
      <c r="B15" s="95" t="s">
        <v>73</v>
      </c>
      <c r="C15" s="95"/>
      <c r="D15" s="92"/>
      <c r="E15" s="92" t="n">
        <v>-1000</v>
      </c>
      <c r="F15" s="79"/>
      <c r="G15" s="79"/>
      <c r="H15" s="79" t="n">
        <f aca="false">H14+F15+G15</f>
        <v>0</v>
      </c>
    </row>
    <row r="16" s="80" customFormat="true" ht="12.75" hidden="false" customHeight="false" outlineLevel="0" collapsed="false">
      <c r="A16" s="90"/>
      <c r="B16" s="95" t="s">
        <v>74</v>
      </c>
      <c r="C16" s="95"/>
      <c r="D16" s="92"/>
      <c r="E16" s="92" t="n">
        <v>-200</v>
      </c>
      <c r="F16" s="79"/>
      <c r="G16" s="79"/>
      <c r="H16" s="79" t="n">
        <f aca="false">H15+F16+G16</f>
        <v>0</v>
      </c>
    </row>
    <row r="17" s="80" customFormat="true" ht="12.75" hidden="false" customHeight="false" outlineLevel="0" collapsed="false">
      <c r="A17" s="90"/>
      <c r="B17" s="91" t="s">
        <v>75</v>
      </c>
      <c r="C17" s="91"/>
      <c r="D17" s="92"/>
      <c r="E17" s="92" t="n">
        <v>-200</v>
      </c>
      <c r="F17" s="79"/>
      <c r="G17" s="79"/>
      <c r="H17" s="79" t="n">
        <f aca="false">H16+F17+G17</f>
        <v>0</v>
      </c>
    </row>
    <row r="18" s="80" customFormat="true" ht="12.75" hidden="false" customHeight="false" outlineLevel="0" collapsed="false">
      <c r="A18" s="90"/>
      <c r="B18" s="94" t="s">
        <v>76</v>
      </c>
      <c r="C18" s="94"/>
      <c r="D18" s="92" t="n">
        <v>15000</v>
      </c>
      <c r="E18" s="92"/>
      <c r="F18" s="79"/>
      <c r="G18" s="79"/>
      <c r="H18" s="79" t="n">
        <f aca="false">H17+F18+G18</f>
        <v>0</v>
      </c>
      <c r="J18" s="96"/>
      <c r="K18" s="96"/>
      <c r="L18" s="97"/>
      <c r="M18" s="98"/>
    </row>
    <row r="19" s="80" customFormat="true" ht="12.75" hidden="false" customHeight="false" outlineLevel="0" collapsed="false">
      <c r="B19" s="94" t="s">
        <v>77</v>
      </c>
      <c r="C19" s="94"/>
      <c r="D19" s="92"/>
      <c r="E19" s="92" t="n">
        <v>-7500</v>
      </c>
      <c r="F19" s="79"/>
      <c r="G19" s="79"/>
      <c r="H19" s="79" t="n">
        <f aca="false">H18+F19+G19</f>
        <v>0</v>
      </c>
      <c r="J19" s="96"/>
      <c r="K19" s="96"/>
      <c r="L19" s="97"/>
      <c r="M19" s="98"/>
    </row>
    <row r="20" s="80" customFormat="true" ht="12.75" hidden="false" customHeight="false" outlineLevel="0" collapsed="false">
      <c r="B20" s="94" t="s">
        <v>78</v>
      </c>
      <c r="C20" s="94"/>
      <c r="D20" s="92"/>
      <c r="E20" s="92" t="n">
        <v>-7500</v>
      </c>
      <c r="F20" s="79"/>
      <c r="G20" s="79"/>
      <c r="H20" s="79" t="n">
        <f aca="false">H19+F20+G20</f>
        <v>0</v>
      </c>
      <c r="J20" s="96"/>
      <c r="K20" s="96"/>
      <c r="L20" s="97"/>
      <c r="M20" s="98"/>
    </row>
    <row r="21" s="80" customFormat="true" ht="12.75" hidden="false" customHeight="false" outlineLevel="0" collapsed="false">
      <c r="B21" s="94" t="s">
        <v>79</v>
      </c>
      <c r="C21" s="94"/>
      <c r="D21" s="92"/>
      <c r="E21" s="92" t="n">
        <v>-7500</v>
      </c>
      <c r="F21" s="79"/>
      <c r="G21" s="79"/>
      <c r="H21" s="79" t="n">
        <f aca="false">H20+F21+G21</f>
        <v>0</v>
      </c>
      <c r="J21" s="96"/>
      <c r="K21" s="96"/>
      <c r="L21" s="97"/>
      <c r="M21" s="98"/>
    </row>
    <row r="22" s="80" customFormat="true" ht="12.75" hidden="false" customHeight="false" outlineLevel="0" collapsed="false">
      <c r="B22" s="3"/>
      <c r="C22" s="3"/>
      <c r="D22" s="79"/>
      <c r="E22" s="79"/>
      <c r="F22" s="79"/>
      <c r="G22" s="79"/>
      <c r="H22" s="79" t="n">
        <f aca="false">H21+F22+G22</f>
        <v>0</v>
      </c>
      <c r="J22" s="96"/>
      <c r="K22" s="96"/>
      <c r="L22" s="97"/>
      <c r="M22" s="98"/>
    </row>
    <row r="23" s="80" customFormat="true" ht="12.75" hidden="false" customHeight="false" outlineLevel="0" collapsed="false">
      <c r="A23" s="99"/>
      <c r="B23" s="94"/>
      <c r="C23" s="94"/>
      <c r="D23" s="92"/>
      <c r="E23" s="92"/>
      <c r="F23" s="79"/>
      <c r="G23" s="79"/>
      <c r="H23" s="79" t="n">
        <f aca="false">H22+F23+G23</f>
        <v>0</v>
      </c>
      <c r="J23" s="96"/>
      <c r="K23" s="96"/>
      <c r="L23" s="97"/>
      <c r="M23" s="98"/>
    </row>
    <row r="24" s="80" customFormat="true" ht="12.75" hidden="false" customHeight="false" outlineLevel="0" collapsed="false">
      <c r="A24" s="100"/>
      <c r="B24" s="3"/>
      <c r="C24" s="3"/>
      <c r="D24" s="79"/>
      <c r="E24" s="79"/>
      <c r="F24" s="79"/>
      <c r="G24" s="79"/>
      <c r="H24" s="79" t="n">
        <f aca="false">H23+F24+G24</f>
        <v>0</v>
      </c>
      <c r="J24" s="96"/>
      <c r="K24" s="96"/>
      <c r="L24" s="97"/>
      <c r="M24" s="98"/>
    </row>
    <row r="25" s="80" customFormat="true" ht="12.75" hidden="false" customHeight="false" outlineLevel="0" collapsed="false">
      <c r="B25" s="101" t="s">
        <v>80</v>
      </c>
      <c r="C25" s="101"/>
      <c r="D25" s="79"/>
      <c r="E25" s="79" t="n">
        <v>-600</v>
      </c>
      <c r="F25" s="79"/>
      <c r="G25" s="79"/>
      <c r="H25" s="79" t="n">
        <f aca="false">H24+F25+G25</f>
        <v>0</v>
      </c>
      <c r="J25" s="96"/>
      <c r="K25" s="96"/>
      <c r="L25" s="97"/>
      <c r="M25" s="98"/>
    </row>
    <row r="26" s="80" customFormat="true" ht="12.75" hidden="false" customHeight="false" outlineLevel="0" collapsed="false">
      <c r="B26" s="101" t="s">
        <v>81</v>
      </c>
      <c r="C26" s="101"/>
      <c r="D26" s="79"/>
      <c r="E26" s="79" t="n">
        <v>-800</v>
      </c>
      <c r="F26" s="79"/>
      <c r="G26" s="79"/>
      <c r="H26" s="79" t="n">
        <f aca="false">H25+F26+G26</f>
        <v>0</v>
      </c>
      <c r="J26" s="96"/>
      <c r="K26" s="96"/>
      <c r="L26" s="97"/>
      <c r="M26" s="98"/>
    </row>
    <row r="27" s="80" customFormat="true" ht="12.75" hidden="false" customHeight="false" outlineLevel="0" collapsed="false">
      <c r="B27" s="3"/>
      <c r="C27" s="3"/>
      <c r="D27" s="79"/>
      <c r="E27" s="79"/>
      <c r="F27" s="79"/>
      <c r="G27" s="79"/>
      <c r="H27" s="79" t="n">
        <f aca="false">H26+F27+G27</f>
        <v>0</v>
      </c>
    </row>
    <row r="28" s="80" customFormat="true" ht="12.75" hidden="false" customHeight="false" outlineLevel="0" collapsed="false">
      <c r="D28" s="79"/>
      <c r="E28" s="79"/>
      <c r="F28" s="79"/>
      <c r="G28" s="79"/>
      <c r="H28" s="79" t="n">
        <f aca="false">H27+F28+G28</f>
        <v>0</v>
      </c>
    </row>
    <row r="29" customFormat="false" ht="12.75" hidden="false" customHeight="false" outlineLevel="0" collapsed="false">
      <c r="A29" s="102"/>
      <c r="B29" s="103" t="s">
        <v>82</v>
      </c>
      <c r="C29" s="103"/>
      <c r="H29" s="79" t="n">
        <f aca="false">H28+F29+G29</f>
        <v>0</v>
      </c>
      <c r="I29" s="80"/>
      <c r="J29" s="80"/>
    </row>
    <row r="30" customFormat="false" ht="12.75" hidden="false" customHeight="false" outlineLevel="0" collapsed="false">
      <c r="A30" s="102"/>
      <c r="H30" s="79" t="n">
        <f aca="false">H29+F30+G30</f>
        <v>0</v>
      </c>
    </row>
    <row r="31" customFormat="false" ht="12.75" hidden="false" customHeight="false" outlineLevel="0" collapsed="false">
      <c r="H31" s="79" t="n">
        <f aca="false">H30+F31+G31</f>
        <v>0</v>
      </c>
    </row>
    <row r="33" s="80" customFormat="true" ht="12.75" hidden="false" customHeight="false" outlineLevel="0" collapsed="false">
      <c r="A33" s="100"/>
      <c r="B33" s="0"/>
      <c r="C33" s="0"/>
      <c r="D33" s="79"/>
      <c r="E33" s="79"/>
      <c r="F33" s="79"/>
      <c r="G33" s="79"/>
      <c r="H33" s="79"/>
      <c r="I33" s="0"/>
      <c r="J33" s="0"/>
    </row>
    <row r="34" s="80" customFormat="true" ht="12.75" hidden="false" customHeight="false" outlineLevel="0" collapsed="false">
      <c r="B34" s="103"/>
      <c r="C34" s="103"/>
      <c r="D34" s="79"/>
      <c r="E34" s="79"/>
      <c r="F34" s="79"/>
      <c r="G34" s="79"/>
      <c r="H34" s="79"/>
      <c r="J34" s="96"/>
      <c r="K34" s="96"/>
      <c r="L34" s="97"/>
      <c r="M34" s="98"/>
    </row>
    <row r="35" s="80" customFormat="true" ht="12.75" hidden="false" customHeight="false" outlineLevel="0" collapsed="false">
      <c r="B35" s="103"/>
      <c r="C35" s="103"/>
      <c r="D35" s="79"/>
      <c r="E35" s="79"/>
      <c r="F35" s="79"/>
      <c r="G35" s="79"/>
      <c r="H35" s="79"/>
      <c r="J35" s="96"/>
      <c r="K35" s="96"/>
      <c r="L35" s="97"/>
      <c r="M35" s="98"/>
    </row>
    <row r="36" s="80" customFormat="true" ht="12.75" hidden="false" customHeight="false" outlineLevel="0" collapsed="false">
      <c r="A36" s="100"/>
      <c r="D36" s="79"/>
      <c r="E36" s="79"/>
      <c r="F36" s="79"/>
      <c r="G36" s="79"/>
      <c r="H36" s="79"/>
    </row>
    <row r="37" s="79" customFormat="true" ht="12.75" hidden="false" customHeight="false" outlineLevel="0" collapsed="false">
      <c r="A37" s="90"/>
      <c r="B37" s="80"/>
      <c r="C37" s="80"/>
      <c r="I37" s="80"/>
      <c r="J37" s="80"/>
      <c r="K37" s="80"/>
      <c r="L37" s="80"/>
      <c r="M37" s="80"/>
      <c r="N37" s="80"/>
    </row>
    <row r="38" s="79" customFormat="true" ht="12.75" hidden="false" customHeight="false" outlineLevel="0" collapsed="false">
      <c r="B38" s="104"/>
      <c r="K38" s="80"/>
      <c r="L38" s="80"/>
      <c r="M38" s="80"/>
      <c r="N38" s="80"/>
    </row>
    <row r="39" customFormat="false" ht="12.75" hidden="false" customHeight="false" outlineLevel="0" collapsed="false">
      <c r="A39" s="105"/>
      <c r="B39" s="106" t="s">
        <v>83</v>
      </c>
      <c r="C39" s="105"/>
      <c r="E39" s="79" t="n">
        <f aca="false">SUM(E40:E51)</f>
        <v>0</v>
      </c>
      <c r="I39" s="79"/>
      <c r="J39" s="79"/>
    </row>
    <row r="40" s="79" customFormat="true" ht="13.8" hidden="false" customHeight="false" outlineLevel="0" collapsed="false">
      <c r="A40" s="0"/>
      <c r="B40" s="0"/>
      <c r="C40" s="0"/>
      <c r="E40" s="107" t="s">
        <v>84</v>
      </c>
      <c r="I40" s="0"/>
      <c r="J40" s="0"/>
      <c r="K40" s="80"/>
      <c r="L40" s="80"/>
      <c r="M40" s="80"/>
      <c r="N40" s="80"/>
    </row>
    <row r="41" s="79" customFormat="true" ht="12.75" hidden="false" customHeight="false" outlineLevel="0" collapsed="false">
      <c r="A41" s="90"/>
      <c r="K41" s="80"/>
      <c r="L41" s="80"/>
      <c r="M41" s="80"/>
      <c r="N41" s="80"/>
    </row>
    <row r="42" s="79" customFormat="true" ht="12.75" hidden="false" customHeight="false" outlineLevel="0" collapsed="false">
      <c r="A42" s="90"/>
      <c r="K42" s="80"/>
      <c r="L42" s="80"/>
      <c r="M42" s="80"/>
      <c r="N42" s="80"/>
    </row>
    <row r="43" s="79" customFormat="true" ht="12.75" hidden="false" customHeight="false" outlineLevel="0" collapsed="false">
      <c r="A43" s="90"/>
      <c r="K43" s="80"/>
      <c r="L43" s="80"/>
      <c r="M43" s="80"/>
      <c r="N43" s="80"/>
    </row>
    <row r="44" customFormat="false" ht="12.75" hidden="false" customHeight="false" outlineLevel="0" collapsed="false">
      <c r="A44" s="90"/>
      <c r="B44" s="79"/>
      <c r="C44" s="79"/>
      <c r="I44" s="79"/>
      <c r="J44" s="79"/>
    </row>
    <row r="45" s="79" customFormat="true" ht="12.75" hidden="false" customHeight="false" outlineLevel="0" collapsed="false">
      <c r="A45" s="0"/>
      <c r="B45" s="0"/>
      <c r="C45" s="0"/>
      <c r="I45" s="0"/>
      <c r="J45" s="0"/>
      <c r="K45" s="80"/>
      <c r="L45" s="80"/>
      <c r="M45" s="80"/>
      <c r="N45" s="80"/>
    </row>
    <row r="46" s="79" customFormat="true" ht="12.75" hidden="false" customHeight="false" outlineLevel="0" collapsed="false">
      <c r="A46" s="102"/>
      <c r="B46" s="108"/>
      <c r="C46" s="108"/>
      <c r="K46" s="80"/>
      <c r="L46" s="80"/>
      <c r="M46" s="80"/>
      <c r="N46" s="80"/>
    </row>
    <row r="47" s="79" customFormat="true" ht="12.75" hidden="false" customHeight="false" outlineLevel="0" collapsed="false">
      <c r="A47" s="102"/>
      <c r="B47" s="108"/>
      <c r="C47" s="108"/>
      <c r="K47" s="80"/>
      <c r="L47" s="80"/>
      <c r="M47" s="80"/>
      <c r="N47" s="80"/>
    </row>
    <row r="48" s="79" customFormat="true" ht="12.75" hidden="false" customHeight="false" outlineLevel="0" collapsed="false">
      <c r="A48" s="102"/>
      <c r="B48" s="109"/>
      <c r="C48" s="108"/>
      <c r="K48" s="80"/>
      <c r="L48" s="80"/>
      <c r="M48" s="80"/>
      <c r="N48" s="80"/>
    </row>
    <row r="49" s="79" customFormat="true" ht="12.75" hidden="false" customHeight="false" outlineLevel="0" collapsed="false">
      <c r="A49" s="102"/>
      <c r="B49" s="109"/>
      <c r="C49" s="108"/>
      <c r="K49" s="80"/>
      <c r="L49" s="80"/>
      <c r="M49" s="80"/>
      <c r="N49" s="80"/>
    </row>
    <row r="50" s="79" customFormat="true" ht="12.75" hidden="false" customHeight="false" outlineLevel="0" collapsed="false">
      <c r="A50" s="102"/>
      <c r="B50" s="109"/>
      <c r="K50" s="80"/>
      <c r="L50" s="80"/>
      <c r="M50" s="80"/>
      <c r="N50" s="80"/>
    </row>
    <row r="51" s="79" customFormat="true" ht="12.75" hidden="false" customHeight="false" outlineLevel="0" collapsed="false">
      <c r="A51" s="102"/>
      <c r="B51" s="109"/>
      <c r="C51" s="108"/>
      <c r="K51" s="80"/>
      <c r="L51" s="80"/>
      <c r="M51" s="80"/>
      <c r="N51" s="80"/>
    </row>
    <row r="52" s="79" customFormat="true" ht="12.75" hidden="false" customHeight="false" outlineLevel="0" collapsed="false">
      <c r="A52" s="102"/>
      <c r="B52" s="3"/>
      <c r="K52" s="80"/>
      <c r="L52" s="80"/>
      <c r="M52" s="80"/>
      <c r="N52" s="80"/>
    </row>
    <row r="53" s="79" customFormat="true" ht="12.75" hidden="false" customHeight="false" outlineLevel="0" collapsed="false">
      <c r="A53" s="102"/>
      <c r="B53" s="108"/>
      <c r="C53" s="108"/>
      <c r="K53" s="80"/>
      <c r="L53" s="80"/>
      <c r="M53" s="80"/>
      <c r="N53" s="80"/>
    </row>
    <row r="54" s="79" customFormat="true" ht="12.75" hidden="false" customHeight="false" outlineLevel="0" collapsed="false">
      <c r="A54" s="105"/>
      <c r="B54" s="106" t="s">
        <v>85</v>
      </c>
      <c r="C54" s="105"/>
      <c r="E54" s="79" t="n">
        <f aca="false">SUM(E55:E73)</f>
        <v>0</v>
      </c>
      <c r="K54" s="80"/>
      <c r="L54" s="80"/>
      <c r="M54" s="80"/>
      <c r="N54" s="80"/>
    </row>
    <row r="55" s="79" customFormat="true" ht="12.75" hidden="false" customHeight="false" outlineLevel="0" collapsed="false">
      <c r="A55" s="102"/>
      <c r="B55" s="108"/>
      <c r="C55" s="108"/>
      <c r="K55" s="80"/>
      <c r="L55" s="80"/>
      <c r="M55" s="80"/>
      <c r="N55" s="80"/>
    </row>
    <row r="56" s="79" customFormat="true" ht="12.75" hidden="false" customHeight="false" outlineLevel="0" collapsed="false">
      <c r="A56" s="102"/>
      <c r="B56" s="108"/>
      <c r="C56" s="108"/>
      <c r="K56" s="80"/>
      <c r="L56" s="80"/>
      <c r="M56" s="80"/>
      <c r="N56" s="80"/>
    </row>
    <row r="57" s="79" customFormat="true" ht="12.75" hidden="false" customHeight="false" outlineLevel="0" collapsed="false">
      <c r="A57" s="102"/>
      <c r="B57" s="3"/>
      <c r="C57" s="108"/>
      <c r="K57" s="80"/>
      <c r="L57" s="80"/>
      <c r="M57" s="80"/>
      <c r="N57" s="80"/>
    </row>
    <row r="58" s="79" customFormat="true" ht="12.75" hidden="false" customHeight="false" outlineLevel="0" collapsed="false">
      <c r="A58" s="102"/>
      <c r="B58" s="3"/>
      <c r="C58" s="108"/>
      <c r="K58" s="80"/>
      <c r="L58" s="80"/>
      <c r="M58" s="80"/>
      <c r="N58" s="80"/>
    </row>
    <row r="59" s="79" customFormat="true" ht="12.75" hidden="false" customHeight="false" outlineLevel="0" collapsed="false">
      <c r="A59" s="102"/>
      <c r="B59" s="3"/>
      <c r="C59" s="108"/>
      <c r="K59" s="80"/>
      <c r="L59" s="80"/>
      <c r="M59" s="80"/>
      <c r="N59" s="80"/>
    </row>
    <row r="60" s="79" customFormat="true" ht="12.75" hidden="false" customHeight="false" outlineLevel="0" collapsed="false">
      <c r="A60" s="102"/>
      <c r="B60" s="3"/>
      <c r="C60" s="108"/>
      <c r="K60" s="80"/>
      <c r="L60" s="80"/>
      <c r="M60" s="80"/>
      <c r="N60" s="80"/>
    </row>
    <row r="61" s="79" customFormat="true" ht="12.75" hidden="false" customHeight="false" outlineLevel="0" collapsed="false">
      <c r="A61" s="102"/>
      <c r="B61" s="3"/>
      <c r="C61" s="108"/>
      <c r="K61" s="80"/>
      <c r="L61" s="80"/>
      <c r="M61" s="80"/>
      <c r="N61" s="80"/>
    </row>
    <row r="62" s="79" customFormat="true" ht="12.75" hidden="false" customHeight="false" outlineLevel="0" collapsed="false">
      <c r="A62" s="102"/>
      <c r="B62" s="3"/>
      <c r="C62" s="108"/>
      <c r="K62" s="80"/>
      <c r="L62" s="80"/>
      <c r="M62" s="80"/>
      <c r="N62" s="80"/>
    </row>
    <row r="63" s="79" customFormat="true" ht="12.75" hidden="false" customHeight="false" outlineLevel="0" collapsed="false">
      <c r="A63" s="102"/>
      <c r="B63" s="3"/>
      <c r="C63" s="108"/>
      <c r="K63" s="80"/>
      <c r="L63" s="80"/>
      <c r="M63" s="80"/>
      <c r="N63" s="80"/>
    </row>
    <row r="64" s="79" customFormat="true" ht="12.75" hidden="false" customHeight="false" outlineLevel="0" collapsed="false">
      <c r="A64" s="102"/>
      <c r="B64" s="3"/>
      <c r="C64" s="108"/>
      <c r="K64" s="80"/>
      <c r="L64" s="80"/>
      <c r="M64" s="80"/>
      <c r="N64" s="80"/>
    </row>
    <row r="65" s="79" customFormat="true" ht="12.75" hidden="false" customHeight="false" outlineLevel="0" collapsed="false">
      <c r="A65" s="102"/>
      <c r="B65" s="3"/>
      <c r="C65" s="108"/>
      <c r="K65" s="80"/>
      <c r="L65" s="80"/>
      <c r="M65" s="80"/>
      <c r="N65" s="80"/>
    </row>
    <row r="66" s="79" customFormat="true" ht="12.75" hidden="false" customHeight="false" outlineLevel="0" collapsed="false">
      <c r="A66" s="102"/>
      <c r="B66" s="3"/>
      <c r="C66" s="108"/>
      <c r="K66" s="80"/>
      <c r="L66" s="80"/>
      <c r="M66" s="80"/>
      <c r="N66" s="80"/>
    </row>
    <row r="67" s="79" customFormat="true" ht="12.75" hidden="false" customHeight="false" outlineLevel="0" collapsed="false">
      <c r="A67" s="102" t="n">
        <v>45649</v>
      </c>
      <c r="B67" s="3" t="s">
        <v>86</v>
      </c>
      <c r="C67" s="108"/>
      <c r="K67" s="80"/>
      <c r="L67" s="80"/>
      <c r="M67" s="80"/>
      <c r="N67" s="80"/>
    </row>
    <row r="68" s="79" customFormat="true" ht="13.8" hidden="false" customHeight="false" outlineLevel="0" collapsed="false">
      <c r="A68" s="102"/>
      <c r="B68" s="3"/>
      <c r="C68" s="108"/>
      <c r="E68" s="107" t="s">
        <v>84</v>
      </c>
      <c r="K68" s="80"/>
      <c r="L68" s="80"/>
      <c r="M68" s="80"/>
      <c r="N68" s="80"/>
    </row>
    <row r="69" s="79" customFormat="true" ht="12.75" hidden="false" customHeight="false" outlineLevel="0" collapsed="false">
      <c r="A69" s="102"/>
      <c r="B69" s="3"/>
      <c r="C69" s="108"/>
      <c r="K69" s="80"/>
      <c r="L69" s="80"/>
      <c r="M69" s="80"/>
      <c r="N69" s="80"/>
    </row>
    <row r="70" s="79" customFormat="true" ht="12.75" hidden="false" customHeight="false" outlineLevel="0" collapsed="false">
      <c r="A70" s="102"/>
      <c r="B70" s="3"/>
      <c r="C70" s="108"/>
      <c r="K70" s="80"/>
      <c r="L70" s="80"/>
      <c r="M70" s="80"/>
      <c r="N70" s="80"/>
    </row>
    <row r="71" s="79" customFormat="true" ht="12.75" hidden="false" customHeight="false" outlineLevel="0" collapsed="false">
      <c r="A71" s="102"/>
      <c r="B71" s="3"/>
      <c r="C71" s="108"/>
      <c r="K71" s="80"/>
      <c r="L71" s="80"/>
      <c r="M71" s="80"/>
      <c r="N71" s="80"/>
    </row>
    <row r="72" s="79" customFormat="true" ht="12.75" hidden="false" customHeight="false" outlineLevel="0" collapsed="false">
      <c r="A72" s="102"/>
      <c r="B72" s="3"/>
      <c r="C72" s="108"/>
      <c r="K72" s="80"/>
      <c r="L72" s="80"/>
      <c r="M72" s="80"/>
      <c r="N72" s="80"/>
    </row>
    <row r="73" s="79" customFormat="true" ht="12.75" hidden="false" customHeight="false" outlineLevel="0" collapsed="false">
      <c r="A73" s="102"/>
      <c r="B73" s="3"/>
      <c r="C73" s="108"/>
      <c r="K73" s="80"/>
      <c r="L73" s="80"/>
      <c r="M73" s="80"/>
      <c r="N73" s="80"/>
    </row>
    <row r="74" s="79" customFormat="true" ht="12.75" hidden="false" customHeight="false" outlineLevel="0" collapsed="false">
      <c r="A74" s="102"/>
      <c r="B74" s="3"/>
      <c r="K74" s="80"/>
      <c r="L74" s="80"/>
      <c r="M74" s="80"/>
      <c r="N74" s="80"/>
    </row>
    <row r="75" s="79" customFormat="true" ht="12.75" hidden="false" customHeight="false" outlineLevel="0" collapsed="false">
      <c r="A75" s="102"/>
      <c r="B75" s="3"/>
      <c r="C75" s="108"/>
      <c r="K75" s="80"/>
      <c r="L75" s="80"/>
      <c r="M75" s="80"/>
      <c r="N75" s="80"/>
    </row>
    <row r="76" s="79" customFormat="true" ht="12.75" hidden="false" customHeight="false" outlineLevel="0" collapsed="false">
      <c r="A76" s="102"/>
      <c r="B76" s="3"/>
      <c r="C76" s="108"/>
      <c r="K76" s="80"/>
      <c r="L76" s="80"/>
      <c r="M76" s="80"/>
      <c r="N76" s="80"/>
    </row>
    <row r="77" customFormat="false" ht="12.75" hidden="false" customHeight="false" outlineLevel="0" collapsed="false">
      <c r="A77" s="102"/>
      <c r="B77" s="3"/>
      <c r="C77" s="108"/>
      <c r="I77" s="79"/>
      <c r="J77" s="79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C2E6"/>
    <pageSetUpPr fitToPage="false"/>
  </sheetPr>
  <dimension ref="A1:N77"/>
  <sheetViews>
    <sheetView showFormulas="false" showGridLines="true" showRowColHeaders="true" showZeros="true" rightToLeft="false" tabSelected="false" showOutlineSymbols="true" defaultGridColor="true" view="normal" topLeftCell="A65" colorId="64" zoomScale="145" zoomScaleNormal="145" zoomScalePageLayoutView="100" workbookViewId="0">
      <selection pane="topLeft" activeCell="A79" activeCellId="0" sqref="A79"/>
    </sheetView>
  </sheetViews>
  <sheetFormatPr defaultColWidth="12.2929687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79" width="11.57"/>
    <col collapsed="false" customWidth="false" hidden="false" outlineLevel="0" max="8" min="5" style="79" width="12.29"/>
    <col collapsed="false" customWidth="true" hidden="false" outlineLevel="0" max="10" min="10" style="0" width="27.43"/>
    <col collapsed="false" customWidth="true" hidden="false" outlineLevel="0" max="11" min="11" style="80" width="6.14"/>
    <col collapsed="false" customWidth="true" hidden="false" outlineLevel="0" max="12" min="12" style="80" width="14.57"/>
    <col collapsed="false" customWidth="false" hidden="false" outlineLevel="0" max="14" min="13" style="80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79" t="s">
        <v>28</v>
      </c>
      <c r="G1" s="79" t="s">
        <v>29</v>
      </c>
      <c r="H1" s="79" t="s">
        <v>3</v>
      </c>
    </row>
    <row r="2" customFormat="false" ht="12.75" hidden="false" customHeight="false" outlineLevel="0" collapsed="false">
      <c r="A2" s="3" t="s">
        <v>66</v>
      </c>
      <c r="C2" s="81" t="s">
        <v>67</v>
      </c>
      <c r="D2" s="79" t="n">
        <f aca="false">SUM(D4:D33)</f>
        <v>15000</v>
      </c>
      <c r="E2" s="79" t="n">
        <f aca="false">SUM(E4:E33)</f>
        <v>-44917.06</v>
      </c>
      <c r="F2" s="79" t="n">
        <f aca="false">SUM(F4:F33)</f>
        <v>0</v>
      </c>
      <c r="G2" s="79" t="n">
        <f aca="false">SUM(G4:G33)</f>
        <v>0</v>
      </c>
      <c r="H2" s="79" t="n">
        <f aca="false">F2+G2</f>
        <v>0</v>
      </c>
    </row>
    <row r="3" customFormat="false" ht="12.75" hidden="false" customHeight="false" outlineLevel="0" collapsed="false">
      <c r="B3" s="18"/>
    </row>
    <row r="4" customFormat="false" ht="12.75" hidden="false" customHeight="false" outlineLevel="0" collapsed="false">
      <c r="B4" s="42"/>
      <c r="H4" s="79" t="n">
        <f aca="false">H3+F4+G4</f>
        <v>0</v>
      </c>
    </row>
    <row r="5" customFormat="false" ht="12.75" hidden="false" customHeight="false" outlineLevel="0" collapsed="false">
      <c r="B5" s="42"/>
      <c r="H5" s="79" t="n">
        <f aca="false">H4+F5+G5</f>
        <v>0</v>
      </c>
    </row>
    <row r="6" customFormat="false" ht="12.75" hidden="false" customHeight="false" outlineLevel="0" collapsed="false">
      <c r="A6" s="82"/>
      <c r="B6" s="83"/>
      <c r="C6" s="84"/>
      <c r="D6" s="85"/>
      <c r="E6" s="85"/>
      <c r="H6" s="79" t="n">
        <f aca="false">H5+F6+G6</f>
        <v>0</v>
      </c>
    </row>
    <row r="7" customFormat="false" ht="12.75" hidden="false" customHeight="false" outlineLevel="0" collapsed="false">
      <c r="A7" s="86"/>
      <c r="B7" s="83" t="s">
        <v>68</v>
      </c>
      <c r="C7" s="87"/>
      <c r="D7" s="88"/>
      <c r="E7" s="88" t="n">
        <f aca="false">E39</f>
        <v>0</v>
      </c>
      <c r="F7" s="89"/>
      <c r="G7" s="89" t="n">
        <f aca="false">E7</f>
        <v>0</v>
      </c>
      <c r="H7" s="79" t="n">
        <f aca="false">H6+F7+G7</f>
        <v>0</v>
      </c>
    </row>
    <row r="8" customFormat="false" ht="12.75" hidden="false" customHeight="false" outlineLevel="0" collapsed="false">
      <c r="A8" s="82"/>
      <c r="B8" s="83" t="s">
        <v>69</v>
      </c>
      <c r="C8" s="87"/>
      <c r="D8" s="88"/>
      <c r="E8" s="88" t="n">
        <f aca="false">E54</f>
        <v>0</v>
      </c>
      <c r="F8" s="89"/>
      <c r="G8" s="89" t="n">
        <f aca="false">E8</f>
        <v>0</v>
      </c>
      <c r="H8" s="79" t="n">
        <f aca="false">H7+F8+G8</f>
        <v>0</v>
      </c>
    </row>
    <row r="9" customFormat="false" ht="12.75" hidden="false" customHeight="false" outlineLevel="0" collapsed="false">
      <c r="G9" s="89"/>
      <c r="H9" s="79" t="n">
        <f aca="false">H8+F9+G9</f>
        <v>0</v>
      </c>
    </row>
    <row r="10" customFormat="false" ht="12.75" hidden="false" customHeight="false" outlineLevel="0" collapsed="false">
      <c r="A10" s="90"/>
      <c r="B10" s="91" t="s">
        <v>70</v>
      </c>
      <c r="C10" s="91"/>
      <c r="D10" s="92"/>
      <c r="E10" s="92" t="n">
        <v>-2117.06</v>
      </c>
      <c r="H10" s="79" t="n">
        <f aca="false">H9+F10+G10</f>
        <v>0</v>
      </c>
    </row>
    <row r="11" customFormat="false" ht="12.75" hidden="false" customHeight="false" outlineLevel="0" collapsed="false">
      <c r="B11" s="91" t="s">
        <v>71</v>
      </c>
      <c r="C11" s="91"/>
      <c r="D11" s="92"/>
      <c r="E11" s="92" t="n">
        <v>-17500</v>
      </c>
      <c r="H11" s="79" t="n">
        <f aca="false">H10+F11+G11</f>
        <v>0</v>
      </c>
    </row>
    <row r="12" customFormat="false" ht="12.75" hidden="false" customHeight="false" outlineLevel="0" collapsed="false">
      <c r="B12" s="93" t="s">
        <v>72</v>
      </c>
      <c r="C12" s="94"/>
      <c r="D12" s="92"/>
      <c r="E12" s="92" t="n">
        <v>0</v>
      </c>
      <c r="H12" s="79" t="n">
        <f aca="false">H11+F12+G12</f>
        <v>0</v>
      </c>
    </row>
    <row r="13" customFormat="false" ht="12.75" hidden="false" customHeight="false" outlineLevel="0" collapsed="false">
      <c r="A13" s="90"/>
      <c r="B13" s="94"/>
      <c r="C13" s="94"/>
      <c r="D13" s="92"/>
      <c r="E13" s="92"/>
      <c r="H13" s="79" t="n">
        <f aca="false">H12+F13+G13</f>
        <v>0</v>
      </c>
    </row>
    <row r="14" s="80" customFormat="true" ht="12.75" hidden="false" customHeight="false" outlineLevel="0" collapsed="false">
      <c r="A14" s="90"/>
      <c r="B14" s="3"/>
      <c r="C14" s="3"/>
      <c r="D14" s="79"/>
      <c r="E14" s="79"/>
      <c r="F14" s="79"/>
      <c r="G14" s="79"/>
      <c r="H14" s="79" t="n">
        <f aca="false">H13+F14+G14</f>
        <v>0</v>
      </c>
      <c r="I14" s="0"/>
      <c r="J14" s="0"/>
    </row>
    <row r="15" s="80" customFormat="true" ht="12.75" hidden="false" customHeight="false" outlineLevel="0" collapsed="false">
      <c r="A15" s="90"/>
      <c r="B15" s="95" t="s">
        <v>73</v>
      </c>
      <c r="C15" s="95"/>
      <c r="D15" s="92"/>
      <c r="E15" s="92" t="n">
        <v>-1000</v>
      </c>
      <c r="F15" s="79"/>
      <c r="G15" s="79"/>
      <c r="H15" s="79" t="n">
        <f aca="false">H14+F15+G15</f>
        <v>0</v>
      </c>
    </row>
    <row r="16" s="80" customFormat="true" ht="12.75" hidden="false" customHeight="false" outlineLevel="0" collapsed="false">
      <c r="A16" s="90"/>
      <c r="B16" s="95" t="s">
        <v>74</v>
      </c>
      <c r="C16" s="95"/>
      <c r="D16" s="92"/>
      <c r="E16" s="92" t="n">
        <v>-200</v>
      </c>
      <c r="F16" s="79"/>
      <c r="G16" s="79"/>
      <c r="H16" s="79" t="n">
        <f aca="false">H15+F16+G16</f>
        <v>0</v>
      </c>
    </row>
    <row r="17" s="80" customFormat="true" ht="12.75" hidden="false" customHeight="false" outlineLevel="0" collapsed="false">
      <c r="A17" s="90"/>
      <c r="B17" s="91" t="s">
        <v>75</v>
      </c>
      <c r="C17" s="91"/>
      <c r="D17" s="92"/>
      <c r="E17" s="92" t="n">
        <v>-200</v>
      </c>
      <c r="F17" s="79"/>
      <c r="G17" s="79"/>
      <c r="H17" s="79" t="n">
        <f aca="false">H16+F17+G17</f>
        <v>0</v>
      </c>
    </row>
    <row r="18" s="80" customFormat="true" ht="12.75" hidden="false" customHeight="false" outlineLevel="0" collapsed="false">
      <c r="A18" s="90"/>
      <c r="B18" s="94" t="s">
        <v>76</v>
      </c>
      <c r="C18" s="94"/>
      <c r="D18" s="92" t="n">
        <v>15000</v>
      </c>
      <c r="E18" s="92"/>
      <c r="F18" s="79"/>
      <c r="G18" s="79"/>
      <c r="H18" s="79" t="n">
        <f aca="false">H17+F18+G18</f>
        <v>0</v>
      </c>
      <c r="J18" s="96"/>
      <c r="K18" s="96"/>
      <c r="L18" s="97"/>
      <c r="M18" s="98"/>
    </row>
    <row r="19" s="80" customFormat="true" ht="12.75" hidden="false" customHeight="false" outlineLevel="0" collapsed="false">
      <c r="B19" s="94" t="s">
        <v>77</v>
      </c>
      <c r="C19" s="94"/>
      <c r="D19" s="92"/>
      <c r="E19" s="92" t="n">
        <v>-7500</v>
      </c>
      <c r="F19" s="79"/>
      <c r="G19" s="79"/>
      <c r="H19" s="79" t="n">
        <f aca="false">H18+F19+G19</f>
        <v>0</v>
      </c>
      <c r="J19" s="96"/>
      <c r="K19" s="96"/>
      <c r="L19" s="97"/>
      <c r="M19" s="98"/>
    </row>
    <row r="20" s="80" customFormat="true" ht="12.75" hidden="false" customHeight="false" outlineLevel="0" collapsed="false">
      <c r="B20" s="94" t="s">
        <v>78</v>
      </c>
      <c r="C20" s="94"/>
      <c r="D20" s="92"/>
      <c r="E20" s="92" t="n">
        <v>-7500</v>
      </c>
      <c r="F20" s="79"/>
      <c r="G20" s="79"/>
      <c r="H20" s="79" t="n">
        <f aca="false">H19+F20+G20</f>
        <v>0</v>
      </c>
      <c r="J20" s="96"/>
      <c r="K20" s="96"/>
      <c r="L20" s="97"/>
      <c r="M20" s="98"/>
    </row>
    <row r="21" s="80" customFormat="true" ht="12.75" hidden="false" customHeight="false" outlineLevel="0" collapsed="false">
      <c r="B21" s="94" t="s">
        <v>79</v>
      </c>
      <c r="C21" s="94"/>
      <c r="D21" s="92"/>
      <c r="E21" s="92" t="n">
        <v>-7500</v>
      </c>
      <c r="F21" s="79"/>
      <c r="G21" s="79"/>
      <c r="H21" s="79" t="n">
        <f aca="false">H20+F21+G21</f>
        <v>0</v>
      </c>
      <c r="J21" s="96"/>
      <c r="K21" s="96"/>
      <c r="L21" s="97"/>
      <c r="M21" s="98"/>
    </row>
    <row r="22" s="80" customFormat="true" ht="12.75" hidden="false" customHeight="false" outlineLevel="0" collapsed="false">
      <c r="B22" s="3"/>
      <c r="C22" s="3"/>
      <c r="D22" s="79"/>
      <c r="E22" s="79"/>
      <c r="F22" s="79"/>
      <c r="G22" s="79"/>
      <c r="H22" s="79" t="n">
        <f aca="false">H21+F22+G22</f>
        <v>0</v>
      </c>
      <c r="J22" s="96"/>
      <c r="K22" s="96"/>
      <c r="L22" s="97"/>
      <c r="M22" s="98"/>
    </row>
    <row r="23" s="80" customFormat="true" ht="12.75" hidden="false" customHeight="false" outlineLevel="0" collapsed="false">
      <c r="A23" s="99"/>
      <c r="B23" s="94"/>
      <c r="C23" s="94"/>
      <c r="D23" s="92"/>
      <c r="E23" s="92"/>
      <c r="F23" s="79"/>
      <c r="G23" s="79"/>
      <c r="H23" s="79" t="n">
        <f aca="false">H22+F23+G23</f>
        <v>0</v>
      </c>
      <c r="J23" s="96"/>
      <c r="K23" s="96"/>
      <c r="L23" s="97"/>
      <c r="M23" s="98"/>
    </row>
    <row r="24" s="80" customFormat="true" ht="12.75" hidden="false" customHeight="false" outlineLevel="0" collapsed="false">
      <c r="A24" s="100"/>
      <c r="B24" s="3"/>
      <c r="C24" s="3"/>
      <c r="D24" s="79"/>
      <c r="E24" s="79"/>
      <c r="F24" s="79"/>
      <c r="G24" s="79"/>
      <c r="H24" s="79" t="n">
        <f aca="false">H23+F24+G24</f>
        <v>0</v>
      </c>
      <c r="J24" s="96"/>
      <c r="K24" s="96"/>
      <c r="L24" s="97"/>
      <c r="M24" s="98"/>
    </row>
    <row r="25" s="80" customFormat="true" ht="12.75" hidden="false" customHeight="false" outlineLevel="0" collapsed="false">
      <c r="B25" s="101" t="s">
        <v>80</v>
      </c>
      <c r="C25" s="101"/>
      <c r="D25" s="79"/>
      <c r="E25" s="79" t="n">
        <v>-600</v>
      </c>
      <c r="F25" s="79"/>
      <c r="G25" s="79"/>
      <c r="H25" s="79" t="n">
        <f aca="false">H24+F25+G25</f>
        <v>0</v>
      </c>
      <c r="J25" s="96"/>
      <c r="K25" s="96"/>
      <c r="L25" s="97"/>
      <c r="M25" s="98"/>
    </row>
    <row r="26" s="80" customFormat="true" ht="12.75" hidden="false" customHeight="false" outlineLevel="0" collapsed="false">
      <c r="B26" s="101" t="s">
        <v>81</v>
      </c>
      <c r="C26" s="101"/>
      <c r="D26" s="79"/>
      <c r="E26" s="79" t="n">
        <v>-800</v>
      </c>
      <c r="F26" s="79"/>
      <c r="G26" s="79"/>
      <c r="H26" s="79" t="n">
        <f aca="false">H25+F26+G26</f>
        <v>0</v>
      </c>
      <c r="J26" s="96"/>
      <c r="K26" s="96"/>
      <c r="L26" s="97"/>
      <c r="M26" s="98"/>
    </row>
    <row r="27" s="80" customFormat="true" ht="12.75" hidden="false" customHeight="false" outlineLevel="0" collapsed="false">
      <c r="B27" s="3"/>
      <c r="C27" s="3"/>
      <c r="D27" s="79"/>
      <c r="E27" s="79"/>
      <c r="F27" s="79"/>
      <c r="G27" s="79"/>
      <c r="H27" s="79" t="n">
        <f aca="false">H26+F27+G27</f>
        <v>0</v>
      </c>
    </row>
    <row r="28" s="80" customFormat="true" ht="12.75" hidden="false" customHeight="false" outlineLevel="0" collapsed="false">
      <c r="D28" s="79"/>
      <c r="E28" s="79"/>
      <c r="F28" s="79"/>
      <c r="G28" s="79"/>
      <c r="H28" s="79" t="n">
        <f aca="false">H27+F28+G28</f>
        <v>0</v>
      </c>
    </row>
    <row r="29" customFormat="false" ht="12.75" hidden="false" customHeight="false" outlineLevel="0" collapsed="false">
      <c r="A29" s="102"/>
      <c r="B29" s="103" t="s">
        <v>82</v>
      </c>
      <c r="C29" s="103"/>
      <c r="H29" s="79" t="n">
        <f aca="false">H28+F29+G29</f>
        <v>0</v>
      </c>
      <c r="I29" s="80"/>
      <c r="J29" s="80"/>
    </row>
    <row r="30" customFormat="false" ht="12.75" hidden="false" customHeight="false" outlineLevel="0" collapsed="false">
      <c r="A30" s="102"/>
      <c r="H30" s="79" t="n">
        <f aca="false">H29+F30+G30</f>
        <v>0</v>
      </c>
    </row>
    <row r="31" customFormat="false" ht="12.75" hidden="false" customHeight="false" outlineLevel="0" collapsed="false">
      <c r="H31" s="79" t="n">
        <f aca="false">H30+F31+G31</f>
        <v>0</v>
      </c>
    </row>
    <row r="33" s="80" customFormat="true" ht="12.75" hidden="false" customHeight="false" outlineLevel="0" collapsed="false">
      <c r="A33" s="100"/>
      <c r="B33" s="0"/>
      <c r="C33" s="0"/>
      <c r="D33" s="79"/>
      <c r="E33" s="79"/>
      <c r="F33" s="79"/>
      <c r="G33" s="79"/>
      <c r="H33" s="79"/>
      <c r="I33" s="0"/>
      <c r="J33" s="0"/>
    </row>
    <row r="34" s="80" customFormat="true" ht="12.75" hidden="false" customHeight="false" outlineLevel="0" collapsed="false">
      <c r="B34" s="103"/>
      <c r="C34" s="103"/>
      <c r="D34" s="79"/>
      <c r="E34" s="79"/>
      <c r="F34" s="79"/>
      <c r="G34" s="79"/>
      <c r="H34" s="79"/>
      <c r="J34" s="96"/>
      <c r="K34" s="96"/>
      <c r="L34" s="97"/>
      <c r="M34" s="98"/>
    </row>
    <row r="35" s="80" customFormat="true" ht="12.75" hidden="false" customHeight="false" outlineLevel="0" collapsed="false">
      <c r="B35" s="103"/>
      <c r="C35" s="103"/>
      <c r="D35" s="79"/>
      <c r="E35" s="79"/>
      <c r="F35" s="79"/>
      <c r="G35" s="79"/>
      <c r="H35" s="79"/>
      <c r="J35" s="96"/>
      <c r="K35" s="96"/>
      <c r="L35" s="97"/>
      <c r="M35" s="98"/>
    </row>
    <row r="36" s="80" customFormat="true" ht="12.75" hidden="false" customHeight="false" outlineLevel="0" collapsed="false">
      <c r="A36" s="100"/>
      <c r="D36" s="79"/>
      <c r="E36" s="79"/>
      <c r="F36" s="79"/>
      <c r="G36" s="79"/>
      <c r="H36" s="79"/>
    </row>
    <row r="37" s="79" customFormat="true" ht="12.75" hidden="false" customHeight="false" outlineLevel="0" collapsed="false">
      <c r="A37" s="90"/>
      <c r="B37" s="80"/>
      <c r="C37" s="80"/>
      <c r="I37" s="80"/>
      <c r="J37" s="80"/>
      <c r="K37" s="80"/>
      <c r="L37" s="80"/>
      <c r="M37" s="80"/>
      <c r="N37" s="80"/>
    </row>
    <row r="38" s="79" customFormat="true" ht="12.75" hidden="false" customHeight="false" outlineLevel="0" collapsed="false">
      <c r="B38" s="104"/>
      <c r="K38" s="80"/>
      <c r="L38" s="80"/>
      <c r="M38" s="80"/>
      <c r="N38" s="80"/>
    </row>
    <row r="39" customFormat="false" ht="12.75" hidden="false" customHeight="false" outlineLevel="0" collapsed="false">
      <c r="A39" s="105"/>
      <c r="B39" s="106" t="s">
        <v>83</v>
      </c>
      <c r="C39" s="105"/>
      <c r="E39" s="79" t="n">
        <f aca="false">SUM(E40:E51)</f>
        <v>0</v>
      </c>
      <c r="I39" s="79"/>
      <c r="J39" s="79"/>
    </row>
    <row r="40" s="79" customFormat="true" ht="13.8" hidden="false" customHeight="false" outlineLevel="0" collapsed="false">
      <c r="A40" s="0"/>
      <c r="B40" s="0"/>
      <c r="C40" s="0"/>
      <c r="E40" s="107" t="s">
        <v>84</v>
      </c>
      <c r="I40" s="0"/>
      <c r="J40" s="0"/>
      <c r="K40" s="80"/>
      <c r="L40" s="80"/>
      <c r="M40" s="80"/>
      <c r="N40" s="80"/>
    </row>
    <row r="41" s="79" customFormat="true" ht="12.75" hidden="false" customHeight="false" outlineLevel="0" collapsed="false">
      <c r="A41" s="90"/>
      <c r="K41" s="80"/>
      <c r="L41" s="80"/>
      <c r="M41" s="80"/>
      <c r="N41" s="80"/>
    </row>
    <row r="42" s="79" customFormat="true" ht="12.75" hidden="false" customHeight="false" outlineLevel="0" collapsed="false">
      <c r="A42" s="90"/>
      <c r="K42" s="80"/>
      <c r="L42" s="80"/>
      <c r="M42" s="80"/>
      <c r="N42" s="80"/>
    </row>
    <row r="43" s="79" customFormat="true" ht="12.75" hidden="false" customHeight="false" outlineLevel="0" collapsed="false">
      <c r="A43" s="90"/>
      <c r="K43" s="80"/>
      <c r="L43" s="80"/>
      <c r="M43" s="80"/>
      <c r="N43" s="80"/>
    </row>
    <row r="44" customFormat="false" ht="12.75" hidden="false" customHeight="false" outlineLevel="0" collapsed="false">
      <c r="A44" s="90"/>
      <c r="B44" s="79"/>
      <c r="C44" s="79"/>
      <c r="I44" s="79"/>
      <c r="J44" s="79"/>
    </row>
    <row r="45" s="79" customFormat="true" ht="12.75" hidden="false" customHeight="false" outlineLevel="0" collapsed="false">
      <c r="A45" s="0"/>
      <c r="B45" s="0"/>
      <c r="C45" s="0"/>
      <c r="I45" s="0"/>
      <c r="J45" s="0"/>
      <c r="K45" s="80"/>
      <c r="L45" s="80"/>
      <c r="M45" s="80"/>
      <c r="N45" s="80"/>
    </row>
    <row r="46" s="79" customFormat="true" ht="12.75" hidden="false" customHeight="false" outlineLevel="0" collapsed="false">
      <c r="A46" s="102"/>
      <c r="B46" s="108"/>
      <c r="C46" s="108"/>
      <c r="K46" s="80"/>
      <c r="L46" s="80"/>
      <c r="M46" s="80"/>
      <c r="N46" s="80"/>
    </row>
    <row r="47" s="79" customFormat="true" ht="12.75" hidden="false" customHeight="false" outlineLevel="0" collapsed="false">
      <c r="A47" s="102"/>
      <c r="B47" s="108"/>
      <c r="C47" s="108"/>
      <c r="K47" s="80"/>
      <c r="L47" s="80"/>
      <c r="M47" s="80"/>
      <c r="N47" s="80"/>
    </row>
    <row r="48" s="79" customFormat="true" ht="12.75" hidden="false" customHeight="false" outlineLevel="0" collapsed="false">
      <c r="A48" s="102"/>
      <c r="B48" s="109"/>
      <c r="C48" s="108"/>
      <c r="K48" s="80"/>
      <c r="L48" s="80"/>
      <c r="M48" s="80"/>
      <c r="N48" s="80"/>
    </row>
    <row r="49" s="79" customFormat="true" ht="12.75" hidden="false" customHeight="false" outlineLevel="0" collapsed="false">
      <c r="A49" s="102"/>
      <c r="B49" s="109"/>
      <c r="C49" s="108"/>
      <c r="K49" s="80"/>
      <c r="L49" s="80"/>
      <c r="M49" s="80"/>
      <c r="N49" s="80"/>
    </row>
    <row r="50" s="79" customFormat="true" ht="12.75" hidden="false" customHeight="false" outlineLevel="0" collapsed="false">
      <c r="A50" s="102"/>
      <c r="B50" s="109"/>
      <c r="K50" s="80"/>
      <c r="L50" s="80"/>
      <c r="M50" s="80"/>
      <c r="N50" s="80"/>
    </row>
    <row r="51" s="79" customFormat="true" ht="12.75" hidden="false" customHeight="false" outlineLevel="0" collapsed="false">
      <c r="A51" s="102"/>
      <c r="B51" s="109"/>
      <c r="C51" s="108"/>
      <c r="K51" s="80"/>
      <c r="L51" s="80"/>
      <c r="M51" s="80"/>
      <c r="N51" s="80"/>
    </row>
    <row r="52" s="79" customFormat="true" ht="12.75" hidden="false" customHeight="false" outlineLevel="0" collapsed="false">
      <c r="A52" s="102"/>
      <c r="B52" s="3"/>
      <c r="K52" s="80"/>
      <c r="L52" s="80"/>
      <c r="M52" s="80"/>
      <c r="N52" s="80"/>
    </row>
    <row r="53" s="79" customFormat="true" ht="12.75" hidden="false" customHeight="false" outlineLevel="0" collapsed="false">
      <c r="A53" s="102"/>
      <c r="B53" s="108"/>
      <c r="C53" s="108"/>
      <c r="K53" s="80"/>
      <c r="L53" s="80"/>
      <c r="M53" s="80"/>
      <c r="N53" s="80"/>
    </row>
    <row r="54" s="79" customFormat="true" ht="12.75" hidden="false" customHeight="false" outlineLevel="0" collapsed="false">
      <c r="A54" s="105"/>
      <c r="B54" s="106" t="s">
        <v>85</v>
      </c>
      <c r="C54" s="105"/>
      <c r="E54" s="79" t="n">
        <f aca="false">SUM(E55:E73)</f>
        <v>0</v>
      </c>
      <c r="K54" s="80"/>
      <c r="L54" s="80"/>
      <c r="M54" s="80"/>
      <c r="N54" s="80"/>
    </row>
    <row r="55" s="79" customFormat="true" ht="12.75" hidden="false" customHeight="false" outlineLevel="0" collapsed="false">
      <c r="A55" s="102"/>
      <c r="B55" s="108"/>
      <c r="C55" s="108"/>
      <c r="K55" s="80"/>
      <c r="L55" s="80"/>
      <c r="M55" s="80"/>
      <c r="N55" s="80"/>
    </row>
    <row r="56" s="79" customFormat="true" ht="12.75" hidden="false" customHeight="false" outlineLevel="0" collapsed="false">
      <c r="A56" s="102"/>
      <c r="B56" s="108"/>
      <c r="C56" s="108"/>
      <c r="K56" s="80"/>
      <c r="L56" s="80"/>
      <c r="M56" s="80"/>
      <c r="N56" s="80"/>
    </row>
    <row r="57" s="79" customFormat="true" ht="12.75" hidden="false" customHeight="false" outlineLevel="0" collapsed="false">
      <c r="A57" s="102"/>
      <c r="B57" s="3"/>
      <c r="C57" s="108"/>
      <c r="K57" s="80"/>
      <c r="L57" s="80"/>
      <c r="M57" s="80"/>
      <c r="N57" s="80"/>
    </row>
    <row r="58" s="79" customFormat="true" ht="12.75" hidden="false" customHeight="false" outlineLevel="0" collapsed="false">
      <c r="A58" s="102"/>
      <c r="B58" s="3"/>
      <c r="C58" s="108"/>
      <c r="K58" s="80"/>
      <c r="L58" s="80"/>
      <c r="M58" s="80"/>
      <c r="N58" s="80"/>
    </row>
    <row r="59" s="79" customFormat="true" ht="12.75" hidden="false" customHeight="false" outlineLevel="0" collapsed="false">
      <c r="A59" s="102"/>
      <c r="B59" s="3"/>
      <c r="C59" s="108"/>
      <c r="K59" s="80"/>
      <c r="L59" s="80"/>
      <c r="M59" s="80"/>
      <c r="N59" s="80"/>
    </row>
    <row r="60" s="79" customFormat="true" ht="12.75" hidden="false" customHeight="false" outlineLevel="0" collapsed="false">
      <c r="A60" s="102"/>
      <c r="B60" s="3"/>
      <c r="C60" s="108"/>
      <c r="K60" s="80"/>
      <c r="L60" s="80"/>
      <c r="M60" s="80"/>
      <c r="N60" s="80"/>
    </row>
    <row r="61" s="79" customFormat="true" ht="12.75" hidden="false" customHeight="false" outlineLevel="0" collapsed="false">
      <c r="A61" s="102"/>
      <c r="B61" s="3"/>
      <c r="C61" s="108"/>
      <c r="K61" s="80"/>
      <c r="L61" s="80"/>
      <c r="M61" s="80"/>
      <c r="N61" s="80"/>
    </row>
    <row r="62" s="79" customFormat="true" ht="12.75" hidden="false" customHeight="false" outlineLevel="0" collapsed="false">
      <c r="A62" s="102"/>
      <c r="B62" s="3"/>
      <c r="C62" s="108"/>
      <c r="K62" s="80"/>
      <c r="L62" s="80"/>
      <c r="M62" s="80"/>
      <c r="N62" s="80"/>
    </row>
    <row r="63" s="79" customFormat="true" ht="12.75" hidden="false" customHeight="false" outlineLevel="0" collapsed="false">
      <c r="A63" s="102"/>
      <c r="B63" s="3"/>
      <c r="C63" s="108"/>
      <c r="K63" s="80"/>
      <c r="L63" s="80"/>
      <c r="M63" s="80"/>
      <c r="N63" s="80"/>
    </row>
    <row r="64" s="79" customFormat="true" ht="12.75" hidden="false" customHeight="false" outlineLevel="0" collapsed="false">
      <c r="A64" s="102"/>
      <c r="B64" s="3"/>
      <c r="C64" s="108"/>
      <c r="K64" s="80"/>
      <c r="L64" s="80"/>
      <c r="M64" s="80"/>
      <c r="N64" s="80"/>
    </row>
    <row r="65" s="79" customFormat="true" ht="12.75" hidden="false" customHeight="false" outlineLevel="0" collapsed="false">
      <c r="A65" s="102"/>
      <c r="B65" s="3"/>
      <c r="C65" s="108"/>
      <c r="K65" s="80"/>
      <c r="L65" s="80"/>
      <c r="M65" s="80"/>
      <c r="N65" s="80"/>
    </row>
    <row r="66" s="79" customFormat="true" ht="12.75" hidden="false" customHeight="false" outlineLevel="0" collapsed="false">
      <c r="A66" s="102"/>
      <c r="B66" s="3"/>
      <c r="C66" s="108"/>
      <c r="K66" s="80"/>
      <c r="L66" s="80"/>
      <c r="M66" s="80"/>
      <c r="N66" s="80"/>
    </row>
    <row r="67" s="79" customFormat="true" ht="12.75" hidden="false" customHeight="false" outlineLevel="0" collapsed="false">
      <c r="A67" s="102" t="n">
        <v>45649</v>
      </c>
      <c r="B67" s="3" t="s">
        <v>86</v>
      </c>
      <c r="C67" s="108"/>
      <c r="K67" s="80"/>
      <c r="L67" s="80"/>
      <c r="M67" s="80"/>
      <c r="N67" s="80"/>
    </row>
    <row r="68" s="79" customFormat="true" ht="13.8" hidden="false" customHeight="false" outlineLevel="0" collapsed="false">
      <c r="A68" s="102"/>
      <c r="B68" s="3"/>
      <c r="C68" s="108"/>
      <c r="E68" s="107" t="s">
        <v>84</v>
      </c>
      <c r="K68" s="80"/>
      <c r="L68" s="80"/>
      <c r="M68" s="80"/>
      <c r="N68" s="80"/>
    </row>
    <row r="69" s="79" customFormat="true" ht="12.75" hidden="false" customHeight="false" outlineLevel="0" collapsed="false">
      <c r="A69" s="102"/>
      <c r="B69" s="3"/>
      <c r="C69" s="108"/>
      <c r="K69" s="80"/>
      <c r="L69" s="80"/>
      <c r="M69" s="80"/>
      <c r="N69" s="80"/>
    </row>
    <row r="70" s="79" customFormat="true" ht="12.75" hidden="false" customHeight="false" outlineLevel="0" collapsed="false">
      <c r="A70" s="102"/>
      <c r="B70" s="3"/>
      <c r="C70" s="108"/>
      <c r="K70" s="80"/>
      <c r="L70" s="80"/>
      <c r="M70" s="80"/>
      <c r="N70" s="80"/>
    </row>
    <row r="71" s="79" customFormat="true" ht="12.75" hidden="false" customHeight="false" outlineLevel="0" collapsed="false">
      <c r="A71" s="102"/>
      <c r="B71" s="3"/>
      <c r="C71" s="108"/>
      <c r="K71" s="80"/>
      <c r="L71" s="80"/>
      <c r="M71" s="80"/>
      <c r="N71" s="80"/>
    </row>
    <row r="72" s="79" customFormat="true" ht="12.75" hidden="false" customHeight="false" outlineLevel="0" collapsed="false">
      <c r="A72" s="102"/>
      <c r="B72" s="3"/>
      <c r="C72" s="108"/>
      <c r="K72" s="80"/>
      <c r="L72" s="80"/>
      <c r="M72" s="80"/>
      <c r="N72" s="80"/>
    </row>
    <row r="73" s="79" customFormat="true" ht="12.75" hidden="false" customHeight="false" outlineLevel="0" collapsed="false">
      <c r="A73" s="102"/>
      <c r="B73" s="3"/>
      <c r="C73" s="108"/>
      <c r="K73" s="80"/>
      <c r="L73" s="80"/>
      <c r="M73" s="80"/>
      <c r="N73" s="80"/>
    </row>
    <row r="74" s="79" customFormat="true" ht="12.75" hidden="false" customHeight="false" outlineLevel="0" collapsed="false">
      <c r="A74" s="102"/>
      <c r="B74" s="3"/>
      <c r="K74" s="80"/>
      <c r="L74" s="80"/>
      <c r="M74" s="80"/>
      <c r="N74" s="80"/>
    </row>
    <row r="75" s="79" customFormat="true" ht="12.75" hidden="false" customHeight="false" outlineLevel="0" collapsed="false">
      <c r="A75" s="102"/>
      <c r="B75" s="3"/>
      <c r="C75" s="108"/>
      <c r="K75" s="80"/>
      <c r="L75" s="80"/>
      <c r="M75" s="80"/>
      <c r="N75" s="80"/>
    </row>
    <row r="76" s="79" customFormat="true" ht="12.75" hidden="false" customHeight="false" outlineLevel="0" collapsed="false">
      <c r="A76" s="102"/>
      <c r="B76" s="3"/>
      <c r="C76" s="108"/>
      <c r="K76" s="80"/>
      <c r="L76" s="80"/>
      <c r="M76" s="80"/>
      <c r="N76" s="80"/>
    </row>
    <row r="77" customFormat="false" ht="12.75" hidden="false" customHeight="false" outlineLevel="0" collapsed="false">
      <c r="A77" s="102"/>
      <c r="B77" s="3"/>
      <c r="C77" s="108"/>
      <c r="I77" s="79"/>
      <c r="J77" s="79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C2E6"/>
    <pageSetUpPr fitToPage="false"/>
  </sheetPr>
  <dimension ref="A1:N76"/>
  <sheetViews>
    <sheetView showFormulas="false" showGridLines="true" showRowColHeaders="true" showZeros="true" rightToLeft="false" tabSelected="false" showOutlineSymbols="true" defaultGridColor="true" view="normal" topLeftCell="A63" colorId="64" zoomScale="145" zoomScaleNormal="145" zoomScalePageLayoutView="100" workbookViewId="0">
      <selection pane="topLeft" activeCell="A77" activeCellId="0" sqref="A77"/>
    </sheetView>
  </sheetViews>
  <sheetFormatPr defaultColWidth="12.2929687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79" width="11.57"/>
    <col collapsed="false" customWidth="false" hidden="false" outlineLevel="0" max="8" min="5" style="79" width="12.29"/>
    <col collapsed="false" customWidth="true" hidden="false" outlineLevel="0" max="10" min="10" style="0" width="27.43"/>
    <col collapsed="false" customWidth="true" hidden="false" outlineLevel="0" max="11" min="11" style="80" width="6.14"/>
    <col collapsed="false" customWidth="true" hidden="false" outlineLevel="0" max="12" min="12" style="80" width="14.57"/>
    <col collapsed="false" customWidth="false" hidden="false" outlineLevel="0" max="14" min="13" style="80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79" t="s">
        <v>28</v>
      </c>
      <c r="G1" s="79" t="s">
        <v>29</v>
      </c>
      <c r="H1" s="79" t="s">
        <v>3</v>
      </c>
    </row>
    <row r="2" customFormat="false" ht="12.75" hidden="false" customHeight="false" outlineLevel="0" collapsed="false">
      <c r="A2" s="3" t="s">
        <v>87</v>
      </c>
      <c r="C2" s="81" t="s">
        <v>67</v>
      </c>
      <c r="D2" s="79" t="n">
        <f aca="false">SUM(D4:D34)</f>
        <v>15000</v>
      </c>
      <c r="E2" s="79" t="n">
        <f aca="false">SUM(E4:E34)</f>
        <v>-44917.06</v>
      </c>
      <c r="F2" s="79" t="n">
        <f aca="false">SUM(F4:F34)</f>
        <v>0</v>
      </c>
      <c r="G2" s="79" t="n">
        <f aca="false">SUM(G4:G33)</f>
        <v>0</v>
      </c>
      <c r="H2" s="79" t="n">
        <f aca="false">F2+G2</f>
        <v>0</v>
      </c>
    </row>
    <row r="3" customFormat="false" ht="12.75" hidden="false" customHeight="false" outlineLevel="0" collapsed="false">
      <c r="B3" s="18"/>
    </row>
    <row r="4" customFormat="false" ht="12.75" hidden="false" customHeight="false" outlineLevel="0" collapsed="false">
      <c r="B4" s="42"/>
      <c r="H4" s="79" t="n">
        <f aca="false">H3+F4+G4</f>
        <v>0</v>
      </c>
    </row>
    <row r="5" customFormat="false" ht="12.75" hidden="false" customHeight="false" outlineLevel="0" collapsed="false">
      <c r="B5" s="42"/>
      <c r="H5" s="79" t="n">
        <f aca="false">H4+F5+G5</f>
        <v>0</v>
      </c>
    </row>
    <row r="6" customFormat="false" ht="12.75" hidden="false" customHeight="false" outlineLevel="0" collapsed="false">
      <c r="A6" s="82"/>
      <c r="B6" s="83"/>
      <c r="C6" s="84"/>
      <c r="D6" s="85"/>
      <c r="E6" s="85"/>
      <c r="H6" s="79" t="n">
        <f aca="false">H5+F6+G6</f>
        <v>0</v>
      </c>
    </row>
    <row r="7" customFormat="false" ht="12.75" hidden="false" customHeight="false" outlineLevel="0" collapsed="false">
      <c r="A7" s="86"/>
      <c r="B7" s="83" t="s">
        <v>68</v>
      </c>
      <c r="C7" s="87"/>
      <c r="D7" s="88"/>
      <c r="E7" s="88" t="n">
        <f aca="false">E39</f>
        <v>0</v>
      </c>
      <c r="F7" s="89"/>
      <c r="G7" s="89" t="n">
        <f aca="false">E7</f>
        <v>0</v>
      </c>
      <c r="H7" s="79" t="n">
        <f aca="false">H6+F7+G7</f>
        <v>0</v>
      </c>
    </row>
    <row r="8" customFormat="false" ht="12.75" hidden="false" customHeight="false" outlineLevel="0" collapsed="false">
      <c r="A8" s="82"/>
      <c r="B8" s="83" t="s">
        <v>69</v>
      </c>
      <c r="C8" s="87"/>
      <c r="D8" s="88"/>
      <c r="E8" s="88" t="n">
        <f aca="false">E54</f>
        <v>0</v>
      </c>
      <c r="F8" s="89"/>
      <c r="G8" s="89" t="n">
        <f aca="false">E8</f>
        <v>0</v>
      </c>
      <c r="H8" s="79" t="n">
        <f aca="false">H7+F8+G8</f>
        <v>0</v>
      </c>
    </row>
    <row r="9" customFormat="false" ht="12.75" hidden="false" customHeight="false" outlineLevel="0" collapsed="false">
      <c r="G9" s="89"/>
      <c r="H9" s="79" t="n">
        <f aca="false">H8+F9+G9</f>
        <v>0</v>
      </c>
    </row>
    <row r="10" customFormat="false" ht="12.75" hidden="false" customHeight="false" outlineLevel="0" collapsed="false">
      <c r="A10" s="90"/>
      <c r="B10" s="91" t="s">
        <v>70</v>
      </c>
      <c r="C10" s="91"/>
      <c r="D10" s="92"/>
      <c r="E10" s="92" t="n">
        <v>-2117.06</v>
      </c>
      <c r="H10" s="79" t="n">
        <f aca="false">H9+F10+G10</f>
        <v>0</v>
      </c>
    </row>
    <row r="11" customFormat="false" ht="12.75" hidden="false" customHeight="false" outlineLevel="0" collapsed="false">
      <c r="B11" s="91" t="s">
        <v>71</v>
      </c>
      <c r="C11" s="91"/>
      <c r="D11" s="92"/>
      <c r="E11" s="92" t="n">
        <v>-17500</v>
      </c>
      <c r="H11" s="79" t="n">
        <f aca="false">H10+F11+G11</f>
        <v>0</v>
      </c>
    </row>
    <row r="12" customFormat="false" ht="12.75" hidden="false" customHeight="false" outlineLevel="0" collapsed="false">
      <c r="B12" s="93" t="s">
        <v>72</v>
      </c>
      <c r="C12" s="94"/>
      <c r="D12" s="92"/>
      <c r="E12" s="92" t="n">
        <v>0</v>
      </c>
      <c r="H12" s="79" t="n">
        <f aca="false">H11+F12+G12</f>
        <v>0</v>
      </c>
    </row>
    <row r="13" customFormat="false" ht="12.75" hidden="false" customHeight="false" outlineLevel="0" collapsed="false">
      <c r="A13" s="90"/>
      <c r="B13" s="94"/>
      <c r="C13" s="94"/>
      <c r="D13" s="92"/>
      <c r="E13" s="92"/>
      <c r="H13" s="79" t="n">
        <f aca="false">H12+F13+G13</f>
        <v>0</v>
      </c>
    </row>
    <row r="14" s="80" customFormat="true" ht="12.75" hidden="false" customHeight="false" outlineLevel="0" collapsed="false">
      <c r="A14" s="90"/>
      <c r="B14" s="3"/>
      <c r="C14" s="3"/>
      <c r="D14" s="79"/>
      <c r="E14" s="79"/>
      <c r="F14" s="79"/>
      <c r="G14" s="79"/>
      <c r="H14" s="79" t="n">
        <f aca="false">H13+F14+G14</f>
        <v>0</v>
      </c>
      <c r="I14" s="0"/>
      <c r="J14" s="0"/>
    </row>
    <row r="15" s="80" customFormat="true" ht="12.75" hidden="false" customHeight="false" outlineLevel="0" collapsed="false">
      <c r="A15" s="90"/>
      <c r="B15" s="95" t="s">
        <v>73</v>
      </c>
      <c r="C15" s="95"/>
      <c r="D15" s="92"/>
      <c r="E15" s="92" t="n">
        <v>-1000</v>
      </c>
      <c r="F15" s="79"/>
      <c r="G15" s="79"/>
      <c r="H15" s="79" t="n">
        <f aca="false">H14+F15+G15</f>
        <v>0</v>
      </c>
    </row>
    <row r="16" s="80" customFormat="true" ht="12.75" hidden="false" customHeight="false" outlineLevel="0" collapsed="false">
      <c r="A16" s="90"/>
      <c r="B16" s="95" t="s">
        <v>74</v>
      </c>
      <c r="C16" s="95"/>
      <c r="D16" s="92"/>
      <c r="E16" s="92" t="n">
        <v>-200</v>
      </c>
      <c r="F16" s="79"/>
      <c r="G16" s="79"/>
      <c r="H16" s="79" t="n">
        <f aca="false">H15+F16+G16</f>
        <v>0</v>
      </c>
    </row>
    <row r="17" s="80" customFormat="true" ht="12.75" hidden="false" customHeight="false" outlineLevel="0" collapsed="false">
      <c r="A17" s="90"/>
      <c r="B17" s="91" t="s">
        <v>75</v>
      </c>
      <c r="C17" s="91"/>
      <c r="D17" s="92"/>
      <c r="E17" s="92" t="n">
        <v>-200</v>
      </c>
      <c r="F17" s="79"/>
      <c r="G17" s="79"/>
      <c r="H17" s="79" t="n">
        <f aca="false">H16+F17+G17</f>
        <v>0</v>
      </c>
    </row>
    <row r="18" s="80" customFormat="true" ht="12.75" hidden="false" customHeight="false" outlineLevel="0" collapsed="false">
      <c r="A18" s="90"/>
      <c r="B18" s="94" t="s">
        <v>76</v>
      </c>
      <c r="C18" s="94"/>
      <c r="D18" s="92" t="n">
        <v>15000</v>
      </c>
      <c r="E18" s="92"/>
      <c r="F18" s="79"/>
      <c r="G18" s="79"/>
      <c r="H18" s="79" t="n">
        <f aca="false">H17+F18+G18</f>
        <v>0</v>
      </c>
      <c r="J18" s="96"/>
      <c r="K18" s="96"/>
      <c r="L18" s="97"/>
      <c r="M18" s="98"/>
    </row>
    <row r="19" s="80" customFormat="true" ht="12.75" hidden="false" customHeight="false" outlineLevel="0" collapsed="false">
      <c r="B19" s="94" t="s">
        <v>77</v>
      </c>
      <c r="C19" s="94"/>
      <c r="D19" s="92"/>
      <c r="E19" s="92" t="n">
        <v>-7500</v>
      </c>
      <c r="F19" s="79"/>
      <c r="G19" s="79"/>
      <c r="H19" s="79" t="n">
        <f aca="false">H18+F19+G19</f>
        <v>0</v>
      </c>
      <c r="J19" s="96"/>
      <c r="K19" s="96"/>
      <c r="L19" s="97"/>
      <c r="M19" s="98"/>
    </row>
    <row r="20" s="80" customFormat="true" ht="12.75" hidden="false" customHeight="false" outlineLevel="0" collapsed="false">
      <c r="B20" s="94" t="s">
        <v>78</v>
      </c>
      <c r="C20" s="94"/>
      <c r="D20" s="92"/>
      <c r="E20" s="92" t="n">
        <v>-7500</v>
      </c>
      <c r="F20" s="79"/>
      <c r="G20" s="79"/>
      <c r="H20" s="79" t="n">
        <f aca="false">H19+F20+G20</f>
        <v>0</v>
      </c>
      <c r="J20" s="96"/>
      <c r="K20" s="96"/>
      <c r="L20" s="97"/>
      <c r="M20" s="98"/>
    </row>
    <row r="21" s="80" customFormat="true" ht="12.75" hidden="false" customHeight="false" outlineLevel="0" collapsed="false">
      <c r="B21" s="94" t="s">
        <v>79</v>
      </c>
      <c r="C21" s="94"/>
      <c r="D21" s="92"/>
      <c r="E21" s="92" t="n">
        <v>-7500</v>
      </c>
      <c r="F21" s="79"/>
      <c r="G21" s="79"/>
      <c r="H21" s="79" t="n">
        <f aca="false">H20+F21+G21</f>
        <v>0</v>
      </c>
      <c r="J21" s="96"/>
      <c r="K21" s="96"/>
      <c r="L21" s="97"/>
      <c r="M21" s="98"/>
    </row>
    <row r="22" s="80" customFormat="true" ht="12.75" hidden="false" customHeight="false" outlineLevel="0" collapsed="false">
      <c r="B22" s="3"/>
      <c r="C22" s="3"/>
      <c r="D22" s="79"/>
      <c r="E22" s="79"/>
      <c r="F22" s="79"/>
      <c r="G22" s="79"/>
      <c r="H22" s="79" t="n">
        <f aca="false">H21+F22+G22</f>
        <v>0</v>
      </c>
      <c r="J22" s="96"/>
      <c r="K22" s="96"/>
      <c r="L22" s="97"/>
      <c r="M22" s="98"/>
    </row>
    <row r="23" s="80" customFormat="true" ht="12.75" hidden="false" customHeight="false" outlineLevel="0" collapsed="false">
      <c r="A23" s="99"/>
      <c r="B23" s="94"/>
      <c r="C23" s="94"/>
      <c r="D23" s="92"/>
      <c r="E23" s="92"/>
      <c r="F23" s="79"/>
      <c r="G23" s="79"/>
      <c r="H23" s="79" t="n">
        <f aca="false">H22+F23+G23</f>
        <v>0</v>
      </c>
      <c r="J23" s="96"/>
      <c r="K23" s="96"/>
      <c r="L23" s="97"/>
      <c r="M23" s="98"/>
    </row>
    <row r="24" s="80" customFormat="true" ht="12.75" hidden="false" customHeight="false" outlineLevel="0" collapsed="false">
      <c r="A24" s="100"/>
      <c r="B24" s="3"/>
      <c r="C24" s="3"/>
      <c r="D24" s="79"/>
      <c r="E24" s="79"/>
      <c r="F24" s="79"/>
      <c r="G24" s="79"/>
      <c r="H24" s="79" t="n">
        <f aca="false">H23+F24+G24</f>
        <v>0</v>
      </c>
      <c r="J24" s="96"/>
      <c r="K24" s="96"/>
      <c r="L24" s="97"/>
      <c r="M24" s="98"/>
    </row>
    <row r="25" s="80" customFormat="true" ht="12.75" hidden="false" customHeight="false" outlineLevel="0" collapsed="false">
      <c r="B25" s="101" t="s">
        <v>80</v>
      </c>
      <c r="C25" s="101"/>
      <c r="D25" s="79"/>
      <c r="E25" s="79" t="n">
        <v>-600</v>
      </c>
      <c r="F25" s="79"/>
      <c r="G25" s="79"/>
      <c r="H25" s="79" t="n">
        <f aca="false">H24+F25+G25</f>
        <v>0</v>
      </c>
      <c r="J25" s="96"/>
      <c r="K25" s="96"/>
      <c r="L25" s="97"/>
      <c r="M25" s="98"/>
    </row>
    <row r="26" s="80" customFormat="true" ht="12.75" hidden="false" customHeight="false" outlineLevel="0" collapsed="false">
      <c r="B26" s="101" t="s">
        <v>81</v>
      </c>
      <c r="C26" s="101"/>
      <c r="D26" s="79"/>
      <c r="E26" s="79" t="n">
        <v>-800</v>
      </c>
      <c r="F26" s="79"/>
      <c r="G26" s="79"/>
      <c r="H26" s="79" t="n">
        <f aca="false">H25+F26+G26</f>
        <v>0</v>
      </c>
      <c r="J26" s="96"/>
      <c r="K26" s="96"/>
      <c r="L26" s="97"/>
      <c r="M26" s="98"/>
    </row>
    <row r="27" s="80" customFormat="true" ht="12.75" hidden="false" customHeight="false" outlineLevel="0" collapsed="false">
      <c r="B27" s="3"/>
      <c r="C27" s="3"/>
      <c r="D27" s="79"/>
      <c r="E27" s="79"/>
      <c r="F27" s="79"/>
      <c r="G27" s="79"/>
      <c r="H27" s="79" t="n">
        <f aca="false">H26+F27+G27</f>
        <v>0</v>
      </c>
    </row>
    <row r="28" s="80" customFormat="true" ht="12.75" hidden="false" customHeight="false" outlineLevel="0" collapsed="false">
      <c r="D28" s="79"/>
      <c r="E28" s="79"/>
      <c r="F28" s="79"/>
      <c r="G28" s="79"/>
      <c r="H28" s="79" t="n">
        <f aca="false">H27+F28+G28</f>
        <v>0</v>
      </c>
    </row>
    <row r="29" customFormat="false" ht="12.75" hidden="false" customHeight="false" outlineLevel="0" collapsed="false">
      <c r="A29" s="102"/>
      <c r="B29" s="103" t="s">
        <v>88</v>
      </c>
      <c r="C29" s="103"/>
      <c r="H29" s="79" t="n">
        <f aca="false">H28+F29+G29</f>
        <v>0</v>
      </c>
      <c r="I29" s="80"/>
      <c r="J29" s="80"/>
    </row>
    <row r="30" customFormat="false" ht="12.75" hidden="false" customHeight="false" outlineLevel="0" collapsed="false">
      <c r="A30" s="102"/>
      <c r="H30" s="79" t="n">
        <f aca="false">H29+F30+G30</f>
        <v>0</v>
      </c>
    </row>
    <row r="31" customFormat="false" ht="12.75" hidden="false" customHeight="false" outlineLevel="0" collapsed="false">
      <c r="H31" s="79" t="n">
        <f aca="false">H30+F31+G31</f>
        <v>0</v>
      </c>
    </row>
    <row r="33" customFormat="false" ht="12.75" hidden="false" customHeight="false" outlineLevel="0" collapsed="false">
      <c r="A33" s="100"/>
    </row>
    <row r="34" s="80" customFormat="true" ht="12.75" hidden="false" customHeight="false" outlineLevel="0" collapsed="false">
      <c r="A34" s="0"/>
      <c r="B34" s="0"/>
      <c r="C34" s="0"/>
      <c r="D34" s="79"/>
      <c r="E34" s="79"/>
      <c r="F34" s="79"/>
      <c r="G34" s="79"/>
      <c r="H34" s="79"/>
      <c r="I34" s="0"/>
      <c r="J34" s="0"/>
    </row>
    <row r="35" s="80" customFormat="true" ht="12.75" hidden="false" customHeight="false" outlineLevel="0" collapsed="false">
      <c r="B35" s="103"/>
      <c r="C35" s="103"/>
      <c r="D35" s="79"/>
      <c r="E35" s="79"/>
      <c r="F35" s="79"/>
      <c r="G35" s="79"/>
      <c r="H35" s="79"/>
      <c r="J35" s="96"/>
      <c r="K35" s="96"/>
      <c r="L35" s="97"/>
      <c r="M35" s="98"/>
    </row>
    <row r="36" s="80" customFormat="true" ht="12.75" hidden="false" customHeight="false" outlineLevel="0" collapsed="false">
      <c r="A36" s="100"/>
      <c r="D36" s="79"/>
      <c r="E36" s="79"/>
      <c r="F36" s="79"/>
      <c r="G36" s="79"/>
      <c r="H36" s="79"/>
    </row>
    <row r="37" s="79" customFormat="true" ht="12.75" hidden="false" customHeight="false" outlineLevel="0" collapsed="false">
      <c r="A37" s="90"/>
      <c r="B37" s="80"/>
      <c r="C37" s="80"/>
      <c r="I37" s="80"/>
      <c r="J37" s="80"/>
      <c r="K37" s="80"/>
      <c r="L37" s="80"/>
      <c r="M37" s="80"/>
      <c r="N37" s="80"/>
    </row>
    <row r="38" s="79" customFormat="true" ht="12.75" hidden="false" customHeight="false" outlineLevel="0" collapsed="false">
      <c r="B38" s="104"/>
      <c r="K38" s="80"/>
      <c r="L38" s="80"/>
      <c r="M38" s="80"/>
      <c r="N38" s="80"/>
    </row>
    <row r="39" customFormat="false" ht="12.75" hidden="false" customHeight="false" outlineLevel="0" collapsed="false">
      <c r="A39" s="105"/>
      <c r="B39" s="106" t="s">
        <v>83</v>
      </c>
      <c r="C39" s="105"/>
      <c r="E39" s="79" t="n">
        <f aca="false">SUM(E40:E51)</f>
        <v>0</v>
      </c>
      <c r="I39" s="79"/>
      <c r="J39" s="79"/>
    </row>
    <row r="40" s="79" customFormat="true" ht="13.8" hidden="false" customHeight="false" outlineLevel="0" collapsed="false">
      <c r="A40" s="0"/>
      <c r="B40" s="0"/>
      <c r="C40" s="0"/>
      <c r="E40" s="107" t="s">
        <v>84</v>
      </c>
      <c r="I40" s="0"/>
      <c r="J40" s="0"/>
      <c r="K40" s="80"/>
      <c r="L40" s="80"/>
      <c r="M40" s="80"/>
      <c r="N40" s="80"/>
    </row>
    <row r="41" s="79" customFormat="true" ht="12.75" hidden="false" customHeight="false" outlineLevel="0" collapsed="false">
      <c r="A41" s="90"/>
      <c r="K41" s="80"/>
      <c r="L41" s="80"/>
      <c r="M41" s="80"/>
      <c r="N41" s="80"/>
    </row>
    <row r="42" s="79" customFormat="true" ht="12.75" hidden="false" customHeight="false" outlineLevel="0" collapsed="false">
      <c r="A42" s="90"/>
      <c r="K42" s="80"/>
      <c r="L42" s="80"/>
      <c r="M42" s="80"/>
      <c r="N42" s="80"/>
    </row>
    <row r="43" s="79" customFormat="true" ht="12.75" hidden="false" customHeight="false" outlineLevel="0" collapsed="false">
      <c r="A43" s="90"/>
      <c r="K43" s="80"/>
      <c r="L43" s="80"/>
      <c r="M43" s="80"/>
      <c r="N43" s="80"/>
    </row>
    <row r="44" customFormat="false" ht="12.75" hidden="false" customHeight="false" outlineLevel="0" collapsed="false">
      <c r="A44" s="90"/>
      <c r="B44" s="79"/>
      <c r="C44" s="79"/>
      <c r="I44" s="79"/>
      <c r="J44" s="79"/>
    </row>
    <row r="45" s="79" customFormat="true" ht="12.75" hidden="false" customHeight="false" outlineLevel="0" collapsed="false">
      <c r="A45" s="0"/>
      <c r="B45" s="0"/>
      <c r="C45" s="0"/>
      <c r="I45" s="0"/>
      <c r="J45" s="0"/>
      <c r="K45" s="80"/>
      <c r="L45" s="80"/>
      <c r="M45" s="80"/>
      <c r="N45" s="80"/>
    </row>
    <row r="46" s="79" customFormat="true" ht="12.75" hidden="false" customHeight="false" outlineLevel="0" collapsed="false">
      <c r="A46" s="102"/>
      <c r="B46" s="108"/>
      <c r="C46" s="108"/>
      <c r="K46" s="80"/>
      <c r="L46" s="80"/>
      <c r="M46" s="80"/>
      <c r="N46" s="80"/>
    </row>
    <row r="47" s="79" customFormat="true" ht="12.75" hidden="false" customHeight="false" outlineLevel="0" collapsed="false">
      <c r="A47" s="102"/>
      <c r="B47" s="108"/>
      <c r="C47" s="108"/>
      <c r="K47" s="80"/>
      <c r="L47" s="80"/>
      <c r="M47" s="80"/>
      <c r="N47" s="80"/>
    </row>
    <row r="48" s="79" customFormat="true" ht="12.75" hidden="false" customHeight="false" outlineLevel="0" collapsed="false">
      <c r="A48" s="102"/>
      <c r="B48" s="109"/>
      <c r="C48" s="108"/>
      <c r="K48" s="80"/>
      <c r="L48" s="80"/>
      <c r="M48" s="80"/>
      <c r="N48" s="80"/>
    </row>
    <row r="49" s="79" customFormat="true" ht="12.75" hidden="false" customHeight="false" outlineLevel="0" collapsed="false">
      <c r="A49" s="102"/>
      <c r="B49" s="109"/>
      <c r="C49" s="108"/>
      <c r="K49" s="80"/>
      <c r="L49" s="80"/>
      <c r="M49" s="80"/>
      <c r="N49" s="80"/>
    </row>
    <row r="50" s="79" customFormat="true" ht="12.75" hidden="false" customHeight="false" outlineLevel="0" collapsed="false">
      <c r="A50" s="102"/>
      <c r="B50" s="109"/>
      <c r="K50" s="80"/>
      <c r="L50" s="80"/>
      <c r="M50" s="80"/>
      <c r="N50" s="80"/>
    </row>
    <row r="51" s="79" customFormat="true" ht="12.75" hidden="false" customHeight="false" outlineLevel="0" collapsed="false">
      <c r="A51" s="102"/>
      <c r="B51" s="109"/>
      <c r="C51" s="108"/>
      <c r="K51" s="80"/>
      <c r="L51" s="80"/>
      <c r="M51" s="80"/>
      <c r="N51" s="80"/>
    </row>
    <row r="52" s="79" customFormat="true" ht="12.75" hidden="false" customHeight="false" outlineLevel="0" collapsed="false">
      <c r="A52" s="102"/>
      <c r="B52" s="3"/>
      <c r="K52" s="80"/>
      <c r="L52" s="80"/>
      <c r="M52" s="80"/>
      <c r="N52" s="80"/>
    </row>
    <row r="53" s="79" customFormat="true" ht="12.75" hidden="false" customHeight="false" outlineLevel="0" collapsed="false">
      <c r="A53" s="102"/>
      <c r="B53" s="108"/>
      <c r="C53" s="108"/>
      <c r="K53" s="80"/>
      <c r="L53" s="80"/>
      <c r="M53" s="80"/>
      <c r="N53" s="80"/>
    </row>
    <row r="54" s="79" customFormat="true" ht="12.75" hidden="false" customHeight="false" outlineLevel="0" collapsed="false">
      <c r="A54" s="105"/>
      <c r="B54" s="106" t="s">
        <v>85</v>
      </c>
      <c r="C54" s="105"/>
      <c r="E54" s="79" t="n">
        <f aca="false">SUM(E55:E73)</f>
        <v>0</v>
      </c>
      <c r="K54" s="80"/>
      <c r="L54" s="80"/>
      <c r="M54" s="80"/>
      <c r="N54" s="80"/>
    </row>
    <row r="55" s="79" customFormat="true" ht="12.75" hidden="false" customHeight="false" outlineLevel="0" collapsed="false">
      <c r="A55" s="102"/>
      <c r="B55" s="108"/>
      <c r="C55" s="108"/>
      <c r="K55" s="80"/>
      <c r="L55" s="80"/>
      <c r="M55" s="80"/>
      <c r="N55" s="80"/>
    </row>
    <row r="56" s="79" customFormat="true" ht="12.75" hidden="false" customHeight="false" outlineLevel="0" collapsed="false">
      <c r="A56" s="102"/>
      <c r="B56" s="108"/>
      <c r="C56" s="108"/>
      <c r="K56" s="80"/>
      <c r="L56" s="80"/>
      <c r="M56" s="80"/>
      <c r="N56" s="80"/>
    </row>
    <row r="57" s="79" customFormat="true" ht="12.75" hidden="false" customHeight="false" outlineLevel="0" collapsed="false">
      <c r="A57" s="102"/>
      <c r="B57" s="3"/>
      <c r="C57" s="108"/>
      <c r="K57" s="80"/>
      <c r="L57" s="80"/>
      <c r="M57" s="80"/>
      <c r="N57" s="80"/>
    </row>
    <row r="58" s="79" customFormat="true" ht="12.75" hidden="false" customHeight="false" outlineLevel="0" collapsed="false">
      <c r="A58" s="102"/>
      <c r="B58" s="3"/>
      <c r="C58" s="108"/>
      <c r="K58" s="80"/>
      <c r="L58" s="80"/>
      <c r="M58" s="80"/>
      <c r="N58" s="80"/>
    </row>
    <row r="59" s="79" customFormat="true" ht="12.75" hidden="false" customHeight="false" outlineLevel="0" collapsed="false">
      <c r="A59" s="102"/>
      <c r="B59" s="3"/>
      <c r="C59" s="108"/>
      <c r="K59" s="80"/>
      <c r="L59" s="80"/>
      <c r="M59" s="80"/>
      <c r="N59" s="80"/>
    </row>
    <row r="60" s="79" customFormat="true" ht="12.75" hidden="false" customHeight="false" outlineLevel="0" collapsed="false">
      <c r="A60" s="102"/>
      <c r="B60" s="3"/>
      <c r="C60" s="108"/>
      <c r="K60" s="80"/>
      <c r="L60" s="80"/>
      <c r="M60" s="80"/>
      <c r="N60" s="80"/>
    </row>
    <row r="61" s="79" customFormat="true" ht="12.75" hidden="false" customHeight="false" outlineLevel="0" collapsed="false">
      <c r="A61" s="102"/>
      <c r="B61" s="3"/>
      <c r="C61" s="108"/>
      <c r="K61" s="80"/>
      <c r="L61" s="80"/>
      <c r="M61" s="80"/>
      <c r="N61" s="80"/>
    </row>
    <row r="62" s="79" customFormat="true" ht="12.75" hidden="false" customHeight="false" outlineLevel="0" collapsed="false">
      <c r="A62" s="102"/>
      <c r="B62" s="3"/>
      <c r="C62" s="108"/>
      <c r="K62" s="80"/>
      <c r="L62" s="80"/>
      <c r="M62" s="80"/>
      <c r="N62" s="80"/>
    </row>
    <row r="63" s="79" customFormat="true" ht="12.75" hidden="false" customHeight="false" outlineLevel="0" collapsed="false">
      <c r="A63" s="102"/>
      <c r="B63" s="3"/>
      <c r="C63" s="108"/>
      <c r="K63" s="80"/>
      <c r="L63" s="80"/>
      <c r="M63" s="80"/>
      <c r="N63" s="80"/>
    </row>
    <row r="64" s="79" customFormat="true" ht="12.75" hidden="false" customHeight="false" outlineLevel="0" collapsed="false">
      <c r="A64" s="102"/>
      <c r="B64" s="3"/>
      <c r="C64" s="108"/>
      <c r="K64" s="80"/>
      <c r="L64" s="80"/>
      <c r="M64" s="80"/>
      <c r="N64" s="80"/>
    </row>
    <row r="65" s="79" customFormat="true" ht="12.75" hidden="false" customHeight="false" outlineLevel="0" collapsed="false">
      <c r="A65" s="102"/>
      <c r="B65" s="3"/>
      <c r="C65" s="108"/>
      <c r="K65" s="80"/>
      <c r="L65" s="80"/>
      <c r="M65" s="80"/>
      <c r="N65" s="80"/>
    </row>
    <row r="66" s="79" customFormat="true" ht="12.75" hidden="false" customHeight="false" outlineLevel="0" collapsed="false">
      <c r="A66" s="102"/>
      <c r="B66" s="3"/>
      <c r="C66" s="108"/>
      <c r="K66" s="80"/>
      <c r="L66" s="80"/>
      <c r="M66" s="80"/>
      <c r="N66" s="80"/>
    </row>
    <row r="67" s="79" customFormat="true" ht="12.75" hidden="false" customHeight="false" outlineLevel="0" collapsed="false">
      <c r="A67" s="102" t="n">
        <v>45649</v>
      </c>
      <c r="B67" s="3" t="s">
        <v>86</v>
      </c>
      <c r="C67" s="108"/>
      <c r="K67" s="80"/>
      <c r="L67" s="80"/>
      <c r="M67" s="80"/>
      <c r="N67" s="80"/>
    </row>
    <row r="68" s="79" customFormat="true" ht="13.8" hidden="false" customHeight="false" outlineLevel="0" collapsed="false">
      <c r="A68" s="102"/>
      <c r="B68" s="3"/>
      <c r="C68" s="108"/>
      <c r="E68" s="107" t="s">
        <v>84</v>
      </c>
      <c r="K68" s="80"/>
      <c r="L68" s="80"/>
      <c r="M68" s="80"/>
      <c r="N68" s="80"/>
    </row>
    <row r="69" s="79" customFormat="true" ht="12.75" hidden="false" customHeight="false" outlineLevel="0" collapsed="false">
      <c r="A69" s="102"/>
      <c r="B69" s="3"/>
      <c r="C69" s="108"/>
      <c r="K69" s="80"/>
      <c r="L69" s="80"/>
      <c r="M69" s="80"/>
      <c r="N69" s="80"/>
    </row>
    <row r="70" s="79" customFormat="true" ht="12.75" hidden="false" customHeight="false" outlineLevel="0" collapsed="false">
      <c r="A70" s="102"/>
      <c r="B70" s="3"/>
      <c r="C70" s="108"/>
      <c r="K70" s="80"/>
      <c r="L70" s="80"/>
      <c r="M70" s="80"/>
      <c r="N70" s="80"/>
    </row>
    <row r="71" s="79" customFormat="true" ht="12.75" hidden="false" customHeight="false" outlineLevel="0" collapsed="false">
      <c r="A71" s="102"/>
      <c r="B71" s="3"/>
      <c r="C71" s="108"/>
      <c r="K71" s="80"/>
      <c r="L71" s="80"/>
      <c r="M71" s="80"/>
      <c r="N71" s="80"/>
    </row>
    <row r="72" s="79" customFormat="true" ht="12.75" hidden="false" customHeight="false" outlineLevel="0" collapsed="false">
      <c r="A72" s="102"/>
      <c r="B72" s="3"/>
      <c r="C72" s="108"/>
      <c r="K72" s="80"/>
      <c r="L72" s="80"/>
      <c r="M72" s="80"/>
      <c r="N72" s="80"/>
    </row>
    <row r="73" s="79" customFormat="true" ht="12.75" hidden="false" customHeight="false" outlineLevel="0" collapsed="false">
      <c r="A73" s="102"/>
      <c r="B73" s="3"/>
      <c r="C73" s="108"/>
      <c r="K73" s="80"/>
      <c r="L73" s="80"/>
      <c r="M73" s="80"/>
      <c r="N73" s="80"/>
    </row>
    <row r="74" s="79" customFormat="true" ht="12.75" hidden="false" customHeight="false" outlineLevel="0" collapsed="false">
      <c r="A74" s="102"/>
      <c r="B74" s="3"/>
      <c r="K74" s="80"/>
      <c r="L74" s="80"/>
      <c r="M74" s="80"/>
      <c r="N74" s="80"/>
    </row>
    <row r="75" s="79" customFormat="true" ht="12.75" hidden="false" customHeight="false" outlineLevel="0" collapsed="false">
      <c r="A75" s="102"/>
      <c r="B75" s="3"/>
      <c r="C75" s="108"/>
      <c r="K75" s="80"/>
      <c r="L75" s="80"/>
      <c r="M75" s="80"/>
      <c r="N75" s="80"/>
    </row>
    <row r="76" customFormat="false" ht="12.75" hidden="false" customHeight="false" outlineLevel="0" collapsed="false">
      <c r="A76" s="102"/>
      <c r="B76" s="3"/>
      <c r="C76" s="108"/>
      <c r="I76" s="79"/>
      <c r="J76" s="79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C2E6"/>
    <pageSetUpPr fitToPage="false"/>
  </sheetPr>
  <dimension ref="A1:N71"/>
  <sheetViews>
    <sheetView showFormulas="false" showGridLines="true" showRowColHeaders="true" showZeros="true" rightToLeft="false" tabSelected="false" showOutlineSymbols="true" defaultGridColor="true" view="normal" topLeftCell="A58" colorId="64" zoomScale="145" zoomScaleNormal="145" zoomScalePageLayoutView="100" workbookViewId="0">
      <selection pane="topLeft" activeCell="A72" activeCellId="0" sqref="A72"/>
    </sheetView>
  </sheetViews>
  <sheetFormatPr defaultColWidth="12.2929687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79" width="11.57"/>
    <col collapsed="false" customWidth="false" hidden="false" outlineLevel="0" max="8" min="5" style="79" width="12.29"/>
    <col collapsed="false" customWidth="true" hidden="false" outlineLevel="0" max="10" min="10" style="0" width="27.43"/>
    <col collapsed="false" customWidth="true" hidden="false" outlineLevel="0" max="11" min="11" style="80" width="6.14"/>
    <col collapsed="false" customWidth="true" hidden="false" outlineLevel="0" max="12" min="12" style="80" width="14.57"/>
    <col collapsed="false" customWidth="false" hidden="false" outlineLevel="0" max="14" min="13" style="80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79" t="s">
        <v>28</v>
      </c>
      <c r="G1" s="79" t="s">
        <v>29</v>
      </c>
      <c r="H1" s="79" t="s">
        <v>3</v>
      </c>
    </row>
    <row r="2" customFormat="false" ht="12.75" hidden="false" customHeight="false" outlineLevel="0" collapsed="false">
      <c r="A2" s="3" t="s">
        <v>89</v>
      </c>
      <c r="C2" s="81" t="s">
        <v>67</v>
      </c>
      <c r="D2" s="79" t="n">
        <f aca="false">SUM(D4:D32)</f>
        <v>15000</v>
      </c>
      <c r="E2" s="79" t="n">
        <f aca="false">SUM(E4:E32)</f>
        <v>-44917.06</v>
      </c>
      <c r="F2" s="79" t="n">
        <f aca="false">SUM(F4:F32)</f>
        <v>0</v>
      </c>
      <c r="G2" s="79" t="n">
        <f aca="false">SUM(G4:G32)</f>
        <v>0</v>
      </c>
      <c r="H2" s="79" t="n">
        <f aca="false">F2+G2</f>
        <v>0</v>
      </c>
    </row>
    <row r="3" customFormat="false" ht="12.75" hidden="false" customHeight="false" outlineLevel="0" collapsed="false">
      <c r="B3" s="18"/>
    </row>
    <row r="4" customFormat="false" ht="12.75" hidden="false" customHeight="false" outlineLevel="0" collapsed="false">
      <c r="B4" s="42"/>
      <c r="H4" s="79" t="n">
        <f aca="false">H3+F4+G4</f>
        <v>0</v>
      </c>
    </row>
    <row r="5" customFormat="false" ht="12.75" hidden="false" customHeight="false" outlineLevel="0" collapsed="false">
      <c r="B5" s="42"/>
      <c r="H5" s="79" t="n">
        <f aca="false">H4+F5+G5</f>
        <v>0</v>
      </c>
    </row>
    <row r="6" customFormat="false" ht="12.75" hidden="false" customHeight="false" outlineLevel="0" collapsed="false">
      <c r="A6" s="82"/>
      <c r="B6" s="83"/>
      <c r="C6" s="84"/>
      <c r="D6" s="85"/>
      <c r="E6" s="85"/>
      <c r="H6" s="79" t="n">
        <f aca="false">H5+F6+G6</f>
        <v>0</v>
      </c>
    </row>
    <row r="7" customFormat="false" ht="12.75" hidden="false" customHeight="false" outlineLevel="0" collapsed="false">
      <c r="A7" s="86"/>
      <c r="B7" s="83" t="s">
        <v>68</v>
      </c>
      <c r="C7" s="87"/>
      <c r="D7" s="88"/>
      <c r="E7" s="88" t="n">
        <f aca="false">E35</f>
        <v>0</v>
      </c>
      <c r="F7" s="89"/>
      <c r="G7" s="89" t="n">
        <f aca="false">E7</f>
        <v>0</v>
      </c>
      <c r="H7" s="79" t="n">
        <f aca="false">H6+F7+G7</f>
        <v>0</v>
      </c>
    </row>
    <row r="8" customFormat="false" ht="12.75" hidden="false" customHeight="false" outlineLevel="0" collapsed="false">
      <c r="A8" s="82"/>
      <c r="B8" s="83" t="s">
        <v>69</v>
      </c>
      <c r="C8" s="87"/>
      <c r="D8" s="88"/>
      <c r="E8" s="88" t="n">
        <f aca="false">E50</f>
        <v>0</v>
      </c>
      <c r="F8" s="89"/>
      <c r="G8" s="89" t="n">
        <f aca="false">E8</f>
        <v>0</v>
      </c>
      <c r="H8" s="79" t="n">
        <f aca="false">H7+F8+G8</f>
        <v>0</v>
      </c>
    </row>
    <row r="9" customFormat="false" ht="12.75" hidden="false" customHeight="false" outlineLevel="0" collapsed="false">
      <c r="G9" s="89"/>
      <c r="H9" s="79" t="n">
        <f aca="false">H8+F9+G9</f>
        <v>0</v>
      </c>
    </row>
    <row r="10" customFormat="false" ht="12.75" hidden="false" customHeight="false" outlineLevel="0" collapsed="false">
      <c r="A10" s="90"/>
      <c r="B10" s="91" t="s">
        <v>70</v>
      </c>
      <c r="C10" s="91"/>
      <c r="D10" s="92"/>
      <c r="E10" s="92" t="n">
        <v>-2117.06</v>
      </c>
      <c r="H10" s="79" t="n">
        <f aca="false">H9+F10+G10</f>
        <v>0</v>
      </c>
    </row>
    <row r="11" customFormat="false" ht="12.75" hidden="false" customHeight="false" outlineLevel="0" collapsed="false">
      <c r="B11" s="91" t="s">
        <v>71</v>
      </c>
      <c r="C11" s="91"/>
      <c r="D11" s="92"/>
      <c r="E11" s="92" t="n">
        <v>-17500</v>
      </c>
      <c r="H11" s="79" t="n">
        <f aca="false">H10+F11+G11</f>
        <v>0</v>
      </c>
    </row>
    <row r="12" customFormat="false" ht="12.75" hidden="false" customHeight="false" outlineLevel="0" collapsed="false">
      <c r="B12" s="93" t="s">
        <v>72</v>
      </c>
      <c r="C12" s="94"/>
      <c r="D12" s="92"/>
      <c r="E12" s="92" t="n">
        <v>0</v>
      </c>
      <c r="H12" s="79" t="n">
        <f aca="false">H11+F12+G12</f>
        <v>0</v>
      </c>
    </row>
    <row r="13" customFormat="false" ht="12.75" hidden="false" customHeight="false" outlineLevel="0" collapsed="false">
      <c r="A13" s="90"/>
      <c r="B13" s="94"/>
      <c r="C13" s="94"/>
      <c r="D13" s="92"/>
      <c r="E13" s="92"/>
      <c r="H13" s="79" t="n">
        <f aca="false">H12+F13+G13</f>
        <v>0</v>
      </c>
    </row>
    <row r="14" s="80" customFormat="true" ht="12.75" hidden="false" customHeight="false" outlineLevel="0" collapsed="false">
      <c r="A14" s="90"/>
      <c r="B14" s="3"/>
      <c r="C14" s="3"/>
      <c r="D14" s="79"/>
      <c r="E14" s="79"/>
      <c r="F14" s="79"/>
      <c r="G14" s="79"/>
      <c r="H14" s="79" t="n">
        <f aca="false">H13+F14+G14</f>
        <v>0</v>
      </c>
      <c r="I14" s="0"/>
      <c r="J14" s="0"/>
    </row>
    <row r="15" s="80" customFormat="true" ht="12.75" hidden="false" customHeight="false" outlineLevel="0" collapsed="false">
      <c r="A15" s="90"/>
      <c r="B15" s="95" t="s">
        <v>73</v>
      </c>
      <c r="C15" s="95"/>
      <c r="D15" s="92"/>
      <c r="E15" s="92" t="n">
        <v>-1000</v>
      </c>
      <c r="F15" s="79"/>
      <c r="G15" s="79"/>
      <c r="H15" s="79" t="n">
        <f aca="false">H14+F15+G15</f>
        <v>0</v>
      </c>
    </row>
    <row r="16" s="80" customFormat="true" ht="12.75" hidden="false" customHeight="false" outlineLevel="0" collapsed="false">
      <c r="A16" s="90"/>
      <c r="B16" s="95" t="s">
        <v>74</v>
      </c>
      <c r="C16" s="95"/>
      <c r="D16" s="92"/>
      <c r="E16" s="92" t="n">
        <v>-200</v>
      </c>
      <c r="F16" s="79"/>
      <c r="G16" s="79"/>
      <c r="H16" s="79" t="n">
        <f aca="false">H15+F16+G16</f>
        <v>0</v>
      </c>
    </row>
    <row r="17" s="80" customFormat="true" ht="12.75" hidden="false" customHeight="false" outlineLevel="0" collapsed="false">
      <c r="A17" s="90"/>
      <c r="B17" s="91" t="s">
        <v>75</v>
      </c>
      <c r="C17" s="91"/>
      <c r="D17" s="92"/>
      <c r="E17" s="92" t="n">
        <v>-200</v>
      </c>
      <c r="F17" s="79"/>
      <c r="G17" s="79"/>
      <c r="H17" s="79" t="n">
        <f aca="false">H16+F17+G17</f>
        <v>0</v>
      </c>
    </row>
    <row r="18" s="80" customFormat="true" ht="12.75" hidden="false" customHeight="false" outlineLevel="0" collapsed="false">
      <c r="A18" s="90"/>
      <c r="B18" s="94" t="s">
        <v>76</v>
      </c>
      <c r="C18" s="94"/>
      <c r="D18" s="92" t="n">
        <v>15000</v>
      </c>
      <c r="E18" s="92"/>
      <c r="F18" s="79"/>
      <c r="G18" s="79"/>
      <c r="H18" s="79" t="n">
        <f aca="false">H17+F18+G18</f>
        <v>0</v>
      </c>
      <c r="J18" s="96"/>
      <c r="K18" s="96"/>
      <c r="L18" s="97"/>
      <c r="M18" s="98"/>
    </row>
    <row r="19" s="80" customFormat="true" ht="12.75" hidden="false" customHeight="false" outlineLevel="0" collapsed="false">
      <c r="B19" s="94" t="s">
        <v>77</v>
      </c>
      <c r="C19" s="94"/>
      <c r="D19" s="92"/>
      <c r="E19" s="92" t="n">
        <v>-7500</v>
      </c>
      <c r="F19" s="79"/>
      <c r="G19" s="79"/>
      <c r="H19" s="79" t="n">
        <f aca="false">H18+F19+G19</f>
        <v>0</v>
      </c>
      <c r="J19" s="96"/>
      <c r="K19" s="96"/>
      <c r="L19" s="97"/>
      <c r="M19" s="98"/>
    </row>
    <row r="20" s="80" customFormat="true" ht="12.75" hidden="false" customHeight="false" outlineLevel="0" collapsed="false">
      <c r="B20" s="94" t="s">
        <v>78</v>
      </c>
      <c r="C20" s="94"/>
      <c r="D20" s="92"/>
      <c r="E20" s="92" t="n">
        <v>-7500</v>
      </c>
      <c r="F20" s="79"/>
      <c r="G20" s="79"/>
      <c r="H20" s="79" t="n">
        <f aca="false">H19+F20+G20</f>
        <v>0</v>
      </c>
      <c r="J20" s="96"/>
      <c r="K20" s="96"/>
      <c r="L20" s="97"/>
      <c r="M20" s="98"/>
    </row>
    <row r="21" s="80" customFormat="true" ht="12.75" hidden="false" customHeight="false" outlineLevel="0" collapsed="false">
      <c r="B21" s="94" t="s">
        <v>79</v>
      </c>
      <c r="C21" s="94"/>
      <c r="D21" s="92"/>
      <c r="E21" s="92" t="n">
        <v>-7500</v>
      </c>
      <c r="F21" s="79"/>
      <c r="G21" s="79"/>
      <c r="H21" s="79" t="n">
        <f aca="false">H20+F21+G21</f>
        <v>0</v>
      </c>
      <c r="J21" s="96"/>
      <c r="K21" s="96"/>
      <c r="L21" s="97"/>
      <c r="M21" s="98"/>
    </row>
    <row r="22" s="80" customFormat="true" ht="12.75" hidden="false" customHeight="false" outlineLevel="0" collapsed="false">
      <c r="B22" s="3"/>
      <c r="C22" s="3"/>
      <c r="D22" s="79"/>
      <c r="E22" s="79"/>
      <c r="F22" s="79"/>
      <c r="G22" s="79"/>
      <c r="H22" s="79" t="n">
        <f aca="false">H21+F22+G22</f>
        <v>0</v>
      </c>
      <c r="J22" s="96"/>
      <c r="K22" s="96"/>
      <c r="L22" s="97"/>
      <c r="M22" s="98"/>
    </row>
    <row r="23" s="80" customFormat="true" ht="12.75" hidden="false" customHeight="false" outlineLevel="0" collapsed="false">
      <c r="A23" s="99"/>
      <c r="B23" s="94"/>
      <c r="C23" s="94"/>
      <c r="D23" s="92"/>
      <c r="E23" s="92"/>
      <c r="F23" s="79"/>
      <c r="G23" s="79"/>
      <c r="H23" s="79" t="n">
        <f aca="false">H22+F23+G23</f>
        <v>0</v>
      </c>
      <c r="J23" s="96"/>
      <c r="K23" s="96"/>
      <c r="L23" s="97"/>
      <c r="M23" s="98"/>
    </row>
    <row r="24" s="80" customFormat="true" ht="12.75" hidden="false" customHeight="false" outlineLevel="0" collapsed="false">
      <c r="A24" s="100"/>
      <c r="B24" s="3"/>
      <c r="C24" s="3"/>
      <c r="D24" s="79"/>
      <c r="E24" s="79"/>
      <c r="F24" s="79"/>
      <c r="G24" s="79"/>
      <c r="H24" s="79" t="n">
        <f aca="false">H23+F24+G24</f>
        <v>0</v>
      </c>
      <c r="J24" s="96"/>
      <c r="K24" s="96"/>
      <c r="L24" s="97"/>
      <c r="M24" s="98"/>
    </row>
    <row r="25" s="80" customFormat="true" ht="12.75" hidden="false" customHeight="false" outlineLevel="0" collapsed="false">
      <c r="B25" s="101" t="s">
        <v>80</v>
      </c>
      <c r="C25" s="101"/>
      <c r="D25" s="79"/>
      <c r="E25" s="79" t="n">
        <v>-600</v>
      </c>
      <c r="F25" s="79"/>
      <c r="G25" s="79"/>
      <c r="H25" s="79" t="n">
        <f aca="false">H24+F25+G25</f>
        <v>0</v>
      </c>
      <c r="J25" s="96"/>
      <c r="K25" s="96"/>
      <c r="L25" s="97"/>
      <c r="M25" s="98"/>
    </row>
    <row r="26" s="80" customFormat="true" ht="12.75" hidden="false" customHeight="false" outlineLevel="0" collapsed="false">
      <c r="B26" s="101" t="s">
        <v>81</v>
      </c>
      <c r="C26" s="101"/>
      <c r="D26" s="79"/>
      <c r="E26" s="79" t="n">
        <v>-800</v>
      </c>
      <c r="F26" s="79"/>
      <c r="G26" s="79"/>
      <c r="H26" s="79" t="n">
        <f aca="false">H25+F26+G26</f>
        <v>0</v>
      </c>
      <c r="J26" s="96"/>
      <c r="K26" s="96"/>
      <c r="L26" s="97"/>
      <c r="M26" s="98"/>
    </row>
    <row r="27" s="80" customFormat="true" ht="12.75" hidden="false" customHeight="false" outlineLevel="0" collapsed="false">
      <c r="B27" s="3"/>
      <c r="C27" s="3"/>
      <c r="D27" s="79"/>
      <c r="E27" s="79"/>
      <c r="F27" s="79"/>
      <c r="G27" s="79"/>
      <c r="H27" s="79" t="n">
        <f aca="false">H26+F27+G27</f>
        <v>0</v>
      </c>
    </row>
    <row r="28" s="80" customFormat="true" ht="12.75" hidden="false" customHeight="false" outlineLevel="0" collapsed="false">
      <c r="D28" s="79"/>
      <c r="E28" s="79"/>
      <c r="F28" s="79"/>
      <c r="G28" s="79"/>
      <c r="H28" s="79" t="n">
        <f aca="false">H27+F28+G28</f>
        <v>0</v>
      </c>
    </row>
    <row r="29" customFormat="false" ht="12.75" hidden="false" customHeight="false" outlineLevel="0" collapsed="false">
      <c r="A29" s="102"/>
      <c r="B29" s="103" t="s">
        <v>90</v>
      </c>
      <c r="C29" s="103"/>
      <c r="H29" s="79" t="n">
        <f aca="false">H28+F29+G29</f>
        <v>0</v>
      </c>
      <c r="I29" s="80"/>
      <c r="J29" s="80"/>
    </row>
    <row r="30" customFormat="false" ht="12.75" hidden="false" customHeight="false" outlineLevel="0" collapsed="false">
      <c r="A30" s="102"/>
      <c r="H30" s="79" t="n">
        <f aca="false">H29+F30+G30</f>
        <v>0</v>
      </c>
    </row>
    <row r="31" customFormat="false" ht="12.75" hidden="false" customHeight="false" outlineLevel="0" collapsed="false">
      <c r="H31" s="79" t="n">
        <f aca="false">H30+F31+G31</f>
        <v>0</v>
      </c>
    </row>
    <row r="32" s="80" customFormat="true" ht="12.75" hidden="false" customHeight="false" outlineLevel="0" collapsed="false">
      <c r="A32" s="0"/>
      <c r="B32" s="0"/>
      <c r="C32" s="0"/>
      <c r="D32" s="79"/>
      <c r="E32" s="79"/>
      <c r="F32" s="79"/>
      <c r="G32" s="79"/>
      <c r="H32" s="79"/>
      <c r="I32" s="0"/>
      <c r="J32" s="0"/>
    </row>
    <row r="33" s="79" customFormat="true" ht="12.75" hidden="false" customHeight="false" outlineLevel="0" collapsed="false">
      <c r="A33" s="90"/>
      <c r="B33" s="80"/>
      <c r="C33" s="80"/>
      <c r="I33" s="80"/>
      <c r="J33" s="80"/>
      <c r="K33" s="80"/>
      <c r="L33" s="80"/>
      <c r="M33" s="80"/>
      <c r="N33" s="80"/>
    </row>
    <row r="34" s="79" customFormat="true" ht="12.75" hidden="false" customHeight="false" outlineLevel="0" collapsed="false">
      <c r="B34" s="104"/>
      <c r="K34" s="80"/>
      <c r="L34" s="80"/>
      <c r="M34" s="80"/>
      <c r="N34" s="80"/>
    </row>
    <row r="35" customFormat="false" ht="12.75" hidden="false" customHeight="false" outlineLevel="0" collapsed="false">
      <c r="A35" s="105"/>
      <c r="B35" s="106" t="s">
        <v>83</v>
      </c>
      <c r="C35" s="105"/>
      <c r="E35" s="79" t="n">
        <f aca="false">SUM(E36:E47)</f>
        <v>0</v>
      </c>
      <c r="I35" s="79"/>
      <c r="J35" s="79"/>
    </row>
    <row r="36" s="79" customFormat="true" ht="13.8" hidden="false" customHeight="false" outlineLevel="0" collapsed="false">
      <c r="A36" s="0"/>
      <c r="B36" s="0"/>
      <c r="C36" s="0"/>
      <c r="E36" s="107" t="s">
        <v>84</v>
      </c>
      <c r="I36" s="0"/>
      <c r="J36" s="0"/>
      <c r="K36" s="80"/>
      <c r="L36" s="80"/>
      <c r="M36" s="80"/>
      <c r="N36" s="80"/>
    </row>
    <row r="37" s="79" customFormat="true" ht="12.75" hidden="false" customHeight="false" outlineLevel="0" collapsed="false">
      <c r="A37" s="90"/>
      <c r="K37" s="80"/>
      <c r="L37" s="80"/>
      <c r="M37" s="80"/>
      <c r="N37" s="80"/>
    </row>
    <row r="38" s="79" customFormat="true" ht="12.75" hidden="false" customHeight="false" outlineLevel="0" collapsed="false">
      <c r="A38" s="90"/>
      <c r="K38" s="80"/>
      <c r="L38" s="80"/>
      <c r="M38" s="80"/>
      <c r="N38" s="80"/>
    </row>
    <row r="39" s="79" customFormat="true" ht="12.75" hidden="false" customHeight="false" outlineLevel="0" collapsed="false">
      <c r="A39" s="90"/>
      <c r="K39" s="80"/>
      <c r="L39" s="80"/>
      <c r="M39" s="80"/>
      <c r="N39" s="80"/>
    </row>
    <row r="40" customFormat="false" ht="12.75" hidden="false" customHeight="false" outlineLevel="0" collapsed="false">
      <c r="A40" s="90"/>
      <c r="B40" s="79"/>
      <c r="C40" s="79"/>
      <c r="I40" s="79"/>
      <c r="J40" s="79"/>
    </row>
    <row r="41" s="79" customFormat="true" ht="12.75" hidden="false" customHeight="false" outlineLevel="0" collapsed="false">
      <c r="A41" s="0"/>
      <c r="B41" s="0"/>
      <c r="C41" s="0"/>
      <c r="I41" s="0"/>
      <c r="J41" s="0"/>
      <c r="K41" s="80"/>
      <c r="L41" s="80"/>
      <c r="M41" s="80"/>
      <c r="N41" s="80"/>
    </row>
    <row r="42" s="79" customFormat="true" ht="12.75" hidden="false" customHeight="false" outlineLevel="0" collapsed="false">
      <c r="A42" s="102"/>
      <c r="B42" s="108"/>
      <c r="C42" s="108"/>
      <c r="K42" s="80"/>
      <c r="L42" s="80"/>
      <c r="M42" s="80"/>
      <c r="N42" s="80"/>
    </row>
    <row r="43" s="79" customFormat="true" ht="12.75" hidden="false" customHeight="false" outlineLevel="0" collapsed="false">
      <c r="A43" s="102"/>
      <c r="B43" s="108"/>
      <c r="C43" s="108"/>
      <c r="K43" s="80"/>
      <c r="L43" s="80"/>
      <c r="M43" s="80"/>
      <c r="N43" s="80"/>
    </row>
    <row r="44" s="79" customFormat="true" ht="12.75" hidden="false" customHeight="false" outlineLevel="0" collapsed="false">
      <c r="A44" s="102"/>
      <c r="B44" s="109"/>
      <c r="C44" s="108"/>
      <c r="K44" s="80"/>
      <c r="L44" s="80"/>
      <c r="M44" s="80"/>
      <c r="N44" s="80"/>
    </row>
    <row r="45" s="79" customFormat="true" ht="12.75" hidden="false" customHeight="false" outlineLevel="0" collapsed="false">
      <c r="A45" s="102"/>
      <c r="B45" s="109"/>
      <c r="C45" s="108"/>
      <c r="K45" s="80"/>
      <c r="L45" s="80"/>
      <c r="M45" s="80"/>
      <c r="N45" s="80"/>
    </row>
    <row r="46" s="79" customFormat="true" ht="12.75" hidden="false" customHeight="false" outlineLevel="0" collapsed="false">
      <c r="A46" s="102"/>
      <c r="B46" s="109"/>
      <c r="K46" s="80"/>
      <c r="L46" s="80"/>
      <c r="M46" s="80"/>
      <c r="N46" s="80"/>
    </row>
    <row r="47" s="79" customFormat="true" ht="12.75" hidden="false" customHeight="false" outlineLevel="0" collapsed="false">
      <c r="A47" s="102"/>
      <c r="B47" s="109"/>
      <c r="C47" s="108"/>
      <c r="K47" s="80"/>
      <c r="L47" s="80"/>
      <c r="M47" s="80"/>
      <c r="N47" s="80"/>
    </row>
    <row r="48" s="79" customFormat="true" ht="12.75" hidden="false" customHeight="false" outlineLevel="0" collapsed="false">
      <c r="A48" s="102"/>
      <c r="B48" s="3"/>
      <c r="K48" s="80"/>
      <c r="L48" s="80"/>
      <c r="M48" s="80"/>
      <c r="N48" s="80"/>
    </row>
    <row r="49" s="79" customFormat="true" ht="12.75" hidden="false" customHeight="false" outlineLevel="0" collapsed="false">
      <c r="A49" s="102"/>
      <c r="B49" s="108"/>
      <c r="C49" s="108"/>
      <c r="K49" s="80"/>
      <c r="L49" s="80"/>
      <c r="M49" s="80"/>
      <c r="N49" s="80"/>
    </row>
    <row r="50" s="79" customFormat="true" ht="12.75" hidden="false" customHeight="false" outlineLevel="0" collapsed="false">
      <c r="A50" s="105"/>
      <c r="B50" s="106" t="s">
        <v>85</v>
      </c>
      <c r="C50" s="105"/>
      <c r="E50" s="79" t="n">
        <f aca="false">SUM(E51:E69)</f>
        <v>0</v>
      </c>
      <c r="K50" s="80"/>
      <c r="L50" s="80"/>
      <c r="M50" s="80"/>
      <c r="N50" s="80"/>
    </row>
    <row r="51" s="79" customFormat="true" ht="12.75" hidden="false" customHeight="false" outlineLevel="0" collapsed="false">
      <c r="A51" s="102"/>
      <c r="B51" s="108"/>
      <c r="C51" s="108"/>
      <c r="K51" s="80"/>
      <c r="L51" s="80"/>
      <c r="M51" s="80"/>
      <c r="N51" s="80"/>
    </row>
    <row r="52" s="79" customFormat="true" ht="12.75" hidden="false" customHeight="false" outlineLevel="0" collapsed="false">
      <c r="A52" s="102"/>
      <c r="B52" s="108"/>
      <c r="C52" s="108"/>
      <c r="K52" s="80"/>
      <c r="L52" s="80"/>
      <c r="M52" s="80"/>
      <c r="N52" s="80"/>
    </row>
    <row r="53" s="79" customFormat="true" ht="12.75" hidden="false" customHeight="false" outlineLevel="0" collapsed="false">
      <c r="A53" s="102"/>
      <c r="B53" s="3"/>
      <c r="C53" s="108"/>
      <c r="K53" s="80"/>
      <c r="L53" s="80"/>
      <c r="M53" s="80"/>
      <c r="N53" s="80"/>
    </row>
    <row r="54" s="79" customFormat="true" ht="12.75" hidden="false" customHeight="false" outlineLevel="0" collapsed="false">
      <c r="A54" s="102"/>
      <c r="B54" s="3"/>
      <c r="C54" s="108"/>
      <c r="K54" s="80"/>
      <c r="L54" s="80"/>
      <c r="M54" s="80"/>
      <c r="N54" s="80"/>
    </row>
    <row r="55" s="79" customFormat="true" ht="12.75" hidden="false" customHeight="false" outlineLevel="0" collapsed="false">
      <c r="A55" s="102"/>
      <c r="B55" s="3"/>
      <c r="C55" s="108"/>
      <c r="K55" s="80"/>
      <c r="L55" s="80"/>
      <c r="M55" s="80"/>
      <c r="N55" s="80"/>
    </row>
    <row r="56" s="79" customFormat="true" ht="12.75" hidden="false" customHeight="false" outlineLevel="0" collapsed="false">
      <c r="A56" s="102"/>
      <c r="B56" s="3"/>
      <c r="C56" s="108"/>
      <c r="K56" s="80"/>
      <c r="L56" s="80"/>
      <c r="M56" s="80"/>
      <c r="N56" s="80"/>
    </row>
    <row r="57" s="79" customFormat="true" ht="12.75" hidden="false" customHeight="false" outlineLevel="0" collapsed="false">
      <c r="A57" s="102"/>
      <c r="B57" s="3"/>
      <c r="C57" s="108"/>
      <c r="K57" s="80"/>
      <c r="L57" s="80"/>
      <c r="M57" s="80"/>
      <c r="N57" s="80"/>
    </row>
    <row r="58" s="79" customFormat="true" ht="12.75" hidden="false" customHeight="false" outlineLevel="0" collapsed="false">
      <c r="A58" s="102"/>
      <c r="B58" s="3"/>
      <c r="C58" s="108"/>
      <c r="K58" s="80"/>
      <c r="L58" s="80"/>
      <c r="M58" s="80"/>
      <c r="N58" s="80"/>
    </row>
    <row r="59" s="79" customFormat="true" ht="12.75" hidden="false" customHeight="false" outlineLevel="0" collapsed="false">
      <c r="A59" s="102"/>
      <c r="B59" s="3"/>
      <c r="C59" s="108"/>
      <c r="K59" s="80"/>
      <c r="L59" s="80"/>
      <c r="M59" s="80"/>
      <c r="N59" s="80"/>
    </row>
    <row r="60" s="79" customFormat="true" ht="12.75" hidden="false" customHeight="false" outlineLevel="0" collapsed="false">
      <c r="A60" s="102"/>
      <c r="B60" s="3"/>
      <c r="C60" s="108"/>
      <c r="K60" s="80"/>
      <c r="L60" s="80"/>
      <c r="M60" s="80"/>
      <c r="N60" s="80"/>
    </row>
    <row r="61" s="79" customFormat="true" ht="12.75" hidden="false" customHeight="false" outlineLevel="0" collapsed="false">
      <c r="A61" s="102"/>
      <c r="B61" s="3"/>
      <c r="C61" s="108"/>
      <c r="K61" s="80"/>
      <c r="L61" s="80"/>
      <c r="M61" s="80"/>
      <c r="N61" s="80"/>
    </row>
    <row r="62" s="79" customFormat="true" ht="12.75" hidden="false" customHeight="false" outlineLevel="0" collapsed="false">
      <c r="A62" s="102"/>
      <c r="B62" s="3"/>
      <c r="C62" s="108"/>
      <c r="K62" s="80"/>
      <c r="L62" s="80"/>
      <c r="M62" s="80"/>
      <c r="N62" s="80"/>
    </row>
    <row r="63" s="79" customFormat="true" ht="12.75" hidden="false" customHeight="false" outlineLevel="0" collapsed="false">
      <c r="A63" s="102" t="n">
        <v>45649</v>
      </c>
      <c r="B63" s="3" t="s">
        <v>86</v>
      </c>
      <c r="C63" s="108"/>
      <c r="K63" s="80"/>
      <c r="L63" s="80"/>
      <c r="M63" s="80"/>
      <c r="N63" s="80"/>
    </row>
    <row r="64" s="79" customFormat="true" ht="13.8" hidden="false" customHeight="false" outlineLevel="0" collapsed="false">
      <c r="A64" s="102"/>
      <c r="B64" s="3"/>
      <c r="C64" s="108"/>
      <c r="E64" s="107" t="s">
        <v>84</v>
      </c>
      <c r="K64" s="80"/>
      <c r="L64" s="80"/>
      <c r="M64" s="80"/>
      <c r="N64" s="80"/>
    </row>
    <row r="65" s="79" customFormat="true" ht="12.75" hidden="false" customHeight="false" outlineLevel="0" collapsed="false">
      <c r="A65" s="102"/>
      <c r="B65" s="3"/>
      <c r="C65" s="108"/>
      <c r="K65" s="80"/>
      <c r="L65" s="80"/>
      <c r="M65" s="80"/>
      <c r="N65" s="80"/>
    </row>
    <row r="66" s="79" customFormat="true" ht="12.75" hidden="false" customHeight="false" outlineLevel="0" collapsed="false">
      <c r="A66" s="102"/>
      <c r="B66" s="3"/>
      <c r="C66" s="108"/>
      <c r="K66" s="80"/>
      <c r="L66" s="80"/>
      <c r="M66" s="80"/>
      <c r="N66" s="80"/>
    </row>
    <row r="67" s="79" customFormat="true" ht="12.75" hidden="false" customHeight="false" outlineLevel="0" collapsed="false">
      <c r="A67" s="102"/>
      <c r="B67" s="3"/>
      <c r="C67" s="108"/>
      <c r="K67" s="80"/>
      <c r="L67" s="80"/>
      <c r="M67" s="80"/>
      <c r="N67" s="80"/>
    </row>
    <row r="68" s="79" customFormat="true" ht="12.75" hidden="false" customHeight="false" outlineLevel="0" collapsed="false">
      <c r="A68" s="102"/>
      <c r="B68" s="3"/>
      <c r="C68" s="108"/>
      <c r="K68" s="80"/>
      <c r="L68" s="80"/>
      <c r="M68" s="80"/>
      <c r="N68" s="80"/>
    </row>
    <row r="69" s="79" customFormat="true" ht="12.75" hidden="false" customHeight="false" outlineLevel="0" collapsed="false">
      <c r="A69" s="102"/>
      <c r="B69" s="3"/>
      <c r="C69" s="108"/>
      <c r="K69" s="80"/>
      <c r="L69" s="80"/>
      <c r="M69" s="80"/>
      <c r="N69" s="80"/>
    </row>
    <row r="70" s="79" customFormat="true" ht="12.75" hidden="false" customHeight="false" outlineLevel="0" collapsed="false">
      <c r="A70" s="102"/>
      <c r="B70" s="3"/>
      <c r="K70" s="80"/>
      <c r="L70" s="80"/>
      <c r="M70" s="80"/>
      <c r="N70" s="80"/>
    </row>
    <row r="71" customFormat="false" ht="12.75" hidden="false" customHeight="false" outlineLevel="0" collapsed="false">
      <c r="A71" s="102"/>
      <c r="B71" s="3"/>
      <c r="C71" s="108"/>
      <c r="I71" s="79"/>
      <c r="J71" s="79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C2E6"/>
    <pageSetUpPr fitToPage="false"/>
  </sheetPr>
  <dimension ref="A1:N69"/>
  <sheetViews>
    <sheetView showFormulas="false" showGridLines="true" showRowColHeaders="true" showZeros="true" rightToLeft="false" tabSelected="false" showOutlineSymbols="true" defaultGridColor="true" view="normal" topLeftCell="A56" colorId="64" zoomScale="145" zoomScaleNormal="145" zoomScalePageLayoutView="100" workbookViewId="0">
      <selection pane="topLeft" activeCell="A70" activeCellId="0" sqref="A70"/>
    </sheetView>
  </sheetViews>
  <sheetFormatPr defaultColWidth="12.2929687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79" width="11.57"/>
    <col collapsed="false" customWidth="false" hidden="false" outlineLevel="0" max="8" min="5" style="79" width="12.29"/>
    <col collapsed="false" customWidth="true" hidden="false" outlineLevel="0" max="10" min="10" style="0" width="27.43"/>
    <col collapsed="false" customWidth="true" hidden="false" outlineLevel="0" max="11" min="11" style="80" width="6.14"/>
    <col collapsed="false" customWidth="true" hidden="false" outlineLevel="0" max="12" min="12" style="80" width="14.57"/>
    <col collapsed="false" customWidth="false" hidden="false" outlineLevel="0" max="14" min="13" style="80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79" t="s">
        <v>28</v>
      </c>
      <c r="G1" s="79" t="s">
        <v>29</v>
      </c>
      <c r="H1" s="79" t="s">
        <v>3</v>
      </c>
    </row>
    <row r="2" customFormat="false" ht="12.75" hidden="false" customHeight="false" outlineLevel="0" collapsed="false">
      <c r="A2" s="3" t="s">
        <v>91</v>
      </c>
      <c r="C2" s="81" t="s">
        <v>67</v>
      </c>
      <c r="D2" s="79" t="n">
        <f aca="false">SUM(D4:D31)</f>
        <v>15000</v>
      </c>
      <c r="E2" s="79" t="n">
        <f aca="false">SUM(E4:E31)</f>
        <v>-44917.06</v>
      </c>
      <c r="F2" s="79" t="n">
        <f aca="false">SUM(F4:F31)</f>
        <v>0</v>
      </c>
      <c r="G2" s="79" t="n">
        <f aca="false">SUM(G4:G31)</f>
        <v>0</v>
      </c>
      <c r="H2" s="79" t="n">
        <f aca="false">F2+G2</f>
        <v>0</v>
      </c>
    </row>
    <row r="3" customFormat="false" ht="12.75" hidden="false" customHeight="false" outlineLevel="0" collapsed="false">
      <c r="B3" s="18"/>
    </row>
    <row r="4" customFormat="false" ht="12.75" hidden="false" customHeight="false" outlineLevel="0" collapsed="false">
      <c r="B4" s="42"/>
      <c r="H4" s="79" t="n">
        <f aca="false">H3+F4+G4</f>
        <v>0</v>
      </c>
    </row>
    <row r="5" customFormat="false" ht="12.75" hidden="false" customHeight="false" outlineLevel="0" collapsed="false">
      <c r="B5" s="42"/>
      <c r="H5" s="79" t="n">
        <f aca="false">H4+F5+G5</f>
        <v>0</v>
      </c>
    </row>
    <row r="6" customFormat="false" ht="12.75" hidden="false" customHeight="false" outlineLevel="0" collapsed="false">
      <c r="A6" s="82"/>
      <c r="B6" s="83"/>
      <c r="C6" s="84"/>
      <c r="D6" s="85"/>
      <c r="E6" s="85"/>
      <c r="H6" s="79" t="n">
        <f aca="false">H5+F6+G6</f>
        <v>0</v>
      </c>
    </row>
    <row r="7" customFormat="false" ht="12.75" hidden="false" customHeight="false" outlineLevel="0" collapsed="false">
      <c r="A7" s="86"/>
      <c r="B7" s="83" t="s">
        <v>68</v>
      </c>
      <c r="C7" s="87"/>
      <c r="D7" s="88"/>
      <c r="E7" s="88" t="n">
        <f aca="false">E35</f>
        <v>0</v>
      </c>
      <c r="F7" s="89"/>
      <c r="G7" s="89" t="n">
        <f aca="false">E7</f>
        <v>0</v>
      </c>
      <c r="H7" s="79" t="n">
        <f aca="false">H6+F7+G7</f>
        <v>0</v>
      </c>
    </row>
    <row r="8" customFormat="false" ht="12.75" hidden="false" customHeight="false" outlineLevel="0" collapsed="false">
      <c r="A8" s="82"/>
      <c r="B8" s="83" t="s">
        <v>69</v>
      </c>
      <c r="C8" s="87"/>
      <c r="D8" s="88"/>
      <c r="E8" s="88" t="n">
        <f aca="false">E50</f>
        <v>0</v>
      </c>
      <c r="F8" s="89"/>
      <c r="G8" s="89" t="n">
        <f aca="false">E8</f>
        <v>0</v>
      </c>
      <c r="H8" s="79" t="n">
        <f aca="false">H7+F8+G8</f>
        <v>0</v>
      </c>
    </row>
    <row r="9" customFormat="false" ht="12.75" hidden="false" customHeight="false" outlineLevel="0" collapsed="false">
      <c r="G9" s="89"/>
      <c r="H9" s="79" t="n">
        <f aca="false">H8+F9+G9</f>
        <v>0</v>
      </c>
    </row>
    <row r="10" customFormat="false" ht="12.75" hidden="false" customHeight="false" outlineLevel="0" collapsed="false">
      <c r="A10" s="90"/>
      <c r="B10" s="91" t="s">
        <v>70</v>
      </c>
      <c r="C10" s="91"/>
      <c r="D10" s="92"/>
      <c r="E10" s="92" t="n">
        <v>-2117.06</v>
      </c>
      <c r="H10" s="79" t="n">
        <f aca="false">H9+F10+G10</f>
        <v>0</v>
      </c>
    </row>
    <row r="11" customFormat="false" ht="12.75" hidden="false" customHeight="false" outlineLevel="0" collapsed="false">
      <c r="B11" s="91" t="s">
        <v>71</v>
      </c>
      <c r="C11" s="91"/>
      <c r="D11" s="92"/>
      <c r="E11" s="92" t="n">
        <v>-17500</v>
      </c>
      <c r="H11" s="79" t="n">
        <f aca="false">H10+F11+G11</f>
        <v>0</v>
      </c>
    </row>
    <row r="12" customFormat="false" ht="12.75" hidden="false" customHeight="false" outlineLevel="0" collapsed="false">
      <c r="B12" s="93" t="s">
        <v>72</v>
      </c>
      <c r="C12" s="94"/>
      <c r="D12" s="92"/>
      <c r="E12" s="92" t="n">
        <v>0</v>
      </c>
      <c r="H12" s="79" t="n">
        <f aca="false">H11+F12+G12</f>
        <v>0</v>
      </c>
    </row>
    <row r="13" customFormat="false" ht="12.75" hidden="false" customHeight="false" outlineLevel="0" collapsed="false">
      <c r="A13" s="90"/>
      <c r="B13" s="94"/>
      <c r="C13" s="94"/>
      <c r="D13" s="92"/>
      <c r="E13" s="92"/>
      <c r="H13" s="79" t="n">
        <f aca="false">H12+F13+G13</f>
        <v>0</v>
      </c>
    </row>
    <row r="14" s="80" customFormat="true" ht="12.75" hidden="false" customHeight="false" outlineLevel="0" collapsed="false">
      <c r="A14" s="90"/>
      <c r="B14" s="3"/>
      <c r="C14" s="3"/>
      <c r="D14" s="79"/>
      <c r="E14" s="79"/>
      <c r="F14" s="79"/>
      <c r="G14" s="79"/>
      <c r="H14" s="79" t="n">
        <f aca="false">H13+F14+G14</f>
        <v>0</v>
      </c>
      <c r="I14" s="0"/>
      <c r="J14" s="0"/>
    </row>
    <row r="15" s="80" customFormat="true" ht="12.75" hidden="false" customHeight="false" outlineLevel="0" collapsed="false">
      <c r="A15" s="90"/>
      <c r="B15" s="95" t="s">
        <v>73</v>
      </c>
      <c r="C15" s="95"/>
      <c r="D15" s="92"/>
      <c r="E15" s="92" t="n">
        <v>-1000</v>
      </c>
      <c r="F15" s="79"/>
      <c r="G15" s="79"/>
      <c r="H15" s="79" t="n">
        <f aca="false">H14+F15+G15</f>
        <v>0</v>
      </c>
    </row>
    <row r="16" s="80" customFormat="true" ht="12.75" hidden="false" customHeight="false" outlineLevel="0" collapsed="false">
      <c r="A16" s="90"/>
      <c r="B16" s="95" t="s">
        <v>74</v>
      </c>
      <c r="C16" s="95"/>
      <c r="D16" s="92"/>
      <c r="E16" s="92" t="n">
        <v>-200</v>
      </c>
      <c r="F16" s="79"/>
      <c r="G16" s="79"/>
      <c r="H16" s="79" t="n">
        <f aca="false">H15+F16+G16</f>
        <v>0</v>
      </c>
    </row>
    <row r="17" s="80" customFormat="true" ht="12.75" hidden="false" customHeight="false" outlineLevel="0" collapsed="false">
      <c r="A17" s="90"/>
      <c r="B17" s="91" t="s">
        <v>75</v>
      </c>
      <c r="C17" s="91"/>
      <c r="D17" s="92"/>
      <c r="E17" s="92" t="n">
        <v>-200</v>
      </c>
      <c r="F17" s="79"/>
      <c r="G17" s="79"/>
      <c r="H17" s="79" t="n">
        <f aca="false">H16+F17+G17</f>
        <v>0</v>
      </c>
    </row>
    <row r="18" s="80" customFormat="true" ht="12.75" hidden="false" customHeight="false" outlineLevel="0" collapsed="false">
      <c r="A18" s="90"/>
      <c r="B18" s="94" t="s">
        <v>76</v>
      </c>
      <c r="C18" s="94"/>
      <c r="D18" s="92" t="n">
        <v>15000</v>
      </c>
      <c r="E18" s="92"/>
      <c r="F18" s="79"/>
      <c r="G18" s="79"/>
      <c r="H18" s="79" t="n">
        <f aca="false">H17+F18+G18</f>
        <v>0</v>
      </c>
      <c r="J18" s="96"/>
      <c r="K18" s="96"/>
      <c r="L18" s="97"/>
      <c r="M18" s="98"/>
    </row>
    <row r="19" s="80" customFormat="true" ht="12.75" hidden="false" customHeight="false" outlineLevel="0" collapsed="false">
      <c r="B19" s="94" t="s">
        <v>77</v>
      </c>
      <c r="C19" s="94"/>
      <c r="D19" s="92"/>
      <c r="E19" s="92" t="n">
        <v>-7500</v>
      </c>
      <c r="F19" s="79"/>
      <c r="G19" s="79"/>
      <c r="H19" s="79" t="n">
        <f aca="false">H18+F19+G19</f>
        <v>0</v>
      </c>
      <c r="J19" s="96"/>
      <c r="K19" s="96"/>
      <c r="L19" s="97"/>
      <c r="M19" s="98"/>
    </row>
    <row r="20" s="80" customFormat="true" ht="12.75" hidden="false" customHeight="false" outlineLevel="0" collapsed="false">
      <c r="B20" s="94" t="s">
        <v>78</v>
      </c>
      <c r="C20" s="94"/>
      <c r="D20" s="92"/>
      <c r="E20" s="92" t="n">
        <v>-7500</v>
      </c>
      <c r="F20" s="79"/>
      <c r="G20" s="79"/>
      <c r="H20" s="79" t="n">
        <f aca="false">H19+F20+G20</f>
        <v>0</v>
      </c>
      <c r="J20" s="96"/>
      <c r="K20" s="96"/>
      <c r="L20" s="97"/>
      <c r="M20" s="98"/>
    </row>
    <row r="21" s="80" customFormat="true" ht="12.75" hidden="false" customHeight="false" outlineLevel="0" collapsed="false">
      <c r="B21" s="94" t="s">
        <v>79</v>
      </c>
      <c r="C21" s="94"/>
      <c r="D21" s="92"/>
      <c r="E21" s="92" t="n">
        <v>-7500</v>
      </c>
      <c r="F21" s="79"/>
      <c r="G21" s="79"/>
      <c r="H21" s="79" t="n">
        <f aca="false">H20+F21+G21</f>
        <v>0</v>
      </c>
      <c r="J21" s="96"/>
      <c r="K21" s="96"/>
      <c r="L21" s="97"/>
      <c r="M21" s="98"/>
    </row>
    <row r="22" s="80" customFormat="true" ht="12.75" hidden="false" customHeight="false" outlineLevel="0" collapsed="false">
      <c r="B22" s="3"/>
      <c r="C22" s="3"/>
      <c r="D22" s="79"/>
      <c r="E22" s="79"/>
      <c r="F22" s="79"/>
      <c r="G22" s="79"/>
      <c r="H22" s="79" t="n">
        <f aca="false">H21+F22+G22</f>
        <v>0</v>
      </c>
      <c r="J22" s="96"/>
      <c r="K22" s="96"/>
      <c r="L22" s="97"/>
      <c r="M22" s="98"/>
    </row>
    <row r="23" s="80" customFormat="true" ht="12.75" hidden="false" customHeight="false" outlineLevel="0" collapsed="false">
      <c r="A23" s="99"/>
      <c r="B23" s="94"/>
      <c r="C23" s="94"/>
      <c r="D23" s="92"/>
      <c r="E23" s="92"/>
      <c r="F23" s="79"/>
      <c r="G23" s="79"/>
      <c r="H23" s="79" t="n">
        <f aca="false">H22+F23+G23</f>
        <v>0</v>
      </c>
      <c r="J23" s="96"/>
      <c r="K23" s="96"/>
      <c r="L23" s="97"/>
      <c r="M23" s="98"/>
    </row>
    <row r="24" s="80" customFormat="true" ht="12.75" hidden="false" customHeight="false" outlineLevel="0" collapsed="false">
      <c r="A24" s="100"/>
      <c r="B24" s="3"/>
      <c r="C24" s="3"/>
      <c r="D24" s="79"/>
      <c r="E24" s="79"/>
      <c r="F24" s="79"/>
      <c r="G24" s="79"/>
      <c r="H24" s="79" t="n">
        <f aca="false">H23+F24+G24</f>
        <v>0</v>
      </c>
      <c r="J24" s="96"/>
      <c r="K24" s="96"/>
      <c r="L24" s="97"/>
      <c r="M24" s="98"/>
    </row>
    <row r="25" s="80" customFormat="true" ht="12.75" hidden="false" customHeight="false" outlineLevel="0" collapsed="false">
      <c r="B25" s="101" t="s">
        <v>80</v>
      </c>
      <c r="C25" s="101"/>
      <c r="D25" s="79"/>
      <c r="E25" s="79" t="n">
        <v>-600</v>
      </c>
      <c r="F25" s="79"/>
      <c r="G25" s="79"/>
      <c r="H25" s="79" t="n">
        <f aca="false">H24+F25+G25</f>
        <v>0</v>
      </c>
      <c r="J25" s="96"/>
      <c r="K25" s="96"/>
      <c r="L25" s="97"/>
      <c r="M25" s="98"/>
    </row>
    <row r="26" s="80" customFormat="true" ht="12.75" hidden="false" customHeight="false" outlineLevel="0" collapsed="false">
      <c r="B26" s="101" t="s">
        <v>81</v>
      </c>
      <c r="C26" s="101"/>
      <c r="D26" s="79"/>
      <c r="E26" s="79" t="n">
        <v>-800</v>
      </c>
      <c r="F26" s="79"/>
      <c r="G26" s="79"/>
      <c r="H26" s="79" t="n">
        <f aca="false">H25+F26+G26</f>
        <v>0</v>
      </c>
      <c r="J26" s="96"/>
      <c r="K26" s="96"/>
      <c r="L26" s="97"/>
      <c r="M26" s="98"/>
    </row>
    <row r="27" s="80" customFormat="true" ht="12.75" hidden="false" customHeight="false" outlineLevel="0" collapsed="false">
      <c r="B27" s="3"/>
      <c r="C27" s="3"/>
      <c r="D27" s="79"/>
      <c r="E27" s="79"/>
      <c r="F27" s="79"/>
      <c r="G27" s="79"/>
      <c r="H27" s="79" t="n">
        <f aca="false">H26+F27+G27</f>
        <v>0</v>
      </c>
    </row>
    <row r="28" s="80" customFormat="true" ht="12.75" hidden="false" customHeight="false" outlineLevel="0" collapsed="false">
      <c r="D28" s="79"/>
      <c r="E28" s="79"/>
      <c r="F28" s="79"/>
      <c r="G28" s="79"/>
      <c r="H28" s="79" t="n">
        <f aca="false">H27+F28+G28</f>
        <v>0</v>
      </c>
    </row>
    <row r="29" customFormat="false" ht="12.75" hidden="false" customHeight="false" outlineLevel="0" collapsed="false">
      <c r="A29" s="102"/>
      <c r="B29" s="103" t="s">
        <v>92</v>
      </c>
      <c r="C29" s="103"/>
      <c r="H29" s="79" t="n">
        <f aca="false">H28+F29+G29</f>
        <v>0</v>
      </c>
      <c r="I29" s="80"/>
      <c r="J29" s="80"/>
    </row>
    <row r="30" customFormat="false" ht="12.75" hidden="false" customHeight="false" outlineLevel="0" collapsed="false">
      <c r="A30" s="102"/>
      <c r="H30" s="79" t="n">
        <f aca="false">H29+F30+G30</f>
        <v>0</v>
      </c>
    </row>
    <row r="31" s="80" customFormat="true" ht="12.75" hidden="false" customHeight="false" outlineLevel="0" collapsed="false">
      <c r="A31" s="0"/>
      <c r="B31" s="0"/>
      <c r="C31" s="0"/>
      <c r="D31" s="79"/>
      <c r="E31" s="79"/>
      <c r="F31" s="79"/>
      <c r="G31" s="79"/>
      <c r="H31" s="79" t="n">
        <f aca="false">H30+F31+G31</f>
        <v>0</v>
      </c>
      <c r="I31" s="0"/>
      <c r="J31" s="0"/>
    </row>
    <row r="32" s="80" customFormat="true" ht="12.75" hidden="false" customHeight="false" outlineLevel="0" collapsed="false">
      <c r="A32" s="100"/>
      <c r="D32" s="79"/>
      <c r="E32" s="79"/>
      <c r="F32" s="79"/>
      <c r="G32" s="79"/>
      <c r="H32" s="79"/>
    </row>
    <row r="33" s="79" customFormat="true" ht="12.75" hidden="false" customHeight="false" outlineLevel="0" collapsed="false">
      <c r="A33" s="90"/>
      <c r="B33" s="80"/>
      <c r="C33" s="80"/>
      <c r="I33" s="80"/>
      <c r="J33" s="80"/>
      <c r="K33" s="80"/>
      <c r="L33" s="80"/>
      <c r="M33" s="80"/>
      <c r="N33" s="80"/>
    </row>
    <row r="34" s="79" customFormat="true" ht="12.75" hidden="false" customHeight="false" outlineLevel="0" collapsed="false">
      <c r="B34" s="104"/>
      <c r="K34" s="80"/>
      <c r="L34" s="80"/>
      <c r="M34" s="80"/>
      <c r="N34" s="80"/>
    </row>
    <row r="35" customFormat="false" ht="12.75" hidden="false" customHeight="false" outlineLevel="0" collapsed="false">
      <c r="A35" s="105"/>
      <c r="B35" s="106" t="s">
        <v>83</v>
      </c>
      <c r="C35" s="105"/>
      <c r="E35" s="79" t="n">
        <f aca="false">SUM(E36:E47)</f>
        <v>0</v>
      </c>
      <c r="I35" s="79"/>
      <c r="J35" s="79"/>
    </row>
    <row r="36" s="79" customFormat="true" ht="13.8" hidden="false" customHeight="false" outlineLevel="0" collapsed="false">
      <c r="A36" s="0"/>
      <c r="B36" s="0"/>
      <c r="C36" s="0"/>
      <c r="E36" s="107" t="s">
        <v>84</v>
      </c>
      <c r="I36" s="0"/>
      <c r="J36" s="0"/>
      <c r="K36" s="80"/>
      <c r="L36" s="80"/>
      <c r="M36" s="80"/>
      <c r="N36" s="80"/>
    </row>
    <row r="37" s="79" customFormat="true" ht="12.75" hidden="false" customHeight="false" outlineLevel="0" collapsed="false">
      <c r="A37" s="90"/>
      <c r="K37" s="80"/>
      <c r="L37" s="80"/>
      <c r="M37" s="80"/>
      <c r="N37" s="80"/>
    </row>
    <row r="38" s="79" customFormat="true" ht="12.75" hidden="false" customHeight="false" outlineLevel="0" collapsed="false">
      <c r="A38" s="90"/>
      <c r="K38" s="80"/>
      <c r="L38" s="80"/>
      <c r="M38" s="80"/>
      <c r="N38" s="80"/>
    </row>
    <row r="39" s="79" customFormat="true" ht="12.75" hidden="false" customHeight="false" outlineLevel="0" collapsed="false">
      <c r="A39" s="90"/>
      <c r="K39" s="80"/>
      <c r="L39" s="80"/>
      <c r="M39" s="80"/>
      <c r="N39" s="80"/>
    </row>
    <row r="40" customFormat="false" ht="12.75" hidden="false" customHeight="false" outlineLevel="0" collapsed="false">
      <c r="A40" s="90"/>
      <c r="B40" s="79"/>
      <c r="C40" s="79"/>
      <c r="I40" s="79"/>
      <c r="J40" s="79"/>
    </row>
    <row r="41" s="79" customFormat="true" ht="12.75" hidden="false" customHeight="false" outlineLevel="0" collapsed="false">
      <c r="A41" s="0"/>
      <c r="B41" s="0"/>
      <c r="C41" s="0"/>
      <c r="I41" s="0"/>
      <c r="J41" s="0"/>
      <c r="K41" s="80"/>
      <c r="L41" s="80"/>
      <c r="M41" s="80"/>
      <c r="N41" s="80"/>
    </row>
    <row r="42" s="79" customFormat="true" ht="12.75" hidden="false" customHeight="false" outlineLevel="0" collapsed="false">
      <c r="A42" s="102"/>
      <c r="B42" s="108"/>
      <c r="C42" s="108"/>
      <c r="K42" s="80"/>
      <c r="L42" s="80"/>
      <c r="M42" s="80"/>
      <c r="N42" s="80"/>
    </row>
    <row r="43" s="79" customFormat="true" ht="12.75" hidden="false" customHeight="false" outlineLevel="0" collapsed="false">
      <c r="A43" s="102"/>
      <c r="B43" s="108"/>
      <c r="C43" s="108"/>
      <c r="K43" s="80"/>
      <c r="L43" s="80"/>
      <c r="M43" s="80"/>
      <c r="N43" s="80"/>
    </row>
    <row r="44" s="79" customFormat="true" ht="12.75" hidden="false" customHeight="false" outlineLevel="0" collapsed="false">
      <c r="A44" s="102"/>
      <c r="B44" s="109"/>
      <c r="C44" s="108"/>
      <c r="K44" s="80"/>
      <c r="L44" s="80"/>
      <c r="M44" s="80"/>
      <c r="N44" s="80"/>
    </row>
    <row r="45" s="79" customFormat="true" ht="12.75" hidden="false" customHeight="false" outlineLevel="0" collapsed="false">
      <c r="A45" s="102"/>
      <c r="B45" s="109"/>
      <c r="C45" s="108"/>
      <c r="K45" s="80"/>
      <c r="L45" s="80"/>
      <c r="M45" s="80"/>
      <c r="N45" s="80"/>
    </row>
    <row r="46" s="79" customFormat="true" ht="12.75" hidden="false" customHeight="false" outlineLevel="0" collapsed="false">
      <c r="A46" s="102"/>
      <c r="B46" s="109"/>
      <c r="K46" s="80"/>
      <c r="L46" s="80"/>
      <c r="M46" s="80"/>
      <c r="N46" s="80"/>
    </row>
    <row r="47" s="79" customFormat="true" ht="12.75" hidden="false" customHeight="false" outlineLevel="0" collapsed="false">
      <c r="A47" s="102"/>
      <c r="B47" s="109"/>
      <c r="C47" s="108"/>
      <c r="K47" s="80"/>
      <c r="L47" s="80"/>
      <c r="M47" s="80"/>
      <c r="N47" s="80"/>
    </row>
    <row r="48" s="79" customFormat="true" ht="12.75" hidden="false" customHeight="false" outlineLevel="0" collapsed="false">
      <c r="A48" s="102"/>
      <c r="B48" s="3"/>
      <c r="K48" s="80"/>
      <c r="L48" s="80"/>
      <c r="M48" s="80"/>
      <c r="N48" s="80"/>
    </row>
    <row r="49" s="79" customFormat="true" ht="12.75" hidden="false" customHeight="false" outlineLevel="0" collapsed="false">
      <c r="A49" s="102"/>
      <c r="B49" s="108"/>
      <c r="C49" s="108"/>
      <c r="K49" s="80"/>
      <c r="L49" s="80"/>
      <c r="M49" s="80"/>
      <c r="N49" s="80"/>
    </row>
    <row r="50" s="79" customFormat="true" ht="12.75" hidden="false" customHeight="false" outlineLevel="0" collapsed="false">
      <c r="A50" s="105"/>
      <c r="B50" s="106" t="s">
        <v>85</v>
      </c>
      <c r="C50" s="105"/>
      <c r="E50" s="79" t="n">
        <f aca="false">SUM(E51:E69)</f>
        <v>0</v>
      </c>
      <c r="K50" s="80"/>
      <c r="L50" s="80"/>
      <c r="M50" s="80"/>
      <c r="N50" s="80"/>
    </row>
    <row r="51" s="79" customFormat="true" ht="12.75" hidden="false" customHeight="false" outlineLevel="0" collapsed="false">
      <c r="A51" s="102"/>
      <c r="B51" s="108"/>
      <c r="C51" s="108"/>
      <c r="K51" s="80"/>
      <c r="L51" s="80"/>
      <c r="M51" s="80"/>
      <c r="N51" s="80"/>
    </row>
    <row r="52" s="79" customFormat="true" ht="12.75" hidden="false" customHeight="false" outlineLevel="0" collapsed="false">
      <c r="A52" s="102"/>
      <c r="B52" s="108"/>
      <c r="C52" s="108"/>
      <c r="K52" s="80"/>
      <c r="L52" s="80"/>
      <c r="M52" s="80"/>
      <c r="N52" s="80"/>
    </row>
    <row r="53" s="79" customFormat="true" ht="12.75" hidden="false" customHeight="false" outlineLevel="0" collapsed="false">
      <c r="A53" s="102"/>
      <c r="B53" s="3"/>
      <c r="C53" s="108"/>
      <c r="K53" s="80"/>
      <c r="L53" s="80"/>
      <c r="M53" s="80"/>
      <c r="N53" s="80"/>
    </row>
    <row r="54" s="79" customFormat="true" ht="12.75" hidden="false" customHeight="false" outlineLevel="0" collapsed="false">
      <c r="A54" s="102"/>
      <c r="B54" s="3"/>
      <c r="C54" s="108"/>
      <c r="K54" s="80"/>
      <c r="L54" s="80"/>
      <c r="M54" s="80"/>
      <c r="N54" s="80"/>
    </row>
    <row r="55" s="79" customFormat="true" ht="12.75" hidden="false" customHeight="false" outlineLevel="0" collapsed="false">
      <c r="A55" s="102"/>
      <c r="B55" s="3"/>
      <c r="C55" s="108"/>
      <c r="K55" s="80"/>
      <c r="L55" s="80"/>
      <c r="M55" s="80"/>
      <c r="N55" s="80"/>
    </row>
    <row r="56" s="79" customFormat="true" ht="12.75" hidden="false" customHeight="false" outlineLevel="0" collapsed="false">
      <c r="A56" s="102"/>
      <c r="B56" s="3"/>
      <c r="C56" s="108"/>
      <c r="K56" s="80"/>
      <c r="L56" s="80"/>
      <c r="M56" s="80"/>
      <c r="N56" s="80"/>
    </row>
    <row r="57" s="79" customFormat="true" ht="12.75" hidden="false" customHeight="false" outlineLevel="0" collapsed="false">
      <c r="A57" s="102"/>
      <c r="B57" s="3"/>
      <c r="C57" s="108"/>
      <c r="K57" s="80"/>
      <c r="L57" s="80"/>
      <c r="M57" s="80"/>
      <c r="N57" s="80"/>
    </row>
    <row r="58" s="79" customFormat="true" ht="12.75" hidden="false" customHeight="false" outlineLevel="0" collapsed="false">
      <c r="A58" s="102"/>
      <c r="B58" s="3"/>
      <c r="C58" s="108"/>
      <c r="K58" s="80"/>
      <c r="L58" s="80"/>
      <c r="M58" s="80"/>
      <c r="N58" s="80"/>
    </row>
    <row r="59" s="79" customFormat="true" ht="12.75" hidden="false" customHeight="false" outlineLevel="0" collapsed="false">
      <c r="A59" s="102"/>
      <c r="B59" s="3"/>
      <c r="C59" s="108"/>
      <c r="K59" s="80"/>
      <c r="L59" s="80"/>
      <c r="M59" s="80"/>
      <c r="N59" s="80"/>
    </row>
    <row r="60" s="79" customFormat="true" ht="12.75" hidden="false" customHeight="false" outlineLevel="0" collapsed="false">
      <c r="A60" s="102"/>
      <c r="B60" s="3"/>
      <c r="C60" s="108"/>
      <c r="K60" s="80"/>
      <c r="L60" s="80"/>
      <c r="M60" s="80"/>
      <c r="N60" s="80"/>
    </row>
    <row r="61" s="79" customFormat="true" ht="12.75" hidden="false" customHeight="false" outlineLevel="0" collapsed="false">
      <c r="A61" s="102"/>
      <c r="B61" s="3"/>
      <c r="C61" s="108"/>
      <c r="K61" s="80"/>
      <c r="L61" s="80"/>
      <c r="M61" s="80"/>
      <c r="N61" s="80"/>
    </row>
    <row r="62" s="79" customFormat="true" ht="12.75" hidden="false" customHeight="false" outlineLevel="0" collapsed="false">
      <c r="A62" s="102"/>
      <c r="B62" s="3"/>
      <c r="C62" s="108"/>
      <c r="K62" s="80"/>
      <c r="L62" s="80"/>
      <c r="M62" s="80"/>
      <c r="N62" s="80"/>
    </row>
    <row r="63" s="79" customFormat="true" ht="12.75" hidden="false" customHeight="false" outlineLevel="0" collapsed="false">
      <c r="A63" s="102" t="n">
        <v>45649</v>
      </c>
      <c r="B63" s="3" t="s">
        <v>86</v>
      </c>
      <c r="C63" s="108"/>
      <c r="K63" s="80"/>
      <c r="L63" s="80"/>
      <c r="M63" s="80"/>
      <c r="N63" s="80"/>
    </row>
    <row r="64" s="79" customFormat="true" ht="13.8" hidden="false" customHeight="false" outlineLevel="0" collapsed="false">
      <c r="A64" s="102"/>
      <c r="B64" s="3"/>
      <c r="C64" s="108"/>
      <c r="E64" s="107" t="s">
        <v>84</v>
      </c>
      <c r="K64" s="80"/>
      <c r="L64" s="80"/>
      <c r="M64" s="80"/>
      <c r="N64" s="80"/>
    </row>
    <row r="65" s="79" customFormat="true" ht="12.75" hidden="false" customHeight="false" outlineLevel="0" collapsed="false">
      <c r="A65" s="102"/>
      <c r="B65" s="3"/>
      <c r="C65" s="108"/>
      <c r="K65" s="80"/>
      <c r="L65" s="80"/>
      <c r="M65" s="80"/>
      <c r="N65" s="80"/>
    </row>
    <row r="66" s="79" customFormat="true" ht="12.75" hidden="false" customHeight="false" outlineLevel="0" collapsed="false">
      <c r="A66" s="102"/>
      <c r="B66" s="3"/>
      <c r="C66" s="108"/>
      <c r="K66" s="80"/>
      <c r="L66" s="80"/>
      <c r="M66" s="80"/>
      <c r="N66" s="80"/>
    </row>
    <row r="67" s="79" customFormat="true" ht="12.75" hidden="false" customHeight="false" outlineLevel="0" collapsed="false">
      <c r="A67" s="102"/>
      <c r="B67" s="3"/>
      <c r="C67" s="108"/>
      <c r="K67" s="80"/>
      <c r="L67" s="80"/>
      <c r="M67" s="80"/>
      <c r="N67" s="80"/>
    </row>
    <row r="68" s="79" customFormat="true" ht="12.75" hidden="false" customHeight="false" outlineLevel="0" collapsed="false">
      <c r="A68" s="102"/>
      <c r="B68" s="3"/>
      <c r="C68" s="108"/>
      <c r="K68" s="80"/>
      <c r="L68" s="80"/>
      <c r="M68" s="80"/>
      <c r="N68" s="80"/>
    </row>
    <row r="69" customFormat="false" ht="12.75" hidden="false" customHeight="false" outlineLevel="0" collapsed="false">
      <c r="A69" s="102"/>
      <c r="B69" s="3"/>
      <c r="C69" s="108"/>
      <c r="I69" s="79"/>
      <c r="J69" s="79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C2E6"/>
    <pageSetUpPr fitToPage="false"/>
  </sheetPr>
  <dimension ref="A1:N70"/>
  <sheetViews>
    <sheetView showFormulas="false" showGridLines="true" showRowColHeaders="true" showZeros="true" rightToLeft="false" tabSelected="false" showOutlineSymbols="true" defaultGridColor="true" view="normal" topLeftCell="A57" colorId="64" zoomScale="145" zoomScaleNormal="145" zoomScalePageLayoutView="100" workbookViewId="0">
      <selection pane="topLeft" activeCell="A71" activeCellId="0" sqref="A71"/>
    </sheetView>
  </sheetViews>
  <sheetFormatPr defaultColWidth="12.2929687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79" width="11.57"/>
    <col collapsed="false" customWidth="false" hidden="false" outlineLevel="0" max="8" min="5" style="79" width="12.29"/>
    <col collapsed="false" customWidth="true" hidden="false" outlineLevel="0" max="10" min="10" style="0" width="27.43"/>
    <col collapsed="false" customWidth="true" hidden="false" outlineLevel="0" max="11" min="11" style="80" width="6.14"/>
    <col collapsed="false" customWidth="true" hidden="false" outlineLevel="0" max="12" min="12" style="80" width="14.57"/>
    <col collapsed="false" customWidth="false" hidden="false" outlineLevel="0" max="14" min="13" style="80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79" t="s">
        <v>28</v>
      </c>
      <c r="G1" s="79" t="s">
        <v>29</v>
      </c>
      <c r="H1" s="79" t="s">
        <v>3</v>
      </c>
    </row>
    <row r="2" customFormat="false" ht="12.75" hidden="false" customHeight="false" outlineLevel="0" collapsed="false">
      <c r="A2" s="3" t="s">
        <v>93</v>
      </c>
      <c r="C2" s="81" t="s">
        <v>67</v>
      </c>
      <c r="D2" s="79" t="n">
        <f aca="false">SUM(D4:D31)</f>
        <v>15000</v>
      </c>
      <c r="E2" s="79" t="n">
        <f aca="false">SUM(E4:E31)</f>
        <v>-44917.06</v>
      </c>
      <c r="F2" s="79" t="n">
        <f aca="false">SUM(F4:F31)</f>
        <v>0</v>
      </c>
      <c r="G2" s="79" t="n">
        <f aca="false">SUM(G4:G31)</f>
        <v>0</v>
      </c>
      <c r="H2" s="79" t="n">
        <f aca="false">F2+G2</f>
        <v>0</v>
      </c>
    </row>
    <row r="3" customFormat="false" ht="12.75" hidden="false" customHeight="false" outlineLevel="0" collapsed="false">
      <c r="B3" s="18"/>
    </row>
    <row r="4" customFormat="false" ht="12.75" hidden="false" customHeight="false" outlineLevel="0" collapsed="false">
      <c r="B4" s="42"/>
      <c r="H4" s="79" t="n">
        <f aca="false">H3+F4+G4</f>
        <v>0</v>
      </c>
    </row>
    <row r="5" customFormat="false" ht="12.75" hidden="false" customHeight="false" outlineLevel="0" collapsed="false">
      <c r="B5" s="42"/>
      <c r="H5" s="79" t="n">
        <f aca="false">H4+F5+G5</f>
        <v>0</v>
      </c>
    </row>
    <row r="6" customFormat="false" ht="12.75" hidden="false" customHeight="false" outlineLevel="0" collapsed="false">
      <c r="A6" s="82"/>
      <c r="B6" s="83"/>
      <c r="C6" s="84"/>
      <c r="D6" s="85"/>
      <c r="E6" s="85"/>
      <c r="H6" s="79" t="n">
        <f aca="false">H5+F6+G6</f>
        <v>0</v>
      </c>
    </row>
    <row r="7" customFormat="false" ht="12.75" hidden="false" customHeight="false" outlineLevel="0" collapsed="false">
      <c r="A7" s="86"/>
      <c r="B7" s="83" t="s">
        <v>68</v>
      </c>
      <c r="C7" s="87"/>
      <c r="D7" s="88"/>
      <c r="E7" s="88" t="n">
        <f aca="false">E35</f>
        <v>0</v>
      </c>
      <c r="F7" s="89"/>
      <c r="G7" s="89" t="n">
        <f aca="false">E7</f>
        <v>0</v>
      </c>
      <c r="H7" s="79" t="n">
        <f aca="false">H6+F7+G7</f>
        <v>0</v>
      </c>
    </row>
    <row r="8" customFormat="false" ht="12.75" hidden="false" customHeight="false" outlineLevel="0" collapsed="false">
      <c r="A8" s="82"/>
      <c r="B8" s="83" t="s">
        <v>69</v>
      </c>
      <c r="C8" s="87"/>
      <c r="D8" s="88"/>
      <c r="E8" s="88" t="n">
        <f aca="false">E50</f>
        <v>0</v>
      </c>
      <c r="F8" s="89"/>
      <c r="G8" s="89" t="n">
        <f aca="false">E8</f>
        <v>0</v>
      </c>
      <c r="H8" s="79" t="n">
        <f aca="false">H7+F8+G8</f>
        <v>0</v>
      </c>
    </row>
    <row r="9" customFormat="false" ht="12.75" hidden="false" customHeight="false" outlineLevel="0" collapsed="false">
      <c r="G9" s="89"/>
      <c r="H9" s="79" t="n">
        <f aca="false">H8+F9+G9</f>
        <v>0</v>
      </c>
    </row>
    <row r="10" customFormat="false" ht="12.75" hidden="false" customHeight="false" outlineLevel="0" collapsed="false">
      <c r="A10" s="90"/>
      <c r="B10" s="91" t="s">
        <v>70</v>
      </c>
      <c r="C10" s="91"/>
      <c r="D10" s="92"/>
      <c r="E10" s="92" t="n">
        <v>-2117.06</v>
      </c>
      <c r="H10" s="79" t="n">
        <f aca="false">H9+F10+G10</f>
        <v>0</v>
      </c>
    </row>
    <row r="11" customFormat="false" ht="12.75" hidden="false" customHeight="false" outlineLevel="0" collapsed="false">
      <c r="B11" s="91" t="s">
        <v>71</v>
      </c>
      <c r="C11" s="91"/>
      <c r="D11" s="92"/>
      <c r="E11" s="92" t="n">
        <v>-17500</v>
      </c>
      <c r="H11" s="79" t="n">
        <f aca="false">H10+F11+G11</f>
        <v>0</v>
      </c>
    </row>
    <row r="12" customFormat="false" ht="12.75" hidden="false" customHeight="false" outlineLevel="0" collapsed="false">
      <c r="B12" s="93" t="s">
        <v>72</v>
      </c>
      <c r="C12" s="94"/>
      <c r="D12" s="92"/>
      <c r="E12" s="92" t="n">
        <v>0</v>
      </c>
      <c r="H12" s="79" t="n">
        <f aca="false">H11+F12+G12</f>
        <v>0</v>
      </c>
    </row>
    <row r="13" customFormat="false" ht="12.75" hidden="false" customHeight="false" outlineLevel="0" collapsed="false">
      <c r="A13" s="90"/>
      <c r="B13" s="94"/>
      <c r="C13" s="94"/>
      <c r="D13" s="92"/>
      <c r="E13" s="92"/>
      <c r="H13" s="79" t="n">
        <f aca="false">H12+F13+G13</f>
        <v>0</v>
      </c>
    </row>
    <row r="14" s="80" customFormat="true" ht="12.75" hidden="false" customHeight="false" outlineLevel="0" collapsed="false">
      <c r="A14" s="90"/>
      <c r="B14" s="3"/>
      <c r="C14" s="3"/>
      <c r="D14" s="79"/>
      <c r="E14" s="79"/>
      <c r="F14" s="79"/>
      <c r="G14" s="79"/>
      <c r="H14" s="79" t="n">
        <f aca="false">H13+F14+G14</f>
        <v>0</v>
      </c>
      <c r="I14" s="0"/>
      <c r="J14" s="0"/>
    </row>
    <row r="15" s="80" customFormat="true" ht="12.75" hidden="false" customHeight="false" outlineLevel="0" collapsed="false">
      <c r="A15" s="90"/>
      <c r="B15" s="95" t="s">
        <v>73</v>
      </c>
      <c r="C15" s="95"/>
      <c r="D15" s="92"/>
      <c r="E15" s="92" t="n">
        <v>-1000</v>
      </c>
      <c r="F15" s="79"/>
      <c r="G15" s="79"/>
      <c r="H15" s="79" t="n">
        <f aca="false">H14+F15+G15</f>
        <v>0</v>
      </c>
    </row>
    <row r="16" s="80" customFormat="true" ht="12.75" hidden="false" customHeight="false" outlineLevel="0" collapsed="false">
      <c r="A16" s="90"/>
      <c r="B16" s="95" t="s">
        <v>74</v>
      </c>
      <c r="C16" s="95"/>
      <c r="D16" s="92"/>
      <c r="E16" s="92" t="n">
        <v>-200</v>
      </c>
      <c r="F16" s="79"/>
      <c r="G16" s="79"/>
      <c r="H16" s="79" t="n">
        <f aca="false">H15+F16+G16</f>
        <v>0</v>
      </c>
    </row>
    <row r="17" s="80" customFormat="true" ht="12.75" hidden="false" customHeight="false" outlineLevel="0" collapsed="false">
      <c r="A17" s="90"/>
      <c r="B17" s="91" t="s">
        <v>75</v>
      </c>
      <c r="C17" s="91"/>
      <c r="D17" s="92"/>
      <c r="E17" s="92" t="n">
        <v>-200</v>
      </c>
      <c r="F17" s="79"/>
      <c r="G17" s="79"/>
      <c r="H17" s="79" t="n">
        <f aca="false">H16+F17+G17</f>
        <v>0</v>
      </c>
    </row>
    <row r="18" s="80" customFormat="true" ht="12.75" hidden="false" customHeight="false" outlineLevel="0" collapsed="false">
      <c r="A18" s="90"/>
      <c r="B18" s="94" t="s">
        <v>76</v>
      </c>
      <c r="C18" s="94"/>
      <c r="D18" s="92" t="n">
        <v>15000</v>
      </c>
      <c r="E18" s="92"/>
      <c r="F18" s="79"/>
      <c r="G18" s="79"/>
      <c r="H18" s="79" t="n">
        <f aca="false">H17+F18+G18</f>
        <v>0</v>
      </c>
      <c r="J18" s="96"/>
      <c r="K18" s="96"/>
      <c r="L18" s="97"/>
      <c r="M18" s="98"/>
    </row>
    <row r="19" s="80" customFormat="true" ht="12.75" hidden="false" customHeight="false" outlineLevel="0" collapsed="false">
      <c r="B19" s="94" t="s">
        <v>77</v>
      </c>
      <c r="C19" s="94"/>
      <c r="D19" s="92"/>
      <c r="E19" s="92" t="n">
        <v>-7500</v>
      </c>
      <c r="F19" s="79"/>
      <c r="G19" s="79"/>
      <c r="H19" s="79" t="n">
        <f aca="false">H18+F19+G19</f>
        <v>0</v>
      </c>
      <c r="J19" s="96"/>
      <c r="K19" s="96"/>
      <c r="L19" s="97"/>
      <c r="M19" s="98"/>
    </row>
    <row r="20" s="80" customFormat="true" ht="12.75" hidden="false" customHeight="false" outlineLevel="0" collapsed="false">
      <c r="B20" s="94" t="s">
        <v>78</v>
      </c>
      <c r="C20" s="94"/>
      <c r="D20" s="92"/>
      <c r="E20" s="92" t="n">
        <v>-7500</v>
      </c>
      <c r="F20" s="79"/>
      <c r="G20" s="79"/>
      <c r="H20" s="79" t="n">
        <f aca="false">H19+F20+G20</f>
        <v>0</v>
      </c>
      <c r="J20" s="96"/>
      <c r="K20" s="96"/>
      <c r="L20" s="97"/>
      <c r="M20" s="98"/>
    </row>
    <row r="21" s="80" customFormat="true" ht="12.75" hidden="false" customHeight="false" outlineLevel="0" collapsed="false">
      <c r="B21" s="94" t="s">
        <v>79</v>
      </c>
      <c r="C21" s="94"/>
      <c r="D21" s="92"/>
      <c r="E21" s="92" t="n">
        <v>-7500</v>
      </c>
      <c r="F21" s="79"/>
      <c r="G21" s="79"/>
      <c r="H21" s="79" t="n">
        <f aca="false">H20+F21+G21</f>
        <v>0</v>
      </c>
      <c r="J21" s="96"/>
      <c r="K21" s="96"/>
      <c r="L21" s="97"/>
      <c r="M21" s="98"/>
    </row>
    <row r="22" s="80" customFormat="true" ht="12.75" hidden="false" customHeight="false" outlineLevel="0" collapsed="false">
      <c r="B22" s="3"/>
      <c r="C22" s="3"/>
      <c r="D22" s="79"/>
      <c r="E22" s="79"/>
      <c r="F22" s="79"/>
      <c r="G22" s="79"/>
      <c r="H22" s="79" t="n">
        <f aca="false">H21+F22+G22</f>
        <v>0</v>
      </c>
      <c r="J22" s="96"/>
      <c r="K22" s="96"/>
      <c r="L22" s="97"/>
      <c r="M22" s="98"/>
    </row>
    <row r="23" s="80" customFormat="true" ht="12.75" hidden="false" customHeight="false" outlineLevel="0" collapsed="false">
      <c r="A23" s="99"/>
      <c r="B23" s="94"/>
      <c r="C23" s="94"/>
      <c r="D23" s="92"/>
      <c r="E23" s="92"/>
      <c r="F23" s="79"/>
      <c r="G23" s="79"/>
      <c r="H23" s="79" t="n">
        <f aca="false">H22+F23+G23</f>
        <v>0</v>
      </c>
      <c r="J23" s="96"/>
      <c r="K23" s="96"/>
      <c r="L23" s="97"/>
      <c r="M23" s="98"/>
    </row>
    <row r="24" s="80" customFormat="true" ht="12.75" hidden="false" customHeight="false" outlineLevel="0" collapsed="false">
      <c r="A24" s="100"/>
      <c r="B24" s="3"/>
      <c r="C24" s="3"/>
      <c r="D24" s="79"/>
      <c r="E24" s="79"/>
      <c r="F24" s="79"/>
      <c r="G24" s="79"/>
      <c r="H24" s="79" t="n">
        <f aca="false">H23+F24+G24</f>
        <v>0</v>
      </c>
      <c r="J24" s="96"/>
      <c r="K24" s="96"/>
      <c r="L24" s="97"/>
      <c r="M24" s="98"/>
    </row>
    <row r="25" s="80" customFormat="true" ht="12.75" hidden="false" customHeight="false" outlineLevel="0" collapsed="false">
      <c r="B25" s="101" t="s">
        <v>80</v>
      </c>
      <c r="C25" s="101"/>
      <c r="D25" s="79"/>
      <c r="E25" s="79" t="n">
        <v>-600</v>
      </c>
      <c r="F25" s="79"/>
      <c r="G25" s="79"/>
      <c r="H25" s="79" t="n">
        <f aca="false">H24+F25+G25</f>
        <v>0</v>
      </c>
      <c r="J25" s="96"/>
      <c r="K25" s="96"/>
      <c r="L25" s="97"/>
      <c r="M25" s="98"/>
    </row>
    <row r="26" s="80" customFormat="true" ht="12.75" hidden="false" customHeight="false" outlineLevel="0" collapsed="false">
      <c r="B26" s="101" t="s">
        <v>81</v>
      </c>
      <c r="C26" s="101"/>
      <c r="D26" s="79"/>
      <c r="E26" s="79" t="n">
        <v>-800</v>
      </c>
      <c r="F26" s="79"/>
      <c r="G26" s="79"/>
      <c r="H26" s="79" t="n">
        <f aca="false">H25+F26+G26</f>
        <v>0</v>
      </c>
      <c r="J26" s="96"/>
      <c r="K26" s="96"/>
      <c r="L26" s="97"/>
      <c r="M26" s="98"/>
    </row>
    <row r="27" s="80" customFormat="true" ht="12.75" hidden="false" customHeight="false" outlineLevel="0" collapsed="false">
      <c r="B27" s="3"/>
      <c r="C27" s="3"/>
      <c r="D27" s="79"/>
      <c r="E27" s="79"/>
      <c r="F27" s="79"/>
      <c r="G27" s="79"/>
      <c r="H27" s="79" t="n">
        <f aca="false">H26+F27+G27</f>
        <v>0</v>
      </c>
    </row>
    <row r="28" s="80" customFormat="true" ht="12.75" hidden="false" customHeight="false" outlineLevel="0" collapsed="false">
      <c r="D28" s="79"/>
      <c r="E28" s="79"/>
      <c r="F28" s="79"/>
      <c r="G28" s="79"/>
      <c r="H28" s="79" t="n">
        <f aca="false">H27+F28+G28</f>
        <v>0</v>
      </c>
    </row>
    <row r="29" customFormat="false" ht="12.75" hidden="false" customHeight="false" outlineLevel="0" collapsed="false">
      <c r="A29" s="102"/>
      <c r="B29" s="103" t="s">
        <v>94</v>
      </c>
      <c r="C29" s="103"/>
      <c r="H29" s="79" t="n">
        <f aca="false">H28+F29+G29</f>
        <v>0</v>
      </c>
      <c r="I29" s="80"/>
      <c r="J29" s="80"/>
    </row>
    <row r="30" customFormat="false" ht="12.75" hidden="false" customHeight="false" outlineLevel="0" collapsed="false">
      <c r="A30" s="102"/>
      <c r="H30" s="79" t="n">
        <f aca="false">H29+F30+G30</f>
        <v>0</v>
      </c>
    </row>
    <row r="31" s="80" customFormat="true" ht="12.75" hidden="false" customHeight="false" outlineLevel="0" collapsed="false">
      <c r="A31" s="0"/>
      <c r="B31" s="0"/>
      <c r="C31" s="0"/>
      <c r="D31" s="79"/>
      <c r="E31" s="79"/>
      <c r="F31" s="79"/>
      <c r="G31" s="79"/>
      <c r="H31" s="79" t="n">
        <f aca="false">H30+F31+G31</f>
        <v>0</v>
      </c>
      <c r="I31" s="0"/>
      <c r="J31" s="0"/>
    </row>
    <row r="32" s="80" customFormat="true" ht="12.75" hidden="false" customHeight="false" outlineLevel="0" collapsed="false">
      <c r="A32" s="100"/>
      <c r="D32" s="79"/>
      <c r="E32" s="79"/>
      <c r="F32" s="79"/>
      <c r="G32" s="79"/>
      <c r="H32" s="79"/>
    </row>
    <row r="33" s="79" customFormat="true" ht="12.75" hidden="false" customHeight="false" outlineLevel="0" collapsed="false">
      <c r="A33" s="90"/>
      <c r="B33" s="80"/>
      <c r="C33" s="80"/>
      <c r="I33" s="80"/>
      <c r="J33" s="80"/>
      <c r="K33" s="80"/>
      <c r="L33" s="80"/>
      <c r="M33" s="80"/>
      <c r="N33" s="80"/>
    </row>
    <row r="34" s="79" customFormat="true" ht="12.75" hidden="false" customHeight="false" outlineLevel="0" collapsed="false">
      <c r="B34" s="104"/>
      <c r="K34" s="80"/>
      <c r="L34" s="80"/>
      <c r="M34" s="80"/>
      <c r="N34" s="80"/>
    </row>
    <row r="35" customFormat="false" ht="12.75" hidden="false" customHeight="false" outlineLevel="0" collapsed="false">
      <c r="A35" s="105"/>
      <c r="B35" s="106" t="s">
        <v>83</v>
      </c>
      <c r="C35" s="105"/>
      <c r="E35" s="79" t="n">
        <f aca="false">SUM(E36:E47)</f>
        <v>0</v>
      </c>
      <c r="I35" s="79"/>
      <c r="J35" s="79"/>
    </row>
    <row r="36" s="79" customFormat="true" ht="13.8" hidden="false" customHeight="false" outlineLevel="0" collapsed="false">
      <c r="A36" s="0"/>
      <c r="B36" s="0"/>
      <c r="C36" s="0"/>
      <c r="E36" s="107" t="s">
        <v>84</v>
      </c>
      <c r="I36" s="0"/>
      <c r="J36" s="0"/>
      <c r="K36" s="80"/>
      <c r="L36" s="80"/>
      <c r="M36" s="80"/>
      <c r="N36" s="80"/>
    </row>
    <row r="37" s="79" customFormat="true" ht="12.75" hidden="false" customHeight="false" outlineLevel="0" collapsed="false">
      <c r="A37" s="90"/>
      <c r="K37" s="80"/>
      <c r="L37" s="80"/>
      <c r="M37" s="80"/>
      <c r="N37" s="80"/>
    </row>
    <row r="38" s="79" customFormat="true" ht="12.75" hidden="false" customHeight="false" outlineLevel="0" collapsed="false">
      <c r="A38" s="90"/>
      <c r="K38" s="80"/>
      <c r="L38" s="80"/>
      <c r="M38" s="80"/>
      <c r="N38" s="80"/>
    </row>
    <row r="39" s="79" customFormat="true" ht="12.75" hidden="false" customHeight="false" outlineLevel="0" collapsed="false">
      <c r="A39" s="90"/>
      <c r="K39" s="80"/>
      <c r="L39" s="80"/>
      <c r="M39" s="80"/>
      <c r="N39" s="80"/>
    </row>
    <row r="40" customFormat="false" ht="12.75" hidden="false" customHeight="false" outlineLevel="0" collapsed="false">
      <c r="A40" s="90"/>
      <c r="B40" s="79"/>
      <c r="C40" s="79"/>
      <c r="I40" s="79"/>
      <c r="J40" s="79"/>
    </row>
    <row r="41" s="79" customFormat="true" ht="12.75" hidden="false" customHeight="false" outlineLevel="0" collapsed="false">
      <c r="A41" s="0"/>
      <c r="B41" s="0"/>
      <c r="C41" s="0"/>
      <c r="I41" s="0"/>
      <c r="J41" s="0"/>
      <c r="K41" s="80"/>
      <c r="L41" s="80"/>
      <c r="M41" s="80"/>
      <c r="N41" s="80"/>
    </row>
    <row r="42" s="79" customFormat="true" ht="12.75" hidden="false" customHeight="false" outlineLevel="0" collapsed="false">
      <c r="A42" s="102"/>
      <c r="B42" s="108"/>
      <c r="C42" s="108"/>
      <c r="K42" s="80"/>
      <c r="L42" s="80"/>
      <c r="M42" s="80"/>
      <c r="N42" s="80"/>
    </row>
    <row r="43" s="79" customFormat="true" ht="12.75" hidden="false" customHeight="false" outlineLevel="0" collapsed="false">
      <c r="A43" s="102"/>
      <c r="B43" s="108"/>
      <c r="C43" s="108"/>
      <c r="K43" s="80"/>
      <c r="L43" s="80"/>
      <c r="M43" s="80"/>
      <c r="N43" s="80"/>
    </row>
    <row r="44" s="79" customFormat="true" ht="12.75" hidden="false" customHeight="false" outlineLevel="0" collapsed="false">
      <c r="A44" s="102"/>
      <c r="B44" s="109"/>
      <c r="C44" s="108"/>
      <c r="K44" s="80"/>
      <c r="L44" s="80"/>
      <c r="M44" s="80"/>
      <c r="N44" s="80"/>
    </row>
    <row r="45" s="79" customFormat="true" ht="12.75" hidden="false" customHeight="false" outlineLevel="0" collapsed="false">
      <c r="A45" s="102"/>
      <c r="B45" s="109"/>
      <c r="C45" s="108"/>
      <c r="K45" s="80"/>
      <c r="L45" s="80"/>
      <c r="M45" s="80"/>
      <c r="N45" s="80"/>
    </row>
    <row r="46" s="79" customFormat="true" ht="12.75" hidden="false" customHeight="false" outlineLevel="0" collapsed="false">
      <c r="A46" s="102"/>
      <c r="B46" s="109"/>
      <c r="K46" s="80"/>
      <c r="L46" s="80"/>
      <c r="M46" s="80"/>
      <c r="N46" s="80"/>
    </row>
    <row r="47" s="79" customFormat="true" ht="12.75" hidden="false" customHeight="false" outlineLevel="0" collapsed="false">
      <c r="A47" s="102"/>
      <c r="B47" s="109"/>
      <c r="C47" s="108"/>
      <c r="K47" s="80"/>
      <c r="L47" s="80"/>
      <c r="M47" s="80"/>
      <c r="N47" s="80"/>
    </row>
    <row r="48" s="79" customFormat="true" ht="12.75" hidden="false" customHeight="false" outlineLevel="0" collapsed="false">
      <c r="A48" s="102"/>
      <c r="B48" s="3"/>
      <c r="K48" s="80"/>
      <c r="L48" s="80"/>
      <c r="M48" s="80"/>
      <c r="N48" s="80"/>
    </row>
    <row r="49" s="79" customFormat="true" ht="12.75" hidden="false" customHeight="false" outlineLevel="0" collapsed="false">
      <c r="A49" s="102"/>
      <c r="B49" s="108"/>
      <c r="C49" s="108"/>
      <c r="K49" s="80"/>
      <c r="L49" s="80"/>
      <c r="M49" s="80"/>
      <c r="N49" s="80"/>
    </row>
    <row r="50" s="79" customFormat="true" ht="12.75" hidden="false" customHeight="false" outlineLevel="0" collapsed="false">
      <c r="A50" s="105"/>
      <c r="B50" s="106" t="s">
        <v>85</v>
      </c>
      <c r="C50" s="105"/>
      <c r="E50" s="79" t="n">
        <f aca="false">SUM(E51:E69)</f>
        <v>0</v>
      </c>
      <c r="K50" s="80"/>
      <c r="L50" s="80"/>
      <c r="M50" s="80"/>
      <c r="N50" s="80"/>
    </row>
    <row r="51" s="79" customFormat="true" ht="12.75" hidden="false" customHeight="false" outlineLevel="0" collapsed="false">
      <c r="A51" s="102"/>
      <c r="B51" s="108"/>
      <c r="C51" s="108"/>
      <c r="K51" s="80"/>
      <c r="L51" s="80"/>
      <c r="M51" s="80"/>
      <c r="N51" s="80"/>
    </row>
    <row r="52" s="79" customFormat="true" ht="12.75" hidden="false" customHeight="false" outlineLevel="0" collapsed="false">
      <c r="A52" s="102"/>
      <c r="B52" s="108"/>
      <c r="C52" s="108"/>
      <c r="K52" s="80"/>
      <c r="L52" s="80"/>
      <c r="M52" s="80"/>
      <c r="N52" s="80"/>
    </row>
    <row r="53" s="79" customFormat="true" ht="12.75" hidden="false" customHeight="false" outlineLevel="0" collapsed="false">
      <c r="A53" s="102"/>
      <c r="B53" s="3"/>
      <c r="C53" s="108"/>
      <c r="K53" s="80"/>
      <c r="L53" s="80"/>
      <c r="M53" s="80"/>
      <c r="N53" s="80"/>
    </row>
    <row r="54" s="79" customFormat="true" ht="12.75" hidden="false" customHeight="false" outlineLevel="0" collapsed="false">
      <c r="A54" s="102"/>
      <c r="B54" s="3"/>
      <c r="C54" s="108"/>
      <c r="K54" s="80"/>
      <c r="L54" s="80"/>
      <c r="M54" s="80"/>
      <c r="N54" s="80"/>
    </row>
    <row r="55" s="79" customFormat="true" ht="12.75" hidden="false" customHeight="false" outlineLevel="0" collapsed="false">
      <c r="A55" s="102"/>
      <c r="B55" s="3"/>
      <c r="C55" s="108"/>
      <c r="K55" s="80"/>
      <c r="L55" s="80"/>
      <c r="M55" s="80"/>
      <c r="N55" s="80"/>
    </row>
    <row r="56" s="79" customFormat="true" ht="12.75" hidden="false" customHeight="false" outlineLevel="0" collapsed="false">
      <c r="A56" s="102"/>
      <c r="B56" s="3"/>
      <c r="C56" s="108"/>
      <c r="K56" s="80"/>
      <c r="L56" s="80"/>
      <c r="M56" s="80"/>
      <c r="N56" s="80"/>
    </row>
    <row r="57" s="79" customFormat="true" ht="12.75" hidden="false" customHeight="false" outlineLevel="0" collapsed="false">
      <c r="A57" s="102"/>
      <c r="B57" s="3"/>
      <c r="C57" s="108"/>
      <c r="K57" s="80"/>
      <c r="L57" s="80"/>
      <c r="M57" s="80"/>
      <c r="N57" s="80"/>
    </row>
    <row r="58" s="79" customFormat="true" ht="12.75" hidden="false" customHeight="false" outlineLevel="0" collapsed="false">
      <c r="A58" s="102"/>
      <c r="B58" s="3"/>
      <c r="C58" s="108"/>
      <c r="K58" s="80"/>
      <c r="L58" s="80"/>
      <c r="M58" s="80"/>
      <c r="N58" s="80"/>
    </row>
    <row r="59" s="79" customFormat="true" ht="12.75" hidden="false" customHeight="false" outlineLevel="0" collapsed="false">
      <c r="A59" s="102"/>
      <c r="B59" s="3"/>
      <c r="C59" s="108"/>
      <c r="K59" s="80"/>
      <c r="L59" s="80"/>
      <c r="M59" s="80"/>
      <c r="N59" s="80"/>
    </row>
    <row r="60" s="79" customFormat="true" ht="12.75" hidden="false" customHeight="false" outlineLevel="0" collapsed="false">
      <c r="A60" s="102"/>
      <c r="B60" s="3"/>
      <c r="C60" s="108"/>
      <c r="K60" s="80"/>
      <c r="L60" s="80"/>
      <c r="M60" s="80"/>
      <c r="N60" s="80"/>
    </row>
    <row r="61" s="79" customFormat="true" ht="12.75" hidden="false" customHeight="false" outlineLevel="0" collapsed="false">
      <c r="A61" s="102"/>
      <c r="B61" s="3"/>
      <c r="C61" s="108"/>
      <c r="K61" s="80"/>
      <c r="L61" s="80"/>
      <c r="M61" s="80"/>
      <c r="N61" s="80"/>
    </row>
    <row r="62" s="79" customFormat="true" ht="12.75" hidden="false" customHeight="false" outlineLevel="0" collapsed="false">
      <c r="A62" s="102"/>
      <c r="B62" s="3"/>
      <c r="C62" s="108"/>
      <c r="K62" s="80"/>
      <c r="L62" s="80"/>
      <c r="M62" s="80"/>
      <c r="N62" s="80"/>
    </row>
    <row r="63" s="79" customFormat="true" ht="12.75" hidden="false" customHeight="false" outlineLevel="0" collapsed="false">
      <c r="A63" s="102" t="n">
        <v>45649</v>
      </c>
      <c r="B63" s="3" t="s">
        <v>86</v>
      </c>
      <c r="C63" s="108"/>
      <c r="K63" s="80"/>
      <c r="L63" s="80"/>
      <c r="M63" s="80"/>
      <c r="N63" s="80"/>
    </row>
    <row r="64" s="79" customFormat="true" ht="13.8" hidden="false" customHeight="false" outlineLevel="0" collapsed="false">
      <c r="A64" s="102"/>
      <c r="B64" s="3"/>
      <c r="C64" s="108"/>
      <c r="E64" s="107" t="s">
        <v>84</v>
      </c>
      <c r="K64" s="80"/>
      <c r="L64" s="80"/>
      <c r="M64" s="80"/>
      <c r="N64" s="80"/>
    </row>
    <row r="65" s="79" customFormat="true" ht="12.75" hidden="false" customHeight="false" outlineLevel="0" collapsed="false">
      <c r="A65" s="102"/>
      <c r="B65" s="3"/>
      <c r="C65" s="108"/>
      <c r="K65" s="80"/>
      <c r="L65" s="80"/>
      <c r="M65" s="80"/>
      <c r="N65" s="80"/>
    </row>
    <row r="66" s="79" customFormat="true" ht="12.75" hidden="false" customHeight="false" outlineLevel="0" collapsed="false">
      <c r="A66" s="102"/>
      <c r="B66" s="3"/>
      <c r="C66" s="108"/>
      <c r="K66" s="80"/>
      <c r="L66" s="80"/>
      <c r="M66" s="80"/>
      <c r="N66" s="80"/>
    </row>
    <row r="67" s="79" customFormat="true" ht="12.75" hidden="false" customHeight="false" outlineLevel="0" collapsed="false">
      <c r="A67" s="102"/>
      <c r="B67" s="3"/>
      <c r="C67" s="108"/>
      <c r="K67" s="80"/>
      <c r="L67" s="80"/>
      <c r="M67" s="80"/>
      <c r="N67" s="80"/>
    </row>
    <row r="68" s="79" customFormat="true" ht="12.75" hidden="false" customHeight="false" outlineLevel="0" collapsed="false">
      <c r="A68" s="102"/>
      <c r="B68" s="3"/>
      <c r="C68" s="108"/>
      <c r="K68" s="80"/>
      <c r="L68" s="80"/>
      <c r="M68" s="80"/>
      <c r="N68" s="80"/>
    </row>
    <row r="69" s="79" customFormat="true" ht="12.75" hidden="false" customHeight="false" outlineLevel="0" collapsed="false">
      <c r="A69" s="102"/>
      <c r="B69" s="3"/>
      <c r="C69" s="108"/>
      <c r="K69" s="80"/>
      <c r="L69" s="80"/>
      <c r="M69" s="80"/>
      <c r="N69" s="80"/>
    </row>
    <row r="70" customFormat="false" ht="12.75" hidden="false" customHeight="false" outlineLevel="0" collapsed="false">
      <c r="A70" s="102"/>
      <c r="B70" s="3"/>
      <c r="C70" s="79"/>
      <c r="I70" s="79"/>
      <c r="J70" s="79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C2E6"/>
    <pageSetUpPr fitToPage="false"/>
  </sheetPr>
  <dimension ref="A1:N72"/>
  <sheetViews>
    <sheetView showFormulas="false" showGridLines="true" showRowColHeaders="true" showZeros="true" rightToLeft="false" tabSelected="false" showOutlineSymbols="true" defaultGridColor="true" view="normal" topLeftCell="A59" colorId="64" zoomScale="145" zoomScaleNormal="145" zoomScalePageLayoutView="100" workbookViewId="0">
      <selection pane="topLeft" activeCell="A73" activeCellId="0" sqref="A73"/>
    </sheetView>
  </sheetViews>
  <sheetFormatPr defaultColWidth="12.2929687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79" width="11.57"/>
    <col collapsed="false" customWidth="false" hidden="false" outlineLevel="0" max="8" min="5" style="79" width="12.29"/>
    <col collapsed="false" customWidth="true" hidden="false" outlineLevel="0" max="10" min="10" style="0" width="27.43"/>
    <col collapsed="false" customWidth="true" hidden="false" outlineLevel="0" max="11" min="11" style="80" width="6.14"/>
    <col collapsed="false" customWidth="true" hidden="false" outlineLevel="0" max="12" min="12" style="80" width="14.57"/>
    <col collapsed="false" customWidth="false" hidden="false" outlineLevel="0" max="14" min="13" style="80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79" t="s">
        <v>28</v>
      </c>
      <c r="G1" s="79" t="s">
        <v>29</v>
      </c>
      <c r="H1" s="79" t="s">
        <v>3</v>
      </c>
    </row>
    <row r="2" customFormat="false" ht="12.75" hidden="false" customHeight="false" outlineLevel="0" collapsed="false">
      <c r="A2" s="3" t="s">
        <v>95</v>
      </c>
      <c r="C2" s="81" t="s">
        <v>67</v>
      </c>
      <c r="D2" s="79" t="n">
        <f aca="false">SUM(D4:D31)</f>
        <v>15000</v>
      </c>
      <c r="E2" s="79" t="n">
        <f aca="false">SUM(E4:E31)</f>
        <v>-44917.06</v>
      </c>
      <c r="F2" s="79" t="n">
        <f aca="false">SUM(F4:F31)</f>
        <v>0</v>
      </c>
      <c r="G2" s="79" t="n">
        <f aca="false">SUM(G4:G31)</f>
        <v>0</v>
      </c>
      <c r="H2" s="79" t="n">
        <f aca="false">F2+G2</f>
        <v>0</v>
      </c>
    </row>
    <row r="3" customFormat="false" ht="12.75" hidden="false" customHeight="false" outlineLevel="0" collapsed="false">
      <c r="B3" s="18"/>
    </row>
    <row r="4" customFormat="false" ht="12.75" hidden="false" customHeight="false" outlineLevel="0" collapsed="false">
      <c r="B4" s="42"/>
      <c r="H4" s="79" t="n">
        <f aca="false">H3+F4+G4</f>
        <v>0</v>
      </c>
    </row>
    <row r="5" customFormat="false" ht="12.75" hidden="false" customHeight="false" outlineLevel="0" collapsed="false">
      <c r="B5" s="42"/>
      <c r="H5" s="79" t="n">
        <f aca="false">H4+F5+G5</f>
        <v>0</v>
      </c>
    </row>
    <row r="6" customFormat="false" ht="12.75" hidden="false" customHeight="false" outlineLevel="0" collapsed="false">
      <c r="A6" s="82"/>
      <c r="B6" s="83"/>
      <c r="C6" s="84"/>
      <c r="D6" s="85"/>
      <c r="E6" s="85"/>
      <c r="H6" s="79" t="n">
        <f aca="false">H5+F6+G6</f>
        <v>0</v>
      </c>
    </row>
    <row r="7" customFormat="false" ht="12.75" hidden="false" customHeight="false" outlineLevel="0" collapsed="false">
      <c r="A7" s="86"/>
      <c r="B7" s="83" t="s">
        <v>68</v>
      </c>
      <c r="C7" s="87"/>
      <c r="D7" s="88"/>
      <c r="E7" s="88" t="n">
        <f aca="false">E37</f>
        <v>0</v>
      </c>
      <c r="F7" s="89"/>
      <c r="G7" s="89" t="n">
        <f aca="false">E7</f>
        <v>0</v>
      </c>
      <c r="H7" s="79" t="n">
        <f aca="false">H6+F7+G7</f>
        <v>0</v>
      </c>
    </row>
    <row r="8" customFormat="false" ht="12.75" hidden="false" customHeight="false" outlineLevel="0" collapsed="false">
      <c r="A8" s="82"/>
      <c r="B8" s="83" t="s">
        <v>69</v>
      </c>
      <c r="C8" s="87"/>
      <c r="D8" s="88"/>
      <c r="E8" s="88" t="n">
        <f aca="false">E52</f>
        <v>0</v>
      </c>
      <c r="F8" s="89"/>
      <c r="G8" s="89" t="n">
        <f aca="false">E8</f>
        <v>0</v>
      </c>
      <c r="H8" s="79" t="n">
        <f aca="false">H7+F8+G8</f>
        <v>0</v>
      </c>
    </row>
    <row r="9" customFormat="false" ht="12.75" hidden="false" customHeight="false" outlineLevel="0" collapsed="false">
      <c r="G9" s="89"/>
      <c r="H9" s="79" t="n">
        <f aca="false">H8+F9+G9</f>
        <v>0</v>
      </c>
    </row>
    <row r="10" customFormat="false" ht="12.75" hidden="false" customHeight="false" outlineLevel="0" collapsed="false">
      <c r="A10" s="90"/>
      <c r="B10" s="91" t="s">
        <v>70</v>
      </c>
      <c r="C10" s="91"/>
      <c r="D10" s="92"/>
      <c r="E10" s="92" t="n">
        <v>-2117.06</v>
      </c>
      <c r="H10" s="79" t="n">
        <f aca="false">H9+F10+G10</f>
        <v>0</v>
      </c>
    </row>
    <row r="11" customFormat="false" ht="12.75" hidden="false" customHeight="false" outlineLevel="0" collapsed="false">
      <c r="B11" s="91" t="s">
        <v>71</v>
      </c>
      <c r="C11" s="91"/>
      <c r="D11" s="92"/>
      <c r="E11" s="92" t="n">
        <v>-17500</v>
      </c>
      <c r="H11" s="79" t="n">
        <f aca="false">H10+F11+G11</f>
        <v>0</v>
      </c>
    </row>
    <row r="12" customFormat="false" ht="12.75" hidden="false" customHeight="false" outlineLevel="0" collapsed="false">
      <c r="B12" s="93" t="s">
        <v>72</v>
      </c>
      <c r="C12" s="94"/>
      <c r="D12" s="92"/>
      <c r="E12" s="92" t="n">
        <v>0</v>
      </c>
      <c r="H12" s="79" t="n">
        <f aca="false">H11+F12+G12</f>
        <v>0</v>
      </c>
    </row>
    <row r="13" customFormat="false" ht="12.75" hidden="false" customHeight="false" outlineLevel="0" collapsed="false">
      <c r="A13" s="90"/>
      <c r="B13" s="94"/>
      <c r="C13" s="94"/>
      <c r="D13" s="92"/>
      <c r="E13" s="92"/>
      <c r="H13" s="79" t="n">
        <f aca="false">H12+F13+G13</f>
        <v>0</v>
      </c>
    </row>
    <row r="14" s="80" customFormat="true" ht="12.75" hidden="false" customHeight="false" outlineLevel="0" collapsed="false">
      <c r="A14" s="90"/>
      <c r="B14" s="3"/>
      <c r="C14" s="3"/>
      <c r="D14" s="79"/>
      <c r="E14" s="79"/>
      <c r="F14" s="79"/>
      <c r="G14" s="79"/>
      <c r="H14" s="79" t="n">
        <f aca="false">H13+F14+G14</f>
        <v>0</v>
      </c>
      <c r="I14" s="0"/>
      <c r="J14" s="0"/>
    </row>
    <row r="15" s="80" customFormat="true" ht="12.75" hidden="false" customHeight="false" outlineLevel="0" collapsed="false">
      <c r="A15" s="90"/>
      <c r="B15" s="95" t="s">
        <v>73</v>
      </c>
      <c r="C15" s="95"/>
      <c r="D15" s="92"/>
      <c r="E15" s="92" t="n">
        <v>-1000</v>
      </c>
      <c r="F15" s="79"/>
      <c r="G15" s="79"/>
      <c r="H15" s="79" t="n">
        <f aca="false">H14+F15+G15</f>
        <v>0</v>
      </c>
    </row>
    <row r="16" s="80" customFormat="true" ht="12.75" hidden="false" customHeight="false" outlineLevel="0" collapsed="false">
      <c r="A16" s="90"/>
      <c r="B16" s="95" t="s">
        <v>74</v>
      </c>
      <c r="C16" s="95"/>
      <c r="D16" s="92"/>
      <c r="E16" s="92" t="n">
        <v>-200</v>
      </c>
      <c r="F16" s="79"/>
      <c r="G16" s="79"/>
      <c r="H16" s="79" t="n">
        <f aca="false">H15+F16+G16</f>
        <v>0</v>
      </c>
    </row>
    <row r="17" s="80" customFormat="true" ht="12.75" hidden="false" customHeight="false" outlineLevel="0" collapsed="false">
      <c r="A17" s="90"/>
      <c r="B17" s="91" t="s">
        <v>75</v>
      </c>
      <c r="C17" s="91"/>
      <c r="D17" s="92"/>
      <c r="E17" s="92" t="n">
        <v>-200</v>
      </c>
      <c r="F17" s="79"/>
      <c r="G17" s="79"/>
      <c r="H17" s="79" t="n">
        <f aca="false">H16+F17+G17</f>
        <v>0</v>
      </c>
    </row>
    <row r="18" s="80" customFormat="true" ht="12.75" hidden="false" customHeight="false" outlineLevel="0" collapsed="false">
      <c r="A18" s="90"/>
      <c r="B18" s="94" t="s">
        <v>76</v>
      </c>
      <c r="C18" s="94"/>
      <c r="D18" s="92" t="n">
        <v>15000</v>
      </c>
      <c r="E18" s="92"/>
      <c r="F18" s="79"/>
      <c r="G18" s="79"/>
      <c r="H18" s="79" t="n">
        <f aca="false">H17+F18+G18</f>
        <v>0</v>
      </c>
      <c r="J18" s="96"/>
      <c r="K18" s="96"/>
      <c r="L18" s="97"/>
      <c r="M18" s="98"/>
    </row>
    <row r="19" s="80" customFormat="true" ht="12.75" hidden="false" customHeight="false" outlineLevel="0" collapsed="false">
      <c r="B19" s="94" t="s">
        <v>77</v>
      </c>
      <c r="C19" s="94"/>
      <c r="D19" s="92"/>
      <c r="E19" s="92" t="n">
        <v>-7500</v>
      </c>
      <c r="F19" s="79"/>
      <c r="G19" s="79"/>
      <c r="H19" s="79" t="n">
        <f aca="false">H18+F19+G19</f>
        <v>0</v>
      </c>
      <c r="J19" s="96"/>
      <c r="K19" s="96"/>
      <c r="L19" s="97"/>
      <c r="M19" s="98"/>
    </row>
    <row r="20" s="80" customFormat="true" ht="12.75" hidden="false" customHeight="false" outlineLevel="0" collapsed="false">
      <c r="B20" s="94" t="s">
        <v>78</v>
      </c>
      <c r="C20" s="94"/>
      <c r="D20" s="92"/>
      <c r="E20" s="92" t="n">
        <v>-7500</v>
      </c>
      <c r="F20" s="79"/>
      <c r="G20" s="79"/>
      <c r="H20" s="79" t="n">
        <f aca="false">H19+F20+G20</f>
        <v>0</v>
      </c>
      <c r="J20" s="96"/>
      <c r="K20" s="96"/>
      <c r="L20" s="97"/>
      <c r="M20" s="98"/>
    </row>
    <row r="21" s="80" customFormat="true" ht="12.75" hidden="false" customHeight="false" outlineLevel="0" collapsed="false">
      <c r="B21" s="94" t="s">
        <v>79</v>
      </c>
      <c r="C21" s="94"/>
      <c r="D21" s="92"/>
      <c r="E21" s="92" t="n">
        <v>-7500</v>
      </c>
      <c r="F21" s="79"/>
      <c r="G21" s="79"/>
      <c r="H21" s="79" t="n">
        <f aca="false">H20+F21+G21</f>
        <v>0</v>
      </c>
      <c r="J21" s="96"/>
      <c r="K21" s="96"/>
      <c r="L21" s="97"/>
      <c r="M21" s="98"/>
    </row>
    <row r="22" s="80" customFormat="true" ht="12.75" hidden="false" customHeight="false" outlineLevel="0" collapsed="false">
      <c r="B22" s="3"/>
      <c r="C22" s="3"/>
      <c r="D22" s="79"/>
      <c r="E22" s="79"/>
      <c r="F22" s="79"/>
      <c r="G22" s="79"/>
      <c r="H22" s="79" t="n">
        <f aca="false">H21+F22+G22</f>
        <v>0</v>
      </c>
      <c r="J22" s="96"/>
      <c r="K22" s="96"/>
      <c r="L22" s="97"/>
      <c r="M22" s="98"/>
    </row>
    <row r="23" s="80" customFormat="true" ht="12.75" hidden="false" customHeight="false" outlineLevel="0" collapsed="false">
      <c r="A23" s="99"/>
      <c r="B23" s="94"/>
      <c r="C23" s="94"/>
      <c r="D23" s="92"/>
      <c r="E23" s="92"/>
      <c r="F23" s="79"/>
      <c r="G23" s="79"/>
      <c r="H23" s="79" t="n">
        <f aca="false">H22+F23+G23</f>
        <v>0</v>
      </c>
      <c r="J23" s="96"/>
      <c r="K23" s="96"/>
      <c r="L23" s="97"/>
      <c r="M23" s="98"/>
    </row>
    <row r="24" s="80" customFormat="true" ht="12.75" hidden="false" customHeight="false" outlineLevel="0" collapsed="false">
      <c r="A24" s="100"/>
      <c r="B24" s="3"/>
      <c r="C24" s="3"/>
      <c r="D24" s="79"/>
      <c r="E24" s="79"/>
      <c r="F24" s="79"/>
      <c r="G24" s="79"/>
      <c r="H24" s="79" t="n">
        <f aca="false">H23+F24+G24</f>
        <v>0</v>
      </c>
      <c r="J24" s="96"/>
      <c r="K24" s="96"/>
      <c r="L24" s="97"/>
      <c r="M24" s="98"/>
    </row>
    <row r="25" s="80" customFormat="true" ht="12.75" hidden="false" customHeight="false" outlineLevel="0" collapsed="false">
      <c r="B25" s="101" t="s">
        <v>80</v>
      </c>
      <c r="C25" s="101"/>
      <c r="D25" s="79"/>
      <c r="E25" s="79" t="n">
        <v>-600</v>
      </c>
      <c r="F25" s="79"/>
      <c r="G25" s="79"/>
      <c r="H25" s="79" t="n">
        <f aca="false">H24+F25+G25</f>
        <v>0</v>
      </c>
      <c r="J25" s="96"/>
      <c r="K25" s="96"/>
      <c r="L25" s="97"/>
      <c r="M25" s="98"/>
    </row>
    <row r="26" s="80" customFormat="true" ht="12.75" hidden="false" customHeight="false" outlineLevel="0" collapsed="false">
      <c r="B26" s="101" t="s">
        <v>81</v>
      </c>
      <c r="C26" s="101"/>
      <c r="D26" s="79"/>
      <c r="E26" s="79" t="n">
        <v>-800</v>
      </c>
      <c r="F26" s="79"/>
      <c r="G26" s="79"/>
      <c r="H26" s="79" t="n">
        <f aca="false">H25+F26+G26</f>
        <v>0</v>
      </c>
      <c r="J26" s="96"/>
      <c r="K26" s="96"/>
      <c r="L26" s="97"/>
      <c r="M26" s="98"/>
    </row>
    <row r="27" s="80" customFormat="true" ht="12.75" hidden="false" customHeight="false" outlineLevel="0" collapsed="false">
      <c r="B27" s="3"/>
      <c r="C27" s="3"/>
      <c r="D27" s="79"/>
      <c r="E27" s="79"/>
      <c r="F27" s="79"/>
      <c r="G27" s="79"/>
      <c r="H27" s="79" t="n">
        <f aca="false">H26+F27+G27</f>
        <v>0</v>
      </c>
    </row>
    <row r="28" s="80" customFormat="true" ht="12.75" hidden="false" customHeight="false" outlineLevel="0" collapsed="false">
      <c r="D28" s="79"/>
      <c r="E28" s="79"/>
      <c r="F28" s="79"/>
      <c r="G28" s="79"/>
      <c r="H28" s="79" t="n">
        <f aca="false">H27+F28+G28</f>
        <v>0</v>
      </c>
    </row>
    <row r="29" customFormat="false" ht="12.75" hidden="false" customHeight="false" outlineLevel="0" collapsed="false">
      <c r="A29" s="102"/>
      <c r="B29" s="103" t="s">
        <v>96</v>
      </c>
      <c r="C29" s="103"/>
      <c r="H29" s="79" t="n">
        <f aca="false">H28+F29+G29</f>
        <v>0</v>
      </c>
      <c r="I29" s="80"/>
      <c r="J29" s="80"/>
    </row>
    <row r="30" customFormat="false" ht="12.75" hidden="false" customHeight="false" outlineLevel="0" collapsed="false">
      <c r="A30" s="102"/>
      <c r="H30" s="79" t="n">
        <f aca="false">H29+F30+G30</f>
        <v>0</v>
      </c>
    </row>
    <row r="31" s="80" customFormat="true" ht="12.75" hidden="false" customHeight="false" outlineLevel="0" collapsed="false">
      <c r="A31" s="0"/>
      <c r="B31" s="0"/>
      <c r="C31" s="0"/>
      <c r="D31" s="79"/>
      <c r="E31" s="79"/>
      <c r="F31" s="79"/>
      <c r="G31" s="79"/>
      <c r="H31" s="79" t="n">
        <f aca="false">H30+F31+G31</f>
        <v>0</v>
      </c>
      <c r="I31" s="0"/>
      <c r="J31" s="0"/>
    </row>
    <row r="32" s="80" customFormat="true" ht="12.75" hidden="false" customHeight="false" outlineLevel="0" collapsed="false">
      <c r="B32" s="103"/>
      <c r="C32" s="103"/>
      <c r="D32" s="79"/>
      <c r="E32" s="79"/>
      <c r="F32" s="79"/>
      <c r="G32" s="79"/>
      <c r="H32" s="79"/>
      <c r="J32" s="96"/>
      <c r="K32" s="96"/>
      <c r="L32" s="97"/>
      <c r="M32" s="98"/>
    </row>
    <row r="33" s="80" customFormat="true" ht="12.75" hidden="false" customHeight="false" outlineLevel="0" collapsed="false">
      <c r="B33" s="103"/>
      <c r="C33" s="103"/>
      <c r="D33" s="79"/>
      <c r="E33" s="79"/>
      <c r="F33" s="79"/>
      <c r="G33" s="79"/>
      <c r="H33" s="79"/>
      <c r="J33" s="96"/>
      <c r="K33" s="96"/>
      <c r="L33" s="97"/>
      <c r="M33" s="98"/>
    </row>
    <row r="34" s="80" customFormat="true" ht="12.75" hidden="false" customHeight="false" outlineLevel="0" collapsed="false">
      <c r="A34" s="100"/>
      <c r="D34" s="79"/>
      <c r="E34" s="79"/>
      <c r="F34" s="79"/>
      <c r="G34" s="79"/>
      <c r="H34" s="79"/>
    </row>
    <row r="35" s="79" customFormat="true" ht="12.75" hidden="false" customHeight="false" outlineLevel="0" collapsed="false">
      <c r="A35" s="90"/>
      <c r="B35" s="80"/>
      <c r="C35" s="80"/>
      <c r="I35" s="80"/>
      <c r="J35" s="80"/>
      <c r="K35" s="80"/>
      <c r="L35" s="80"/>
      <c r="M35" s="80"/>
      <c r="N35" s="80"/>
    </row>
    <row r="36" s="79" customFormat="true" ht="12.75" hidden="false" customHeight="false" outlineLevel="0" collapsed="false">
      <c r="B36" s="104"/>
      <c r="K36" s="80"/>
      <c r="L36" s="80"/>
      <c r="M36" s="80"/>
      <c r="N36" s="80"/>
    </row>
    <row r="37" customFormat="false" ht="12.75" hidden="false" customHeight="false" outlineLevel="0" collapsed="false">
      <c r="A37" s="105"/>
      <c r="B37" s="106" t="s">
        <v>83</v>
      </c>
      <c r="C37" s="105"/>
      <c r="E37" s="79" t="n">
        <f aca="false">SUM(E38:E49)</f>
        <v>0</v>
      </c>
      <c r="I37" s="79"/>
      <c r="J37" s="79"/>
    </row>
    <row r="38" s="79" customFormat="true" ht="13.8" hidden="false" customHeight="false" outlineLevel="0" collapsed="false">
      <c r="A38" s="0"/>
      <c r="B38" s="0"/>
      <c r="C38" s="0"/>
      <c r="E38" s="107" t="s">
        <v>84</v>
      </c>
      <c r="I38" s="0"/>
      <c r="J38" s="0"/>
      <c r="K38" s="80"/>
      <c r="L38" s="80"/>
      <c r="M38" s="80"/>
      <c r="N38" s="80"/>
    </row>
    <row r="39" s="79" customFormat="true" ht="12.75" hidden="false" customHeight="false" outlineLevel="0" collapsed="false">
      <c r="A39" s="90"/>
      <c r="K39" s="80"/>
      <c r="L39" s="80"/>
      <c r="M39" s="80"/>
      <c r="N39" s="80"/>
    </row>
    <row r="40" s="79" customFormat="true" ht="12.75" hidden="false" customHeight="false" outlineLevel="0" collapsed="false">
      <c r="A40" s="90"/>
      <c r="K40" s="80"/>
      <c r="L40" s="80"/>
      <c r="M40" s="80"/>
      <c r="N40" s="80"/>
    </row>
    <row r="41" s="79" customFormat="true" ht="12.75" hidden="false" customHeight="false" outlineLevel="0" collapsed="false">
      <c r="A41" s="90"/>
      <c r="K41" s="80"/>
      <c r="L41" s="80"/>
      <c r="M41" s="80"/>
      <c r="N41" s="80"/>
    </row>
    <row r="42" customFormat="false" ht="12.75" hidden="false" customHeight="false" outlineLevel="0" collapsed="false">
      <c r="A42" s="90"/>
      <c r="B42" s="79"/>
      <c r="C42" s="79"/>
      <c r="I42" s="79"/>
      <c r="J42" s="79"/>
    </row>
    <row r="43" s="79" customFormat="true" ht="12.75" hidden="false" customHeight="false" outlineLevel="0" collapsed="false">
      <c r="A43" s="0"/>
      <c r="B43" s="0"/>
      <c r="C43" s="0"/>
      <c r="I43" s="0"/>
      <c r="J43" s="0"/>
      <c r="K43" s="80"/>
      <c r="L43" s="80"/>
      <c r="M43" s="80"/>
      <c r="N43" s="80"/>
    </row>
    <row r="44" s="79" customFormat="true" ht="12.75" hidden="false" customHeight="false" outlineLevel="0" collapsed="false">
      <c r="A44" s="102"/>
      <c r="B44" s="108"/>
      <c r="C44" s="108"/>
      <c r="K44" s="80"/>
      <c r="L44" s="80"/>
      <c r="M44" s="80"/>
      <c r="N44" s="80"/>
    </row>
    <row r="45" s="79" customFormat="true" ht="12.75" hidden="false" customHeight="false" outlineLevel="0" collapsed="false">
      <c r="A45" s="102"/>
      <c r="B45" s="108"/>
      <c r="C45" s="108"/>
      <c r="K45" s="80"/>
      <c r="L45" s="80"/>
      <c r="M45" s="80"/>
      <c r="N45" s="80"/>
    </row>
    <row r="46" s="79" customFormat="true" ht="12.75" hidden="false" customHeight="false" outlineLevel="0" collapsed="false">
      <c r="A46" s="102"/>
      <c r="B46" s="109"/>
      <c r="C46" s="108"/>
      <c r="K46" s="80"/>
      <c r="L46" s="80"/>
      <c r="M46" s="80"/>
      <c r="N46" s="80"/>
    </row>
    <row r="47" s="79" customFormat="true" ht="12.75" hidden="false" customHeight="false" outlineLevel="0" collapsed="false">
      <c r="A47" s="102"/>
      <c r="B47" s="109"/>
      <c r="C47" s="108"/>
      <c r="K47" s="80"/>
      <c r="L47" s="80"/>
      <c r="M47" s="80"/>
      <c r="N47" s="80"/>
    </row>
    <row r="48" s="79" customFormat="true" ht="12.75" hidden="false" customHeight="false" outlineLevel="0" collapsed="false">
      <c r="A48" s="102"/>
      <c r="B48" s="109"/>
      <c r="K48" s="80"/>
      <c r="L48" s="80"/>
      <c r="M48" s="80"/>
      <c r="N48" s="80"/>
    </row>
    <row r="49" s="79" customFormat="true" ht="12.75" hidden="false" customHeight="false" outlineLevel="0" collapsed="false">
      <c r="A49" s="102"/>
      <c r="B49" s="109"/>
      <c r="C49" s="108"/>
      <c r="K49" s="80"/>
      <c r="L49" s="80"/>
      <c r="M49" s="80"/>
      <c r="N49" s="80"/>
    </row>
    <row r="50" s="79" customFormat="true" ht="12.75" hidden="false" customHeight="false" outlineLevel="0" collapsed="false">
      <c r="A50" s="102"/>
      <c r="B50" s="3"/>
      <c r="K50" s="80"/>
      <c r="L50" s="80"/>
      <c r="M50" s="80"/>
      <c r="N50" s="80"/>
    </row>
    <row r="51" s="79" customFormat="true" ht="12.75" hidden="false" customHeight="false" outlineLevel="0" collapsed="false">
      <c r="A51" s="102"/>
      <c r="B51" s="108"/>
      <c r="C51" s="108"/>
      <c r="K51" s="80"/>
      <c r="L51" s="80"/>
      <c r="M51" s="80"/>
      <c r="N51" s="80"/>
    </row>
    <row r="52" s="79" customFormat="true" ht="12.75" hidden="false" customHeight="false" outlineLevel="0" collapsed="false">
      <c r="A52" s="105"/>
      <c r="B52" s="106" t="s">
        <v>85</v>
      </c>
      <c r="C52" s="105"/>
      <c r="E52" s="79" t="n">
        <f aca="false">SUM(E53:E71)</f>
        <v>0</v>
      </c>
      <c r="K52" s="80"/>
      <c r="L52" s="80"/>
      <c r="M52" s="80"/>
      <c r="N52" s="80"/>
    </row>
    <row r="53" s="79" customFormat="true" ht="12.75" hidden="false" customHeight="false" outlineLevel="0" collapsed="false">
      <c r="A53" s="102"/>
      <c r="B53" s="108"/>
      <c r="C53" s="108"/>
      <c r="K53" s="80"/>
      <c r="L53" s="80"/>
      <c r="M53" s="80"/>
      <c r="N53" s="80"/>
    </row>
    <row r="54" s="79" customFormat="true" ht="12.75" hidden="false" customHeight="false" outlineLevel="0" collapsed="false">
      <c r="A54" s="102"/>
      <c r="B54" s="108"/>
      <c r="C54" s="108"/>
      <c r="K54" s="80"/>
      <c r="L54" s="80"/>
      <c r="M54" s="80"/>
      <c r="N54" s="80"/>
    </row>
    <row r="55" s="79" customFormat="true" ht="12.75" hidden="false" customHeight="false" outlineLevel="0" collapsed="false">
      <c r="A55" s="102"/>
      <c r="B55" s="3"/>
      <c r="C55" s="108"/>
      <c r="K55" s="80"/>
      <c r="L55" s="80"/>
      <c r="M55" s="80"/>
      <c r="N55" s="80"/>
    </row>
    <row r="56" s="79" customFormat="true" ht="12.75" hidden="false" customHeight="false" outlineLevel="0" collapsed="false">
      <c r="A56" s="102"/>
      <c r="B56" s="3"/>
      <c r="C56" s="108"/>
      <c r="K56" s="80"/>
      <c r="L56" s="80"/>
      <c r="M56" s="80"/>
      <c r="N56" s="80"/>
    </row>
    <row r="57" s="79" customFormat="true" ht="12.75" hidden="false" customHeight="false" outlineLevel="0" collapsed="false">
      <c r="A57" s="102"/>
      <c r="B57" s="3"/>
      <c r="C57" s="108"/>
      <c r="K57" s="80"/>
      <c r="L57" s="80"/>
      <c r="M57" s="80"/>
      <c r="N57" s="80"/>
    </row>
    <row r="58" s="79" customFormat="true" ht="12.75" hidden="false" customHeight="false" outlineLevel="0" collapsed="false">
      <c r="A58" s="102"/>
      <c r="B58" s="3"/>
      <c r="C58" s="108"/>
      <c r="K58" s="80"/>
      <c r="L58" s="80"/>
      <c r="M58" s="80"/>
      <c r="N58" s="80"/>
    </row>
    <row r="59" s="79" customFormat="true" ht="12.75" hidden="false" customHeight="false" outlineLevel="0" collapsed="false">
      <c r="A59" s="102"/>
      <c r="B59" s="3"/>
      <c r="C59" s="108"/>
      <c r="K59" s="80"/>
      <c r="L59" s="80"/>
      <c r="M59" s="80"/>
      <c r="N59" s="80"/>
    </row>
    <row r="60" s="79" customFormat="true" ht="12.75" hidden="false" customHeight="false" outlineLevel="0" collapsed="false">
      <c r="A60" s="102"/>
      <c r="B60" s="3"/>
      <c r="C60" s="108"/>
      <c r="K60" s="80"/>
      <c r="L60" s="80"/>
      <c r="M60" s="80"/>
      <c r="N60" s="80"/>
    </row>
    <row r="61" s="79" customFormat="true" ht="12.75" hidden="false" customHeight="false" outlineLevel="0" collapsed="false">
      <c r="A61" s="102"/>
      <c r="B61" s="3"/>
      <c r="C61" s="108"/>
      <c r="K61" s="80"/>
      <c r="L61" s="80"/>
      <c r="M61" s="80"/>
      <c r="N61" s="80"/>
    </row>
    <row r="62" s="79" customFormat="true" ht="12.75" hidden="false" customHeight="false" outlineLevel="0" collapsed="false">
      <c r="A62" s="102"/>
      <c r="B62" s="3"/>
      <c r="C62" s="108"/>
      <c r="K62" s="80"/>
      <c r="L62" s="80"/>
      <c r="M62" s="80"/>
      <c r="N62" s="80"/>
    </row>
    <row r="63" s="79" customFormat="true" ht="12.75" hidden="false" customHeight="false" outlineLevel="0" collapsed="false">
      <c r="A63" s="102"/>
      <c r="B63" s="3"/>
      <c r="C63" s="108"/>
      <c r="K63" s="80"/>
      <c r="L63" s="80"/>
      <c r="M63" s="80"/>
      <c r="N63" s="80"/>
    </row>
    <row r="64" s="79" customFormat="true" ht="12.75" hidden="false" customHeight="false" outlineLevel="0" collapsed="false">
      <c r="A64" s="102"/>
      <c r="B64" s="3"/>
      <c r="C64" s="108"/>
      <c r="K64" s="80"/>
      <c r="L64" s="80"/>
      <c r="M64" s="80"/>
      <c r="N64" s="80"/>
    </row>
    <row r="65" s="79" customFormat="true" ht="12.75" hidden="false" customHeight="false" outlineLevel="0" collapsed="false">
      <c r="A65" s="102" t="n">
        <v>45649</v>
      </c>
      <c r="B65" s="3" t="s">
        <v>86</v>
      </c>
      <c r="C65" s="108"/>
      <c r="K65" s="80"/>
      <c r="L65" s="80"/>
      <c r="M65" s="80"/>
      <c r="N65" s="80"/>
    </row>
    <row r="66" s="79" customFormat="true" ht="13.8" hidden="false" customHeight="false" outlineLevel="0" collapsed="false">
      <c r="A66" s="102"/>
      <c r="B66" s="3"/>
      <c r="C66" s="108"/>
      <c r="E66" s="107" t="s">
        <v>84</v>
      </c>
      <c r="K66" s="80"/>
      <c r="L66" s="80"/>
      <c r="M66" s="80"/>
      <c r="N66" s="80"/>
    </row>
    <row r="67" s="79" customFormat="true" ht="12.75" hidden="false" customHeight="false" outlineLevel="0" collapsed="false">
      <c r="A67" s="102"/>
      <c r="B67" s="3"/>
      <c r="C67" s="108"/>
      <c r="K67" s="80"/>
      <c r="L67" s="80"/>
      <c r="M67" s="80"/>
      <c r="N67" s="80"/>
    </row>
    <row r="68" s="79" customFormat="true" ht="12.75" hidden="false" customHeight="false" outlineLevel="0" collapsed="false">
      <c r="A68" s="102"/>
      <c r="B68" s="3"/>
      <c r="C68" s="108"/>
      <c r="K68" s="80"/>
      <c r="L68" s="80"/>
      <c r="M68" s="80"/>
      <c r="N68" s="80"/>
    </row>
    <row r="69" s="79" customFormat="true" ht="12.75" hidden="false" customHeight="false" outlineLevel="0" collapsed="false">
      <c r="A69" s="102"/>
      <c r="B69" s="3"/>
      <c r="C69" s="108"/>
      <c r="K69" s="80"/>
      <c r="L69" s="80"/>
      <c r="M69" s="80"/>
      <c r="N69" s="80"/>
    </row>
    <row r="70" s="79" customFormat="true" ht="12.75" hidden="false" customHeight="false" outlineLevel="0" collapsed="false">
      <c r="A70" s="102"/>
      <c r="B70" s="3"/>
      <c r="C70" s="108"/>
      <c r="K70" s="80"/>
      <c r="L70" s="80"/>
      <c r="M70" s="80"/>
      <c r="N70" s="80"/>
    </row>
    <row r="71" s="79" customFormat="true" ht="12.75" hidden="false" customHeight="false" outlineLevel="0" collapsed="false">
      <c r="A71" s="102"/>
      <c r="B71" s="3"/>
      <c r="C71" s="108"/>
      <c r="K71" s="80"/>
      <c r="L71" s="80"/>
      <c r="M71" s="80"/>
      <c r="N71" s="80"/>
    </row>
    <row r="72" customFormat="false" ht="12.75" hidden="false" customHeight="false" outlineLevel="0" collapsed="false">
      <c r="A72" s="102"/>
      <c r="B72" s="3"/>
      <c r="C72" s="79"/>
      <c r="I72" s="79"/>
      <c r="J72" s="79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C2E6"/>
    <pageSetUpPr fitToPage="false"/>
  </sheetPr>
  <dimension ref="A1:N71"/>
  <sheetViews>
    <sheetView showFormulas="false" showGridLines="true" showRowColHeaders="true" showZeros="true" rightToLeft="false" tabSelected="false" showOutlineSymbols="true" defaultGridColor="true" view="normal" topLeftCell="A58" colorId="64" zoomScale="145" zoomScaleNormal="145" zoomScalePageLayoutView="100" workbookViewId="0">
      <selection pane="topLeft" activeCell="D81" activeCellId="0" sqref="D81"/>
    </sheetView>
  </sheetViews>
  <sheetFormatPr defaultColWidth="12.2929687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79" width="11.57"/>
    <col collapsed="false" customWidth="false" hidden="false" outlineLevel="0" max="8" min="5" style="79" width="12.29"/>
    <col collapsed="false" customWidth="true" hidden="false" outlineLevel="0" max="10" min="10" style="0" width="27.43"/>
    <col collapsed="false" customWidth="true" hidden="false" outlineLevel="0" max="11" min="11" style="80" width="6.14"/>
    <col collapsed="false" customWidth="true" hidden="false" outlineLevel="0" max="12" min="12" style="80" width="14.57"/>
    <col collapsed="false" customWidth="false" hidden="false" outlineLevel="0" max="14" min="13" style="80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79" t="s">
        <v>28</v>
      </c>
      <c r="G1" s="79" t="s">
        <v>29</v>
      </c>
      <c r="H1" s="79" t="s">
        <v>3</v>
      </c>
    </row>
    <row r="2" customFormat="false" ht="12.75" hidden="false" customHeight="false" outlineLevel="0" collapsed="false">
      <c r="A2" s="3" t="s">
        <v>97</v>
      </c>
      <c r="C2" s="81" t="s">
        <v>67</v>
      </c>
      <c r="D2" s="79" t="n">
        <f aca="false">SUM(D4:D32)</f>
        <v>15000</v>
      </c>
      <c r="E2" s="79" t="n">
        <f aca="false">SUM(E4:E32)</f>
        <v>-46297.06</v>
      </c>
      <c r="F2" s="79" t="n">
        <f aca="false">SUM(F4:F32)</f>
        <v>0</v>
      </c>
      <c r="G2" s="79" t="n">
        <f aca="false">SUM(G4:G32)</f>
        <v>0</v>
      </c>
      <c r="H2" s="79" t="n">
        <f aca="false">F2+G2</f>
        <v>0</v>
      </c>
    </row>
    <row r="3" customFormat="false" ht="12.75" hidden="false" customHeight="false" outlineLevel="0" collapsed="false">
      <c r="B3" s="18"/>
    </row>
    <row r="4" customFormat="false" ht="12.75" hidden="false" customHeight="false" outlineLevel="0" collapsed="false">
      <c r="B4" s="42"/>
      <c r="H4" s="79" t="n">
        <f aca="false">H3+F4+G4</f>
        <v>0</v>
      </c>
    </row>
    <row r="5" customFormat="false" ht="12.75" hidden="false" customHeight="false" outlineLevel="0" collapsed="false">
      <c r="B5" s="42"/>
      <c r="H5" s="79" t="n">
        <f aca="false">H4+F5+G5</f>
        <v>0</v>
      </c>
    </row>
    <row r="6" customFormat="false" ht="12.75" hidden="false" customHeight="false" outlineLevel="0" collapsed="false">
      <c r="A6" s="82"/>
      <c r="B6" s="83"/>
      <c r="C6" s="84"/>
      <c r="D6" s="85"/>
      <c r="E6" s="85"/>
      <c r="H6" s="79" t="n">
        <f aca="false">H5+F6+G6</f>
        <v>0</v>
      </c>
    </row>
    <row r="7" customFormat="false" ht="12.75" hidden="false" customHeight="false" outlineLevel="0" collapsed="false">
      <c r="A7" s="86"/>
      <c r="B7" s="83" t="s">
        <v>68</v>
      </c>
      <c r="C7" s="87"/>
      <c r="D7" s="88"/>
      <c r="E7" s="88" t="n">
        <f aca="false">E35</f>
        <v>0</v>
      </c>
      <c r="F7" s="89"/>
      <c r="G7" s="89" t="n">
        <f aca="false">E7</f>
        <v>0</v>
      </c>
      <c r="H7" s="79" t="n">
        <f aca="false">H6+F7+G7</f>
        <v>0</v>
      </c>
    </row>
    <row r="8" customFormat="false" ht="12.75" hidden="false" customHeight="false" outlineLevel="0" collapsed="false">
      <c r="A8" s="82"/>
      <c r="B8" s="83" t="s">
        <v>69</v>
      </c>
      <c r="C8" s="87"/>
      <c r="D8" s="88"/>
      <c r="E8" s="88" t="n">
        <f aca="false">E50</f>
        <v>0</v>
      </c>
      <c r="F8" s="89"/>
      <c r="G8" s="89" t="n">
        <f aca="false">E8</f>
        <v>0</v>
      </c>
      <c r="H8" s="79" t="n">
        <f aca="false">H7+F8+G8</f>
        <v>0</v>
      </c>
    </row>
    <row r="9" customFormat="false" ht="12.75" hidden="false" customHeight="false" outlineLevel="0" collapsed="false">
      <c r="G9" s="89"/>
      <c r="H9" s="79" t="n">
        <f aca="false">H8+F9+G9</f>
        <v>0</v>
      </c>
    </row>
    <row r="10" customFormat="false" ht="12.75" hidden="false" customHeight="false" outlineLevel="0" collapsed="false">
      <c r="A10" s="90"/>
      <c r="B10" s="91" t="s">
        <v>70</v>
      </c>
      <c r="C10" s="91"/>
      <c r="D10" s="92"/>
      <c r="E10" s="92" t="n">
        <v>-2117.06</v>
      </c>
      <c r="H10" s="79" t="n">
        <f aca="false">H9+F10+G10</f>
        <v>0</v>
      </c>
    </row>
    <row r="11" customFormat="false" ht="12.75" hidden="false" customHeight="false" outlineLevel="0" collapsed="false">
      <c r="B11" s="91" t="s">
        <v>71</v>
      </c>
      <c r="C11" s="91"/>
      <c r="D11" s="92"/>
      <c r="E11" s="92" t="n">
        <v>-17500</v>
      </c>
      <c r="H11" s="79" t="n">
        <f aca="false">H10+F11+G11</f>
        <v>0</v>
      </c>
    </row>
    <row r="12" customFormat="false" ht="12.75" hidden="false" customHeight="false" outlineLevel="0" collapsed="false">
      <c r="B12" s="93" t="s">
        <v>72</v>
      </c>
      <c r="C12" s="94"/>
      <c r="D12" s="92"/>
      <c r="E12" s="92" t="n">
        <v>0</v>
      </c>
      <c r="H12" s="79" t="n">
        <f aca="false">H11+F12+G12</f>
        <v>0</v>
      </c>
    </row>
    <row r="13" customFormat="false" ht="12.75" hidden="false" customHeight="false" outlineLevel="0" collapsed="false">
      <c r="A13" s="90"/>
      <c r="B13" s="94"/>
      <c r="C13" s="94"/>
      <c r="D13" s="92"/>
      <c r="E13" s="92"/>
      <c r="H13" s="79" t="n">
        <f aca="false">H12+F13+G13</f>
        <v>0</v>
      </c>
    </row>
    <row r="14" s="80" customFormat="true" ht="12.75" hidden="false" customHeight="false" outlineLevel="0" collapsed="false">
      <c r="A14" s="90"/>
      <c r="B14" s="3"/>
      <c r="C14" s="3"/>
      <c r="D14" s="79"/>
      <c r="E14" s="79"/>
      <c r="F14" s="79"/>
      <c r="G14" s="79"/>
      <c r="H14" s="79" t="n">
        <f aca="false">H13+F14+G14</f>
        <v>0</v>
      </c>
      <c r="I14" s="0"/>
      <c r="J14" s="0"/>
    </row>
    <row r="15" s="80" customFormat="true" ht="12.75" hidden="false" customHeight="false" outlineLevel="0" collapsed="false">
      <c r="A15" s="90"/>
      <c r="B15" s="95" t="s">
        <v>73</v>
      </c>
      <c r="C15" s="95"/>
      <c r="D15" s="92"/>
      <c r="E15" s="92" t="n">
        <v>-1000</v>
      </c>
      <c r="F15" s="79"/>
      <c r="G15" s="79"/>
      <c r="H15" s="79" t="n">
        <f aca="false">H14+F15+G15</f>
        <v>0</v>
      </c>
    </row>
    <row r="16" s="80" customFormat="true" ht="12.75" hidden="false" customHeight="false" outlineLevel="0" collapsed="false">
      <c r="A16" s="90"/>
      <c r="B16" s="95" t="s">
        <v>74</v>
      </c>
      <c r="C16" s="95"/>
      <c r="D16" s="92"/>
      <c r="E16" s="92" t="n">
        <v>-200</v>
      </c>
      <c r="F16" s="79"/>
      <c r="G16" s="79"/>
      <c r="H16" s="79" t="n">
        <f aca="false">H15+F16+G16</f>
        <v>0</v>
      </c>
    </row>
    <row r="17" s="80" customFormat="true" ht="12.75" hidden="false" customHeight="false" outlineLevel="0" collapsed="false">
      <c r="A17" s="90"/>
      <c r="B17" s="91" t="s">
        <v>75</v>
      </c>
      <c r="C17" s="91"/>
      <c r="D17" s="92"/>
      <c r="E17" s="92" t="n">
        <v>-200</v>
      </c>
      <c r="F17" s="79"/>
      <c r="G17" s="79"/>
      <c r="H17" s="79" t="n">
        <f aca="false">H16+F17+G17</f>
        <v>0</v>
      </c>
    </row>
    <row r="18" s="80" customFormat="true" ht="12.75" hidden="false" customHeight="false" outlineLevel="0" collapsed="false">
      <c r="A18" s="90"/>
      <c r="B18" s="94" t="s">
        <v>76</v>
      </c>
      <c r="C18" s="94"/>
      <c r="D18" s="92" t="n">
        <v>15000</v>
      </c>
      <c r="E18" s="92"/>
      <c r="F18" s="79"/>
      <c r="G18" s="79"/>
      <c r="H18" s="79" t="n">
        <f aca="false">H17+F18+G18</f>
        <v>0</v>
      </c>
      <c r="J18" s="96"/>
      <c r="K18" s="96"/>
      <c r="L18" s="97"/>
      <c r="M18" s="98"/>
    </row>
    <row r="19" s="80" customFormat="true" ht="12.75" hidden="false" customHeight="false" outlineLevel="0" collapsed="false">
      <c r="B19" s="94" t="s">
        <v>77</v>
      </c>
      <c r="C19" s="94"/>
      <c r="D19" s="92"/>
      <c r="E19" s="92" t="n">
        <v>-7500</v>
      </c>
      <c r="F19" s="79"/>
      <c r="G19" s="79"/>
      <c r="H19" s="79" t="n">
        <f aca="false">H18+F19+G19</f>
        <v>0</v>
      </c>
      <c r="J19" s="96"/>
      <c r="K19" s="96"/>
      <c r="L19" s="97"/>
      <c r="M19" s="98"/>
    </row>
    <row r="20" s="80" customFormat="true" ht="12.75" hidden="false" customHeight="false" outlineLevel="0" collapsed="false">
      <c r="B20" s="94" t="s">
        <v>78</v>
      </c>
      <c r="C20" s="94"/>
      <c r="D20" s="92"/>
      <c r="E20" s="92" t="n">
        <v>-7500</v>
      </c>
      <c r="F20" s="79"/>
      <c r="G20" s="79"/>
      <c r="H20" s="79" t="n">
        <f aca="false">H19+F20+G20</f>
        <v>0</v>
      </c>
      <c r="J20" s="96"/>
      <c r="K20" s="96"/>
      <c r="L20" s="97"/>
      <c r="M20" s="98"/>
    </row>
    <row r="21" s="80" customFormat="true" ht="12.75" hidden="false" customHeight="false" outlineLevel="0" collapsed="false">
      <c r="B21" s="94" t="s">
        <v>79</v>
      </c>
      <c r="C21" s="94"/>
      <c r="D21" s="92"/>
      <c r="E21" s="92" t="n">
        <v>-7500</v>
      </c>
      <c r="F21" s="79"/>
      <c r="G21" s="79"/>
      <c r="H21" s="79" t="n">
        <f aca="false">H20+F21+G21</f>
        <v>0</v>
      </c>
      <c r="J21" s="96"/>
      <c r="K21" s="96"/>
      <c r="L21" s="97"/>
      <c r="M21" s="98"/>
    </row>
    <row r="22" s="80" customFormat="true" ht="12.75" hidden="false" customHeight="false" outlineLevel="0" collapsed="false">
      <c r="B22" s="3"/>
      <c r="C22" s="3"/>
      <c r="D22" s="79"/>
      <c r="E22" s="79"/>
      <c r="F22" s="79"/>
      <c r="G22" s="79"/>
      <c r="H22" s="79" t="n">
        <f aca="false">H21+F22+G22</f>
        <v>0</v>
      </c>
      <c r="J22" s="96"/>
      <c r="K22" s="96"/>
      <c r="L22" s="97"/>
      <c r="M22" s="98"/>
    </row>
    <row r="23" s="80" customFormat="true" ht="12.75" hidden="false" customHeight="false" outlineLevel="0" collapsed="false">
      <c r="A23" s="99"/>
      <c r="B23" s="94"/>
      <c r="C23" s="94"/>
      <c r="D23" s="92"/>
      <c r="E23" s="92"/>
      <c r="F23" s="79"/>
      <c r="G23" s="79"/>
      <c r="H23" s="79" t="n">
        <f aca="false">H22+F23+G23</f>
        <v>0</v>
      </c>
      <c r="J23" s="96"/>
      <c r="K23" s="96"/>
      <c r="L23" s="97"/>
      <c r="M23" s="98"/>
    </row>
    <row r="24" s="80" customFormat="true" ht="12.75" hidden="false" customHeight="false" outlineLevel="0" collapsed="false">
      <c r="A24" s="100" t="n">
        <v>45776</v>
      </c>
      <c r="B24" s="3" t="s">
        <v>98</v>
      </c>
      <c r="C24" s="3" t="s">
        <v>99</v>
      </c>
      <c r="D24" s="79"/>
      <c r="E24" s="79" t="n">
        <v>-1380</v>
      </c>
      <c r="F24" s="79"/>
      <c r="G24" s="79"/>
      <c r="H24" s="79" t="n">
        <f aca="false">H23+F24+G24</f>
        <v>0</v>
      </c>
      <c r="J24" s="96"/>
      <c r="K24" s="96"/>
      <c r="L24" s="97"/>
      <c r="M24" s="98"/>
    </row>
    <row r="25" s="80" customFormat="true" ht="12.75" hidden="false" customHeight="false" outlineLevel="0" collapsed="false">
      <c r="B25" s="101" t="s">
        <v>80</v>
      </c>
      <c r="C25" s="101"/>
      <c r="D25" s="79"/>
      <c r="E25" s="79" t="n">
        <v>-600</v>
      </c>
      <c r="F25" s="79"/>
      <c r="G25" s="79"/>
      <c r="H25" s="79" t="n">
        <f aca="false">H24+F25+G25</f>
        <v>0</v>
      </c>
      <c r="J25" s="96"/>
      <c r="K25" s="96"/>
      <c r="L25" s="97"/>
      <c r="M25" s="98"/>
    </row>
    <row r="26" s="80" customFormat="true" ht="12.75" hidden="false" customHeight="false" outlineLevel="0" collapsed="false">
      <c r="B26" s="101" t="s">
        <v>81</v>
      </c>
      <c r="C26" s="101"/>
      <c r="D26" s="79"/>
      <c r="E26" s="79" t="n">
        <v>-800</v>
      </c>
      <c r="F26" s="79"/>
      <c r="G26" s="79"/>
      <c r="H26" s="79" t="n">
        <f aca="false">H25+F26+G26</f>
        <v>0</v>
      </c>
      <c r="J26" s="96"/>
      <c r="K26" s="96"/>
      <c r="L26" s="97"/>
      <c r="M26" s="98"/>
    </row>
    <row r="27" s="80" customFormat="true" ht="12.75" hidden="false" customHeight="false" outlineLevel="0" collapsed="false">
      <c r="B27" s="3"/>
      <c r="C27" s="3"/>
      <c r="D27" s="79"/>
      <c r="E27" s="79"/>
      <c r="F27" s="79"/>
      <c r="G27" s="79"/>
      <c r="H27" s="79" t="n">
        <f aca="false">H26+F27+G27</f>
        <v>0</v>
      </c>
    </row>
    <row r="28" s="80" customFormat="true" ht="12.75" hidden="false" customHeight="false" outlineLevel="0" collapsed="false">
      <c r="D28" s="79"/>
      <c r="E28" s="79"/>
      <c r="F28" s="79"/>
      <c r="G28" s="79"/>
      <c r="H28" s="79" t="n">
        <f aca="false">H27+F28+G28</f>
        <v>0</v>
      </c>
    </row>
    <row r="29" customFormat="false" ht="12.75" hidden="false" customHeight="false" outlineLevel="0" collapsed="false">
      <c r="A29" s="102"/>
      <c r="B29" s="103" t="s">
        <v>100</v>
      </c>
      <c r="C29" s="103"/>
      <c r="H29" s="79" t="n">
        <f aca="false">H28+F29+G29</f>
        <v>0</v>
      </c>
      <c r="I29" s="80"/>
      <c r="J29" s="80"/>
    </row>
    <row r="30" customFormat="false" ht="12.75" hidden="false" customHeight="false" outlineLevel="0" collapsed="false">
      <c r="A30" s="102"/>
      <c r="H30" s="79" t="n">
        <f aca="false">H29+F30+G30</f>
        <v>0</v>
      </c>
    </row>
    <row r="31" customFormat="false" ht="12.75" hidden="false" customHeight="false" outlineLevel="0" collapsed="false">
      <c r="H31" s="79" t="n">
        <f aca="false">H30+F31+G31</f>
        <v>0</v>
      </c>
    </row>
    <row r="32" s="80" customFormat="true" ht="12.75" hidden="false" customHeight="false" outlineLevel="0" collapsed="false">
      <c r="A32" s="0"/>
      <c r="B32" s="0"/>
      <c r="C32" s="0"/>
      <c r="D32" s="79"/>
      <c r="E32" s="79"/>
      <c r="F32" s="79"/>
      <c r="G32" s="79"/>
      <c r="H32" s="79"/>
      <c r="I32" s="0"/>
      <c r="J32" s="0"/>
    </row>
    <row r="33" s="79" customFormat="true" ht="12.75" hidden="false" customHeight="false" outlineLevel="0" collapsed="false">
      <c r="A33" s="90"/>
      <c r="B33" s="80"/>
      <c r="C33" s="80"/>
      <c r="I33" s="80"/>
      <c r="J33" s="80"/>
      <c r="K33" s="80"/>
      <c r="L33" s="80"/>
      <c r="M33" s="80"/>
      <c r="N33" s="80"/>
    </row>
    <row r="34" s="79" customFormat="true" ht="12.75" hidden="false" customHeight="false" outlineLevel="0" collapsed="false">
      <c r="B34" s="104"/>
      <c r="K34" s="80"/>
      <c r="L34" s="80"/>
      <c r="M34" s="80"/>
      <c r="N34" s="80"/>
    </row>
    <row r="35" customFormat="false" ht="12.75" hidden="false" customHeight="false" outlineLevel="0" collapsed="false">
      <c r="A35" s="105"/>
      <c r="B35" s="106" t="s">
        <v>83</v>
      </c>
      <c r="C35" s="105"/>
      <c r="E35" s="79" t="n">
        <f aca="false">SUM(E36:E47)</f>
        <v>0</v>
      </c>
      <c r="I35" s="79"/>
      <c r="J35" s="79"/>
    </row>
    <row r="36" s="79" customFormat="true" ht="13.8" hidden="false" customHeight="false" outlineLevel="0" collapsed="false">
      <c r="A36" s="0"/>
      <c r="B36" s="0"/>
      <c r="C36" s="0"/>
      <c r="E36" s="107" t="s">
        <v>84</v>
      </c>
      <c r="I36" s="0"/>
      <c r="J36" s="0"/>
      <c r="K36" s="80"/>
      <c r="L36" s="80"/>
      <c r="M36" s="80"/>
      <c r="N36" s="80"/>
    </row>
    <row r="37" s="79" customFormat="true" ht="12.75" hidden="false" customHeight="false" outlineLevel="0" collapsed="false">
      <c r="A37" s="90"/>
      <c r="K37" s="80"/>
      <c r="L37" s="80"/>
      <c r="M37" s="80"/>
      <c r="N37" s="80"/>
    </row>
    <row r="38" s="79" customFormat="true" ht="12.75" hidden="false" customHeight="false" outlineLevel="0" collapsed="false">
      <c r="A38" s="90"/>
      <c r="K38" s="80"/>
      <c r="L38" s="80"/>
      <c r="M38" s="80"/>
      <c r="N38" s="80"/>
    </row>
    <row r="39" s="79" customFormat="true" ht="12.75" hidden="false" customHeight="false" outlineLevel="0" collapsed="false">
      <c r="A39" s="90"/>
      <c r="K39" s="80"/>
      <c r="L39" s="80"/>
      <c r="M39" s="80"/>
      <c r="N39" s="80"/>
    </row>
    <row r="40" customFormat="false" ht="12.75" hidden="false" customHeight="false" outlineLevel="0" collapsed="false">
      <c r="A40" s="90"/>
      <c r="B40" s="79"/>
      <c r="C40" s="79"/>
      <c r="I40" s="79"/>
      <c r="J40" s="79"/>
    </row>
    <row r="41" s="79" customFormat="true" ht="12.75" hidden="false" customHeight="false" outlineLevel="0" collapsed="false">
      <c r="A41" s="0"/>
      <c r="B41" s="0"/>
      <c r="C41" s="0"/>
      <c r="I41" s="0"/>
      <c r="J41" s="0"/>
      <c r="K41" s="80"/>
      <c r="L41" s="80"/>
      <c r="M41" s="80"/>
      <c r="N41" s="80"/>
    </row>
    <row r="42" s="79" customFormat="true" ht="12.75" hidden="false" customHeight="false" outlineLevel="0" collapsed="false">
      <c r="A42" s="102"/>
      <c r="B42" s="108"/>
      <c r="C42" s="108"/>
      <c r="K42" s="80"/>
      <c r="L42" s="80"/>
      <c r="M42" s="80"/>
      <c r="N42" s="80"/>
    </row>
    <row r="43" s="79" customFormat="true" ht="12.75" hidden="false" customHeight="false" outlineLevel="0" collapsed="false">
      <c r="A43" s="102"/>
      <c r="B43" s="108"/>
      <c r="C43" s="108"/>
      <c r="K43" s="80"/>
      <c r="L43" s="80"/>
      <c r="M43" s="80"/>
      <c r="N43" s="80"/>
    </row>
    <row r="44" s="79" customFormat="true" ht="12.75" hidden="false" customHeight="false" outlineLevel="0" collapsed="false">
      <c r="A44" s="102"/>
      <c r="B44" s="109"/>
      <c r="C44" s="108"/>
      <c r="K44" s="80"/>
      <c r="L44" s="80"/>
      <c r="M44" s="80"/>
      <c r="N44" s="80"/>
    </row>
    <row r="45" s="79" customFormat="true" ht="12.75" hidden="false" customHeight="false" outlineLevel="0" collapsed="false">
      <c r="A45" s="102"/>
      <c r="B45" s="109"/>
      <c r="C45" s="108"/>
      <c r="K45" s="80"/>
      <c r="L45" s="80"/>
      <c r="M45" s="80"/>
      <c r="N45" s="80"/>
    </row>
    <row r="46" s="79" customFormat="true" ht="12.75" hidden="false" customHeight="false" outlineLevel="0" collapsed="false">
      <c r="A46" s="102"/>
      <c r="B46" s="109"/>
      <c r="K46" s="80"/>
      <c r="L46" s="80"/>
      <c r="M46" s="80"/>
      <c r="N46" s="80"/>
    </row>
    <row r="47" s="79" customFormat="true" ht="12.75" hidden="false" customHeight="false" outlineLevel="0" collapsed="false">
      <c r="A47" s="102"/>
      <c r="B47" s="109"/>
      <c r="C47" s="108"/>
      <c r="K47" s="80"/>
      <c r="L47" s="80"/>
      <c r="M47" s="80"/>
      <c r="N47" s="80"/>
    </row>
    <row r="48" s="79" customFormat="true" ht="12.75" hidden="false" customHeight="false" outlineLevel="0" collapsed="false">
      <c r="A48" s="102"/>
      <c r="B48" s="3"/>
      <c r="K48" s="80"/>
      <c r="L48" s="80"/>
      <c r="M48" s="80"/>
      <c r="N48" s="80"/>
    </row>
    <row r="49" s="79" customFormat="true" ht="12.75" hidden="false" customHeight="false" outlineLevel="0" collapsed="false">
      <c r="A49" s="102"/>
      <c r="B49" s="108"/>
      <c r="C49" s="108"/>
      <c r="K49" s="80"/>
      <c r="L49" s="80"/>
      <c r="M49" s="80"/>
      <c r="N49" s="80"/>
    </row>
    <row r="50" s="79" customFormat="true" ht="12.75" hidden="false" customHeight="false" outlineLevel="0" collapsed="false">
      <c r="A50" s="105"/>
      <c r="B50" s="106" t="s">
        <v>85</v>
      </c>
      <c r="C50" s="105"/>
      <c r="E50" s="79" t="n">
        <f aca="false">SUM(E51:E69)</f>
        <v>0</v>
      </c>
      <c r="K50" s="80"/>
      <c r="L50" s="80"/>
      <c r="M50" s="80"/>
      <c r="N50" s="80"/>
    </row>
    <row r="51" s="79" customFormat="true" ht="12.75" hidden="false" customHeight="false" outlineLevel="0" collapsed="false">
      <c r="A51" s="102"/>
      <c r="B51" s="108"/>
      <c r="C51" s="108"/>
      <c r="K51" s="80"/>
      <c r="L51" s="80"/>
      <c r="M51" s="80"/>
      <c r="N51" s="80"/>
    </row>
    <row r="52" s="79" customFormat="true" ht="12.75" hidden="false" customHeight="false" outlineLevel="0" collapsed="false">
      <c r="A52" s="102"/>
      <c r="B52" s="108"/>
      <c r="C52" s="108"/>
      <c r="K52" s="80"/>
      <c r="L52" s="80"/>
      <c r="M52" s="80"/>
      <c r="N52" s="80"/>
    </row>
    <row r="53" s="79" customFormat="true" ht="12.75" hidden="false" customHeight="false" outlineLevel="0" collapsed="false">
      <c r="A53" s="102"/>
      <c r="B53" s="3"/>
      <c r="C53" s="108"/>
      <c r="K53" s="80"/>
      <c r="L53" s="80"/>
      <c r="M53" s="80"/>
      <c r="N53" s="80"/>
    </row>
    <row r="54" s="79" customFormat="true" ht="12.75" hidden="false" customHeight="false" outlineLevel="0" collapsed="false">
      <c r="A54" s="102"/>
      <c r="B54" s="3"/>
      <c r="C54" s="108"/>
      <c r="K54" s="80"/>
      <c r="L54" s="80"/>
      <c r="M54" s="80"/>
      <c r="N54" s="80"/>
    </row>
    <row r="55" s="79" customFormat="true" ht="12.75" hidden="false" customHeight="false" outlineLevel="0" collapsed="false">
      <c r="A55" s="102"/>
      <c r="B55" s="3"/>
      <c r="C55" s="108"/>
      <c r="K55" s="80"/>
      <c r="L55" s="80"/>
      <c r="M55" s="80"/>
      <c r="N55" s="80"/>
    </row>
    <row r="56" s="79" customFormat="true" ht="12.75" hidden="false" customHeight="false" outlineLevel="0" collapsed="false">
      <c r="A56" s="102"/>
      <c r="B56" s="3"/>
      <c r="C56" s="108"/>
      <c r="K56" s="80"/>
      <c r="L56" s="80"/>
      <c r="M56" s="80"/>
      <c r="N56" s="80"/>
    </row>
    <row r="57" s="79" customFormat="true" ht="12.75" hidden="false" customHeight="false" outlineLevel="0" collapsed="false">
      <c r="A57" s="102"/>
      <c r="B57" s="3"/>
      <c r="C57" s="108"/>
      <c r="K57" s="80"/>
      <c r="L57" s="80"/>
      <c r="M57" s="80"/>
      <c r="N57" s="80"/>
    </row>
    <row r="58" s="79" customFormat="true" ht="12.75" hidden="false" customHeight="false" outlineLevel="0" collapsed="false">
      <c r="A58" s="102"/>
      <c r="B58" s="3"/>
      <c r="C58" s="108"/>
      <c r="K58" s="80"/>
      <c r="L58" s="80"/>
      <c r="M58" s="80"/>
      <c r="N58" s="80"/>
    </row>
    <row r="59" s="79" customFormat="true" ht="12.75" hidden="false" customHeight="false" outlineLevel="0" collapsed="false">
      <c r="A59" s="102"/>
      <c r="B59" s="3"/>
      <c r="C59" s="108"/>
      <c r="K59" s="80"/>
      <c r="L59" s="80"/>
      <c r="M59" s="80"/>
      <c r="N59" s="80"/>
    </row>
    <row r="60" s="79" customFormat="true" ht="12.75" hidden="false" customHeight="false" outlineLevel="0" collapsed="false">
      <c r="A60" s="102"/>
      <c r="B60" s="3"/>
      <c r="C60" s="108"/>
      <c r="K60" s="80"/>
      <c r="L60" s="80"/>
      <c r="M60" s="80"/>
      <c r="N60" s="80"/>
    </row>
    <row r="61" s="79" customFormat="true" ht="12.75" hidden="false" customHeight="false" outlineLevel="0" collapsed="false">
      <c r="A61" s="102"/>
      <c r="B61" s="3"/>
      <c r="C61" s="108"/>
      <c r="K61" s="80"/>
      <c r="L61" s="80"/>
      <c r="M61" s="80"/>
      <c r="N61" s="80"/>
    </row>
    <row r="62" s="79" customFormat="true" ht="12.75" hidden="false" customHeight="false" outlineLevel="0" collapsed="false">
      <c r="A62" s="102"/>
      <c r="B62" s="3"/>
      <c r="C62" s="108"/>
      <c r="K62" s="80"/>
      <c r="L62" s="80"/>
      <c r="M62" s="80"/>
      <c r="N62" s="80"/>
    </row>
    <row r="63" s="79" customFormat="true" ht="12.75" hidden="false" customHeight="false" outlineLevel="0" collapsed="false">
      <c r="A63" s="102"/>
      <c r="B63" s="3"/>
      <c r="C63" s="108"/>
      <c r="K63" s="80"/>
      <c r="L63" s="80"/>
      <c r="M63" s="80"/>
      <c r="N63" s="80"/>
    </row>
    <row r="64" s="79" customFormat="true" ht="13.8" hidden="false" customHeight="false" outlineLevel="0" collapsed="false">
      <c r="A64" s="102"/>
      <c r="B64" s="3"/>
      <c r="C64" s="108"/>
      <c r="E64" s="107" t="s">
        <v>84</v>
      </c>
      <c r="K64" s="80"/>
      <c r="L64" s="80"/>
      <c r="M64" s="80"/>
      <c r="N64" s="80"/>
    </row>
    <row r="65" s="79" customFormat="true" ht="12.75" hidden="false" customHeight="false" outlineLevel="0" collapsed="false">
      <c r="A65" s="102"/>
      <c r="B65" s="3"/>
      <c r="C65" s="108"/>
      <c r="K65" s="80"/>
      <c r="L65" s="80"/>
      <c r="M65" s="80"/>
      <c r="N65" s="80"/>
    </row>
    <row r="66" s="79" customFormat="true" ht="12.75" hidden="false" customHeight="false" outlineLevel="0" collapsed="false">
      <c r="A66" s="102"/>
      <c r="B66" s="3"/>
      <c r="C66" s="108"/>
      <c r="K66" s="80"/>
      <c r="L66" s="80"/>
      <c r="M66" s="80"/>
      <c r="N66" s="80"/>
    </row>
    <row r="67" s="79" customFormat="true" ht="12.75" hidden="false" customHeight="false" outlineLevel="0" collapsed="false">
      <c r="A67" s="102"/>
      <c r="B67" s="3"/>
      <c r="C67" s="108"/>
      <c r="K67" s="80"/>
      <c r="L67" s="80"/>
      <c r="M67" s="80"/>
      <c r="N67" s="80"/>
    </row>
    <row r="68" s="79" customFormat="true" ht="12.75" hidden="false" customHeight="false" outlineLevel="0" collapsed="false">
      <c r="A68" s="102"/>
      <c r="B68" s="3"/>
      <c r="C68" s="108"/>
      <c r="K68" s="80"/>
      <c r="L68" s="80"/>
      <c r="M68" s="80"/>
      <c r="N68" s="80"/>
    </row>
    <row r="69" s="79" customFormat="true" ht="12.75" hidden="false" customHeight="false" outlineLevel="0" collapsed="false">
      <c r="A69" s="102"/>
      <c r="B69" s="3"/>
      <c r="C69" s="108"/>
      <c r="K69" s="80"/>
      <c r="L69" s="80"/>
      <c r="M69" s="80"/>
      <c r="N69" s="80"/>
    </row>
    <row r="70" s="79" customFormat="true" ht="12.75" hidden="false" customHeight="false" outlineLevel="0" collapsed="false">
      <c r="A70" s="102"/>
      <c r="B70" s="3"/>
      <c r="K70" s="80"/>
      <c r="L70" s="80"/>
      <c r="M70" s="80"/>
      <c r="N70" s="80"/>
    </row>
    <row r="71" customFormat="false" ht="12.75" hidden="false" customHeight="false" outlineLevel="0" collapsed="false">
      <c r="A71" s="102"/>
      <c r="B71" s="3"/>
      <c r="C71" s="108"/>
      <c r="I71" s="79"/>
      <c r="J71" s="79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C2E6"/>
    <pageSetUpPr fitToPage="false"/>
  </sheetPr>
  <dimension ref="A1:N71"/>
  <sheetViews>
    <sheetView showFormulas="false" showGridLines="true" showRowColHeaders="true" showZeros="true" rightToLeft="false" tabSelected="false" showOutlineSymbols="true" defaultGridColor="true" view="normal" topLeftCell="A58" colorId="64" zoomScale="145" zoomScaleNormal="145" zoomScalePageLayoutView="100" workbookViewId="0">
      <selection pane="topLeft" activeCell="A72" activeCellId="0" sqref="A72"/>
    </sheetView>
  </sheetViews>
  <sheetFormatPr defaultColWidth="12.2929687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79" width="11.57"/>
    <col collapsed="false" customWidth="false" hidden="false" outlineLevel="0" max="8" min="5" style="79" width="12.29"/>
    <col collapsed="false" customWidth="true" hidden="false" outlineLevel="0" max="10" min="10" style="0" width="27.43"/>
    <col collapsed="false" customWidth="true" hidden="false" outlineLevel="0" max="11" min="11" style="80" width="6.14"/>
    <col collapsed="false" customWidth="true" hidden="false" outlineLevel="0" max="12" min="12" style="80" width="14.57"/>
    <col collapsed="false" customWidth="false" hidden="false" outlineLevel="0" max="14" min="13" style="80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79" t="s">
        <v>28</v>
      </c>
      <c r="G1" s="79" t="s">
        <v>29</v>
      </c>
      <c r="H1" s="79" t="s">
        <v>3</v>
      </c>
    </row>
    <row r="2" customFormat="false" ht="12.75" hidden="false" customHeight="false" outlineLevel="0" collapsed="false">
      <c r="A2" s="3" t="s">
        <v>101</v>
      </c>
      <c r="C2" s="81" t="s">
        <v>67</v>
      </c>
      <c r="D2" s="79" t="n">
        <f aca="false">SUM(D4:D33)</f>
        <v>15000</v>
      </c>
      <c r="E2" s="79" t="n">
        <f aca="false">SUM(E4:E33)</f>
        <v>-46297.06</v>
      </c>
      <c r="F2" s="79" t="n">
        <f aca="false">SUM(F4:F33)</f>
        <v>0</v>
      </c>
      <c r="G2" s="79" t="n">
        <f aca="false">SUM(G4:G33)</f>
        <v>0</v>
      </c>
      <c r="H2" s="79" t="n">
        <f aca="false">F2+G2</f>
        <v>0</v>
      </c>
    </row>
    <row r="3" customFormat="false" ht="12.75" hidden="false" customHeight="false" outlineLevel="0" collapsed="false">
      <c r="B3" s="18"/>
    </row>
    <row r="4" customFormat="false" ht="12.75" hidden="false" customHeight="false" outlineLevel="0" collapsed="false">
      <c r="B4" s="42"/>
      <c r="H4" s="79" t="n">
        <f aca="false">H3+F4+G4</f>
        <v>0</v>
      </c>
    </row>
    <row r="5" customFormat="false" ht="12.75" hidden="false" customHeight="false" outlineLevel="0" collapsed="false">
      <c r="B5" s="42"/>
      <c r="H5" s="79" t="n">
        <f aca="false">H4+F5+G5</f>
        <v>0</v>
      </c>
    </row>
    <row r="6" customFormat="false" ht="12.75" hidden="false" customHeight="false" outlineLevel="0" collapsed="false">
      <c r="A6" s="82"/>
      <c r="B6" s="83"/>
      <c r="C6" s="84"/>
      <c r="D6" s="85"/>
      <c r="E6" s="85"/>
      <c r="H6" s="79" t="n">
        <f aca="false">H5+F6+G6</f>
        <v>0</v>
      </c>
    </row>
    <row r="7" customFormat="false" ht="12.75" hidden="false" customHeight="false" outlineLevel="0" collapsed="false">
      <c r="A7" s="86"/>
      <c r="B7" s="83" t="s">
        <v>68</v>
      </c>
      <c r="C7" s="87"/>
      <c r="D7" s="88"/>
      <c r="E7" s="88" t="n">
        <f aca="false">E37</f>
        <v>0</v>
      </c>
      <c r="F7" s="89"/>
      <c r="G7" s="89" t="n">
        <f aca="false">E7</f>
        <v>0</v>
      </c>
      <c r="H7" s="79" t="n">
        <f aca="false">H6+F7+G7</f>
        <v>0</v>
      </c>
    </row>
    <row r="8" customFormat="false" ht="12.75" hidden="false" customHeight="false" outlineLevel="0" collapsed="false">
      <c r="A8" s="82"/>
      <c r="B8" s="83" t="s">
        <v>69</v>
      </c>
      <c r="C8" s="87"/>
      <c r="D8" s="88"/>
      <c r="E8" s="88" t="n">
        <f aca="false">E52</f>
        <v>0</v>
      </c>
      <c r="F8" s="89"/>
      <c r="G8" s="89" t="n">
        <f aca="false">E8</f>
        <v>0</v>
      </c>
      <c r="H8" s="79" t="n">
        <f aca="false">H7+F8+G8</f>
        <v>0</v>
      </c>
    </row>
    <row r="9" customFormat="false" ht="12.75" hidden="false" customHeight="false" outlineLevel="0" collapsed="false">
      <c r="G9" s="89"/>
      <c r="H9" s="79" t="n">
        <f aca="false">H8+F9+G9</f>
        <v>0</v>
      </c>
    </row>
    <row r="10" customFormat="false" ht="12.75" hidden="false" customHeight="false" outlineLevel="0" collapsed="false">
      <c r="A10" s="90"/>
      <c r="B10" s="91" t="s">
        <v>70</v>
      </c>
      <c r="C10" s="91"/>
      <c r="D10" s="92"/>
      <c r="E10" s="92" t="n">
        <v>-2117.06</v>
      </c>
      <c r="H10" s="79" t="n">
        <f aca="false">H9+F10+G10</f>
        <v>0</v>
      </c>
    </row>
    <row r="11" customFormat="false" ht="12.75" hidden="false" customHeight="false" outlineLevel="0" collapsed="false">
      <c r="B11" s="91" t="s">
        <v>71</v>
      </c>
      <c r="C11" s="91"/>
      <c r="D11" s="92"/>
      <c r="E11" s="92" t="n">
        <v>-17500</v>
      </c>
      <c r="H11" s="79" t="n">
        <f aca="false">H10+F11+G11</f>
        <v>0</v>
      </c>
    </row>
    <row r="12" customFormat="false" ht="12.75" hidden="false" customHeight="false" outlineLevel="0" collapsed="false">
      <c r="B12" s="93" t="s">
        <v>72</v>
      </c>
      <c r="C12" s="94"/>
      <c r="D12" s="92"/>
      <c r="E12" s="92" t="n">
        <v>0</v>
      </c>
      <c r="H12" s="79" t="n">
        <f aca="false">H11+F12+G12</f>
        <v>0</v>
      </c>
    </row>
    <row r="13" customFormat="false" ht="12.75" hidden="false" customHeight="false" outlineLevel="0" collapsed="false">
      <c r="A13" s="90"/>
      <c r="B13" s="94"/>
      <c r="C13" s="94"/>
      <c r="D13" s="92"/>
      <c r="E13" s="92"/>
      <c r="H13" s="79" t="n">
        <f aca="false">H12+F13+G13</f>
        <v>0</v>
      </c>
    </row>
    <row r="14" s="80" customFormat="true" ht="12.75" hidden="false" customHeight="false" outlineLevel="0" collapsed="false">
      <c r="A14" s="90"/>
      <c r="B14" s="3"/>
      <c r="C14" s="3"/>
      <c r="D14" s="79"/>
      <c r="E14" s="79"/>
      <c r="F14" s="79"/>
      <c r="G14" s="79"/>
      <c r="H14" s="79" t="n">
        <f aca="false">H13+F14+G14</f>
        <v>0</v>
      </c>
      <c r="I14" s="0"/>
      <c r="J14" s="0"/>
    </row>
    <row r="15" s="80" customFormat="true" ht="12.75" hidden="false" customHeight="false" outlineLevel="0" collapsed="false">
      <c r="A15" s="90"/>
      <c r="B15" s="95" t="s">
        <v>73</v>
      </c>
      <c r="C15" s="95"/>
      <c r="D15" s="92"/>
      <c r="E15" s="92" t="n">
        <v>-1000</v>
      </c>
      <c r="F15" s="79"/>
      <c r="G15" s="79"/>
      <c r="H15" s="79" t="n">
        <f aca="false">H14+F15+G15</f>
        <v>0</v>
      </c>
    </row>
    <row r="16" s="80" customFormat="true" ht="12.75" hidden="false" customHeight="false" outlineLevel="0" collapsed="false">
      <c r="A16" s="90"/>
      <c r="B16" s="95" t="s">
        <v>74</v>
      </c>
      <c r="C16" s="95"/>
      <c r="D16" s="92"/>
      <c r="E16" s="92" t="n">
        <v>-200</v>
      </c>
      <c r="F16" s="79"/>
      <c r="G16" s="79"/>
      <c r="H16" s="79" t="n">
        <f aca="false">H15+F16+G16</f>
        <v>0</v>
      </c>
    </row>
    <row r="17" s="80" customFormat="true" ht="12.75" hidden="false" customHeight="false" outlineLevel="0" collapsed="false">
      <c r="A17" s="90"/>
      <c r="B17" s="91" t="s">
        <v>75</v>
      </c>
      <c r="C17" s="91"/>
      <c r="D17" s="92"/>
      <c r="E17" s="92" t="n">
        <v>-200</v>
      </c>
      <c r="F17" s="79"/>
      <c r="G17" s="79"/>
      <c r="H17" s="79" t="n">
        <f aca="false">H16+F17+G17</f>
        <v>0</v>
      </c>
    </row>
    <row r="18" s="80" customFormat="true" ht="12.75" hidden="false" customHeight="false" outlineLevel="0" collapsed="false">
      <c r="A18" s="90"/>
      <c r="B18" s="94" t="s">
        <v>76</v>
      </c>
      <c r="C18" s="94"/>
      <c r="D18" s="92" t="n">
        <v>15000</v>
      </c>
      <c r="E18" s="92"/>
      <c r="F18" s="79"/>
      <c r="G18" s="79"/>
      <c r="H18" s="79" t="n">
        <f aca="false">H17+F18+G18</f>
        <v>0</v>
      </c>
      <c r="J18" s="96"/>
      <c r="K18" s="96"/>
      <c r="L18" s="97"/>
      <c r="M18" s="98"/>
    </row>
    <row r="19" s="80" customFormat="true" ht="12.75" hidden="false" customHeight="false" outlineLevel="0" collapsed="false">
      <c r="B19" s="94" t="s">
        <v>77</v>
      </c>
      <c r="C19" s="94"/>
      <c r="D19" s="92"/>
      <c r="E19" s="92" t="n">
        <v>-7500</v>
      </c>
      <c r="F19" s="79"/>
      <c r="G19" s="79"/>
      <c r="H19" s="79" t="n">
        <f aca="false">H18+F19+G19</f>
        <v>0</v>
      </c>
      <c r="J19" s="96"/>
      <c r="K19" s="96"/>
      <c r="L19" s="97"/>
      <c r="M19" s="98"/>
    </row>
    <row r="20" s="80" customFormat="true" ht="12.75" hidden="false" customHeight="false" outlineLevel="0" collapsed="false">
      <c r="B20" s="94" t="s">
        <v>78</v>
      </c>
      <c r="C20" s="94"/>
      <c r="D20" s="92"/>
      <c r="E20" s="92" t="n">
        <v>-7500</v>
      </c>
      <c r="F20" s="79"/>
      <c r="G20" s="79"/>
      <c r="H20" s="79" t="n">
        <f aca="false">H19+F20+G20</f>
        <v>0</v>
      </c>
      <c r="J20" s="96"/>
      <c r="K20" s="96"/>
      <c r="L20" s="97"/>
      <c r="M20" s="98"/>
    </row>
    <row r="21" s="80" customFormat="true" ht="12.75" hidden="false" customHeight="false" outlineLevel="0" collapsed="false">
      <c r="B21" s="94" t="s">
        <v>79</v>
      </c>
      <c r="C21" s="94"/>
      <c r="D21" s="92"/>
      <c r="E21" s="92" t="n">
        <v>-7500</v>
      </c>
      <c r="F21" s="79"/>
      <c r="G21" s="79"/>
      <c r="H21" s="79" t="n">
        <f aca="false">H20+F21+G21</f>
        <v>0</v>
      </c>
      <c r="J21" s="96"/>
      <c r="K21" s="96"/>
      <c r="L21" s="97"/>
      <c r="M21" s="98"/>
    </row>
    <row r="22" s="80" customFormat="true" ht="12.75" hidden="false" customHeight="false" outlineLevel="0" collapsed="false">
      <c r="B22" s="3"/>
      <c r="C22" s="3"/>
      <c r="D22" s="79"/>
      <c r="E22" s="79"/>
      <c r="F22" s="79"/>
      <c r="G22" s="79"/>
      <c r="H22" s="79" t="n">
        <f aca="false">H21+F22+G22</f>
        <v>0</v>
      </c>
      <c r="J22" s="96"/>
      <c r="K22" s="96"/>
      <c r="L22" s="97"/>
      <c r="M22" s="98"/>
    </row>
    <row r="23" s="80" customFormat="true" ht="12.75" hidden="false" customHeight="false" outlineLevel="0" collapsed="false">
      <c r="A23" s="99"/>
      <c r="B23" s="94"/>
      <c r="C23" s="94"/>
      <c r="D23" s="92"/>
      <c r="E23" s="92"/>
      <c r="F23" s="79"/>
      <c r="G23" s="79"/>
      <c r="H23" s="79" t="n">
        <f aca="false">H22+F23+G23</f>
        <v>0</v>
      </c>
      <c r="J23" s="96"/>
      <c r="K23" s="96"/>
      <c r="L23" s="97"/>
      <c r="M23" s="98"/>
    </row>
    <row r="24" s="80" customFormat="true" ht="12.75" hidden="false" customHeight="false" outlineLevel="0" collapsed="false">
      <c r="A24" s="100" t="n">
        <v>45716</v>
      </c>
      <c r="B24" s="3" t="s">
        <v>98</v>
      </c>
      <c r="C24" s="3" t="s">
        <v>102</v>
      </c>
      <c r="D24" s="79"/>
      <c r="E24" s="79" t="n">
        <v>-1380</v>
      </c>
      <c r="F24" s="79"/>
      <c r="G24" s="79"/>
      <c r="H24" s="79" t="n">
        <f aca="false">H23+F24+G24</f>
        <v>0</v>
      </c>
      <c r="J24" s="96"/>
      <c r="K24" s="96"/>
      <c r="L24" s="97"/>
      <c r="M24" s="98"/>
    </row>
    <row r="25" s="80" customFormat="true" ht="12.75" hidden="false" customHeight="false" outlineLevel="0" collapsed="false">
      <c r="B25" s="101" t="s">
        <v>80</v>
      </c>
      <c r="C25" s="101"/>
      <c r="D25" s="79"/>
      <c r="E25" s="79" t="n">
        <v>-600</v>
      </c>
      <c r="F25" s="79"/>
      <c r="G25" s="79"/>
      <c r="H25" s="79" t="n">
        <f aca="false">H24+F25+G25</f>
        <v>0</v>
      </c>
      <c r="J25" s="96"/>
      <c r="K25" s="96"/>
      <c r="L25" s="97"/>
      <c r="M25" s="98"/>
    </row>
    <row r="26" s="80" customFormat="true" ht="12.75" hidden="false" customHeight="false" outlineLevel="0" collapsed="false">
      <c r="B26" s="101" t="s">
        <v>81</v>
      </c>
      <c r="C26" s="101"/>
      <c r="D26" s="79"/>
      <c r="E26" s="79" t="n">
        <v>-800</v>
      </c>
      <c r="F26" s="79"/>
      <c r="G26" s="79"/>
      <c r="H26" s="79" t="n">
        <f aca="false">H25+F26+G26</f>
        <v>0</v>
      </c>
      <c r="J26" s="96"/>
      <c r="K26" s="96"/>
      <c r="L26" s="97"/>
      <c r="M26" s="98"/>
    </row>
    <row r="27" s="80" customFormat="true" ht="12.75" hidden="false" customHeight="false" outlineLevel="0" collapsed="false">
      <c r="B27" s="3"/>
      <c r="C27" s="3"/>
      <c r="D27" s="79"/>
      <c r="E27" s="79"/>
      <c r="F27" s="79"/>
      <c r="G27" s="79"/>
      <c r="H27" s="79" t="n">
        <f aca="false">H26+F27+G27</f>
        <v>0</v>
      </c>
    </row>
    <row r="28" s="80" customFormat="true" ht="12.75" hidden="false" customHeight="false" outlineLevel="0" collapsed="false">
      <c r="D28" s="79"/>
      <c r="E28" s="79"/>
      <c r="F28" s="79"/>
      <c r="G28" s="79"/>
      <c r="H28" s="79" t="n">
        <f aca="false">H27+F28+G28</f>
        <v>0</v>
      </c>
    </row>
    <row r="29" customFormat="false" ht="12.75" hidden="false" customHeight="false" outlineLevel="0" collapsed="false">
      <c r="A29" s="102"/>
      <c r="B29" s="103" t="s">
        <v>103</v>
      </c>
      <c r="C29" s="103"/>
      <c r="H29" s="79" t="n">
        <f aca="false">H28+F29+G29</f>
        <v>0</v>
      </c>
      <c r="I29" s="80"/>
      <c r="J29" s="80"/>
    </row>
    <row r="30" customFormat="false" ht="12.75" hidden="false" customHeight="false" outlineLevel="0" collapsed="false">
      <c r="A30" s="102"/>
      <c r="H30" s="79" t="n">
        <f aca="false">H29+F30+G30</f>
        <v>0</v>
      </c>
    </row>
    <row r="31" customFormat="false" ht="12.75" hidden="false" customHeight="false" outlineLevel="0" collapsed="false">
      <c r="H31" s="79" t="n">
        <f aca="false">H30+F31+G31</f>
        <v>0</v>
      </c>
    </row>
    <row r="33" s="80" customFormat="true" ht="12.75" hidden="false" customHeight="false" outlineLevel="0" collapsed="false">
      <c r="A33" s="100"/>
      <c r="B33" s="0"/>
      <c r="C33" s="0"/>
      <c r="D33" s="79"/>
      <c r="E33" s="79"/>
      <c r="F33" s="79"/>
      <c r="G33" s="79"/>
      <c r="H33" s="79"/>
      <c r="I33" s="0"/>
      <c r="J33" s="0"/>
    </row>
    <row r="34" s="80" customFormat="true" ht="12.75" hidden="false" customHeight="false" outlineLevel="0" collapsed="false">
      <c r="A34" s="100"/>
      <c r="D34" s="79"/>
      <c r="E34" s="79"/>
      <c r="F34" s="79"/>
      <c r="G34" s="79"/>
      <c r="H34" s="79"/>
    </row>
    <row r="35" s="79" customFormat="true" ht="12.75" hidden="false" customHeight="false" outlineLevel="0" collapsed="false">
      <c r="A35" s="90"/>
      <c r="B35" s="80"/>
      <c r="C35" s="80"/>
      <c r="I35" s="80"/>
      <c r="J35" s="80"/>
      <c r="K35" s="80"/>
      <c r="L35" s="80"/>
      <c r="M35" s="80"/>
      <c r="N35" s="80"/>
    </row>
    <row r="36" s="79" customFormat="true" ht="12.75" hidden="false" customHeight="false" outlineLevel="0" collapsed="false">
      <c r="B36" s="104"/>
      <c r="K36" s="80"/>
      <c r="L36" s="80"/>
      <c r="M36" s="80"/>
      <c r="N36" s="80"/>
    </row>
    <row r="37" customFormat="false" ht="12.75" hidden="false" customHeight="false" outlineLevel="0" collapsed="false">
      <c r="A37" s="105"/>
      <c r="B37" s="106" t="s">
        <v>83</v>
      </c>
      <c r="C37" s="105"/>
      <c r="E37" s="79" t="n">
        <f aca="false">SUM(E38:E49)</f>
        <v>0</v>
      </c>
      <c r="I37" s="79"/>
      <c r="J37" s="79"/>
    </row>
    <row r="38" s="79" customFormat="true" ht="13.8" hidden="false" customHeight="false" outlineLevel="0" collapsed="false">
      <c r="A38" s="0"/>
      <c r="B38" s="0"/>
      <c r="C38" s="0"/>
      <c r="E38" s="107" t="s">
        <v>84</v>
      </c>
      <c r="I38" s="0"/>
      <c r="J38" s="0"/>
      <c r="K38" s="80"/>
      <c r="L38" s="80"/>
      <c r="M38" s="80"/>
      <c r="N38" s="80"/>
    </row>
    <row r="39" s="79" customFormat="true" ht="12.75" hidden="false" customHeight="false" outlineLevel="0" collapsed="false">
      <c r="A39" s="90"/>
      <c r="K39" s="80"/>
      <c r="L39" s="80"/>
      <c r="M39" s="80"/>
      <c r="N39" s="80"/>
    </row>
    <row r="40" s="79" customFormat="true" ht="12.75" hidden="false" customHeight="false" outlineLevel="0" collapsed="false">
      <c r="A40" s="90"/>
      <c r="K40" s="80"/>
      <c r="L40" s="80"/>
      <c r="M40" s="80"/>
      <c r="N40" s="80"/>
    </row>
    <row r="41" s="79" customFormat="true" ht="12.75" hidden="false" customHeight="false" outlineLevel="0" collapsed="false">
      <c r="A41" s="90"/>
      <c r="K41" s="80"/>
      <c r="L41" s="80"/>
      <c r="M41" s="80"/>
      <c r="N41" s="80"/>
    </row>
    <row r="42" customFormat="false" ht="12.75" hidden="false" customHeight="false" outlineLevel="0" collapsed="false">
      <c r="A42" s="90"/>
      <c r="B42" s="79"/>
      <c r="C42" s="79"/>
      <c r="I42" s="79"/>
      <c r="J42" s="79"/>
    </row>
    <row r="43" s="79" customFormat="true" ht="12.75" hidden="false" customHeight="false" outlineLevel="0" collapsed="false">
      <c r="A43" s="0"/>
      <c r="B43" s="0"/>
      <c r="C43" s="0"/>
      <c r="I43" s="0"/>
      <c r="J43" s="0"/>
      <c r="K43" s="80"/>
      <c r="L43" s="80"/>
      <c r="M43" s="80"/>
      <c r="N43" s="80"/>
    </row>
    <row r="44" s="79" customFormat="true" ht="12.75" hidden="false" customHeight="false" outlineLevel="0" collapsed="false">
      <c r="A44" s="102"/>
      <c r="B44" s="108"/>
      <c r="C44" s="108"/>
      <c r="K44" s="80"/>
      <c r="L44" s="80"/>
      <c r="M44" s="80"/>
      <c r="N44" s="80"/>
    </row>
    <row r="45" s="79" customFormat="true" ht="12.75" hidden="false" customHeight="false" outlineLevel="0" collapsed="false">
      <c r="A45" s="102"/>
      <c r="B45" s="108"/>
      <c r="C45" s="108"/>
      <c r="K45" s="80"/>
      <c r="L45" s="80"/>
      <c r="M45" s="80"/>
      <c r="N45" s="80"/>
    </row>
    <row r="46" s="79" customFormat="true" ht="12.75" hidden="false" customHeight="false" outlineLevel="0" collapsed="false">
      <c r="A46" s="102"/>
      <c r="B46" s="109"/>
      <c r="C46" s="108"/>
      <c r="K46" s="80"/>
      <c r="L46" s="80"/>
      <c r="M46" s="80"/>
      <c r="N46" s="80"/>
    </row>
    <row r="47" s="79" customFormat="true" ht="12.75" hidden="false" customHeight="false" outlineLevel="0" collapsed="false">
      <c r="A47" s="102"/>
      <c r="B47" s="109"/>
      <c r="C47" s="108"/>
      <c r="K47" s="80"/>
      <c r="L47" s="80"/>
      <c r="M47" s="80"/>
      <c r="N47" s="80"/>
    </row>
    <row r="48" s="79" customFormat="true" ht="12.75" hidden="false" customHeight="false" outlineLevel="0" collapsed="false">
      <c r="A48" s="102"/>
      <c r="B48" s="109"/>
      <c r="K48" s="80"/>
      <c r="L48" s="80"/>
      <c r="M48" s="80"/>
      <c r="N48" s="80"/>
    </row>
    <row r="49" s="79" customFormat="true" ht="12.75" hidden="false" customHeight="false" outlineLevel="0" collapsed="false">
      <c r="A49" s="102"/>
      <c r="B49" s="109"/>
      <c r="C49" s="108"/>
      <c r="K49" s="80"/>
      <c r="L49" s="80"/>
      <c r="M49" s="80"/>
      <c r="N49" s="80"/>
    </row>
    <row r="50" s="79" customFormat="true" ht="12.75" hidden="false" customHeight="false" outlineLevel="0" collapsed="false">
      <c r="A50" s="102"/>
      <c r="B50" s="3"/>
      <c r="K50" s="80"/>
      <c r="L50" s="80"/>
      <c r="M50" s="80"/>
      <c r="N50" s="80"/>
    </row>
    <row r="51" s="79" customFormat="true" ht="12.75" hidden="false" customHeight="false" outlineLevel="0" collapsed="false">
      <c r="A51" s="102"/>
      <c r="B51" s="108"/>
      <c r="C51" s="108"/>
      <c r="K51" s="80"/>
      <c r="L51" s="80"/>
      <c r="M51" s="80"/>
      <c r="N51" s="80"/>
    </row>
    <row r="52" s="79" customFormat="true" ht="12.75" hidden="false" customHeight="false" outlineLevel="0" collapsed="false">
      <c r="A52" s="105"/>
      <c r="B52" s="106" t="s">
        <v>85</v>
      </c>
      <c r="C52" s="105"/>
      <c r="E52" s="79" t="n">
        <f aca="false">SUM(E53:E71)</f>
        <v>0</v>
      </c>
      <c r="K52" s="80"/>
      <c r="L52" s="80"/>
      <c r="M52" s="80"/>
      <c r="N52" s="80"/>
    </row>
    <row r="53" s="79" customFormat="true" ht="12.75" hidden="false" customHeight="false" outlineLevel="0" collapsed="false">
      <c r="A53" s="102"/>
      <c r="B53" s="108"/>
      <c r="C53" s="108"/>
      <c r="K53" s="80"/>
      <c r="L53" s="80"/>
      <c r="M53" s="80"/>
      <c r="N53" s="80"/>
    </row>
    <row r="54" s="79" customFormat="true" ht="12.75" hidden="false" customHeight="false" outlineLevel="0" collapsed="false">
      <c r="A54" s="102"/>
      <c r="B54" s="108"/>
      <c r="C54" s="108"/>
      <c r="K54" s="80"/>
      <c r="L54" s="80"/>
      <c r="M54" s="80"/>
      <c r="N54" s="80"/>
    </row>
    <row r="55" s="79" customFormat="true" ht="12.75" hidden="false" customHeight="false" outlineLevel="0" collapsed="false">
      <c r="A55" s="102"/>
      <c r="B55" s="3"/>
      <c r="C55" s="108"/>
      <c r="K55" s="80"/>
      <c r="L55" s="80"/>
      <c r="M55" s="80"/>
      <c r="N55" s="80"/>
    </row>
    <row r="56" s="79" customFormat="true" ht="12.75" hidden="false" customHeight="false" outlineLevel="0" collapsed="false">
      <c r="A56" s="102"/>
      <c r="B56" s="3"/>
      <c r="C56" s="108"/>
      <c r="K56" s="80"/>
      <c r="L56" s="80"/>
      <c r="M56" s="80"/>
      <c r="N56" s="80"/>
    </row>
    <row r="57" s="79" customFormat="true" ht="12.75" hidden="false" customHeight="false" outlineLevel="0" collapsed="false">
      <c r="A57" s="102"/>
      <c r="B57" s="3"/>
      <c r="C57" s="108"/>
      <c r="K57" s="80"/>
      <c r="L57" s="80"/>
      <c r="M57" s="80"/>
      <c r="N57" s="80"/>
    </row>
    <row r="58" s="79" customFormat="true" ht="12.75" hidden="false" customHeight="false" outlineLevel="0" collapsed="false">
      <c r="A58" s="102"/>
      <c r="B58" s="3"/>
      <c r="C58" s="108"/>
      <c r="K58" s="80"/>
      <c r="L58" s="80"/>
      <c r="M58" s="80"/>
      <c r="N58" s="80"/>
    </row>
    <row r="59" s="79" customFormat="true" ht="12.75" hidden="false" customHeight="false" outlineLevel="0" collapsed="false">
      <c r="A59" s="102"/>
      <c r="B59" s="3"/>
      <c r="C59" s="108"/>
      <c r="K59" s="80"/>
      <c r="L59" s="80"/>
      <c r="M59" s="80"/>
      <c r="N59" s="80"/>
    </row>
    <row r="60" s="79" customFormat="true" ht="12.75" hidden="false" customHeight="false" outlineLevel="0" collapsed="false">
      <c r="A60" s="102"/>
      <c r="B60" s="3"/>
      <c r="C60" s="108"/>
      <c r="K60" s="80"/>
      <c r="L60" s="80"/>
      <c r="M60" s="80"/>
      <c r="N60" s="80"/>
    </row>
    <row r="61" s="79" customFormat="true" ht="12.75" hidden="false" customHeight="false" outlineLevel="0" collapsed="false">
      <c r="A61" s="102"/>
      <c r="B61" s="3"/>
      <c r="C61" s="108"/>
      <c r="K61" s="80"/>
      <c r="L61" s="80"/>
      <c r="M61" s="80"/>
      <c r="N61" s="80"/>
    </row>
    <row r="62" s="79" customFormat="true" ht="12.75" hidden="false" customHeight="false" outlineLevel="0" collapsed="false">
      <c r="A62" s="102"/>
      <c r="B62" s="3"/>
      <c r="C62" s="108"/>
      <c r="K62" s="80"/>
      <c r="L62" s="80"/>
      <c r="M62" s="80"/>
      <c r="N62" s="80"/>
    </row>
    <row r="63" s="79" customFormat="true" ht="12.75" hidden="false" customHeight="false" outlineLevel="0" collapsed="false">
      <c r="A63" s="102"/>
      <c r="B63" s="3"/>
      <c r="C63" s="108"/>
      <c r="K63" s="80"/>
      <c r="L63" s="80"/>
      <c r="M63" s="80"/>
      <c r="N63" s="80"/>
    </row>
    <row r="64" s="79" customFormat="true" ht="12.75" hidden="false" customHeight="false" outlineLevel="0" collapsed="false">
      <c r="A64" s="102"/>
      <c r="B64" s="3"/>
      <c r="C64" s="108"/>
      <c r="K64" s="80"/>
      <c r="L64" s="80"/>
      <c r="M64" s="80"/>
      <c r="N64" s="80"/>
    </row>
    <row r="65" s="79" customFormat="true" ht="12.75" hidden="false" customHeight="false" outlineLevel="0" collapsed="false">
      <c r="A65" s="102"/>
      <c r="B65" s="3"/>
      <c r="C65" s="108"/>
      <c r="K65" s="80"/>
      <c r="L65" s="80"/>
      <c r="M65" s="80"/>
      <c r="N65" s="80"/>
    </row>
    <row r="66" s="79" customFormat="true" ht="13.8" hidden="false" customHeight="false" outlineLevel="0" collapsed="false">
      <c r="A66" s="102"/>
      <c r="B66" s="3"/>
      <c r="C66" s="108"/>
      <c r="E66" s="107" t="s">
        <v>84</v>
      </c>
      <c r="K66" s="80"/>
      <c r="L66" s="80"/>
      <c r="M66" s="80"/>
      <c r="N66" s="80"/>
    </row>
    <row r="67" s="79" customFormat="true" ht="12.75" hidden="false" customHeight="false" outlineLevel="0" collapsed="false">
      <c r="A67" s="102"/>
      <c r="B67" s="3"/>
      <c r="C67" s="108"/>
      <c r="K67" s="80"/>
      <c r="L67" s="80"/>
      <c r="M67" s="80"/>
      <c r="N67" s="80"/>
    </row>
    <row r="68" s="79" customFormat="true" ht="12.75" hidden="false" customHeight="false" outlineLevel="0" collapsed="false">
      <c r="A68" s="102"/>
      <c r="B68" s="3"/>
      <c r="C68" s="108"/>
      <c r="K68" s="80"/>
      <c r="L68" s="80"/>
      <c r="M68" s="80"/>
      <c r="N68" s="80"/>
    </row>
    <row r="69" s="79" customFormat="true" ht="12.75" hidden="false" customHeight="false" outlineLevel="0" collapsed="false">
      <c r="A69" s="102"/>
      <c r="B69" s="3"/>
      <c r="C69" s="108"/>
      <c r="K69" s="80"/>
      <c r="L69" s="80"/>
      <c r="M69" s="80"/>
      <c r="N69" s="80"/>
    </row>
    <row r="70" s="79" customFormat="true" ht="12.75" hidden="false" customHeight="false" outlineLevel="0" collapsed="false">
      <c r="A70" s="102"/>
      <c r="B70" s="3"/>
      <c r="C70" s="108"/>
      <c r="K70" s="80"/>
      <c r="L70" s="80"/>
      <c r="M70" s="80"/>
      <c r="N70" s="80"/>
    </row>
    <row r="71" customFormat="false" ht="12.75" hidden="false" customHeight="false" outlineLevel="0" collapsed="false">
      <c r="A71" s="102"/>
      <c r="B71" s="3"/>
      <c r="C71" s="108"/>
      <c r="I71" s="79"/>
      <c r="J71" s="79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C2E6"/>
    <pageSetUpPr fitToPage="false"/>
  </sheetPr>
  <dimension ref="A1:N70"/>
  <sheetViews>
    <sheetView showFormulas="false" showGridLines="true" showRowColHeaders="true" showZeros="true" rightToLeft="false" tabSelected="false" showOutlineSymbols="true" defaultGridColor="true" view="normal" topLeftCell="A69" colorId="64" zoomScale="145" zoomScaleNormal="145" zoomScalePageLayoutView="100" workbookViewId="0">
      <selection pane="topLeft" activeCell="A71" activeCellId="0" sqref="A71"/>
    </sheetView>
  </sheetViews>
  <sheetFormatPr defaultColWidth="12.2929687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79" width="11.57"/>
    <col collapsed="false" customWidth="false" hidden="false" outlineLevel="0" max="8" min="5" style="79" width="12.29"/>
    <col collapsed="false" customWidth="true" hidden="false" outlineLevel="0" max="10" min="10" style="0" width="27.43"/>
    <col collapsed="false" customWidth="true" hidden="false" outlineLevel="0" max="11" min="11" style="80" width="6.14"/>
    <col collapsed="false" customWidth="true" hidden="false" outlineLevel="0" max="12" min="12" style="80" width="14.57"/>
    <col collapsed="false" customWidth="false" hidden="false" outlineLevel="0" max="14" min="13" style="80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79" t="s">
        <v>28</v>
      </c>
      <c r="G1" s="79" t="s">
        <v>29</v>
      </c>
      <c r="H1" s="79" t="s">
        <v>3</v>
      </c>
    </row>
    <row r="2" customFormat="false" ht="12.75" hidden="false" customHeight="false" outlineLevel="0" collapsed="false">
      <c r="A2" s="3" t="s">
        <v>104</v>
      </c>
      <c r="C2" s="81" t="s">
        <v>67</v>
      </c>
      <c r="D2" s="79" t="n">
        <f aca="false">SUM(D4:D31)</f>
        <v>30000</v>
      </c>
      <c r="E2" s="79" t="n">
        <f aca="false">SUM(E4:E31)</f>
        <v>-46297.06</v>
      </c>
      <c r="F2" s="79" t="n">
        <f aca="false">SUM(F4:F31)</f>
        <v>0</v>
      </c>
      <c r="G2" s="79" t="n">
        <f aca="false">SUM(G4:G31)</f>
        <v>0</v>
      </c>
      <c r="H2" s="79" t="n">
        <f aca="false">F2+G2</f>
        <v>0</v>
      </c>
    </row>
    <row r="3" customFormat="false" ht="12.75" hidden="false" customHeight="false" outlineLevel="0" collapsed="false">
      <c r="B3" s="18"/>
    </row>
    <row r="4" customFormat="false" ht="12.75" hidden="false" customHeight="false" outlineLevel="0" collapsed="false">
      <c r="B4" s="42"/>
      <c r="H4" s="79" t="n">
        <f aca="false">H3+F4+G4</f>
        <v>0</v>
      </c>
    </row>
    <row r="5" customFormat="false" ht="12.75" hidden="false" customHeight="false" outlineLevel="0" collapsed="false">
      <c r="B5" s="42"/>
      <c r="H5" s="79" t="n">
        <f aca="false">H4+F5+G5</f>
        <v>0</v>
      </c>
    </row>
    <row r="6" customFormat="false" ht="12.75" hidden="false" customHeight="false" outlineLevel="0" collapsed="false">
      <c r="A6" s="82"/>
      <c r="B6" s="83" t="s">
        <v>105</v>
      </c>
      <c r="C6" s="84"/>
      <c r="D6" s="85"/>
      <c r="E6" s="85"/>
      <c r="H6" s="79" t="n">
        <f aca="false">H5+F6+G6</f>
        <v>0</v>
      </c>
    </row>
    <row r="7" customFormat="false" ht="12.75" hidden="false" customHeight="false" outlineLevel="0" collapsed="false">
      <c r="A7" s="86"/>
      <c r="B7" s="83" t="s">
        <v>68</v>
      </c>
      <c r="C7" s="87"/>
      <c r="D7" s="88"/>
      <c r="E7" s="88" t="n">
        <f aca="false">E36</f>
        <v>0</v>
      </c>
      <c r="F7" s="89"/>
      <c r="G7" s="89" t="n">
        <f aca="false">E7</f>
        <v>0</v>
      </c>
      <c r="H7" s="79" t="n">
        <f aca="false">H6+F7+G7</f>
        <v>0</v>
      </c>
    </row>
    <row r="8" customFormat="false" ht="12.75" hidden="false" customHeight="false" outlineLevel="0" collapsed="false">
      <c r="A8" s="82"/>
      <c r="B8" s="83" t="s">
        <v>69</v>
      </c>
      <c r="C8" s="87"/>
      <c r="D8" s="88"/>
      <c r="E8" s="88" t="n">
        <f aca="false">E51</f>
        <v>0</v>
      </c>
      <c r="F8" s="89"/>
      <c r="G8" s="89" t="n">
        <f aca="false">E8</f>
        <v>0</v>
      </c>
      <c r="H8" s="79" t="n">
        <f aca="false">H7+F8+G8</f>
        <v>0</v>
      </c>
    </row>
    <row r="9" customFormat="false" ht="12.75" hidden="false" customHeight="false" outlineLevel="0" collapsed="false">
      <c r="G9" s="89"/>
      <c r="H9" s="79" t="n">
        <f aca="false">H8+F9+G9</f>
        <v>0</v>
      </c>
    </row>
    <row r="10" customFormat="false" ht="12.75" hidden="false" customHeight="false" outlineLevel="0" collapsed="false">
      <c r="A10" s="90"/>
      <c r="B10" s="91" t="s">
        <v>70</v>
      </c>
      <c r="C10" s="91"/>
      <c r="D10" s="92"/>
      <c r="E10" s="92" t="n">
        <v>-2117.06</v>
      </c>
      <c r="H10" s="79" t="n">
        <f aca="false">H9+F10+G10</f>
        <v>0</v>
      </c>
    </row>
    <row r="11" customFormat="false" ht="12.75" hidden="false" customHeight="false" outlineLevel="0" collapsed="false">
      <c r="B11" s="91" t="s">
        <v>71</v>
      </c>
      <c r="C11" s="91"/>
      <c r="D11" s="92"/>
      <c r="E11" s="92" t="n">
        <v>-17500</v>
      </c>
      <c r="H11" s="79" t="n">
        <f aca="false">H10+F11+G11</f>
        <v>0</v>
      </c>
    </row>
    <row r="12" customFormat="false" ht="12.75" hidden="false" customHeight="false" outlineLevel="0" collapsed="false">
      <c r="B12" s="93" t="s">
        <v>72</v>
      </c>
      <c r="C12" s="94"/>
      <c r="D12" s="92"/>
      <c r="E12" s="92" t="n">
        <v>0</v>
      </c>
      <c r="H12" s="79" t="n">
        <f aca="false">H11+F12+G12</f>
        <v>0</v>
      </c>
    </row>
    <row r="13" customFormat="false" ht="12.75" hidden="false" customHeight="false" outlineLevel="0" collapsed="false">
      <c r="A13" s="90"/>
      <c r="B13" s="94"/>
      <c r="C13" s="94"/>
      <c r="D13" s="92"/>
      <c r="E13" s="92"/>
      <c r="H13" s="79" t="n">
        <f aca="false">H12+F13+G13</f>
        <v>0</v>
      </c>
    </row>
    <row r="14" s="80" customFormat="true" ht="12.75" hidden="false" customHeight="false" outlineLevel="0" collapsed="false">
      <c r="A14" s="90"/>
      <c r="B14" s="3"/>
      <c r="C14" s="3"/>
      <c r="D14" s="79"/>
      <c r="E14" s="79"/>
      <c r="F14" s="79"/>
      <c r="G14" s="79"/>
      <c r="H14" s="79" t="n">
        <f aca="false">H13+F14+G14</f>
        <v>0</v>
      </c>
      <c r="I14" s="0"/>
      <c r="J14" s="0"/>
    </row>
    <row r="15" s="80" customFormat="true" ht="12.75" hidden="false" customHeight="false" outlineLevel="0" collapsed="false">
      <c r="A15" s="90"/>
      <c r="B15" s="95" t="s">
        <v>73</v>
      </c>
      <c r="C15" s="95"/>
      <c r="D15" s="92"/>
      <c r="E15" s="92" t="n">
        <v>-1000</v>
      </c>
      <c r="F15" s="79"/>
      <c r="G15" s="79"/>
      <c r="H15" s="79" t="n">
        <f aca="false">H14+F15+G15</f>
        <v>0</v>
      </c>
    </row>
    <row r="16" s="80" customFormat="true" ht="12.75" hidden="false" customHeight="false" outlineLevel="0" collapsed="false">
      <c r="A16" s="90"/>
      <c r="B16" s="95" t="s">
        <v>74</v>
      </c>
      <c r="C16" s="95"/>
      <c r="D16" s="92"/>
      <c r="E16" s="92" t="n">
        <v>-200</v>
      </c>
      <c r="F16" s="79"/>
      <c r="G16" s="79"/>
      <c r="H16" s="79" t="n">
        <f aca="false">H15+F16+G16</f>
        <v>0</v>
      </c>
    </row>
    <row r="17" s="80" customFormat="true" ht="12.75" hidden="false" customHeight="false" outlineLevel="0" collapsed="false">
      <c r="A17" s="90"/>
      <c r="B17" s="91" t="s">
        <v>75</v>
      </c>
      <c r="C17" s="91"/>
      <c r="D17" s="92"/>
      <c r="E17" s="92" t="n">
        <v>-200</v>
      </c>
      <c r="F17" s="79"/>
      <c r="G17" s="79"/>
      <c r="H17" s="79" t="n">
        <f aca="false">H16+F17+G17</f>
        <v>0</v>
      </c>
    </row>
    <row r="18" s="80" customFormat="true" ht="12.75" hidden="false" customHeight="false" outlineLevel="0" collapsed="false">
      <c r="A18" s="90"/>
      <c r="B18" s="94" t="s">
        <v>76</v>
      </c>
      <c r="C18" s="94"/>
      <c r="D18" s="92" t="n">
        <v>15000</v>
      </c>
      <c r="E18" s="92"/>
      <c r="F18" s="79"/>
      <c r="G18" s="79"/>
      <c r="H18" s="79" t="n">
        <f aca="false">H17+F18+G18</f>
        <v>0</v>
      </c>
      <c r="J18" s="96"/>
      <c r="K18" s="96"/>
      <c r="L18" s="97"/>
      <c r="M18" s="98"/>
    </row>
    <row r="19" s="80" customFormat="true" ht="12.75" hidden="false" customHeight="false" outlineLevel="0" collapsed="false">
      <c r="B19" s="94" t="s">
        <v>77</v>
      </c>
      <c r="C19" s="94"/>
      <c r="D19" s="92"/>
      <c r="E19" s="92" t="n">
        <v>-7500</v>
      </c>
      <c r="F19" s="79"/>
      <c r="G19" s="79"/>
      <c r="H19" s="79" t="n">
        <f aca="false">H18+F19+G19</f>
        <v>0</v>
      </c>
      <c r="J19" s="96"/>
      <c r="K19" s="96"/>
      <c r="L19" s="97"/>
      <c r="M19" s="98"/>
    </row>
    <row r="20" s="80" customFormat="true" ht="12.75" hidden="false" customHeight="false" outlineLevel="0" collapsed="false">
      <c r="B20" s="94" t="s">
        <v>78</v>
      </c>
      <c r="C20" s="94"/>
      <c r="D20" s="92"/>
      <c r="E20" s="92" t="n">
        <v>-7500</v>
      </c>
      <c r="F20" s="79"/>
      <c r="G20" s="79"/>
      <c r="H20" s="79" t="n">
        <f aca="false">H19+F20+G20</f>
        <v>0</v>
      </c>
      <c r="J20" s="96"/>
      <c r="K20" s="96"/>
      <c r="L20" s="97"/>
      <c r="M20" s="98"/>
    </row>
    <row r="21" s="80" customFormat="true" ht="12.75" hidden="false" customHeight="false" outlineLevel="0" collapsed="false">
      <c r="B21" s="94" t="s">
        <v>79</v>
      </c>
      <c r="C21" s="94"/>
      <c r="D21" s="92"/>
      <c r="E21" s="92" t="n">
        <v>-7500</v>
      </c>
      <c r="F21" s="79"/>
      <c r="G21" s="79"/>
      <c r="H21" s="79" t="n">
        <f aca="false">H20+F21+G21</f>
        <v>0</v>
      </c>
      <c r="J21" s="96"/>
      <c r="K21" s="96"/>
      <c r="L21" s="97"/>
      <c r="M21" s="98"/>
    </row>
    <row r="22" s="80" customFormat="true" ht="12.75" hidden="false" customHeight="false" outlineLevel="0" collapsed="false">
      <c r="B22" s="3"/>
      <c r="C22" s="3"/>
      <c r="D22" s="79"/>
      <c r="E22" s="79"/>
      <c r="F22" s="79"/>
      <c r="G22" s="79"/>
      <c r="H22" s="79" t="n">
        <f aca="false">H21+F22+G22</f>
        <v>0</v>
      </c>
      <c r="J22" s="96"/>
      <c r="K22" s="96"/>
      <c r="L22" s="97"/>
      <c r="M22" s="98"/>
    </row>
    <row r="23" s="80" customFormat="true" ht="12.75" hidden="false" customHeight="false" outlineLevel="0" collapsed="false">
      <c r="A23" s="99"/>
      <c r="B23" s="94"/>
      <c r="C23" s="94"/>
      <c r="D23" s="92"/>
      <c r="E23" s="92"/>
      <c r="F23" s="79"/>
      <c r="G23" s="79"/>
      <c r="H23" s="79" t="n">
        <f aca="false">H22+F23+G23</f>
        <v>0</v>
      </c>
      <c r="J23" s="96"/>
      <c r="K23" s="96"/>
      <c r="L23" s="97"/>
      <c r="M23" s="98"/>
    </row>
    <row r="24" s="80" customFormat="true" ht="12.75" hidden="false" customHeight="false" outlineLevel="0" collapsed="false">
      <c r="A24" s="100" t="n">
        <v>45716</v>
      </c>
      <c r="B24" s="3" t="s">
        <v>98</v>
      </c>
      <c r="C24" s="3" t="s">
        <v>106</v>
      </c>
      <c r="D24" s="79"/>
      <c r="E24" s="79" t="n">
        <v>-1380</v>
      </c>
      <c r="F24" s="79"/>
      <c r="G24" s="79"/>
      <c r="H24" s="79" t="n">
        <f aca="false">H23+F24+G24</f>
        <v>0</v>
      </c>
      <c r="J24" s="96"/>
      <c r="K24" s="96"/>
      <c r="L24" s="97"/>
      <c r="M24" s="98"/>
    </row>
    <row r="25" s="80" customFormat="true" ht="12.75" hidden="false" customHeight="false" outlineLevel="0" collapsed="false">
      <c r="B25" s="101" t="s">
        <v>80</v>
      </c>
      <c r="C25" s="101"/>
      <c r="D25" s="79"/>
      <c r="E25" s="79" t="n">
        <v>-600</v>
      </c>
      <c r="F25" s="79"/>
      <c r="G25" s="79"/>
      <c r="H25" s="79" t="n">
        <f aca="false">H24+F25+G25</f>
        <v>0</v>
      </c>
      <c r="J25" s="96"/>
      <c r="K25" s="96"/>
      <c r="L25" s="97"/>
      <c r="M25" s="98"/>
    </row>
    <row r="26" s="80" customFormat="true" ht="12.75" hidden="false" customHeight="false" outlineLevel="0" collapsed="false">
      <c r="B26" s="101" t="s">
        <v>81</v>
      </c>
      <c r="C26" s="101"/>
      <c r="D26" s="79"/>
      <c r="E26" s="79" t="n">
        <v>-800</v>
      </c>
      <c r="F26" s="79"/>
      <c r="G26" s="79"/>
      <c r="H26" s="79" t="n">
        <f aca="false">H25+F26+G26</f>
        <v>0</v>
      </c>
      <c r="J26" s="96"/>
      <c r="K26" s="96"/>
      <c r="L26" s="97"/>
      <c r="M26" s="98"/>
    </row>
    <row r="27" s="80" customFormat="true" ht="12.75" hidden="false" customHeight="false" outlineLevel="0" collapsed="false">
      <c r="B27" s="3" t="s">
        <v>107</v>
      </c>
      <c r="C27" s="3"/>
      <c r="D27" s="79" t="n">
        <v>15000</v>
      </c>
      <c r="E27" s="79"/>
      <c r="F27" s="79"/>
      <c r="G27" s="79"/>
      <c r="H27" s="79" t="n">
        <f aca="false">H26+F27+G27</f>
        <v>0</v>
      </c>
    </row>
    <row r="28" s="80" customFormat="true" ht="12.75" hidden="false" customHeight="false" outlineLevel="0" collapsed="false">
      <c r="D28" s="79"/>
      <c r="E28" s="79"/>
      <c r="F28" s="79"/>
      <c r="G28" s="79"/>
      <c r="H28" s="79" t="n">
        <f aca="false">H27+F28+G28</f>
        <v>0</v>
      </c>
    </row>
    <row r="29" customFormat="false" ht="12.75" hidden="false" customHeight="false" outlineLevel="0" collapsed="false">
      <c r="A29" s="102"/>
      <c r="B29" s="103" t="s">
        <v>108</v>
      </c>
      <c r="C29" s="103"/>
      <c r="H29" s="79" t="n">
        <f aca="false">H28+F29+G29</f>
        <v>0</v>
      </c>
      <c r="I29" s="80"/>
      <c r="J29" s="80"/>
    </row>
    <row r="30" customFormat="false" ht="12.75" hidden="false" customHeight="false" outlineLevel="0" collapsed="false">
      <c r="A30" s="102"/>
      <c r="H30" s="79" t="n">
        <f aca="false">H29+F30+G30</f>
        <v>0</v>
      </c>
    </row>
    <row r="31" s="80" customFormat="true" ht="12.75" hidden="false" customHeight="false" outlineLevel="0" collapsed="false">
      <c r="A31" s="0"/>
      <c r="B31" s="0"/>
      <c r="C31" s="0"/>
      <c r="D31" s="79"/>
      <c r="E31" s="79"/>
      <c r="F31" s="79"/>
      <c r="G31" s="79"/>
      <c r="H31" s="79" t="n">
        <f aca="false">H30+F31+G31</f>
        <v>0</v>
      </c>
      <c r="I31" s="0"/>
      <c r="J31" s="0"/>
    </row>
    <row r="32" s="80" customFormat="true" ht="12.75" hidden="false" customHeight="false" outlineLevel="0" collapsed="false">
      <c r="B32" s="103"/>
      <c r="C32" s="103"/>
      <c r="D32" s="79"/>
      <c r="E32" s="79"/>
      <c r="F32" s="79"/>
      <c r="G32" s="79"/>
      <c r="H32" s="79"/>
      <c r="J32" s="96"/>
      <c r="K32" s="96"/>
      <c r="L32" s="97"/>
      <c r="M32" s="98"/>
    </row>
    <row r="33" s="80" customFormat="true" ht="12.75" hidden="false" customHeight="false" outlineLevel="0" collapsed="false">
      <c r="A33" s="100"/>
      <c r="D33" s="79"/>
      <c r="E33" s="79"/>
      <c r="F33" s="79"/>
      <c r="G33" s="79"/>
      <c r="H33" s="79"/>
    </row>
    <row r="34" s="79" customFormat="true" ht="12.75" hidden="false" customHeight="false" outlineLevel="0" collapsed="false">
      <c r="A34" s="90"/>
      <c r="B34" s="80"/>
      <c r="C34" s="80"/>
      <c r="I34" s="80"/>
      <c r="J34" s="80"/>
      <c r="K34" s="80"/>
      <c r="L34" s="80"/>
      <c r="M34" s="80"/>
      <c r="N34" s="80"/>
    </row>
    <row r="35" s="79" customFormat="true" ht="12.75" hidden="false" customHeight="false" outlineLevel="0" collapsed="false">
      <c r="B35" s="104"/>
      <c r="K35" s="80"/>
      <c r="L35" s="80"/>
      <c r="M35" s="80"/>
      <c r="N35" s="80"/>
    </row>
    <row r="36" customFormat="false" ht="12.75" hidden="false" customHeight="false" outlineLevel="0" collapsed="false">
      <c r="A36" s="105"/>
      <c r="B36" s="106" t="s">
        <v>83</v>
      </c>
      <c r="C36" s="105"/>
      <c r="E36" s="79" t="n">
        <f aca="false">SUM(E37:E48)</f>
        <v>0</v>
      </c>
      <c r="I36" s="79"/>
      <c r="J36" s="79"/>
    </row>
    <row r="37" s="79" customFormat="true" ht="13.8" hidden="false" customHeight="false" outlineLevel="0" collapsed="false">
      <c r="A37" s="0"/>
      <c r="B37" s="0"/>
      <c r="C37" s="0"/>
      <c r="E37" s="107" t="s">
        <v>84</v>
      </c>
      <c r="I37" s="0"/>
      <c r="J37" s="0"/>
      <c r="K37" s="80"/>
      <c r="L37" s="80"/>
      <c r="M37" s="80"/>
      <c r="N37" s="80"/>
    </row>
    <row r="38" s="79" customFormat="true" ht="12.75" hidden="false" customHeight="false" outlineLevel="0" collapsed="false">
      <c r="A38" s="90"/>
      <c r="K38" s="80"/>
      <c r="L38" s="80"/>
      <c r="M38" s="80"/>
      <c r="N38" s="80"/>
    </row>
    <row r="39" s="79" customFormat="true" ht="12.75" hidden="false" customHeight="false" outlineLevel="0" collapsed="false">
      <c r="A39" s="90"/>
      <c r="K39" s="80"/>
      <c r="L39" s="80"/>
      <c r="M39" s="80"/>
      <c r="N39" s="80"/>
    </row>
    <row r="40" s="79" customFormat="true" ht="12.75" hidden="false" customHeight="false" outlineLevel="0" collapsed="false">
      <c r="A40" s="90"/>
      <c r="K40" s="80"/>
      <c r="L40" s="80"/>
      <c r="M40" s="80"/>
      <c r="N40" s="80"/>
    </row>
    <row r="41" customFormat="false" ht="12.75" hidden="false" customHeight="false" outlineLevel="0" collapsed="false">
      <c r="A41" s="90"/>
      <c r="B41" s="79"/>
      <c r="C41" s="79"/>
      <c r="I41" s="79"/>
      <c r="J41" s="79"/>
    </row>
    <row r="42" s="79" customFormat="true" ht="12.75" hidden="false" customHeight="false" outlineLevel="0" collapsed="false">
      <c r="A42" s="0"/>
      <c r="B42" s="0"/>
      <c r="C42" s="0"/>
      <c r="I42" s="0"/>
      <c r="J42" s="0"/>
      <c r="K42" s="80"/>
      <c r="L42" s="80"/>
      <c r="M42" s="80"/>
      <c r="N42" s="80"/>
    </row>
    <row r="43" s="79" customFormat="true" ht="12.75" hidden="false" customHeight="false" outlineLevel="0" collapsed="false">
      <c r="A43" s="102"/>
      <c r="B43" s="108"/>
      <c r="C43" s="108"/>
      <c r="K43" s="80"/>
      <c r="L43" s="80"/>
      <c r="M43" s="80"/>
      <c r="N43" s="80"/>
    </row>
    <row r="44" s="79" customFormat="true" ht="12.75" hidden="false" customHeight="false" outlineLevel="0" collapsed="false">
      <c r="A44" s="102"/>
      <c r="B44" s="108"/>
      <c r="C44" s="108"/>
      <c r="K44" s="80"/>
      <c r="L44" s="80"/>
      <c r="M44" s="80"/>
      <c r="N44" s="80"/>
    </row>
    <row r="45" s="79" customFormat="true" ht="12.75" hidden="false" customHeight="false" outlineLevel="0" collapsed="false">
      <c r="A45" s="102"/>
      <c r="B45" s="109"/>
      <c r="C45" s="108"/>
      <c r="K45" s="80"/>
      <c r="L45" s="80"/>
      <c r="M45" s="80"/>
      <c r="N45" s="80"/>
    </row>
    <row r="46" s="79" customFormat="true" ht="12.75" hidden="false" customHeight="false" outlineLevel="0" collapsed="false">
      <c r="A46" s="102"/>
      <c r="B46" s="109"/>
      <c r="C46" s="108"/>
      <c r="K46" s="80"/>
      <c r="L46" s="80"/>
      <c r="M46" s="80"/>
      <c r="N46" s="80"/>
    </row>
    <row r="47" s="79" customFormat="true" ht="12.75" hidden="false" customHeight="false" outlineLevel="0" collapsed="false">
      <c r="A47" s="102"/>
      <c r="B47" s="109"/>
      <c r="K47" s="80"/>
      <c r="L47" s="80"/>
      <c r="M47" s="80"/>
      <c r="N47" s="80"/>
    </row>
    <row r="48" s="79" customFormat="true" ht="12.75" hidden="false" customHeight="false" outlineLevel="0" collapsed="false">
      <c r="A48" s="102"/>
      <c r="B48" s="109"/>
      <c r="C48" s="108"/>
      <c r="K48" s="80"/>
      <c r="L48" s="80"/>
      <c r="M48" s="80"/>
      <c r="N48" s="80"/>
    </row>
    <row r="49" s="79" customFormat="true" ht="12.75" hidden="false" customHeight="false" outlineLevel="0" collapsed="false">
      <c r="A49" s="102"/>
      <c r="B49" s="3"/>
      <c r="K49" s="80"/>
      <c r="L49" s="80"/>
      <c r="M49" s="80"/>
      <c r="N49" s="80"/>
    </row>
    <row r="50" s="79" customFormat="true" ht="12.75" hidden="false" customHeight="false" outlineLevel="0" collapsed="false">
      <c r="A50" s="102"/>
      <c r="B50" s="108"/>
      <c r="C50" s="108"/>
      <c r="K50" s="80"/>
      <c r="L50" s="80"/>
      <c r="M50" s="80"/>
      <c r="N50" s="80"/>
    </row>
    <row r="51" s="79" customFormat="true" ht="12.75" hidden="false" customHeight="false" outlineLevel="0" collapsed="false">
      <c r="A51" s="105"/>
      <c r="B51" s="106" t="s">
        <v>85</v>
      </c>
      <c r="C51" s="105"/>
      <c r="E51" s="79" t="n">
        <f aca="false">SUM(E52:E70)</f>
        <v>0</v>
      </c>
      <c r="K51" s="80"/>
      <c r="L51" s="80"/>
      <c r="M51" s="80"/>
      <c r="N51" s="80"/>
    </row>
    <row r="52" s="79" customFormat="true" ht="12.75" hidden="false" customHeight="false" outlineLevel="0" collapsed="false">
      <c r="A52" s="102"/>
      <c r="B52" s="108"/>
      <c r="C52" s="108"/>
      <c r="K52" s="80"/>
      <c r="L52" s="80"/>
      <c r="M52" s="80"/>
      <c r="N52" s="80"/>
    </row>
    <row r="53" s="79" customFormat="true" ht="12.75" hidden="false" customHeight="false" outlineLevel="0" collapsed="false">
      <c r="A53" s="102"/>
      <c r="B53" s="108"/>
      <c r="C53" s="108"/>
      <c r="K53" s="80"/>
      <c r="L53" s="80"/>
      <c r="M53" s="80"/>
      <c r="N53" s="80"/>
    </row>
    <row r="54" s="79" customFormat="true" ht="12.75" hidden="false" customHeight="false" outlineLevel="0" collapsed="false">
      <c r="A54" s="102"/>
      <c r="B54" s="3"/>
      <c r="C54" s="108"/>
      <c r="K54" s="80"/>
      <c r="L54" s="80"/>
      <c r="M54" s="80"/>
      <c r="N54" s="80"/>
    </row>
    <row r="55" s="79" customFormat="true" ht="12.75" hidden="false" customHeight="false" outlineLevel="0" collapsed="false">
      <c r="A55" s="102"/>
      <c r="B55" s="3"/>
      <c r="C55" s="108"/>
      <c r="K55" s="80"/>
      <c r="L55" s="80"/>
      <c r="M55" s="80"/>
      <c r="N55" s="80"/>
    </row>
    <row r="56" s="79" customFormat="true" ht="12.75" hidden="false" customHeight="false" outlineLevel="0" collapsed="false">
      <c r="A56" s="102"/>
      <c r="B56" s="3"/>
      <c r="C56" s="108"/>
      <c r="K56" s="80"/>
      <c r="L56" s="80"/>
      <c r="M56" s="80"/>
      <c r="N56" s="80"/>
    </row>
    <row r="57" s="79" customFormat="true" ht="12.75" hidden="false" customHeight="false" outlineLevel="0" collapsed="false">
      <c r="A57" s="102"/>
      <c r="B57" s="3"/>
      <c r="C57" s="108"/>
      <c r="K57" s="80"/>
      <c r="L57" s="80"/>
      <c r="M57" s="80"/>
      <c r="N57" s="80"/>
    </row>
    <row r="58" s="79" customFormat="true" ht="12.75" hidden="false" customHeight="false" outlineLevel="0" collapsed="false">
      <c r="A58" s="102"/>
      <c r="B58" s="3"/>
      <c r="C58" s="108"/>
      <c r="K58" s="80"/>
      <c r="L58" s="80"/>
      <c r="M58" s="80"/>
      <c r="N58" s="80"/>
    </row>
    <row r="59" s="79" customFormat="true" ht="12.75" hidden="false" customHeight="false" outlineLevel="0" collapsed="false">
      <c r="A59" s="102"/>
      <c r="B59" s="3"/>
      <c r="C59" s="108"/>
      <c r="K59" s="80"/>
      <c r="L59" s="80"/>
      <c r="M59" s="80"/>
      <c r="N59" s="80"/>
    </row>
    <row r="60" s="79" customFormat="true" ht="12.75" hidden="false" customHeight="false" outlineLevel="0" collapsed="false">
      <c r="A60" s="102"/>
      <c r="B60" s="3"/>
      <c r="C60" s="108"/>
      <c r="K60" s="80"/>
      <c r="L60" s="80"/>
      <c r="M60" s="80"/>
      <c r="N60" s="80"/>
    </row>
    <row r="61" s="79" customFormat="true" ht="12.75" hidden="false" customHeight="false" outlineLevel="0" collapsed="false">
      <c r="A61" s="102"/>
      <c r="B61" s="3"/>
      <c r="C61" s="108"/>
      <c r="K61" s="80"/>
      <c r="L61" s="80"/>
      <c r="M61" s="80"/>
      <c r="N61" s="80"/>
    </row>
    <row r="62" s="79" customFormat="true" ht="12.75" hidden="false" customHeight="false" outlineLevel="0" collapsed="false">
      <c r="A62" s="102"/>
      <c r="B62" s="3"/>
      <c r="C62" s="108"/>
      <c r="K62" s="80"/>
      <c r="L62" s="80"/>
      <c r="M62" s="80"/>
      <c r="N62" s="80"/>
    </row>
    <row r="63" s="79" customFormat="true" ht="12.75" hidden="false" customHeight="false" outlineLevel="0" collapsed="false">
      <c r="A63" s="102"/>
      <c r="B63" s="3"/>
      <c r="C63" s="108"/>
      <c r="K63" s="80"/>
      <c r="L63" s="80"/>
      <c r="M63" s="80"/>
      <c r="N63" s="80"/>
    </row>
    <row r="64" s="79" customFormat="true" ht="12.75" hidden="false" customHeight="false" outlineLevel="0" collapsed="false">
      <c r="A64" s="102" t="n">
        <v>45649</v>
      </c>
      <c r="B64" s="3" t="s">
        <v>86</v>
      </c>
      <c r="C64" s="108"/>
      <c r="K64" s="80"/>
      <c r="L64" s="80"/>
      <c r="M64" s="80"/>
      <c r="N64" s="80"/>
    </row>
    <row r="65" s="79" customFormat="true" ht="13.8" hidden="false" customHeight="false" outlineLevel="0" collapsed="false">
      <c r="A65" s="102"/>
      <c r="B65" s="3"/>
      <c r="C65" s="108"/>
      <c r="E65" s="107" t="s">
        <v>84</v>
      </c>
      <c r="K65" s="80"/>
      <c r="L65" s="80"/>
      <c r="M65" s="80"/>
      <c r="N65" s="80"/>
    </row>
    <row r="66" s="79" customFormat="true" ht="12.75" hidden="false" customHeight="false" outlineLevel="0" collapsed="false">
      <c r="A66" s="102"/>
      <c r="B66" s="3"/>
      <c r="C66" s="108"/>
      <c r="K66" s="80"/>
      <c r="L66" s="80"/>
      <c r="M66" s="80"/>
      <c r="N66" s="80"/>
    </row>
    <row r="67" s="79" customFormat="true" ht="12.75" hidden="false" customHeight="false" outlineLevel="0" collapsed="false">
      <c r="A67" s="102"/>
      <c r="B67" s="3"/>
      <c r="C67" s="108"/>
      <c r="K67" s="80"/>
      <c r="L67" s="80"/>
      <c r="M67" s="80"/>
      <c r="N67" s="80"/>
    </row>
    <row r="68" s="79" customFormat="true" ht="12.75" hidden="false" customHeight="false" outlineLevel="0" collapsed="false">
      <c r="A68" s="102"/>
      <c r="B68" s="3"/>
      <c r="C68" s="108"/>
      <c r="K68" s="80"/>
      <c r="L68" s="80"/>
      <c r="M68" s="80"/>
      <c r="N68" s="80"/>
    </row>
    <row r="69" s="79" customFormat="true" ht="12.75" hidden="false" customHeight="false" outlineLevel="0" collapsed="false">
      <c r="A69" s="102"/>
      <c r="B69" s="3"/>
      <c r="C69" s="108"/>
      <c r="K69" s="80"/>
      <c r="L69" s="80"/>
      <c r="M69" s="80"/>
      <c r="N69" s="80"/>
    </row>
    <row r="70" customFormat="false" ht="12.75" hidden="false" customHeight="false" outlineLevel="0" collapsed="false">
      <c r="A70" s="102"/>
      <c r="B70" s="3"/>
      <c r="C70" s="108"/>
      <c r="I70" s="79"/>
      <c r="J70" s="79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C2E6"/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00" colorId="64" zoomScale="145" zoomScaleNormal="145" zoomScalePageLayoutView="100" workbookViewId="0">
      <selection pane="topLeft" activeCell="A107" activeCellId="0" sqref="A107"/>
    </sheetView>
  </sheetViews>
  <sheetFormatPr defaultColWidth="12.2929687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79" width="11.57"/>
    <col collapsed="false" customWidth="false" hidden="false" outlineLevel="0" max="8" min="5" style="79" width="12.29"/>
    <col collapsed="false" customWidth="true" hidden="false" outlineLevel="0" max="10" min="10" style="0" width="27.43"/>
    <col collapsed="false" customWidth="true" hidden="false" outlineLevel="0" max="11" min="11" style="80" width="6.14"/>
    <col collapsed="false" customWidth="true" hidden="false" outlineLevel="0" max="12" min="12" style="80" width="14.57"/>
    <col collapsed="false" customWidth="false" hidden="false" outlineLevel="0" max="14" min="13" style="80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79" t="s">
        <v>28</v>
      </c>
      <c r="G1" s="79" t="s">
        <v>29</v>
      </c>
      <c r="H1" s="79" t="s">
        <v>3</v>
      </c>
    </row>
    <row r="2" customFormat="false" ht="12.75" hidden="false" customHeight="false" outlineLevel="0" collapsed="false">
      <c r="A2" s="3" t="s">
        <v>109</v>
      </c>
      <c r="C2" s="81" t="s">
        <v>67</v>
      </c>
      <c r="D2" s="79" t="n">
        <f aca="false">SUM(D4:D40)</f>
        <v>398664</v>
      </c>
      <c r="E2" s="79" t="n">
        <f aca="false">SUM(E4:E41)</f>
        <v>-55562.4</v>
      </c>
      <c r="F2" s="79" t="n">
        <f aca="false">SUM(F4:F40)</f>
        <v>290000</v>
      </c>
      <c r="G2" s="79" t="n">
        <f aca="false">SUM(G4:G36)</f>
        <v>-27502.4</v>
      </c>
      <c r="H2" s="79" t="n">
        <f aca="false">F2+G2</f>
        <v>262497.6</v>
      </c>
    </row>
    <row r="3" customFormat="false" ht="12.75" hidden="false" customHeight="false" outlineLevel="0" collapsed="false">
      <c r="B3" s="18"/>
    </row>
    <row r="4" customFormat="false" ht="12.75" hidden="false" customHeight="false" outlineLevel="0" collapsed="false">
      <c r="B4" s="42"/>
      <c r="H4" s="79" t="n">
        <f aca="false">H3+F4+G4</f>
        <v>0</v>
      </c>
    </row>
    <row r="5" customFormat="false" ht="12.75" hidden="false" customHeight="false" outlineLevel="0" collapsed="false">
      <c r="B5" s="42"/>
      <c r="H5" s="79" t="n">
        <f aca="false">H4+F5+G5</f>
        <v>0</v>
      </c>
    </row>
    <row r="6" customFormat="false" ht="12.75" hidden="false" customHeight="false" outlineLevel="0" collapsed="false">
      <c r="A6" s="82" t="n">
        <v>45660</v>
      </c>
      <c r="B6" s="83" t="s">
        <v>105</v>
      </c>
      <c r="C6" s="84"/>
      <c r="D6" s="85"/>
      <c r="E6" s="85"/>
      <c r="H6" s="79" t="n">
        <f aca="false">H5+F6+G6</f>
        <v>0</v>
      </c>
    </row>
    <row r="7" customFormat="false" ht="12.75" hidden="false" customHeight="false" outlineLevel="0" collapsed="false">
      <c r="A7" s="82" t="n">
        <v>45660</v>
      </c>
      <c r="B7" s="83" t="s">
        <v>110</v>
      </c>
      <c r="C7" s="87"/>
      <c r="D7" s="88" t="n">
        <v>353664</v>
      </c>
      <c r="E7" s="88"/>
      <c r="F7" s="89" t="n">
        <v>290000</v>
      </c>
      <c r="H7" s="79" t="n">
        <f aca="false">H6+F7+G7</f>
        <v>290000</v>
      </c>
    </row>
    <row r="8" customFormat="false" ht="12.75" hidden="false" customHeight="false" outlineLevel="0" collapsed="false">
      <c r="A8" s="82"/>
      <c r="B8" s="83" t="s">
        <v>111</v>
      </c>
      <c r="C8" s="87"/>
      <c r="D8" s="88"/>
      <c r="E8" s="88"/>
      <c r="F8" s="89"/>
    </row>
    <row r="9" customFormat="false" ht="12.75" hidden="false" customHeight="false" outlineLevel="0" collapsed="false">
      <c r="A9" s="86" t="n">
        <v>45660</v>
      </c>
      <c r="B9" s="83" t="s">
        <v>68</v>
      </c>
      <c r="C9" s="87"/>
      <c r="D9" s="88"/>
      <c r="E9" s="88" t="n">
        <f aca="false">E61</f>
        <v>0</v>
      </c>
      <c r="F9" s="89"/>
      <c r="G9" s="89" t="n">
        <f aca="false">E9</f>
        <v>0</v>
      </c>
      <c r="H9" s="79" t="n">
        <f aca="false">H7+F9+G9</f>
        <v>290000</v>
      </c>
    </row>
    <row r="10" customFormat="false" ht="12.75" hidden="false" customHeight="false" outlineLevel="0" collapsed="false">
      <c r="A10" s="82" t="n">
        <v>45660</v>
      </c>
      <c r="B10" s="83" t="s">
        <v>69</v>
      </c>
      <c r="C10" s="87"/>
      <c r="D10" s="88"/>
      <c r="E10" s="88" t="n">
        <f aca="false">E76</f>
        <v>-7885.34</v>
      </c>
      <c r="F10" s="89"/>
      <c r="G10" s="89" t="n">
        <f aca="false">E10</f>
        <v>-7885.34</v>
      </c>
      <c r="H10" s="79" t="n">
        <f aca="false">H9+F10+G10</f>
        <v>282114.66</v>
      </c>
    </row>
    <row r="11" customFormat="false" ht="12.75" hidden="false" customHeight="false" outlineLevel="0" collapsed="false">
      <c r="G11" s="89"/>
      <c r="H11" s="79" t="n">
        <f aca="false">H10+F11+G11</f>
        <v>282114.66</v>
      </c>
    </row>
    <row r="12" customFormat="false" ht="12.75" hidden="false" customHeight="false" outlineLevel="0" collapsed="false">
      <c r="A12" s="90"/>
      <c r="B12" s="91" t="s">
        <v>70</v>
      </c>
      <c r="C12" s="91"/>
      <c r="D12" s="92"/>
      <c r="E12" s="92" t="n">
        <v>-2117.06</v>
      </c>
      <c r="G12" s="79" t="n">
        <f aca="false">E12</f>
        <v>-2117.06</v>
      </c>
      <c r="H12" s="79" t="n">
        <f aca="false">H11+F12+G12</f>
        <v>279997.6</v>
      </c>
    </row>
    <row r="13" customFormat="false" ht="12.75" hidden="false" customHeight="false" outlineLevel="0" collapsed="false">
      <c r="B13" s="91" t="s">
        <v>71</v>
      </c>
      <c r="C13" s="91"/>
      <c r="D13" s="92"/>
      <c r="E13" s="92" t="n">
        <v>-17500</v>
      </c>
      <c r="G13" s="79" t="n">
        <f aca="false">E13</f>
        <v>-17500</v>
      </c>
      <c r="H13" s="79" t="n">
        <f aca="false">H12+F13+G13</f>
        <v>262497.6</v>
      </c>
    </row>
    <row r="14" customFormat="false" ht="12.75" hidden="false" customHeight="false" outlineLevel="0" collapsed="false">
      <c r="B14" s="93" t="s">
        <v>72</v>
      </c>
      <c r="C14" s="94"/>
      <c r="D14" s="92"/>
      <c r="E14" s="92" t="n">
        <v>0</v>
      </c>
      <c r="G14" s="79" t="n">
        <v>0</v>
      </c>
      <c r="H14" s="79" t="n">
        <f aca="false">H13+F14+G14</f>
        <v>262497.6</v>
      </c>
    </row>
    <row r="15" customFormat="false" ht="12.75" hidden="false" customHeight="false" outlineLevel="0" collapsed="false">
      <c r="A15" s="90"/>
      <c r="B15" s="94"/>
      <c r="C15" s="94"/>
      <c r="D15" s="92"/>
      <c r="E15" s="92"/>
      <c r="H15" s="79" t="n">
        <f aca="false">H14+F15+G15</f>
        <v>262497.6</v>
      </c>
    </row>
    <row r="16" customFormat="false" ht="12.75" hidden="false" customHeight="false" outlineLevel="0" collapsed="false">
      <c r="A16" s="90"/>
      <c r="B16" s="3"/>
      <c r="C16" s="3"/>
      <c r="H16" s="79" t="n">
        <f aca="false">H15+F16+G16</f>
        <v>262497.6</v>
      </c>
    </row>
    <row r="17" s="80" customFormat="true" ht="12.75" hidden="false" customHeight="false" outlineLevel="0" collapsed="false">
      <c r="A17" s="90"/>
      <c r="B17" s="95" t="s">
        <v>73</v>
      </c>
      <c r="C17" s="95"/>
      <c r="D17" s="92"/>
      <c r="E17" s="92" t="n">
        <v>-1000</v>
      </c>
      <c r="F17" s="79"/>
      <c r="G17" s="79"/>
      <c r="H17" s="79" t="n">
        <f aca="false">H16+F17+G17</f>
        <v>262497.6</v>
      </c>
    </row>
    <row r="18" s="80" customFormat="true" ht="12.75" hidden="false" customHeight="false" outlineLevel="0" collapsed="false">
      <c r="A18" s="90"/>
      <c r="B18" s="95" t="s">
        <v>74</v>
      </c>
      <c r="C18" s="95"/>
      <c r="D18" s="92"/>
      <c r="E18" s="92" t="n">
        <v>-200</v>
      </c>
      <c r="F18" s="79"/>
      <c r="G18" s="79"/>
      <c r="H18" s="79" t="n">
        <f aca="false">H17+F18+G18</f>
        <v>262497.6</v>
      </c>
    </row>
    <row r="19" s="80" customFormat="true" ht="12.75" hidden="false" customHeight="false" outlineLevel="0" collapsed="false">
      <c r="A19" s="90"/>
      <c r="B19" s="91" t="s">
        <v>75</v>
      </c>
      <c r="C19" s="91"/>
      <c r="D19" s="92"/>
      <c r="E19" s="92" t="n">
        <v>-200</v>
      </c>
      <c r="F19" s="79"/>
      <c r="G19" s="79"/>
      <c r="H19" s="79" t="n">
        <f aca="false">H18+F19+G19</f>
        <v>262497.6</v>
      </c>
    </row>
    <row r="20" s="80" customFormat="true" ht="12.75" hidden="false" customHeight="false" outlineLevel="0" collapsed="false">
      <c r="A20" s="90"/>
      <c r="B20" s="94" t="s">
        <v>76</v>
      </c>
      <c r="C20" s="94"/>
      <c r="D20" s="92" t="n">
        <v>15000</v>
      </c>
      <c r="E20" s="92"/>
      <c r="F20" s="79"/>
      <c r="G20" s="79"/>
      <c r="H20" s="79" t="n">
        <f aca="false">H19+F20+G20</f>
        <v>262497.6</v>
      </c>
      <c r="J20" s="96"/>
      <c r="K20" s="96"/>
      <c r="L20" s="97"/>
      <c r="M20" s="98"/>
    </row>
    <row r="21" s="80" customFormat="true" ht="12.75" hidden="false" customHeight="false" outlineLevel="0" collapsed="false">
      <c r="B21" s="94" t="s">
        <v>77</v>
      </c>
      <c r="C21" s="94"/>
      <c r="D21" s="92"/>
      <c r="E21" s="92" t="n">
        <v>-7500</v>
      </c>
      <c r="F21" s="79"/>
      <c r="G21" s="79"/>
      <c r="H21" s="79" t="n">
        <f aca="false">H20+F21+G21</f>
        <v>262497.6</v>
      </c>
      <c r="J21" s="96"/>
      <c r="K21" s="96"/>
      <c r="L21" s="97"/>
      <c r="M21" s="98"/>
    </row>
    <row r="22" s="80" customFormat="true" ht="12.75" hidden="false" customHeight="false" outlineLevel="0" collapsed="false">
      <c r="B22" s="94" t="s">
        <v>78</v>
      </c>
      <c r="C22" s="94"/>
      <c r="D22" s="92"/>
      <c r="E22" s="92" t="n">
        <v>-7500</v>
      </c>
      <c r="F22" s="79"/>
      <c r="G22" s="79"/>
      <c r="H22" s="79" t="n">
        <f aca="false">H21+F22+G22</f>
        <v>262497.6</v>
      </c>
      <c r="J22" s="96"/>
      <c r="K22" s="96"/>
      <c r="L22" s="97"/>
      <c r="M22" s="98"/>
    </row>
    <row r="23" s="80" customFormat="true" ht="12.75" hidden="false" customHeight="false" outlineLevel="0" collapsed="false">
      <c r="B23" s="94" t="s">
        <v>79</v>
      </c>
      <c r="C23" s="94"/>
      <c r="D23" s="92"/>
      <c r="E23" s="92" t="n">
        <v>-7500</v>
      </c>
      <c r="F23" s="79"/>
      <c r="G23" s="79"/>
      <c r="H23" s="79" t="n">
        <f aca="false">H22+F23+G23</f>
        <v>262497.6</v>
      </c>
      <c r="J23" s="96"/>
      <c r="K23" s="96"/>
      <c r="L23" s="97"/>
      <c r="M23" s="98"/>
    </row>
    <row r="24" s="80" customFormat="true" ht="12.75" hidden="false" customHeight="false" outlineLevel="0" collapsed="false">
      <c r="B24" s="3"/>
      <c r="C24" s="3"/>
      <c r="D24" s="79"/>
      <c r="E24" s="79"/>
      <c r="F24" s="79"/>
      <c r="G24" s="79"/>
      <c r="H24" s="79" t="n">
        <f aca="false">H23+F24+G24</f>
        <v>262497.6</v>
      </c>
      <c r="J24" s="96"/>
      <c r="K24" s="96"/>
      <c r="L24" s="97"/>
      <c r="M24" s="98"/>
    </row>
    <row r="25" s="80" customFormat="true" ht="12.75" hidden="false" customHeight="false" outlineLevel="0" collapsed="false">
      <c r="A25" s="99" t="n">
        <v>45655</v>
      </c>
      <c r="B25" s="94" t="s">
        <v>98</v>
      </c>
      <c r="C25" s="94" t="s">
        <v>112</v>
      </c>
      <c r="D25" s="92"/>
      <c r="E25" s="92" t="n">
        <v>-1380</v>
      </c>
      <c r="F25" s="79"/>
      <c r="G25" s="79"/>
      <c r="H25" s="79" t="n">
        <f aca="false">H24+F25+G25</f>
        <v>262497.6</v>
      </c>
      <c r="J25" s="96"/>
      <c r="K25" s="96"/>
      <c r="L25" s="97"/>
      <c r="M25" s="98"/>
    </row>
    <row r="26" s="80" customFormat="true" ht="12.75" hidden="false" customHeight="false" outlineLevel="0" collapsed="false">
      <c r="A26" s="100" t="n">
        <v>45686</v>
      </c>
      <c r="B26" s="3" t="s">
        <v>98</v>
      </c>
      <c r="C26" s="3" t="s">
        <v>113</v>
      </c>
      <c r="D26" s="79"/>
      <c r="E26" s="79" t="n">
        <v>-1380</v>
      </c>
      <c r="F26" s="79"/>
      <c r="G26" s="79"/>
      <c r="H26" s="79" t="n">
        <f aca="false">H25+F26+G26</f>
        <v>262497.6</v>
      </c>
      <c r="J26" s="96"/>
      <c r="K26" s="96"/>
      <c r="L26" s="97"/>
      <c r="M26" s="98"/>
    </row>
    <row r="27" s="80" customFormat="true" ht="12.75" hidden="false" customHeight="false" outlineLevel="0" collapsed="false">
      <c r="B27" s="101" t="s">
        <v>80</v>
      </c>
      <c r="C27" s="101"/>
      <c r="D27" s="79"/>
      <c r="E27" s="79" t="n">
        <v>-600</v>
      </c>
      <c r="F27" s="79"/>
      <c r="G27" s="79"/>
      <c r="H27" s="79" t="n">
        <f aca="false">H26+F27+G27</f>
        <v>262497.6</v>
      </c>
      <c r="J27" s="96"/>
      <c r="K27" s="96"/>
      <c r="L27" s="97"/>
      <c r="M27" s="98"/>
    </row>
    <row r="28" s="80" customFormat="true" ht="12.75" hidden="false" customHeight="false" outlineLevel="0" collapsed="false">
      <c r="B28" s="101" t="s">
        <v>81</v>
      </c>
      <c r="C28" s="101"/>
      <c r="D28" s="79"/>
      <c r="E28" s="79" t="n">
        <v>-800</v>
      </c>
      <c r="F28" s="79"/>
      <c r="G28" s="79"/>
      <c r="H28" s="79" t="n">
        <f aca="false">H27+F28+G28</f>
        <v>262497.6</v>
      </c>
      <c r="J28" s="96"/>
      <c r="K28" s="96"/>
      <c r="L28" s="97"/>
      <c r="M28" s="98"/>
    </row>
    <row r="29" s="80" customFormat="true" ht="12.75" hidden="false" customHeight="false" outlineLevel="0" collapsed="false">
      <c r="B29" s="110" t="s">
        <v>114</v>
      </c>
      <c r="C29" s="111"/>
      <c r="D29" s="112" t="n">
        <v>15000</v>
      </c>
      <c r="E29" s="79"/>
      <c r="F29" s="79"/>
      <c r="G29" s="79"/>
      <c r="H29" s="79" t="n">
        <f aca="false">H28+F29+G29</f>
        <v>262497.6</v>
      </c>
      <c r="J29" s="96"/>
      <c r="K29" s="96"/>
      <c r="L29" s="97"/>
      <c r="M29" s="98"/>
    </row>
    <row r="30" s="80" customFormat="true" ht="12.75" hidden="false" customHeight="false" outlineLevel="0" collapsed="false">
      <c r="B30" s="3" t="s">
        <v>115</v>
      </c>
      <c r="C30" s="3"/>
      <c r="D30" s="79" t="n">
        <v>15000</v>
      </c>
      <c r="E30" s="79"/>
      <c r="F30" s="79"/>
      <c r="G30" s="79"/>
      <c r="H30" s="79" t="n">
        <f aca="false">H29+F30+G30</f>
        <v>262497.6</v>
      </c>
    </row>
    <row r="31" s="80" customFormat="true" ht="12.75" hidden="false" customHeight="false" outlineLevel="0" collapsed="false">
      <c r="D31" s="79"/>
      <c r="E31" s="79"/>
      <c r="F31" s="79"/>
      <c r="G31" s="79"/>
      <c r="H31" s="79" t="n">
        <f aca="false">H30+F31+G31</f>
        <v>262497.6</v>
      </c>
    </row>
    <row r="32" s="80" customFormat="true" ht="12.75" hidden="false" customHeight="false" outlineLevel="0" collapsed="false">
      <c r="A32" s="102"/>
      <c r="B32" s="103" t="s">
        <v>116</v>
      </c>
      <c r="D32" s="79"/>
      <c r="E32" s="79"/>
      <c r="F32" s="79"/>
      <c r="G32" s="79"/>
      <c r="H32" s="79" t="n">
        <f aca="false">H31+F32+G32</f>
        <v>262497.6</v>
      </c>
    </row>
    <row r="33" customFormat="false" ht="12.75" hidden="false" customHeight="false" outlineLevel="0" collapsed="false">
      <c r="A33" s="102"/>
      <c r="H33" s="79" t="n">
        <f aca="false">H32+F33+G33</f>
        <v>262497.6</v>
      </c>
    </row>
    <row r="34" customFormat="false" ht="12.75" hidden="false" customHeight="false" outlineLevel="0" collapsed="false">
      <c r="H34" s="79" t="n">
        <f aca="false">H33+F34+G34</f>
        <v>262497.6</v>
      </c>
    </row>
    <row r="36" customFormat="false" ht="12.75" hidden="false" customHeight="false" outlineLevel="0" collapsed="false">
      <c r="A36" s="100"/>
      <c r="F36" s="113"/>
    </row>
    <row r="38" customFormat="false" ht="12.75" hidden="false" customHeight="false" outlineLevel="0" collapsed="false">
      <c r="A38" s="100"/>
    </row>
    <row r="39" customFormat="false" ht="12.75" hidden="false" customHeight="false" outlineLevel="0" collapsed="false">
      <c r="A39" s="100"/>
    </row>
    <row r="40" customFormat="false" ht="12.75" hidden="false" customHeight="false" outlineLevel="0" collapsed="false">
      <c r="A40" s="100"/>
    </row>
    <row r="41" customFormat="false" ht="12.75" hidden="false" customHeight="false" outlineLevel="0" collapsed="false">
      <c r="A41" s="100"/>
    </row>
    <row r="42" customFormat="false" ht="12.75" hidden="false" customHeight="false" outlineLevel="0" collapsed="false">
      <c r="B42" s="103"/>
      <c r="C42" s="103"/>
    </row>
    <row r="43" customFormat="false" ht="12.75" hidden="false" customHeight="false" outlineLevel="0" collapsed="false">
      <c r="B43" s="101" t="s">
        <v>117</v>
      </c>
      <c r="C43" s="103"/>
    </row>
    <row r="44" customFormat="false" ht="12.75" hidden="false" customHeight="false" outlineLevel="0" collapsed="false">
      <c r="B44" s="101" t="s">
        <v>118</v>
      </c>
      <c r="C44" s="103"/>
    </row>
    <row r="45" customFormat="false" ht="12.75" hidden="false" customHeight="false" outlineLevel="0" collapsed="false">
      <c r="B45" s="103" t="s">
        <v>119</v>
      </c>
      <c r="C45" s="103"/>
    </row>
    <row r="46" customFormat="false" ht="12.75" hidden="false" customHeight="false" outlineLevel="0" collapsed="false">
      <c r="B46" s="103" t="s">
        <v>120</v>
      </c>
      <c r="C46" s="103"/>
    </row>
    <row r="47" customFormat="false" ht="12.75" hidden="false" customHeight="false" outlineLevel="0" collapsed="false">
      <c r="B47" s="103" t="s">
        <v>121</v>
      </c>
      <c r="C47" s="103"/>
    </row>
    <row r="48" customFormat="false" ht="12.75" hidden="false" customHeight="false" outlineLevel="0" collapsed="false">
      <c r="B48" s="103"/>
      <c r="C48" s="103"/>
    </row>
    <row r="49" s="80" customFormat="true" ht="12.75" hidden="false" customHeight="false" outlineLevel="0" collapsed="false">
      <c r="F49" s="80" t="n">
        <f aca="false">E55</f>
        <v>93450</v>
      </c>
      <c r="H49" s="79"/>
      <c r="J49" s="96"/>
      <c r="K49" s="96"/>
      <c r="L49" s="97"/>
      <c r="M49" s="98"/>
    </row>
    <row r="50" s="80" customFormat="true" ht="12.75" hidden="false" customHeight="false" outlineLevel="0" collapsed="false">
      <c r="B50" s="114" t="s">
        <v>122</v>
      </c>
      <c r="C50" s="80" t="n">
        <v>8</v>
      </c>
      <c r="D50" s="96" t="n">
        <v>250</v>
      </c>
      <c r="E50" s="80" t="n">
        <f aca="false">D50*C50</f>
        <v>2000</v>
      </c>
      <c r="F50" s="80" t="n">
        <f aca="false">F49-E50</f>
        <v>91450</v>
      </c>
      <c r="G50" s="80" t="s">
        <v>123</v>
      </c>
      <c r="H50" s="79"/>
      <c r="J50" s="96"/>
      <c r="K50" s="96"/>
      <c r="L50" s="97"/>
      <c r="M50" s="98"/>
    </row>
    <row r="51" s="80" customFormat="true" ht="12.75" hidden="false" customHeight="false" outlineLevel="0" collapsed="false">
      <c r="B51" s="114" t="s">
        <v>124</v>
      </c>
      <c r="C51" s="96" t="n">
        <v>2</v>
      </c>
      <c r="D51" s="96" t="n">
        <v>250</v>
      </c>
      <c r="E51" s="80" t="n">
        <f aca="false">D51*C51</f>
        <v>500</v>
      </c>
      <c r="F51" s="80" t="n">
        <f aca="false">F50-E51</f>
        <v>90950</v>
      </c>
      <c r="G51" s="80" t="s">
        <v>123</v>
      </c>
      <c r="H51" s="79"/>
      <c r="J51" s="96"/>
      <c r="K51" s="96"/>
      <c r="L51" s="97"/>
      <c r="M51" s="98"/>
    </row>
    <row r="52" s="80" customFormat="true" ht="12.75" hidden="false" customHeight="false" outlineLevel="0" collapsed="false">
      <c r="B52" s="114" t="s">
        <v>125</v>
      </c>
      <c r="C52" s="80" t="n">
        <v>11</v>
      </c>
      <c r="D52" s="80" t="n">
        <v>250</v>
      </c>
      <c r="E52" s="80" t="n">
        <f aca="false">D52*C52</f>
        <v>2750</v>
      </c>
      <c r="F52" s="80" t="n">
        <f aca="false">F51-E52</f>
        <v>88200</v>
      </c>
      <c r="G52" s="80" t="s">
        <v>123</v>
      </c>
      <c r="H52" s="79"/>
      <c r="J52" s="96"/>
      <c r="K52" s="96"/>
      <c r="L52" s="97"/>
      <c r="M52" s="98"/>
    </row>
    <row r="53" s="80" customFormat="true" ht="12.75" hidden="false" customHeight="false" outlineLevel="0" collapsed="false">
      <c r="B53" s="114" t="s">
        <v>126</v>
      </c>
      <c r="C53" s="79" t="n">
        <v>1</v>
      </c>
      <c r="D53" s="79" t="n">
        <v>8595</v>
      </c>
      <c r="E53" s="79" t="n">
        <f aca="false">D53*C53</f>
        <v>8595</v>
      </c>
      <c r="F53" s="80" t="n">
        <f aca="false">F52-E53</f>
        <v>79605</v>
      </c>
      <c r="G53" s="3" t="s">
        <v>127</v>
      </c>
      <c r="H53" s="79"/>
      <c r="J53" s="96"/>
      <c r="K53" s="96"/>
      <c r="L53" s="97"/>
      <c r="M53" s="98"/>
    </row>
    <row r="54" s="80" customFormat="true" ht="12.75" hidden="false" customHeight="false" outlineLevel="0" collapsed="false">
      <c r="B54" s="114" t="s">
        <v>126</v>
      </c>
      <c r="C54" s="79" t="n">
        <v>9</v>
      </c>
      <c r="D54" s="79" t="n">
        <v>8845</v>
      </c>
      <c r="E54" s="79" t="n">
        <f aca="false">D54*C54</f>
        <v>79605</v>
      </c>
      <c r="F54" s="80" t="n">
        <f aca="false">F53-E54</f>
        <v>0</v>
      </c>
      <c r="G54" s="3" t="s">
        <v>127</v>
      </c>
      <c r="H54" s="79"/>
      <c r="J54" s="96"/>
      <c r="K54" s="96"/>
      <c r="L54" s="97"/>
      <c r="M54" s="98"/>
    </row>
    <row r="55" s="80" customFormat="true" ht="12.75" hidden="false" customHeight="false" outlineLevel="0" collapsed="false">
      <c r="B55" s="96"/>
      <c r="C55" s="96"/>
      <c r="D55" s="115" t="s">
        <v>67</v>
      </c>
      <c r="E55" s="116" t="n">
        <f aca="false">SUM(E50:E54)</f>
        <v>93450</v>
      </c>
      <c r="H55" s="79"/>
      <c r="J55" s="96"/>
      <c r="K55" s="96"/>
      <c r="L55" s="97"/>
      <c r="M55" s="98"/>
    </row>
    <row r="56" s="80" customFormat="true" ht="12.75" hidden="false" customHeight="false" outlineLevel="0" collapsed="false">
      <c r="B56" s="103"/>
      <c r="C56" s="103"/>
      <c r="D56" s="79"/>
      <c r="E56" s="79"/>
      <c r="F56" s="79"/>
      <c r="G56" s="79"/>
      <c r="H56" s="79"/>
      <c r="J56" s="96"/>
      <c r="K56" s="96"/>
      <c r="L56" s="97"/>
      <c r="M56" s="98"/>
    </row>
    <row r="57" s="80" customFormat="true" ht="12.75" hidden="false" customHeight="false" outlineLevel="0" collapsed="false">
      <c r="B57" s="103"/>
      <c r="C57" s="103"/>
      <c r="D57" s="79"/>
      <c r="E57" s="79"/>
      <c r="F57" s="79"/>
      <c r="G57" s="79"/>
      <c r="H57" s="79"/>
      <c r="J57" s="96"/>
      <c r="K57" s="96"/>
      <c r="L57" s="97"/>
      <c r="M57" s="98"/>
    </row>
    <row r="58" s="80" customFormat="true" ht="12.75" hidden="false" customHeight="false" outlineLevel="0" collapsed="false">
      <c r="A58" s="100"/>
      <c r="D58" s="79"/>
      <c r="E58" s="79"/>
      <c r="F58" s="79"/>
      <c r="G58" s="79"/>
      <c r="H58" s="79"/>
    </row>
    <row r="59" s="80" customFormat="true" ht="12.75" hidden="false" customHeight="false" outlineLevel="0" collapsed="false">
      <c r="A59" s="90"/>
      <c r="D59" s="79"/>
      <c r="E59" s="79"/>
      <c r="F59" s="79"/>
      <c r="G59" s="79"/>
      <c r="H59" s="79"/>
    </row>
    <row r="60" s="79" customFormat="true" ht="12.75" hidden="false" customHeight="false" outlineLevel="0" collapsed="false">
      <c r="B60" s="104"/>
      <c r="K60" s="80"/>
      <c r="L60" s="80"/>
      <c r="M60" s="80"/>
      <c r="N60" s="80"/>
    </row>
    <row r="61" s="79" customFormat="true" ht="12.75" hidden="false" customHeight="false" outlineLevel="0" collapsed="false">
      <c r="A61" s="105"/>
      <c r="B61" s="106" t="s">
        <v>83</v>
      </c>
      <c r="C61" s="105"/>
      <c r="E61" s="79" t="n">
        <f aca="false">SUM(E62:E73)</f>
        <v>0</v>
      </c>
      <c r="K61" s="80"/>
      <c r="L61" s="80"/>
      <c r="M61" s="80"/>
      <c r="N61" s="80"/>
    </row>
    <row r="62" customFormat="false" ht="13.8" hidden="false" customHeight="false" outlineLevel="0" collapsed="false">
      <c r="B62" s="0" t="s">
        <v>128</v>
      </c>
      <c r="E62" s="107" t="s">
        <v>84</v>
      </c>
    </row>
    <row r="63" s="79" customFormat="true" ht="12.75" hidden="false" customHeight="false" outlineLevel="0" collapsed="false">
      <c r="A63" s="90"/>
      <c r="K63" s="80"/>
      <c r="L63" s="80"/>
      <c r="M63" s="80"/>
      <c r="N63" s="80"/>
    </row>
    <row r="64" s="79" customFormat="true" ht="12.75" hidden="false" customHeight="false" outlineLevel="0" collapsed="false">
      <c r="A64" s="90"/>
      <c r="K64" s="80"/>
      <c r="L64" s="80"/>
      <c r="M64" s="80"/>
      <c r="N64" s="80"/>
    </row>
    <row r="65" s="79" customFormat="true" ht="12.75" hidden="false" customHeight="false" outlineLevel="0" collapsed="false">
      <c r="A65" s="90"/>
      <c r="K65" s="80"/>
      <c r="L65" s="80"/>
      <c r="M65" s="80"/>
      <c r="N65" s="80"/>
    </row>
    <row r="66" s="79" customFormat="true" ht="12.75" hidden="false" customHeight="false" outlineLevel="0" collapsed="false">
      <c r="A66" s="90"/>
      <c r="K66" s="80"/>
      <c r="L66" s="80"/>
      <c r="M66" s="80"/>
      <c r="N66" s="80"/>
    </row>
    <row r="68" s="79" customFormat="true" ht="12.75" hidden="false" customHeight="false" outlineLevel="0" collapsed="false">
      <c r="A68" s="102"/>
      <c r="B68" s="108"/>
      <c r="C68" s="108"/>
      <c r="K68" s="80"/>
      <c r="L68" s="80"/>
      <c r="M68" s="80"/>
      <c r="N68" s="80"/>
    </row>
    <row r="69" s="79" customFormat="true" ht="12.75" hidden="false" customHeight="false" outlineLevel="0" collapsed="false">
      <c r="A69" s="102"/>
      <c r="B69" s="108"/>
      <c r="C69" s="108"/>
      <c r="K69" s="80"/>
      <c r="L69" s="80"/>
      <c r="M69" s="80"/>
      <c r="N69" s="80"/>
    </row>
    <row r="70" s="79" customFormat="true" ht="12.75" hidden="false" customHeight="false" outlineLevel="0" collapsed="false">
      <c r="A70" s="102"/>
      <c r="B70" s="109"/>
      <c r="C70" s="108"/>
      <c r="K70" s="80"/>
      <c r="L70" s="80"/>
      <c r="M70" s="80"/>
      <c r="N70" s="80"/>
    </row>
    <row r="71" s="79" customFormat="true" ht="12.75" hidden="false" customHeight="false" outlineLevel="0" collapsed="false">
      <c r="A71" s="102"/>
      <c r="B71" s="109"/>
      <c r="C71" s="108"/>
      <c r="K71" s="80"/>
      <c r="L71" s="80"/>
      <c r="M71" s="80"/>
      <c r="N71" s="80"/>
    </row>
    <row r="72" s="79" customFormat="true" ht="12.75" hidden="false" customHeight="false" outlineLevel="0" collapsed="false">
      <c r="A72" s="102"/>
      <c r="B72" s="109"/>
      <c r="K72" s="80"/>
      <c r="L72" s="80"/>
      <c r="M72" s="80"/>
      <c r="N72" s="80"/>
    </row>
    <row r="73" s="79" customFormat="true" ht="12.75" hidden="false" customHeight="false" outlineLevel="0" collapsed="false">
      <c r="A73" s="102"/>
      <c r="B73" s="109"/>
      <c r="C73" s="108"/>
      <c r="K73" s="80"/>
      <c r="L73" s="80"/>
      <c r="M73" s="80"/>
      <c r="N73" s="80"/>
    </row>
    <row r="74" s="79" customFormat="true" ht="12.75" hidden="false" customHeight="false" outlineLevel="0" collapsed="false">
      <c r="A74" s="102"/>
      <c r="B74" s="3"/>
      <c r="K74" s="80"/>
      <c r="L74" s="80"/>
      <c r="M74" s="80"/>
      <c r="N74" s="80"/>
    </row>
    <row r="75" s="79" customFormat="true" ht="12.75" hidden="false" customHeight="false" outlineLevel="0" collapsed="false">
      <c r="A75" s="102"/>
      <c r="B75" s="108"/>
      <c r="C75" s="108"/>
      <c r="K75" s="80"/>
      <c r="L75" s="80"/>
      <c r="M75" s="80"/>
      <c r="N75" s="80"/>
    </row>
    <row r="76" s="79" customFormat="true" ht="12.75" hidden="false" customHeight="false" outlineLevel="0" collapsed="false">
      <c r="A76" s="105"/>
      <c r="B76" s="106" t="s">
        <v>85</v>
      </c>
      <c r="C76" s="105"/>
      <c r="E76" s="79" t="n">
        <f aca="false">SUM(E77:E95)</f>
        <v>-7885.34</v>
      </c>
      <c r="K76" s="80"/>
      <c r="L76" s="80"/>
      <c r="M76" s="80"/>
      <c r="N76" s="80"/>
    </row>
    <row r="77" s="79" customFormat="true" ht="12.75" hidden="false" customHeight="false" outlineLevel="0" collapsed="false">
      <c r="A77" s="102"/>
      <c r="B77" s="108"/>
      <c r="C77" s="108"/>
      <c r="K77" s="80"/>
      <c r="L77" s="80"/>
      <c r="M77" s="80"/>
      <c r="N77" s="80"/>
    </row>
    <row r="78" s="79" customFormat="true" ht="12.75" hidden="false" customHeight="false" outlineLevel="0" collapsed="false">
      <c r="A78" s="102" t="n">
        <v>45630</v>
      </c>
      <c r="B78" s="108" t="s">
        <v>129</v>
      </c>
      <c r="C78" s="108"/>
      <c r="E78" s="79" t="n">
        <v>-4408.95</v>
      </c>
      <c r="K78" s="80"/>
      <c r="L78" s="80"/>
      <c r="M78" s="80"/>
      <c r="N78" s="80"/>
    </row>
    <row r="79" s="79" customFormat="true" ht="12.75" hidden="false" customHeight="false" outlineLevel="0" collapsed="false">
      <c r="A79" s="102"/>
      <c r="B79" s="3" t="s">
        <v>130</v>
      </c>
      <c r="C79" s="108"/>
      <c r="E79" s="79" t="n">
        <v>-215.45</v>
      </c>
      <c r="K79" s="80"/>
      <c r="L79" s="80"/>
      <c r="M79" s="80"/>
      <c r="N79" s="80"/>
    </row>
    <row r="80" s="79" customFormat="true" ht="12.75" hidden="false" customHeight="false" outlineLevel="0" collapsed="false">
      <c r="A80" s="102" t="n">
        <v>45621</v>
      </c>
      <c r="B80" s="3" t="s">
        <v>131</v>
      </c>
      <c r="C80" s="108"/>
      <c r="E80" s="79" t="n">
        <v>-200</v>
      </c>
      <c r="K80" s="80"/>
      <c r="L80" s="80"/>
      <c r="M80" s="80"/>
      <c r="N80" s="80"/>
    </row>
    <row r="81" s="79" customFormat="true" ht="12.75" hidden="false" customHeight="false" outlineLevel="0" collapsed="false">
      <c r="A81" s="102" t="n">
        <v>45630</v>
      </c>
      <c r="B81" s="3" t="s">
        <v>132</v>
      </c>
      <c r="C81" s="108" t="n">
        <v>9239.03</v>
      </c>
      <c r="E81" s="79" t="n">
        <v>-250</v>
      </c>
      <c r="K81" s="80"/>
      <c r="L81" s="80"/>
      <c r="M81" s="80"/>
      <c r="N81" s="80"/>
    </row>
    <row r="82" s="79" customFormat="true" ht="12.75" hidden="false" customHeight="false" outlineLevel="0" collapsed="false">
      <c r="A82" s="102"/>
      <c r="B82" s="3" t="s">
        <v>130</v>
      </c>
      <c r="C82" s="108"/>
      <c r="E82" s="79" t="n">
        <v>-230.94</v>
      </c>
      <c r="K82" s="80"/>
      <c r="L82" s="80"/>
      <c r="M82" s="80"/>
      <c r="N82" s="80"/>
    </row>
    <row r="83" s="79" customFormat="true" ht="12.75" hidden="false" customHeight="false" outlineLevel="0" collapsed="false">
      <c r="A83" s="102"/>
      <c r="B83" s="3" t="s">
        <v>133</v>
      </c>
      <c r="C83" s="108"/>
      <c r="E83" s="79" t="n">
        <v>-600</v>
      </c>
      <c r="K83" s="80"/>
      <c r="L83" s="80"/>
      <c r="M83" s="80"/>
      <c r="N83" s="80"/>
    </row>
    <row r="84" s="79" customFormat="true" ht="12.75" hidden="false" customHeight="false" outlineLevel="0" collapsed="false">
      <c r="A84" s="102" t="n">
        <v>45633</v>
      </c>
      <c r="B84" s="3" t="s">
        <v>134</v>
      </c>
      <c r="C84" s="108"/>
      <c r="E84" s="79" t="n">
        <v>-200</v>
      </c>
      <c r="K84" s="80"/>
      <c r="L84" s="80"/>
      <c r="M84" s="80"/>
      <c r="N84" s="80"/>
    </row>
    <row r="85" s="79" customFormat="true" ht="12.75" hidden="false" customHeight="false" outlineLevel="0" collapsed="false">
      <c r="A85" s="102"/>
      <c r="B85" s="3" t="s">
        <v>135</v>
      </c>
      <c r="C85" s="108"/>
      <c r="E85" s="79" t="n">
        <v>-500</v>
      </c>
      <c r="K85" s="80"/>
      <c r="L85" s="80"/>
      <c r="M85" s="80"/>
      <c r="N85" s="80"/>
    </row>
    <row r="86" s="79" customFormat="true" ht="12.75" hidden="false" customHeight="false" outlineLevel="0" collapsed="false">
      <c r="A86" s="102"/>
      <c r="B86" s="3" t="s">
        <v>136</v>
      </c>
      <c r="C86" s="108"/>
      <c r="E86" s="79" t="n">
        <v>-630</v>
      </c>
      <c r="K86" s="80"/>
      <c r="L86" s="80"/>
      <c r="M86" s="80"/>
      <c r="N86" s="80"/>
    </row>
    <row r="87" s="79" customFormat="true" ht="12.75" hidden="false" customHeight="false" outlineLevel="0" collapsed="false">
      <c r="A87" s="102"/>
      <c r="B87" s="3" t="s">
        <v>137</v>
      </c>
      <c r="C87" s="108"/>
      <c r="E87" s="79" t="n">
        <v>-50</v>
      </c>
      <c r="K87" s="80"/>
      <c r="L87" s="80"/>
      <c r="M87" s="80"/>
      <c r="N87" s="80"/>
    </row>
    <row r="88" s="79" customFormat="true" ht="12.75" hidden="false" customHeight="false" outlineLevel="0" collapsed="false">
      <c r="A88" s="102"/>
      <c r="B88" s="3" t="s">
        <v>135</v>
      </c>
      <c r="C88" s="108"/>
      <c r="E88" s="79" t="n">
        <v>-500</v>
      </c>
      <c r="K88" s="80"/>
      <c r="L88" s="80"/>
      <c r="M88" s="80"/>
      <c r="N88" s="80"/>
    </row>
    <row r="89" s="79" customFormat="true" ht="12.75" hidden="false" customHeight="false" outlineLevel="0" collapsed="false">
      <c r="A89" s="102" t="n">
        <v>45649</v>
      </c>
      <c r="B89" s="3" t="s">
        <v>86</v>
      </c>
      <c r="C89" s="108"/>
      <c r="E89" s="79" t="n">
        <v>-100</v>
      </c>
      <c r="K89" s="80"/>
      <c r="L89" s="80"/>
      <c r="M89" s="80"/>
      <c r="N89" s="80"/>
    </row>
    <row r="90" s="79" customFormat="true" ht="13.8" hidden="false" customHeight="false" outlineLevel="0" collapsed="false">
      <c r="A90" s="102"/>
      <c r="B90" s="3"/>
      <c r="C90" s="108"/>
      <c r="E90" s="107" t="s">
        <v>84</v>
      </c>
      <c r="K90" s="80"/>
      <c r="L90" s="80"/>
      <c r="M90" s="80"/>
      <c r="N90" s="80"/>
    </row>
    <row r="91" s="79" customFormat="true" ht="12.75" hidden="false" customHeight="false" outlineLevel="0" collapsed="false">
      <c r="A91" s="102"/>
      <c r="B91" s="3"/>
      <c r="C91" s="108"/>
      <c r="K91" s="80"/>
      <c r="L91" s="80"/>
      <c r="M91" s="80"/>
      <c r="N91" s="80"/>
    </row>
    <row r="92" s="79" customFormat="true" ht="12.75" hidden="false" customHeight="false" outlineLevel="0" collapsed="false">
      <c r="A92" s="102"/>
      <c r="B92" s="3"/>
      <c r="C92" s="108"/>
      <c r="K92" s="80"/>
      <c r="L92" s="80"/>
      <c r="M92" s="80"/>
      <c r="N92" s="80"/>
    </row>
    <row r="93" s="79" customFormat="true" ht="12.75" hidden="false" customHeight="false" outlineLevel="0" collapsed="false">
      <c r="A93" s="102"/>
      <c r="B93" s="3"/>
      <c r="C93" s="108"/>
      <c r="K93" s="80"/>
      <c r="L93" s="80"/>
      <c r="M93" s="80"/>
      <c r="N93" s="80"/>
    </row>
    <row r="94" s="79" customFormat="true" ht="12.75" hidden="false" customHeight="false" outlineLevel="0" collapsed="false">
      <c r="A94" s="102"/>
      <c r="B94" s="3"/>
      <c r="C94" s="108"/>
      <c r="K94" s="80"/>
      <c r="L94" s="80"/>
      <c r="M94" s="80"/>
      <c r="N94" s="80"/>
    </row>
    <row r="95" s="79" customFormat="true" ht="12.75" hidden="false" customHeight="false" outlineLevel="0" collapsed="false">
      <c r="A95" s="102"/>
      <c r="B95" s="3"/>
      <c r="C95" s="108"/>
      <c r="K95" s="80"/>
      <c r="L95" s="80"/>
      <c r="M95" s="80"/>
      <c r="N95" s="80"/>
    </row>
    <row r="96" s="79" customFormat="true" ht="12.75" hidden="false" customHeight="false" outlineLevel="0" collapsed="false">
      <c r="A96" s="102"/>
      <c r="B96" s="3"/>
      <c r="K96" s="80"/>
      <c r="L96" s="80"/>
      <c r="M96" s="80"/>
      <c r="N96" s="80"/>
    </row>
    <row r="97" s="79" customFormat="true" ht="12.75" hidden="false" customHeight="false" outlineLevel="0" collapsed="false">
      <c r="A97" s="102"/>
      <c r="B97" s="3"/>
      <c r="C97" s="108"/>
      <c r="K97" s="80"/>
      <c r="L97" s="80"/>
      <c r="M97" s="80"/>
      <c r="N97" s="80"/>
    </row>
    <row r="98" s="79" customFormat="true" ht="12.75" hidden="false" customHeight="false" outlineLevel="0" collapsed="false">
      <c r="A98" s="102"/>
      <c r="B98" s="3"/>
      <c r="C98" s="108"/>
      <c r="K98" s="80"/>
      <c r="L98" s="80"/>
      <c r="M98" s="80"/>
      <c r="N98" s="80"/>
    </row>
    <row r="99" s="79" customFormat="true" ht="12.75" hidden="false" customHeight="false" outlineLevel="0" collapsed="false">
      <c r="A99" s="102"/>
      <c r="B99" s="3"/>
      <c r="C99" s="108"/>
      <c r="K99" s="80"/>
      <c r="L99" s="80"/>
      <c r="M99" s="80"/>
      <c r="N99" s="80"/>
    </row>
    <row r="101" s="79" customFormat="true" ht="12.75" hidden="false" customHeight="false" outlineLevel="0" collapsed="false">
      <c r="A101" s="117" t="s">
        <v>138</v>
      </c>
      <c r="B101" s="106" t="s">
        <v>139</v>
      </c>
      <c r="C101" s="105" t="n">
        <v>2025</v>
      </c>
      <c r="G101" s="79" t="n">
        <f aca="false">SUM(G105:G130)</f>
        <v>870694.71</v>
      </c>
      <c r="K101" s="80"/>
      <c r="L101" s="80"/>
      <c r="M101" s="80"/>
      <c r="N101" s="80"/>
    </row>
    <row r="102" s="79" customFormat="true" ht="12.75" hidden="false" customHeight="false" outlineLevel="0" collapsed="false">
      <c r="A102" s="117"/>
      <c r="B102" s="106"/>
      <c r="C102" s="105"/>
      <c r="K102" s="80"/>
      <c r="L102" s="80"/>
      <c r="M102" s="80"/>
      <c r="N102" s="80"/>
    </row>
    <row r="103" s="79" customFormat="true" ht="12.75" hidden="false" customHeight="false" outlineLevel="0" collapsed="false">
      <c r="A103" s="117"/>
      <c r="B103" s="106"/>
      <c r="C103" s="105"/>
      <c r="E103" s="79" t="s">
        <v>140</v>
      </c>
      <c r="K103" s="80"/>
      <c r="L103" s="80"/>
      <c r="M103" s="80"/>
      <c r="N103" s="80"/>
    </row>
    <row r="104" s="79" customFormat="true" ht="12.75" hidden="false" customHeight="false" outlineLevel="0" collapsed="false">
      <c r="A104" s="102"/>
      <c r="B104" s="79" t="s">
        <v>77</v>
      </c>
      <c r="G104" s="79" t="n">
        <v>0</v>
      </c>
      <c r="K104" s="80"/>
      <c r="L104" s="80"/>
      <c r="M104" s="80"/>
      <c r="N104" s="80"/>
    </row>
    <row r="105" s="79" customFormat="true" ht="12.75" hidden="false" customHeight="false" outlineLevel="0" collapsed="false">
      <c r="A105" s="102"/>
      <c r="B105" s="79" t="s">
        <v>78</v>
      </c>
      <c r="G105" s="79" t="n">
        <v>0</v>
      </c>
      <c r="K105" s="80"/>
      <c r="L105" s="80"/>
      <c r="M105" s="80"/>
      <c r="N105" s="80"/>
    </row>
    <row r="106" s="79" customFormat="true" ht="12.75" hidden="false" customHeight="false" outlineLevel="0" collapsed="false">
      <c r="A106" s="102" t="n">
        <v>45667</v>
      </c>
      <c r="B106" s="79" t="s">
        <v>141</v>
      </c>
      <c r="G106" s="79" t="n">
        <v>276330</v>
      </c>
      <c r="K106" s="80"/>
      <c r="L106" s="80"/>
      <c r="M106" s="80"/>
      <c r="N106" s="80"/>
    </row>
    <row r="107" s="79" customFormat="true" ht="12.75" hidden="false" customHeight="false" outlineLevel="0" collapsed="false">
      <c r="A107" s="102" t="n">
        <v>45667</v>
      </c>
      <c r="B107" s="79" t="s">
        <v>142</v>
      </c>
      <c r="C107" s="2"/>
      <c r="D107" s="2"/>
      <c r="G107" s="17" t="n">
        <v>17083</v>
      </c>
      <c r="K107" s="80"/>
      <c r="L107" s="80"/>
      <c r="M107" s="80"/>
      <c r="N107" s="80"/>
    </row>
    <row r="108" s="79" customFormat="true" ht="12.75" hidden="false" customHeight="false" outlineLevel="0" collapsed="false">
      <c r="A108" s="102"/>
      <c r="B108" s="79" t="s">
        <v>143</v>
      </c>
      <c r="C108" s="2"/>
      <c r="D108" s="2"/>
      <c r="G108" s="17"/>
      <c r="K108" s="80"/>
      <c r="L108" s="80"/>
      <c r="M108" s="80"/>
      <c r="N108" s="80"/>
    </row>
    <row r="109" s="79" customFormat="true" ht="12.75" hidden="false" customHeight="false" outlineLevel="0" collapsed="false">
      <c r="A109" s="102"/>
      <c r="C109" s="2"/>
      <c r="D109" s="2"/>
      <c r="G109" s="17"/>
      <c r="K109" s="80"/>
      <c r="L109" s="80"/>
      <c r="M109" s="80"/>
      <c r="N109" s="80"/>
    </row>
    <row r="110" s="79" customFormat="true" ht="12.75" hidden="false" customHeight="false" outlineLevel="0" collapsed="false">
      <c r="A110" s="102"/>
      <c r="C110" s="2"/>
      <c r="D110" s="2"/>
      <c r="G110" s="17"/>
      <c r="K110" s="80"/>
      <c r="L110" s="80"/>
      <c r="M110" s="80"/>
      <c r="N110" s="80"/>
    </row>
    <row r="111" s="79" customFormat="true" ht="14.9" hidden="false" customHeight="false" outlineLevel="0" collapsed="false">
      <c r="A111" s="102" t="n">
        <v>45553</v>
      </c>
      <c r="B111" s="84" t="s">
        <v>144</v>
      </c>
      <c r="C111" s="118" t="n">
        <v>40</v>
      </c>
      <c r="D111" s="119" t="n">
        <v>752.555618</v>
      </c>
      <c r="E111" s="120" t="n">
        <f aca="false">D111*C111</f>
        <v>30102.22472</v>
      </c>
      <c r="F111" s="79" t="n">
        <v>872</v>
      </c>
      <c r="G111" s="17" t="n">
        <f aca="false">F111*C111</f>
        <v>34880</v>
      </c>
      <c r="K111" s="80"/>
      <c r="L111" s="80"/>
      <c r="M111" s="80"/>
      <c r="N111" s="80"/>
    </row>
    <row r="112" s="79" customFormat="true" ht="14.4" hidden="false" customHeight="false" outlineLevel="0" collapsed="false">
      <c r="A112" s="102" t="n">
        <v>45667</v>
      </c>
      <c r="B112" s="84" t="s">
        <v>144</v>
      </c>
      <c r="C112" s="118" t="n">
        <v>100</v>
      </c>
      <c r="D112" s="119" t="n">
        <v>872.263665</v>
      </c>
      <c r="E112" s="120" t="n">
        <f aca="false">D112*C112</f>
        <v>87226.3665</v>
      </c>
      <c r="F112" s="79" t="n">
        <v>872</v>
      </c>
      <c r="G112" s="17" t="n">
        <f aca="false">F112*C112</f>
        <v>87200</v>
      </c>
      <c r="K112" s="80"/>
      <c r="L112" s="80"/>
      <c r="M112" s="80"/>
      <c r="N112" s="80"/>
    </row>
    <row r="113" s="79" customFormat="true" ht="14.9" hidden="false" customHeight="false" outlineLevel="0" collapsed="false">
      <c r="A113" s="102" t="n">
        <v>45620</v>
      </c>
      <c r="B113" s="84" t="s">
        <v>145</v>
      </c>
      <c r="C113" s="118" t="n">
        <v>4000</v>
      </c>
      <c r="D113" s="118" t="n">
        <v>32.48</v>
      </c>
      <c r="E113" s="120" t="n">
        <f aca="false">D113*C113</f>
        <v>129920</v>
      </c>
      <c r="F113" s="79" t="n">
        <v>31.01</v>
      </c>
      <c r="G113" s="17" t="n">
        <f aca="false">F113*C113</f>
        <v>124040</v>
      </c>
      <c r="K113" s="80"/>
      <c r="L113" s="80"/>
      <c r="M113" s="80"/>
      <c r="N113" s="80"/>
    </row>
    <row r="114" s="79" customFormat="true" ht="14.4" hidden="false" customHeight="false" outlineLevel="0" collapsed="false">
      <c r="A114" s="102" t="n">
        <v>45659</v>
      </c>
      <c r="B114" s="84" t="s">
        <v>145</v>
      </c>
      <c r="C114" s="118" t="n">
        <v>4000</v>
      </c>
      <c r="D114" s="119" t="n">
        <v>30.79</v>
      </c>
      <c r="E114" s="120" t="n">
        <f aca="false">D114*C114</f>
        <v>123160</v>
      </c>
      <c r="F114" s="79" t="n">
        <v>31.01</v>
      </c>
      <c r="G114" s="17" t="n">
        <f aca="false">F114*C114</f>
        <v>124040</v>
      </c>
      <c r="H114" s="17" t="n">
        <f aca="false">SUM(G111:G114)</f>
        <v>370160</v>
      </c>
      <c r="K114" s="80"/>
      <c r="L114" s="80"/>
      <c r="M114" s="80"/>
      <c r="N114" s="80"/>
    </row>
    <row r="115" s="79" customFormat="true" ht="12.75" hidden="false" customHeight="false" outlineLevel="0" collapsed="false">
      <c r="A115" s="102"/>
      <c r="C115" s="2"/>
      <c r="D115" s="2"/>
      <c r="E115" s="79" t="n">
        <f aca="false">SUM(E111:E114)</f>
        <v>370408.59122</v>
      </c>
      <c r="G115" s="17"/>
      <c r="H115" s="121" t="n">
        <f aca="false">(SUM(G111:G114))-(SUM(E111:E114))</f>
        <v>-248.591219999944</v>
      </c>
      <c r="K115" s="80"/>
      <c r="L115" s="80"/>
      <c r="M115" s="80"/>
      <c r="N115" s="80"/>
    </row>
    <row r="116" s="79" customFormat="true" ht="12.75" hidden="false" customHeight="false" outlineLevel="0" collapsed="false">
      <c r="A116" s="102"/>
      <c r="C116" s="2"/>
      <c r="D116" s="2"/>
      <c r="K116" s="80"/>
      <c r="L116" s="80"/>
      <c r="M116" s="80"/>
      <c r="N116" s="80"/>
    </row>
    <row r="117" s="79" customFormat="true" ht="12.75" hidden="false" customHeight="false" outlineLevel="0" collapsed="false">
      <c r="A117" s="102" t="n">
        <v>45345</v>
      </c>
      <c r="B117" s="84" t="s">
        <v>146</v>
      </c>
      <c r="C117" s="122" t="n">
        <v>125000</v>
      </c>
      <c r="D117" s="85" t="n">
        <v>1.039943</v>
      </c>
      <c r="E117" s="120" t="n">
        <f aca="false">D117*C117</f>
        <v>129992.875</v>
      </c>
      <c r="F117" s="123" t="n">
        <v>0.803022</v>
      </c>
      <c r="G117" s="17" t="n">
        <f aca="false">F117*C117</f>
        <v>100377.75</v>
      </c>
      <c r="K117" s="80"/>
      <c r="L117" s="80"/>
      <c r="M117" s="80"/>
      <c r="N117" s="80"/>
    </row>
    <row r="118" s="79" customFormat="true" ht="14.9" hidden="false" customHeight="false" outlineLevel="0" collapsed="false">
      <c r="A118" s="102" t="n">
        <v>45400</v>
      </c>
      <c r="B118" s="84" t="s">
        <v>147</v>
      </c>
      <c r="C118" s="118" t="n">
        <v>10</v>
      </c>
      <c r="D118" s="85" t="n">
        <v>135</v>
      </c>
      <c r="E118" s="120" t="n">
        <f aca="false">D118*C118</f>
        <v>1350</v>
      </c>
      <c r="F118" s="79" t="n">
        <v>127.3</v>
      </c>
      <c r="G118" s="17" t="n">
        <f aca="false">F118*C118</f>
        <v>1273</v>
      </c>
      <c r="K118" s="80"/>
      <c r="L118" s="80"/>
      <c r="M118" s="80"/>
      <c r="N118" s="80"/>
    </row>
    <row r="119" s="79" customFormat="true" ht="14.9" hidden="false" customHeight="false" outlineLevel="0" collapsed="false">
      <c r="A119" s="102" t="n">
        <v>45418</v>
      </c>
      <c r="B119" s="84" t="s">
        <v>148</v>
      </c>
      <c r="C119" s="118" t="n">
        <v>38</v>
      </c>
      <c r="D119" s="85" t="n">
        <v>30.5</v>
      </c>
      <c r="E119" s="120" t="n">
        <f aca="false">D119*C119</f>
        <v>1159</v>
      </c>
      <c r="F119" s="79" t="n">
        <v>20.14</v>
      </c>
      <c r="G119" s="17" t="n">
        <f aca="false">F119*C119</f>
        <v>765.32</v>
      </c>
      <c r="K119" s="80"/>
      <c r="L119" s="80"/>
      <c r="M119" s="80"/>
      <c r="N119" s="80"/>
    </row>
    <row r="120" s="79" customFormat="true" ht="14.9" hidden="false" customHeight="false" outlineLevel="0" collapsed="false">
      <c r="A120" s="102" t="n">
        <v>45418</v>
      </c>
      <c r="B120" s="84" t="s">
        <v>149</v>
      </c>
      <c r="C120" s="118" t="n">
        <v>26</v>
      </c>
      <c r="D120" s="85" t="n">
        <v>37.115</v>
      </c>
      <c r="E120" s="120" t="n">
        <f aca="false">D120*C120</f>
        <v>964.99</v>
      </c>
      <c r="F120" s="79" t="n">
        <v>27.14</v>
      </c>
      <c r="G120" s="17" t="n">
        <f aca="false">F120*C120</f>
        <v>705.64</v>
      </c>
      <c r="H120" s="17" t="n">
        <f aca="false">SUM(G117:G120)</f>
        <v>103121.71</v>
      </c>
      <c r="K120" s="80"/>
      <c r="L120" s="80"/>
      <c r="M120" s="80"/>
      <c r="N120" s="80"/>
    </row>
    <row r="121" s="79" customFormat="true" ht="12.75" hidden="false" customHeight="false" outlineLevel="0" collapsed="false">
      <c r="A121" s="102"/>
      <c r="C121" s="2"/>
      <c r="D121" s="2"/>
      <c r="E121" s="79" t="n">
        <f aca="false">SUM(E117:E120)</f>
        <v>133466.865</v>
      </c>
      <c r="H121" s="121" t="n">
        <f aca="false">(SUM(G117:G120))-(SUM(E117:E120))</f>
        <v>-30345.155</v>
      </c>
      <c r="K121" s="80"/>
      <c r="L121" s="80"/>
      <c r="M121" s="80"/>
      <c r="N121" s="80"/>
    </row>
    <row r="122" s="79" customFormat="true" ht="12.75" hidden="false" customHeight="false" outlineLevel="0" collapsed="false">
      <c r="A122" s="102"/>
      <c r="E122" s="17"/>
      <c r="K122" s="80"/>
      <c r="L122" s="80"/>
      <c r="M122" s="80"/>
      <c r="N122" s="80"/>
    </row>
    <row r="123" s="79" customFormat="true" ht="14.9" hidden="false" customHeight="false" outlineLevel="0" collapsed="false">
      <c r="A123" s="102" t="n">
        <v>45509</v>
      </c>
      <c r="B123" s="84" t="s">
        <v>150</v>
      </c>
      <c r="C123" s="118" t="n">
        <v>1</v>
      </c>
      <c r="D123" s="85" t="n">
        <v>2500</v>
      </c>
      <c r="E123" s="120" t="n">
        <f aca="false">D123*C123</f>
        <v>2500</v>
      </c>
      <c r="F123" s="79" t="n">
        <v>3000</v>
      </c>
      <c r="G123" s="17" t="n">
        <f aca="false">C123*F123</f>
        <v>3000</v>
      </c>
      <c r="K123" s="80"/>
      <c r="L123" s="80"/>
      <c r="M123" s="80"/>
      <c r="N123" s="80"/>
    </row>
    <row r="124" s="79" customFormat="true" ht="14.9" hidden="false" customHeight="false" outlineLevel="0" collapsed="false">
      <c r="A124" s="102" t="n">
        <v>45509</v>
      </c>
      <c r="B124" s="84" t="s">
        <v>151</v>
      </c>
      <c r="C124" s="118" t="n">
        <v>16</v>
      </c>
      <c r="D124" s="85" t="n">
        <v>4100</v>
      </c>
      <c r="E124" s="120" t="n">
        <f aca="false">D124*C124</f>
        <v>65600</v>
      </c>
      <c r="F124" s="79" t="n">
        <v>5000</v>
      </c>
      <c r="G124" s="17" t="n">
        <f aca="false">C124*F124</f>
        <v>80000</v>
      </c>
      <c r="K124" s="80"/>
      <c r="L124" s="80"/>
      <c r="M124" s="80"/>
      <c r="N124" s="80"/>
    </row>
    <row r="125" s="79" customFormat="true" ht="14.9" hidden="false" customHeight="false" outlineLevel="0" collapsed="false">
      <c r="A125" s="102" t="n">
        <v>45509</v>
      </c>
      <c r="B125" s="84" t="s">
        <v>152</v>
      </c>
      <c r="C125" s="118" t="n">
        <v>1</v>
      </c>
      <c r="D125" s="85" t="n">
        <v>16200</v>
      </c>
      <c r="E125" s="120" t="n">
        <f aca="false">D125*C125</f>
        <v>16200</v>
      </c>
      <c r="F125" s="79" t="n">
        <v>20000</v>
      </c>
      <c r="G125" s="17" t="n">
        <f aca="false">C125*F125</f>
        <v>20000</v>
      </c>
      <c r="H125" s="17" t="n">
        <f aca="false">SUM(G123:G125)</f>
        <v>103000</v>
      </c>
      <c r="K125" s="80"/>
      <c r="L125" s="80"/>
      <c r="M125" s="80"/>
      <c r="N125" s="80"/>
    </row>
    <row r="126" s="79" customFormat="true" ht="12.75" hidden="false" customHeight="false" outlineLevel="0" collapsed="false">
      <c r="A126" s="102"/>
      <c r="C126" s="2"/>
      <c r="D126" s="2"/>
      <c r="E126" s="79" t="n">
        <f aca="false">SUM(E123:E125)</f>
        <v>84300</v>
      </c>
      <c r="H126" s="121" t="n">
        <f aca="false">(SUM(G123:G125))-(SUM(E123:E125))</f>
        <v>18700</v>
      </c>
      <c r="K126" s="80"/>
      <c r="L126" s="80"/>
      <c r="M126" s="80"/>
      <c r="N126" s="80"/>
    </row>
    <row r="127" s="79" customFormat="true" ht="12.75" hidden="false" customHeight="false" outlineLevel="0" collapsed="false">
      <c r="A127" s="102"/>
      <c r="B127" s="79" t="s">
        <v>153</v>
      </c>
      <c r="C127" s="124" t="n">
        <v>33.2506</v>
      </c>
      <c r="D127" s="2"/>
      <c r="G127" s="17"/>
      <c r="K127" s="80"/>
      <c r="L127" s="80"/>
      <c r="M127" s="80"/>
      <c r="N127" s="80"/>
    </row>
    <row r="128" s="79" customFormat="true" ht="12.75" hidden="false" customHeight="false" outlineLevel="0" collapsed="false">
      <c r="A128" s="102"/>
      <c r="B128" s="79" t="s">
        <v>154</v>
      </c>
      <c r="C128" s="124" t="n">
        <v>36.855</v>
      </c>
      <c r="D128" s="2"/>
      <c r="G128" s="17"/>
      <c r="K128" s="80"/>
      <c r="L128" s="80"/>
      <c r="M128" s="80"/>
      <c r="N128" s="80"/>
    </row>
    <row r="129" s="79" customFormat="true" ht="12.75" hidden="false" customHeight="false" outlineLevel="0" collapsed="false">
      <c r="A129" s="102"/>
      <c r="B129" s="79" t="s">
        <v>155</v>
      </c>
      <c r="C129" s="2"/>
      <c r="D129" s="2"/>
      <c r="G129" s="17" t="n">
        <v>0</v>
      </c>
      <c r="K129" s="80"/>
      <c r="L129" s="80"/>
      <c r="M129" s="80"/>
      <c r="N129" s="80"/>
    </row>
    <row r="130" s="79" customFormat="true" ht="12.75" hidden="false" customHeight="false" outlineLevel="0" collapsed="false">
      <c r="A130" s="102"/>
      <c r="B130" s="79" t="s">
        <v>156</v>
      </c>
      <c r="C130" s="2"/>
      <c r="D130" s="2"/>
      <c r="G130" s="17" t="n">
        <v>1000</v>
      </c>
      <c r="K130" s="80"/>
      <c r="L130" s="80"/>
      <c r="M130" s="80"/>
      <c r="N130" s="80"/>
    </row>
    <row r="131" s="79" customFormat="true" ht="12.75" hidden="false" customHeight="false" outlineLevel="0" collapsed="false">
      <c r="A131" s="102"/>
      <c r="E131" s="125"/>
      <c r="F131" s="126"/>
      <c r="G131" s="127" t="s">
        <v>157</v>
      </c>
      <c r="H131" s="128" t="n">
        <f aca="false">H126+H121+H115</f>
        <v>-11893.7462199999</v>
      </c>
      <c r="K131" s="80"/>
      <c r="L131" s="80"/>
      <c r="M131" s="80"/>
      <c r="N131" s="80"/>
    </row>
    <row r="132" s="79" customFormat="true" ht="12.75" hidden="false" customHeight="false" outlineLevel="0" collapsed="false">
      <c r="A132" s="102"/>
      <c r="C132" s="129"/>
      <c r="D132" s="3"/>
      <c r="G132" s="129"/>
      <c r="K132" s="80"/>
      <c r="L132" s="80"/>
      <c r="M132" s="80"/>
      <c r="N132" s="80"/>
    </row>
    <row r="133" s="79" customFormat="true" ht="12.75" hidden="false" customHeight="false" outlineLevel="0" collapsed="false">
      <c r="A133" s="102"/>
      <c r="C133" s="129"/>
      <c r="D133" s="18" t="s">
        <v>158</v>
      </c>
      <c r="G133" s="9" t="n">
        <f aca="false">SUM(G105:G130)</f>
        <v>870694.71</v>
      </c>
      <c r="K133" s="80"/>
      <c r="L133" s="80"/>
      <c r="M133" s="80"/>
      <c r="N133" s="80"/>
    </row>
    <row r="134" s="79" customFormat="true" ht="12.75" hidden="false" customHeight="false" outlineLevel="0" collapsed="false">
      <c r="A134" s="102"/>
      <c r="C134" s="130" t="str">
        <f aca="false">A101</f>
        <v>ŞUBAT 2025 e</v>
      </c>
      <c r="D134" s="131" t="s">
        <v>159</v>
      </c>
      <c r="G134" s="132"/>
      <c r="K134" s="80"/>
      <c r="L134" s="80"/>
      <c r="M134" s="80"/>
      <c r="N134" s="80"/>
    </row>
    <row r="135" s="79" customFormat="true" ht="12.75" hidden="false" customHeight="false" outlineLevel="0" collapsed="false">
      <c r="K135" s="80"/>
      <c r="L135" s="80"/>
      <c r="M135" s="80"/>
      <c r="N135" s="80"/>
    </row>
    <row r="136" s="79" customFormat="true" ht="12.75" hidden="false" customHeight="false" outlineLevel="0" collapsed="false">
      <c r="K136" s="80"/>
      <c r="L136" s="80"/>
      <c r="M136" s="80"/>
      <c r="N136" s="80"/>
    </row>
    <row r="137" s="79" customFormat="true" ht="12.75" hidden="false" customHeight="false" outlineLevel="0" collapsed="false">
      <c r="B137" s="79" t="s">
        <v>160</v>
      </c>
      <c r="K137" s="80"/>
      <c r="L137" s="80"/>
      <c r="M137" s="80"/>
      <c r="N137" s="80"/>
    </row>
    <row r="138" s="79" customFormat="true" ht="12.75" hidden="false" customHeight="false" outlineLevel="0" collapsed="false">
      <c r="A138" s="102" t="n">
        <v>45667</v>
      </c>
      <c r="B138" s="84" t="s">
        <v>161</v>
      </c>
      <c r="C138" s="122" t="n">
        <v>240</v>
      </c>
      <c r="D138" s="85" t="n">
        <v>872.263665</v>
      </c>
      <c r="E138" s="120" t="n">
        <f aca="false">D138*C138</f>
        <v>209343.2796</v>
      </c>
      <c r="F138" s="85" t="n">
        <v>872.263665</v>
      </c>
      <c r="G138" s="17" t="n">
        <f aca="false">F138*C138</f>
        <v>209343.2796</v>
      </c>
      <c r="K138" s="80"/>
      <c r="L138" s="80"/>
      <c r="M138" s="80"/>
      <c r="N138" s="80"/>
    </row>
    <row r="139" s="79" customFormat="true" ht="12.75" hidden="false" customHeight="false" outlineLevel="0" collapsed="false">
      <c r="A139" s="102"/>
      <c r="B139" s="84"/>
      <c r="C139" s="122"/>
      <c r="D139" s="85"/>
      <c r="E139" s="120"/>
      <c r="F139" s="85"/>
      <c r="G139" s="17"/>
      <c r="K139" s="80"/>
      <c r="L139" s="80"/>
      <c r="M139" s="80"/>
      <c r="N139" s="80"/>
    </row>
    <row r="140" s="79" customFormat="true" ht="12.75" hidden="false" customHeight="false" outlineLevel="0" collapsed="false">
      <c r="A140" s="102"/>
      <c r="B140" s="84"/>
      <c r="C140" s="122"/>
      <c r="D140" s="85"/>
      <c r="E140" s="120"/>
      <c r="F140" s="85"/>
      <c r="G140" s="17"/>
      <c r="K140" s="80"/>
      <c r="L140" s="80"/>
      <c r="M140" s="80"/>
      <c r="N140" s="80"/>
    </row>
    <row r="141" s="79" customFormat="true" ht="12.75" hidden="false" customHeight="false" outlineLevel="0" collapsed="false">
      <c r="A141" s="102"/>
      <c r="B141" s="84"/>
      <c r="C141" s="122"/>
      <c r="D141" s="85"/>
      <c r="E141" s="120"/>
      <c r="F141" s="85"/>
      <c r="G141" s="17"/>
      <c r="K141" s="80"/>
      <c r="L141" s="80"/>
      <c r="M141" s="80"/>
      <c r="N141" s="80"/>
    </row>
    <row r="142" s="79" customFormat="true" ht="12.75" hidden="false" customHeight="false" outlineLevel="0" collapsed="false">
      <c r="A142" s="102"/>
      <c r="K142" s="80"/>
      <c r="L142" s="80"/>
      <c r="M142" s="80"/>
      <c r="N142" s="80"/>
    </row>
    <row r="143" customFormat="false" ht="12.75" hidden="false" customHeight="false" outlineLevel="0" collapsed="false">
      <c r="B143" s="0" t="s">
        <v>162</v>
      </c>
      <c r="E143" s="79" t="n">
        <v>13006</v>
      </c>
    </row>
    <row r="144" customFormat="false" ht="12.75" hidden="false" customHeight="false" outlineLevel="0" collapsed="false">
      <c r="B144" s="0" t="s">
        <v>163</v>
      </c>
      <c r="D144" s="78" t="n">
        <v>0.1575</v>
      </c>
      <c r="E144" s="79" t="n">
        <f aca="false">E143*D144</f>
        <v>2048.445</v>
      </c>
    </row>
    <row r="145" customFormat="false" ht="12.75" hidden="false" customHeight="false" outlineLevel="0" collapsed="false">
      <c r="B145" s="0" t="s">
        <v>164</v>
      </c>
      <c r="E145" s="79" t="n">
        <f aca="false">SUM(E143:E144)</f>
        <v>15054.445</v>
      </c>
    </row>
    <row r="1048576" customFormat="false" ht="12.8" hidden="false" customHeight="false" outlineLevel="0" collapsed="false"/>
  </sheetData>
  <conditionalFormatting sqref="F123:F125">
    <cfRule type="cellIs" priority="2" operator="lessThan" aboveAverage="0" equalAverage="0" bottom="0" percent="0" rank="0" text="" dxfId="0">
      <formula>D123</formula>
    </cfRule>
  </conditionalFormatting>
  <conditionalFormatting sqref="F118:F120">
    <cfRule type="cellIs" priority="3" operator="lessThan" aboveAverage="0" equalAverage="0" bottom="0" percent="0" rank="0" text="" dxfId="1">
      <formula>D118</formula>
    </cfRule>
  </conditionalFormatting>
  <conditionalFormatting sqref="F114">
    <cfRule type="cellIs" priority="4" operator="lessThan" aboveAverage="0" equalAverage="0" bottom="0" percent="0" rank="0" text="" dxfId="2">
      <formula>D114</formula>
    </cfRule>
  </conditionalFormatting>
  <conditionalFormatting sqref="F113">
    <cfRule type="cellIs" priority="5" operator="lessThan" aboveAverage="0" equalAverage="0" bottom="0" percent="0" rank="0" text="" dxfId="3">
      <formula>D113</formula>
    </cfRule>
  </conditionalFormatting>
  <conditionalFormatting sqref="F111:F112">
    <cfRule type="cellIs" priority="6" operator="lessThan" aboveAverage="0" equalAverage="0" bottom="0" percent="0" rank="0" text="" dxfId="4">
      <formula>D111</formula>
    </cfRule>
  </conditionalFormatting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9"/>
  <sheetViews>
    <sheetView showFormulas="false" showGridLines="true" showRowColHeaders="true" showZeros="true" rightToLeft="false" tabSelected="false" showOutlineSymbols="true" defaultGridColor="true" view="normal" topLeftCell="A58" colorId="64" zoomScale="175" zoomScaleNormal="175" zoomScalePageLayoutView="100" workbookViewId="0">
      <selection pane="topLeft" activeCell="C64" activeCellId="0" sqref="C64"/>
    </sheetView>
  </sheetViews>
  <sheetFormatPr defaultColWidth="8.57421875" defaultRowHeight="12.75" zeroHeight="false" outlineLevelRow="0" outlineLevelCol="0"/>
  <cols>
    <col collapsed="false" customWidth="true" hidden="false" outlineLevel="0" max="1" min="1" style="1" width="12.29"/>
    <col collapsed="false" customWidth="true" hidden="false" outlineLevel="0" max="2" min="2" style="0" width="31.29"/>
    <col collapsed="false" customWidth="true" hidden="false" outlineLevel="0" max="3" min="3" style="0" width="10.57"/>
    <col collapsed="false" customWidth="true" hidden="false" outlineLevel="0" max="6" min="4" style="2" width="12.29"/>
    <col collapsed="false" customWidth="true" hidden="false" outlineLevel="0" max="7" min="7" style="0" width="1.43"/>
    <col collapsed="false" customWidth="true" hidden="false" outlineLevel="0" max="8" min="8" style="0" width="35.43"/>
    <col collapsed="false" customWidth="true" hidden="false" outlineLevel="0" max="10" min="10" style="0" width="10.57"/>
  </cols>
  <sheetData>
    <row r="1" customFormat="false" ht="12.75" hidden="false" customHeight="false" outlineLevel="0" collapsed="false">
      <c r="C1" s="3"/>
      <c r="D1" s="4"/>
      <c r="E1" s="4"/>
    </row>
    <row r="2" customFormat="false" ht="27" hidden="false" customHeight="true" outlineLevel="0" collapsed="false">
      <c r="B2" s="5" t="n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customFormat="false" ht="12.75" hidden="false" customHeight="false" outlineLevel="0" collapsed="false">
      <c r="A5" s="1" t="n">
        <v>45291</v>
      </c>
      <c r="B5" s="8" t="s">
        <v>4</v>
      </c>
      <c r="F5" s="9" t="n">
        <v>1072</v>
      </c>
    </row>
    <row r="6" customFormat="false" ht="12.75" hidden="false" customHeight="false" outlineLevel="0" collapsed="false">
      <c r="A6" s="1" t="n">
        <v>45306</v>
      </c>
      <c r="B6" s="8" t="s">
        <v>165</v>
      </c>
      <c r="E6" s="2" t="n">
        <v>3450</v>
      </c>
      <c r="F6" s="2" t="n">
        <f aca="false">F5+D6-E6</f>
        <v>-2378</v>
      </c>
    </row>
    <row r="7" customFormat="false" ht="12.75" hidden="false" customHeight="false" outlineLevel="0" collapsed="false">
      <c r="A7" s="1" t="n">
        <v>45309</v>
      </c>
      <c r="B7" s="8" t="s">
        <v>166</v>
      </c>
      <c r="D7" s="2" t="n">
        <v>899</v>
      </c>
      <c r="F7" s="2" t="n">
        <f aca="false">F6+D7-E7</f>
        <v>-1479</v>
      </c>
    </row>
    <row r="8" customFormat="false" ht="12.75" hidden="false" customHeight="false" outlineLevel="0" collapsed="false">
      <c r="A8" s="1" t="n">
        <v>45309</v>
      </c>
      <c r="B8" s="8" t="s">
        <v>167</v>
      </c>
      <c r="D8" s="2" t="n">
        <v>1093.65</v>
      </c>
      <c r="F8" s="2" t="n">
        <f aca="false">F7+D8-E8</f>
        <v>-385.35</v>
      </c>
    </row>
    <row r="9" customFormat="false" ht="12.75" hidden="false" customHeight="false" outlineLevel="0" collapsed="false">
      <c r="A9" s="1" t="n">
        <v>45310</v>
      </c>
      <c r="B9" s="8" t="s">
        <v>168</v>
      </c>
      <c r="D9" s="2" t="n">
        <v>1000</v>
      </c>
      <c r="F9" s="2" t="n">
        <f aca="false">F8+D9-E9</f>
        <v>614.65</v>
      </c>
    </row>
    <row r="10" customFormat="false" ht="12.75" hidden="false" customHeight="false" outlineLevel="0" collapsed="false">
      <c r="A10" s="1" t="n">
        <v>45319</v>
      </c>
      <c r="B10" s="8" t="s">
        <v>169</v>
      </c>
      <c r="C10" s="0" t="n">
        <v>713.25</v>
      </c>
      <c r="F10" s="2" t="n">
        <f aca="false">F9+D10-E10</f>
        <v>614.65</v>
      </c>
    </row>
    <row r="11" customFormat="false" ht="12.75" hidden="false" customHeight="false" outlineLevel="0" collapsed="false">
      <c r="B11" s="8" t="s">
        <v>170</v>
      </c>
      <c r="D11" s="2" t="n">
        <v>1200</v>
      </c>
      <c r="F11" s="2" t="n">
        <f aca="false">F10+D11-E11</f>
        <v>1814.65</v>
      </c>
    </row>
    <row r="12" customFormat="false" ht="12.75" hidden="false" customHeight="false" outlineLevel="0" collapsed="false">
      <c r="A12" s="1" t="n">
        <v>45366</v>
      </c>
      <c r="B12" s="8" t="s">
        <v>171</v>
      </c>
      <c r="D12" s="2" t="n">
        <v>4100</v>
      </c>
      <c r="F12" s="2" t="n">
        <f aca="false">F11+D12-E12</f>
        <v>5914.65</v>
      </c>
    </row>
    <row r="13" customFormat="false" ht="12.75" hidden="false" customHeight="false" outlineLevel="0" collapsed="false">
      <c r="A13" s="1" t="n">
        <v>45366</v>
      </c>
      <c r="B13" s="8" t="s">
        <v>172</v>
      </c>
      <c r="E13" s="2" t="n">
        <v>6300</v>
      </c>
      <c r="F13" s="2" t="n">
        <f aca="false">F12+D13-E13</f>
        <v>-385.35</v>
      </c>
    </row>
    <row r="14" customFormat="false" ht="12.75" hidden="false" customHeight="false" outlineLevel="0" collapsed="false">
      <c r="A14" s="1" t="n">
        <v>45366</v>
      </c>
      <c r="B14" s="8" t="s">
        <v>173</v>
      </c>
      <c r="D14" s="2" t="n">
        <v>3450</v>
      </c>
      <c r="F14" s="2" t="n">
        <f aca="false">F13+D14-E14</f>
        <v>3064.65</v>
      </c>
    </row>
    <row r="15" customFormat="false" ht="12.75" hidden="false" customHeight="false" outlineLevel="0" collapsed="false">
      <c r="A15" s="1" t="n">
        <v>45366</v>
      </c>
      <c r="B15" s="8" t="s">
        <v>174</v>
      </c>
      <c r="E15" s="2" t="n">
        <v>3461</v>
      </c>
      <c r="F15" s="2" t="n">
        <f aca="false">F14+D15-E15</f>
        <v>-396.35</v>
      </c>
    </row>
    <row r="16" customFormat="false" ht="12.75" hidden="false" customHeight="false" outlineLevel="0" collapsed="false">
      <c r="A16" s="1" t="n">
        <v>45371</v>
      </c>
      <c r="B16" s="8" t="s">
        <v>175</v>
      </c>
      <c r="C16" s="0" t="n">
        <v>3350</v>
      </c>
      <c r="F16" s="2" t="n">
        <f aca="false">F15+D16-E16</f>
        <v>-396.35</v>
      </c>
    </row>
    <row r="17" customFormat="false" ht="12.75" hidden="false" customHeight="false" outlineLevel="0" collapsed="false">
      <c r="A17" s="1" t="n">
        <v>45412</v>
      </c>
      <c r="B17" s="8" t="s">
        <v>176</v>
      </c>
      <c r="E17" s="2" t="n">
        <v>500</v>
      </c>
      <c r="F17" s="2" t="n">
        <f aca="false">F16+D17-E17</f>
        <v>-896.35</v>
      </c>
    </row>
    <row r="18" customFormat="false" ht="12.75" hidden="false" customHeight="false" outlineLevel="0" collapsed="false">
      <c r="A18" s="1" t="n">
        <v>45398</v>
      </c>
      <c r="B18" s="8" t="s">
        <v>173</v>
      </c>
      <c r="D18" s="2" t="n">
        <v>3467</v>
      </c>
      <c r="E18" s="2" t="n">
        <v>3461</v>
      </c>
      <c r="F18" s="2" t="n">
        <f aca="false">F17+D18-E18</f>
        <v>-890.35</v>
      </c>
    </row>
    <row r="19" customFormat="false" ht="12.75" hidden="false" customHeight="false" outlineLevel="0" collapsed="false">
      <c r="B19" s="8" t="s">
        <v>177</v>
      </c>
      <c r="E19" s="2" t="n">
        <v>7680</v>
      </c>
      <c r="F19" s="2" t="n">
        <f aca="false">F18+D19-E19</f>
        <v>-8570.35</v>
      </c>
    </row>
    <row r="20" customFormat="false" ht="12.75" hidden="false" customHeight="false" outlineLevel="0" collapsed="false">
      <c r="A20" s="1" t="n">
        <v>45427</v>
      </c>
      <c r="B20" s="8" t="s">
        <v>178</v>
      </c>
      <c r="F20" s="2" t="n">
        <f aca="false">F19+D20-E20</f>
        <v>-8570.35</v>
      </c>
    </row>
    <row r="21" customFormat="false" ht="12.75" hidden="false" customHeight="false" outlineLevel="0" collapsed="false">
      <c r="A21" s="1" t="n">
        <v>45442</v>
      </c>
      <c r="B21" s="8" t="s">
        <v>179</v>
      </c>
      <c r="E21" s="2" t="n">
        <v>500</v>
      </c>
      <c r="F21" s="2" t="n">
        <f aca="false">F20+D21-E21</f>
        <v>-9070.35</v>
      </c>
    </row>
    <row r="22" customFormat="false" ht="12.75" hidden="false" customHeight="false" outlineLevel="0" collapsed="false">
      <c r="A22" s="1" t="n">
        <v>45442</v>
      </c>
      <c r="B22" s="3" t="s">
        <v>180</v>
      </c>
      <c r="C22" s="3"/>
      <c r="D22" s="17"/>
      <c r="E22" s="17" t="n">
        <v>120000</v>
      </c>
      <c r="F22" s="17" t="n">
        <f aca="false">F21+D22-E22</f>
        <v>-129070.35</v>
      </c>
    </row>
    <row r="23" customFormat="false" ht="12.75" hidden="false" customHeight="false" outlineLevel="0" collapsed="false">
      <c r="A23" s="1" t="n">
        <v>45442</v>
      </c>
      <c r="B23" s="3" t="s">
        <v>181</v>
      </c>
      <c r="C23" s="3"/>
      <c r="D23" s="17" t="n">
        <v>21000</v>
      </c>
      <c r="E23" s="17"/>
      <c r="F23" s="17" t="n">
        <f aca="false">F22+D23-E23</f>
        <v>-108070.35</v>
      </c>
    </row>
    <row r="24" customFormat="false" ht="12.75" hidden="false" customHeight="false" outlineLevel="0" collapsed="false">
      <c r="A24" s="1" t="n">
        <v>45458</v>
      </c>
      <c r="B24" s="8" t="s">
        <v>182</v>
      </c>
      <c r="D24" s="2" t="n">
        <v>3450</v>
      </c>
      <c r="F24" s="2" t="n">
        <f aca="false">F23+D24-E24</f>
        <v>-104620.35</v>
      </c>
    </row>
    <row r="25" customFormat="false" ht="12.75" hidden="false" customHeight="false" outlineLevel="0" collapsed="false">
      <c r="A25" s="1" t="n">
        <v>45458</v>
      </c>
      <c r="B25" s="8" t="s">
        <v>183</v>
      </c>
      <c r="E25" s="2" t="n">
        <v>3467</v>
      </c>
      <c r="F25" s="2" t="n">
        <f aca="false">F24+D25-E25</f>
        <v>-108087.35</v>
      </c>
    </row>
    <row r="26" customFormat="false" ht="12.75" hidden="false" customHeight="false" outlineLevel="0" collapsed="false">
      <c r="A26" s="1" t="n">
        <v>45453</v>
      </c>
      <c r="B26" s="8" t="s">
        <v>184</v>
      </c>
      <c r="C26" s="0" t="n">
        <v>1500</v>
      </c>
      <c r="F26" s="2" t="n">
        <f aca="false">F25+D26-E26</f>
        <v>-108087.35</v>
      </c>
    </row>
    <row r="27" customFormat="false" ht="12.75" hidden="false" customHeight="false" outlineLevel="0" collapsed="false">
      <c r="B27" s="8" t="s">
        <v>185</v>
      </c>
      <c r="C27" s="0" t="n">
        <v>1300</v>
      </c>
      <c r="F27" s="2" t="n">
        <f aca="false">F26+D27-E27</f>
        <v>-108087.35</v>
      </c>
    </row>
    <row r="28" customFormat="false" ht="12.75" hidden="false" customHeight="false" outlineLevel="0" collapsed="false">
      <c r="A28" s="1" t="n">
        <v>45470</v>
      </c>
      <c r="B28" s="8" t="s">
        <v>186</v>
      </c>
      <c r="D28" s="2" t="n">
        <v>20150</v>
      </c>
      <c r="F28" s="2" t="n">
        <f aca="false">F27+D28-E28</f>
        <v>-87937.35</v>
      </c>
    </row>
    <row r="29" customFormat="false" ht="12.75" hidden="false" customHeight="false" outlineLevel="0" collapsed="false">
      <c r="A29" s="1" t="n">
        <v>45473</v>
      </c>
      <c r="B29" s="8" t="s">
        <v>187</v>
      </c>
      <c r="E29" s="2" t="n">
        <v>500</v>
      </c>
      <c r="F29" s="2" t="n">
        <f aca="false">F28+D29-E29</f>
        <v>-88437.35</v>
      </c>
    </row>
    <row r="30" customFormat="false" ht="12.75" hidden="false" customHeight="false" outlineLevel="0" collapsed="false">
      <c r="A30" s="1" t="n">
        <v>45487</v>
      </c>
      <c r="B30" s="8" t="s">
        <v>188</v>
      </c>
      <c r="D30" s="2" t="n">
        <v>3500</v>
      </c>
      <c r="F30" s="2" t="n">
        <f aca="false">F29+D30-E30</f>
        <v>-84937.35</v>
      </c>
    </row>
    <row r="31" customFormat="false" ht="12.75" hidden="false" customHeight="false" outlineLevel="0" collapsed="false">
      <c r="A31" s="1" t="n">
        <v>45487</v>
      </c>
      <c r="B31" s="8" t="s">
        <v>189</v>
      </c>
      <c r="E31" s="2" t="n">
        <v>3465.81</v>
      </c>
      <c r="F31" s="2" t="n">
        <f aca="false">F30+D31-E31</f>
        <v>-88403.16</v>
      </c>
    </row>
    <row r="32" customFormat="false" ht="12.75" hidden="false" customHeight="false" outlineLevel="0" collapsed="false">
      <c r="A32" s="1" t="n">
        <v>45503</v>
      </c>
      <c r="B32" s="8" t="s">
        <v>190</v>
      </c>
      <c r="D32" s="71"/>
      <c r="E32" s="71" t="n">
        <v>3000</v>
      </c>
      <c r="F32" s="71" t="n">
        <f aca="false">F31+D32-E32</f>
        <v>-91403.16</v>
      </c>
    </row>
    <row r="33" customFormat="false" ht="12.75" hidden="false" customHeight="false" outlineLevel="0" collapsed="false">
      <c r="B33" s="3" t="s">
        <v>191</v>
      </c>
      <c r="C33" s="3"/>
      <c r="D33" s="133"/>
      <c r="E33" s="133"/>
      <c r="F33" s="133" t="n">
        <f aca="false">F32+D33-E33</f>
        <v>-91403.16</v>
      </c>
    </row>
    <row r="34" customFormat="false" ht="12.75" hidden="false" customHeight="false" outlineLevel="0" collapsed="false">
      <c r="B34" s="3"/>
      <c r="C34" s="3"/>
      <c r="D34" s="133"/>
      <c r="E34" s="133"/>
      <c r="F34" s="133"/>
    </row>
    <row r="35" customFormat="false" ht="12.75" hidden="false" customHeight="false" outlineLevel="0" collapsed="false">
      <c r="B35" s="134" t="s">
        <v>192</v>
      </c>
      <c r="C35" s="135"/>
      <c r="D35" s="136" t="n">
        <v>1466500</v>
      </c>
      <c r="E35" s="137"/>
      <c r="F35" s="138" t="n">
        <f aca="false">D35-E35</f>
        <v>1466500</v>
      </c>
    </row>
    <row r="36" customFormat="false" ht="12.75" hidden="false" customHeight="false" outlineLevel="0" collapsed="false">
      <c r="B36" s="139" t="s">
        <v>193</v>
      </c>
      <c r="D36" s="2" t="n">
        <v>11631</v>
      </c>
      <c r="E36" s="71"/>
      <c r="F36" s="140" t="n">
        <f aca="false">F35+D36-E36</f>
        <v>1478131</v>
      </c>
    </row>
    <row r="37" customFormat="false" ht="12.75" hidden="false" customHeight="false" outlineLevel="0" collapsed="false">
      <c r="B37" s="139" t="s">
        <v>194</v>
      </c>
      <c r="D37" s="2" t="n">
        <v>15500</v>
      </c>
      <c r="E37" s="71"/>
      <c r="F37" s="140" t="n">
        <f aca="false">F36+D37-E37</f>
        <v>1493631</v>
      </c>
    </row>
    <row r="38" customFormat="false" ht="12.75" hidden="false" customHeight="false" outlineLevel="0" collapsed="false">
      <c r="B38" s="141" t="s">
        <v>195</v>
      </c>
      <c r="C38" s="142"/>
      <c r="D38" s="143"/>
      <c r="E38" s="144"/>
      <c r="F38" s="145" t="n">
        <f aca="false">F37+D38-E38</f>
        <v>1493631</v>
      </c>
    </row>
    <row r="39" customFormat="false" ht="12.75" hidden="false" customHeight="false" outlineLevel="0" collapsed="false">
      <c r="E39" s="71"/>
      <c r="F39" s="146" t="n">
        <f aca="false">F38+D39-E39</f>
        <v>1493631</v>
      </c>
    </row>
    <row r="40" customFormat="false" ht="12.75" hidden="false" customHeight="false" outlineLevel="0" collapsed="false">
      <c r="B40" s="3" t="s">
        <v>196</v>
      </c>
      <c r="C40" s="3"/>
      <c r="D40" s="17"/>
      <c r="E40" s="133" t="n">
        <f aca="false">F33*-1</f>
        <v>91403.16</v>
      </c>
      <c r="F40" s="2" t="n">
        <f aca="false">F39+D40-E40</f>
        <v>1402227.84</v>
      </c>
    </row>
    <row r="41" customFormat="false" ht="12.75" hidden="false" customHeight="false" outlineLevel="0" collapsed="false">
      <c r="B41" s="8" t="s">
        <v>197</v>
      </c>
      <c r="E41" s="2" t="n">
        <v>11631</v>
      </c>
      <c r="F41" s="2" t="n">
        <f aca="false">F40+D41-E41</f>
        <v>1390596.84</v>
      </c>
    </row>
    <row r="42" customFormat="false" ht="12.75" hidden="false" customHeight="false" outlineLevel="0" collapsed="false">
      <c r="B42" s="8" t="s">
        <v>198</v>
      </c>
      <c r="E42" s="2" t="n">
        <v>15500</v>
      </c>
      <c r="F42" s="2" t="n">
        <f aca="false">F41+D42-E42</f>
        <v>1375096.84</v>
      </c>
    </row>
    <row r="43" customFormat="false" ht="12.75" hidden="false" customHeight="false" outlineLevel="0" collapsed="false">
      <c r="B43" s="8" t="s">
        <v>199</v>
      </c>
      <c r="D43" s="71"/>
      <c r="E43" s="2" t="n">
        <v>100000</v>
      </c>
      <c r="F43" s="2" t="n">
        <f aca="false">F42+D43-E43</f>
        <v>1275096.84</v>
      </c>
    </row>
    <row r="44" customFormat="false" ht="12.75" hidden="false" customHeight="false" outlineLevel="0" collapsed="false">
      <c r="B44" s="8" t="s">
        <v>200</v>
      </c>
      <c r="E44" s="2" t="n">
        <v>75000</v>
      </c>
      <c r="F44" s="2" t="n">
        <f aca="false">F43+D44-E44</f>
        <v>1200096.84</v>
      </c>
    </row>
    <row r="45" customFormat="false" ht="12.75" hidden="false" customHeight="false" outlineLevel="0" collapsed="false">
      <c r="B45" s="8" t="s">
        <v>201</v>
      </c>
      <c r="E45" s="2" t="n">
        <v>59783.84</v>
      </c>
      <c r="F45" s="2" t="n">
        <f aca="false">F44+D45-E45</f>
        <v>1140313</v>
      </c>
    </row>
    <row r="46" customFormat="false" ht="12.75" hidden="false" customHeight="false" outlineLevel="0" collapsed="false">
      <c r="B46" s="8" t="s">
        <v>202</v>
      </c>
      <c r="E46" s="2" t="n">
        <v>550000</v>
      </c>
      <c r="F46" s="2" t="n">
        <f aca="false">F45+D46-E46</f>
        <v>590313</v>
      </c>
    </row>
    <row r="47" customFormat="false" ht="12.75" hidden="false" customHeight="false" outlineLevel="0" collapsed="false">
      <c r="A47" s="1" t="n">
        <v>45509</v>
      </c>
      <c r="B47" s="3" t="s">
        <v>203</v>
      </c>
      <c r="F47" s="2" t="n">
        <f aca="false">F46+D47-E47</f>
        <v>590313</v>
      </c>
    </row>
    <row r="48" customFormat="false" ht="12.75" hidden="false" customHeight="false" outlineLevel="0" collapsed="false">
      <c r="B48" s="3" t="s">
        <v>204</v>
      </c>
      <c r="F48" s="2" t="n">
        <f aca="false">F47+D48-E48</f>
        <v>590313</v>
      </c>
    </row>
    <row r="49" customFormat="false" ht="12.75" hidden="false" customHeight="false" outlineLevel="0" collapsed="false">
      <c r="B49" s="3" t="s">
        <v>205</v>
      </c>
      <c r="F49" s="2" t="n">
        <f aca="false">F48+D49-E49</f>
        <v>590313</v>
      </c>
    </row>
    <row r="50" customFormat="false" ht="12.75" hidden="false" customHeight="false" outlineLevel="0" collapsed="false">
      <c r="B50" s="147" t="s">
        <v>206</v>
      </c>
      <c r="C50" s="147"/>
      <c r="D50" s="148"/>
      <c r="E50" s="148" t="n">
        <v>84313</v>
      </c>
      <c r="F50" s="2" t="n">
        <f aca="false">F49+D50-E50</f>
        <v>506000</v>
      </c>
    </row>
    <row r="51" customFormat="false" ht="12.75" hidden="false" customHeight="false" outlineLevel="0" collapsed="false">
      <c r="B51" s="8" t="s">
        <v>207</v>
      </c>
      <c r="E51" s="2" t="n">
        <v>68000</v>
      </c>
      <c r="F51" s="2" t="n">
        <f aca="false">F50+D51-E51</f>
        <v>438000</v>
      </c>
    </row>
    <row r="52" customFormat="false" ht="12.75" hidden="false" customHeight="false" outlineLevel="0" collapsed="false">
      <c r="F52" s="2" t="n">
        <f aca="false">F51+D52-E52</f>
        <v>438000</v>
      </c>
    </row>
    <row r="53" customFormat="false" ht="12.75" hidden="false" customHeight="false" outlineLevel="0" collapsed="false">
      <c r="F53" s="2" t="n">
        <f aca="false">F52+D53-E53</f>
        <v>438000</v>
      </c>
    </row>
    <row r="54" customFormat="false" ht="12.75" hidden="false" customHeight="false" outlineLevel="0" collapsed="false">
      <c r="A54" s="1" t="n">
        <v>45519</v>
      </c>
      <c r="B54" s="8" t="s">
        <v>208</v>
      </c>
      <c r="C54" s="8" t="s">
        <v>123</v>
      </c>
      <c r="E54" s="2" t="n">
        <v>30000</v>
      </c>
      <c r="F54" s="2" t="n">
        <f aca="false">F53+D54-E54</f>
        <v>408000</v>
      </c>
    </row>
    <row r="55" customFormat="false" ht="12.75" hidden="false" customHeight="false" outlineLevel="0" collapsed="false">
      <c r="B55" s="8" t="s">
        <v>209</v>
      </c>
      <c r="D55" s="2" t="n">
        <v>200</v>
      </c>
      <c r="F55" s="2" t="n">
        <f aca="false">F54+D55-E55</f>
        <v>408200</v>
      </c>
    </row>
    <row r="56" customFormat="false" ht="12.75" hidden="false" customHeight="false" outlineLevel="0" collapsed="false">
      <c r="B56" s="8" t="s">
        <v>210</v>
      </c>
      <c r="E56" s="2" t="n">
        <v>1100</v>
      </c>
      <c r="F56" s="2" t="n">
        <f aca="false">F55+D56-E56</f>
        <v>407100</v>
      </c>
    </row>
    <row r="57" customFormat="false" ht="12.75" hidden="false" customHeight="false" outlineLevel="0" collapsed="false">
      <c r="A57" s="149" t="n">
        <v>45536</v>
      </c>
      <c r="B57" s="150" t="s">
        <v>211</v>
      </c>
      <c r="C57" s="150" t="s">
        <v>123</v>
      </c>
      <c r="D57" s="151"/>
      <c r="E57" s="151" t="n">
        <v>5600</v>
      </c>
      <c r="F57" s="151" t="n">
        <f aca="false">F56+D57-E57</f>
        <v>401500</v>
      </c>
    </row>
    <row r="58" customFormat="false" ht="12.75" hidden="false" customHeight="false" outlineLevel="0" collapsed="false">
      <c r="A58" s="149" t="n">
        <v>45550</v>
      </c>
      <c r="B58" s="150" t="s">
        <v>212</v>
      </c>
      <c r="C58" s="150" t="s">
        <v>123</v>
      </c>
      <c r="D58" s="151"/>
      <c r="E58" s="151" t="n">
        <v>30000</v>
      </c>
      <c r="F58" s="151" t="n">
        <f aca="false">F57+D58-E58</f>
        <v>371500</v>
      </c>
    </row>
    <row r="59" customFormat="false" ht="12.75" hidden="false" customHeight="false" outlineLevel="0" collapsed="false">
      <c r="A59" s="149" t="n">
        <v>45565</v>
      </c>
      <c r="B59" s="69" t="s">
        <v>213</v>
      </c>
      <c r="C59" s="69" t="s">
        <v>214</v>
      </c>
      <c r="D59" s="71"/>
      <c r="E59" s="71" t="n">
        <v>6000</v>
      </c>
      <c r="F59" s="71" t="n">
        <f aca="false">F58+D59-E59</f>
        <v>365500</v>
      </c>
    </row>
    <row r="60" customFormat="false" ht="12.75" hidden="false" customHeight="false" outlineLevel="0" collapsed="false">
      <c r="A60" s="149" t="n">
        <v>45580</v>
      </c>
      <c r="B60" s="150" t="s">
        <v>215</v>
      </c>
      <c r="C60" s="150" t="s">
        <v>123</v>
      </c>
      <c r="D60" s="151"/>
      <c r="E60" s="151" t="n">
        <v>30000</v>
      </c>
      <c r="F60" s="151" t="n">
        <f aca="false">F59+D60-E60</f>
        <v>335500</v>
      </c>
    </row>
    <row r="61" customFormat="false" ht="12.75" hidden="false" customHeight="false" outlineLevel="0" collapsed="false">
      <c r="A61" s="149" t="n">
        <v>45595</v>
      </c>
      <c r="B61" s="69" t="s">
        <v>216</v>
      </c>
      <c r="C61" s="69" t="s">
        <v>214</v>
      </c>
      <c r="D61" s="71"/>
      <c r="E61" s="71" t="n">
        <v>6000</v>
      </c>
      <c r="F61" s="71" t="n">
        <f aca="false">F60+D61-E61</f>
        <v>329500</v>
      </c>
    </row>
    <row r="62" customFormat="false" ht="12.75" hidden="false" customHeight="false" outlineLevel="0" collapsed="false">
      <c r="A62" s="152" t="n">
        <v>45611</v>
      </c>
      <c r="B62" s="8" t="s">
        <v>217</v>
      </c>
      <c r="C62" s="69" t="s">
        <v>218</v>
      </c>
      <c r="E62" s="2" t="n">
        <v>35800</v>
      </c>
      <c r="F62" s="2" t="n">
        <f aca="false">F61+D62-E62</f>
        <v>293700</v>
      </c>
    </row>
    <row r="63" customFormat="false" ht="12.75" hidden="false" customHeight="false" outlineLevel="0" collapsed="false">
      <c r="A63" s="152"/>
      <c r="B63" s="8" t="s">
        <v>219</v>
      </c>
      <c r="C63" s="69"/>
      <c r="D63" s="2" t="n">
        <v>630</v>
      </c>
      <c r="F63" s="2" t="n">
        <f aca="false">F62+D63-E63</f>
        <v>294330</v>
      </c>
    </row>
    <row r="64" customFormat="false" ht="12.75" hidden="false" customHeight="false" outlineLevel="0" collapsed="false">
      <c r="A64" s="152" t="n">
        <v>45641</v>
      </c>
      <c r="B64" s="84" t="s">
        <v>220</v>
      </c>
      <c r="C64" s="84" t="s">
        <v>221</v>
      </c>
      <c r="D64" s="118"/>
      <c r="E64" s="118" t="n">
        <v>38000</v>
      </c>
      <c r="F64" s="9" t="n">
        <f aca="false">F63+D64-E64</f>
        <v>256330</v>
      </c>
    </row>
    <row r="65" customFormat="false" ht="12.75" hidden="false" customHeight="false" outlineLevel="0" collapsed="false">
      <c r="A65" s="1" t="n">
        <v>45672</v>
      </c>
      <c r="B65" s="8" t="s">
        <v>7</v>
      </c>
      <c r="C65" s="8" t="s">
        <v>6</v>
      </c>
      <c r="E65" s="2" t="n">
        <v>36500</v>
      </c>
      <c r="F65" s="2" t="n">
        <f aca="false">F64+D65-E65</f>
        <v>219830</v>
      </c>
    </row>
    <row r="66" customFormat="false" ht="12.75" hidden="false" customHeight="false" outlineLevel="0" collapsed="false">
      <c r="A66" s="1" t="n">
        <v>45703</v>
      </c>
      <c r="B66" s="8" t="s">
        <v>8</v>
      </c>
      <c r="C66" s="8" t="s">
        <v>6</v>
      </c>
      <c r="E66" s="2" t="n">
        <v>36500</v>
      </c>
      <c r="F66" s="2" t="n">
        <f aca="false">F65+D66-E66</f>
        <v>183330</v>
      </c>
    </row>
    <row r="67" customFormat="false" ht="12.75" hidden="false" customHeight="false" outlineLevel="0" collapsed="false">
      <c r="A67" s="1" t="n">
        <v>45731</v>
      </c>
      <c r="B67" s="8" t="s">
        <v>9</v>
      </c>
      <c r="C67" s="8" t="s">
        <v>6</v>
      </c>
      <c r="E67" s="2" t="n">
        <v>36500</v>
      </c>
      <c r="F67" s="2" t="n">
        <f aca="false">F66+D67-E67</f>
        <v>146830</v>
      </c>
    </row>
    <row r="68" customFormat="false" ht="12.75" hidden="false" customHeight="false" outlineLevel="0" collapsed="false">
      <c r="A68" s="1" t="n">
        <v>45762</v>
      </c>
      <c r="B68" s="8" t="s">
        <v>10</v>
      </c>
      <c r="C68" s="8" t="s">
        <v>6</v>
      </c>
      <c r="E68" s="2" t="n">
        <v>36500</v>
      </c>
      <c r="F68" s="2" t="n">
        <f aca="false">F67+D68-E68</f>
        <v>110330</v>
      </c>
    </row>
    <row r="69" customFormat="false" ht="12.75" hidden="false" customHeight="false" outlineLevel="0" collapsed="false">
      <c r="A69" s="1" t="n">
        <v>45792</v>
      </c>
      <c r="B69" s="8" t="s">
        <v>11</v>
      </c>
      <c r="C69" s="8" t="s">
        <v>6</v>
      </c>
      <c r="E69" s="2" t="n">
        <v>36500</v>
      </c>
      <c r="F69" s="2" t="n">
        <f aca="false">F68+D69-E69</f>
        <v>73830</v>
      </c>
    </row>
    <row r="70" customFormat="false" ht="12.75" hidden="false" customHeight="false" outlineLevel="0" collapsed="false">
      <c r="A70" s="1" t="n">
        <v>45823</v>
      </c>
      <c r="B70" s="8" t="s">
        <v>12</v>
      </c>
      <c r="C70" s="8" t="s">
        <v>6</v>
      </c>
      <c r="E70" s="2" t="n">
        <v>36500</v>
      </c>
      <c r="F70" s="2" t="n">
        <f aca="false">F69+D70-E70</f>
        <v>37330</v>
      </c>
    </row>
    <row r="71" customFormat="false" ht="12.75" hidden="false" customHeight="false" outlineLevel="0" collapsed="false">
      <c r="A71" s="1" t="n">
        <v>45853</v>
      </c>
      <c r="B71" s="8" t="s">
        <v>13</v>
      </c>
      <c r="C71" s="8" t="s">
        <v>6</v>
      </c>
      <c r="E71" s="2" t="n">
        <v>36500</v>
      </c>
      <c r="F71" s="2" t="n">
        <f aca="false">F70+D71-E71</f>
        <v>830</v>
      </c>
    </row>
    <row r="72" customFormat="false" ht="12.75" hidden="false" customHeight="false" outlineLevel="0" collapsed="false">
      <c r="E72" s="13"/>
      <c r="F72" s="14" t="n">
        <f aca="false">F71+D72-E72</f>
        <v>830</v>
      </c>
    </row>
    <row r="73" customFormat="false" ht="12.75" hidden="false" customHeight="false" outlineLevel="0" collapsed="false">
      <c r="E73" s="15"/>
      <c r="F73" s="16" t="s">
        <v>14</v>
      </c>
    </row>
    <row r="79" customFormat="false" ht="12.75" hidden="false" customHeight="false" outlineLevel="0" collapsed="false">
      <c r="B79" s="8" t="s">
        <v>222</v>
      </c>
      <c r="D79" s="2" t="n">
        <v>1466500</v>
      </c>
      <c r="F79" s="2" t="n">
        <f aca="false">F78+D79-E79</f>
        <v>1466500</v>
      </c>
    </row>
    <row r="80" customFormat="false" ht="12.75" hidden="false" customHeight="false" outlineLevel="0" collapsed="false">
      <c r="B80" s="8" t="s">
        <v>197</v>
      </c>
      <c r="D80" s="2" t="n">
        <v>11631</v>
      </c>
      <c r="F80" s="2" t="n">
        <f aca="false">F79+D80-E80</f>
        <v>1478131</v>
      </c>
    </row>
    <row r="81" customFormat="false" ht="12.75" hidden="false" customHeight="false" outlineLevel="0" collapsed="false">
      <c r="B81" s="8" t="s">
        <v>223</v>
      </c>
      <c r="D81" s="2" t="n">
        <v>15500</v>
      </c>
      <c r="F81" s="2" t="n">
        <f aca="false">F80+D81-E81</f>
        <v>1493631</v>
      </c>
    </row>
    <row r="82" customFormat="false" ht="12.75" hidden="false" customHeight="false" outlineLevel="0" collapsed="false">
      <c r="F82" s="2" t="n">
        <f aca="false">F81+D82-E82</f>
        <v>1493631</v>
      </c>
    </row>
    <row r="83" customFormat="false" ht="12.75" hidden="false" customHeight="false" outlineLevel="0" collapsed="false">
      <c r="F83" s="2" t="n">
        <f aca="false">F82+D83-E83</f>
        <v>1493631</v>
      </c>
    </row>
    <row r="84" customFormat="false" ht="12.75" hidden="false" customHeight="false" outlineLevel="0" collapsed="false">
      <c r="B84" s="3" t="s">
        <v>224</v>
      </c>
      <c r="C84" s="3"/>
      <c r="D84" s="17"/>
      <c r="E84" s="17"/>
      <c r="F84" s="17" t="n">
        <f aca="false">F83+D84-E84</f>
        <v>1493631</v>
      </c>
    </row>
    <row r="86" customFormat="false" ht="12.75" hidden="false" customHeight="false" outlineLevel="0" collapsed="false">
      <c r="B86" s="153" t="s">
        <v>225</v>
      </c>
      <c r="C86" s="153" t="s">
        <v>226</v>
      </c>
      <c r="D86" s="154"/>
      <c r="E86" s="155" t="s">
        <v>227</v>
      </c>
      <c r="F86" s="155" t="s">
        <v>228</v>
      </c>
    </row>
    <row r="87" customFormat="false" ht="12.75" hidden="false" customHeight="false" outlineLevel="0" collapsed="false">
      <c r="F87" s="133" t="n">
        <f aca="false">F84+D87-E87</f>
        <v>1493631</v>
      </c>
    </row>
    <row r="88" customFormat="false" ht="12.75" hidden="false" customHeight="false" outlineLevel="0" collapsed="false">
      <c r="F88" s="2" t="n">
        <f aca="false">F87-E88</f>
        <v>1493631</v>
      </c>
    </row>
    <row r="89" customFormat="false" ht="12.75" hidden="false" customHeight="false" outlineLevel="0" collapsed="false">
      <c r="B89" s="8" t="s">
        <v>229</v>
      </c>
      <c r="C89" s="8" t="s">
        <v>230</v>
      </c>
      <c r="E89" s="2" t="n">
        <f aca="false">E44+E45</f>
        <v>134783.84</v>
      </c>
      <c r="F89" s="2" t="n">
        <f aca="false">F88-E89</f>
        <v>1358847.16</v>
      </c>
    </row>
    <row r="90" customFormat="false" ht="12.75" hidden="false" customHeight="false" outlineLevel="0" collapsed="false">
      <c r="F90" s="2" t="n">
        <f aca="false">F89-E90</f>
        <v>1358847.16</v>
      </c>
    </row>
    <row r="91" customFormat="false" ht="12.75" hidden="false" customHeight="false" outlineLevel="0" collapsed="false">
      <c r="B91" s="8" t="s">
        <v>231</v>
      </c>
      <c r="C91" s="8" t="s">
        <v>232</v>
      </c>
      <c r="E91" s="2" t="n">
        <v>100000</v>
      </c>
      <c r="F91" s="2" t="n">
        <f aca="false">F90-E91</f>
        <v>1258847.16</v>
      </c>
    </row>
    <row r="92" customFormat="false" ht="12.75" hidden="false" customHeight="false" outlineLevel="0" collapsed="false">
      <c r="F92" s="2" t="n">
        <f aca="false">F91-E92</f>
        <v>1258847.16</v>
      </c>
    </row>
    <row r="93" customFormat="false" ht="12.75" hidden="false" customHeight="false" outlineLevel="0" collapsed="false">
      <c r="B93" s="8" t="s">
        <v>193</v>
      </c>
      <c r="C93" s="8" t="s">
        <v>233</v>
      </c>
      <c r="E93" s="2" t="n">
        <v>11631</v>
      </c>
      <c r="F93" s="2" t="n">
        <f aca="false">F92-E93</f>
        <v>1247216.16</v>
      </c>
    </row>
    <row r="94" customFormat="false" ht="12.75" hidden="false" customHeight="false" outlineLevel="0" collapsed="false">
      <c r="B94" s="8" t="s">
        <v>194</v>
      </c>
      <c r="C94" s="8" t="s">
        <v>233</v>
      </c>
      <c r="E94" s="2" t="n">
        <v>15500</v>
      </c>
      <c r="F94" s="2" t="n">
        <f aca="false">F93-E94</f>
        <v>1231716.16</v>
      </c>
    </row>
    <row r="95" customFormat="false" ht="12.75" hidden="false" customHeight="false" outlineLevel="0" collapsed="false">
      <c r="B95" s="125"/>
      <c r="C95" s="156"/>
      <c r="D95" s="157" t="s">
        <v>234</v>
      </c>
      <c r="E95" s="146" t="n">
        <f aca="false">SUM(E89:E94)</f>
        <v>261914.84</v>
      </c>
    </row>
    <row r="97" customFormat="false" ht="12.75" hidden="false" customHeight="false" outlineLevel="0" collapsed="false">
      <c r="F97" s="17" t="n">
        <f aca="false">F94-E97</f>
        <v>1231716.16</v>
      </c>
    </row>
    <row r="98" customFormat="false" ht="12.75" hidden="false" customHeight="false" outlineLevel="0" collapsed="false">
      <c r="B98" s="8" t="s">
        <v>235</v>
      </c>
      <c r="C98" s="8" t="s">
        <v>236</v>
      </c>
      <c r="E98" s="2" t="n">
        <v>84313</v>
      </c>
      <c r="F98" s="2" t="n">
        <f aca="false">F97-E98</f>
        <v>1147403.16</v>
      </c>
    </row>
    <row r="99" customFormat="false" ht="12.75" hidden="false" customHeight="false" outlineLevel="0" collapsed="false">
      <c r="B99" s="8" t="s">
        <v>237</v>
      </c>
      <c r="C99" s="8" t="s">
        <v>236</v>
      </c>
      <c r="E99" s="2" t="n">
        <v>68000</v>
      </c>
      <c r="F99" s="2" t="n">
        <f aca="false">F98-E99</f>
        <v>1079403.16</v>
      </c>
    </row>
    <row r="100" customFormat="false" ht="12.75" hidden="false" customHeight="false" outlineLevel="0" collapsed="false">
      <c r="B100" s="8" t="s">
        <v>238</v>
      </c>
      <c r="C100" s="8" t="s">
        <v>236</v>
      </c>
      <c r="E100" s="2" t="n">
        <f aca="false">F33*-1</f>
        <v>91403.16</v>
      </c>
      <c r="F100" s="2" t="n">
        <f aca="false">F99-E100</f>
        <v>988000</v>
      </c>
    </row>
    <row r="101" customFormat="false" ht="12.75" hidden="false" customHeight="false" outlineLevel="0" collapsed="false">
      <c r="B101" s="8" t="s">
        <v>239</v>
      </c>
      <c r="C101" s="8" t="s">
        <v>236</v>
      </c>
      <c r="E101" s="2" t="n">
        <v>550000</v>
      </c>
      <c r="F101" s="2" t="n">
        <f aca="false">F100-E101</f>
        <v>438000</v>
      </c>
    </row>
    <row r="102" customFormat="false" ht="12.75" hidden="false" customHeight="false" outlineLevel="0" collapsed="false">
      <c r="B102" s="8" t="s">
        <v>240</v>
      </c>
      <c r="C102" s="8" t="s">
        <v>236</v>
      </c>
      <c r="E102" s="2" t="n">
        <v>438000</v>
      </c>
      <c r="F102" s="2" t="n">
        <f aca="false">F101-E102</f>
        <v>0</v>
      </c>
    </row>
    <row r="103" customFormat="false" ht="12.75" hidden="false" customHeight="false" outlineLevel="0" collapsed="false">
      <c r="B103" s="125"/>
      <c r="C103" s="156"/>
      <c r="D103" s="157" t="s">
        <v>241</v>
      </c>
      <c r="E103" s="146" t="n">
        <f aca="false">SUM(E98:E102)</f>
        <v>1231716.16</v>
      </c>
    </row>
    <row r="120" customFormat="false" ht="12.75" hidden="false" customHeight="false" outlineLevel="0" collapsed="false">
      <c r="B120" s="8" t="s">
        <v>15</v>
      </c>
    </row>
    <row r="122" customFormat="false" ht="12.75" hidden="false" customHeight="false" outlineLevel="0" collapsed="false">
      <c r="F122" s="2" t="n">
        <f aca="false">F121+D122-E122</f>
        <v>0</v>
      </c>
    </row>
    <row r="123" customFormat="false" ht="12.75" hidden="false" customHeight="false" outlineLevel="0" collapsed="false">
      <c r="B123" s="8" t="s">
        <v>16</v>
      </c>
      <c r="D123" s="2" t="n">
        <v>50000</v>
      </c>
      <c r="F123" s="2" t="n">
        <f aca="false">F122+D123-E123</f>
        <v>50000</v>
      </c>
    </row>
    <row r="124" customFormat="false" ht="12.75" hidden="false" customHeight="false" outlineLevel="0" collapsed="false">
      <c r="B124" s="8" t="s">
        <v>17</v>
      </c>
      <c r="D124" s="2" t="n">
        <v>140000</v>
      </c>
      <c r="F124" s="2" t="n">
        <f aca="false">F123+D124-E124</f>
        <v>190000</v>
      </c>
    </row>
    <row r="125" customFormat="false" ht="12.75" hidden="false" customHeight="false" outlineLevel="0" collapsed="false">
      <c r="B125" s="8" t="s">
        <v>18</v>
      </c>
      <c r="D125" s="2" t="n">
        <v>195000</v>
      </c>
      <c r="F125" s="2" t="n">
        <f aca="false">F124+D125-E125</f>
        <v>385000</v>
      </c>
    </row>
    <row r="126" customFormat="false" ht="12.75" hidden="false" customHeight="false" outlineLevel="0" collapsed="false">
      <c r="B126" s="8" t="s">
        <v>19</v>
      </c>
      <c r="E126" s="2" t="n">
        <v>310000</v>
      </c>
      <c r="F126" s="2" t="n">
        <f aca="false">F125+D126-E126</f>
        <v>75000</v>
      </c>
    </row>
    <row r="127" customFormat="false" ht="12.75" hidden="false" customHeight="false" outlineLevel="0" collapsed="false">
      <c r="B127" s="3" t="s">
        <v>20</v>
      </c>
      <c r="C127" s="3"/>
      <c r="D127" s="17"/>
      <c r="E127" s="17"/>
      <c r="F127" s="17" t="n">
        <f aca="false">F126+D127-E127</f>
        <v>75000</v>
      </c>
    </row>
    <row r="128" customFormat="false" ht="12.75" hidden="false" customHeight="false" outlineLevel="0" collapsed="false">
      <c r="B128" s="3" t="s">
        <v>21</v>
      </c>
      <c r="C128" s="3"/>
      <c r="D128" s="17" t="n">
        <f aca="false">E89-F126</f>
        <v>59783.84</v>
      </c>
      <c r="F128" s="2" t="n">
        <f aca="false">F126+D128-E128</f>
        <v>134783.84</v>
      </c>
    </row>
    <row r="129" customFormat="false" ht="12.75" hidden="false" customHeight="false" outlineLevel="0" collapsed="false">
      <c r="E129" s="18" t="s">
        <v>22</v>
      </c>
      <c r="F129" s="17" t="n">
        <f aca="false">F128</f>
        <v>134783.84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overThenDown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82"/>
  <sheetViews>
    <sheetView showFormulas="false" showGridLines="true" showRowColHeaders="true" showZeros="true" rightToLeft="false" tabSelected="false" showOutlineSymbols="true" defaultGridColor="true" view="normal" topLeftCell="A13" colorId="64" zoomScale="170" zoomScaleNormal="170" zoomScalePageLayoutView="100" workbookViewId="0">
      <selection pane="topLeft" activeCell="G30" activeCellId="0" sqref="G30"/>
    </sheetView>
  </sheetViews>
  <sheetFormatPr defaultColWidth="8.71484375" defaultRowHeight="12.75" zeroHeight="false" outlineLevelRow="0" outlineLevelCol="0"/>
  <cols>
    <col collapsed="false" customWidth="true" hidden="false" outlineLevel="0" max="3" min="3" style="0" width="35.43"/>
    <col collapsed="false" customWidth="true" hidden="false" outlineLevel="0" max="6" min="6" style="0" width="13"/>
    <col collapsed="false" customWidth="true" hidden="false" outlineLevel="0" max="7" min="7" style="0" width="13.14"/>
    <col collapsed="false" customWidth="true" hidden="false" outlineLevel="0" max="8" min="8" style="0" width="12.14"/>
    <col collapsed="false" customWidth="true" hidden="false" outlineLevel="0" max="10" min="10" style="0" width="12.29"/>
  </cols>
  <sheetData>
    <row r="2" customFormat="false" ht="12.75" hidden="false" customHeight="false" outlineLevel="0" collapsed="false">
      <c r="E2" s="0" t="s">
        <v>242</v>
      </c>
      <c r="F2" s="0" t="n">
        <v>2513</v>
      </c>
    </row>
    <row r="3" customFormat="false" ht="12.75" hidden="false" customHeight="false" outlineLevel="0" collapsed="false">
      <c r="E3" s="0" t="s">
        <v>243</v>
      </c>
      <c r="F3" s="0" t="n">
        <v>4100</v>
      </c>
    </row>
    <row r="4" customFormat="false" ht="12.75" hidden="false" customHeight="false" outlineLevel="0" collapsed="false">
      <c r="E4" s="0" t="s">
        <v>244</v>
      </c>
      <c r="F4" s="0" t="n">
        <v>26.15</v>
      </c>
    </row>
    <row r="5" customFormat="false" ht="12.75" hidden="false" customHeight="false" outlineLevel="0" collapsed="false">
      <c r="E5" s="0" t="s">
        <v>245</v>
      </c>
    </row>
    <row r="7" customFormat="false" ht="12.75" hidden="false" customHeight="false" outlineLevel="0" collapsed="false">
      <c r="D7" s="158" t="s">
        <v>246</v>
      </c>
      <c r="E7" s="158" t="s">
        <v>247</v>
      </c>
      <c r="F7" s="158" t="s">
        <v>248</v>
      </c>
      <c r="G7" s="158"/>
      <c r="H7" s="158" t="s">
        <v>249</v>
      </c>
    </row>
    <row r="8" customFormat="false" ht="12.75" hidden="false" customHeight="false" outlineLevel="0" collapsed="false">
      <c r="A8" s="0" t="s">
        <v>250</v>
      </c>
      <c r="B8" s="1" t="n">
        <v>44562</v>
      </c>
      <c r="C8" s="8" t="s">
        <v>251</v>
      </c>
      <c r="D8" s="0" t="n">
        <v>94.25</v>
      </c>
      <c r="E8" s="0" t="n">
        <v>2400</v>
      </c>
      <c r="F8" s="2" t="n">
        <v>225000</v>
      </c>
      <c r="G8" s="2"/>
      <c r="H8" s="2"/>
    </row>
    <row r="9" customFormat="false" ht="12.75" hidden="false" customHeight="false" outlineLevel="0" collapsed="false">
      <c r="A9" s="0" t="s">
        <v>252</v>
      </c>
      <c r="B9" s="1" t="n">
        <v>44562</v>
      </c>
      <c r="C9" s="8" t="s">
        <v>253</v>
      </c>
      <c r="D9" s="0" t="n">
        <v>78</v>
      </c>
      <c r="E9" s="0" t="n">
        <v>4200</v>
      </c>
      <c r="F9" s="2" t="n">
        <v>325000</v>
      </c>
      <c r="G9" s="2"/>
      <c r="H9" s="2"/>
    </row>
    <row r="10" customFormat="false" ht="12.75" hidden="false" customHeight="false" outlineLevel="0" collapsed="false">
      <c r="B10" s="1"/>
      <c r="F10" s="2"/>
      <c r="G10" s="2"/>
      <c r="H10" s="2"/>
    </row>
    <row r="11" customFormat="false" ht="12.75" hidden="false" customHeight="false" outlineLevel="0" collapsed="false">
      <c r="B11" s="1" t="n">
        <v>45509</v>
      </c>
      <c r="C11" s="8" t="s">
        <v>254</v>
      </c>
      <c r="D11" s="0" t="n">
        <v>779</v>
      </c>
      <c r="E11" s="159" t="n">
        <v>710.605646</v>
      </c>
      <c r="F11" s="2" t="n">
        <f aca="false">E11*D11</f>
        <v>553561.798234</v>
      </c>
      <c r="G11" s="2" t="n">
        <f aca="false">F11</f>
        <v>553561.798234</v>
      </c>
      <c r="H11" s="2" t="n">
        <f aca="false">G11</f>
        <v>553561.798234</v>
      </c>
    </row>
    <row r="12" customFormat="false" ht="12.75" hidden="false" customHeight="false" outlineLevel="0" collapsed="false">
      <c r="B12" s="1"/>
      <c r="F12" s="2"/>
      <c r="G12" s="2"/>
      <c r="H12" s="2"/>
    </row>
    <row r="13" customFormat="false" ht="12.75" hidden="false" customHeight="false" outlineLevel="0" collapsed="false">
      <c r="B13" s="1"/>
      <c r="F13" s="2"/>
      <c r="G13" s="2"/>
      <c r="H13" s="2"/>
    </row>
    <row r="14" customFormat="false" ht="12.75" hidden="false" customHeight="false" outlineLevel="0" collapsed="false">
      <c r="A14" s="0" t="s">
        <v>255</v>
      </c>
      <c r="B14" s="1" t="n">
        <v>45509</v>
      </c>
      <c r="C14" s="8" t="s">
        <v>256</v>
      </c>
      <c r="D14" s="0" t="n">
        <v>13</v>
      </c>
      <c r="E14" s="8" t="n">
        <f aca="false">$F$3</f>
        <v>4100</v>
      </c>
      <c r="F14" s="2" t="n">
        <f aca="false">E14*D14</f>
        <v>53300</v>
      </c>
      <c r="G14" s="2"/>
      <c r="H14" s="2" t="n">
        <f aca="false">H11+F14</f>
        <v>606861.798234</v>
      </c>
    </row>
    <row r="15" customFormat="false" ht="12.75" hidden="false" customHeight="false" outlineLevel="0" collapsed="false">
      <c r="B15" s="1" t="n">
        <v>45357</v>
      </c>
      <c r="C15" s="8" t="s">
        <v>257</v>
      </c>
      <c r="D15" s="0" t="n">
        <v>6</v>
      </c>
      <c r="E15" s="8" t="n">
        <f aca="false">$F$3</f>
        <v>4100</v>
      </c>
      <c r="F15" s="2" t="n">
        <f aca="false">E15*D15</f>
        <v>24600</v>
      </c>
      <c r="G15" s="2"/>
      <c r="H15" s="2" t="n">
        <f aca="false">H14+F15</f>
        <v>631461.798234</v>
      </c>
    </row>
    <row r="16" customFormat="false" ht="12.75" hidden="false" customHeight="false" outlineLevel="0" collapsed="false">
      <c r="B16" s="1"/>
      <c r="C16" s="8" t="s">
        <v>258</v>
      </c>
      <c r="D16" s="0" t="n">
        <v>1</v>
      </c>
      <c r="E16" s="0" t="n">
        <v>16000</v>
      </c>
      <c r="F16" s="2" t="n">
        <f aca="false">E16*D16</f>
        <v>16000</v>
      </c>
      <c r="G16" s="2"/>
      <c r="H16" s="2" t="n">
        <f aca="false">H15+F16</f>
        <v>647461.798234</v>
      </c>
    </row>
    <row r="17" customFormat="false" ht="12.75" hidden="false" customHeight="false" outlineLevel="0" collapsed="false">
      <c r="B17" s="1"/>
      <c r="C17" s="8" t="s">
        <v>259</v>
      </c>
      <c r="D17" s="0" t="n">
        <v>1</v>
      </c>
      <c r="E17" s="8" t="n">
        <f aca="false">$F$2</f>
        <v>2513</v>
      </c>
      <c r="F17" s="2" t="n">
        <f aca="false">E17*D17</f>
        <v>2513</v>
      </c>
      <c r="G17" s="2"/>
      <c r="H17" s="2" t="n">
        <f aca="false">H16+F17</f>
        <v>649974.798234</v>
      </c>
    </row>
    <row r="18" customFormat="false" ht="12.75" hidden="false" customHeight="false" outlineLevel="0" collapsed="false">
      <c r="B18" s="1"/>
      <c r="C18" s="8" t="s">
        <v>260</v>
      </c>
      <c r="D18" s="0" t="n">
        <v>10</v>
      </c>
      <c r="E18" s="8" t="n">
        <f aca="false">$F$3</f>
        <v>4100</v>
      </c>
      <c r="F18" s="2" t="n">
        <f aca="false">E18*D18</f>
        <v>41000</v>
      </c>
      <c r="G18" s="2" t="n">
        <f aca="false">SUM(F14:F18)</f>
        <v>137413</v>
      </c>
      <c r="H18" s="2" t="n">
        <f aca="false">H17+F18</f>
        <v>690974.798234</v>
      </c>
    </row>
    <row r="19" customFormat="false" ht="12.75" hidden="false" customHeight="false" outlineLevel="0" collapsed="false">
      <c r="B19" s="1"/>
      <c r="F19" s="2"/>
      <c r="G19" s="2"/>
      <c r="H19" s="2"/>
    </row>
    <row r="20" customFormat="false" ht="12.75" hidden="false" customHeight="false" outlineLevel="0" collapsed="false">
      <c r="A20" s="0" t="s">
        <v>233</v>
      </c>
      <c r="B20" s="1" t="n">
        <v>45509</v>
      </c>
      <c r="C20" s="8" t="s">
        <v>261</v>
      </c>
      <c r="D20" s="0" t="n">
        <v>1</v>
      </c>
      <c r="E20" s="0" t="n">
        <v>60000</v>
      </c>
      <c r="F20" s="2" t="n">
        <f aca="false">E20*D20</f>
        <v>60000</v>
      </c>
      <c r="G20" s="2"/>
      <c r="H20" s="2" t="n">
        <f aca="false">H18+F20</f>
        <v>750974.798234</v>
      </c>
    </row>
    <row r="21" customFormat="false" ht="14.9" hidden="false" customHeight="false" outlineLevel="0" collapsed="false">
      <c r="B21" s="1"/>
      <c r="C21" s="8" t="s">
        <v>262</v>
      </c>
      <c r="D21" s="0" t="n">
        <v>5</v>
      </c>
      <c r="E21" s="8" t="n">
        <f aca="false">$F$2</f>
        <v>2513</v>
      </c>
      <c r="F21" s="2" t="n">
        <f aca="false">E21*D21</f>
        <v>12565</v>
      </c>
      <c r="G21" s="2"/>
      <c r="H21" s="2"/>
    </row>
    <row r="22" customFormat="false" ht="12.75" hidden="false" customHeight="false" outlineLevel="0" collapsed="false">
      <c r="B22" s="1"/>
      <c r="C22" s="8" t="s">
        <v>263</v>
      </c>
      <c r="D22" s="0" t="n">
        <v>32</v>
      </c>
      <c r="E22" s="159" t="n">
        <f aca="false">$F$2</f>
        <v>2513</v>
      </c>
      <c r="F22" s="2" t="n">
        <f aca="false">E22*D22</f>
        <v>80416</v>
      </c>
      <c r="G22" s="2"/>
      <c r="H22" s="2" t="n">
        <f aca="false">H20+F22</f>
        <v>831390.798234</v>
      </c>
      <c r="I22" s="8" t="s">
        <v>264</v>
      </c>
    </row>
    <row r="23" customFormat="false" ht="12.75" hidden="false" customHeight="false" outlineLevel="0" collapsed="false">
      <c r="B23" s="1"/>
      <c r="C23" s="8" t="s">
        <v>265</v>
      </c>
      <c r="D23" s="0" t="n">
        <v>93</v>
      </c>
      <c r="E23" s="159" t="n">
        <f aca="false">$F$2</f>
        <v>2513</v>
      </c>
      <c r="F23" s="2" t="n">
        <f aca="false">E23*D23</f>
        <v>233709</v>
      </c>
      <c r="G23" s="2"/>
      <c r="H23" s="2" t="n">
        <f aca="false">H22+F23</f>
        <v>1065099.798234</v>
      </c>
      <c r="I23" s="8" t="s">
        <v>264</v>
      </c>
    </row>
    <row r="24" customFormat="false" ht="14.9" hidden="false" customHeight="false" outlineLevel="0" collapsed="false">
      <c r="B24" s="1"/>
      <c r="C24" s="8" t="s">
        <v>266</v>
      </c>
      <c r="D24" s="0" t="n">
        <v>850</v>
      </c>
      <c r="E24" s="0" t="n">
        <v>31</v>
      </c>
      <c r="F24" s="2" t="n">
        <f aca="false">E24*D24</f>
        <v>26350</v>
      </c>
      <c r="G24" s="2"/>
      <c r="H24" s="2"/>
      <c r="I24" s="8" t="s">
        <v>264</v>
      </c>
    </row>
    <row r="25" customFormat="false" ht="12.75" hidden="false" customHeight="false" outlineLevel="0" collapsed="false">
      <c r="B25" s="1"/>
      <c r="C25" s="8" t="s">
        <v>267</v>
      </c>
      <c r="D25" s="0" t="n">
        <v>7500</v>
      </c>
      <c r="E25" s="159" t="n">
        <f aca="false">$F$4</f>
        <v>26.15</v>
      </c>
      <c r="F25" s="2" t="n">
        <f aca="false">E25*D25</f>
        <v>196125</v>
      </c>
      <c r="G25" s="2" t="n">
        <f aca="false">SUM(F20:F25)</f>
        <v>609165</v>
      </c>
      <c r="H25" s="2" t="n">
        <f aca="false">H23+F25</f>
        <v>1261224.798234</v>
      </c>
      <c r="I25" s="8" t="s">
        <v>264</v>
      </c>
    </row>
    <row r="26" customFormat="false" ht="12.75" hidden="false" customHeight="false" outlineLevel="0" collapsed="false">
      <c r="B26" s="1"/>
      <c r="H26" s="2"/>
    </row>
    <row r="27" customFormat="false" ht="12.75" hidden="false" customHeight="false" outlineLevel="0" collapsed="false">
      <c r="A27" s="0" t="s">
        <v>77</v>
      </c>
      <c r="B27" s="0" t="s">
        <v>268</v>
      </c>
      <c r="C27" s="0" t="s">
        <v>244</v>
      </c>
      <c r="D27" s="0" t="n">
        <v>471</v>
      </c>
      <c r="E27" s="159" t="n">
        <f aca="false">$F$4</f>
        <v>26.15</v>
      </c>
      <c r="F27" s="2" t="n">
        <f aca="false">E27*D27</f>
        <v>12316.65</v>
      </c>
      <c r="H27" s="2" t="n">
        <f aca="false">H25+F27</f>
        <v>1273541.448234</v>
      </c>
      <c r="I27" s="8" t="s">
        <v>269</v>
      </c>
    </row>
    <row r="28" customFormat="false" ht="12.75" hidden="false" customHeight="false" outlineLevel="0" collapsed="false">
      <c r="C28" s="0" t="s">
        <v>270</v>
      </c>
      <c r="D28" s="0" t="n">
        <v>31</v>
      </c>
      <c r="E28" s="159" t="n">
        <v>709</v>
      </c>
      <c r="F28" s="2" t="n">
        <f aca="false">E28*D28</f>
        <v>21979</v>
      </c>
      <c r="H28" s="2" t="n">
        <f aca="false">H27+F28</f>
        <v>1295520.448234</v>
      </c>
      <c r="I28" s="8" t="s">
        <v>271</v>
      </c>
    </row>
    <row r="29" customFormat="false" ht="12.75" hidden="false" customHeight="false" outlineLevel="0" collapsed="false">
      <c r="B29" s="0" t="s">
        <v>268</v>
      </c>
      <c r="C29" s="0" t="s">
        <v>272</v>
      </c>
      <c r="D29" s="0" t="n">
        <v>30</v>
      </c>
      <c r="E29" s="159" t="n">
        <v>722</v>
      </c>
      <c r="F29" s="2" t="n">
        <f aca="false">E29*D29</f>
        <v>21660</v>
      </c>
      <c r="H29" s="2" t="n">
        <f aca="false">H28+F29</f>
        <v>1317180.448234</v>
      </c>
      <c r="I29" s="8" t="s">
        <v>269</v>
      </c>
    </row>
    <row r="30" customFormat="false" ht="12.75" hidden="false" customHeight="false" outlineLevel="0" collapsed="false">
      <c r="C30" s="0" t="s">
        <v>273</v>
      </c>
      <c r="D30" s="0" t="n">
        <v>3680</v>
      </c>
      <c r="E30" s="0" t="n">
        <v>0.85</v>
      </c>
      <c r="F30" s="2" t="n">
        <f aca="false">E30*D30</f>
        <v>3128</v>
      </c>
      <c r="H30" s="2" t="n">
        <f aca="false">H29+F30</f>
        <v>1320308.448234</v>
      </c>
      <c r="I30" s="8" t="s">
        <v>274</v>
      </c>
    </row>
    <row r="31" customFormat="false" ht="14.9" hidden="false" customHeight="false" outlineLevel="0" collapsed="false">
      <c r="B31" s="0" t="s">
        <v>268</v>
      </c>
      <c r="C31" s="0" t="s">
        <v>275</v>
      </c>
      <c r="D31" s="0" t="n">
        <v>77.3</v>
      </c>
      <c r="E31" s="0" t="n">
        <f aca="false">$F$2</f>
        <v>2513</v>
      </c>
      <c r="F31" s="2" t="n">
        <f aca="false">E31*D31</f>
        <v>194254.9</v>
      </c>
      <c r="G31" s="2" t="n">
        <f aca="false">SUM(F27:F31)</f>
        <v>253338.55</v>
      </c>
      <c r="H31" s="2"/>
    </row>
    <row r="32" customFormat="false" ht="12.75" hidden="false" customHeight="false" outlineLevel="0" collapsed="false">
      <c r="H32" s="2" t="n">
        <f aca="false">H30+F32</f>
        <v>1320308.448234</v>
      </c>
    </row>
    <row r="33" customFormat="false" ht="12.75" hidden="false" customHeight="false" outlineLevel="0" collapsed="false">
      <c r="A33" s="0" t="s">
        <v>232</v>
      </c>
      <c r="C33" s="0" t="s">
        <v>156</v>
      </c>
      <c r="F33" s="160" t="n">
        <v>100000</v>
      </c>
      <c r="G33" s="160" t="n">
        <f aca="false">F33</f>
        <v>100000</v>
      </c>
      <c r="H33" s="2" t="n">
        <f aca="false">H32+F33</f>
        <v>1420308.448234</v>
      </c>
      <c r="I33" s="8" t="s">
        <v>276</v>
      </c>
    </row>
    <row r="34" customFormat="false" ht="12.75" hidden="false" customHeight="false" outlineLevel="0" collapsed="false">
      <c r="A34" s="0" t="s">
        <v>277</v>
      </c>
      <c r="C34" s="0" t="s">
        <v>156</v>
      </c>
      <c r="F34" s="160" t="n">
        <v>68000</v>
      </c>
      <c r="G34" s="160" t="n">
        <v>68000</v>
      </c>
      <c r="H34" s="2" t="n">
        <f aca="false">H33+F34</f>
        <v>1488308.448234</v>
      </c>
      <c r="I34" s="8" t="s">
        <v>276</v>
      </c>
    </row>
    <row r="42" customFormat="false" ht="12.75" hidden="false" customHeight="false" outlineLevel="0" collapsed="false">
      <c r="G42" s="0" t="s">
        <v>278</v>
      </c>
      <c r="J42" s="0" t="s">
        <v>279</v>
      </c>
    </row>
    <row r="43" customFormat="false" ht="12.75" hidden="false" customHeight="false" outlineLevel="0" collapsed="false">
      <c r="J43" s="0" t="n">
        <v>1500000</v>
      </c>
    </row>
    <row r="44" customFormat="false" ht="12.75" hidden="false" customHeight="false" outlineLevel="0" collapsed="false">
      <c r="C44" s="0" t="s">
        <v>280</v>
      </c>
      <c r="F44" s="160" t="n">
        <v>22058</v>
      </c>
      <c r="H44" s="2" t="n">
        <f aca="false">H43+F44-G44</f>
        <v>22058</v>
      </c>
    </row>
    <row r="45" customFormat="false" ht="12.75" hidden="false" customHeight="false" outlineLevel="0" collapsed="false">
      <c r="A45" s="0" t="s">
        <v>77</v>
      </c>
      <c r="C45" s="0" t="s">
        <v>281</v>
      </c>
      <c r="F45" s="160" t="n">
        <v>155000</v>
      </c>
      <c r="H45" s="2" t="n">
        <f aca="false">H44+F45-G45</f>
        <v>177058</v>
      </c>
    </row>
    <row r="46" customFormat="false" ht="12.75" hidden="false" customHeight="false" outlineLevel="0" collapsed="false">
      <c r="C46" s="0" t="s">
        <v>282</v>
      </c>
      <c r="F46" s="160"/>
      <c r="G46" s="161" t="n">
        <v>50000</v>
      </c>
      <c r="H46" s="2" t="n">
        <f aca="false">H45+F46-G46</f>
        <v>127058</v>
      </c>
      <c r="I46" s="8" t="s">
        <v>123</v>
      </c>
      <c r="J46" s="8" t="n">
        <f aca="false">J43-G46</f>
        <v>1450000</v>
      </c>
    </row>
    <row r="47" customFormat="false" ht="12.75" hidden="false" customHeight="false" outlineLevel="0" collapsed="false">
      <c r="C47" s="0" t="s">
        <v>283</v>
      </c>
      <c r="F47" s="160" t="n">
        <v>722</v>
      </c>
      <c r="H47" s="2" t="n">
        <f aca="false">H46+F47-G47</f>
        <v>127780</v>
      </c>
      <c r="I47" s="8" t="s">
        <v>284</v>
      </c>
    </row>
    <row r="48" customFormat="false" ht="12.75" hidden="false" customHeight="false" outlineLevel="0" collapsed="false">
      <c r="H48" s="2" t="n">
        <f aca="false">H47+F48-G48</f>
        <v>127780</v>
      </c>
    </row>
    <row r="49" customFormat="false" ht="12.75" hidden="false" customHeight="false" outlineLevel="0" collapsed="false">
      <c r="H49" s="2" t="n">
        <f aca="false">H48+F49-G49</f>
        <v>127780</v>
      </c>
    </row>
    <row r="50" customFormat="false" ht="12.75" hidden="false" customHeight="false" outlineLevel="0" collapsed="false">
      <c r="C50" s="0" t="s">
        <v>285</v>
      </c>
      <c r="F50" s="160" t="n">
        <v>12290</v>
      </c>
      <c r="G50" s="2"/>
      <c r="H50" s="17" t="n">
        <f aca="false">H49+F50-G50</f>
        <v>140070</v>
      </c>
      <c r="I50" s="162" t="s">
        <v>276</v>
      </c>
      <c r="J50" s="3" t="n">
        <f aca="false">J46-G50</f>
        <v>1450000</v>
      </c>
    </row>
    <row r="51" customFormat="false" ht="12.75" hidden="false" customHeight="false" outlineLevel="0" collapsed="false">
      <c r="J51" s="17" t="n">
        <f aca="false">J50-H50</f>
        <v>1309930</v>
      </c>
    </row>
    <row r="55" customFormat="false" ht="12.75" hidden="false" customHeight="false" outlineLevel="0" collapsed="false">
      <c r="B55" s="1" t="n">
        <v>45509</v>
      </c>
      <c r="C55" s="8" t="s">
        <v>286</v>
      </c>
      <c r="D55" s="0" t="n">
        <v>779</v>
      </c>
      <c r="E55" s="0" t="n">
        <v>711.5756</v>
      </c>
      <c r="F55" s="2" t="n">
        <f aca="false">E55*D55</f>
        <v>554317.3924</v>
      </c>
      <c r="G55" s="2"/>
      <c r="H55" s="2" t="n">
        <f aca="false">H54+F55-G55</f>
        <v>554317.3924</v>
      </c>
      <c r="I55" s="8" t="s">
        <v>284</v>
      </c>
    </row>
    <row r="56" customFormat="false" ht="12.75" hidden="false" customHeight="false" outlineLevel="0" collapsed="false">
      <c r="H56" s="2" t="n">
        <f aca="false">H55+F56-G56</f>
        <v>554317.3924</v>
      </c>
    </row>
    <row r="57" customFormat="false" ht="12.75" hidden="false" customHeight="false" outlineLevel="0" collapsed="false">
      <c r="C57" s="0" t="s">
        <v>242</v>
      </c>
      <c r="D57" s="0" t="n">
        <v>125</v>
      </c>
      <c r="E57" s="0" t="n">
        <v>2510</v>
      </c>
      <c r="F57" s="2" t="n">
        <f aca="false">E57*D57</f>
        <v>313750</v>
      </c>
      <c r="H57" s="2" t="n">
        <f aca="false">H56+F57-G57</f>
        <v>868067.3924</v>
      </c>
      <c r="I57" s="162" t="s">
        <v>276</v>
      </c>
    </row>
    <row r="58" customFormat="false" ht="12.75" hidden="false" customHeight="false" outlineLevel="0" collapsed="false">
      <c r="C58" s="0" t="s">
        <v>287</v>
      </c>
      <c r="D58" s="0" t="n">
        <v>20</v>
      </c>
      <c r="E58" s="0" t="n">
        <v>4000</v>
      </c>
      <c r="F58" s="2" t="n">
        <f aca="false">E58*D58</f>
        <v>80000</v>
      </c>
      <c r="H58" s="2" t="n">
        <f aca="false">H57+F58-G58</f>
        <v>948067.3924</v>
      </c>
      <c r="I58" s="162" t="s">
        <v>276</v>
      </c>
    </row>
    <row r="59" customFormat="false" ht="12.75" hidden="false" customHeight="false" outlineLevel="0" collapsed="false">
      <c r="F59" s="2"/>
      <c r="H59" s="2" t="n">
        <f aca="false">H58+F59-G59</f>
        <v>948067.3924</v>
      </c>
      <c r="I59" s="162"/>
    </row>
    <row r="60" customFormat="false" ht="12.75" hidden="false" customHeight="false" outlineLevel="0" collapsed="false">
      <c r="C60" s="0" t="s">
        <v>288</v>
      </c>
      <c r="D60" s="0" t="n">
        <v>7500</v>
      </c>
      <c r="E60" s="0" t="n">
        <v>26.15</v>
      </c>
      <c r="F60" s="2" t="n">
        <f aca="false">E60*D60</f>
        <v>196125</v>
      </c>
      <c r="H60" s="2" t="n">
        <f aca="false">H59+F60-G60</f>
        <v>1144192.3924</v>
      </c>
      <c r="I60" s="162" t="s">
        <v>276</v>
      </c>
    </row>
    <row r="61" customFormat="false" ht="12.75" hidden="false" customHeight="false" outlineLevel="0" collapsed="false">
      <c r="C61" s="0" t="s">
        <v>289</v>
      </c>
      <c r="F61" s="0" t="n">
        <v>100000</v>
      </c>
      <c r="H61" s="2" t="n">
        <f aca="false">H60+F61-G61</f>
        <v>1244192.3924</v>
      </c>
      <c r="I61" s="162" t="s">
        <v>276</v>
      </c>
    </row>
    <row r="62" customFormat="false" ht="12.75" hidden="false" customHeight="false" outlineLevel="0" collapsed="false">
      <c r="C62" s="0" t="s">
        <v>290</v>
      </c>
      <c r="F62" s="0" t="n">
        <v>68000</v>
      </c>
      <c r="H62" s="17" t="n">
        <f aca="false">H61+F62-G62</f>
        <v>1312192.3924</v>
      </c>
      <c r="I62" s="162" t="s">
        <v>276</v>
      </c>
    </row>
    <row r="63" customFormat="false" ht="12.75" hidden="false" customHeight="false" outlineLevel="0" collapsed="false">
      <c r="J63" s="17" t="n">
        <f aca="false">J51</f>
        <v>1309930</v>
      </c>
    </row>
    <row r="64" customFormat="false" ht="12.75" hidden="false" customHeight="false" outlineLevel="0" collapsed="false">
      <c r="J64" s="17" t="n">
        <f aca="false">J63-H62</f>
        <v>-2262.39240000001</v>
      </c>
    </row>
    <row r="67" customFormat="false" ht="12.75" hidden="false" customHeight="false" outlineLevel="0" collapsed="false">
      <c r="B67" s="90" t="n">
        <v>45512</v>
      </c>
      <c r="C67" s="8" t="s">
        <v>291</v>
      </c>
    </row>
    <row r="69" customFormat="false" ht="12.75" hidden="false" customHeight="false" outlineLevel="0" collapsed="false">
      <c r="C69" s="0" t="s">
        <v>280</v>
      </c>
      <c r="F69" s="160" t="n">
        <v>127500</v>
      </c>
      <c r="H69" s="17" t="n">
        <f aca="false">H68+F69-G69</f>
        <v>127500</v>
      </c>
    </row>
    <row r="70" customFormat="false" ht="12.75" hidden="false" customHeight="false" outlineLevel="0" collapsed="false">
      <c r="C70" s="0" t="s">
        <v>281</v>
      </c>
      <c r="F70" s="160"/>
      <c r="H70" s="17" t="n">
        <f aca="false">H69+F70-G70</f>
        <v>127500</v>
      </c>
    </row>
    <row r="71" customFormat="false" ht="12.75" hidden="false" customHeight="false" outlineLevel="0" collapsed="false">
      <c r="C71" s="0" t="s">
        <v>282</v>
      </c>
      <c r="F71" s="160"/>
      <c r="G71" s="161" t="n">
        <v>50000</v>
      </c>
      <c r="H71" s="17" t="n">
        <f aca="false">H70+F71-G71</f>
        <v>77500</v>
      </c>
      <c r="I71" s="8" t="s">
        <v>123</v>
      </c>
    </row>
    <row r="72" customFormat="false" ht="12.75" hidden="false" customHeight="false" outlineLevel="0" collapsed="false">
      <c r="C72" s="0" t="s">
        <v>283</v>
      </c>
      <c r="F72" s="160" t="n">
        <v>722</v>
      </c>
      <c r="H72" s="17" t="n">
        <f aca="false">H71+F72-G72</f>
        <v>78222</v>
      </c>
      <c r="I72" s="8" t="s">
        <v>284</v>
      </c>
    </row>
    <row r="73" customFormat="false" ht="12.75" hidden="false" customHeight="false" outlineLevel="0" collapsed="false">
      <c r="C73" s="0" t="s">
        <v>19</v>
      </c>
      <c r="F73" s="160" t="n">
        <v>195000</v>
      </c>
      <c r="H73" s="17" t="n">
        <f aca="false">H72+F73-G73</f>
        <v>273222</v>
      </c>
    </row>
    <row r="74" customFormat="false" ht="12.75" hidden="false" customHeight="false" outlineLevel="0" collapsed="false">
      <c r="B74" s="1" t="n">
        <v>45509</v>
      </c>
      <c r="C74" s="8" t="s">
        <v>286</v>
      </c>
      <c r="D74" s="0" t="n">
        <v>1235</v>
      </c>
      <c r="E74" s="0" t="n">
        <v>711.5756</v>
      </c>
      <c r="F74" s="2" t="n">
        <f aca="false">E74*D74</f>
        <v>878795.866</v>
      </c>
      <c r="G74" s="2"/>
      <c r="H74" s="17" t="n">
        <f aca="false">H73+F74-G74</f>
        <v>1152017.866</v>
      </c>
      <c r="I74" s="8" t="s">
        <v>284</v>
      </c>
    </row>
    <row r="75" customFormat="false" ht="12.75" hidden="false" customHeight="false" outlineLevel="0" collapsed="false">
      <c r="H75" s="17" t="n">
        <f aca="false">H74+F75-G75</f>
        <v>1152017.866</v>
      </c>
    </row>
    <row r="76" customFormat="false" ht="12.75" hidden="false" customHeight="false" outlineLevel="0" collapsed="false">
      <c r="F76" s="2"/>
      <c r="H76" s="17" t="n">
        <f aca="false">H75+F76-G76</f>
        <v>1152017.866</v>
      </c>
      <c r="I76" s="162" t="s">
        <v>276</v>
      </c>
    </row>
    <row r="77" customFormat="false" ht="12.75" hidden="false" customHeight="false" outlineLevel="0" collapsed="false">
      <c r="C77" s="0" t="s">
        <v>292</v>
      </c>
      <c r="F77" s="160" t="n">
        <v>12290</v>
      </c>
      <c r="G77" s="2"/>
      <c r="H77" s="17" t="n">
        <f aca="false">H76+F77-G77</f>
        <v>1164307.866</v>
      </c>
      <c r="I77" s="162" t="s">
        <v>276</v>
      </c>
    </row>
    <row r="78" customFormat="false" ht="12.75" hidden="false" customHeight="false" outlineLevel="0" collapsed="false">
      <c r="C78" s="0" t="s">
        <v>289</v>
      </c>
      <c r="F78" s="0" t="n">
        <v>100000</v>
      </c>
      <c r="H78" s="17" t="n">
        <f aca="false">H77+F78-G78</f>
        <v>1264307.866</v>
      </c>
      <c r="I78" s="162" t="s">
        <v>276</v>
      </c>
    </row>
    <row r="79" customFormat="false" ht="12.75" hidden="false" customHeight="false" outlineLevel="0" collapsed="false">
      <c r="C79" s="0" t="s">
        <v>290</v>
      </c>
      <c r="F79" s="0" t="n">
        <v>100000</v>
      </c>
      <c r="H79" s="17" t="n">
        <f aca="false">H78+F79-G79</f>
        <v>1364307.866</v>
      </c>
      <c r="I79" s="162" t="s">
        <v>276</v>
      </c>
    </row>
    <row r="80" customFormat="false" ht="12.75" hidden="false" customHeight="false" outlineLevel="0" collapsed="false">
      <c r="H80" s="17" t="n">
        <f aca="false">H79+F80-G80</f>
        <v>1364307.866</v>
      </c>
    </row>
    <row r="81" customFormat="false" ht="12.75" hidden="false" customHeight="false" outlineLevel="0" collapsed="false">
      <c r="C81" s="0" t="s">
        <v>293</v>
      </c>
      <c r="D81" s="0" t="n">
        <v>7500</v>
      </c>
      <c r="E81" s="0" t="n">
        <v>26.13</v>
      </c>
      <c r="F81" s="2"/>
      <c r="H81" s="17" t="n">
        <f aca="false">H80+F81-G81</f>
        <v>1364307.866</v>
      </c>
      <c r="I81" s="162" t="s">
        <v>276</v>
      </c>
    </row>
    <row r="82" customFormat="false" ht="12.75" hidden="false" customHeight="false" outlineLevel="0" collapsed="false">
      <c r="C82" s="0" t="s">
        <v>287</v>
      </c>
      <c r="D82" s="0" t="n">
        <v>20</v>
      </c>
      <c r="E82" s="0" t="n">
        <v>4000</v>
      </c>
      <c r="F82" s="2"/>
      <c r="G82" s="0" t="n">
        <v>1416500</v>
      </c>
      <c r="H82" s="17" t="n">
        <f aca="false">H81+F82-G82</f>
        <v>-52192.1340000001</v>
      </c>
      <c r="I82" s="162" t="s">
        <v>276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68A1A"/>
    <pageSetUpPr fitToPage="false"/>
  </sheetPr>
  <dimension ref="A1:N135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C28" activeCellId="0" sqref="C28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7.14"/>
    <col collapsed="false" customWidth="true" hidden="false" outlineLevel="0" max="2" min="2" style="0" width="14.14"/>
    <col collapsed="false" customWidth="true" hidden="false" outlineLevel="0" max="3" min="3" style="0" width="15.57"/>
    <col collapsed="false" customWidth="true" hidden="false" outlineLevel="0" max="4" min="4" style="0" width="11.43"/>
    <col collapsed="false" customWidth="true" hidden="false" outlineLevel="0" max="5" min="5" style="0" width="14.14"/>
    <col collapsed="false" customWidth="true" hidden="false" outlineLevel="0" max="6" min="6" style="0" width="14.71"/>
    <col collapsed="false" customWidth="true" hidden="false" outlineLevel="0" max="7" min="7" style="0" width="11.86"/>
    <col collapsed="false" customWidth="true" hidden="false" outlineLevel="0" max="8" min="8" style="0" width="0.86"/>
    <col collapsed="false" customWidth="true" hidden="false" outlineLevel="0" max="9" min="9" style="0" width="3.57"/>
    <col collapsed="false" customWidth="true" hidden="false" outlineLevel="0" max="10" min="10" style="0" width="8"/>
    <col collapsed="false" customWidth="true" hidden="false" outlineLevel="0" max="11" min="11" style="2" width="7"/>
    <col collapsed="false" customWidth="true" hidden="false" outlineLevel="0" max="12" min="12" style="2" width="6.86"/>
    <col collapsed="false" customWidth="true" hidden="false" outlineLevel="0" max="13" min="13" style="2" width="10"/>
    <col collapsed="false" customWidth="true" hidden="false" outlineLevel="0" max="14" min="14" style="0" width="6"/>
    <col collapsed="false" customWidth="true" hidden="false" outlineLevel="0" max="15" min="15" style="0" width="9.14"/>
  </cols>
  <sheetData>
    <row r="1" customFormat="false" ht="15" hidden="false" customHeight="false" outlineLevel="0" collapsed="false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28" t="s">
        <v>26</v>
      </c>
      <c r="M1" s="28"/>
      <c r="N1" s="8" t="s">
        <v>27</v>
      </c>
    </row>
    <row r="2" customFormat="false" ht="15" hidden="false" customHeight="false" outlineLevel="0" collapsed="false">
      <c r="A2" s="19" t="n">
        <v>-2024</v>
      </c>
      <c r="B2" s="23" t="s">
        <v>28</v>
      </c>
      <c r="C2" s="29" t="s">
        <v>29</v>
      </c>
      <c r="D2" s="22" t="s">
        <v>30</v>
      </c>
      <c r="E2" s="23" t="s">
        <v>28</v>
      </c>
      <c r="F2" s="29" t="s">
        <v>29</v>
      </c>
      <c r="G2" s="22" t="s">
        <v>3</v>
      </c>
      <c r="H2" s="24"/>
      <c r="I2" s="25"/>
      <c r="J2" s="26" t="s">
        <v>31</v>
      </c>
      <c r="K2" s="30" t="n">
        <v>0.235384</v>
      </c>
      <c r="L2" s="31" t="n">
        <f aca="false">1-K2</f>
        <v>0.764616</v>
      </c>
      <c r="M2" s="32" t="s">
        <v>32</v>
      </c>
      <c r="N2" s="8" t="n">
        <f aca="false">F115/1000</f>
        <v>698.220305</v>
      </c>
    </row>
    <row r="3" customFormat="false" ht="12.75" hidden="false" customHeight="false" outlineLevel="0" collapsed="false">
      <c r="A3" s="0" t="s">
        <v>33</v>
      </c>
      <c r="B3" s="33" t="n">
        <f aca="false">01_24!D2</f>
        <v>340464.6</v>
      </c>
      <c r="C3" s="33" t="n">
        <f aca="false">01_24!E2</f>
        <v>-52469.76</v>
      </c>
      <c r="D3" s="34" t="n">
        <f aca="false">B3+C3</f>
        <v>287994.84</v>
      </c>
      <c r="E3" s="33" t="n">
        <f aca="false">01_24!F2</f>
        <v>194911.58</v>
      </c>
      <c r="F3" s="33" t="n">
        <f aca="false">01_24!G2</f>
        <v>-66377.21</v>
      </c>
      <c r="G3" s="34" t="n">
        <f aca="false">E3+F3</f>
        <v>128534.37</v>
      </c>
      <c r="H3" s="35"/>
      <c r="I3" s="36" t="s">
        <v>34</v>
      </c>
      <c r="J3" s="0" t="n">
        <v>180</v>
      </c>
      <c r="K3" s="37"/>
      <c r="L3" s="38"/>
      <c r="M3" s="39" t="n">
        <f aca="false">J3</f>
        <v>180</v>
      </c>
      <c r="N3" s="8" t="n">
        <f aca="false">01_24!E118/1000</f>
        <v>813.15151</v>
      </c>
    </row>
    <row r="4" customFormat="false" ht="12.75" hidden="false" customHeight="false" outlineLevel="0" collapsed="false">
      <c r="A4" s="0" t="s">
        <v>35</v>
      </c>
      <c r="B4" s="33" t="n">
        <f aca="false">02_24!D2</f>
        <v>19300</v>
      </c>
      <c r="C4" s="33" t="n">
        <f aca="false">02_24!E2</f>
        <v>-65325.85</v>
      </c>
      <c r="D4" s="34" t="n">
        <f aca="false">B4+C4+D3</f>
        <v>241968.99</v>
      </c>
      <c r="E4" s="33" t="n">
        <f aca="false">02_24!F2</f>
        <v>20543.64</v>
      </c>
      <c r="F4" s="33" t="n">
        <f aca="false">02_24!G2</f>
        <v>-69834.74</v>
      </c>
      <c r="G4" s="34" t="n">
        <f aca="false">E4+F4+G3</f>
        <v>79243.27</v>
      </c>
      <c r="H4" s="35"/>
      <c r="I4" s="36" t="s">
        <v>36</v>
      </c>
      <c r="J4" s="0" t="n">
        <v>235</v>
      </c>
      <c r="K4" s="40" t="n">
        <f aca="false">J4*$K$2</f>
        <v>55.31524</v>
      </c>
      <c r="L4" s="41" t="n">
        <f aca="false">J4-K4</f>
        <v>179.68476</v>
      </c>
      <c r="M4" s="39"/>
      <c r="N4" s="8" t="n">
        <f aca="false">02_24!E111/1000</f>
        <v>809.249830357</v>
      </c>
    </row>
    <row r="5" customFormat="false" ht="12.75" hidden="false" customHeight="false" outlineLevel="0" collapsed="false">
      <c r="A5" s="0" t="s">
        <v>37</v>
      </c>
      <c r="B5" s="33" t="n">
        <f aca="false">03_24!D2</f>
        <v>12800</v>
      </c>
      <c r="C5" s="33" t="n">
        <f aca="false">03_24!E2</f>
        <v>-114592.82</v>
      </c>
      <c r="D5" s="34" t="n">
        <f aca="false">B5+C5+D4</f>
        <v>140176.17</v>
      </c>
      <c r="E5" s="33" t="n">
        <f aca="false">03_24!F2</f>
        <v>19667.49</v>
      </c>
      <c r="F5" s="33" t="n">
        <f aca="false">03_24!G2</f>
        <v>-116144.16</v>
      </c>
      <c r="G5" s="34" t="n">
        <f aca="false">E5+F5+G4</f>
        <v>-17233.4</v>
      </c>
      <c r="H5" s="35"/>
      <c r="I5" s="36" t="s">
        <v>38</v>
      </c>
      <c r="K5" s="40"/>
      <c r="L5" s="38"/>
      <c r="M5" s="39" t="n">
        <f aca="false">J5</f>
        <v>0</v>
      </c>
      <c r="N5" s="8" t="n">
        <f aca="false">03_24!E108/1000</f>
        <v>745.852050357</v>
      </c>
    </row>
    <row r="6" customFormat="false" ht="12.75" hidden="false" customHeight="false" outlineLevel="0" collapsed="false">
      <c r="A6" s="0" t="s">
        <v>39</v>
      </c>
      <c r="B6" s="33" t="n">
        <f aca="false">04_24!D2</f>
        <v>40000</v>
      </c>
      <c r="C6" s="33" t="n">
        <f aca="false">04_24!E2</f>
        <v>-51710.3</v>
      </c>
      <c r="D6" s="34" t="n">
        <f aca="false">B6+C6+D5</f>
        <v>128465.87</v>
      </c>
      <c r="E6" s="33" t="n">
        <f aca="false">04_24!F2</f>
        <v>332427.62</v>
      </c>
      <c r="F6" s="33" t="n">
        <f aca="false">04_24!G2</f>
        <v>-86892.22</v>
      </c>
      <c r="G6" s="34" t="n">
        <f aca="false">E6+F6+G5</f>
        <v>228302</v>
      </c>
      <c r="H6" s="35"/>
      <c r="I6" s="42" t="s">
        <v>40</v>
      </c>
      <c r="K6" s="40"/>
      <c r="L6" s="38"/>
      <c r="M6" s="43" t="n">
        <f aca="false">E18/1000</f>
        <v>68.50557</v>
      </c>
      <c r="N6" s="8" t="n">
        <f aca="false">04_24!E111/1000</f>
        <v>774.2877366</v>
      </c>
    </row>
    <row r="7" customFormat="false" ht="12.75" hidden="false" customHeight="false" outlineLevel="0" collapsed="false">
      <c r="A7" s="0" t="s">
        <v>41</v>
      </c>
      <c r="B7" s="33" t="n">
        <f aca="false">05_24!D2</f>
        <v>25000</v>
      </c>
      <c r="C7" s="33" t="n">
        <f aca="false">05_24!E2</f>
        <v>-64525.01</v>
      </c>
      <c r="D7" s="34" t="n">
        <f aca="false">B7+C7+D6</f>
        <v>88940.86</v>
      </c>
      <c r="E7" s="33" t="n">
        <f aca="false">05_24!F2</f>
        <v>25427.62</v>
      </c>
      <c r="F7" s="33" t="n">
        <f aca="false">05_24!G2</f>
        <v>-64483.92</v>
      </c>
      <c r="G7" s="34" t="n">
        <f aca="false">E7+F7+G6</f>
        <v>189245.7</v>
      </c>
      <c r="H7" s="35"/>
      <c r="I7" s="42" t="s">
        <v>42</v>
      </c>
      <c r="K7" s="40"/>
      <c r="L7" s="41"/>
      <c r="M7" s="43" t="n">
        <f aca="false">E19/1000</f>
        <v>77.93537</v>
      </c>
      <c r="N7" s="8" t="n">
        <f aca="false">05_24!E101/1000</f>
        <v>1018.9678866</v>
      </c>
    </row>
    <row r="8" customFormat="false" ht="12.75" hidden="false" customHeight="false" outlineLevel="0" collapsed="false">
      <c r="A8" s="0" t="s">
        <v>43</v>
      </c>
      <c r="B8" s="33" t="n">
        <f aca="false">06_24!D2</f>
        <v>33500</v>
      </c>
      <c r="C8" s="33" t="n">
        <f aca="false">06_24!E2</f>
        <v>-77377.563693</v>
      </c>
      <c r="D8" s="34" t="n">
        <f aca="false">B8+C8+D7</f>
        <v>45063.296307</v>
      </c>
      <c r="E8" s="33" t="n">
        <f aca="false">06_24!F2</f>
        <v>13427.62</v>
      </c>
      <c r="F8" s="33" t="n">
        <f aca="false">06_24!G2</f>
        <v>-97778.153693</v>
      </c>
      <c r="G8" s="34" t="n">
        <f aca="false">E8+F8+G7</f>
        <v>104895.166307</v>
      </c>
      <c r="H8" s="35"/>
      <c r="I8" s="36" t="s">
        <v>44</v>
      </c>
      <c r="J8" s="0" t="n">
        <v>225</v>
      </c>
      <c r="K8" s="40"/>
      <c r="L8" s="41"/>
      <c r="M8" s="39" t="n">
        <f aca="false">J8/4</f>
        <v>56.25</v>
      </c>
      <c r="N8" s="8" t="n">
        <f aca="false">06_24!E118/1000</f>
        <v>794.30216</v>
      </c>
    </row>
    <row r="9" customFormat="false" ht="12.75" hidden="false" customHeight="false" outlineLevel="0" collapsed="false">
      <c r="A9" s="0" t="s">
        <v>45</v>
      </c>
      <c r="B9" s="33" t="n">
        <f aca="false">07_24!D2</f>
        <v>51000</v>
      </c>
      <c r="C9" s="33" t="n">
        <f aca="false">07_24!E2</f>
        <v>-85166.06</v>
      </c>
      <c r="D9" s="34" t="n">
        <f aca="false">B9+C9+D8</f>
        <v>10897.236307</v>
      </c>
      <c r="E9" s="33" t="n">
        <f aca="false">07_24!F2</f>
        <v>27984.15</v>
      </c>
      <c r="F9" s="33" t="n">
        <f aca="false">07_24!G2</f>
        <v>-87971.62</v>
      </c>
      <c r="G9" s="34" t="n">
        <f aca="false">E9+F9+G8</f>
        <v>44907.696307</v>
      </c>
      <c r="H9" s="35"/>
      <c r="I9" s="36" t="s">
        <v>46</v>
      </c>
      <c r="J9" s="0" t="n">
        <v>204</v>
      </c>
      <c r="K9" s="40" t="n">
        <f aca="false">J9*$K$2</f>
        <v>48.018336</v>
      </c>
      <c r="L9" s="41" t="n">
        <f aca="false">J9-K9</f>
        <v>155.981664</v>
      </c>
      <c r="M9" s="44"/>
      <c r="N9" s="8" t="n">
        <f aca="false">07_24!E133/1000</f>
        <v>981.303727228</v>
      </c>
    </row>
    <row r="10" customFormat="false" ht="12.75" hidden="false" customHeight="false" outlineLevel="0" collapsed="false">
      <c r="A10" s="0" t="s">
        <v>47</v>
      </c>
      <c r="B10" s="33" t="n">
        <f aca="false">08_24!D2</f>
        <v>195484.15</v>
      </c>
      <c r="C10" s="33" t="n">
        <f aca="false">08_24!E2</f>
        <v>-88440.67</v>
      </c>
      <c r="D10" s="34" t="n">
        <f aca="false">B10+C10+D9</f>
        <v>117940.716307</v>
      </c>
      <c r="E10" s="33" t="n">
        <f aca="false">08_24!F2</f>
        <v>28006.38</v>
      </c>
      <c r="F10" s="33" t="n">
        <f aca="false">08_24!G2</f>
        <v>-88381.87</v>
      </c>
      <c r="G10" s="34" t="n">
        <f aca="false">E10+F10+G9</f>
        <v>-15467.793693</v>
      </c>
      <c r="H10" s="35"/>
      <c r="I10" s="36" t="s">
        <v>48</v>
      </c>
      <c r="J10" s="0" t="n">
        <v>500</v>
      </c>
      <c r="K10" s="40"/>
      <c r="L10" s="41"/>
      <c r="M10" s="39" t="n">
        <f aca="false">J10*0.13</f>
        <v>65</v>
      </c>
      <c r="N10" s="8" t="n">
        <f aca="false">08_24!E125/1000</f>
        <v>981.303727228</v>
      </c>
    </row>
    <row r="11" customFormat="false" ht="12.75" hidden="false" customHeight="false" outlineLevel="0" collapsed="false">
      <c r="A11" s="0" t="s">
        <v>49</v>
      </c>
      <c r="B11" s="33" t="n">
        <f aca="false">09_24!D2</f>
        <v>36484.15</v>
      </c>
      <c r="C11" s="33" t="n">
        <f aca="false">09_24!E2</f>
        <v>-81364.9</v>
      </c>
      <c r="D11" s="34" t="n">
        <f aca="false">B11+C11+D10</f>
        <v>73059.966307</v>
      </c>
      <c r="E11" s="33" t="n">
        <f aca="false">09_24!F2</f>
        <v>98006.38</v>
      </c>
      <c r="F11" s="33" t="n">
        <f aca="false">09_24!G2</f>
        <v>-69863.54</v>
      </c>
      <c r="G11" s="34" t="n">
        <f aca="false">E11+F11+G10</f>
        <v>12675.046307</v>
      </c>
      <c r="H11" s="35"/>
      <c r="I11" s="36" t="s">
        <v>50</v>
      </c>
      <c r="J11" s="0" t="n">
        <v>0</v>
      </c>
      <c r="K11" s="40" t="n">
        <f aca="false">J11*$K$2</f>
        <v>0</v>
      </c>
      <c r="L11" s="41" t="n">
        <f aca="false">J11-K11</f>
        <v>0</v>
      </c>
      <c r="M11" s="39"/>
      <c r="N11" s="8" t="n">
        <f aca="false">09_24!E101/1000</f>
        <v>749.19659932</v>
      </c>
    </row>
    <row r="12" customFormat="false" ht="12.75" hidden="false" customHeight="false" outlineLevel="0" collapsed="false">
      <c r="A12" s="0" t="s">
        <v>51</v>
      </c>
      <c r="B12" s="33" t="n">
        <f aca="false">10_24!D2</f>
        <v>27984.15</v>
      </c>
      <c r="C12" s="33" t="n">
        <f aca="false">10_24!E2</f>
        <v>-126233.27</v>
      </c>
      <c r="D12" s="34" t="n">
        <f aca="false">B12+C12+D11</f>
        <v>-25189.153693</v>
      </c>
      <c r="E12" s="33" t="n">
        <f aca="false">10_24!F2</f>
        <v>64006.38</v>
      </c>
      <c r="F12" s="33" t="n">
        <f aca="false">10_24!G2</f>
        <v>-123041.59</v>
      </c>
      <c r="G12" s="34" t="n">
        <f aca="false">E12+F12+G11</f>
        <v>-46360.163693</v>
      </c>
      <c r="H12" s="35"/>
      <c r="I12" s="36" t="s">
        <v>52</v>
      </c>
      <c r="J12" s="0" t="n">
        <v>0</v>
      </c>
      <c r="K12" s="40" t="n">
        <f aca="false">J12*$K$2</f>
        <v>0</v>
      </c>
      <c r="L12" s="41" t="n">
        <f aca="false">J12-K12</f>
        <v>0</v>
      </c>
      <c r="M12" s="39"/>
      <c r="N12" s="8" t="n">
        <f aca="false">10_24!E136/1000</f>
        <v>726.0586</v>
      </c>
    </row>
    <row r="13" customFormat="false" ht="12.75" hidden="false" customHeight="false" outlineLevel="0" collapsed="false">
      <c r="A13" s="0" t="s">
        <v>53</v>
      </c>
      <c r="B13" s="33" t="n">
        <f aca="false">11_24!D2</f>
        <v>277984.15</v>
      </c>
      <c r="C13" s="33" t="n">
        <f aca="false">11_24!E2</f>
        <v>-182434.39</v>
      </c>
      <c r="D13" s="34" t="n">
        <f aca="false">B13+C13+D12</f>
        <v>70360.606307</v>
      </c>
      <c r="E13" s="33" t="n">
        <f aca="false">11_24!F2</f>
        <v>212306.38</v>
      </c>
      <c r="F13" s="33" t="n">
        <f aca="false">11_24!G2</f>
        <v>-220559.32</v>
      </c>
      <c r="G13" s="34" t="n">
        <f aca="false">E13+F13+G12</f>
        <v>-54613.103693</v>
      </c>
      <c r="H13" s="35"/>
      <c r="I13" s="36" t="s">
        <v>54</v>
      </c>
      <c r="J13" s="0" t="n">
        <v>219</v>
      </c>
      <c r="K13" s="40" t="n">
        <f aca="false">J13*$K$2</f>
        <v>51.549096</v>
      </c>
      <c r="L13" s="41" t="n">
        <f aca="false">J13-K13</f>
        <v>167.450904</v>
      </c>
      <c r="M13" s="44"/>
      <c r="N13" s="8" t="n">
        <f aca="false">11_24!E111/1000</f>
        <v>695.35238</v>
      </c>
    </row>
    <row r="14" customFormat="false" ht="12.75" hidden="false" customHeight="false" outlineLevel="0" collapsed="false">
      <c r="A14" s="0" t="s">
        <v>55</v>
      </c>
      <c r="B14" s="33" t="n">
        <f aca="false">12_24!D2</f>
        <v>27984.15</v>
      </c>
      <c r="C14" s="33" t="n">
        <f aca="false">12_24!E2</f>
        <v>-62202.76</v>
      </c>
      <c r="D14" s="34" t="n">
        <f aca="false">B14+C14+D13</f>
        <v>36141.996307</v>
      </c>
      <c r="E14" s="33" t="n">
        <f aca="false">12_24!F2</f>
        <v>246925.7</v>
      </c>
      <c r="F14" s="33" t="n">
        <f aca="false">12_24!G2</f>
        <v>-130909.76</v>
      </c>
      <c r="G14" s="34" t="n">
        <f aca="false">E14+F14+G13</f>
        <v>61402.836307</v>
      </c>
      <c r="H14" s="35"/>
      <c r="I14" s="45" t="s">
        <v>56</v>
      </c>
      <c r="J14" s="46" t="n">
        <v>170</v>
      </c>
      <c r="K14" s="40" t="n">
        <f aca="false">J14*$K$2</f>
        <v>40.01528</v>
      </c>
      <c r="L14" s="41" t="n">
        <f aca="false">J14-K14</f>
        <v>129.98472</v>
      </c>
      <c r="M14" s="39"/>
      <c r="N14" s="8" t="n">
        <f aca="false">12_24!E125/1000</f>
        <v>674.75338</v>
      </c>
    </row>
    <row r="15" customFormat="false" ht="12.75" hidden="false" customHeight="false" outlineLevel="0" collapsed="false">
      <c r="A15" s="47" t="s">
        <v>57</v>
      </c>
      <c r="B15" s="34" t="n">
        <f aca="false">SUM(B3:B14)</f>
        <v>1087985.35</v>
      </c>
      <c r="C15" s="34" t="n">
        <f aca="false">SUM(C3:C14)</f>
        <v>-1051843.353693</v>
      </c>
      <c r="D15" s="34" t="n">
        <f aca="false">B15+C15</f>
        <v>36141.9963069998</v>
      </c>
      <c r="E15" s="34" t="n">
        <f aca="false">SUM(E3:E14)</f>
        <v>1283640.94</v>
      </c>
      <c r="F15" s="34" t="n">
        <f aca="false">SUM(F3:F14)</f>
        <v>-1222238.103693</v>
      </c>
      <c r="G15" s="34" t="n">
        <f aca="false">E15+F15</f>
        <v>61402.8363069999</v>
      </c>
      <c r="H15" s="48"/>
      <c r="I15" s="49"/>
      <c r="J15" s="50" t="n">
        <f aca="false">SUM(J3:J14)</f>
        <v>1733</v>
      </c>
      <c r="K15" s="51" t="n">
        <f aca="false">SUM(K4:K14)</f>
        <v>194.897952</v>
      </c>
      <c r="L15" s="52" t="n">
        <f aca="false">SUM(L4:L14)</f>
        <v>633.102048</v>
      </c>
      <c r="M15" s="53" t="n">
        <f aca="false">M10+M8+M6+M5+M3+M7</f>
        <v>447.69094</v>
      </c>
    </row>
    <row r="16" customFormat="false" ht="12.75" hidden="false" customHeight="false" outlineLevel="0" collapsed="false">
      <c r="A16" s="54" t="n">
        <v>12</v>
      </c>
      <c r="B16" s="55" t="n">
        <f aca="false">B15/A16</f>
        <v>90665.4458333333</v>
      </c>
      <c r="C16" s="56" t="n">
        <f aca="false">C15/A16</f>
        <v>-87653.61280775</v>
      </c>
      <c r="D16" s="56"/>
      <c r="E16" s="56" t="n">
        <f aca="false">E15/A16</f>
        <v>106970.078333333</v>
      </c>
      <c r="F16" s="56" t="n">
        <f aca="false">F15/A16</f>
        <v>-101853.17530775</v>
      </c>
      <c r="G16" s="56" t="n">
        <f aca="false">G15/A16</f>
        <v>5116.90302558333</v>
      </c>
      <c r="H16" s="57"/>
      <c r="I16" s="58"/>
      <c r="J16" s="59" t="n">
        <f aca="false">J15/12</f>
        <v>144.416666666667</v>
      </c>
      <c r="K16" s="60" t="n">
        <f aca="false">K15/12</f>
        <v>16.241496</v>
      </c>
      <c r="L16" s="61" t="n">
        <f aca="false">L15/12</f>
        <v>52.758504</v>
      </c>
      <c r="M16" s="62" t="n">
        <f aca="false">M15/12</f>
        <v>37.3075783333333</v>
      </c>
      <c r="N16" s="63" t="n">
        <f aca="false">AVERAGE(N2:N15)</f>
        <v>804.769222514615</v>
      </c>
    </row>
    <row r="17" customFormat="false" ht="12.75" hidden="false" customHeight="false" outlineLevel="0" collapsed="false">
      <c r="C17" s="2"/>
      <c r="D17" s="2"/>
      <c r="G17" s="64"/>
      <c r="H17" s="64"/>
      <c r="I17" s="36"/>
      <c r="K17" s="2" t="s">
        <v>57</v>
      </c>
      <c r="L17" s="65" t="n">
        <f aca="false">L15+M15</f>
        <v>1080.792988</v>
      </c>
      <c r="M17" s="65"/>
    </row>
    <row r="18" customFormat="false" ht="12.75" hidden="false" customHeight="false" outlineLevel="0" collapsed="false">
      <c r="D18" s="66" t="s">
        <v>58</v>
      </c>
      <c r="E18" s="2" t="n">
        <f aca="false">01_24!F27+02_24!F14+02_24!F25+03_24!F19+04_24!F41+05_24!F22+06_24!F19+06_24!F31+04_24!F15</f>
        <v>68505.57</v>
      </c>
      <c r="J18" s="36"/>
      <c r="K18" s="2" t="s">
        <v>59</v>
      </c>
      <c r="L18" s="67"/>
      <c r="M18" s="68" t="n">
        <f aca="false">L17/12</f>
        <v>90.0660823333333</v>
      </c>
    </row>
    <row r="19" customFormat="false" ht="12.75" hidden="false" customHeight="false" outlineLevel="0" collapsed="false">
      <c r="C19" s="69"/>
      <c r="D19" s="70" t="s">
        <v>60</v>
      </c>
      <c r="E19" s="71" t="n">
        <f aca="false">07_24!F30+08_24!F25+09_24!F19+10_24!F29+11_24!F34+12_24!F22</f>
        <v>77935.37</v>
      </c>
    </row>
    <row r="20" customFormat="false" ht="12.75" hidden="false" customHeight="false" outlineLevel="0" collapsed="false">
      <c r="D20" s="18" t="s">
        <v>61</v>
      </c>
      <c r="E20" s="17" t="n">
        <f aca="false">SUM(E18:E19)</f>
        <v>146440.94</v>
      </c>
    </row>
    <row r="21" customFormat="false" ht="12.75" hidden="false" customHeight="false" outlineLevel="0" collapsed="false">
      <c r="B21" s="72" t="n">
        <v>44896</v>
      </c>
    </row>
    <row r="22" customFormat="false" ht="13.8" hidden="false" customHeight="false" outlineLevel="0" collapsed="false">
      <c r="B22" s="2" t="n">
        <v>6986.25</v>
      </c>
      <c r="C22" s="73" t="n">
        <v>0.375785</v>
      </c>
      <c r="D22" s="74" t="n">
        <v>0.4925919</v>
      </c>
    </row>
    <row r="23" customFormat="false" ht="13.8" hidden="false" customHeight="false" outlineLevel="0" collapsed="false">
      <c r="B23" s="2" t="n">
        <f aca="false">B22*C22</f>
        <v>2625.32795625</v>
      </c>
      <c r="C23" s="75" t="s">
        <v>62</v>
      </c>
      <c r="D23" s="2" t="n">
        <f aca="false">B22*D22</f>
        <v>3441.370161375</v>
      </c>
    </row>
    <row r="24" customFormat="false" ht="13.8" hidden="false" customHeight="false" outlineLevel="0" collapsed="false">
      <c r="B24" s="76" t="n">
        <f aca="false">SUM(B22:B23)</f>
        <v>9611.57795625</v>
      </c>
      <c r="C24" s="77" t="s">
        <v>63</v>
      </c>
      <c r="D24" s="76" t="n">
        <f aca="false">D23+B22</f>
        <v>10427.620161375</v>
      </c>
    </row>
    <row r="25" customFormat="false" ht="12.75" hidden="false" customHeight="false" outlineLevel="0" collapsed="false">
      <c r="C25" s="78" t="n">
        <f aca="false">(D27/D24)-1</f>
        <v>0.247300898835671</v>
      </c>
    </row>
    <row r="26" customFormat="false" ht="12.75" hidden="false" customHeight="false" outlineLevel="0" collapsed="false">
      <c r="C26" s="0" t="s">
        <v>64</v>
      </c>
    </row>
    <row r="27" customFormat="false" ht="12.75" hidden="false" customHeight="false" outlineLevel="0" collapsed="false">
      <c r="C27" s="0" t="s">
        <v>65</v>
      </c>
      <c r="D27" s="0" t="n">
        <v>13006.38</v>
      </c>
    </row>
    <row r="30" customFormat="false" ht="12.75" hidden="false" customHeight="false" outlineLevel="0" collapsed="false">
      <c r="B30" s="0" t="s">
        <v>294</v>
      </c>
    </row>
    <row r="31" customFormat="false" ht="12.75" hidden="false" customHeight="false" outlineLevel="0" collapsed="false">
      <c r="C31" s="0" t="s">
        <v>295</v>
      </c>
    </row>
    <row r="32" customFormat="false" ht="12.75" hidden="false" customHeight="false" outlineLevel="0" collapsed="false">
      <c r="C32" s="0" t="s">
        <v>296</v>
      </c>
    </row>
    <row r="34" customFormat="false" ht="12.75" hidden="false" customHeight="false" outlineLevel="0" collapsed="false">
      <c r="B34" s="0" t="s">
        <v>297</v>
      </c>
    </row>
    <row r="35" customFormat="false" ht="12.75" hidden="false" customHeight="false" outlineLevel="0" collapsed="false">
      <c r="C35" s="0" t="s">
        <v>298</v>
      </c>
    </row>
    <row r="36" customFormat="false" ht="12.75" hidden="false" customHeight="false" outlineLevel="0" collapsed="false">
      <c r="C36" s="0" t="s">
        <v>299</v>
      </c>
    </row>
    <row r="37" customFormat="false" ht="12.75" hidden="false" customHeight="false" outlineLevel="0" collapsed="false">
      <c r="B37" s="0" t="s">
        <v>300</v>
      </c>
    </row>
    <row r="38" customFormat="false" ht="12.75" hidden="false" customHeight="false" outlineLevel="0" collapsed="false">
      <c r="C38" s="0" t="s">
        <v>301</v>
      </c>
    </row>
    <row r="39" customFormat="false" ht="12.75" hidden="false" customHeight="false" outlineLevel="0" collapsed="false">
      <c r="C39" s="0" t="s">
        <v>302</v>
      </c>
    </row>
    <row r="40" customFormat="false" ht="12.75" hidden="false" customHeight="false" outlineLevel="0" collapsed="false">
      <c r="C40" s="0" t="s">
        <v>303</v>
      </c>
    </row>
    <row r="41" customFormat="false" ht="12.75" hidden="false" customHeight="false" outlineLevel="0" collapsed="false">
      <c r="C41" s="0" t="s">
        <v>304</v>
      </c>
    </row>
    <row r="42" customFormat="false" ht="12.75" hidden="false" customHeight="false" outlineLevel="0" collapsed="false">
      <c r="C42" s="0" t="s">
        <v>305</v>
      </c>
    </row>
    <row r="43" customFormat="false" ht="12.75" hidden="false" customHeight="false" outlineLevel="0" collapsed="false">
      <c r="B43" s="0" t="s">
        <v>306</v>
      </c>
    </row>
    <row r="44" customFormat="false" ht="12.75" hidden="false" customHeight="false" outlineLevel="0" collapsed="false">
      <c r="C44" s="0" t="s">
        <v>307</v>
      </c>
    </row>
    <row r="115" customFormat="false" ht="12.75" hidden="false" customHeight="false" outlineLevel="0" collapsed="false">
      <c r="B115" s="117" t="s">
        <v>308</v>
      </c>
      <c r="C115" s="106" t="s">
        <v>139</v>
      </c>
      <c r="D115" s="105" t="n">
        <v>2023</v>
      </c>
      <c r="E115" s="163"/>
      <c r="F115" s="164" t="n">
        <f aca="false">SUM(F116:F132)</f>
        <v>698220.305</v>
      </c>
      <c r="G115" s="164"/>
    </row>
    <row r="116" customFormat="false" ht="12.75" hidden="false" customHeight="false" outlineLevel="0" collapsed="false">
      <c r="B116" s="165" t="n">
        <v>45290</v>
      </c>
      <c r="C116" s="8" t="s">
        <v>77</v>
      </c>
      <c r="D116" s="2"/>
      <c r="E116" s="2"/>
      <c r="F116" s="17" t="n">
        <v>64000</v>
      </c>
    </row>
    <row r="117" customFormat="false" ht="12.75" hidden="false" customHeight="false" outlineLevel="0" collapsed="false">
      <c r="B117" s="165" t="n">
        <f aca="false">B116</f>
        <v>45290</v>
      </c>
      <c r="C117" s="8" t="s">
        <v>78</v>
      </c>
      <c r="D117" s="2"/>
      <c r="E117" s="2"/>
      <c r="F117" s="17" t="n">
        <v>218088</v>
      </c>
    </row>
    <row r="118" customFormat="false" ht="12.75" hidden="false" customHeight="false" outlineLevel="0" collapsed="false">
      <c r="B118" s="165" t="n">
        <f aca="false">B117</f>
        <v>45290</v>
      </c>
      <c r="C118" s="8" t="s">
        <v>309</v>
      </c>
      <c r="D118" s="2"/>
      <c r="E118" s="2"/>
      <c r="F118" s="17" t="n">
        <v>3609.29</v>
      </c>
    </row>
    <row r="119" customFormat="false" ht="12.75" hidden="false" customHeight="false" outlineLevel="0" collapsed="false">
      <c r="B119" s="165" t="n">
        <f aca="false">B118</f>
        <v>45290</v>
      </c>
      <c r="C119" s="8" t="s">
        <v>310</v>
      </c>
      <c r="D119" s="2"/>
      <c r="E119" s="2"/>
      <c r="F119" s="17" t="n">
        <v>122.31</v>
      </c>
    </row>
    <row r="120" customFormat="false" ht="12.75" hidden="false" customHeight="false" outlineLevel="0" collapsed="false">
      <c r="B120" s="165" t="n">
        <f aca="false">B119</f>
        <v>45290</v>
      </c>
      <c r="C120" s="8" t="s">
        <v>311</v>
      </c>
      <c r="E120" s="2"/>
      <c r="F120" s="17" t="n">
        <v>6267.13</v>
      </c>
    </row>
    <row r="121" customFormat="false" ht="12.75" hidden="false" customHeight="false" outlineLevel="0" collapsed="false">
      <c r="B121" s="165" t="n">
        <f aca="false">B120</f>
        <v>45290</v>
      </c>
      <c r="C121" s="8" t="s">
        <v>245</v>
      </c>
      <c r="D121" s="2" t="s">
        <v>312</v>
      </c>
      <c r="E121" s="2"/>
      <c r="F121" s="17" t="n">
        <v>21088.49</v>
      </c>
    </row>
    <row r="122" customFormat="false" ht="12.75" hidden="false" customHeight="false" outlineLevel="0" collapsed="false">
      <c r="B122" s="165" t="n">
        <f aca="false">B121</f>
        <v>45290</v>
      </c>
      <c r="C122" s="8" t="s">
        <v>313</v>
      </c>
      <c r="D122" s="2" t="s">
        <v>314</v>
      </c>
      <c r="E122" s="2"/>
      <c r="F122" s="17" t="n">
        <v>5587.73</v>
      </c>
    </row>
    <row r="123" customFormat="false" ht="12.75" hidden="false" customHeight="false" outlineLevel="0" collapsed="false">
      <c r="B123" s="165" t="n">
        <f aca="false">B122</f>
        <v>45290</v>
      </c>
      <c r="C123" s="8" t="s">
        <v>315</v>
      </c>
      <c r="D123" s="165" t="n">
        <v>45295</v>
      </c>
      <c r="E123" s="166" t="n">
        <v>-629.36</v>
      </c>
      <c r="F123" s="17" t="n">
        <v>4752.22</v>
      </c>
    </row>
    <row r="124" customFormat="false" ht="12.75" hidden="false" customHeight="false" outlineLevel="0" collapsed="false">
      <c r="B124" s="165" t="n">
        <f aca="false">B123</f>
        <v>45290</v>
      </c>
      <c r="C124" s="8" t="s">
        <v>316</v>
      </c>
      <c r="D124" s="165" t="n">
        <v>45295</v>
      </c>
      <c r="E124" s="166" t="n">
        <v>-52.52</v>
      </c>
      <c r="F124" s="17" t="n">
        <v>315.38</v>
      </c>
      <c r="G124" s="64"/>
    </row>
    <row r="125" customFormat="false" ht="12.75" hidden="false" customHeight="false" outlineLevel="0" collapsed="false">
      <c r="B125" s="165" t="n">
        <f aca="false">B124</f>
        <v>45290</v>
      </c>
      <c r="C125" s="8" t="s">
        <v>317</v>
      </c>
      <c r="D125" s="165" t="n">
        <v>45295</v>
      </c>
      <c r="E125" s="166" t="n">
        <v>-196</v>
      </c>
      <c r="F125" s="17" t="n">
        <v>295.8</v>
      </c>
    </row>
    <row r="126" customFormat="false" ht="12.75" hidden="false" customHeight="false" outlineLevel="0" collapsed="false">
      <c r="B126" s="165" t="n">
        <f aca="false">B125</f>
        <v>45290</v>
      </c>
      <c r="C126" s="8" t="s">
        <v>318</v>
      </c>
      <c r="D126" s="165" t="n">
        <v>45295</v>
      </c>
      <c r="E126" s="166" t="n">
        <v>-669.7</v>
      </c>
      <c r="F126" s="17" t="n">
        <v>4239.3</v>
      </c>
    </row>
    <row r="127" customFormat="false" ht="12.75" hidden="false" customHeight="false" outlineLevel="0" collapsed="false">
      <c r="B127" s="165" t="n">
        <f aca="false">B120</f>
        <v>45290</v>
      </c>
      <c r="C127" s="8" t="s">
        <v>143</v>
      </c>
      <c r="D127" s="2"/>
      <c r="E127" s="2"/>
      <c r="F127" s="17" t="n">
        <v>1000</v>
      </c>
    </row>
    <row r="128" customFormat="false" ht="12.75" hidden="false" customHeight="false" outlineLevel="0" collapsed="false">
      <c r="B128" s="165" t="n">
        <f aca="false">B119</f>
        <v>45290</v>
      </c>
      <c r="C128" s="8" t="s">
        <v>319</v>
      </c>
      <c r="D128" s="2" t="n">
        <v>1928.59</v>
      </c>
      <c r="E128" s="2" t="n">
        <v>161</v>
      </c>
      <c r="F128" s="17" t="n">
        <f aca="false">E128*D128</f>
        <v>310502.99</v>
      </c>
    </row>
    <row r="129" customFormat="false" ht="12.75" hidden="false" customHeight="false" outlineLevel="0" collapsed="false">
      <c r="B129" s="165" t="n">
        <f aca="false">B128</f>
        <v>45290</v>
      </c>
      <c r="C129" s="8" t="s">
        <v>320</v>
      </c>
      <c r="D129" s="167" t="n">
        <v>29.2927</v>
      </c>
      <c r="E129" s="2" t="n">
        <v>850</v>
      </c>
      <c r="F129" s="17" t="n">
        <f aca="false">E129*D129</f>
        <v>24898.795</v>
      </c>
    </row>
    <row r="130" customFormat="false" ht="12.75" hidden="false" customHeight="false" outlineLevel="0" collapsed="false">
      <c r="B130" s="165" t="n">
        <f aca="false">B129</f>
        <v>45290</v>
      </c>
      <c r="C130" s="8" t="s">
        <v>321</v>
      </c>
      <c r="D130" s="167" t="n">
        <v>32.0287</v>
      </c>
      <c r="E130" s="2" t="n">
        <v>100</v>
      </c>
      <c r="F130" s="17" t="n">
        <f aca="false">E130*D130</f>
        <v>3202.87</v>
      </c>
    </row>
    <row r="131" customFormat="false" ht="12.75" hidden="false" customHeight="false" outlineLevel="0" collapsed="false">
      <c r="B131" s="165" t="n">
        <f aca="false">B130</f>
        <v>45290</v>
      </c>
      <c r="C131" s="8" t="s">
        <v>155</v>
      </c>
      <c r="D131" s="2"/>
      <c r="E131" s="2"/>
      <c r="F131" s="17" t="n">
        <v>30000</v>
      </c>
    </row>
    <row r="132" customFormat="false" ht="12.75" hidden="false" customHeight="false" outlineLevel="0" collapsed="false">
      <c r="B132" s="165" t="n">
        <f aca="false">B131</f>
        <v>45290</v>
      </c>
      <c r="C132" s="8" t="s">
        <v>156</v>
      </c>
      <c r="D132" s="2"/>
      <c r="E132" s="2"/>
      <c r="F132" s="17" t="n">
        <v>250</v>
      </c>
    </row>
    <row r="133" customFormat="false" ht="12.75" hidden="false" customHeight="false" outlineLevel="0" collapsed="false">
      <c r="D133" s="3" t="str">
        <f aca="false">B115</f>
        <v>ARALIK</v>
      </c>
      <c r="E133" s="18" t="s">
        <v>159</v>
      </c>
      <c r="F133" s="168" t="n">
        <f aca="false">H33</f>
        <v>0</v>
      </c>
    </row>
    <row r="134" customFormat="false" ht="12.75" hidden="false" customHeight="false" outlineLevel="0" collapsed="false">
      <c r="E134" s="3"/>
    </row>
    <row r="135" customFormat="false" ht="12.75" hidden="false" customHeight="false" outlineLevel="0" collapsed="false">
      <c r="E135" s="18" t="s">
        <v>158</v>
      </c>
      <c r="F135" s="9" t="n">
        <f aca="false">SUM(F116:F132)</f>
        <v>698220.305</v>
      </c>
    </row>
  </sheetData>
  <mergeCells count="2">
    <mergeCell ref="L1:M1"/>
    <mergeCell ref="L17:M17"/>
  </mergeCells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M196"/>
  <sheetViews>
    <sheetView showFormulas="false" showGridLines="true" showRowColHeaders="true" showZeros="true" rightToLeft="false" tabSelected="false" showOutlineSymbols="true" defaultGridColor="true" view="normal" topLeftCell="A17" colorId="64" zoomScale="145" zoomScaleNormal="145" zoomScalePageLayoutView="100" workbookViewId="0">
      <selection pane="topLeft" activeCell="I44" activeCellId="0" sqref="I44"/>
    </sheetView>
  </sheetViews>
  <sheetFormatPr defaultColWidth="12.2929687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79" width="11.57"/>
    <col collapsed="false" customWidth="false" hidden="false" outlineLevel="0" max="8" min="5" style="79" width="12.29"/>
    <col collapsed="false" customWidth="true" hidden="false" outlineLevel="0" max="10" min="10" style="0" width="27.43"/>
    <col collapsed="false" customWidth="true" hidden="false" outlineLevel="0" max="11" min="11" style="80" width="6.14"/>
    <col collapsed="false" customWidth="true" hidden="false" outlineLevel="0" max="12" min="12" style="80" width="14.57"/>
    <col collapsed="false" customWidth="false" hidden="false" outlineLevel="0" max="14" min="13" style="80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79" t="s">
        <v>28</v>
      </c>
      <c r="G1" s="79" t="s">
        <v>29</v>
      </c>
      <c r="H1" s="79" t="s">
        <v>3</v>
      </c>
    </row>
    <row r="2" customFormat="false" ht="12.75" hidden="false" customHeight="false" outlineLevel="0" collapsed="false">
      <c r="A2" s="3" t="s">
        <v>322</v>
      </c>
      <c r="C2" s="81" t="s">
        <v>67</v>
      </c>
      <c r="D2" s="79" t="n">
        <f aca="false">SUM(D4:D40)</f>
        <v>27984.15</v>
      </c>
      <c r="E2" s="79" t="n">
        <f aca="false">SUM(E4:E41)</f>
        <v>-62202.76</v>
      </c>
      <c r="F2" s="79" t="n">
        <f aca="false">SUM(F4:F40)</f>
        <v>246925.7</v>
      </c>
      <c r="G2" s="79" t="n">
        <f aca="false">SUM(G4:G36)</f>
        <v>-130909.76</v>
      </c>
      <c r="H2" s="79" t="n">
        <f aca="false">F2+G2</f>
        <v>116015.94</v>
      </c>
    </row>
    <row r="3" customFormat="false" ht="12.75" hidden="false" customHeight="false" outlineLevel="0" collapsed="false">
      <c r="B3" s="18"/>
    </row>
    <row r="4" customFormat="false" ht="12.75" hidden="false" customHeight="false" outlineLevel="0" collapsed="false">
      <c r="B4" s="42"/>
      <c r="H4" s="79" t="n">
        <f aca="false">H3+F4+G4</f>
        <v>0</v>
      </c>
    </row>
    <row r="5" customFormat="false" ht="12.75" hidden="false" customHeight="false" outlineLevel="0" collapsed="false">
      <c r="A5" s="90" t="n">
        <v>45631</v>
      </c>
      <c r="B5" s="169" t="s">
        <v>68</v>
      </c>
      <c r="C5" s="84"/>
      <c r="D5" s="85"/>
      <c r="E5" s="85" t="n">
        <f aca="false">E76</f>
        <v>-1797.23</v>
      </c>
      <c r="G5" s="79" t="n">
        <f aca="false">E5</f>
        <v>-1797.23</v>
      </c>
      <c r="H5" s="79" t="n">
        <f aca="false">H4+F5+G5</f>
        <v>-1797.23</v>
      </c>
    </row>
    <row r="6" customFormat="false" ht="12.75" hidden="false" customHeight="false" outlineLevel="0" collapsed="false">
      <c r="A6" s="170" t="n">
        <v>45630</v>
      </c>
      <c r="B6" s="169" t="s">
        <v>69</v>
      </c>
      <c r="C6" s="84"/>
      <c r="D6" s="85"/>
      <c r="E6" s="85" t="n">
        <f aca="false">E91</f>
        <v>-9239.03</v>
      </c>
      <c r="G6" s="79" t="n">
        <f aca="false">E6</f>
        <v>-9239.03</v>
      </c>
      <c r="H6" s="79" t="n">
        <f aca="false">H5+F6+G6</f>
        <v>-11036.26</v>
      </c>
    </row>
    <row r="7" customFormat="false" ht="12.75" hidden="false" customHeight="false" outlineLevel="0" collapsed="false">
      <c r="A7" s="90" t="n">
        <v>45630</v>
      </c>
      <c r="B7" s="171" t="s">
        <v>70</v>
      </c>
      <c r="C7" s="171"/>
      <c r="D7" s="85"/>
      <c r="E7" s="85" t="n">
        <v>-1500</v>
      </c>
      <c r="G7" s="79" t="n">
        <v>-1512.13</v>
      </c>
      <c r="H7" s="79" t="n">
        <f aca="false">H6+F7+G7</f>
        <v>-12548.39</v>
      </c>
    </row>
    <row r="8" customFormat="false" ht="12.75" hidden="false" customHeight="false" outlineLevel="0" collapsed="false">
      <c r="B8" s="171" t="s">
        <v>71</v>
      </c>
      <c r="C8" s="171"/>
      <c r="D8" s="85"/>
      <c r="E8" s="85" t="n">
        <v>-17500</v>
      </c>
      <c r="G8" s="79" t="n">
        <v>-17500</v>
      </c>
      <c r="H8" s="79" t="n">
        <f aca="false">H7+F8+G8</f>
        <v>-30048.39</v>
      </c>
    </row>
    <row r="9" customFormat="false" ht="12.75" hidden="false" customHeight="false" outlineLevel="0" collapsed="false">
      <c r="B9" s="169" t="s">
        <v>72</v>
      </c>
      <c r="C9" s="84"/>
      <c r="D9" s="85"/>
      <c r="E9" s="85" t="n">
        <f aca="false">E71*-1</f>
        <v>-0</v>
      </c>
      <c r="H9" s="79" t="n">
        <f aca="false">H8+F9+G9</f>
        <v>-30048.39</v>
      </c>
    </row>
    <row r="10" customFormat="false" ht="12.75" hidden="false" customHeight="false" outlineLevel="0" collapsed="false">
      <c r="B10" s="84"/>
      <c r="C10" s="84"/>
      <c r="D10" s="85"/>
      <c r="E10" s="85"/>
      <c r="H10" s="79" t="n">
        <f aca="false">H9+F10+G10</f>
        <v>-30048.39</v>
      </c>
    </row>
    <row r="11" customFormat="false" ht="12.75" hidden="false" customHeight="false" outlineLevel="0" collapsed="false">
      <c r="A11" s="90" t="n">
        <v>45630</v>
      </c>
      <c r="B11" s="84" t="s">
        <v>98</v>
      </c>
      <c r="C11" s="84" t="s">
        <v>323</v>
      </c>
      <c r="D11" s="85" t="s">
        <v>324</v>
      </c>
      <c r="E11" s="85" t="n">
        <v>-1380</v>
      </c>
      <c r="H11" s="79" t="n">
        <f aca="false">H10+F11+G11</f>
        <v>-30048.39</v>
      </c>
    </row>
    <row r="12" customFormat="false" ht="12.75" hidden="false" customHeight="false" outlineLevel="0" collapsed="false">
      <c r="A12" s="90" t="n">
        <v>45630</v>
      </c>
      <c r="B12" s="84" t="s">
        <v>98</v>
      </c>
      <c r="C12" s="84" t="s">
        <v>325</v>
      </c>
      <c r="D12" s="85" t="s">
        <v>324</v>
      </c>
      <c r="E12" s="172" t="n">
        <v>-1380</v>
      </c>
      <c r="H12" s="79" t="n">
        <f aca="false">H11+F12+G12</f>
        <v>-30048.39</v>
      </c>
    </row>
    <row r="13" customFormat="false" ht="12.75" hidden="false" customHeight="false" outlineLevel="0" collapsed="false">
      <c r="A13" s="90" t="n">
        <v>45630</v>
      </c>
      <c r="B13" s="171" t="s">
        <v>326</v>
      </c>
      <c r="C13" s="84"/>
      <c r="D13" s="85" t="s">
        <v>324</v>
      </c>
      <c r="E13" s="172" t="n">
        <v>-1415</v>
      </c>
      <c r="H13" s="79" t="n">
        <f aca="false">H12+F13+G13</f>
        <v>-30048.39</v>
      </c>
    </row>
    <row r="14" customFormat="false" ht="12.75" hidden="false" customHeight="false" outlineLevel="0" collapsed="false">
      <c r="A14" s="90" t="n">
        <v>45630</v>
      </c>
      <c r="B14" s="171" t="s">
        <v>327</v>
      </c>
      <c r="C14" s="84"/>
      <c r="D14" s="85" t="s">
        <v>324</v>
      </c>
      <c r="E14" s="172" t="n">
        <v>-141.5</v>
      </c>
      <c r="H14" s="79" t="n">
        <f aca="false">H13+F14+G14</f>
        <v>-30048.39</v>
      </c>
    </row>
    <row r="15" customFormat="false" ht="12.75" hidden="false" customHeight="false" outlineLevel="0" collapsed="false">
      <c r="B15" s="84" t="s">
        <v>328</v>
      </c>
      <c r="C15" s="84"/>
      <c r="D15" s="85"/>
      <c r="E15" s="85"/>
      <c r="G15" s="79" t="n">
        <v>-60000</v>
      </c>
      <c r="H15" s="79" t="n">
        <f aca="false">H14+F15+G15</f>
        <v>-90048.39</v>
      </c>
    </row>
    <row r="16" customFormat="false" ht="12.75" hidden="false" customHeight="false" outlineLevel="0" collapsed="false">
      <c r="B16" s="84" t="s">
        <v>329</v>
      </c>
      <c r="C16" s="84"/>
      <c r="D16" s="85"/>
      <c r="E16" s="85"/>
      <c r="G16" s="79" t="n">
        <v>-19000</v>
      </c>
      <c r="H16" s="79" t="n">
        <f aca="false">H15+F16+G16</f>
        <v>-109048.39</v>
      </c>
    </row>
    <row r="17" customFormat="false" ht="12.75" hidden="false" customHeight="false" outlineLevel="0" collapsed="false">
      <c r="B17" s="84" t="s">
        <v>330</v>
      </c>
      <c r="C17" s="173"/>
      <c r="D17" s="85"/>
      <c r="E17" s="85"/>
      <c r="F17" s="79" t="n">
        <v>219000</v>
      </c>
      <c r="H17" s="79" t="n">
        <f aca="false">H16+F17+G17</f>
        <v>109951.61</v>
      </c>
    </row>
    <row r="18" customFormat="false" ht="12.75" hidden="false" customHeight="false" outlineLevel="0" collapsed="false">
      <c r="B18" s="84" t="s">
        <v>331</v>
      </c>
      <c r="C18" s="84"/>
      <c r="D18" s="85"/>
      <c r="E18" s="85"/>
      <c r="F18" s="79" t="n">
        <v>15000</v>
      </c>
      <c r="H18" s="79" t="n">
        <f aca="false">H17+F18+G18</f>
        <v>124951.61</v>
      </c>
    </row>
    <row r="19" customFormat="false" ht="12.75" hidden="false" customHeight="false" outlineLevel="0" collapsed="false">
      <c r="A19" s="90" t="n">
        <v>45642</v>
      </c>
      <c r="B19" s="174" t="s">
        <v>73</v>
      </c>
      <c r="C19" s="174" t="s">
        <v>332</v>
      </c>
      <c r="D19" s="85"/>
      <c r="E19" s="85" t="n">
        <v>-300</v>
      </c>
      <c r="G19" s="79" t="n">
        <v>-2035</v>
      </c>
      <c r="H19" s="79" t="n">
        <f aca="false">H18+F19+G19</f>
        <v>122916.61</v>
      </c>
    </row>
    <row r="20" customFormat="false" ht="12.75" hidden="false" customHeight="false" outlineLevel="0" collapsed="false">
      <c r="A20" s="90" t="n">
        <v>45642</v>
      </c>
      <c r="B20" s="174" t="s">
        <v>74</v>
      </c>
      <c r="C20" s="174" t="s">
        <v>332</v>
      </c>
      <c r="D20" s="85"/>
      <c r="E20" s="85" t="n">
        <v>-100</v>
      </c>
      <c r="G20" s="79" t="n">
        <v>-40</v>
      </c>
      <c r="H20" s="79" t="n">
        <f aca="false">H19+F20+G20</f>
        <v>122876.61</v>
      </c>
    </row>
    <row r="21" customFormat="false" ht="12.75" hidden="false" customHeight="false" outlineLevel="0" collapsed="false">
      <c r="A21" s="90" t="n">
        <v>45638</v>
      </c>
      <c r="B21" s="171" t="s">
        <v>75</v>
      </c>
      <c r="C21" s="171" t="s">
        <v>332</v>
      </c>
      <c r="D21" s="85"/>
      <c r="E21" s="85" t="n">
        <v>-150</v>
      </c>
      <c r="G21" s="79" t="n">
        <v>-262.37</v>
      </c>
      <c r="H21" s="79" t="n">
        <f aca="false">H20+F21+G21</f>
        <v>122614.24</v>
      </c>
    </row>
    <row r="22" customFormat="false" ht="12.75" hidden="false" customHeight="false" outlineLevel="0" collapsed="false">
      <c r="A22" s="90" t="n">
        <v>45653</v>
      </c>
      <c r="B22" s="84" t="s">
        <v>76</v>
      </c>
      <c r="C22" s="84"/>
      <c r="D22" s="172" t="n">
        <v>12984.15</v>
      </c>
      <c r="E22" s="85"/>
      <c r="F22" s="79" t="n">
        <v>12925.7</v>
      </c>
      <c r="H22" s="79" t="n">
        <f aca="false">H21+F22+G22</f>
        <v>135539.94</v>
      </c>
      <c r="J22" s="96"/>
      <c r="K22" s="96"/>
      <c r="L22" s="97"/>
      <c r="M22" s="98"/>
    </row>
    <row r="23" customFormat="false" ht="12.75" hidden="false" customHeight="false" outlineLevel="0" collapsed="false">
      <c r="B23" s="84" t="s">
        <v>77</v>
      </c>
      <c r="C23" s="84"/>
      <c r="D23" s="85"/>
      <c r="E23" s="85" t="n">
        <v>-6500</v>
      </c>
      <c r="G23" s="79" t="n">
        <v>-6512</v>
      </c>
      <c r="H23" s="79" t="n">
        <f aca="false">H22+F23+G23</f>
        <v>129027.94</v>
      </c>
      <c r="J23" s="96"/>
      <c r="K23" s="96"/>
      <c r="L23" s="97"/>
      <c r="M23" s="98"/>
    </row>
    <row r="24" customFormat="false" ht="12.75" hidden="false" customHeight="false" outlineLevel="0" collapsed="false">
      <c r="B24" s="84" t="s">
        <v>78</v>
      </c>
      <c r="C24" s="84"/>
      <c r="D24" s="85"/>
      <c r="E24" s="85" t="n">
        <v>-6500</v>
      </c>
      <c r="G24" s="79" t="n">
        <v>-6512</v>
      </c>
      <c r="H24" s="79" t="n">
        <f aca="false">H23+F24+G24</f>
        <v>122515.94</v>
      </c>
      <c r="J24" s="96"/>
      <c r="K24" s="96"/>
      <c r="L24" s="97"/>
      <c r="M24" s="98"/>
    </row>
    <row r="25" customFormat="false" ht="12.75" hidden="false" customHeight="false" outlineLevel="0" collapsed="false">
      <c r="B25" s="84" t="s">
        <v>79</v>
      </c>
      <c r="C25" s="84"/>
      <c r="D25" s="85"/>
      <c r="E25" s="85" t="n">
        <v>-6500</v>
      </c>
      <c r="G25" s="79" t="n">
        <v>-6500</v>
      </c>
      <c r="H25" s="79" t="n">
        <f aca="false">H24+F25+G25</f>
        <v>116015.94</v>
      </c>
      <c r="J25" s="96"/>
      <c r="K25" s="96"/>
      <c r="L25" s="97"/>
      <c r="M25" s="98"/>
    </row>
    <row r="26" customFormat="false" ht="12.75" hidden="false" customHeight="false" outlineLevel="0" collapsed="false">
      <c r="H26" s="79" t="n">
        <f aca="false">H25+F26+G26</f>
        <v>116015.94</v>
      </c>
      <c r="J26" s="96"/>
      <c r="K26" s="96"/>
      <c r="L26" s="97"/>
      <c r="M26" s="98"/>
    </row>
    <row r="27" customFormat="false" ht="12.75" hidden="false" customHeight="false" outlineLevel="0" collapsed="false">
      <c r="B27" s="103"/>
      <c r="C27" s="103"/>
      <c r="H27" s="79" t="n">
        <f aca="false">H26+F27+G27</f>
        <v>116015.94</v>
      </c>
      <c r="J27" s="96"/>
      <c r="K27" s="96"/>
      <c r="L27" s="97"/>
      <c r="M27" s="98"/>
    </row>
    <row r="28" customFormat="false" ht="12.75" hidden="false" customHeight="false" outlineLevel="0" collapsed="false">
      <c r="B28" s="171" t="s">
        <v>80</v>
      </c>
      <c r="C28" s="171"/>
      <c r="D28" s="85"/>
      <c r="E28" s="85" t="n">
        <v>-400</v>
      </c>
      <c r="H28" s="79" t="n">
        <f aca="false">H27+F28+G28</f>
        <v>116015.94</v>
      </c>
      <c r="J28" s="96"/>
      <c r="K28" s="96"/>
      <c r="L28" s="97"/>
      <c r="M28" s="98"/>
    </row>
    <row r="29" customFormat="false" ht="12.75" hidden="false" customHeight="false" outlineLevel="0" collapsed="false">
      <c r="B29" s="171" t="s">
        <v>81</v>
      </c>
      <c r="C29" s="171"/>
      <c r="D29" s="85"/>
      <c r="E29" s="85" t="n">
        <v>-500</v>
      </c>
      <c r="H29" s="79" t="n">
        <f aca="false">H28+F29+G29</f>
        <v>116015.94</v>
      </c>
      <c r="J29" s="96"/>
      <c r="K29" s="96"/>
      <c r="L29" s="97"/>
      <c r="M29" s="98"/>
    </row>
    <row r="30" customFormat="false" ht="12.75" hidden="false" customHeight="false" outlineLevel="0" collapsed="false">
      <c r="B30" s="175" t="s">
        <v>114</v>
      </c>
      <c r="D30" s="79" t="n">
        <v>15000</v>
      </c>
      <c r="H30" s="79" t="n">
        <f aca="false">H29+F30+G30</f>
        <v>116015.94</v>
      </c>
    </row>
    <row r="31" customFormat="false" ht="12.75" hidden="false" customHeight="false" outlineLevel="0" collapsed="false">
      <c r="H31" s="79" t="n">
        <f aca="false">H30+F31+G31</f>
        <v>116015.94</v>
      </c>
    </row>
    <row r="32" customFormat="false" ht="12.75" hidden="false" customHeight="false" outlineLevel="0" collapsed="false">
      <c r="A32" s="102"/>
      <c r="H32" s="79" t="n">
        <f aca="false">H31+F32+G32</f>
        <v>116015.94</v>
      </c>
    </row>
    <row r="33" customFormat="false" ht="12.75" hidden="false" customHeight="false" outlineLevel="0" collapsed="false">
      <c r="A33" s="102"/>
      <c r="H33" s="79" t="n">
        <f aca="false">H32+F33+G33</f>
        <v>116015.94</v>
      </c>
    </row>
    <row r="34" customFormat="false" ht="12.75" hidden="false" customHeight="false" outlineLevel="0" collapsed="false">
      <c r="H34" s="79" t="n">
        <f aca="false">H33+F34+G34</f>
        <v>116015.94</v>
      </c>
    </row>
    <row r="36" customFormat="false" ht="12.75" hidden="false" customHeight="false" outlineLevel="0" collapsed="false">
      <c r="A36" s="100" t="n">
        <v>45655</v>
      </c>
      <c r="B36" s="8" t="s">
        <v>98</v>
      </c>
      <c r="C36" s="8" t="s">
        <v>112</v>
      </c>
      <c r="E36" s="79" t="n">
        <v>-1380</v>
      </c>
    </row>
    <row r="37" customFormat="false" ht="12.75" hidden="false" customHeight="false" outlineLevel="0" collapsed="false">
      <c r="A37" s="100" t="n">
        <v>45686</v>
      </c>
      <c r="B37" s="8" t="s">
        <v>98</v>
      </c>
      <c r="C37" s="8" t="s">
        <v>113</v>
      </c>
      <c r="E37" s="79" t="n">
        <v>-1380</v>
      </c>
    </row>
    <row r="38" customFormat="false" ht="12.75" hidden="false" customHeight="false" outlineLevel="0" collapsed="false">
      <c r="A38" s="100" t="n">
        <v>45716</v>
      </c>
      <c r="B38" s="8" t="s">
        <v>98</v>
      </c>
      <c r="C38" s="8" t="s">
        <v>106</v>
      </c>
      <c r="E38" s="79" t="n">
        <v>-1380</v>
      </c>
    </row>
    <row r="39" customFormat="false" ht="12.75" hidden="false" customHeight="false" outlineLevel="0" collapsed="false">
      <c r="A39" s="100" t="n">
        <v>45745</v>
      </c>
      <c r="B39" s="8" t="s">
        <v>98</v>
      </c>
      <c r="C39" s="8" t="s">
        <v>102</v>
      </c>
      <c r="E39" s="79" t="n">
        <v>-1380</v>
      </c>
    </row>
    <row r="40" customFormat="false" ht="12.75" hidden="false" customHeight="false" outlineLevel="0" collapsed="false">
      <c r="A40" s="100" t="n">
        <v>45776</v>
      </c>
      <c r="B40" s="8" t="s">
        <v>98</v>
      </c>
      <c r="C40" s="8" t="s">
        <v>333</v>
      </c>
      <c r="E40" s="79" t="n">
        <v>-1380</v>
      </c>
    </row>
    <row r="41" customFormat="false" ht="12.75" hidden="false" customHeight="false" outlineLevel="0" collapsed="false">
      <c r="A41" s="100"/>
    </row>
    <row r="42" customFormat="false" ht="12.75" hidden="false" customHeight="false" outlineLevel="0" collapsed="false">
      <c r="B42" s="103"/>
      <c r="C42" s="103"/>
    </row>
    <row r="43" customFormat="false" ht="12.75" hidden="false" customHeight="false" outlineLevel="0" collapsed="false">
      <c r="B43" s="101" t="s">
        <v>117</v>
      </c>
      <c r="C43" s="103"/>
    </row>
    <row r="44" customFormat="false" ht="12.75" hidden="false" customHeight="false" outlineLevel="0" collapsed="false">
      <c r="B44" s="101" t="s">
        <v>118</v>
      </c>
      <c r="C44" s="103"/>
    </row>
    <row r="45" customFormat="false" ht="12.75" hidden="false" customHeight="false" outlineLevel="0" collapsed="false">
      <c r="B45" s="103" t="s">
        <v>119</v>
      </c>
      <c r="C45" s="103"/>
    </row>
    <row r="46" customFormat="false" ht="12.75" hidden="false" customHeight="false" outlineLevel="0" collapsed="false">
      <c r="B46" s="103" t="s">
        <v>120</v>
      </c>
      <c r="C46" s="103"/>
    </row>
    <row r="47" customFormat="false" ht="12.75" hidden="false" customHeight="false" outlineLevel="0" collapsed="false">
      <c r="B47" s="103" t="s">
        <v>121</v>
      </c>
      <c r="C47" s="103"/>
    </row>
    <row r="48" customFormat="false" ht="12.75" hidden="false" customHeight="false" outlineLevel="0" collapsed="false">
      <c r="B48" s="103"/>
      <c r="C48" s="103"/>
    </row>
    <row r="49" customFormat="false" ht="12.75" hidden="false" customHeight="false" outlineLevel="0" collapsed="false">
      <c r="C49" s="80"/>
      <c r="D49" s="80"/>
      <c r="E49" s="80"/>
      <c r="F49" s="80" t="n">
        <f aca="false">E55</f>
        <v>93450</v>
      </c>
      <c r="J49" s="96"/>
      <c r="K49" s="96"/>
      <c r="L49" s="97"/>
      <c r="M49" s="98"/>
    </row>
    <row r="50" customFormat="false" ht="12.75" hidden="false" customHeight="false" outlineLevel="0" collapsed="false">
      <c r="B50" s="114" t="s">
        <v>122</v>
      </c>
      <c r="C50" s="80" t="n">
        <v>8</v>
      </c>
      <c r="D50" s="96" t="n">
        <v>250</v>
      </c>
      <c r="E50" s="80" t="n">
        <f aca="false">D50*C50</f>
        <v>2000</v>
      </c>
      <c r="F50" s="80" t="n">
        <f aca="false">F49-E50</f>
        <v>91450</v>
      </c>
      <c r="G50" s="79" t="s">
        <v>123</v>
      </c>
      <c r="J50" s="96"/>
      <c r="K50" s="96"/>
      <c r="L50" s="97"/>
      <c r="M50" s="98"/>
    </row>
    <row r="51" customFormat="false" ht="12.75" hidden="false" customHeight="false" outlineLevel="0" collapsed="false">
      <c r="B51" s="114" t="s">
        <v>124</v>
      </c>
      <c r="C51" s="96" t="n">
        <v>2</v>
      </c>
      <c r="D51" s="96" t="n">
        <v>250</v>
      </c>
      <c r="E51" s="80" t="n">
        <f aca="false">D51*C51</f>
        <v>500</v>
      </c>
      <c r="F51" s="80" t="n">
        <f aca="false">F50-E51</f>
        <v>90950</v>
      </c>
      <c r="G51" s="79" t="s">
        <v>123</v>
      </c>
      <c r="J51" s="96"/>
      <c r="K51" s="96"/>
      <c r="L51" s="97"/>
      <c r="M51" s="98"/>
    </row>
    <row r="52" customFormat="false" ht="12.75" hidden="false" customHeight="false" outlineLevel="0" collapsed="false">
      <c r="B52" s="114" t="s">
        <v>125</v>
      </c>
      <c r="C52" s="80" t="n">
        <v>11</v>
      </c>
      <c r="D52" s="80" t="n">
        <v>250</v>
      </c>
      <c r="E52" s="80" t="n">
        <f aca="false">D52*C52</f>
        <v>2750</v>
      </c>
      <c r="F52" s="80" t="n">
        <f aca="false">F51-E52</f>
        <v>88200</v>
      </c>
      <c r="G52" s="79" t="s">
        <v>123</v>
      </c>
      <c r="J52" s="96"/>
      <c r="K52" s="96"/>
      <c r="L52" s="97"/>
      <c r="M52" s="98"/>
    </row>
    <row r="53" customFormat="false" ht="12.75" hidden="false" customHeight="false" outlineLevel="0" collapsed="false">
      <c r="B53" s="114" t="s">
        <v>126</v>
      </c>
      <c r="C53" s="79" t="n">
        <v>1</v>
      </c>
      <c r="D53" s="79" t="n">
        <v>8595</v>
      </c>
      <c r="E53" s="79" t="n">
        <f aca="false">D53*C53</f>
        <v>8595</v>
      </c>
      <c r="F53" s="80" t="n">
        <f aca="false">F52-E53</f>
        <v>79605</v>
      </c>
      <c r="G53" s="3" t="s">
        <v>127</v>
      </c>
      <c r="J53" s="96"/>
      <c r="K53" s="96"/>
      <c r="L53" s="97"/>
      <c r="M53" s="98"/>
    </row>
    <row r="54" customFormat="false" ht="12.75" hidden="false" customHeight="false" outlineLevel="0" collapsed="false">
      <c r="B54" s="114" t="s">
        <v>126</v>
      </c>
      <c r="C54" s="79" t="n">
        <v>9</v>
      </c>
      <c r="D54" s="79" t="n">
        <v>8845</v>
      </c>
      <c r="E54" s="79" t="n">
        <f aca="false">D54*C54</f>
        <v>79605</v>
      </c>
      <c r="F54" s="80" t="n">
        <f aca="false">F53-E54</f>
        <v>0</v>
      </c>
      <c r="G54" s="3" t="s">
        <v>127</v>
      </c>
      <c r="J54" s="96"/>
      <c r="K54" s="96"/>
      <c r="L54" s="97"/>
      <c r="M54" s="98"/>
    </row>
    <row r="55" customFormat="false" ht="12.75" hidden="false" customHeight="false" outlineLevel="0" collapsed="false">
      <c r="B55" s="96"/>
      <c r="C55" s="96"/>
      <c r="D55" s="115" t="s">
        <v>67</v>
      </c>
      <c r="E55" s="116" t="n">
        <f aca="false">SUM(E50:E54)</f>
        <v>93450</v>
      </c>
      <c r="F55" s="80"/>
      <c r="J55" s="96"/>
      <c r="K55" s="96"/>
      <c r="L55" s="97"/>
      <c r="M55" s="98"/>
    </row>
    <row r="56" customFormat="false" ht="12.75" hidden="false" customHeight="false" outlineLevel="0" collapsed="false">
      <c r="B56" s="103"/>
      <c r="C56" s="103"/>
      <c r="J56" s="96"/>
      <c r="K56" s="96"/>
      <c r="L56" s="97"/>
      <c r="M56" s="98"/>
    </row>
    <row r="57" customFormat="false" ht="12.75" hidden="false" customHeight="false" outlineLevel="0" collapsed="false">
      <c r="B57" s="103"/>
      <c r="C57" s="103"/>
      <c r="J57" s="96"/>
      <c r="K57" s="96"/>
      <c r="L57" s="97"/>
      <c r="M57" s="98"/>
    </row>
    <row r="58" customFormat="false" ht="12.75" hidden="false" customHeight="false" outlineLevel="0" collapsed="false">
      <c r="A58" s="100"/>
    </row>
    <row r="59" customFormat="false" ht="12.75" hidden="false" customHeight="false" outlineLevel="0" collapsed="false">
      <c r="A59" s="90"/>
    </row>
    <row r="60" customFormat="false" ht="12.75" hidden="false" customHeight="false" outlineLevel="0" collapsed="false">
      <c r="A60" s="90"/>
    </row>
    <row r="62" customFormat="false" ht="12.75" hidden="false" customHeight="false" outlineLevel="0" collapsed="false">
      <c r="B62" s="0" t="s">
        <v>334</v>
      </c>
    </row>
    <row r="63" customFormat="false" ht="12.75" hidden="false" customHeight="false" outlineLevel="0" collapsed="false">
      <c r="A63" s="105" t="s">
        <v>335</v>
      </c>
      <c r="B63" s="105"/>
      <c r="C63" s="105"/>
    </row>
    <row r="64" customFormat="false" ht="12.75" hidden="false" customHeight="false" outlineLevel="0" collapsed="false">
      <c r="A64" s="102"/>
      <c r="C64" s="176"/>
    </row>
    <row r="65" customFormat="false" ht="12.75" hidden="false" customHeight="false" outlineLevel="0" collapsed="false">
      <c r="A65" s="177" t="n">
        <v>44929</v>
      </c>
      <c r="B65" s="178" t="s">
        <v>336</v>
      </c>
      <c r="C65" s="105"/>
      <c r="D65" s="79" t="n">
        <f aca="false">SUM(D66:D71)</f>
        <v>0</v>
      </c>
      <c r="E65" s="79" t="n">
        <f aca="false">SUM(E66:E71)</f>
        <v>0</v>
      </c>
    </row>
    <row r="66" customFormat="false" ht="12.75" hidden="false" customHeight="false" outlineLevel="0" collapsed="false">
      <c r="A66" s="102"/>
      <c r="B66" s="108" t="s">
        <v>337</v>
      </c>
    </row>
    <row r="67" customFormat="false" ht="12.75" hidden="false" customHeight="false" outlineLevel="0" collapsed="false">
      <c r="B67" s="0" t="s">
        <v>338</v>
      </c>
    </row>
    <row r="68" customFormat="false" ht="12.75" hidden="false" customHeight="false" outlineLevel="0" collapsed="false">
      <c r="B68" s="0" t="s">
        <v>339</v>
      </c>
    </row>
    <row r="69" customFormat="false" ht="12.75" hidden="false" customHeight="false" outlineLevel="0" collapsed="false">
      <c r="B69" s="0" t="s">
        <v>340</v>
      </c>
    </row>
    <row r="70" customFormat="false" ht="12.75" hidden="false" customHeight="false" outlineLevel="0" collapsed="false">
      <c r="B70" s="0" t="s">
        <v>341</v>
      </c>
    </row>
    <row r="71" customFormat="false" ht="12.75" hidden="false" customHeight="false" outlineLevel="0" collapsed="false">
      <c r="B71" s="0" t="s">
        <v>342</v>
      </c>
      <c r="C71" s="108"/>
    </row>
    <row r="72" customFormat="false" ht="12.75" hidden="false" customHeight="false" outlineLevel="0" collapsed="false">
      <c r="C72" s="108"/>
    </row>
    <row r="74" customFormat="false" ht="12.75" hidden="false" customHeight="false" outlineLevel="0" collapsed="false">
      <c r="B74" s="17"/>
    </row>
    <row r="75" customFormat="false" ht="12.75" hidden="false" customHeight="false" outlineLevel="0" collapsed="false">
      <c r="B75" s="104"/>
    </row>
    <row r="76" customFormat="false" ht="12.75" hidden="false" customHeight="false" outlineLevel="0" collapsed="false">
      <c r="A76" s="105"/>
      <c r="B76" s="106" t="s">
        <v>83</v>
      </c>
      <c r="C76" s="105"/>
      <c r="E76" s="79" t="n">
        <f aca="false">SUM(E77:E88)</f>
        <v>-1797.23</v>
      </c>
    </row>
    <row r="78" customFormat="false" ht="12.75" hidden="false" customHeight="false" outlineLevel="0" collapsed="false">
      <c r="A78" s="90" t="n">
        <v>45373</v>
      </c>
      <c r="B78" s="8" t="s">
        <v>343</v>
      </c>
      <c r="C78" s="0" t="n">
        <v>10176.39</v>
      </c>
      <c r="D78" s="79" t="s">
        <v>344</v>
      </c>
      <c r="E78" s="79" t="n">
        <v>-1130.71</v>
      </c>
    </row>
    <row r="79" customFormat="false" ht="12.75" hidden="false" customHeight="false" outlineLevel="0" collapsed="false">
      <c r="A79" s="90" t="n">
        <v>45375</v>
      </c>
      <c r="B79" s="8" t="s">
        <v>345</v>
      </c>
      <c r="C79" s="0" t="n">
        <v>5999</v>
      </c>
      <c r="D79" s="79" t="s">
        <v>344</v>
      </c>
      <c r="E79" s="79" t="n">
        <v>-666.52</v>
      </c>
    </row>
    <row r="80" customFormat="false" ht="12.75" hidden="false" customHeight="false" outlineLevel="0" collapsed="false">
      <c r="A80" s="90"/>
    </row>
    <row r="81" customFormat="false" ht="13.8" hidden="false" customHeight="false" outlineLevel="0" collapsed="false">
      <c r="A81" s="90"/>
      <c r="C81" s="107" t="s">
        <v>84</v>
      </c>
    </row>
    <row r="83" customFormat="false" ht="12.75" hidden="false" customHeight="false" outlineLevel="0" collapsed="false">
      <c r="A83" s="102"/>
      <c r="B83" s="108"/>
      <c r="C83" s="108"/>
    </row>
    <row r="84" customFormat="false" ht="12.75" hidden="false" customHeight="false" outlineLevel="0" collapsed="false">
      <c r="A84" s="102"/>
      <c r="B84" s="108"/>
      <c r="C84" s="108"/>
    </row>
    <row r="85" customFormat="false" ht="12.75" hidden="false" customHeight="false" outlineLevel="0" collapsed="false">
      <c r="A85" s="102"/>
      <c r="B85" s="109"/>
      <c r="C85" s="108"/>
    </row>
    <row r="86" customFormat="false" ht="12.75" hidden="false" customHeight="false" outlineLevel="0" collapsed="false">
      <c r="A86" s="102"/>
      <c r="B86" s="109"/>
      <c r="C86" s="108"/>
    </row>
    <row r="87" customFormat="false" ht="12.75" hidden="false" customHeight="false" outlineLevel="0" collapsed="false">
      <c r="A87" s="102"/>
      <c r="B87" s="109"/>
    </row>
    <row r="88" customFormat="false" ht="12.75" hidden="false" customHeight="false" outlineLevel="0" collapsed="false">
      <c r="A88" s="102"/>
      <c r="B88" s="109"/>
      <c r="C88" s="108"/>
    </row>
    <row r="89" customFormat="false" ht="12.75" hidden="false" customHeight="false" outlineLevel="0" collapsed="false">
      <c r="A89" s="102"/>
      <c r="B89" s="3"/>
    </row>
    <row r="90" customFormat="false" ht="12.75" hidden="false" customHeight="false" outlineLevel="0" collapsed="false">
      <c r="A90" s="102"/>
      <c r="B90" s="108"/>
      <c r="C90" s="108"/>
    </row>
    <row r="91" customFormat="false" ht="12.75" hidden="false" customHeight="false" outlineLevel="0" collapsed="false">
      <c r="A91" s="105"/>
      <c r="B91" s="106" t="s">
        <v>85</v>
      </c>
      <c r="C91" s="105"/>
      <c r="E91" s="79" t="n">
        <f aca="false">SUM(E92:E110)</f>
        <v>-9239.03</v>
      </c>
    </row>
    <row r="92" customFormat="false" ht="12.75" hidden="false" customHeight="false" outlineLevel="0" collapsed="false">
      <c r="A92" s="102"/>
      <c r="B92" s="108"/>
      <c r="C92" s="108"/>
    </row>
    <row r="93" customFormat="false" ht="12.75" hidden="false" customHeight="false" outlineLevel="0" collapsed="false">
      <c r="A93" s="102"/>
      <c r="B93" s="108"/>
      <c r="C93" s="108"/>
    </row>
    <row r="94" customFormat="false" ht="12.75" hidden="false" customHeight="false" outlineLevel="0" collapsed="false">
      <c r="A94" s="102"/>
      <c r="B94" s="3" t="s">
        <v>346</v>
      </c>
      <c r="C94" s="108"/>
      <c r="E94" s="79" t="n">
        <v>-429.88</v>
      </c>
    </row>
    <row r="95" customFormat="false" ht="12.75" hidden="false" customHeight="false" outlineLevel="0" collapsed="false">
      <c r="A95" s="102"/>
      <c r="B95" s="3" t="s">
        <v>347</v>
      </c>
      <c r="C95" s="108"/>
      <c r="E95" s="79" t="n">
        <v>-654.99</v>
      </c>
    </row>
    <row r="96" customFormat="false" ht="12.75" hidden="false" customHeight="false" outlineLevel="0" collapsed="false">
      <c r="A96" s="102"/>
      <c r="B96" s="3" t="s">
        <v>348</v>
      </c>
      <c r="C96" s="108"/>
      <c r="E96" s="79" t="n">
        <v>-1600</v>
      </c>
    </row>
    <row r="97" customFormat="false" ht="12.75" hidden="false" customHeight="false" outlineLevel="0" collapsed="false">
      <c r="A97" s="102"/>
      <c r="B97" s="3" t="s">
        <v>130</v>
      </c>
      <c r="C97" s="108"/>
      <c r="E97" s="79" t="n">
        <v>-125.48</v>
      </c>
    </row>
    <row r="98" customFormat="false" ht="12.75" hidden="false" customHeight="false" outlineLevel="0" collapsed="false">
      <c r="A98" s="102"/>
      <c r="B98" s="3" t="s">
        <v>130</v>
      </c>
      <c r="C98" s="108"/>
      <c r="E98" s="79" t="n">
        <v>-297.45</v>
      </c>
    </row>
    <row r="99" customFormat="false" ht="12.75" hidden="false" customHeight="false" outlineLevel="0" collapsed="false">
      <c r="A99" s="102"/>
      <c r="B99" s="3" t="s">
        <v>130</v>
      </c>
      <c r="C99" s="108"/>
      <c r="E99" s="79" t="n">
        <v>-174</v>
      </c>
    </row>
    <row r="100" customFormat="false" ht="12.75" hidden="false" customHeight="false" outlineLevel="0" collapsed="false">
      <c r="A100" s="102"/>
      <c r="B100" s="3" t="s">
        <v>130</v>
      </c>
      <c r="C100" s="108"/>
      <c r="E100" s="79" t="n">
        <v>-49</v>
      </c>
    </row>
    <row r="101" customFormat="false" ht="12.75" hidden="false" customHeight="false" outlineLevel="0" collapsed="false">
      <c r="A101" s="102"/>
      <c r="B101" s="3" t="s">
        <v>130</v>
      </c>
      <c r="C101" s="108"/>
      <c r="E101" s="79" t="n">
        <v>-29.9</v>
      </c>
    </row>
    <row r="102" customFormat="false" ht="12.75" hidden="false" customHeight="false" outlineLevel="0" collapsed="false">
      <c r="A102" s="102"/>
      <c r="B102" s="3" t="s">
        <v>349</v>
      </c>
      <c r="C102" s="108"/>
      <c r="E102" s="79" t="n">
        <v>-525</v>
      </c>
    </row>
    <row r="103" customFormat="false" ht="12.75" hidden="false" customHeight="false" outlineLevel="0" collapsed="false">
      <c r="A103" s="102"/>
      <c r="B103" s="3" t="s">
        <v>130</v>
      </c>
      <c r="C103" s="108"/>
      <c r="E103" s="79" t="n">
        <v>-257.33</v>
      </c>
    </row>
    <row r="104" customFormat="false" ht="12.75" hidden="false" customHeight="false" outlineLevel="0" collapsed="false">
      <c r="A104" s="102"/>
      <c r="B104" s="3" t="s">
        <v>350</v>
      </c>
      <c r="C104" s="108"/>
      <c r="E104" s="79" t="n">
        <v>-84.95</v>
      </c>
    </row>
    <row r="105" customFormat="false" ht="12.75" hidden="false" customHeight="false" outlineLevel="0" collapsed="false">
      <c r="A105" s="102"/>
      <c r="B105" s="3" t="s">
        <v>132</v>
      </c>
      <c r="C105" s="108" t="n">
        <v>129000.63</v>
      </c>
    </row>
    <row r="106" customFormat="false" ht="12.75" hidden="false" customHeight="false" outlineLevel="0" collapsed="false">
      <c r="A106" s="102"/>
      <c r="B106" s="3" t="s">
        <v>351</v>
      </c>
      <c r="C106" s="108"/>
      <c r="E106" s="79" t="n">
        <v>-500</v>
      </c>
    </row>
    <row r="107" customFormat="false" ht="12.75" hidden="false" customHeight="false" outlineLevel="0" collapsed="false">
      <c r="A107" s="102"/>
      <c r="B107" s="3" t="s">
        <v>350</v>
      </c>
      <c r="C107" s="108"/>
      <c r="E107" s="79" t="n">
        <v>-886.3</v>
      </c>
    </row>
    <row r="108" customFormat="false" ht="12.75" hidden="false" customHeight="false" outlineLevel="0" collapsed="false">
      <c r="A108" s="102"/>
      <c r="B108" s="3" t="s">
        <v>350</v>
      </c>
      <c r="C108" s="108"/>
      <c r="E108" s="79" t="n">
        <v>-99.75</v>
      </c>
    </row>
    <row r="109" customFormat="false" ht="12.75" hidden="false" customHeight="false" outlineLevel="0" collapsed="false">
      <c r="A109" s="102" t="n">
        <v>45606</v>
      </c>
      <c r="B109" s="3" t="s">
        <v>352</v>
      </c>
      <c r="C109" s="108"/>
      <c r="E109" s="79" t="n">
        <v>-3525</v>
      </c>
    </row>
    <row r="110" customFormat="false" ht="12.75" hidden="false" customHeight="false" outlineLevel="0" collapsed="false">
      <c r="A110" s="102"/>
      <c r="B110" s="3"/>
      <c r="C110" s="108"/>
    </row>
    <row r="111" customFormat="false" ht="13.8" hidden="false" customHeight="false" outlineLevel="0" collapsed="false">
      <c r="A111" s="102"/>
      <c r="B111" s="3"/>
      <c r="C111" s="107" t="s">
        <v>84</v>
      </c>
    </row>
    <row r="112" customFormat="false" ht="12.75" hidden="false" customHeight="false" outlineLevel="0" collapsed="false">
      <c r="A112" s="102"/>
      <c r="B112" s="3"/>
      <c r="C112" s="108"/>
    </row>
    <row r="113" customFormat="false" ht="12.75" hidden="false" customHeight="false" outlineLevel="0" collapsed="false">
      <c r="A113" s="102"/>
      <c r="B113" s="3"/>
      <c r="C113" s="108"/>
    </row>
    <row r="114" customFormat="false" ht="12.75" hidden="false" customHeight="false" outlineLevel="0" collapsed="false">
      <c r="A114" s="102"/>
      <c r="B114" s="3"/>
      <c r="C114" s="108"/>
    </row>
    <row r="115" customFormat="false" ht="12.75" hidden="false" customHeight="false" outlineLevel="0" collapsed="false">
      <c r="A115" s="102"/>
      <c r="B115" s="3"/>
      <c r="C115" s="108"/>
    </row>
    <row r="116" customFormat="false" ht="12.75" hidden="false" customHeight="false" outlineLevel="0" collapsed="false">
      <c r="A116" s="102"/>
      <c r="B116" s="3"/>
      <c r="C116" s="108"/>
    </row>
    <row r="117" customFormat="false" ht="12.75" hidden="false" customHeight="false" outlineLevel="0" collapsed="false">
      <c r="A117" s="102"/>
      <c r="B117" s="3"/>
      <c r="C117" s="108"/>
    </row>
    <row r="118" customFormat="false" ht="12.75" hidden="false" customHeight="false" outlineLevel="0" collapsed="false">
      <c r="A118" s="102"/>
      <c r="B118" s="3"/>
      <c r="C118" s="108"/>
    </row>
    <row r="119" customFormat="false" ht="12.75" hidden="false" customHeight="false" outlineLevel="0" collapsed="false">
      <c r="A119" s="102"/>
      <c r="B119" s="3"/>
      <c r="C119" s="108"/>
    </row>
    <row r="120" customFormat="false" ht="12.75" hidden="false" customHeight="false" outlineLevel="0" collapsed="false">
      <c r="A120" s="102"/>
      <c r="B120" s="3"/>
      <c r="C120" s="108"/>
    </row>
    <row r="121" customFormat="false" ht="12.75" hidden="false" customHeight="false" outlineLevel="0" collapsed="false">
      <c r="A121" s="102"/>
      <c r="B121" s="3"/>
      <c r="C121" s="108"/>
    </row>
    <row r="122" customFormat="false" ht="12.75" hidden="false" customHeight="false" outlineLevel="0" collapsed="false">
      <c r="A122" s="102"/>
      <c r="B122" s="3"/>
      <c r="C122" s="108"/>
    </row>
    <row r="125" customFormat="false" ht="12.75" hidden="false" customHeight="false" outlineLevel="0" collapsed="false">
      <c r="A125" s="117" t="s">
        <v>353</v>
      </c>
      <c r="B125" s="106" t="s">
        <v>139</v>
      </c>
      <c r="C125" s="105" t="n">
        <v>2024</v>
      </c>
      <c r="E125" s="79" t="n">
        <f aca="false">SUM(E126:E148)</f>
        <v>674753.38</v>
      </c>
    </row>
    <row r="126" customFormat="false" ht="12.75" hidden="false" customHeight="false" outlineLevel="0" collapsed="false">
      <c r="A126" s="102"/>
      <c r="B126" s="8" t="s">
        <v>77</v>
      </c>
      <c r="E126" s="79" t="n">
        <v>0</v>
      </c>
    </row>
    <row r="127" customFormat="false" ht="12.75" hidden="false" customHeight="false" outlineLevel="0" collapsed="false">
      <c r="A127" s="102"/>
      <c r="B127" s="8" t="s">
        <v>78</v>
      </c>
    </row>
    <row r="128" customFormat="false" ht="12.75" hidden="false" customHeight="false" outlineLevel="0" collapsed="false">
      <c r="A128" s="102"/>
      <c r="B128" s="8" t="s">
        <v>141</v>
      </c>
      <c r="E128" s="79" t="n">
        <v>293700</v>
      </c>
    </row>
    <row r="129" customFormat="false" ht="12.75" hidden="false" customHeight="false" outlineLevel="0" collapsed="false">
      <c r="A129" s="102"/>
    </row>
    <row r="130" customFormat="false" ht="12.75" hidden="false" customHeight="false" outlineLevel="0" collapsed="false">
      <c r="A130" s="102"/>
      <c r="B130" s="8" t="s">
        <v>142</v>
      </c>
      <c r="C130" s="2"/>
      <c r="D130" s="2"/>
      <c r="E130" s="17" t="n">
        <v>21084</v>
      </c>
    </row>
    <row r="131" customFormat="false" ht="12.75" hidden="false" customHeight="false" outlineLevel="0" collapsed="false">
      <c r="A131" s="102"/>
      <c r="C131" s="2"/>
      <c r="D131" s="2"/>
      <c r="E131" s="17"/>
    </row>
    <row r="132" customFormat="false" ht="12.75" hidden="false" customHeight="false" outlineLevel="0" collapsed="false">
      <c r="A132" s="102"/>
      <c r="B132" s="8" t="s">
        <v>144</v>
      </c>
      <c r="C132" s="2" t="n">
        <v>40</v>
      </c>
      <c r="D132" s="179" t="n">
        <v>852</v>
      </c>
      <c r="E132" s="17" t="n">
        <f aca="false">D132*C132</f>
        <v>34080</v>
      </c>
    </row>
    <row r="133" customFormat="false" ht="12.75" hidden="false" customHeight="false" outlineLevel="0" collapsed="false">
      <c r="A133" s="102"/>
      <c r="B133" s="8" t="s">
        <v>145</v>
      </c>
      <c r="C133" s="2" t="n">
        <v>4000</v>
      </c>
      <c r="D133" s="2" t="n">
        <v>31</v>
      </c>
      <c r="E133" s="17" t="n">
        <f aca="false">D133*C133</f>
        <v>124000</v>
      </c>
      <c r="F133" s="17" t="n">
        <f aca="false">SUM(E132:E133)</f>
        <v>158080</v>
      </c>
    </row>
    <row r="134" customFormat="false" ht="12.75" hidden="false" customHeight="false" outlineLevel="0" collapsed="false">
      <c r="A134" s="102"/>
      <c r="C134" s="2"/>
      <c r="D134" s="2"/>
    </row>
    <row r="135" customFormat="false" ht="12.75" hidden="false" customHeight="false" outlineLevel="0" collapsed="false">
      <c r="A135" s="102"/>
      <c r="B135" s="8" t="s">
        <v>146</v>
      </c>
      <c r="C135" s="180" t="n">
        <v>125000</v>
      </c>
      <c r="D135" s="179" t="n">
        <v>0.779716</v>
      </c>
      <c r="E135" s="17" t="n">
        <f aca="false">D135*C135</f>
        <v>97464.5</v>
      </c>
    </row>
    <row r="136" customFormat="false" ht="12.75" hidden="false" customHeight="false" outlineLevel="0" collapsed="false">
      <c r="A136" s="102"/>
      <c r="B136" s="8" t="s">
        <v>147</v>
      </c>
      <c r="C136" s="2" t="n">
        <v>10</v>
      </c>
      <c r="D136" s="2" t="n">
        <v>103.7</v>
      </c>
      <c r="E136" s="17" t="n">
        <f aca="false">D136*C136</f>
        <v>1037</v>
      </c>
    </row>
    <row r="137" customFormat="false" ht="12.75" hidden="false" customHeight="false" outlineLevel="0" collapsed="false">
      <c r="A137" s="102"/>
      <c r="B137" s="8" t="s">
        <v>148</v>
      </c>
      <c r="C137" s="2" t="n">
        <v>38</v>
      </c>
      <c r="D137" s="2" t="n">
        <v>21.42</v>
      </c>
      <c r="E137" s="17" t="n">
        <f aca="false">D137*C137</f>
        <v>813.96</v>
      </c>
    </row>
    <row r="138" customFormat="false" ht="12.75" hidden="false" customHeight="false" outlineLevel="0" collapsed="false">
      <c r="A138" s="102"/>
      <c r="B138" s="8" t="s">
        <v>149</v>
      </c>
      <c r="C138" s="2" t="n">
        <v>26</v>
      </c>
      <c r="D138" s="2" t="n">
        <v>25.92</v>
      </c>
      <c r="E138" s="17" t="n">
        <f aca="false">D138*C138</f>
        <v>673.92</v>
      </c>
      <c r="F138" s="17" t="n">
        <f aca="false">SUM(E135:E138)</f>
        <v>99989.38</v>
      </c>
    </row>
    <row r="139" customFormat="false" ht="12.75" hidden="false" customHeight="false" outlineLevel="0" collapsed="false">
      <c r="A139" s="102"/>
      <c r="B139" s="8" t="s">
        <v>143</v>
      </c>
      <c r="C139" s="2"/>
      <c r="D139" s="2"/>
    </row>
    <row r="140" customFormat="false" ht="12.75" hidden="false" customHeight="false" outlineLevel="0" collapsed="false">
      <c r="A140" s="102"/>
    </row>
    <row r="141" customFormat="false" ht="12.75" hidden="false" customHeight="false" outlineLevel="0" collapsed="false">
      <c r="A141" s="102"/>
      <c r="B141" s="8" t="s">
        <v>354</v>
      </c>
      <c r="C141" s="2" t="n">
        <v>2900</v>
      </c>
      <c r="D141" s="2" t="n">
        <v>1</v>
      </c>
      <c r="E141" s="17" t="n">
        <f aca="false">D141*C141</f>
        <v>2900</v>
      </c>
    </row>
    <row r="142" customFormat="false" ht="12.75" hidden="false" customHeight="false" outlineLevel="0" collapsed="false">
      <c r="A142" s="102"/>
      <c r="B142" s="8" t="s">
        <v>151</v>
      </c>
      <c r="C142" s="2" t="n">
        <v>4900</v>
      </c>
      <c r="D142" s="2" t="n">
        <v>16</v>
      </c>
      <c r="E142" s="17" t="n">
        <f aca="false">D142*C142</f>
        <v>78400</v>
      </c>
    </row>
    <row r="143" customFormat="false" ht="12.75" hidden="false" customHeight="false" outlineLevel="0" collapsed="false">
      <c r="A143" s="102"/>
      <c r="B143" s="8" t="s">
        <v>152</v>
      </c>
      <c r="C143" s="2" t="n">
        <v>19600</v>
      </c>
      <c r="D143" s="2" t="n">
        <v>1</v>
      </c>
      <c r="E143" s="17" t="n">
        <f aca="false">D143*C143</f>
        <v>19600</v>
      </c>
      <c r="F143" s="17" t="n">
        <f aca="false">SUM(E141:E143)</f>
        <v>100900</v>
      </c>
    </row>
    <row r="144" customFormat="false" ht="12.75" hidden="false" customHeight="false" outlineLevel="0" collapsed="false">
      <c r="A144" s="102"/>
      <c r="C144" s="2"/>
      <c r="D144" s="2"/>
    </row>
    <row r="145" customFormat="false" ht="12.75" hidden="false" customHeight="false" outlineLevel="0" collapsed="false">
      <c r="A145" s="102"/>
      <c r="B145" s="8" t="s">
        <v>153</v>
      </c>
      <c r="C145" s="124" t="n">
        <v>33.2506</v>
      </c>
      <c r="D145" s="2"/>
      <c r="E145" s="17"/>
    </row>
    <row r="146" customFormat="false" ht="12.75" hidden="false" customHeight="false" outlineLevel="0" collapsed="false">
      <c r="A146" s="102"/>
      <c r="B146" s="8" t="s">
        <v>154</v>
      </c>
      <c r="C146" s="124" t="n">
        <v>36.855</v>
      </c>
      <c r="D146" s="2"/>
      <c r="E146" s="17"/>
    </row>
    <row r="147" customFormat="false" ht="12.75" hidden="false" customHeight="false" outlineLevel="0" collapsed="false">
      <c r="A147" s="102"/>
      <c r="B147" s="8" t="s">
        <v>155</v>
      </c>
      <c r="C147" s="2"/>
      <c r="D147" s="2"/>
      <c r="E147" s="17" t="n">
        <v>0</v>
      </c>
    </row>
    <row r="148" customFormat="false" ht="12.75" hidden="false" customHeight="false" outlineLevel="0" collapsed="false">
      <c r="A148" s="102"/>
      <c r="B148" s="8" t="s">
        <v>156</v>
      </c>
      <c r="C148" s="2"/>
      <c r="D148" s="2"/>
      <c r="E148" s="17" t="n">
        <v>1000</v>
      </c>
    </row>
    <row r="149" customFormat="false" ht="12.75" hidden="false" customHeight="false" outlineLevel="0" collapsed="false">
      <c r="A149" s="102"/>
      <c r="E149" s="181"/>
    </row>
    <row r="150" customFormat="false" ht="12.75" hidden="false" customHeight="false" outlineLevel="0" collapsed="false">
      <c r="A150" s="102"/>
      <c r="C150" s="129"/>
      <c r="D150" s="3"/>
      <c r="E150" s="129"/>
    </row>
    <row r="151" customFormat="false" ht="12.75" hidden="false" customHeight="false" outlineLevel="0" collapsed="false">
      <c r="A151" s="102"/>
      <c r="C151" s="129"/>
      <c r="D151" s="18" t="s">
        <v>158</v>
      </c>
      <c r="E151" s="9" t="n">
        <f aca="false">SUM(E126:E148)</f>
        <v>674753.38</v>
      </c>
    </row>
    <row r="152" customFormat="false" ht="12.75" hidden="false" customHeight="false" outlineLevel="0" collapsed="false">
      <c r="A152" s="102"/>
      <c r="C152" s="130" t="str">
        <f aca="false">A125</f>
        <v>ARALIKa</v>
      </c>
      <c r="D152" s="131" t="s">
        <v>159</v>
      </c>
      <c r="E152" s="132" t="e">
        <f aca="false">#REF!</f>
        <v>#REF!</v>
      </c>
    </row>
    <row r="153" customFormat="false" ht="12.75" hidden="false" customHeight="false" outlineLevel="0" collapsed="false">
      <c r="A153" s="102"/>
    </row>
    <row r="154" customFormat="false" ht="12.75" hidden="false" customHeight="false" outlineLevel="0" collapsed="false">
      <c r="A154" s="102"/>
    </row>
    <row r="155" customFormat="false" ht="12.75" hidden="false" customHeight="false" outlineLevel="0" collapsed="false">
      <c r="A155" s="102"/>
    </row>
    <row r="160" customFormat="false" ht="12.75" hidden="false" customHeight="false" outlineLevel="0" collapsed="false">
      <c r="B160" s="3" t="s">
        <v>355</v>
      </c>
    </row>
    <row r="161" customFormat="false" ht="12.75" hidden="false" customHeight="false" outlineLevel="0" collapsed="false">
      <c r="B161" s="3" t="s">
        <v>356</v>
      </c>
    </row>
    <row r="162" customFormat="false" ht="12.75" hidden="false" customHeight="false" outlineLevel="0" collapsed="false">
      <c r="B162" s="3" t="s">
        <v>357</v>
      </c>
    </row>
    <row r="163" customFormat="false" ht="12.75" hidden="false" customHeight="false" outlineLevel="0" collapsed="false">
      <c r="B163" s="147"/>
    </row>
    <row r="165" customFormat="false" ht="12.75" hidden="false" customHeight="false" outlineLevel="0" collapsed="false">
      <c r="A165" s="117" t="s">
        <v>358</v>
      </c>
      <c r="B165" s="106" t="s">
        <v>139</v>
      </c>
      <c r="C165" s="105" t="n">
        <v>2024</v>
      </c>
      <c r="G165" s="79" t="n">
        <f aca="false">SUM(G169:G192)</f>
        <v>851853.7</v>
      </c>
    </row>
    <row r="166" customFormat="false" ht="12.75" hidden="false" customHeight="false" outlineLevel="0" collapsed="false">
      <c r="A166" s="117"/>
      <c r="B166" s="106"/>
      <c r="C166" s="105"/>
    </row>
    <row r="167" customFormat="false" ht="12.75" hidden="false" customHeight="false" outlineLevel="0" collapsed="false">
      <c r="A167" s="117"/>
      <c r="B167" s="106"/>
      <c r="C167" s="105"/>
      <c r="E167" s="79" t="s">
        <v>140</v>
      </c>
    </row>
    <row r="168" customFormat="false" ht="12.75" hidden="false" customHeight="false" outlineLevel="0" collapsed="false">
      <c r="A168" s="102"/>
      <c r="B168" s="8" t="s">
        <v>77</v>
      </c>
    </row>
    <row r="169" customFormat="false" ht="12.75" hidden="false" customHeight="false" outlineLevel="0" collapsed="false">
      <c r="A169" s="102"/>
      <c r="B169" s="8" t="s">
        <v>78</v>
      </c>
      <c r="G169" s="79" t="n">
        <v>0</v>
      </c>
    </row>
    <row r="170" customFormat="false" ht="12.75" hidden="false" customHeight="false" outlineLevel="0" collapsed="false">
      <c r="A170" s="102"/>
      <c r="B170" s="8" t="s">
        <v>141</v>
      </c>
      <c r="G170" s="79" t="n">
        <v>293700</v>
      </c>
    </row>
    <row r="171" customFormat="false" ht="12.75" hidden="false" customHeight="false" outlineLevel="0" collapsed="false">
      <c r="A171" s="102"/>
    </row>
    <row r="172" customFormat="false" ht="12.75" hidden="false" customHeight="false" outlineLevel="0" collapsed="false">
      <c r="A172" s="102"/>
      <c r="B172" s="8" t="s">
        <v>142</v>
      </c>
      <c r="C172" s="2"/>
      <c r="D172" s="2"/>
      <c r="G172" s="17" t="n">
        <v>195002.24</v>
      </c>
    </row>
    <row r="173" customFormat="false" ht="12.75" hidden="false" customHeight="false" outlineLevel="0" collapsed="false">
      <c r="A173" s="102"/>
      <c r="C173" s="2"/>
      <c r="D173" s="2"/>
      <c r="G173" s="17"/>
    </row>
    <row r="174" customFormat="false" ht="12.75" hidden="false" customHeight="false" outlineLevel="0" collapsed="false">
      <c r="A174" s="102" t="n">
        <v>45553</v>
      </c>
      <c r="B174" s="84" t="s">
        <v>144</v>
      </c>
      <c r="C174" s="118" t="n">
        <v>40</v>
      </c>
      <c r="D174" s="119" t="n">
        <v>752.555618</v>
      </c>
      <c r="E174" s="120" t="n">
        <f aca="false">D174*C174</f>
        <v>30102.22472</v>
      </c>
      <c r="F174" s="79" t="n">
        <v>864</v>
      </c>
      <c r="G174" s="17" t="n">
        <f aca="false">F174*C174</f>
        <v>34560</v>
      </c>
    </row>
    <row r="175" customFormat="false" ht="12.75" hidden="false" customHeight="false" outlineLevel="0" collapsed="false">
      <c r="A175" s="102" t="n">
        <v>45620</v>
      </c>
      <c r="B175" s="84" t="s">
        <v>145</v>
      </c>
      <c r="C175" s="118" t="n">
        <v>4000</v>
      </c>
      <c r="D175" s="118" t="n">
        <v>32.48</v>
      </c>
      <c r="E175" s="120" t="n">
        <f aca="false">D175*C175</f>
        <v>129920</v>
      </c>
      <c r="F175" s="79" t="n">
        <v>30.95</v>
      </c>
      <c r="G175" s="17" t="n">
        <f aca="false">F175*C175</f>
        <v>123800</v>
      </c>
      <c r="H175" s="17" t="n">
        <f aca="false">SUM(G174:G175)</f>
        <v>158360</v>
      </c>
    </row>
    <row r="176" customFormat="false" ht="12.75" hidden="false" customHeight="false" outlineLevel="0" collapsed="false">
      <c r="A176" s="102"/>
      <c r="B176" s="84"/>
      <c r="C176" s="118"/>
      <c r="D176" s="118"/>
      <c r="E176" s="120"/>
      <c r="G176" s="17"/>
      <c r="H176" s="17"/>
    </row>
    <row r="177" customFormat="false" ht="12.75" hidden="false" customHeight="false" outlineLevel="0" collapsed="false">
      <c r="A177" s="102"/>
      <c r="C177" s="2"/>
      <c r="D177" s="2"/>
      <c r="E177" s="17"/>
      <c r="F177" s="79" t="n">
        <f aca="false">(SUM(G174:G175))-(SUM(E174:E175))</f>
        <v>-1662.22472</v>
      </c>
      <c r="G177" s="17"/>
      <c r="H177" s="17"/>
    </row>
    <row r="178" customFormat="false" ht="12.75" hidden="false" customHeight="false" outlineLevel="0" collapsed="false">
      <c r="A178" s="102"/>
      <c r="C178" s="2"/>
      <c r="D178" s="2"/>
    </row>
    <row r="179" customFormat="false" ht="12.75" hidden="false" customHeight="false" outlineLevel="0" collapsed="false">
      <c r="A179" s="102" t="n">
        <v>45345</v>
      </c>
      <c r="B179" s="8" t="s">
        <v>146</v>
      </c>
      <c r="C179" s="180" t="n">
        <v>125000</v>
      </c>
      <c r="D179" s="79" t="n">
        <v>1.039943</v>
      </c>
      <c r="E179" s="17" t="n">
        <f aca="false">D179*C179</f>
        <v>129992.875</v>
      </c>
      <c r="F179" s="179" t="n">
        <v>0.7847</v>
      </c>
      <c r="G179" s="17" t="n">
        <f aca="false">F179*C179</f>
        <v>98087.5</v>
      </c>
    </row>
    <row r="180" customFormat="false" ht="12.75" hidden="false" customHeight="false" outlineLevel="0" collapsed="false">
      <c r="A180" s="102" t="n">
        <v>45400</v>
      </c>
      <c r="B180" s="8" t="s">
        <v>147</v>
      </c>
      <c r="C180" s="2" t="n">
        <v>10</v>
      </c>
      <c r="D180" s="79" t="n">
        <v>135</v>
      </c>
      <c r="E180" s="17" t="n">
        <f aca="false">D180*C180</f>
        <v>1350</v>
      </c>
      <c r="F180" s="2" t="n">
        <v>127.3</v>
      </c>
      <c r="G180" s="17" t="n">
        <f aca="false">F180*C180</f>
        <v>1273</v>
      </c>
    </row>
    <row r="181" customFormat="false" ht="12.75" hidden="false" customHeight="false" outlineLevel="0" collapsed="false">
      <c r="A181" s="102" t="n">
        <v>45418</v>
      </c>
      <c r="B181" s="8" t="s">
        <v>148</v>
      </c>
      <c r="C181" s="2" t="n">
        <v>38</v>
      </c>
      <c r="D181" s="79" t="n">
        <v>30.5</v>
      </c>
      <c r="E181" s="17" t="n">
        <f aca="false">D181*C181</f>
        <v>1159</v>
      </c>
      <c r="F181" s="2" t="n">
        <v>20.14</v>
      </c>
      <c r="G181" s="17" t="n">
        <f aca="false">F181*C181</f>
        <v>765.32</v>
      </c>
    </row>
    <row r="182" customFormat="false" ht="12.75" hidden="false" customHeight="false" outlineLevel="0" collapsed="false">
      <c r="A182" s="102" t="n">
        <v>45418</v>
      </c>
      <c r="B182" s="8" t="s">
        <v>149</v>
      </c>
      <c r="C182" s="2" t="n">
        <v>26</v>
      </c>
      <c r="D182" s="79" t="n">
        <v>37.115</v>
      </c>
      <c r="E182" s="17" t="n">
        <f aca="false">D182*C182</f>
        <v>964.99</v>
      </c>
      <c r="F182" s="2" t="n">
        <v>27.14</v>
      </c>
      <c r="G182" s="17" t="n">
        <f aca="false">F182*C182</f>
        <v>705.64</v>
      </c>
      <c r="H182" s="17" t="n">
        <f aca="false">SUM(G179:G182)</f>
        <v>100831.46</v>
      </c>
    </row>
    <row r="183" customFormat="false" ht="12.75" hidden="false" customHeight="false" outlineLevel="0" collapsed="false">
      <c r="A183" s="102"/>
      <c r="B183" s="8" t="s">
        <v>143</v>
      </c>
      <c r="C183" s="2"/>
      <c r="D183" s="2"/>
      <c r="E183" s="17"/>
      <c r="F183" s="79" t="n">
        <f aca="false">(SUM(G179:G182))-(SUM(E179:E182))</f>
        <v>-32635.405</v>
      </c>
    </row>
    <row r="184" customFormat="false" ht="12.75" hidden="false" customHeight="false" outlineLevel="0" collapsed="false">
      <c r="A184" s="102"/>
      <c r="E184" s="17"/>
    </row>
    <row r="185" customFormat="false" ht="12.75" hidden="false" customHeight="false" outlineLevel="0" collapsed="false">
      <c r="A185" s="102"/>
      <c r="B185" s="8" t="s">
        <v>150</v>
      </c>
      <c r="C185" s="2" t="n">
        <v>1</v>
      </c>
      <c r="D185" s="79" t="n">
        <v>2500</v>
      </c>
      <c r="E185" s="17" t="n">
        <f aca="false">D185*C185</f>
        <v>2500</v>
      </c>
      <c r="F185" s="2" t="n">
        <v>2960</v>
      </c>
      <c r="G185" s="17" t="n">
        <f aca="false">C185*F185</f>
        <v>2960</v>
      </c>
    </row>
    <row r="186" customFormat="false" ht="12.75" hidden="false" customHeight="false" outlineLevel="0" collapsed="false">
      <c r="A186" s="102"/>
      <c r="B186" s="8" t="s">
        <v>151</v>
      </c>
      <c r="C186" s="2" t="n">
        <v>16</v>
      </c>
      <c r="D186" s="79" t="n">
        <v>4100</v>
      </c>
      <c r="E186" s="17" t="n">
        <f aca="false">D186*C186</f>
        <v>65600</v>
      </c>
      <c r="F186" s="2" t="n">
        <v>5000</v>
      </c>
      <c r="G186" s="17" t="n">
        <f aca="false">C186*F186</f>
        <v>80000</v>
      </c>
    </row>
    <row r="187" customFormat="false" ht="12.75" hidden="false" customHeight="false" outlineLevel="0" collapsed="false">
      <c r="A187" s="102"/>
      <c r="B187" s="8" t="s">
        <v>152</v>
      </c>
      <c r="C187" s="2" t="n">
        <v>1</v>
      </c>
      <c r="D187" s="79" t="n">
        <v>16200</v>
      </c>
      <c r="E187" s="17" t="n">
        <f aca="false">D187*C187</f>
        <v>16200</v>
      </c>
      <c r="F187" s="2" t="n">
        <v>20000</v>
      </c>
      <c r="G187" s="17" t="n">
        <f aca="false">C187*F187</f>
        <v>20000</v>
      </c>
      <c r="H187" s="17" t="n">
        <f aca="false">SUM(G185:G187)</f>
        <v>102960</v>
      </c>
    </row>
    <row r="188" customFormat="false" ht="12.75" hidden="false" customHeight="false" outlineLevel="0" collapsed="false">
      <c r="A188" s="102"/>
      <c r="C188" s="2"/>
      <c r="D188" s="2"/>
      <c r="F188" s="79" t="n">
        <f aca="false">(SUM(G185:G187))-(SUM(E185:E187))</f>
        <v>18660</v>
      </c>
    </row>
    <row r="189" customFormat="false" ht="12.75" hidden="false" customHeight="false" outlineLevel="0" collapsed="false">
      <c r="A189" s="102"/>
      <c r="B189" s="8" t="s">
        <v>153</v>
      </c>
      <c r="C189" s="124" t="n">
        <v>33.2506</v>
      </c>
      <c r="D189" s="2"/>
      <c r="G189" s="17"/>
    </row>
    <row r="190" customFormat="false" ht="12.75" hidden="false" customHeight="false" outlineLevel="0" collapsed="false">
      <c r="A190" s="102"/>
      <c r="B190" s="8" t="s">
        <v>154</v>
      </c>
      <c r="C190" s="124" t="n">
        <v>36.855</v>
      </c>
      <c r="D190" s="2"/>
      <c r="G190" s="17"/>
    </row>
    <row r="191" customFormat="false" ht="12.75" hidden="false" customHeight="false" outlineLevel="0" collapsed="false">
      <c r="A191" s="102"/>
      <c r="B191" s="8" t="s">
        <v>155</v>
      </c>
      <c r="C191" s="2"/>
      <c r="D191" s="2"/>
      <c r="G191" s="17" t="n">
        <v>0</v>
      </c>
    </row>
    <row r="192" customFormat="false" ht="12.75" hidden="false" customHeight="false" outlineLevel="0" collapsed="false">
      <c r="A192" s="102"/>
      <c r="B192" s="8" t="s">
        <v>156</v>
      </c>
      <c r="C192" s="2"/>
      <c r="D192" s="2"/>
      <c r="G192" s="17" t="n">
        <v>1000</v>
      </c>
    </row>
    <row r="193" customFormat="false" ht="12.75" hidden="false" customHeight="false" outlineLevel="0" collapsed="false">
      <c r="A193" s="102"/>
      <c r="F193" s="79" t="n">
        <f aca="false">F188+F183+F177</f>
        <v>-15637.62972</v>
      </c>
      <c r="G193" s="181"/>
    </row>
    <row r="194" customFormat="false" ht="12.75" hidden="false" customHeight="false" outlineLevel="0" collapsed="false">
      <c r="A194" s="102"/>
      <c r="C194" s="129"/>
      <c r="D194" s="3"/>
      <c r="G194" s="129"/>
    </row>
    <row r="195" customFormat="false" ht="12.75" hidden="false" customHeight="false" outlineLevel="0" collapsed="false">
      <c r="A195" s="102"/>
      <c r="C195" s="129"/>
      <c r="D195" s="18" t="s">
        <v>158</v>
      </c>
      <c r="G195" s="9" t="n">
        <f aca="false">SUM(G169:G192)</f>
        <v>851853.7</v>
      </c>
    </row>
    <row r="196" customFormat="false" ht="12.75" hidden="false" customHeight="false" outlineLevel="0" collapsed="false">
      <c r="A196" s="102"/>
      <c r="C196" s="130" t="str">
        <f aca="false">A165</f>
        <v>OCAK 2025 e</v>
      </c>
      <c r="D196" s="131" t="s">
        <v>159</v>
      </c>
      <c r="G196" s="132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H137"/>
  <sheetViews>
    <sheetView showFormulas="false" showGridLines="true" showRowColHeaders="true" showZeros="true" rightToLeft="false" tabSelected="false" showOutlineSymbols="true" defaultGridColor="true" view="normal" topLeftCell="A9" colorId="64" zoomScale="145" zoomScaleNormal="145" zoomScalePageLayoutView="100" workbookViewId="0">
      <selection pane="topLeft" activeCell="D118" activeCellId="0" sqref="D118"/>
    </sheetView>
  </sheetViews>
  <sheetFormatPr defaultColWidth="12.2929687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79" width="11.57"/>
    <col collapsed="false" customWidth="false" hidden="false" outlineLevel="0" max="8" min="5" style="79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79" t="s">
        <v>28</v>
      </c>
      <c r="G1" s="79" t="s">
        <v>29</v>
      </c>
      <c r="H1" s="79" t="s">
        <v>3</v>
      </c>
    </row>
    <row r="2" customFormat="false" ht="12.75" hidden="false" customHeight="false" outlineLevel="0" collapsed="false">
      <c r="A2" s="3" t="s">
        <v>359</v>
      </c>
      <c r="C2" s="81" t="s">
        <v>67</v>
      </c>
      <c r="D2" s="79" t="n">
        <f aca="false">SUM(D4:D38)</f>
        <v>277984.15</v>
      </c>
      <c r="E2" s="79" t="n">
        <f aca="false">SUM(E4:E38)</f>
        <v>-182434.39</v>
      </c>
      <c r="F2" s="79" t="n">
        <f aca="false">SUM(F4:F38)</f>
        <v>212306.38</v>
      </c>
      <c r="G2" s="79" t="n">
        <f aca="false">SUM(G4:G38)</f>
        <v>-220559.32</v>
      </c>
      <c r="H2" s="79" t="n">
        <f aca="false">F2+G2</f>
        <v>-8252.94</v>
      </c>
    </row>
    <row r="3" customFormat="false" ht="12.75" hidden="false" customHeight="false" outlineLevel="0" collapsed="false">
      <c r="B3" s="18"/>
    </row>
    <row r="4" customFormat="false" ht="12.75" hidden="false" customHeight="false" outlineLevel="0" collapsed="false">
      <c r="D4" s="80"/>
      <c r="E4" s="80" t="n">
        <v>0</v>
      </c>
      <c r="H4" s="79" t="n">
        <f aca="false">H3+F4+G4</f>
        <v>0</v>
      </c>
    </row>
    <row r="5" customFormat="false" ht="12.75" hidden="false" customHeight="false" outlineLevel="0" collapsed="false">
      <c r="D5" s="80"/>
      <c r="E5" s="80" t="n">
        <v>0</v>
      </c>
      <c r="H5" s="79" t="n">
        <f aca="false">H4+F5+G5</f>
        <v>0</v>
      </c>
    </row>
    <row r="6" customFormat="false" ht="12.75" hidden="false" customHeight="false" outlineLevel="0" collapsed="false">
      <c r="B6" s="103" t="s">
        <v>360</v>
      </c>
      <c r="C6" s="103" t="s">
        <v>361</v>
      </c>
      <c r="D6" s="80"/>
      <c r="E6" s="80" t="n">
        <v>-250</v>
      </c>
      <c r="H6" s="79" t="n">
        <f aca="false">H5+F6+G6</f>
        <v>0</v>
      </c>
    </row>
    <row r="7" customFormat="false" ht="12.75" hidden="false" customHeight="false" outlineLevel="0" collapsed="false">
      <c r="A7" s="170" t="n">
        <v>45596</v>
      </c>
      <c r="B7" s="182" t="s">
        <v>69</v>
      </c>
      <c r="D7" s="80"/>
      <c r="E7" s="80" t="n">
        <f aca="false">E69</f>
        <v>-129000.63</v>
      </c>
      <c r="F7" s="80"/>
      <c r="G7" s="80" t="n">
        <v>-129000.63</v>
      </c>
      <c r="H7" s="80" t="n">
        <f aca="false">H6+F7+G7</f>
        <v>-129000.63</v>
      </c>
    </row>
    <row r="8" customFormat="false" ht="12.75" hidden="false" customHeight="false" outlineLevel="0" collapsed="false">
      <c r="A8" s="170" t="n">
        <v>45597</v>
      </c>
      <c r="B8" s="103" t="s">
        <v>70</v>
      </c>
      <c r="G8" s="80" t="n">
        <v>-1512.13</v>
      </c>
      <c r="H8" s="80" t="n">
        <f aca="false">H7+F8+G8</f>
        <v>-130512.76</v>
      </c>
    </row>
    <row r="9" customFormat="false" ht="12.75" hidden="false" customHeight="false" outlineLevel="0" collapsed="false">
      <c r="A9" s="90" t="n">
        <v>45569</v>
      </c>
      <c r="B9" s="183" t="s">
        <v>68</v>
      </c>
      <c r="E9" s="80" t="n">
        <f aca="false">E54</f>
        <v>-1797.26</v>
      </c>
      <c r="F9" s="80"/>
      <c r="G9" s="80" t="n">
        <v>-1797.26</v>
      </c>
      <c r="H9" s="80" t="n">
        <f aca="false">H8+F9+G9</f>
        <v>-132310.02</v>
      </c>
    </row>
    <row r="10" customFormat="false" ht="12.75" hidden="false" customHeight="false" outlineLevel="0" collapsed="false">
      <c r="B10" s="182" t="s">
        <v>72</v>
      </c>
      <c r="D10" s="80"/>
      <c r="E10" s="80" t="n">
        <f aca="false">E49*-1</f>
        <v>-0</v>
      </c>
      <c r="H10" s="79" t="n">
        <f aca="false">H9+F10+G10</f>
        <v>-132310.02</v>
      </c>
    </row>
    <row r="11" customFormat="false" ht="12.75" hidden="false" customHeight="false" outlineLevel="0" collapsed="false">
      <c r="A11" s="90" t="n">
        <v>45604</v>
      </c>
      <c r="B11" s="103" t="s">
        <v>362</v>
      </c>
      <c r="C11" s="103"/>
      <c r="E11" s="80" t="n">
        <v>-17500</v>
      </c>
      <c r="G11" s="80" t="n">
        <v>-17500</v>
      </c>
      <c r="H11" s="79" t="n">
        <f aca="false">H10+F11+G11</f>
        <v>-149810.02</v>
      </c>
    </row>
    <row r="12" customFormat="false" ht="12.75" hidden="false" customHeight="false" outlineLevel="0" collapsed="false">
      <c r="A12" s="90" t="n">
        <v>45605</v>
      </c>
      <c r="B12" s="84" t="s">
        <v>363</v>
      </c>
      <c r="C12" s="103"/>
      <c r="E12" s="80"/>
      <c r="F12" s="80" t="n">
        <v>15000</v>
      </c>
      <c r="G12" s="80"/>
      <c r="H12" s="79" t="n">
        <f aca="false">H11+F12+G12</f>
        <v>-134810.02</v>
      </c>
    </row>
    <row r="13" customFormat="false" ht="12.75" hidden="false" customHeight="false" outlineLevel="0" collapsed="false">
      <c r="A13" s="90" t="n">
        <v>45600</v>
      </c>
      <c r="B13" s="42" t="s">
        <v>364</v>
      </c>
      <c r="C13" s="103"/>
      <c r="E13" s="80"/>
      <c r="F13" s="80"/>
      <c r="G13" s="80" t="n">
        <v>-206.3</v>
      </c>
      <c r="H13" s="79" t="n">
        <f aca="false">H12+F13+G13</f>
        <v>-135016.32</v>
      </c>
    </row>
    <row r="14" customFormat="false" ht="12.75" hidden="false" customHeight="false" outlineLevel="0" collapsed="false">
      <c r="B14" s="103" t="s">
        <v>80</v>
      </c>
      <c r="C14" s="103"/>
      <c r="E14" s="80" t="n">
        <v>-400</v>
      </c>
      <c r="F14" s="80"/>
      <c r="G14" s="80"/>
      <c r="H14" s="79" t="n">
        <f aca="false">H13+F14+G14</f>
        <v>-135016.32</v>
      </c>
    </row>
    <row r="15" customFormat="false" ht="12.75" hidden="false" customHeight="false" outlineLevel="0" collapsed="false">
      <c r="B15" s="103" t="s">
        <v>81</v>
      </c>
      <c r="C15" s="103"/>
      <c r="E15" s="80" t="n">
        <v>-500</v>
      </c>
      <c r="F15" s="80"/>
      <c r="G15" s="80"/>
      <c r="H15" s="79" t="n">
        <f aca="false">H14+F15+G15</f>
        <v>-135016.32</v>
      </c>
    </row>
    <row r="16" customFormat="false" ht="12.75" hidden="false" customHeight="false" outlineLevel="0" collapsed="false">
      <c r="A16" s="90" t="n">
        <v>45607</v>
      </c>
      <c r="B16" s="103" t="s">
        <v>365</v>
      </c>
      <c r="E16" s="80"/>
      <c r="F16" s="80" t="n">
        <v>148500</v>
      </c>
      <c r="G16" s="80"/>
      <c r="H16" s="79" t="n">
        <f aca="false">H15+F16+G16</f>
        <v>13483.68</v>
      </c>
    </row>
    <row r="17" customFormat="false" ht="12.75" hidden="false" customHeight="false" outlineLevel="0" collapsed="false">
      <c r="B17" s="103"/>
      <c r="C17" s="103"/>
      <c r="E17" s="80"/>
      <c r="F17" s="80"/>
      <c r="G17" s="80"/>
      <c r="H17" s="79" t="n">
        <f aca="false">H16+F17+G17</f>
        <v>13483.68</v>
      </c>
    </row>
    <row r="18" customFormat="false" ht="12.75" hidden="false" customHeight="false" outlineLevel="0" collapsed="false">
      <c r="A18" s="90" t="n">
        <v>45617</v>
      </c>
      <c r="B18" s="103" t="s">
        <v>75</v>
      </c>
      <c r="C18" s="103"/>
      <c r="E18" s="80" t="n">
        <v>-150</v>
      </c>
      <c r="F18" s="80"/>
      <c r="G18" s="80" t="n">
        <v>-146</v>
      </c>
      <c r="H18" s="79" t="n">
        <f aca="false">H17+F18+G18</f>
        <v>13337.68</v>
      </c>
    </row>
    <row r="19" customFormat="false" ht="12.75" hidden="false" customHeight="false" outlineLevel="0" collapsed="false">
      <c r="A19" s="90" t="n">
        <v>45614</v>
      </c>
      <c r="B19" s="108" t="s">
        <v>73</v>
      </c>
      <c r="C19" s="108"/>
      <c r="E19" s="80" t="n">
        <v>-300</v>
      </c>
      <c r="F19" s="80"/>
      <c r="G19" s="80" t="n">
        <v>-850</v>
      </c>
      <c r="H19" s="79" t="n">
        <f aca="false">H18+F19+G19</f>
        <v>12487.68</v>
      </c>
    </row>
    <row r="20" customFormat="false" ht="12.75" hidden="false" customHeight="false" outlineLevel="0" collapsed="false">
      <c r="A20" s="90" t="n">
        <v>45614</v>
      </c>
      <c r="B20" s="108" t="s">
        <v>74</v>
      </c>
      <c r="C20" s="108"/>
      <c r="E20" s="80" t="n">
        <v>-100</v>
      </c>
      <c r="F20" s="80"/>
      <c r="G20" s="80" t="n">
        <v>-25</v>
      </c>
      <c r="H20" s="79" t="n">
        <f aca="false">H19+F20+G20</f>
        <v>12462.68</v>
      </c>
    </row>
    <row r="21" customFormat="false" ht="12.75" hidden="false" customHeight="false" outlineLevel="0" collapsed="false">
      <c r="B21" s="103"/>
      <c r="C21" s="103"/>
      <c r="E21" s="80"/>
      <c r="F21" s="80"/>
      <c r="G21" s="80"/>
      <c r="H21" s="79" t="n">
        <f aca="false">H20+F21+G21</f>
        <v>12462.68</v>
      </c>
    </row>
    <row r="22" customFormat="false" ht="12.75" hidden="false" customHeight="false" outlineLevel="0" collapsed="false">
      <c r="A22" s="90" t="n">
        <v>45620</v>
      </c>
      <c r="B22" s="171" t="s">
        <v>366</v>
      </c>
      <c r="E22" s="80"/>
      <c r="F22" s="172" t="n">
        <v>35800</v>
      </c>
      <c r="G22" s="80"/>
      <c r="H22" s="79" t="n">
        <f aca="false">H21+F22+G22</f>
        <v>48262.68</v>
      </c>
    </row>
    <row r="23" customFormat="false" ht="12.75" hidden="false" customHeight="false" outlineLevel="0" collapsed="false">
      <c r="A23" s="90" t="n">
        <v>45623</v>
      </c>
      <c r="B23" s="8" t="s">
        <v>367</v>
      </c>
      <c r="D23" s="85"/>
      <c r="E23" s="80" t="n">
        <v>-10000</v>
      </c>
      <c r="F23" s="80"/>
      <c r="G23" s="80" t="n">
        <v>-40000</v>
      </c>
      <c r="H23" s="79" t="n">
        <f aca="false">H22+F23+G23</f>
        <v>8262.67999999999</v>
      </c>
    </row>
    <row r="24" customFormat="false" ht="12.75" hidden="false" customHeight="false" outlineLevel="0" collapsed="false">
      <c r="A24" s="90" t="n">
        <v>45625</v>
      </c>
      <c r="B24" s="84" t="s">
        <v>98</v>
      </c>
      <c r="C24" s="84" t="s">
        <v>325</v>
      </c>
      <c r="D24" s="85"/>
      <c r="E24" s="172" t="n">
        <v>-1380</v>
      </c>
      <c r="F24" s="80"/>
      <c r="G24" s="80"/>
      <c r="H24" s="79" t="n">
        <f aca="false">H23+F24+G24</f>
        <v>8262.67999999999</v>
      </c>
    </row>
    <row r="25" customFormat="false" ht="12.75" hidden="false" customHeight="false" outlineLevel="0" collapsed="false">
      <c r="A25" s="90" t="n">
        <v>45626</v>
      </c>
      <c r="B25" s="171" t="s">
        <v>326</v>
      </c>
      <c r="C25" s="84"/>
      <c r="D25" s="85"/>
      <c r="E25" s="172" t="n">
        <v>-1415</v>
      </c>
      <c r="F25" s="80"/>
      <c r="G25" s="80"/>
      <c r="H25" s="79" t="n">
        <f aca="false">H24+F25+G25</f>
        <v>8262.67999999999</v>
      </c>
    </row>
    <row r="26" customFormat="false" ht="12.75" hidden="false" customHeight="false" outlineLevel="0" collapsed="false">
      <c r="A26" s="90" t="n">
        <v>45626</v>
      </c>
      <c r="B26" s="171" t="s">
        <v>327</v>
      </c>
      <c r="C26" s="84"/>
      <c r="D26" s="85"/>
      <c r="E26" s="172" t="n">
        <v>-141.5</v>
      </c>
      <c r="F26" s="80"/>
      <c r="G26" s="80"/>
      <c r="H26" s="79" t="n">
        <f aca="false">H25+F26+G26</f>
        <v>8262.67999999999</v>
      </c>
    </row>
    <row r="27" customFormat="false" ht="12.75" hidden="false" customHeight="false" outlineLevel="0" collapsed="false">
      <c r="E27" s="80"/>
      <c r="F27" s="80"/>
      <c r="G27" s="80"/>
      <c r="H27" s="79" t="n">
        <f aca="false">H26+F27+G27</f>
        <v>8262.67999999999</v>
      </c>
    </row>
    <row r="28" customFormat="false" ht="12.75" hidden="false" customHeight="false" outlineLevel="0" collapsed="false">
      <c r="B28" s="0" t="s">
        <v>368</v>
      </c>
      <c r="E28" s="80"/>
      <c r="F28" s="80"/>
      <c r="G28" s="80" t="n">
        <v>-5000</v>
      </c>
      <c r="H28" s="79" t="n">
        <f aca="false">H27+F28+G28</f>
        <v>3262.67999999999</v>
      </c>
    </row>
    <row r="29" customFormat="false" ht="12.75" hidden="false" customHeight="false" outlineLevel="0" collapsed="false">
      <c r="B29" s="0" t="s">
        <v>77</v>
      </c>
      <c r="E29" s="80" t="n">
        <v>-6500</v>
      </c>
      <c r="F29" s="80"/>
      <c r="G29" s="80" t="n">
        <v>-6511</v>
      </c>
      <c r="H29" s="79" t="n">
        <f aca="false">H28+F29+G29</f>
        <v>-3248.32000000001</v>
      </c>
    </row>
    <row r="30" customFormat="false" ht="12.75" hidden="false" customHeight="false" outlineLevel="0" collapsed="false">
      <c r="B30" s="0" t="s">
        <v>369</v>
      </c>
      <c r="E30" s="80"/>
      <c r="F30" s="80"/>
      <c r="G30" s="80" t="n">
        <v>-5000</v>
      </c>
      <c r="H30" s="79" t="n">
        <f aca="false">H29+F30+G30</f>
        <v>-8248.32000000001</v>
      </c>
    </row>
    <row r="31" customFormat="false" ht="12.75" hidden="false" customHeight="false" outlineLevel="0" collapsed="false">
      <c r="B31" s="0" t="s">
        <v>78</v>
      </c>
      <c r="E31" s="80" t="n">
        <v>-6500</v>
      </c>
      <c r="F31" s="80"/>
      <c r="G31" s="80" t="n">
        <v>-6511</v>
      </c>
      <c r="H31" s="79" t="n">
        <f aca="false">H30+F31+G31</f>
        <v>-14759.32</v>
      </c>
    </row>
    <row r="32" customFormat="false" ht="12.75" hidden="false" customHeight="false" outlineLevel="0" collapsed="false">
      <c r="B32" s="0" t="s">
        <v>79</v>
      </c>
      <c r="E32" s="80" t="n">
        <v>-6500</v>
      </c>
      <c r="F32" s="80"/>
      <c r="G32" s="80" t="n">
        <v>-6500</v>
      </c>
      <c r="H32" s="79" t="n">
        <f aca="false">H31+F32+G32</f>
        <v>-21259.32</v>
      </c>
    </row>
    <row r="33" customFormat="false" ht="12.75" hidden="false" customHeight="false" outlineLevel="0" collapsed="false">
      <c r="H33" s="79" t="n">
        <f aca="false">H32+F33+G33</f>
        <v>-21259.32</v>
      </c>
    </row>
    <row r="34" customFormat="false" ht="12.75" hidden="false" customHeight="false" outlineLevel="0" collapsed="false">
      <c r="B34" s="0" t="s">
        <v>76</v>
      </c>
      <c r="D34" s="80" t="n">
        <v>12984.15</v>
      </c>
      <c r="F34" s="79" t="n">
        <v>13006.38</v>
      </c>
      <c r="H34" s="79" t="n">
        <f aca="false">H33+F34+G34</f>
        <v>-8252.94000000001</v>
      </c>
    </row>
    <row r="35" customFormat="false" ht="12.75" hidden="false" customHeight="false" outlineLevel="0" collapsed="false">
      <c r="A35" s="102"/>
      <c r="B35" s="84" t="s">
        <v>331</v>
      </c>
      <c r="C35" s="84"/>
      <c r="D35" s="85" t="n">
        <v>15000</v>
      </c>
      <c r="H35" s="79" t="n">
        <f aca="false">H34+F35+G35</f>
        <v>-8252.94000000001</v>
      </c>
    </row>
    <row r="36" customFormat="false" ht="12.75" hidden="false" customHeight="false" outlineLevel="0" collapsed="false">
      <c r="B36" s="84" t="s">
        <v>370</v>
      </c>
      <c r="C36" s="173" t="n">
        <v>0.234011</v>
      </c>
      <c r="D36" s="85" t="n">
        <v>250000</v>
      </c>
      <c r="H36" s="79" t="n">
        <f aca="false">H35+F36+G36</f>
        <v>-8252.94000000001</v>
      </c>
    </row>
    <row r="38" customFormat="false" ht="15" hidden="false" customHeight="false" outlineLevel="0" collapsed="false">
      <c r="B38" s="184"/>
    </row>
    <row r="40" customFormat="false" ht="12.75" hidden="false" customHeight="false" outlineLevel="0" collapsed="false">
      <c r="B40" s="0" t="s">
        <v>334</v>
      </c>
    </row>
    <row r="41" customFormat="false" ht="12.75" hidden="false" customHeight="false" outlineLevel="0" collapsed="false">
      <c r="A41" s="105" t="s">
        <v>335</v>
      </c>
      <c r="B41" s="105"/>
      <c r="C41" s="105"/>
    </row>
    <row r="42" customFormat="false" ht="12.75" hidden="false" customHeight="false" outlineLevel="0" collapsed="false">
      <c r="A42" s="102"/>
      <c r="C42" s="176"/>
    </row>
    <row r="43" customFormat="false" ht="12.75" hidden="false" customHeight="false" outlineLevel="0" collapsed="false">
      <c r="A43" s="177" t="n">
        <v>44929</v>
      </c>
      <c r="B43" s="178" t="s">
        <v>336</v>
      </c>
      <c r="C43" s="105"/>
      <c r="D43" s="79" t="n">
        <f aca="false">SUM(D44:D49)</f>
        <v>0</v>
      </c>
      <c r="E43" s="79" t="n">
        <f aca="false">SUM(E44:E49)</f>
        <v>0</v>
      </c>
    </row>
    <row r="44" customFormat="false" ht="12.75" hidden="false" customHeight="false" outlineLevel="0" collapsed="false">
      <c r="A44" s="102"/>
      <c r="B44" s="108" t="s">
        <v>337</v>
      </c>
    </row>
    <row r="45" customFormat="false" ht="12.75" hidden="false" customHeight="false" outlineLevel="0" collapsed="false">
      <c r="B45" s="0" t="s">
        <v>338</v>
      </c>
    </row>
    <row r="46" customFormat="false" ht="12.75" hidden="false" customHeight="false" outlineLevel="0" collapsed="false">
      <c r="B46" s="0" t="s">
        <v>339</v>
      </c>
    </row>
    <row r="47" customFormat="false" ht="12.75" hidden="false" customHeight="false" outlineLevel="0" collapsed="false">
      <c r="B47" s="0" t="s">
        <v>340</v>
      </c>
    </row>
    <row r="48" customFormat="false" ht="12.75" hidden="false" customHeight="false" outlineLevel="0" collapsed="false">
      <c r="B48" s="0" t="s">
        <v>341</v>
      </c>
    </row>
    <row r="49" customFormat="false" ht="12.75" hidden="false" customHeight="false" outlineLevel="0" collapsed="false">
      <c r="B49" s="0" t="s">
        <v>342</v>
      </c>
      <c r="C49" s="108"/>
    </row>
    <row r="50" customFormat="false" ht="12.75" hidden="false" customHeight="false" outlineLevel="0" collapsed="false">
      <c r="C50" s="108"/>
    </row>
    <row r="52" customFormat="false" ht="12.75" hidden="false" customHeight="false" outlineLevel="0" collapsed="false">
      <c r="B52" s="17"/>
    </row>
    <row r="53" customFormat="false" ht="12.75" hidden="false" customHeight="false" outlineLevel="0" collapsed="false">
      <c r="B53" s="104"/>
    </row>
    <row r="54" customFormat="false" ht="12.75" hidden="false" customHeight="false" outlineLevel="0" collapsed="false">
      <c r="A54" s="105"/>
      <c r="B54" s="106" t="s">
        <v>83</v>
      </c>
      <c r="C54" s="105"/>
      <c r="E54" s="79" t="n">
        <f aca="false">SUM(E55:E66)</f>
        <v>-1797.26</v>
      </c>
    </row>
    <row r="56" customFormat="false" ht="12.75" hidden="false" customHeight="false" outlineLevel="0" collapsed="false">
      <c r="A56" s="90" t="n">
        <v>45373</v>
      </c>
      <c r="B56" s="8" t="s">
        <v>343</v>
      </c>
      <c r="C56" s="0" t="n">
        <v>10176.39</v>
      </c>
      <c r="D56" s="79" t="s">
        <v>371</v>
      </c>
      <c r="E56" s="79" t="n">
        <v>-1130.71</v>
      </c>
    </row>
    <row r="57" customFormat="false" ht="12.75" hidden="false" customHeight="false" outlineLevel="0" collapsed="false">
      <c r="A57" s="90" t="n">
        <v>45375</v>
      </c>
      <c r="B57" s="8" t="s">
        <v>345</v>
      </c>
      <c r="C57" s="0" t="n">
        <v>5999</v>
      </c>
      <c r="D57" s="79" t="s">
        <v>372</v>
      </c>
      <c r="E57" s="79" t="n">
        <v>-666.55</v>
      </c>
    </row>
    <row r="58" customFormat="false" ht="12.75" hidden="false" customHeight="false" outlineLevel="0" collapsed="false">
      <c r="A58" s="90"/>
    </row>
    <row r="59" customFormat="false" ht="13.8" hidden="false" customHeight="false" outlineLevel="0" collapsed="false">
      <c r="D59" s="107" t="s">
        <v>84</v>
      </c>
    </row>
    <row r="61" customFormat="false" ht="12.75" hidden="false" customHeight="false" outlineLevel="0" collapsed="false">
      <c r="A61" s="102"/>
      <c r="B61" s="108"/>
      <c r="C61" s="108"/>
    </row>
    <row r="62" customFormat="false" ht="12.75" hidden="false" customHeight="false" outlineLevel="0" collapsed="false">
      <c r="A62" s="102"/>
      <c r="B62" s="108"/>
      <c r="C62" s="108"/>
    </row>
    <row r="63" customFormat="false" ht="12.75" hidden="false" customHeight="false" outlineLevel="0" collapsed="false">
      <c r="A63" s="102"/>
      <c r="B63" s="109"/>
      <c r="C63" s="108"/>
    </row>
    <row r="64" customFormat="false" ht="12.75" hidden="false" customHeight="false" outlineLevel="0" collapsed="false">
      <c r="A64" s="102"/>
      <c r="B64" s="109"/>
      <c r="C64" s="108"/>
    </row>
    <row r="65" customFormat="false" ht="12.75" hidden="false" customHeight="false" outlineLevel="0" collapsed="false">
      <c r="A65" s="102"/>
      <c r="B65" s="109"/>
    </row>
    <row r="66" customFormat="false" ht="12.75" hidden="false" customHeight="false" outlineLevel="0" collapsed="false">
      <c r="A66" s="102"/>
      <c r="B66" s="109"/>
      <c r="C66" s="108"/>
    </row>
    <row r="67" customFormat="false" ht="12.75" hidden="false" customHeight="false" outlineLevel="0" collapsed="false">
      <c r="A67" s="102"/>
      <c r="B67" s="3"/>
    </row>
    <row r="68" customFormat="false" ht="12.75" hidden="false" customHeight="false" outlineLevel="0" collapsed="false">
      <c r="A68" s="102"/>
      <c r="B68" s="108"/>
      <c r="C68" s="108"/>
    </row>
    <row r="69" customFormat="false" ht="12.75" hidden="false" customHeight="false" outlineLevel="0" collapsed="false">
      <c r="A69" s="105"/>
      <c r="B69" s="106" t="s">
        <v>85</v>
      </c>
      <c r="C69" s="105"/>
      <c r="E69" s="79" t="n">
        <f aca="false">SUM(E70:E101)</f>
        <v>-129000.63</v>
      </c>
    </row>
    <row r="70" customFormat="false" ht="12.75" hidden="false" customHeight="false" outlineLevel="0" collapsed="false">
      <c r="A70" s="102"/>
      <c r="B70" s="108"/>
      <c r="C70" s="108"/>
    </row>
    <row r="71" customFormat="false" ht="12.75" hidden="false" customHeight="false" outlineLevel="0" collapsed="false">
      <c r="A71" s="102" t="n">
        <v>45560</v>
      </c>
      <c r="B71" s="108" t="s">
        <v>373</v>
      </c>
      <c r="C71" s="108"/>
      <c r="E71" s="79" t="n">
        <v>-118966.5</v>
      </c>
    </row>
    <row r="72" customFormat="false" ht="12.75" hidden="false" customHeight="false" outlineLevel="0" collapsed="false">
      <c r="A72" s="102"/>
      <c r="B72" s="108" t="s">
        <v>373</v>
      </c>
      <c r="C72" s="108"/>
      <c r="E72" s="79" t="n">
        <v>-277.72</v>
      </c>
    </row>
    <row r="73" customFormat="false" ht="12.75" hidden="false" customHeight="false" outlineLevel="0" collapsed="false">
      <c r="A73" s="102"/>
      <c r="B73" s="3" t="s">
        <v>374</v>
      </c>
      <c r="C73" s="108"/>
      <c r="E73" s="79" t="n">
        <v>-1398.6</v>
      </c>
    </row>
    <row r="74" customFormat="false" ht="12.75" hidden="false" customHeight="false" outlineLevel="0" collapsed="false">
      <c r="A74" s="102"/>
      <c r="B74" s="3" t="s">
        <v>375</v>
      </c>
      <c r="C74" s="108"/>
      <c r="E74" s="79" t="n">
        <v>-1855</v>
      </c>
    </row>
    <row r="75" customFormat="false" ht="12.75" hidden="false" customHeight="false" outlineLevel="0" collapsed="false">
      <c r="A75" s="102"/>
      <c r="B75" s="3"/>
      <c r="C75" s="108"/>
    </row>
    <row r="76" customFormat="false" ht="12.75" hidden="false" customHeight="false" outlineLevel="0" collapsed="false">
      <c r="A76" s="102"/>
      <c r="B76" s="3" t="s">
        <v>376</v>
      </c>
      <c r="C76" s="108"/>
      <c r="E76" s="79" t="n">
        <v>-480</v>
      </c>
    </row>
    <row r="77" customFormat="false" ht="12.75" hidden="false" customHeight="false" outlineLevel="0" collapsed="false">
      <c r="A77" s="102"/>
      <c r="B77" s="3" t="s">
        <v>377</v>
      </c>
      <c r="C77" s="108"/>
      <c r="E77" s="79" t="n">
        <v>-147.8</v>
      </c>
    </row>
    <row r="78" customFormat="false" ht="12.75" hidden="false" customHeight="false" outlineLevel="0" collapsed="false">
      <c r="A78" s="102"/>
      <c r="B78" s="3" t="s">
        <v>377</v>
      </c>
      <c r="C78" s="108" t="n">
        <v>17.59</v>
      </c>
      <c r="E78" s="79" t="n">
        <v>-17.59</v>
      </c>
    </row>
    <row r="79" customFormat="false" ht="12.75" hidden="false" customHeight="false" outlineLevel="0" collapsed="false">
      <c r="A79" s="102"/>
      <c r="B79" s="3" t="s">
        <v>378</v>
      </c>
      <c r="C79" s="108" t="n">
        <v>330</v>
      </c>
      <c r="E79" s="79" t="n">
        <v>-330</v>
      </c>
    </row>
    <row r="80" customFormat="false" ht="12.75" hidden="false" customHeight="false" outlineLevel="0" collapsed="false">
      <c r="A80" s="102"/>
      <c r="B80" s="3" t="s">
        <v>379</v>
      </c>
      <c r="C80" s="108" t="n">
        <v>-130</v>
      </c>
      <c r="E80" s="79" t="n">
        <v>-130</v>
      </c>
    </row>
    <row r="81" customFormat="false" ht="12.75" hidden="false" customHeight="false" outlineLevel="0" collapsed="false">
      <c r="A81" s="102"/>
      <c r="B81" s="3" t="s">
        <v>278</v>
      </c>
      <c r="C81" s="108"/>
      <c r="D81" s="79" t="n">
        <v>71389.3</v>
      </c>
    </row>
    <row r="82" customFormat="false" ht="12.75" hidden="false" customHeight="false" outlineLevel="0" collapsed="false">
      <c r="A82" s="102"/>
      <c r="B82" s="3" t="s">
        <v>380</v>
      </c>
      <c r="C82" s="108"/>
      <c r="E82" s="79" t="n">
        <v>-140</v>
      </c>
    </row>
    <row r="83" customFormat="false" ht="12.75" hidden="false" customHeight="false" outlineLevel="0" collapsed="false">
      <c r="A83" s="102"/>
      <c r="B83" s="3" t="s">
        <v>378</v>
      </c>
      <c r="C83" s="108" t="n">
        <v>750</v>
      </c>
      <c r="E83" s="79" t="n">
        <v>-750</v>
      </c>
    </row>
    <row r="84" customFormat="false" ht="12.75" hidden="false" customHeight="false" outlineLevel="0" collapsed="false">
      <c r="A84" s="102"/>
      <c r="B84" s="3" t="s">
        <v>377</v>
      </c>
      <c r="C84" s="108"/>
      <c r="E84" s="79" t="n">
        <v>-253.55</v>
      </c>
    </row>
    <row r="85" customFormat="false" ht="12.75" hidden="false" customHeight="false" outlineLevel="0" collapsed="false">
      <c r="A85" s="102"/>
      <c r="B85" s="3" t="s">
        <v>381</v>
      </c>
      <c r="C85" s="108"/>
      <c r="E85" s="79" t="n">
        <v>-250</v>
      </c>
    </row>
    <row r="86" customFormat="false" ht="12.75" hidden="false" customHeight="false" outlineLevel="0" collapsed="false">
      <c r="A86" s="102"/>
      <c r="B86" s="3" t="s">
        <v>382</v>
      </c>
      <c r="C86" s="108"/>
      <c r="E86" s="79" t="n">
        <v>-400</v>
      </c>
    </row>
    <row r="87" customFormat="false" ht="12.75" hidden="false" customHeight="false" outlineLevel="0" collapsed="false">
      <c r="A87" s="102"/>
      <c r="B87" s="3" t="s">
        <v>382</v>
      </c>
      <c r="C87" s="108"/>
      <c r="E87" s="79" t="n">
        <v>-100</v>
      </c>
    </row>
    <row r="88" customFormat="false" ht="12.75" hidden="false" customHeight="false" outlineLevel="0" collapsed="false">
      <c r="A88" s="102"/>
      <c r="B88" s="3" t="s">
        <v>377</v>
      </c>
      <c r="C88" s="108"/>
      <c r="E88" s="79" t="n">
        <v>-68.5</v>
      </c>
    </row>
    <row r="89" customFormat="false" ht="12.75" hidden="false" customHeight="false" outlineLevel="0" collapsed="false">
      <c r="A89" s="102"/>
      <c r="B89" s="3" t="s">
        <v>377</v>
      </c>
      <c r="C89" s="108" t="n">
        <v>43.13</v>
      </c>
      <c r="E89" s="79" t="n">
        <v>-43.13</v>
      </c>
    </row>
    <row r="90" customFormat="false" ht="12.75" hidden="false" customHeight="false" outlineLevel="0" collapsed="false">
      <c r="A90" s="102"/>
      <c r="B90" s="3" t="s">
        <v>378</v>
      </c>
      <c r="C90" s="108" t="n">
        <v>235</v>
      </c>
      <c r="E90" s="79" t="n">
        <v>-235</v>
      </c>
    </row>
    <row r="91" customFormat="false" ht="12.75" hidden="false" customHeight="false" outlineLevel="0" collapsed="false">
      <c r="A91" s="102"/>
      <c r="B91" s="3" t="s">
        <v>379</v>
      </c>
      <c r="C91" s="108" t="n">
        <v>375</v>
      </c>
      <c r="E91" s="79" t="n">
        <v>-375</v>
      </c>
    </row>
    <row r="92" customFormat="false" ht="12.75" hidden="false" customHeight="false" outlineLevel="0" collapsed="false">
      <c r="A92" s="102"/>
      <c r="B92" s="3" t="s">
        <v>377</v>
      </c>
      <c r="C92" s="108" t="n">
        <v>79.84</v>
      </c>
      <c r="E92" s="79" t="n">
        <v>-79.84</v>
      </c>
    </row>
    <row r="93" customFormat="false" ht="12.75" hidden="false" customHeight="false" outlineLevel="0" collapsed="false">
      <c r="A93" s="102"/>
      <c r="B93" s="3" t="s">
        <v>378</v>
      </c>
      <c r="C93" s="108" t="n">
        <v>235</v>
      </c>
      <c r="E93" s="79" t="n">
        <v>-235</v>
      </c>
    </row>
    <row r="94" customFormat="false" ht="12.75" hidden="false" customHeight="false" outlineLevel="0" collapsed="false">
      <c r="A94" s="102"/>
      <c r="B94" s="3" t="s">
        <v>379</v>
      </c>
      <c r="C94" s="108" t="n">
        <v>210</v>
      </c>
      <c r="E94" s="79" t="n">
        <v>-210</v>
      </c>
    </row>
    <row r="95" customFormat="false" ht="12.75" hidden="false" customHeight="false" outlineLevel="0" collapsed="false">
      <c r="A95" s="102"/>
      <c r="B95" s="3" t="s">
        <v>377</v>
      </c>
      <c r="C95" s="108"/>
      <c r="E95" s="79" t="n">
        <v>-112.3</v>
      </c>
    </row>
    <row r="96" customFormat="false" ht="12.75" hidden="false" customHeight="false" outlineLevel="0" collapsed="false">
      <c r="A96" s="102"/>
      <c r="B96" s="3" t="s">
        <v>382</v>
      </c>
      <c r="C96" s="108"/>
      <c r="E96" s="79" t="n">
        <v>-230</v>
      </c>
    </row>
    <row r="97" customFormat="false" ht="12.75" hidden="false" customHeight="false" outlineLevel="0" collapsed="false">
      <c r="A97" s="102"/>
      <c r="B97" s="3" t="s">
        <v>377</v>
      </c>
      <c r="C97" s="108"/>
      <c r="E97" s="79" t="n">
        <v>-187.2</v>
      </c>
    </row>
    <row r="98" customFormat="false" ht="12.75" hidden="false" customHeight="false" outlineLevel="0" collapsed="false">
      <c r="A98" s="102"/>
      <c r="B98" s="3" t="s">
        <v>383</v>
      </c>
      <c r="C98" s="108" t="n">
        <v>1062.9</v>
      </c>
      <c r="E98" s="79" t="n">
        <v>-1062.9</v>
      </c>
    </row>
    <row r="99" customFormat="false" ht="12.75" hidden="false" customHeight="false" outlineLevel="0" collapsed="false">
      <c r="A99" s="102"/>
      <c r="B99" s="3" t="s">
        <v>384</v>
      </c>
      <c r="C99" s="108"/>
      <c r="E99" s="79" t="n">
        <v>-240</v>
      </c>
    </row>
    <row r="100" customFormat="false" ht="12.75" hidden="false" customHeight="false" outlineLevel="0" collapsed="false">
      <c r="A100" s="102"/>
      <c r="B100" s="3" t="s">
        <v>385</v>
      </c>
      <c r="C100" s="108"/>
      <c r="E100" s="79" t="n">
        <v>-280</v>
      </c>
    </row>
    <row r="101" customFormat="false" ht="12.75" hidden="false" customHeight="false" outlineLevel="0" collapsed="false">
      <c r="B101" s="3" t="s">
        <v>379</v>
      </c>
      <c r="C101" s="0" t="n">
        <v>145</v>
      </c>
      <c r="E101" s="79" t="n">
        <v>-145</v>
      </c>
    </row>
    <row r="102" customFormat="false" ht="13.8" hidden="false" customHeight="false" outlineLevel="0" collapsed="false">
      <c r="C102" s="0" t="n">
        <f aca="false">SUM(C77:C101)</f>
        <v>3353.46</v>
      </c>
      <c r="D102" s="107" t="s">
        <v>84</v>
      </c>
    </row>
    <row r="111" customFormat="false" ht="12.75" hidden="false" customHeight="false" outlineLevel="0" collapsed="false">
      <c r="A111" s="117" t="s">
        <v>386</v>
      </c>
      <c r="B111" s="106" t="s">
        <v>139</v>
      </c>
      <c r="C111" s="105" t="n">
        <v>2024</v>
      </c>
      <c r="D111" s="163"/>
      <c r="E111" s="164" t="n">
        <f aca="false">SUM(E112:E133)</f>
        <v>695352.38</v>
      </c>
    </row>
    <row r="112" customFormat="false" ht="12.75" hidden="false" customHeight="false" outlineLevel="0" collapsed="false">
      <c r="A112" s="165" t="n">
        <v>45595</v>
      </c>
      <c r="B112" s="8" t="s">
        <v>77</v>
      </c>
      <c r="C112" s="2"/>
      <c r="D112" s="2"/>
      <c r="E112" s="2" t="n">
        <v>0</v>
      </c>
    </row>
    <row r="113" customFormat="false" ht="12.75" hidden="false" customHeight="false" outlineLevel="0" collapsed="false">
      <c r="A113" s="165" t="n">
        <f aca="false">A112</f>
        <v>45595</v>
      </c>
      <c r="B113" s="8" t="s">
        <v>387</v>
      </c>
      <c r="C113" s="2"/>
      <c r="D113" s="2"/>
      <c r="E113" s="2" t="n">
        <v>0</v>
      </c>
    </row>
    <row r="114" customFormat="false" ht="12.75" hidden="false" customHeight="false" outlineLevel="0" collapsed="false">
      <c r="A114" s="165"/>
      <c r="B114" s="8" t="s">
        <v>388</v>
      </c>
      <c r="C114" s="2"/>
      <c r="D114" s="2"/>
      <c r="E114" s="2" t="n">
        <v>329500</v>
      </c>
    </row>
    <row r="115" customFormat="false" ht="12.75" hidden="false" customHeight="false" outlineLevel="0" collapsed="false">
      <c r="A115" s="165" t="n">
        <f aca="false">A113</f>
        <v>45595</v>
      </c>
      <c r="B115" s="8" t="s">
        <v>142</v>
      </c>
      <c r="C115" s="2"/>
      <c r="D115" s="2"/>
      <c r="E115" s="17" t="n">
        <v>6923</v>
      </c>
    </row>
    <row r="116" customFormat="false" ht="12.75" hidden="false" customHeight="false" outlineLevel="0" collapsed="false">
      <c r="A116" s="165" t="n">
        <f aca="false">A113</f>
        <v>45595</v>
      </c>
      <c r="B116" s="8" t="s">
        <v>144</v>
      </c>
      <c r="C116" s="2" t="n">
        <v>40</v>
      </c>
      <c r="D116" s="179" t="n">
        <v>830</v>
      </c>
      <c r="E116" s="17" t="n">
        <f aca="false">D116*C116</f>
        <v>33200</v>
      </c>
    </row>
    <row r="117" customFormat="false" ht="12.75" hidden="false" customHeight="false" outlineLevel="0" collapsed="false">
      <c r="A117" s="165" t="n">
        <f aca="false">A122</f>
        <v>45595</v>
      </c>
      <c r="B117" s="8" t="s">
        <v>389</v>
      </c>
      <c r="C117" s="2" t="n">
        <v>4000</v>
      </c>
      <c r="D117" s="2" t="n">
        <v>30.96</v>
      </c>
      <c r="E117" s="17" t="n">
        <f aca="false">D117*C117</f>
        <v>123840</v>
      </c>
    </row>
    <row r="118" customFormat="false" ht="12.75" hidden="false" customHeight="false" outlineLevel="0" collapsed="false">
      <c r="A118" s="165" t="n">
        <f aca="false">A115</f>
        <v>45595</v>
      </c>
      <c r="B118" s="8" t="s">
        <v>146</v>
      </c>
      <c r="C118" s="180" t="n">
        <v>125000</v>
      </c>
      <c r="D118" s="179" t="n">
        <v>0.779716</v>
      </c>
      <c r="E118" s="17" t="n">
        <f aca="false">D118*C118</f>
        <v>97464.5</v>
      </c>
    </row>
    <row r="119" customFormat="false" ht="12.75" hidden="false" customHeight="false" outlineLevel="0" collapsed="false">
      <c r="A119" s="165" t="n">
        <f aca="false">A116</f>
        <v>45595</v>
      </c>
      <c r="B119" s="8" t="s">
        <v>147</v>
      </c>
      <c r="C119" s="2" t="n">
        <v>10</v>
      </c>
      <c r="D119" s="2" t="n">
        <v>103.7</v>
      </c>
      <c r="E119" s="17" t="n">
        <f aca="false">D119*C119</f>
        <v>1037</v>
      </c>
    </row>
    <row r="120" customFormat="false" ht="12.75" hidden="false" customHeight="false" outlineLevel="0" collapsed="false">
      <c r="A120" s="165" t="n">
        <f aca="false">A119</f>
        <v>45595</v>
      </c>
      <c r="B120" s="8" t="s">
        <v>148</v>
      </c>
      <c r="C120" s="2" t="n">
        <v>38</v>
      </c>
      <c r="D120" s="2" t="n">
        <v>21.42</v>
      </c>
      <c r="E120" s="17" t="n">
        <f aca="false">D120*C120</f>
        <v>813.96</v>
      </c>
    </row>
    <row r="121" customFormat="false" ht="12.75" hidden="false" customHeight="false" outlineLevel="0" collapsed="false">
      <c r="A121" s="165" t="n">
        <f aca="false">A120</f>
        <v>45595</v>
      </c>
      <c r="B121" s="8" t="s">
        <v>149</v>
      </c>
      <c r="C121" s="2" t="n">
        <v>26</v>
      </c>
      <c r="D121" s="2" t="n">
        <v>25.92</v>
      </c>
      <c r="E121" s="17" t="n">
        <f aca="false">D121*C121</f>
        <v>673.92</v>
      </c>
    </row>
    <row r="122" customFormat="false" ht="12.75" hidden="false" customHeight="false" outlineLevel="0" collapsed="false">
      <c r="A122" s="165" t="n">
        <f aca="false">A121</f>
        <v>45595</v>
      </c>
      <c r="B122" s="8" t="s">
        <v>143</v>
      </c>
      <c r="C122" s="2"/>
      <c r="D122" s="2"/>
      <c r="E122" s="17" t="n">
        <f aca="false">D122*C122</f>
        <v>0</v>
      </c>
    </row>
    <row r="123" customFormat="false" ht="12.75" hidden="false" customHeight="false" outlineLevel="0" collapsed="false">
      <c r="E123" s="17" t="n">
        <f aca="false">D123*C123</f>
        <v>0</v>
      </c>
    </row>
    <row r="124" customFormat="false" ht="12.75" hidden="false" customHeight="false" outlineLevel="0" collapsed="false">
      <c r="A124" s="165" t="n">
        <f aca="false">A117</f>
        <v>45595</v>
      </c>
      <c r="C124" s="2"/>
      <c r="D124" s="2"/>
      <c r="E124" s="17" t="n">
        <f aca="false">D124*C124</f>
        <v>0</v>
      </c>
    </row>
    <row r="125" customFormat="false" ht="12.75" hidden="false" customHeight="false" outlineLevel="0" collapsed="false">
      <c r="A125" s="165" t="n">
        <f aca="false">A124</f>
        <v>45595</v>
      </c>
      <c r="C125" s="2"/>
      <c r="D125" s="2"/>
      <c r="E125" s="17" t="n">
        <f aca="false">D125*C125</f>
        <v>0</v>
      </c>
    </row>
    <row r="126" customFormat="false" ht="12.75" hidden="false" customHeight="false" outlineLevel="0" collapsed="false">
      <c r="A126" s="165" t="n">
        <f aca="false">A125</f>
        <v>45595</v>
      </c>
      <c r="B126" s="8" t="s">
        <v>354</v>
      </c>
      <c r="C126" s="2" t="n">
        <v>2900</v>
      </c>
      <c r="D126" s="2" t="n">
        <v>1</v>
      </c>
      <c r="E126" s="17" t="n">
        <f aca="false">D126*C126</f>
        <v>2900</v>
      </c>
    </row>
    <row r="127" customFormat="false" ht="12.75" hidden="false" customHeight="false" outlineLevel="0" collapsed="false">
      <c r="A127" s="165" t="n">
        <f aca="false">A126</f>
        <v>45595</v>
      </c>
      <c r="B127" s="8" t="s">
        <v>151</v>
      </c>
      <c r="C127" s="2" t="n">
        <v>4900</v>
      </c>
      <c r="D127" s="2" t="n">
        <v>16</v>
      </c>
      <c r="E127" s="17" t="n">
        <f aca="false">D127*C127</f>
        <v>78400</v>
      </c>
    </row>
    <row r="128" customFormat="false" ht="12.75" hidden="false" customHeight="false" outlineLevel="0" collapsed="false">
      <c r="A128" s="165" t="n">
        <f aca="false">A127</f>
        <v>45595</v>
      </c>
      <c r="B128" s="8" t="s">
        <v>152</v>
      </c>
      <c r="C128" s="2" t="n">
        <v>19600</v>
      </c>
      <c r="D128" s="2" t="n">
        <v>1</v>
      </c>
      <c r="E128" s="17" t="n">
        <f aca="false">D128*C128</f>
        <v>19600</v>
      </c>
    </row>
    <row r="129" customFormat="false" ht="12.75" hidden="false" customHeight="false" outlineLevel="0" collapsed="false">
      <c r="A129" s="165" t="n">
        <f aca="false">A128</f>
        <v>45595</v>
      </c>
      <c r="C129" s="2"/>
      <c r="D129" s="2"/>
      <c r="E129" s="17"/>
    </row>
    <row r="130" customFormat="false" ht="12.75" hidden="false" customHeight="false" outlineLevel="0" collapsed="false">
      <c r="A130" s="165" t="n">
        <f aca="false">A126</f>
        <v>45595</v>
      </c>
      <c r="B130" s="8" t="s">
        <v>153</v>
      </c>
      <c r="C130" s="124" t="n">
        <v>33.2506</v>
      </c>
      <c r="D130" s="2" t="n">
        <v>0</v>
      </c>
      <c r="E130" s="17"/>
    </row>
    <row r="131" customFormat="false" ht="12.75" hidden="false" customHeight="false" outlineLevel="0" collapsed="false">
      <c r="A131" s="165" t="n">
        <f aca="false">A130</f>
        <v>45595</v>
      </c>
      <c r="B131" s="8" t="s">
        <v>154</v>
      </c>
      <c r="C131" s="124" t="n">
        <v>36.855</v>
      </c>
      <c r="D131" s="2" t="n">
        <v>0</v>
      </c>
      <c r="E131" s="17" t="n">
        <f aca="false">D131*C131</f>
        <v>0</v>
      </c>
    </row>
    <row r="132" customFormat="false" ht="12.75" hidden="false" customHeight="false" outlineLevel="0" collapsed="false">
      <c r="A132" s="165" t="n">
        <f aca="false">A131</f>
        <v>45595</v>
      </c>
      <c r="B132" s="8" t="s">
        <v>155</v>
      </c>
      <c r="C132" s="2"/>
      <c r="D132" s="2"/>
      <c r="E132" s="17" t="n">
        <v>0</v>
      </c>
    </row>
    <row r="133" customFormat="false" ht="12.75" hidden="false" customHeight="false" outlineLevel="0" collapsed="false">
      <c r="A133" s="165" t="n">
        <f aca="false">A132</f>
        <v>45595</v>
      </c>
      <c r="B133" s="8" t="s">
        <v>156</v>
      </c>
      <c r="C133" s="2"/>
      <c r="D133" s="2"/>
      <c r="E133" s="17" t="n">
        <v>1000</v>
      </c>
    </row>
    <row r="134" customFormat="false" ht="12.75" hidden="false" customHeight="false" outlineLevel="0" collapsed="false">
      <c r="E134" s="181"/>
    </row>
    <row r="135" customFormat="false" ht="12.75" hidden="false" customHeight="false" outlineLevel="0" collapsed="false">
      <c r="C135" s="129"/>
      <c r="D135" s="3"/>
      <c r="E135" s="129"/>
    </row>
    <row r="136" customFormat="false" ht="12.75" hidden="false" customHeight="false" outlineLevel="0" collapsed="false">
      <c r="C136" s="129"/>
      <c r="D136" s="18" t="s">
        <v>158</v>
      </c>
      <c r="E136" s="9" t="n">
        <f aca="false">SUM(E112:E133)</f>
        <v>695352.38</v>
      </c>
    </row>
    <row r="137" customFormat="false" ht="12.75" hidden="false" customHeight="false" outlineLevel="0" collapsed="false">
      <c r="C137" s="130" t="str">
        <f aca="false">A111</f>
        <v>KASIMa</v>
      </c>
      <c r="D137" s="131" t="s">
        <v>159</v>
      </c>
      <c r="E137" s="132" t="n">
        <f aca="false">H12</f>
        <v>-134810.02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H137"/>
  <sheetViews>
    <sheetView showFormulas="false" showGridLines="true" showRowColHeaders="true" showZeros="true" rightToLeft="false" tabSelected="false" showOutlineSymbols="true" defaultGridColor="true" view="normal" topLeftCell="A7" colorId="64" zoomScale="145" zoomScaleNormal="145" zoomScalePageLayoutView="100" workbookViewId="0">
      <selection pane="topLeft" activeCell="C126" activeCellId="0" sqref="C126"/>
    </sheetView>
  </sheetViews>
  <sheetFormatPr defaultColWidth="12.2929687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79" width="11.57"/>
    <col collapsed="false" customWidth="false" hidden="false" outlineLevel="0" max="8" min="5" style="79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79" t="s">
        <v>28</v>
      </c>
      <c r="G1" s="79" t="s">
        <v>29</v>
      </c>
      <c r="H1" s="79" t="s">
        <v>3</v>
      </c>
    </row>
    <row r="2" customFormat="false" ht="12.75" hidden="false" customHeight="false" outlineLevel="0" collapsed="false">
      <c r="A2" s="3" t="s">
        <v>390</v>
      </c>
      <c r="C2" s="81" t="s">
        <v>67</v>
      </c>
      <c r="D2" s="79" t="n">
        <f aca="false">SUM(D4:D35)</f>
        <v>27984.15</v>
      </c>
      <c r="E2" s="79" t="n">
        <f aca="false">SUM(E4:E35)</f>
        <v>-126233.27</v>
      </c>
      <c r="F2" s="79" t="n">
        <f aca="false">SUM(F4:F35)</f>
        <v>64006.38</v>
      </c>
      <c r="G2" s="79" t="n">
        <f aca="false">SUM(G4:G35)</f>
        <v>-123041.59</v>
      </c>
      <c r="H2" s="79" t="n">
        <f aca="false">F2+G2</f>
        <v>-59035.21</v>
      </c>
    </row>
    <row r="3" customFormat="false" ht="12.75" hidden="false" customHeight="false" outlineLevel="0" collapsed="false">
      <c r="B3" s="18"/>
    </row>
    <row r="4" customFormat="false" ht="12.75" hidden="false" customHeight="false" outlineLevel="0" collapsed="false">
      <c r="B4" s="42"/>
      <c r="H4" s="79" t="n">
        <f aca="false">H3+F4+G4</f>
        <v>0</v>
      </c>
    </row>
    <row r="5" customFormat="false" ht="12.75" hidden="false" customHeight="false" outlineLevel="0" collapsed="false">
      <c r="B5" s="103" t="s">
        <v>391</v>
      </c>
      <c r="C5" s="103" t="s">
        <v>361</v>
      </c>
      <c r="D5" s="80"/>
      <c r="E5" s="80" t="n">
        <v>-250</v>
      </c>
      <c r="F5" s="80"/>
      <c r="G5" s="80"/>
      <c r="H5" s="79" t="n">
        <f aca="false">H4+F5+G5</f>
        <v>0</v>
      </c>
    </row>
    <row r="6" customFormat="false" ht="12.75" hidden="false" customHeight="false" outlineLevel="0" collapsed="false">
      <c r="A6" s="90" t="n">
        <v>45568</v>
      </c>
      <c r="B6" s="103" t="s">
        <v>70</v>
      </c>
      <c r="C6" s="103"/>
      <c r="D6" s="80"/>
      <c r="E6" s="80" t="n">
        <v>-1500</v>
      </c>
      <c r="F6" s="80"/>
      <c r="G6" s="80" t="n">
        <v>-1513.12</v>
      </c>
      <c r="H6" s="79" t="n">
        <f aca="false">H5+F6+G6</f>
        <v>-1513.12</v>
      </c>
    </row>
    <row r="7" customFormat="false" ht="12.75" hidden="false" customHeight="false" outlineLevel="0" collapsed="false">
      <c r="A7" s="170" t="n">
        <v>45569</v>
      </c>
      <c r="B7" s="182" t="s">
        <v>69</v>
      </c>
      <c r="D7" s="80"/>
      <c r="E7" s="80" t="n">
        <f aca="false">E66</f>
        <v>-71389.3</v>
      </c>
      <c r="F7" s="80"/>
      <c r="G7" s="80" t="n">
        <v>-71389.3</v>
      </c>
      <c r="H7" s="79" t="n">
        <f aca="false">H6+F7+G7</f>
        <v>-72902.42</v>
      </c>
    </row>
    <row r="8" customFormat="false" ht="12.75" hidden="false" customHeight="false" outlineLevel="0" collapsed="false">
      <c r="A8" s="90" t="n">
        <v>45572</v>
      </c>
      <c r="B8" s="182" t="s">
        <v>68</v>
      </c>
      <c r="D8" s="80"/>
      <c r="E8" s="80" t="n">
        <f aca="false">E51</f>
        <v>-3066.57</v>
      </c>
      <c r="F8" s="80"/>
      <c r="G8" s="80" t="n">
        <v>-3066.57</v>
      </c>
      <c r="H8" s="79" t="n">
        <f aca="false">H7+F8+G8</f>
        <v>-75968.99</v>
      </c>
    </row>
    <row r="9" customFormat="false" ht="12.75" hidden="false" customHeight="false" outlineLevel="0" collapsed="false">
      <c r="B9" s="182" t="s">
        <v>72</v>
      </c>
      <c r="D9" s="80"/>
      <c r="E9" s="80" t="n">
        <f aca="false">E46*-1</f>
        <v>-0</v>
      </c>
      <c r="F9" s="80"/>
      <c r="G9" s="80" t="n">
        <v>0</v>
      </c>
      <c r="H9" s="79" t="n">
        <f aca="false">H8+F9+G9</f>
        <v>-75968.99</v>
      </c>
    </row>
    <row r="10" customFormat="false" ht="12.75" hidden="false" customHeight="false" outlineLevel="0" collapsed="false">
      <c r="A10" s="90" t="n">
        <v>45573</v>
      </c>
      <c r="B10" s="103" t="s">
        <v>392</v>
      </c>
      <c r="C10" s="103"/>
      <c r="D10" s="80"/>
      <c r="E10" s="80" t="n">
        <v>-17500</v>
      </c>
      <c r="F10" s="80"/>
      <c r="G10" s="80" t="n">
        <v>-17500</v>
      </c>
      <c r="H10" s="79" t="n">
        <f aca="false">H9+F10+G10</f>
        <v>-93468.99</v>
      </c>
    </row>
    <row r="11" customFormat="false" ht="12.75" hidden="false" customHeight="false" outlineLevel="0" collapsed="false">
      <c r="A11" s="90" t="n">
        <v>45573</v>
      </c>
      <c r="B11" s="103" t="s">
        <v>393</v>
      </c>
      <c r="C11" s="103"/>
      <c r="D11" s="80"/>
      <c r="E11" s="80"/>
      <c r="F11" s="80"/>
      <c r="G11" s="80" t="n">
        <v>-7080.3</v>
      </c>
      <c r="H11" s="79" t="n">
        <f aca="false">H10+F11+G11</f>
        <v>-100549.29</v>
      </c>
    </row>
    <row r="12" customFormat="false" ht="12.75" hidden="false" customHeight="false" outlineLevel="0" collapsed="false">
      <c r="A12" s="90" t="n">
        <v>45574</v>
      </c>
      <c r="B12" s="175" t="s">
        <v>394</v>
      </c>
      <c r="C12" s="103" t="s">
        <v>395</v>
      </c>
      <c r="E12" s="80"/>
      <c r="F12" s="80" t="n">
        <v>15000</v>
      </c>
      <c r="H12" s="79" t="n">
        <f aca="false">H11+F12+G12</f>
        <v>-85549.29</v>
      </c>
    </row>
    <row r="13" customFormat="false" ht="12.75" hidden="false" customHeight="false" outlineLevel="0" collapsed="false">
      <c r="B13" s="103"/>
      <c r="C13" s="103"/>
      <c r="E13" s="80"/>
      <c r="H13" s="79" t="n">
        <f aca="false">H12+F13+G13</f>
        <v>-85549.29</v>
      </c>
    </row>
    <row r="14" customFormat="false" ht="12.75" hidden="false" customHeight="false" outlineLevel="0" collapsed="false">
      <c r="A14" s="90" t="n">
        <v>45580</v>
      </c>
      <c r="B14" s="171" t="s">
        <v>396</v>
      </c>
      <c r="C14" s="103"/>
      <c r="E14" s="80"/>
      <c r="F14" s="79" t="n">
        <v>30000</v>
      </c>
      <c r="H14" s="79" t="n">
        <f aca="false">H13+F14+G14</f>
        <v>-55549.29</v>
      </c>
    </row>
    <row r="15" customFormat="false" ht="12.75" hidden="false" customHeight="false" outlineLevel="0" collapsed="false">
      <c r="A15" s="90" t="n">
        <v>45595</v>
      </c>
      <c r="B15" s="103" t="s">
        <v>80</v>
      </c>
      <c r="C15" s="103"/>
      <c r="D15" s="80"/>
      <c r="E15" s="80" t="n">
        <v>-400</v>
      </c>
      <c r="F15" s="80"/>
      <c r="G15" s="80" t="n">
        <v>-435</v>
      </c>
      <c r="H15" s="79" t="n">
        <f aca="false">H14+F15+G15</f>
        <v>-55984.29</v>
      </c>
    </row>
    <row r="16" customFormat="false" ht="12.75" hidden="false" customHeight="false" outlineLevel="0" collapsed="false">
      <c r="A16" s="90" t="n">
        <v>45595</v>
      </c>
      <c r="B16" s="103" t="s">
        <v>81</v>
      </c>
      <c r="C16" s="103"/>
      <c r="D16" s="80"/>
      <c r="E16" s="80" t="n">
        <v>-500</v>
      </c>
      <c r="F16" s="80"/>
      <c r="G16" s="80" t="n">
        <v>-785</v>
      </c>
      <c r="H16" s="79" t="n">
        <f aca="false">H15+F16+G16</f>
        <v>-56769.29</v>
      </c>
    </row>
    <row r="17" customFormat="false" ht="12.75" hidden="false" customHeight="false" outlineLevel="0" collapsed="false">
      <c r="A17" s="90" t="n">
        <v>45579</v>
      </c>
      <c r="B17" s="103" t="s">
        <v>397</v>
      </c>
      <c r="D17" s="80"/>
      <c r="E17" s="80"/>
      <c r="F17" s="80"/>
      <c r="G17" s="80" t="n">
        <v>-65</v>
      </c>
      <c r="H17" s="79" t="n">
        <f aca="false">H16+F17+G17</f>
        <v>-56834.29</v>
      </c>
    </row>
    <row r="18" customFormat="false" ht="12.75" hidden="false" customHeight="false" outlineLevel="0" collapsed="false">
      <c r="B18" s="103" t="s">
        <v>75</v>
      </c>
      <c r="C18" s="103" t="s">
        <v>332</v>
      </c>
      <c r="D18" s="80"/>
      <c r="E18" s="80" t="n">
        <v>-150</v>
      </c>
      <c r="F18" s="80"/>
      <c r="G18" s="80"/>
      <c r="H18" s="79" t="n">
        <f aca="false">H17+F18+G18</f>
        <v>-56834.29</v>
      </c>
    </row>
    <row r="19" customFormat="false" ht="12.75" hidden="false" customHeight="false" outlineLevel="0" collapsed="false">
      <c r="A19" s="90" t="n">
        <v>45582</v>
      </c>
      <c r="B19" s="108" t="s">
        <v>73</v>
      </c>
      <c r="C19" s="108" t="s">
        <v>332</v>
      </c>
      <c r="D19" s="80"/>
      <c r="E19" s="80" t="n">
        <v>-300</v>
      </c>
      <c r="F19" s="80"/>
      <c r="G19" s="80" t="n">
        <v>-78</v>
      </c>
      <c r="H19" s="79" t="n">
        <f aca="false">H18+F19+G19</f>
        <v>-56912.29</v>
      </c>
    </row>
    <row r="20" customFormat="false" ht="12.75" hidden="false" customHeight="false" outlineLevel="0" collapsed="false">
      <c r="A20" s="90" t="n">
        <v>45582</v>
      </c>
      <c r="B20" s="108" t="s">
        <v>74</v>
      </c>
      <c r="C20" s="108" t="s">
        <v>332</v>
      </c>
      <c r="D20" s="80"/>
      <c r="E20" s="80" t="n">
        <v>-100</v>
      </c>
      <c r="F20" s="80"/>
      <c r="G20" s="80" t="n">
        <v>-43</v>
      </c>
      <c r="H20" s="79" t="n">
        <f aca="false">H19+F20+G20</f>
        <v>-56955.29</v>
      </c>
    </row>
    <row r="21" customFormat="false" ht="12.75" hidden="false" customHeight="false" outlineLevel="0" collapsed="false">
      <c r="B21" s="103"/>
      <c r="C21" s="103"/>
      <c r="D21" s="80"/>
      <c r="E21" s="80"/>
      <c r="F21" s="80"/>
      <c r="G21" s="80"/>
      <c r="H21" s="79" t="n">
        <f aca="false">H20+F21+G21</f>
        <v>-56955.29</v>
      </c>
    </row>
    <row r="22" customFormat="false" ht="12.75" hidden="false" customHeight="false" outlineLevel="0" collapsed="false">
      <c r="B22" s="0" t="s">
        <v>398</v>
      </c>
      <c r="C22" s="80"/>
      <c r="E22" s="80"/>
      <c r="F22" s="80"/>
      <c r="G22" s="80"/>
      <c r="H22" s="79" t="n">
        <f aca="false">H21+F22+G22</f>
        <v>-56955.29</v>
      </c>
    </row>
    <row r="23" customFormat="false" ht="12.75" hidden="false" customHeight="false" outlineLevel="0" collapsed="false">
      <c r="A23" s="90" t="n">
        <v>45594</v>
      </c>
      <c r="B23" s="8" t="s">
        <v>98</v>
      </c>
      <c r="C23" s="8" t="s">
        <v>323</v>
      </c>
      <c r="D23" s="80" t="s">
        <v>399</v>
      </c>
      <c r="E23" s="80" t="n">
        <v>-1380</v>
      </c>
      <c r="F23" s="80"/>
      <c r="G23" s="80" t="n">
        <v>-1380</v>
      </c>
      <c r="H23" s="79" t="n">
        <f aca="false">H22+F23+G23</f>
        <v>-58335.29</v>
      </c>
    </row>
    <row r="24" customFormat="false" ht="12.75" hidden="false" customHeight="false" outlineLevel="0" collapsed="false">
      <c r="A24" s="90" t="n">
        <v>45595</v>
      </c>
      <c r="B24" s="8" t="s">
        <v>400</v>
      </c>
      <c r="D24" s="80"/>
      <c r="E24" s="80" t="n">
        <v>-197.4</v>
      </c>
      <c r="F24" s="80"/>
      <c r="G24" s="80" t="n">
        <v>-206.3</v>
      </c>
      <c r="H24" s="79" t="n">
        <f aca="false">H23+F24+G24</f>
        <v>-58541.59</v>
      </c>
    </row>
    <row r="25" customFormat="false" ht="12.75" hidden="false" customHeight="false" outlineLevel="0" collapsed="false">
      <c r="A25" s="90" t="n">
        <v>45593</v>
      </c>
      <c r="B25" s="8" t="s">
        <v>77</v>
      </c>
      <c r="D25" s="80"/>
      <c r="E25" s="80" t="n">
        <v>-6500</v>
      </c>
      <c r="F25" s="80"/>
      <c r="G25" s="80" t="n">
        <v>-6500</v>
      </c>
      <c r="H25" s="79" t="n">
        <f aca="false">H24+F25+G25</f>
        <v>-65041.59</v>
      </c>
    </row>
    <row r="26" customFormat="false" ht="12.75" hidden="false" customHeight="false" outlineLevel="0" collapsed="false">
      <c r="A26" s="90" t="n">
        <v>45593</v>
      </c>
      <c r="B26" s="8" t="s">
        <v>78</v>
      </c>
      <c r="D26" s="80"/>
      <c r="E26" s="80" t="n">
        <v>-6500</v>
      </c>
      <c r="F26" s="80"/>
      <c r="G26" s="80" t="n">
        <v>-6500</v>
      </c>
      <c r="H26" s="79" t="n">
        <f aca="false">H25+F26+G26</f>
        <v>-71541.59</v>
      </c>
    </row>
    <row r="27" customFormat="false" ht="12.75" hidden="false" customHeight="false" outlineLevel="0" collapsed="false">
      <c r="B27" s="0" t="s">
        <v>79</v>
      </c>
      <c r="D27" s="80"/>
      <c r="E27" s="80" t="n">
        <v>-6500</v>
      </c>
      <c r="F27" s="80"/>
      <c r="G27" s="80" t="n">
        <v>-6500</v>
      </c>
      <c r="H27" s="79" t="n">
        <f aca="false">H26+F27+G27</f>
        <v>-78041.59</v>
      </c>
    </row>
    <row r="28" customFormat="false" ht="12.75" hidden="false" customHeight="false" outlineLevel="0" collapsed="false">
      <c r="D28" s="80"/>
      <c r="E28" s="80"/>
      <c r="F28" s="80"/>
      <c r="G28" s="80"/>
      <c r="H28" s="79" t="n">
        <f aca="false">H27+F28+G28</f>
        <v>-78041.59</v>
      </c>
    </row>
    <row r="29" customFormat="false" ht="12.75" hidden="false" customHeight="false" outlineLevel="0" collapsed="false">
      <c r="A29" s="90" t="n">
        <v>45592</v>
      </c>
      <c r="B29" s="8" t="s">
        <v>76</v>
      </c>
      <c r="D29" s="80" t="n">
        <v>12984.15</v>
      </c>
      <c r="E29" s="80"/>
      <c r="F29" s="80" t="n">
        <v>13006.38</v>
      </c>
      <c r="G29" s="80"/>
      <c r="H29" s="79" t="n">
        <f aca="false">H28+F29+G29</f>
        <v>-65035.21</v>
      </c>
    </row>
    <row r="30" customFormat="false" ht="12.75" hidden="false" customHeight="false" outlineLevel="0" collapsed="false">
      <c r="A30" s="102" t="n">
        <v>45590</v>
      </c>
      <c r="B30" s="84" t="s">
        <v>401</v>
      </c>
      <c r="F30" s="79" t="n">
        <v>6000</v>
      </c>
      <c r="H30" s="79" t="n">
        <f aca="false">H29+F30+G30</f>
        <v>-59035.21</v>
      </c>
    </row>
    <row r="31" customFormat="false" ht="12.75" hidden="false" customHeight="false" outlineLevel="0" collapsed="false">
      <c r="A31" s="102"/>
      <c r="B31" s="175" t="s">
        <v>363</v>
      </c>
      <c r="C31" s="175"/>
      <c r="D31" s="112" t="n">
        <v>15000</v>
      </c>
      <c r="H31" s="79" t="n">
        <f aca="false">H30+F31+G31</f>
        <v>-59035.21</v>
      </c>
    </row>
    <row r="32" customFormat="false" ht="12.75" hidden="false" customHeight="false" outlineLevel="0" collapsed="false">
      <c r="A32" s="102"/>
      <c r="H32" s="79" t="n">
        <f aca="false">H31+F32+G32</f>
        <v>-59035.21</v>
      </c>
    </row>
    <row r="33" customFormat="false" ht="12.75" hidden="false" customHeight="false" outlineLevel="0" collapsed="false">
      <c r="B33" s="0" t="s">
        <v>402</v>
      </c>
      <c r="C33" s="176" t="n">
        <v>0.234011</v>
      </c>
      <c r="H33" s="79" t="n">
        <f aca="false">H32+F33+G33</f>
        <v>-59035.21</v>
      </c>
    </row>
    <row r="34" customFormat="false" ht="12.75" hidden="false" customHeight="false" outlineLevel="0" collapsed="false">
      <c r="B34" s="175" t="s">
        <v>403</v>
      </c>
      <c r="C34" s="175"/>
      <c r="D34" s="112"/>
      <c r="E34" s="112" t="n">
        <v>-10000</v>
      </c>
    </row>
    <row r="35" customFormat="false" ht="15" hidden="false" customHeight="false" outlineLevel="0" collapsed="false">
      <c r="B35" s="184"/>
    </row>
    <row r="37" customFormat="false" ht="12.75" hidden="false" customHeight="false" outlineLevel="0" collapsed="false">
      <c r="B37" s="0" t="s">
        <v>334</v>
      </c>
    </row>
    <row r="38" customFormat="false" ht="12.75" hidden="false" customHeight="false" outlineLevel="0" collapsed="false">
      <c r="A38" s="105" t="s">
        <v>335</v>
      </c>
      <c r="B38" s="105"/>
      <c r="C38" s="105"/>
    </row>
    <row r="39" customFormat="false" ht="12.75" hidden="false" customHeight="false" outlineLevel="0" collapsed="false">
      <c r="A39" s="102"/>
      <c r="C39" s="176"/>
    </row>
    <row r="40" customFormat="false" ht="12.75" hidden="false" customHeight="false" outlineLevel="0" collapsed="false">
      <c r="A40" s="177" t="n">
        <v>44929</v>
      </c>
      <c r="B40" s="178" t="s">
        <v>336</v>
      </c>
      <c r="C40" s="105"/>
      <c r="D40" s="79" t="n">
        <f aca="false">SUM(D41:D46)</f>
        <v>0</v>
      </c>
      <c r="E40" s="79" t="n">
        <f aca="false">SUM(E41:E46)</f>
        <v>0</v>
      </c>
    </row>
    <row r="41" customFormat="false" ht="12.75" hidden="false" customHeight="false" outlineLevel="0" collapsed="false">
      <c r="A41" s="102"/>
      <c r="B41" s="108" t="s">
        <v>337</v>
      </c>
    </row>
    <row r="42" customFormat="false" ht="12.75" hidden="false" customHeight="false" outlineLevel="0" collapsed="false">
      <c r="B42" s="0" t="s">
        <v>338</v>
      </c>
    </row>
    <row r="43" customFormat="false" ht="12.75" hidden="false" customHeight="false" outlineLevel="0" collapsed="false">
      <c r="B43" s="0" t="s">
        <v>339</v>
      </c>
    </row>
    <row r="44" customFormat="false" ht="12.75" hidden="false" customHeight="false" outlineLevel="0" collapsed="false">
      <c r="B44" s="0" t="s">
        <v>340</v>
      </c>
    </row>
    <row r="45" customFormat="false" ht="12.75" hidden="false" customHeight="false" outlineLevel="0" collapsed="false">
      <c r="B45" s="0" t="s">
        <v>341</v>
      </c>
    </row>
    <row r="46" customFormat="false" ht="12.75" hidden="false" customHeight="false" outlineLevel="0" collapsed="false">
      <c r="B46" s="0" t="s">
        <v>342</v>
      </c>
      <c r="C46" s="108"/>
    </row>
    <row r="47" customFormat="false" ht="12.75" hidden="false" customHeight="false" outlineLevel="0" collapsed="false">
      <c r="C47" s="108"/>
    </row>
    <row r="49" customFormat="false" ht="12.75" hidden="false" customHeight="false" outlineLevel="0" collapsed="false">
      <c r="B49" s="17"/>
    </row>
    <row r="50" customFormat="false" ht="12.75" hidden="false" customHeight="false" outlineLevel="0" collapsed="false">
      <c r="B50" s="104"/>
    </row>
    <row r="51" customFormat="false" ht="12.75" hidden="false" customHeight="false" outlineLevel="0" collapsed="false">
      <c r="A51" s="105"/>
      <c r="B51" s="106" t="s">
        <v>83</v>
      </c>
      <c r="C51" s="105"/>
      <c r="E51" s="79" t="n">
        <f aca="false">SUM(E52:E63)</f>
        <v>-3066.57</v>
      </c>
    </row>
    <row r="53" customFormat="false" ht="12.75" hidden="false" customHeight="false" outlineLevel="0" collapsed="false">
      <c r="A53" s="90" t="n">
        <v>45373</v>
      </c>
      <c r="B53" s="8" t="s">
        <v>343</v>
      </c>
      <c r="C53" s="0" t="n">
        <v>10176.39</v>
      </c>
      <c r="D53" s="79" t="s">
        <v>404</v>
      </c>
      <c r="E53" s="79" t="n">
        <v>-1130.71</v>
      </c>
    </row>
    <row r="54" customFormat="false" ht="12.75" hidden="false" customHeight="false" outlineLevel="0" collapsed="false">
      <c r="A54" s="90" t="n">
        <v>45375</v>
      </c>
      <c r="B54" s="8" t="s">
        <v>345</v>
      </c>
      <c r="C54" s="0" t="n">
        <v>5999</v>
      </c>
      <c r="D54" s="79" t="s">
        <v>404</v>
      </c>
      <c r="E54" s="79" t="n">
        <v>-666.56</v>
      </c>
    </row>
    <row r="55" customFormat="false" ht="12.75" hidden="false" customHeight="false" outlineLevel="0" collapsed="false">
      <c r="A55" s="90"/>
      <c r="B55" s="8" t="s">
        <v>405</v>
      </c>
      <c r="E55" s="79" t="n">
        <v>-363.83</v>
      </c>
    </row>
    <row r="56" customFormat="false" ht="12.75" hidden="false" customHeight="false" outlineLevel="0" collapsed="false">
      <c r="B56" s="0" t="s">
        <v>406</v>
      </c>
      <c r="E56" s="79" t="n">
        <v>-905.47</v>
      </c>
    </row>
    <row r="57" customFormat="false" ht="12.75" hidden="false" customHeight="false" outlineLevel="0" collapsed="false">
      <c r="B57" s="0" t="s">
        <v>132</v>
      </c>
      <c r="C57" s="0" t="n">
        <v>8037.9</v>
      </c>
    </row>
    <row r="58" customFormat="false" ht="13.8" hidden="false" customHeight="false" outlineLevel="0" collapsed="false">
      <c r="A58" s="102"/>
      <c r="B58" s="108"/>
      <c r="C58" s="108"/>
      <c r="D58" s="107" t="s">
        <v>84</v>
      </c>
    </row>
    <row r="59" customFormat="false" ht="12.75" hidden="false" customHeight="false" outlineLevel="0" collapsed="false">
      <c r="A59" s="102"/>
      <c r="B59" s="108"/>
      <c r="C59" s="108"/>
    </row>
    <row r="60" customFormat="false" ht="12.75" hidden="false" customHeight="false" outlineLevel="0" collapsed="false">
      <c r="A60" s="102"/>
      <c r="B60" s="109"/>
      <c r="C60" s="108"/>
    </row>
    <row r="61" customFormat="false" ht="12.75" hidden="false" customHeight="false" outlineLevel="0" collapsed="false">
      <c r="A61" s="102"/>
      <c r="B61" s="109"/>
      <c r="C61" s="108"/>
    </row>
    <row r="62" customFormat="false" ht="12.75" hidden="false" customHeight="false" outlineLevel="0" collapsed="false">
      <c r="A62" s="102"/>
      <c r="B62" s="109"/>
    </row>
    <row r="63" customFormat="false" ht="12.75" hidden="false" customHeight="false" outlineLevel="0" collapsed="false">
      <c r="A63" s="102"/>
      <c r="B63" s="109"/>
      <c r="C63" s="108"/>
    </row>
    <row r="64" customFormat="false" ht="12.75" hidden="false" customHeight="false" outlineLevel="0" collapsed="false">
      <c r="A64" s="102"/>
      <c r="B64" s="3"/>
    </row>
    <row r="65" customFormat="false" ht="12.75" hidden="false" customHeight="false" outlineLevel="0" collapsed="false">
      <c r="A65" s="102"/>
      <c r="B65" s="108"/>
      <c r="C65" s="108"/>
    </row>
    <row r="66" customFormat="false" ht="12.75" hidden="false" customHeight="false" outlineLevel="0" collapsed="false">
      <c r="A66" s="105"/>
      <c r="B66" s="106" t="s">
        <v>85</v>
      </c>
      <c r="C66" s="105"/>
      <c r="E66" s="79" t="n">
        <f aca="false">SUM(E67:E104)</f>
        <v>-71389.3</v>
      </c>
    </row>
    <row r="67" customFormat="false" ht="12.75" hidden="false" customHeight="false" outlineLevel="0" collapsed="false">
      <c r="A67" s="102"/>
      <c r="B67" s="108"/>
      <c r="C67" s="108"/>
    </row>
    <row r="68" customFormat="false" ht="12.75" hidden="false" customHeight="false" outlineLevel="0" collapsed="false">
      <c r="A68" s="102"/>
      <c r="B68" s="108" t="s">
        <v>129</v>
      </c>
      <c r="C68" s="108"/>
      <c r="E68" s="79" t="n">
        <v>-3177.5</v>
      </c>
    </row>
    <row r="69" customFormat="false" ht="12.75" hidden="false" customHeight="false" outlineLevel="0" collapsed="false">
      <c r="A69" s="102"/>
      <c r="B69" s="3"/>
      <c r="C69" s="108"/>
      <c r="E69" s="79" t="n">
        <v>-56373.38</v>
      </c>
    </row>
    <row r="70" customFormat="false" ht="12.75" hidden="false" customHeight="false" outlineLevel="0" collapsed="false">
      <c r="A70" s="102"/>
      <c r="B70" s="3"/>
      <c r="C70" s="108"/>
      <c r="E70" s="79" t="n">
        <v>-256.59</v>
      </c>
    </row>
    <row r="71" customFormat="false" ht="12.75" hidden="false" customHeight="false" outlineLevel="0" collapsed="false">
      <c r="A71" s="102"/>
      <c r="B71" s="3"/>
      <c r="C71" s="108"/>
    </row>
    <row r="72" customFormat="false" ht="12.75" hidden="false" customHeight="false" outlineLevel="0" collapsed="false">
      <c r="A72" s="102"/>
      <c r="B72" s="3" t="s">
        <v>407</v>
      </c>
      <c r="C72" s="108"/>
      <c r="E72" s="79" t="n">
        <v>-1500</v>
      </c>
    </row>
    <row r="73" customFormat="false" ht="12.75" hidden="false" customHeight="false" outlineLevel="0" collapsed="false">
      <c r="A73" s="102"/>
      <c r="B73" s="3" t="s">
        <v>408</v>
      </c>
      <c r="C73" s="108"/>
      <c r="E73" s="79" t="n">
        <v>-385</v>
      </c>
    </row>
    <row r="74" customFormat="false" ht="12.75" hidden="false" customHeight="false" outlineLevel="0" collapsed="false">
      <c r="A74" s="102"/>
      <c r="B74" s="3" t="s">
        <v>409</v>
      </c>
      <c r="C74" s="108"/>
      <c r="E74" s="79" t="n">
        <v>-195</v>
      </c>
    </row>
    <row r="75" customFormat="false" ht="12.75" hidden="false" customHeight="false" outlineLevel="0" collapsed="false">
      <c r="A75" s="102"/>
      <c r="B75" s="3" t="n">
        <v>322.04</v>
      </c>
      <c r="C75" s="108"/>
      <c r="E75" s="79" t="n">
        <v>-322.04</v>
      </c>
    </row>
    <row r="76" customFormat="false" ht="12.75" hidden="false" customHeight="false" outlineLevel="0" collapsed="false">
      <c r="A76" s="102"/>
      <c r="B76" s="3" t="s">
        <v>410</v>
      </c>
      <c r="C76" s="108"/>
      <c r="E76" s="79" t="n">
        <v>-1865</v>
      </c>
    </row>
    <row r="77" customFormat="false" ht="12.75" hidden="false" customHeight="false" outlineLevel="0" collapsed="false">
      <c r="A77" s="102"/>
      <c r="B77" s="3" t="s">
        <v>411</v>
      </c>
      <c r="C77" s="108"/>
      <c r="E77" s="79" t="n">
        <v>-80</v>
      </c>
    </row>
    <row r="78" customFormat="false" ht="12.75" hidden="false" customHeight="false" outlineLevel="0" collapsed="false">
      <c r="A78" s="102"/>
      <c r="B78" s="3" t="s">
        <v>412</v>
      </c>
      <c r="C78" s="108"/>
      <c r="E78" s="79" t="n">
        <v>-19.5</v>
      </c>
    </row>
    <row r="79" customFormat="false" ht="12.75" hidden="false" customHeight="false" outlineLevel="0" collapsed="false">
      <c r="A79" s="102"/>
      <c r="B79" s="3" t="s">
        <v>413</v>
      </c>
      <c r="C79" s="108"/>
      <c r="E79" s="79" t="n">
        <v>-706.97</v>
      </c>
    </row>
    <row r="80" customFormat="false" ht="12.75" hidden="false" customHeight="false" outlineLevel="0" collapsed="false">
      <c r="A80" s="102"/>
      <c r="B80" s="3" t="s">
        <v>414</v>
      </c>
      <c r="C80" s="108"/>
      <c r="E80" s="79" t="n">
        <v>-299.99</v>
      </c>
    </row>
    <row r="81" customFormat="false" ht="12.75" hidden="false" customHeight="false" outlineLevel="0" collapsed="false">
      <c r="A81" s="102"/>
      <c r="B81" s="3" t="s">
        <v>415</v>
      </c>
      <c r="C81" s="108"/>
      <c r="E81" s="79" t="n">
        <v>-1620</v>
      </c>
    </row>
    <row r="82" customFormat="false" ht="12.75" hidden="false" customHeight="false" outlineLevel="0" collapsed="false">
      <c r="A82" s="102"/>
      <c r="B82" s="3" t="s">
        <v>416</v>
      </c>
      <c r="C82" s="108"/>
      <c r="E82" s="79" t="n">
        <v>-66.7</v>
      </c>
    </row>
    <row r="83" customFormat="false" ht="12.75" hidden="false" customHeight="false" outlineLevel="0" collapsed="false">
      <c r="A83" s="102"/>
      <c r="B83" s="3" t="s">
        <v>417</v>
      </c>
      <c r="C83" s="108"/>
      <c r="E83" s="79" t="n">
        <v>-45</v>
      </c>
    </row>
    <row r="84" customFormat="false" ht="12.75" hidden="false" customHeight="false" outlineLevel="0" collapsed="false">
      <c r="A84" s="102"/>
      <c r="B84" s="3" t="s">
        <v>418</v>
      </c>
      <c r="C84" s="108" t="n">
        <v>69</v>
      </c>
      <c r="E84" s="79" t="n">
        <v>-69.66</v>
      </c>
    </row>
    <row r="85" customFormat="false" ht="12.75" hidden="false" customHeight="false" outlineLevel="0" collapsed="false">
      <c r="A85" s="102"/>
      <c r="B85" s="3" t="s">
        <v>419</v>
      </c>
      <c r="C85" s="108" t="n">
        <v>250</v>
      </c>
      <c r="E85" s="79" t="n">
        <v>-250</v>
      </c>
    </row>
    <row r="86" customFormat="false" ht="12.75" hidden="false" customHeight="false" outlineLevel="0" collapsed="false">
      <c r="A86" s="102"/>
      <c r="B86" s="3" t="s">
        <v>420</v>
      </c>
      <c r="C86" s="108" t="n">
        <v>145</v>
      </c>
      <c r="E86" s="79" t="n">
        <v>-145</v>
      </c>
    </row>
    <row r="87" customFormat="false" ht="12.75" hidden="false" customHeight="false" outlineLevel="0" collapsed="false">
      <c r="A87" s="102"/>
      <c r="B87" s="3" t="s">
        <v>418</v>
      </c>
      <c r="C87" s="108" t="n">
        <v>80</v>
      </c>
      <c r="E87" s="79" t="n">
        <v>-79.58</v>
      </c>
    </row>
    <row r="88" customFormat="false" ht="12.75" hidden="false" customHeight="false" outlineLevel="0" collapsed="false">
      <c r="A88" s="102"/>
      <c r="B88" s="3" t="s">
        <v>419</v>
      </c>
      <c r="C88" s="108" t="n">
        <v>300</v>
      </c>
      <c r="E88" s="79" t="n">
        <v>-300</v>
      </c>
    </row>
    <row r="89" customFormat="false" ht="12.75" hidden="false" customHeight="false" outlineLevel="0" collapsed="false">
      <c r="A89" s="102"/>
      <c r="B89" s="3" t="s">
        <v>132</v>
      </c>
      <c r="C89" s="108"/>
      <c r="D89" s="79" t="n">
        <v>21576.4</v>
      </c>
    </row>
    <row r="90" customFormat="false" ht="12.75" hidden="false" customHeight="false" outlineLevel="0" collapsed="false">
      <c r="A90" s="102"/>
      <c r="B90" s="3" t="s">
        <v>418</v>
      </c>
      <c r="C90" s="108" t="n">
        <v>50</v>
      </c>
      <c r="E90" s="79" t="n">
        <v>-49.3</v>
      </c>
    </row>
    <row r="91" customFormat="false" ht="12.75" hidden="false" customHeight="false" outlineLevel="0" collapsed="false">
      <c r="A91" s="102"/>
      <c r="B91" s="3" t="s">
        <v>421</v>
      </c>
      <c r="C91" s="108"/>
      <c r="E91" s="79" t="n">
        <v>-190</v>
      </c>
    </row>
    <row r="92" customFormat="false" ht="12.75" hidden="false" customHeight="false" outlineLevel="0" collapsed="false">
      <c r="A92" s="102"/>
      <c r="B92" s="3" t="s">
        <v>418</v>
      </c>
      <c r="C92" s="108"/>
      <c r="E92" s="79" t="n">
        <v>-375.55</v>
      </c>
    </row>
    <row r="93" customFormat="false" ht="12.75" hidden="false" customHeight="false" outlineLevel="0" collapsed="false">
      <c r="A93" s="102"/>
      <c r="B93" s="3" t="s">
        <v>419</v>
      </c>
      <c r="C93" s="108" t="n">
        <v>260</v>
      </c>
      <c r="E93" s="79" t="n">
        <v>-260</v>
      </c>
    </row>
    <row r="94" customFormat="false" ht="12.75" hidden="false" customHeight="false" outlineLevel="0" collapsed="false">
      <c r="A94" s="102"/>
      <c r="B94" s="3" t="s">
        <v>418</v>
      </c>
      <c r="C94" s="108" t="n">
        <v>65.79</v>
      </c>
      <c r="E94" s="79" t="n">
        <v>-65.79</v>
      </c>
    </row>
    <row r="95" customFormat="false" ht="12.75" hidden="false" customHeight="false" outlineLevel="0" collapsed="false">
      <c r="A95" s="102"/>
      <c r="B95" s="3" t="s">
        <v>419</v>
      </c>
      <c r="C95" s="108" t="n">
        <v>330</v>
      </c>
      <c r="E95" s="79" t="n">
        <v>-330</v>
      </c>
    </row>
    <row r="96" customFormat="false" ht="12.75" hidden="false" customHeight="false" outlineLevel="0" collapsed="false">
      <c r="A96" s="102"/>
      <c r="B96" s="3" t="s">
        <v>420</v>
      </c>
      <c r="C96" s="108" t="n">
        <v>225</v>
      </c>
      <c r="E96" s="79" t="n">
        <v>-225</v>
      </c>
    </row>
    <row r="97" customFormat="false" ht="12.75" hidden="false" customHeight="false" outlineLevel="0" collapsed="false">
      <c r="A97" s="102"/>
      <c r="B97" s="3" t="s">
        <v>422</v>
      </c>
      <c r="C97" s="108"/>
      <c r="E97" s="79" t="n">
        <v>-410</v>
      </c>
    </row>
    <row r="98" customFormat="false" ht="12.75" hidden="false" customHeight="false" outlineLevel="0" collapsed="false">
      <c r="B98" s="3" t="s">
        <v>423</v>
      </c>
      <c r="E98" s="79" t="n">
        <v>-27.25</v>
      </c>
    </row>
    <row r="99" customFormat="false" ht="12.75" hidden="false" customHeight="false" outlineLevel="0" collapsed="false">
      <c r="B99" s="3" t="s">
        <v>424</v>
      </c>
      <c r="E99" s="79" t="n">
        <v>-70</v>
      </c>
    </row>
    <row r="100" customFormat="false" ht="12.75" hidden="false" customHeight="false" outlineLevel="0" collapsed="false">
      <c r="B100" s="3" t="s">
        <v>425</v>
      </c>
      <c r="E100" s="79" t="n">
        <v>-350</v>
      </c>
    </row>
    <row r="101" customFormat="false" ht="12.75" hidden="false" customHeight="false" outlineLevel="0" collapsed="false">
      <c r="B101" s="3" t="s">
        <v>421</v>
      </c>
      <c r="E101" s="79" t="n">
        <v>-420</v>
      </c>
    </row>
    <row r="102" customFormat="false" ht="12.75" hidden="false" customHeight="false" outlineLevel="0" collapsed="false">
      <c r="B102" s="3" t="s">
        <v>426</v>
      </c>
      <c r="E102" s="79" t="n">
        <v>-154.5</v>
      </c>
    </row>
    <row r="103" customFormat="false" ht="12.75" hidden="false" customHeight="false" outlineLevel="0" collapsed="false">
      <c r="B103" s="3" t="s">
        <v>421</v>
      </c>
      <c r="E103" s="79" t="n">
        <v>-290</v>
      </c>
    </row>
    <row r="104" customFormat="false" ht="12.75" hidden="false" customHeight="false" outlineLevel="0" collapsed="false">
      <c r="B104" s="3" t="s">
        <v>419</v>
      </c>
      <c r="C104" s="0" t="n">
        <v>415</v>
      </c>
      <c r="E104" s="79" t="n">
        <v>-415</v>
      </c>
    </row>
    <row r="105" customFormat="false" ht="12.75" hidden="false" customHeight="false" outlineLevel="0" collapsed="false">
      <c r="B105" s="36" t="s">
        <v>427</v>
      </c>
      <c r="C105" s="8" t="n">
        <f aca="false">SUM(C81:C104)</f>
        <v>2189.79</v>
      </c>
    </row>
    <row r="106" customFormat="false" ht="13.8" hidden="false" customHeight="false" outlineLevel="0" collapsed="false">
      <c r="D106" s="107" t="s">
        <v>84</v>
      </c>
    </row>
    <row r="111" customFormat="false" ht="12.75" hidden="false" customHeight="false" outlineLevel="0" collapsed="false">
      <c r="A111" s="117" t="s">
        <v>428</v>
      </c>
      <c r="B111" s="106" t="s">
        <v>139</v>
      </c>
      <c r="C111" s="105" t="n">
        <v>2024</v>
      </c>
      <c r="D111" s="163"/>
      <c r="E111" s="164" t="n">
        <f aca="false">SUM(E112:E133)</f>
        <v>726058.6</v>
      </c>
    </row>
    <row r="112" customFormat="false" ht="12.75" hidden="false" customHeight="false" outlineLevel="0" collapsed="false">
      <c r="A112" s="165" t="n">
        <v>45565</v>
      </c>
      <c r="B112" s="8" t="s">
        <v>77</v>
      </c>
      <c r="C112" s="2"/>
      <c r="D112" s="2"/>
      <c r="E112" s="2" t="n">
        <v>0</v>
      </c>
    </row>
    <row r="113" customFormat="false" ht="12.75" hidden="false" customHeight="false" outlineLevel="0" collapsed="false">
      <c r="A113" s="165" t="n">
        <f aca="false">A112</f>
        <v>45565</v>
      </c>
      <c r="B113" s="8" t="s">
        <v>387</v>
      </c>
      <c r="C113" s="2"/>
      <c r="D113" s="2"/>
      <c r="E113" s="2" t="n">
        <v>0</v>
      </c>
    </row>
    <row r="114" customFormat="false" ht="12.75" hidden="false" customHeight="false" outlineLevel="0" collapsed="false">
      <c r="A114" s="165"/>
      <c r="B114" s="8" t="s">
        <v>429</v>
      </c>
      <c r="C114" s="2"/>
      <c r="D114" s="2"/>
      <c r="E114" s="2" t="n">
        <v>365500</v>
      </c>
    </row>
    <row r="115" customFormat="false" ht="12.75" hidden="false" customHeight="false" outlineLevel="0" collapsed="false">
      <c r="A115" s="165" t="n">
        <f aca="false">A113</f>
        <v>45565</v>
      </c>
      <c r="B115" s="8" t="s">
        <v>142</v>
      </c>
      <c r="C115" s="2"/>
      <c r="D115" s="2"/>
      <c r="E115" s="17" t="n">
        <v>1492</v>
      </c>
    </row>
    <row r="116" customFormat="false" ht="12.75" hidden="false" customHeight="false" outlineLevel="0" collapsed="false">
      <c r="A116" s="165" t="n">
        <f aca="false">A113</f>
        <v>45565</v>
      </c>
      <c r="B116" s="8" t="s">
        <v>144</v>
      </c>
      <c r="C116" s="2" t="n">
        <v>40</v>
      </c>
      <c r="D116" s="179" t="n">
        <v>852</v>
      </c>
      <c r="E116" s="17" t="n">
        <f aca="false">D116*C116</f>
        <v>34080</v>
      </c>
    </row>
    <row r="117" customFormat="false" ht="12.75" hidden="false" customHeight="false" outlineLevel="0" collapsed="false">
      <c r="A117" s="165" t="n">
        <f aca="false">A122</f>
        <v>45565</v>
      </c>
      <c r="B117" s="8" t="s">
        <v>389</v>
      </c>
      <c r="C117" s="2" t="n">
        <v>30.96</v>
      </c>
      <c r="D117" s="2" t="n">
        <v>4000</v>
      </c>
      <c r="E117" s="17" t="n">
        <f aca="false">D117*C117</f>
        <v>123840</v>
      </c>
    </row>
    <row r="118" customFormat="false" ht="12.75" hidden="false" customHeight="false" outlineLevel="0" collapsed="false">
      <c r="A118" s="165" t="n">
        <f aca="false">A115</f>
        <v>45565</v>
      </c>
      <c r="B118" s="8" t="s">
        <v>146</v>
      </c>
      <c r="C118" s="180" t="n">
        <v>125000</v>
      </c>
      <c r="D118" s="179" t="n">
        <v>0.773</v>
      </c>
      <c r="E118" s="17" t="n">
        <f aca="false">D118*C118</f>
        <v>96625</v>
      </c>
    </row>
    <row r="119" customFormat="false" ht="12.75" hidden="false" customHeight="false" outlineLevel="0" collapsed="false">
      <c r="A119" s="165" t="n">
        <f aca="false">A116</f>
        <v>45565</v>
      </c>
      <c r="B119" s="8" t="s">
        <v>147</v>
      </c>
      <c r="C119" s="2" t="n">
        <v>10</v>
      </c>
      <c r="D119" s="2" t="n">
        <v>124.8</v>
      </c>
      <c r="E119" s="17" t="n">
        <f aca="false">D119*C119</f>
        <v>1248</v>
      </c>
    </row>
    <row r="120" customFormat="false" ht="12.75" hidden="false" customHeight="false" outlineLevel="0" collapsed="false">
      <c r="A120" s="165" t="n">
        <f aca="false">A119</f>
        <v>45565</v>
      </c>
      <c r="B120" s="8" t="s">
        <v>148</v>
      </c>
      <c r="C120" s="2" t="n">
        <v>38</v>
      </c>
      <c r="D120" s="2" t="n">
        <v>19.22</v>
      </c>
      <c r="E120" s="17" t="n">
        <f aca="false">D120*C120</f>
        <v>730.36</v>
      </c>
    </row>
    <row r="121" customFormat="false" ht="12.75" hidden="false" customHeight="false" outlineLevel="0" collapsed="false">
      <c r="A121" s="165" t="n">
        <f aca="false">A120</f>
        <v>45565</v>
      </c>
      <c r="B121" s="8" t="s">
        <v>149</v>
      </c>
      <c r="C121" s="2" t="n">
        <v>26</v>
      </c>
      <c r="D121" s="2" t="n">
        <v>24.74</v>
      </c>
      <c r="E121" s="17" t="n">
        <f aca="false">D121*C121</f>
        <v>643.24</v>
      </c>
    </row>
    <row r="122" customFormat="false" ht="12.75" hidden="false" customHeight="false" outlineLevel="0" collapsed="false">
      <c r="A122" s="165" t="n">
        <f aca="false">A121</f>
        <v>45565</v>
      </c>
      <c r="B122" s="8" t="s">
        <v>143</v>
      </c>
      <c r="C122" s="2"/>
      <c r="D122" s="2"/>
      <c r="E122" s="17" t="n">
        <f aca="false">D122*C122</f>
        <v>0</v>
      </c>
    </row>
    <row r="124" customFormat="false" ht="12.75" hidden="false" customHeight="false" outlineLevel="0" collapsed="false">
      <c r="A124" s="165" t="n">
        <f aca="false">A117</f>
        <v>45565</v>
      </c>
      <c r="C124" s="2"/>
      <c r="D124" s="2"/>
      <c r="E124" s="17" t="n">
        <f aca="false">D124*C124</f>
        <v>0</v>
      </c>
    </row>
    <row r="125" customFormat="false" ht="12.75" hidden="false" customHeight="false" outlineLevel="0" collapsed="false">
      <c r="A125" s="165" t="n">
        <f aca="false">A124</f>
        <v>45565</v>
      </c>
      <c r="C125" s="2"/>
      <c r="D125" s="2"/>
      <c r="E125" s="17" t="n">
        <f aca="false">D125*C125</f>
        <v>0</v>
      </c>
    </row>
    <row r="126" customFormat="false" ht="12.75" hidden="false" customHeight="false" outlineLevel="0" collapsed="false">
      <c r="A126" s="165" t="n">
        <f aca="false">A125</f>
        <v>45565</v>
      </c>
      <c r="B126" s="8" t="s">
        <v>430</v>
      </c>
      <c r="C126" s="2" t="n">
        <v>2900</v>
      </c>
      <c r="D126" s="2" t="n">
        <v>1</v>
      </c>
      <c r="E126" s="17" t="n">
        <f aca="false">D126*C126</f>
        <v>2900</v>
      </c>
    </row>
    <row r="127" customFormat="false" ht="12.75" hidden="false" customHeight="false" outlineLevel="0" collapsed="false">
      <c r="A127" s="165" t="n">
        <f aca="false">A126</f>
        <v>45565</v>
      </c>
      <c r="B127" s="8" t="s">
        <v>431</v>
      </c>
      <c r="C127" s="2" t="n">
        <v>4900</v>
      </c>
      <c r="D127" s="2" t="n">
        <v>16</v>
      </c>
      <c r="E127" s="17" t="n">
        <f aca="false">D127*C127</f>
        <v>78400</v>
      </c>
    </row>
    <row r="128" customFormat="false" ht="12.75" hidden="false" customHeight="false" outlineLevel="0" collapsed="false">
      <c r="A128" s="165" t="n">
        <f aca="false">A127</f>
        <v>45565</v>
      </c>
      <c r="B128" s="8" t="s">
        <v>432</v>
      </c>
      <c r="C128" s="2" t="n">
        <v>19600</v>
      </c>
      <c r="D128" s="2" t="n">
        <v>1</v>
      </c>
      <c r="E128" s="17" t="n">
        <f aca="false">D128*C128</f>
        <v>19600</v>
      </c>
    </row>
    <row r="129" customFormat="false" ht="12.75" hidden="false" customHeight="false" outlineLevel="0" collapsed="false">
      <c r="A129" s="165" t="n">
        <f aca="false">A128</f>
        <v>45565</v>
      </c>
      <c r="C129" s="2"/>
      <c r="D129" s="2"/>
      <c r="E129" s="17"/>
    </row>
    <row r="130" customFormat="false" ht="12.75" hidden="false" customHeight="false" outlineLevel="0" collapsed="false">
      <c r="A130" s="165" t="n">
        <f aca="false">A126</f>
        <v>45565</v>
      </c>
      <c r="B130" s="8" t="s">
        <v>153</v>
      </c>
      <c r="C130" s="124" t="n">
        <v>33.2506</v>
      </c>
      <c r="D130" s="2"/>
      <c r="E130" s="17"/>
    </row>
    <row r="131" customFormat="false" ht="12.75" hidden="false" customHeight="false" outlineLevel="0" collapsed="false">
      <c r="A131" s="165" t="n">
        <f aca="false">A130</f>
        <v>45565</v>
      </c>
      <c r="B131" s="8" t="s">
        <v>154</v>
      </c>
      <c r="C131" s="124" t="n">
        <v>36.855</v>
      </c>
      <c r="D131" s="2"/>
      <c r="E131" s="17" t="n">
        <f aca="false">D131*C131</f>
        <v>0</v>
      </c>
    </row>
    <row r="132" customFormat="false" ht="12.75" hidden="false" customHeight="false" outlineLevel="0" collapsed="false">
      <c r="A132" s="165" t="n">
        <f aca="false">A131</f>
        <v>45565</v>
      </c>
      <c r="B132" s="8" t="s">
        <v>155</v>
      </c>
      <c r="C132" s="2"/>
      <c r="D132" s="2"/>
      <c r="E132" s="17" t="n">
        <v>0</v>
      </c>
    </row>
    <row r="133" customFormat="false" ht="12.75" hidden="false" customHeight="false" outlineLevel="0" collapsed="false">
      <c r="A133" s="165" t="n">
        <f aca="false">A132</f>
        <v>45565</v>
      </c>
      <c r="B133" s="8" t="s">
        <v>156</v>
      </c>
      <c r="C133" s="2"/>
      <c r="D133" s="2"/>
      <c r="E133" s="17" t="n">
        <v>1000</v>
      </c>
    </row>
    <row r="134" customFormat="false" ht="12.75" hidden="false" customHeight="false" outlineLevel="0" collapsed="false">
      <c r="E134" s="181"/>
    </row>
    <row r="135" customFormat="false" ht="12.75" hidden="false" customHeight="false" outlineLevel="0" collapsed="false">
      <c r="C135" s="129"/>
      <c r="D135" s="3"/>
      <c r="E135" s="129"/>
    </row>
    <row r="136" customFormat="false" ht="12.75" hidden="false" customHeight="false" outlineLevel="0" collapsed="false">
      <c r="C136" s="129"/>
      <c r="D136" s="18" t="s">
        <v>158</v>
      </c>
      <c r="E136" s="9" t="n">
        <f aca="false">SUM(E112:E133)</f>
        <v>726058.6</v>
      </c>
    </row>
    <row r="137" customFormat="false" ht="12.75" hidden="false" customHeight="false" outlineLevel="0" collapsed="false">
      <c r="C137" s="130" t="str">
        <f aca="false">A111</f>
        <v>EKİMe</v>
      </c>
      <c r="D137" s="131" t="s">
        <v>159</v>
      </c>
      <c r="E137" s="132" t="n">
        <f aca="false">H12</f>
        <v>-85549.29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H127"/>
  <sheetViews>
    <sheetView showFormulas="false" showGridLines="true" showRowColHeaders="true" showZeros="true" rightToLeft="false" tabSelected="false" showOutlineSymbols="true" defaultGridColor="true" view="normal" topLeftCell="A7" colorId="64" zoomScale="145" zoomScaleNormal="145" zoomScalePageLayoutView="100" workbookViewId="0">
      <selection pane="topLeft" activeCell="E112" activeCellId="0" sqref="E112"/>
    </sheetView>
  </sheetViews>
  <sheetFormatPr defaultColWidth="12.2929687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79" width="11.57"/>
    <col collapsed="false" customWidth="false" hidden="false" outlineLevel="0" max="8" min="5" style="79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79" t="s">
        <v>28</v>
      </c>
      <c r="G1" s="79" t="s">
        <v>29</v>
      </c>
      <c r="H1" s="79" t="s">
        <v>3</v>
      </c>
    </row>
    <row r="2" customFormat="false" ht="12.75" hidden="false" customHeight="false" outlineLevel="0" collapsed="false">
      <c r="A2" s="3" t="s">
        <v>433</v>
      </c>
      <c r="C2" s="81" t="s">
        <v>67</v>
      </c>
      <c r="D2" s="79" t="n">
        <f aca="false">SUM(D4:D28)</f>
        <v>36484.15</v>
      </c>
      <c r="E2" s="79" t="n">
        <f aca="false">SUM(E4:E28)</f>
        <v>-81364.9</v>
      </c>
      <c r="F2" s="79" t="n">
        <f aca="false">SUM(F4:F28)</f>
        <v>98006.38</v>
      </c>
      <c r="G2" s="79" t="n">
        <f aca="false">SUM(G4:G28)</f>
        <v>-69863.54</v>
      </c>
      <c r="H2" s="79" t="n">
        <f aca="false">F2+G2</f>
        <v>28142.84</v>
      </c>
    </row>
    <row r="3" customFormat="false" ht="12.75" hidden="false" customHeight="false" outlineLevel="0" collapsed="false">
      <c r="B3" s="18"/>
    </row>
    <row r="4" customFormat="false" ht="12.75" hidden="false" customHeight="false" outlineLevel="0" collapsed="false">
      <c r="A4" s="90" t="n">
        <v>45534</v>
      </c>
      <c r="B4" s="42" t="s">
        <v>434</v>
      </c>
      <c r="D4" s="80"/>
      <c r="E4" s="80" t="n">
        <v>-152</v>
      </c>
      <c r="F4" s="80"/>
      <c r="G4" s="80" t="n">
        <v>-162.11</v>
      </c>
      <c r="H4" s="79" t="n">
        <f aca="false">H3+F4+G4</f>
        <v>-162.11</v>
      </c>
    </row>
    <row r="5" customFormat="false" ht="12.75" hidden="false" customHeight="false" outlineLevel="0" collapsed="false">
      <c r="A5" s="90"/>
      <c r="B5" s="103" t="s">
        <v>435</v>
      </c>
      <c r="C5" s="103" t="s">
        <v>361</v>
      </c>
      <c r="E5" s="80" t="n">
        <v>-250</v>
      </c>
      <c r="F5" s="80"/>
      <c r="G5" s="80"/>
      <c r="H5" s="79" t="n">
        <f aca="false">H4+F5+G5</f>
        <v>-162.11</v>
      </c>
    </row>
    <row r="6" customFormat="false" ht="12.75" hidden="false" customHeight="false" outlineLevel="0" collapsed="false">
      <c r="A6" s="170" t="n">
        <v>45538</v>
      </c>
      <c r="B6" s="182" t="s">
        <v>69</v>
      </c>
      <c r="D6" s="80"/>
      <c r="E6" s="80" t="n">
        <f aca="false">E61</f>
        <v>-21576.4</v>
      </c>
      <c r="F6" s="80"/>
      <c r="G6" s="80" t="n">
        <f aca="false">E6</f>
        <v>-21576.4</v>
      </c>
      <c r="H6" s="79" t="n">
        <f aca="false">H5+F6+G6</f>
        <v>-21738.51</v>
      </c>
    </row>
    <row r="7" customFormat="false" ht="12.75" hidden="false" customHeight="false" outlineLevel="0" collapsed="false">
      <c r="A7" s="90" t="n">
        <v>45539</v>
      </c>
      <c r="B7" s="182" t="s">
        <v>68</v>
      </c>
      <c r="D7" s="80"/>
      <c r="E7" s="80" t="n">
        <f aca="false">E46</f>
        <v>-8037.9</v>
      </c>
      <c r="F7" s="80"/>
      <c r="G7" s="80" t="n">
        <f aca="false">E7</f>
        <v>-8037.9</v>
      </c>
      <c r="H7" s="79" t="n">
        <f aca="false">H6+F7+G7</f>
        <v>-29776.41</v>
      </c>
    </row>
    <row r="8" customFormat="false" ht="12.75" hidden="false" customHeight="false" outlineLevel="0" collapsed="false">
      <c r="A8" s="90"/>
      <c r="B8" s="103" t="s">
        <v>70</v>
      </c>
      <c r="C8" s="103"/>
      <c r="E8" s="80" t="n">
        <v>-1500</v>
      </c>
      <c r="F8" s="80"/>
      <c r="G8" s="80" t="n">
        <v>-1514.73</v>
      </c>
      <c r="H8" s="79" t="n">
        <f aca="false">H7+F8+G8</f>
        <v>-31291.14</v>
      </c>
    </row>
    <row r="9" customFormat="false" ht="12.75" hidden="false" customHeight="false" outlineLevel="0" collapsed="false">
      <c r="A9" s="90"/>
      <c r="B9" s="103" t="s">
        <v>436</v>
      </c>
      <c r="C9" s="103"/>
      <c r="E9" s="80" t="n">
        <v>-17500</v>
      </c>
      <c r="F9" s="80"/>
      <c r="G9" s="80" t="n">
        <v>-17500</v>
      </c>
      <c r="H9" s="79" t="n">
        <f aca="false">H8+F9+G9</f>
        <v>-48791.14</v>
      </c>
    </row>
    <row r="10" customFormat="false" ht="12.75" hidden="false" customHeight="false" outlineLevel="0" collapsed="false">
      <c r="A10" s="90"/>
      <c r="B10" s="108" t="s">
        <v>72</v>
      </c>
      <c r="E10" s="79" t="n">
        <f aca="false">E41*-1</f>
        <v>-0</v>
      </c>
      <c r="F10" s="80"/>
      <c r="G10" s="80" t="n">
        <v>-5</v>
      </c>
      <c r="H10" s="79" t="n">
        <f aca="false">H9+F10+G10</f>
        <v>-48796.14</v>
      </c>
    </row>
    <row r="11" customFormat="false" ht="12.75" hidden="false" customHeight="false" outlineLevel="0" collapsed="false">
      <c r="A11" s="90" t="n">
        <v>45544</v>
      </c>
      <c r="B11" s="8" t="s">
        <v>437</v>
      </c>
      <c r="C11" s="8" t="s">
        <v>438</v>
      </c>
      <c r="E11" s="80"/>
      <c r="F11" s="80" t="n">
        <v>15000</v>
      </c>
      <c r="G11" s="80"/>
      <c r="H11" s="79" t="n">
        <f aca="false">H10+F11+G11</f>
        <v>-33796.14</v>
      </c>
    </row>
    <row r="12" customFormat="false" ht="12.75" hidden="false" customHeight="false" outlineLevel="0" collapsed="false">
      <c r="A12" s="90" t="n">
        <v>45551</v>
      </c>
      <c r="B12" s="108" t="s">
        <v>73</v>
      </c>
      <c r="C12" s="108" t="s">
        <v>332</v>
      </c>
      <c r="E12" s="80" t="n">
        <v>-300</v>
      </c>
      <c r="F12" s="80"/>
      <c r="G12" s="80" t="n">
        <v>-76</v>
      </c>
      <c r="H12" s="79" t="n">
        <f aca="false">H11+F12+G12</f>
        <v>-33872.14</v>
      </c>
    </row>
    <row r="13" customFormat="false" ht="12.75" hidden="false" customHeight="false" outlineLevel="0" collapsed="false">
      <c r="A13" s="90" t="n">
        <v>45551</v>
      </c>
      <c r="B13" s="108" t="s">
        <v>74</v>
      </c>
      <c r="C13" s="108" t="s">
        <v>332</v>
      </c>
      <c r="E13" s="80" t="n">
        <v>-100</v>
      </c>
      <c r="F13" s="80"/>
      <c r="G13" s="80" t="n">
        <v>-34</v>
      </c>
      <c r="H13" s="79" t="n">
        <f aca="false">H12+F13+G13</f>
        <v>-33906.14</v>
      </c>
    </row>
    <row r="14" customFormat="false" ht="12.75" hidden="false" customHeight="false" outlineLevel="0" collapsed="false">
      <c r="A14" s="90" t="n">
        <v>45552</v>
      </c>
      <c r="B14" s="8" t="s">
        <v>439</v>
      </c>
      <c r="F14" s="80" t="n">
        <v>34000</v>
      </c>
      <c r="H14" s="79" t="n">
        <f aca="false">H13+F14+G14</f>
        <v>93.8600000000006</v>
      </c>
    </row>
    <row r="15" customFormat="false" ht="12.75" hidden="false" customHeight="false" outlineLevel="0" collapsed="false">
      <c r="A15" s="90" t="n">
        <v>45550</v>
      </c>
      <c r="B15" s="84" t="s">
        <v>440</v>
      </c>
      <c r="F15" s="79" t="n">
        <v>30000</v>
      </c>
      <c r="H15" s="79" t="n">
        <f aca="false">H14+F15+G15</f>
        <v>30093.86</v>
      </c>
    </row>
    <row r="16" customFormat="false" ht="12.75" hidden="false" customHeight="false" outlineLevel="0" collapsed="false">
      <c r="B16" s="0" t="s">
        <v>77</v>
      </c>
      <c r="E16" s="80" t="n">
        <v>-6500</v>
      </c>
      <c r="F16" s="80"/>
      <c r="G16" s="80" t="n">
        <v>-6500</v>
      </c>
      <c r="H16" s="79" t="n">
        <f aca="false">H15+F16+G16</f>
        <v>23593.86</v>
      </c>
    </row>
    <row r="17" customFormat="false" ht="12.75" hidden="false" customHeight="false" outlineLevel="0" collapsed="false">
      <c r="B17" s="0" t="s">
        <v>78</v>
      </c>
      <c r="E17" s="80" t="n">
        <v>-6500</v>
      </c>
      <c r="F17" s="80"/>
      <c r="G17" s="80" t="n">
        <v>-6500</v>
      </c>
      <c r="H17" s="79" t="n">
        <f aca="false">H16+F17+G17</f>
        <v>17093.86</v>
      </c>
    </row>
    <row r="18" customFormat="false" ht="12.75" hidden="false" customHeight="false" outlineLevel="0" collapsed="false">
      <c r="B18" s="0" t="s">
        <v>79</v>
      </c>
      <c r="E18" s="80" t="n">
        <v>-6500</v>
      </c>
      <c r="F18" s="80"/>
      <c r="G18" s="80" t="n">
        <v>-6500</v>
      </c>
      <c r="H18" s="79" t="n">
        <f aca="false">H17+F18+G18</f>
        <v>10593.86</v>
      </c>
    </row>
    <row r="19" customFormat="false" ht="12.75" hidden="false" customHeight="false" outlineLevel="0" collapsed="false">
      <c r="B19" s="0" t="s">
        <v>76</v>
      </c>
      <c r="D19" s="80" t="n">
        <v>12984.15</v>
      </c>
      <c r="E19" s="80"/>
      <c r="F19" s="80" t="n">
        <v>13006.38</v>
      </c>
      <c r="H19" s="79" t="n">
        <f aca="false">H18+F19+G19</f>
        <v>23600.24</v>
      </c>
    </row>
    <row r="20" customFormat="false" ht="12.75" hidden="false" customHeight="false" outlineLevel="0" collapsed="false">
      <c r="A20" s="102"/>
      <c r="B20" s="103" t="s">
        <v>80</v>
      </c>
      <c r="C20" s="103"/>
      <c r="E20" s="80" t="n">
        <v>-400</v>
      </c>
      <c r="F20" s="80"/>
      <c r="G20" s="80" t="n">
        <v>-455</v>
      </c>
      <c r="H20" s="79" t="n">
        <f aca="false">H19+F20+G20</f>
        <v>23145.24</v>
      </c>
    </row>
    <row r="21" customFormat="false" ht="12.75" hidden="false" customHeight="false" outlineLevel="0" collapsed="false">
      <c r="A21" s="102" t="n">
        <v>45565</v>
      </c>
      <c r="B21" s="103" t="s">
        <v>81</v>
      </c>
      <c r="C21" s="103"/>
      <c r="E21" s="80" t="n">
        <v>-500</v>
      </c>
      <c r="F21" s="80"/>
      <c r="G21" s="80" t="n">
        <v>-805</v>
      </c>
      <c r="H21" s="79" t="n">
        <f aca="false">H20+F21+G21</f>
        <v>22340.24</v>
      </c>
    </row>
    <row r="22" customFormat="false" ht="12.75" hidden="false" customHeight="false" outlineLevel="0" collapsed="false">
      <c r="A22" s="90" t="n">
        <v>45564</v>
      </c>
      <c r="B22" s="8" t="s">
        <v>98</v>
      </c>
      <c r="C22" s="8" t="s">
        <v>441</v>
      </c>
      <c r="D22" s="80" t="s">
        <v>442</v>
      </c>
      <c r="E22" s="79" t="n">
        <v>-1398.6</v>
      </c>
      <c r="H22" s="79" t="n">
        <f aca="false">H21+F22+G22</f>
        <v>22340.24</v>
      </c>
    </row>
    <row r="23" customFormat="false" ht="12.75" hidden="false" customHeight="false" outlineLevel="0" collapsed="false">
      <c r="A23" s="90" t="n">
        <v>45564</v>
      </c>
      <c r="B23" s="84" t="s">
        <v>443</v>
      </c>
      <c r="D23" s="80"/>
      <c r="F23" s="79" t="n">
        <v>6000</v>
      </c>
      <c r="H23" s="79" t="n">
        <f aca="false">H22+F23+G23</f>
        <v>28340.24</v>
      </c>
    </row>
    <row r="24" customFormat="false" ht="12.75" hidden="false" customHeight="false" outlineLevel="0" collapsed="false">
      <c r="A24" s="90" t="n">
        <v>45565</v>
      </c>
      <c r="B24" s="8" t="s">
        <v>444</v>
      </c>
      <c r="G24" s="80" t="n">
        <v>-197.4</v>
      </c>
      <c r="H24" s="79" t="n">
        <f aca="false">H23+F24+G24</f>
        <v>28142.84</v>
      </c>
    </row>
    <row r="25" customFormat="false" ht="12.75" hidden="false" customHeight="false" outlineLevel="0" collapsed="false">
      <c r="B25" s="175" t="s">
        <v>445</v>
      </c>
      <c r="C25" s="175"/>
      <c r="D25" s="185" t="n">
        <v>8500</v>
      </c>
      <c r="H25" s="79" t="n">
        <f aca="false">H24+F25+G25</f>
        <v>28142.84</v>
      </c>
    </row>
    <row r="26" customFormat="false" ht="12.75" hidden="false" customHeight="false" outlineLevel="0" collapsed="false">
      <c r="A26" s="90" t="n">
        <v>45574</v>
      </c>
      <c r="B26" s="175" t="s">
        <v>394</v>
      </c>
      <c r="C26" s="175"/>
      <c r="D26" s="85" t="n">
        <v>15000</v>
      </c>
      <c r="H26" s="79" t="n">
        <f aca="false">H25+F26+G26</f>
        <v>28142.84</v>
      </c>
    </row>
    <row r="27" customFormat="false" ht="12.75" hidden="false" customHeight="false" outlineLevel="0" collapsed="false">
      <c r="B27" s="175" t="s">
        <v>403</v>
      </c>
      <c r="C27" s="175"/>
      <c r="D27" s="112"/>
      <c r="E27" s="112" t="n">
        <v>-10000</v>
      </c>
      <c r="H27" s="79" t="n">
        <f aca="false">H26+F27+G27</f>
        <v>28142.84</v>
      </c>
    </row>
    <row r="28" customFormat="false" ht="12.75" hidden="false" customHeight="false" outlineLevel="0" collapsed="false">
      <c r="B28" s="103" t="s">
        <v>75</v>
      </c>
      <c r="C28" s="103" t="s">
        <v>332</v>
      </c>
      <c r="E28" s="79" t="n">
        <v>-150</v>
      </c>
      <c r="H28" s="79" t="n">
        <f aca="false">H27+F28+G28</f>
        <v>28142.84</v>
      </c>
    </row>
    <row r="29" customFormat="false" ht="12.75" hidden="false" customHeight="false" outlineLevel="0" collapsed="false">
      <c r="A29" s="90" t="n">
        <v>45574</v>
      </c>
      <c r="B29" s="109" t="s">
        <v>446</v>
      </c>
      <c r="G29" s="80" t="n">
        <v>-10000</v>
      </c>
      <c r="H29" s="79" t="n">
        <f aca="false">H28+F29+G29</f>
        <v>18142.84</v>
      </c>
    </row>
    <row r="30" customFormat="false" ht="12.75" hidden="false" customHeight="false" outlineLevel="0" collapsed="false">
      <c r="B30" s="0" t="s">
        <v>447</v>
      </c>
      <c r="C30" s="176" t="n">
        <v>0.234011</v>
      </c>
      <c r="D30" s="79" t="n">
        <v>144000</v>
      </c>
      <c r="H30" s="79" t="n">
        <f aca="false">H29+F30+G30</f>
        <v>18142.84</v>
      </c>
    </row>
    <row r="31" customFormat="false" ht="12.75" hidden="false" customHeight="false" outlineLevel="0" collapsed="false">
      <c r="C31" s="176"/>
    </row>
    <row r="32" customFormat="false" ht="12.75" hidden="false" customHeight="false" outlineLevel="0" collapsed="false">
      <c r="B32" s="0" t="s">
        <v>334</v>
      </c>
    </row>
    <row r="33" customFormat="false" ht="12.75" hidden="false" customHeight="false" outlineLevel="0" collapsed="false">
      <c r="A33" s="105" t="s">
        <v>335</v>
      </c>
      <c r="B33" s="105"/>
      <c r="C33" s="105"/>
    </row>
    <row r="34" customFormat="false" ht="12.75" hidden="false" customHeight="false" outlineLevel="0" collapsed="false">
      <c r="A34" s="102"/>
      <c r="C34" s="176"/>
    </row>
    <row r="35" customFormat="false" ht="12.75" hidden="false" customHeight="false" outlineLevel="0" collapsed="false">
      <c r="A35" s="177" t="n">
        <v>44929</v>
      </c>
      <c r="B35" s="178" t="s">
        <v>336</v>
      </c>
      <c r="C35" s="105"/>
      <c r="D35" s="79" t="n">
        <f aca="false">SUM(D36:D41)</f>
        <v>0</v>
      </c>
      <c r="E35" s="79" t="n">
        <f aca="false">SUM(E36:E41)</f>
        <v>0</v>
      </c>
    </row>
    <row r="36" customFormat="false" ht="12.75" hidden="false" customHeight="false" outlineLevel="0" collapsed="false">
      <c r="A36" s="102"/>
      <c r="B36" s="108" t="s">
        <v>337</v>
      </c>
    </row>
    <row r="37" customFormat="false" ht="12.75" hidden="false" customHeight="false" outlineLevel="0" collapsed="false">
      <c r="B37" s="0" t="s">
        <v>338</v>
      </c>
    </row>
    <row r="38" customFormat="false" ht="12.75" hidden="false" customHeight="false" outlineLevel="0" collapsed="false">
      <c r="B38" s="0" t="s">
        <v>339</v>
      </c>
    </row>
    <row r="39" customFormat="false" ht="12.75" hidden="false" customHeight="false" outlineLevel="0" collapsed="false">
      <c r="B39" s="0" t="s">
        <v>340</v>
      </c>
    </row>
    <row r="40" customFormat="false" ht="12.75" hidden="false" customHeight="false" outlineLevel="0" collapsed="false">
      <c r="B40" s="0" t="s">
        <v>341</v>
      </c>
    </row>
    <row r="41" customFormat="false" ht="12.75" hidden="false" customHeight="false" outlineLevel="0" collapsed="false">
      <c r="B41" s="0" t="s">
        <v>342</v>
      </c>
      <c r="C41" s="108"/>
    </row>
    <row r="42" customFormat="false" ht="12.75" hidden="false" customHeight="false" outlineLevel="0" collapsed="false">
      <c r="C42" s="108"/>
    </row>
    <row r="44" customFormat="false" ht="12.75" hidden="false" customHeight="false" outlineLevel="0" collapsed="false">
      <c r="B44" s="17"/>
    </row>
    <row r="45" customFormat="false" ht="12.75" hidden="false" customHeight="false" outlineLevel="0" collapsed="false">
      <c r="B45" s="104"/>
    </row>
    <row r="46" customFormat="false" ht="12.75" hidden="false" customHeight="false" outlineLevel="0" collapsed="false">
      <c r="A46" s="105"/>
      <c r="B46" s="106" t="s">
        <v>83</v>
      </c>
      <c r="C46" s="105"/>
      <c r="E46" s="79" t="n">
        <f aca="false">SUM(E47:E58)</f>
        <v>-8037.9</v>
      </c>
    </row>
    <row r="48" customFormat="false" ht="12.75" hidden="false" customHeight="false" outlineLevel="0" collapsed="false">
      <c r="A48" s="90" t="n">
        <v>45348</v>
      </c>
      <c r="B48" s="8" t="s">
        <v>448</v>
      </c>
      <c r="C48" s="0" t="n">
        <v>1406</v>
      </c>
      <c r="D48" s="79" t="s">
        <v>449</v>
      </c>
      <c r="E48" s="79" t="n">
        <v>-234.35</v>
      </c>
    </row>
    <row r="49" customFormat="false" ht="12.75" hidden="false" customHeight="false" outlineLevel="0" collapsed="false">
      <c r="A49" s="90" t="n">
        <v>45373</v>
      </c>
      <c r="B49" s="8" t="s">
        <v>343</v>
      </c>
      <c r="C49" s="0" t="n">
        <v>10176.39</v>
      </c>
      <c r="D49" s="79" t="s">
        <v>450</v>
      </c>
      <c r="E49" s="79" t="n">
        <v>-1130.71</v>
      </c>
    </row>
    <row r="50" customFormat="false" ht="12.75" hidden="false" customHeight="false" outlineLevel="0" collapsed="false">
      <c r="A50" s="90" t="n">
        <v>45375</v>
      </c>
      <c r="B50" s="8" t="s">
        <v>345</v>
      </c>
      <c r="C50" s="0" t="n">
        <v>5999</v>
      </c>
      <c r="D50" s="79" t="s">
        <v>450</v>
      </c>
      <c r="E50" s="79" t="n">
        <v>-666.56</v>
      </c>
    </row>
    <row r="51" customFormat="false" ht="12.75" hidden="false" customHeight="false" outlineLevel="0" collapsed="false">
      <c r="A51" s="90" t="n">
        <v>45358</v>
      </c>
      <c r="B51" s="8" t="s">
        <v>451</v>
      </c>
      <c r="C51" s="0" t="n">
        <v>2273</v>
      </c>
      <c r="D51" s="79" t="s">
        <v>449</v>
      </c>
      <c r="E51" s="79" t="n">
        <v>-378.87</v>
      </c>
    </row>
    <row r="52" customFormat="false" ht="12.75" hidden="false" customHeight="false" outlineLevel="0" collapsed="false">
      <c r="A52" s="90" t="n">
        <v>45371</v>
      </c>
      <c r="B52" s="8" t="s">
        <v>452</v>
      </c>
      <c r="D52" s="79" t="s">
        <v>449</v>
      </c>
      <c r="E52" s="79" t="n">
        <v>101.79</v>
      </c>
    </row>
    <row r="53" customFormat="false" ht="12.75" hidden="false" customHeight="false" outlineLevel="0" collapsed="false">
      <c r="A53" s="102" t="n">
        <v>45456</v>
      </c>
      <c r="B53" s="109" t="s">
        <v>453</v>
      </c>
      <c r="C53" s="108"/>
      <c r="D53" s="79" t="s">
        <v>454</v>
      </c>
      <c r="E53" s="79" t="n">
        <v>-3923.34</v>
      </c>
    </row>
    <row r="54" customFormat="false" ht="12.75" hidden="false" customHeight="false" outlineLevel="0" collapsed="false">
      <c r="A54" s="102"/>
      <c r="B54" s="108"/>
      <c r="C54" s="108"/>
    </row>
    <row r="55" customFormat="false" ht="12.75" hidden="false" customHeight="false" outlineLevel="0" collapsed="false">
      <c r="A55" s="102"/>
      <c r="B55" s="109" t="s">
        <v>132</v>
      </c>
      <c r="C55" s="108" t="n">
        <v>8154.2</v>
      </c>
    </row>
    <row r="56" customFormat="false" ht="12.75" hidden="false" customHeight="false" outlineLevel="0" collapsed="false">
      <c r="A56" s="102"/>
      <c r="B56" s="109" t="s">
        <v>455</v>
      </c>
      <c r="C56" s="108"/>
      <c r="E56" s="79" t="n">
        <v>-1805.86</v>
      </c>
    </row>
    <row r="57" customFormat="false" ht="13.8" hidden="false" customHeight="false" outlineLevel="0" collapsed="false">
      <c r="A57" s="102"/>
      <c r="B57" s="109"/>
      <c r="C57" s="107" t="s">
        <v>84</v>
      </c>
    </row>
    <row r="58" customFormat="false" ht="12.75" hidden="false" customHeight="false" outlineLevel="0" collapsed="false">
      <c r="A58" s="102"/>
      <c r="B58" s="109"/>
      <c r="C58" s="108"/>
    </row>
    <row r="59" customFormat="false" ht="12.75" hidden="false" customHeight="false" outlineLevel="0" collapsed="false">
      <c r="A59" s="102"/>
      <c r="B59" s="3"/>
    </row>
    <row r="60" customFormat="false" ht="12.75" hidden="false" customHeight="false" outlineLevel="0" collapsed="false">
      <c r="A60" s="102"/>
      <c r="B60" s="108"/>
      <c r="C60" s="108"/>
    </row>
    <row r="61" customFormat="false" ht="12.75" hidden="false" customHeight="false" outlineLevel="0" collapsed="false">
      <c r="A61" s="105"/>
      <c r="B61" s="106" t="s">
        <v>85</v>
      </c>
      <c r="C61" s="105"/>
      <c r="E61" s="79" t="n">
        <f aca="false">SUM(E62:E70)</f>
        <v>-21576.4</v>
      </c>
    </row>
    <row r="62" customFormat="false" ht="12.75" hidden="false" customHeight="false" outlineLevel="0" collapsed="false">
      <c r="A62" s="102"/>
      <c r="B62" s="108"/>
      <c r="C62" s="108"/>
    </row>
    <row r="63" customFormat="false" ht="12.75" hidden="false" customHeight="false" outlineLevel="0" collapsed="false">
      <c r="A63" s="102"/>
      <c r="B63" s="108"/>
      <c r="C63" s="108"/>
      <c r="E63" s="79" t="n">
        <v>-21576.4</v>
      </c>
    </row>
    <row r="64" customFormat="false" ht="13.8" hidden="false" customHeight="false" outlineLevel="0" collapsed="false">
      <c r="A64" s="102"/>
      <c r="B64" s="3"/>
      <c r="C64" s="107" t="s">
        <v>84</v>
      </c>
    </row>
    <row r="65" customFormat="false" ht="12.75" hidden="false" customHeight="false" outlineLevel="0" collapsed="false">
      <c r="A65" s="102"/>
      <c r="B65" s="3"/>
      <c r="C65" s="108"/>
    </row>
    <row r="66" customFormat="false" ht="12.75" hidden="false" customHeight="false" outlineLevel="0" collapsed="false">
      <c r="A66" s="102"/>
      <c r="B66" s="3"/>
      <c r="C66" s="108"/>
    </row>
    <row r="67" customFormat="false" ht="12.75" hidden="false" customHeight="false" outlineLevel="0" collapsed="false">
      <c r="A67" s="102"/>
      <c r="B67" s="3"/>
      <c r="C67" s="108"/>
    </row>
    <row r="68" customFormat="false" ht="12.75" hidden="false" customHeight="false" outlineLevel="0" collapsed="false">
      <c r="A68" s="102"/>
      <c r="B68" s="3"/>
      <c r="C68" s="108"/>
    </row>
    <row r="69" customFormat="false" ht="12.75" hidden="false" customHeight="false" outlineLevel="0" collapsed="false">
      <c r="A69" s="102"/>
      <c r="B69" s="3"/>
      <c r="C69" s="108"/>
    </row>
    <row r="70" customFormat="false" ht="12.75" hidden="false" customHeight="false" outlineLevel="0" collapsed="false">
      <c r="A70" s="102"/>
      <c r="B70" s="3"/>
      <c r="C70" s="108"/>
    </row>
    <row r="71" customFormat="false" ht="12.75" hidden="false" customHeight="false" outlineLevel="0" collapsed="false">
      <c r="A71" s="102"/>
      <c r="B71" s="3"/>
      <c r="C71" s="108"/>
    </row>
    <row r="72" customFormat="false" ht="12.75" hidden="false" customHeight="false" outlineLevel="0" collapsed="false">
      <c r="A72" s="102"/>
      <c r="B72" s="3"/>
      <c r="C72" s="108"/>
    </row>
    <row r="73" customFormat="false" ht="12.75" hidden="false" customHeight="false" outlineLevel="0" collapsed="false">
      <c r="A73" s="102"/>
      <c r="B73" s="3"/>
      <c r="C73" s="108"/>
    </row>
    <row r="74" customFormat="false" ht="12.75" hidden="false" customHeight="false" outlineLevel="0" collapsed="false">
      <c r="A74" s="102"/>
      <c r="B74" s="3"/>
      <c r="C74" s="108"/>
    </row>
    <row r="75" customFormat="false" ht="12.75" hidden="false" customHeight="false" outlineLevel="0" collapsed="false">
      <c r="A75" s="102"/>
      <c r="B75" s="3"/>
      <c r="C75" s="108"/>
    </row>
    <row r="76" customFormat="false" ht="12.75" hidden="false" customHeight="false" outlineLevel="0" collapsed="false">
      <c r="A76" s="102"/>
      <c r="B76" s="3"/>
      <c r="C76" s="108"/>
    </row>
    <row r="77" customFormat="false" ht="12.75" hidden="false" customHeight="false" outlineLevel="0" collapsed="false">
      <c r="A77" s="102"/>
      <c r="B77" s="3"/>
      <c r="C77" s="108"/>
    </row>
    <row r="78" customFormat="false" ht="12.75" hidden="false" customHeight="false" outlineLevel="0" collapsed="false">
      <c r="A78" s="102"/>
      <c r="B78" s="3"/>
      <c r="C78" s="108"/>
    </row>
    <row r="79" customFormat="false" ht="12.75" hidden="false" customHeight="false" outlineLevel="0" collapsed="false">
      <c r="A79" s="102"/>
      <c r="B79" s="3"/>
      <c r="C79" s="108"/>
    </row>
    <row r="80" customFormat="false" ht="12.75" hidden="false" customHeight="false" outlineLevel="0" collapsed="false">
      <c r="A80" s="102"/>
      <c r="B80" s="3"/>
      <c r="C80" s="108"/>
    </row>
    <row r="81" customFormat="false" ht="12.75" hidden="false" customHeight="false" outlineLevel="0" collapsed="false">
      <c r="A81" s="102"/>
      <c r="B81" s="3"/>
      <c r="C81" s="108"/>
    </row>
    <row r="82" customFormat="false" ht="12.75" hidden="false" customHeight="false" outlineLevel="0" collapsed="false">
      <c r="A82" s="102"/>
      <c r="B82" s="3"/>
      <c r="C82" s="108"/>
    </row>
    <row r="83" customFormat="false" ht="12.75" hidden="false" customHeight="false" outlineLevel="0" collapsed="false">
      <c r="A83" s="102"/>
      <c r="B83" s="3"/>
      <c r="C83" s="108"/>
    </row>
    <row r="84" customFormat="false" ht="12.75" hidden="false" customHeight="false" outlineLevel="0" collapsed="false">
      <c r="A84" s="102"/>
      <c r="B84" s="3"/>
      <c r="C84" s="108"/>
    </row>
    <row r="85" customFormat="false" ht="12.75" hidden="false" customHeight="false" outlineLevel="0" collapsed="false">
      <c r="A85" s="102"/>
      <c r="B85" s="3"/>
      <c r="C85" s="108"/>
    </row>
    <row r="86" customFormat="false" ht="12.75" hidden="false" customHeight="false" outlineLevel="0" collapsed="false">
      <c r="A86" s="102"/>
      <c r="B86" s="3"/>
      <c r="C86" s="108"/>
    </row>
    <row r="87" customFormat="false" ht="12.75" hidden="false" customHeight="false" outlineLevel="0" collapsed="false">
      <c r="A87" s="102"/>
      <c r="B87" s="3"/>
      <c r="C87" s="108"/>
    </row>
    <row r="88" customFormat="false" ht="12.75" hidden="false" customHeight="false" outlineLevel="0" collapsed="false">
      <c r="A88" s="102"/>
      <c r="B88" s="3"/>
      <c r="C88" s="108"/>
    </row>
    <row r="89" customFormat="false" ht="12.75" hidden="false" customHeight="false" outlineLevel="0" collapsed="false">
      <c r="A89" s="102"/>
      <c r="B89" s="3"/>
      <c r="C89" s="108"/>
    </row>
    <row r="90" customFormat="false" ht="12.75" hidden="false" customHeight="false" outlineLevel="0" collapsed="false">
      <c r="A90" s="102"/>
      <c r="B90" s="3"/>
      <c r="C90" s="108"/>
    </row>
    <row r="91" customFormat="false" ht="12.75" hidden="false" customHeight="false" outlineLevel="0" collapsed="false">
      <c r="A91" s="102"/>
      <c r="B91" s="3"/>
      <c r="C91" s="108"/>
    </row>
    <row r="92" customFormat="false" ht="12.75" hidden="false" customHeight="false" outlineLevel="0" collapsed="false">
      <c r="A92" s="102"/>
      <c r="B92" s="3"/>
      <c r="C92" s="108"/>
    </row>
    <row r="101" customFormat="false" ht="12.75" hidden="false" customHeight="false" outlineLevel="0" collapsed="false">
      <c r="A101" s="117" t="s">
        <v>456</v>
      </c>
      <c r="B101" s="106" t="s">
        <v>139</v>
      </c>
      <c r="C101" s="105" t="n">
        <v>2024</v>
      </c>
      <c r="D101" s="163"/>
      <c r="E101" s="164" t="n">
        <f aca="false">SUM(E102:E123)</f>
        <v>749196.59932</v>
      </c>
    </row>
    <row r="102" customFormat="false" ht="12.75" hidden="false" customHeight="false" outlineLevel="0" collapsed="false">
      <c r="A102" s="165" t="n">
        <v>45534</v>
      </c>
      <c r="B102" s="8" t="s">
        <v>77</v>
      </c>
      <c r="C102" s="2"/>
      <c r="D102" s="2"/>
      <c r="E102" s="2" t="n">
        <v>0</v>
      </c>
    </row>
    <row r="103" customFormat="false" ht="12.75" hidden="false" customHeight="false" outlineLevel="0" collapsed="false">
      <c r="A103" s="165" t="n">
        <f aca="false">A102</f>
        <v>45534</v>
      </c>
      <c r="B103" s="8" t="s">
        <v>387</v>
      </c>
      <c r="C103" s="2"/>
      <c r="D103" s="2"/>
      <c r="E103" s="2" t="n">
        <v>0</v>
      </c>
    </row>
    <row r="104" customFormat="false" ht="12.75" hidden="false" customHeight="false" outlineLevel="0" collapsed="false">
      <c r="A104" s="165"/>
      <c r="B104" s="8" t="s">
        <v>457</v>
      </c>
      <c r="C104" s="2"/>
      <c r="D104" s="2"/>
      <c r="E104" s="2" t="n">
        <v>407100</v>
      </c>
    </row>
    <row r="105" customFormat="false" ht="12.75" hidden="false" customHeight="false" outlineLevel="0" collapsed="false">
      <c r="A105" s="165" t="n">
        <f aca="false">A103</f>
        <v>45534</v>
      </c>
      <c r="B105" s="8" t="s">
        <v>142</v>
      </c>
      <c r="C105" s="2"/>
      <c r="D105" s="2"/>
      <c r="E105" s="17" t="n">
        <v>5105.23</v>
      </c>
    </row>
    <row r="106" customFormat="false" ht="12.75" hidden="false" customHeight="false" outlineLevel="0" collapsed="false">
      <c r="A106" s="165" t="n">
        <f aca="false">A103</f>
        <v>45534</v>
      </c>
      <c r="B106" s="8" t="s">
        <v>144</v>
      </c>
      <c r="C106" s="2" t="n">
        <v>40</v>
      </c>
      <c r="D106" s="179" t="n">
        <v>732.606483</v>
      </c>
      <c r="E106" s="17" t="n">
        <f aca="false">D106*C106</f>
        <v>29304.25932</v>
      </c>
    </row>
    <row r="107" customFormat="false" ht="12.75" hidden="false" customHeight="false" outlineLevel="0" collapsed="false">
      <c r="A107" s="165" t="n">
        <f aca="false">A112</f>
        <v>45534</v>
      </c>
      <c r="B107" s="8" t="s">
        <v>389</v>
      </c>
      <c r="C107" s="2" t="n">
        <v>28.5</v>
      </c>
      <c r="D107" s="2" t="n">
        <v>4000</v>
      </c>
      <c r="E107" s="17" t="n">
        <f aca="false">D107*C107</f>
        <v>114000</v>
      </c>
    </row>
    <row r="108" customFormat="false" ht="12.75" hidden="false" customHeight="false" outlineLevel="0" collapsed="false">
      <c r="A108" s="165" t="n">
        <f aca="false">A105</f>
        <v>45534</v>
      </c>
      <c r="B108" s="8" t="s">
        <v>146</v>
      </c>
      <c r="C108" s="180" t="n">
        <v>125000</v>
      </c>
      <c r="D108" s="179" t="n">
        <v>0.779716</v>
      </c>
      <c r="E108" s="17" t="n">
        <f aca="false">D108*C108</f>
        <v>97464.5</v>
      </c>
    </row>
    <row r="109" customFormat="false" ht="12.75" hidden="false" customHeight="false" outlineLevel="0" collapsed="false">
      <c r="A109" s="165" t="n">
        <f aca="false">A106</f>
        <v>45534</v>
      </c>
      <c r="B109" s="8" t="s">
        <v>147</v>
      </c>
      <c r="C109" s="2" t="n">
        <v>10</v>
      </c>
      <c r="D109" s="2" t="n">
        <v>103.7</v>
      </c>
      <c r="E109" s="17" t="n">
        <f aca="false">D109*C109</f>
        <v>1037</v>
      </c>
    </row>
    <row r="110" customFormat="false" ht="12.75" hidden="false" customHeight="false" outlineLevel="0" collapsed="false">
      <c r="A110" s="165" t="n">
        <f aca="false">A109</f>
        <v>45534</v>
      </c>
      <c r="B110" s="8" t="s">
        <v>148</v>
      </c>
      <c r="C110" s="2" t="n">
        <v>38</v>
      </c>
      <c r="D110" s="2" t="n">
        <v>21.42</v>
      </c>
      <c r="E110" s="17" t="n">
        <f aca="false">D110*C110</f>
        <v>813.96</v>
      </c>
    </row>
    <row r="111" customFormat="false" ht="12.75" hidden="false" customHeight="false" outlineLevel="0" collapsed="false">
      <c r="A111" s="165" t="n">
        <f aca="false">A110</f>
        <v>45534</v>
      </c>
      <c r="B111" s="8" t="s">
        <v>149</v>
      </c>
      <c r="C111" s="2" t="n">
        <v>26</v>
      </c>
      <c r="D111" s="2" t="n">
        <v>25.92</v>
      </c>
      <c r="E111" s="17" t="n">
        <f aca="false">D111*C111</f>
        <v>673.92</v>
      </c>
    </row>
    <row r="112" customFormat="false" ht="12.75" hidden="false" customHeight="false" outlineLevel="0" collapsed="false">
      <c r="A112" s="165" t="n">
        <f aca="false">A111</f>
        <v>45534</v>
      </c>
      <c r="B112" s="8" t="s">
        <v>143</v>
      </c>
      <c r="C112" s="2"/>
      <c r="D112" s="2"/>
      <c r="E112" s="17" t="n">
        <f aca="false">D112*C112</f>
        <v>0</v>
      </c>
    </row>
    <row r="113" customFormat="false" ht="12.75" hidden="false" customHeight="false" outlineLevel="0" collapsed="false">
      <c r="E113" s="17" t="n">
        <f aca="false">D113*C113</f>
        <v>0</v>
      </c>
    </row>
    <row r="114" customFormat="false" ht="12.75" hidden="false" customHeight="false" outlineLevel="0" collapsed="false">
      <c r="A114" s="165" t="n">
        <f aca="false">A107</f>
        <v>45534</v>
      </c>
      <c r="C114" s="2"/>
      <c r="D114" s="2"/>
      <c r="E114" s="17" t="n">
        <f aca="false">D114*C114</f>
        <v>0</v>
      </c>
    </row>
    <row r="115" customFormat="false" ht="12.75" hidden="false" customHeight="false" outlineLevel="0" collapsed="false">
      <c r="A115" s="165" t="n">
        <f aca="false">A114</f>
        <v>45534</v>
      </c>
      <c r="C115" s="2"/>
      <c r="D115" s="2"/>
      <c r="E115" s="17" t="n">
        <f aca="false">D115*C115</f>
        <v>0</v>
      </c>
    </row>
    <row r="116" customFormat="false" ht="12.75" hidden="false" customHeight="false" outlineLevel="0" collapsed="false">
      <c r="A116" s="165" t="n">
        <f aca="false">A115</f>
        <v>45534</v>
      </c>
      <c r="B116" s="8" t="s">
        <v>354</v>
      </c>
      <c r="C116" s="2" t="n">
        <v>2697.73</v>
      </c>
      <c r="D116" s="2" t="n">
        <v>1</v>
      </c>
      <c r="E116" s="17" t="n">
        <f aca="false">D116*C116</f>
        <v>2697.73</v>
      </c>
    </row>
    <row r="117" customFormat="false" ht="12.75" hidden="false" customHeight="false" outlineLevel="0" collapsed="false">
      <c r="A117" s="165" t="n">
        <f aca="false">A116</f>
        <v>45534</v>
      </c>
      <c r="B117" s="8" t="s">
        <v>151</v>
      </c>
      <c r="C117" s="2" t="n">
        <v>4500</v>
      </c>
      <c r="D117" s="2" t="n">
        <v>16</v>
      </c>
      <c r="E117" s="17" t="n">
        <f aca="false">D117*C117</f>
        <v>72000</v>
      </c>
    </row>
    <row r="118" customFormat="false" ht="12.75" hidden="false" customHeight="false" outlineLevel="0" collapsed="false">
      <c r="A118" s="165" t="n">
        <f aca="false">A117</f>
        <v>45534</v>
      </c>
      <c r="B118" s="8" t="s">
        <v>152</v>
      </c>
      <c r="C118" s="2" t="n">
        <v>18000</v>
      </c>
      <c r="D118" s="2" t="n">
        <v>1</v>
      </c>
      <c r="E118" s="17" t="n">
        <f aca="false">D118*C118</f>
        <v>18000</v>
      </c>
    </row>
    <row r="119" customFormat="false" ht="12.75" hidden="false" customHeight="false" outlineLevel="0" collapsed="false">
      <c r="A119" s="165" t="n">
        <f aca="false">A118</f>
        <v>45534</v>
      </c>
      <c r="C119" s="2"/>
      <c r="D119" s="2"/>
      <c r="E119" s="17"/>
    </row>
    <row r="120" customFormat="false" ht="12.75" hidden="false" customHeight="false" outlineLevel="0" collapsed="false">
      <c r="A120" s="165" t="n">
        <f aca="false">A116</f>
        <v>45534</v>
      </c>
      <c r="B120" s="8" t="s">
        <v>153</v>
      </c>
      <c r="C120" s="124" t="n">
        <v>33.2506</v>
      </c>
      <c r="D120" s="2"/>
      <c r="E120" s="17"/>
    </row>
    <row r="121" customFormat="false" ht="12.75" hidden="false" customHeight="false" outlineLevel="0" collapsed="false">
      <c r="A121" s="165" t="n">
        <f aca="false">A120</f>
        <v>45534</v>
      </c>
      <c r="B121" s="8" t="s">
        <v>154</v>
      </c>
      <c r="C121" s="124" t="n">
        <v>36.855</v>
      </c>
      <c r="D121" s="2"/>
      <c r="E121" s="17"/>
    </row>
    <row r="122" customFormat="false" ht="12.75" hidden="false" customHeight="false" outlineLevel="0" collapsed="false">
      <c r="A122" s="165" t="n">
        <f aca="false">A121</f>
        <v>45534</v>
      </c>
      <c r="B122" s="8" t="s">
        <v>155</v>
      </c>
      <c r="C122" s="2"/>
      <c r="D122" s="2"/>
      <c r="E122" s="17" t="n">
        <v>0</v>
      </c>
    </row>
    <row r="123" customFormat="false" ht="12.75" hidden="false" customHeight="false" outlineLevel="0" collapsed="false">
      <c r="A123" s="165" t="n">
        <f aca="false">A122</f>
        <v>45534</v>
      </c>
      <c r="B123" s="8" t="s">
        <v>156</v>
      </c>
      <c r="C123" s="2"/>
      <c r="D123" s="2"/>
      <c r="E123" s="17" t="n">
        <v>1000</v>
      </c>
    </row>
    <row r="124" customFormat="false" ht="12.75" hidden="false" customHeight="false" outlineLevel="0" collapsed="false">
      <c r="E124" s="181"/>
    </row>
    <row r="125" customFormat="false" ht="12.75" hidden="false" customHeight="false" outlineLevel="0" collapsed="false">
      <c r="C125" s="129"/>
      <c r="D125" s="3"/>
      <c r="E125" s="129"/>
    </row>
    <row r="126" customFormat="false" ht="12.75" hidden="false" customHeight="false" outlineLevel="0" collapsed="false">
      <c r="C126" s="129"/>
      <c r="D126" s="18" t="s">
        <v>158</v>
      </c>
      <c r="E126" s="9" t="n">
        <f aca="false">SUM(E102:E123)</f>
        <v>749196.59932</v>
      </c>
    </row>
    <row r="127" customFormat="false" ht="12.75" hidden="false" customHeight="false" outlineLevel="0" collapsed="false">
      <c r="C127" s="130" t="str">
        <f aca="false">A101</f>
        <v>EYLÜLe</v>
      </c>
      <c r="D127" s="131" t="s">
        <v>159</v>
      </c>
      <c r="E127" s="132" t="n">
        <f aca="false">H2</f>
        <v>28142.84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H150"/>
  <sheetViews>
    <sheetView showFormulas="false" showGridLines="true" showRowColHeaders="true" showZeros="true" rightToLeft="false" tabSelected="false" showOutlineSymbols="true" defaultGridColor="true" view="normal" topLeftCell="A29" colorId="64" zoomScale="145" zoomScaleNormal="145" zoomScalePageLayoutView="100" workbookViewId="0">
      <selection pane="topLeft" activeCell="E125" activeCellId="0" sqref="E125"/>
    </sheetView>
  </sheetViews>
  <sheetFormatPr defaultColWidth="12.2929687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79" width="11.57"/>
    <col collapsed="false" customWidth="false" hidden="false" outlineLevel="0" max="8" min="5" style="79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79" t="s">
        <v>28</v>
      </c>
      <c r="G1" s="79" t="s">
        <v>29</v>
      </c>
      <c r="H1" s="79" t="s">
        <v>3</v>
      </c>
    </row>
    <row r="2" customFormat="false" ht="12.75" hidden="false" customHeight="false" outlineLevel="0" collapsed="false">
      <c r="A2" s="3" t="s">
        <v>458</v>
      </c>
      <c r="C2" s="81" t="s">
        <v>67</v>
      </c>
      <c r="D2" s="79" t="n">
        <f aca="false">SUM(D4:D46)</f>
        <v>195484.15</v>
      </c>
      <c r="E2" s="79" t="n">
        <f aca="false">SUM(E4:E46)</f>
        <v>-88440.67</v>
      </c>
      <c r="F2" s="79" t="n">
        <f aca="false">SUM(F4:F47)</f>
        <v>28006.38</v>
      </c>
      <c r="G2" s="79" t="n">
        <f aca="false">SUM(G4:G47)</f>
        <v>-88381.87</v>
      </c>
      <c r="H2" s="79" t="n">
        <f aca="false">F2+G2</f>
        <v>-60375.49</v>
      </c>
    </row>
    <row r="3" customFormat="false" ht="12.75" hidden="false" customHeight="false" outlineLevel="0" collapsed="false">
      <c r="B3" s="36"/>
      <c r="D3" s="80"/>
      <c r="E3" s="80"/>
      <c r="F3" s="80"/>
      <c r="G3" s="80"/>
      <c r="H3" s="80"/>
    </row>
    <row r="4" customFormat="false" ht="12.75" hidden="false" customHeight="false" outlineLevel="0" collapsed="false">
      <c r="A4" s="90" t="n">
        <v>45500</v>
      </c>
      <c r="B4" s="42" t="s">
        <v>434</v>
      </c>
      <c r="C4" s="8" t="s">
        <v>459</v>
      </c>
      <c r="D4" s="80"/>
      <c r="E4" s="80" t="n">
        <v>-152</v>
      </c>
      <c r="F4" s="80"/>
      <c r="G4" s="80" t="n">
        <v>-166.9</v>
      </c>
      <c r="H4" s="80" t="n">
        <f aca="false">H3+F4+G4</f>
        <v>-166.9</v>
      </c>
    </row>
    <row r="5" customFormat="false" ht="12.75" hidden="false" customHeight="false" outlineLevel="0" collapsed="false">
      <c r="B5" s="103" t="s">
        <v>460</v>
      </c>
      <c r="C5" s="103" t="s">
        <v>361</v>
      </c>
      <c r="D5" s="80"/>
      <c r="E5" s="80" t="n">
        <v>-250</v>
      </c>
      <c r="F5" s="80"/>
      <c r="G5" s="80"/>
      <c r="H5" s="80" t="n">
        <f aca="false">H4+F5+G5</f>
        <v>-166.9</v>
      </c>
    </row>
    <row r="6" customFormat="false" ht="12.75" hidden="false" customHeight="false" outlineLevel="0" collapsed="false">
      <c r="A6" s="90" t="n">
        <v>45509</v>
      </c>
      <c r="B6" s="103" t="s">
        <v>70</v>
      </c>
      <c r="C6" s="103"/>
      <c r="D6" s="80"/>
      <c r="E6" s="80" t="n">
        <v>-1500</v>
      </c>
      <c r="F6" s="80"/>
      <c r="G6" s="80" t="n">
        <v>-1532.3</v>
      </c>
      <c r="H6" s="80" t="n">
        <f aca="false">H5+F6+G6</f>
        <v>-1699.2</v>
      </c>
    </row>
    <row r="7" customFormat="false" ht="12.75" hidden="false" customHeight="false" outlineLevel="0" collapsed="false">
      <c r="A7" s="90" t="n">
        <v>45509</v>
      </c>
      <c r="B7" s="182" t="s">
        <v>68</v>
      </c>
      <c r="D7" s="80"/>
      <c r="E7" s="80" t="n">
        <f aca="false">E63</f>
        <v>-8154.2</v>
      </c>
      <c r="F7" s="80"/>
      <c r="G7" s="80" t="n">
        <v>-8154.2</v>
      </c>
      <c r="H7" s="80" t="n">
        <f aca="false">H6+F7+G7</f>
        <v>-9853.4</v>
      </c>
    </row>
    <row r="8" customFormat="false" ht="12.75" hidden="false" customHeight="false" outlineLevel="0" collapsed="false">
      <c r="A8" s="170" t="n">
        <v>45509</v>
      </c>
      <c r="B8" s="182" t="s">
        <v>69</v>
      </c>
      <c r="D8" s="80"/>
      <c r="E8" s="80" t="n">
        <f aca="false">E78</f>
        <v>-21980.09</v>
      </c>
      <c r="F8" s="80"/>
      <c r="G8" s="80" t="n">
        <v>-21980.09</v>
      </c>
      <c r="H8" s="80" t="n">
        <f aca="false">H7+F8+G8</f>
        <v>-31833.49</v>
      </c>
    </row>
    <row r="9" customFormat="false" ht="12.75" hidden="false" customHeight="false" outlineLevel="0" collapsed="false">
      <c r="A9" s="170"/>
      <c r="B9" s="182" t="s">
        <v>461</v>
      </c>
      <c r="D9" s="80"/>
      <c r="E9" s="80"/>
      <c r="F9" s="80"/>
      <c r="G9" s="80" t="n">
        <v>-10000</v>
      </c>
      <c r="H9" s="80" t="n">
        <f aca="false">H8+F9+G9</f>
        <v>-41833.49</v>
      </c>
    </row>
    <row r="10" customFormat="false" ht="12.75" hidden="false" customHeight="false" outlineLevel="0" collapsed="false">
      <c r="A10" s="170"/>
      <c r="B10" s="83"/>
      <c r="D10" s="80"/>
      <c r="E10" s="80"/>
      <c r="F10" s="80"/>
      <c r="G10" s="80"/>
      <c r="H10" s="80" t="n">
        <f aca="false">H9+F10+G10</f>
        <v>-41833.49</v>
      </c>
    </row>
    <row r="11" customFormat="false" ht="12.75" hidden="false" customHeight="false" outlineLevel="0" collapsed="false">
      <c r="A11" s="170" t="n">
        <v>45510</v>
      </c>
      <c r="B11" s="8" t="s">
        <v>462</v>
      </c>
      <c r="D11" s="80" t="n">
        <v>15000</v>
      </c>
      <c r="E11" s="80"/>
      <c r="F11" s="80" t="n">
        <v>15000</v>
      </c>
      <c r="G11" s="80"/>
      <c r="H11" s="80" t="n">
        <f aca="false">H10+F11+G11</f>
        <v>-26833.49</v>
      </c>
    </row>
    <row r="12" customFormat="false" ht="12.75" hidden="false" customHeight="false" outlineLevel="0" collapsed="false">
      <c r="A12" s="102" t="n">
        <v>45511</v>
      </c>
      <c r="B12" s="103" t="s">
        <v>463</v>
      </c>
      <c r="C12" s="103"/>
      <c r="D12" s="80"/>
      <c r="E12" s="80" t="n">
        <v>-17500</v>
      </c>
      <c r="F12" s="80"/>
      <c r="G12" s="80" t="n">
        <v>-17500</v>
      </c>
      <c r="H12" s="80" t="n">
        <f aca="false">H11+F12+G12</f>
        <v>-44333.49</v>
      </c>
    </row>
    <row r="13" customFormat="false" ht="12.75" hidden="false" customHeight="false" outlineLevel="0" collapsed="false">
      <c r="A13" s="102"/>
      <c r="B13" s="183" t="s">
        <v>72</v>
      </c>
      <c r="E13" s="79" t="n">
        <f aca="false">E58*-1</f>
        <v>-0</v>
      </c>
      <c r="G13" s="79" t="n">
        <v>-50</v>
      </c>
      <c r="H13" s="80" t="n">
        <f aca="false">H12+F13+G13</f>
        <v>-44383.49</v>
      </c>
    </row>
    <row r="14" customFormat="false" ht="12.75" hidden="false" customHeight="false" outlineLevel="0" collapsed="false">
      <c r="A14" s="102" t="n">
        <v>45519</v>
      </c>
      <c r="B14" s="171" t="s">
        <v>464</v>
      </c>
      <c r="C14" s="103"/>
      <c r="D14" s="80"/>
      <c r="E14" s="80"/>
      <c r="F14" s="80"/>
      <c r="G14" s="80"/>
      <c r="H14" s="80" t="n">
        <f aca="false">H13+F14+G14</f>
        <v>-44383.49</v>
      </c>
    </row>
    <row r="15" customFormat="false" ht="12.75" hidden="false" customHeight="false" outlineLevel="0" collapsed="false">
      <c r="A15" s="102" t="n">
        <v>45520</v>
      </c>
      <c r="B15" s="103" t="s">
        <v>465</v>
      </c>
      <c r="C15" s="103"/>
      <c r="D15" s="80"/>
      <c r="E15" s="80"/>
      <c r="F15" s="80"/>
      <c r="G15" s="80" t="n">
        <v>-95</v>
      </c>
      <c r="H15" s="80" t="n">
        <f aca="false">H14+F15+G15</f>
        <v>-44478.49</v>
      </c>
    </row>
    <row r="16" customFormat="false" ht="12.75" hidden="false" customHeight="false" outlineLevel="0" collapsed="false">
      <c r="A16" s="90" t="n">
        <v>45523</v>
      </c>
      <c r="B16" s="108" t="s">
        <v>73</v>
      </c>
      <c r="C16" s="108" t="s">
        <v>332</v>
      </c>
      <c r="D16" s="80"/>
      <c r="E16" s="80" t="n">
        <v>-300</v>
      </c>
      <c r="F16" s="80"/>
      <c r="G16" s="80" t="n">
        <v>-56</v>
      </c>
      <c r="H16" s="80" t="n">
        <f aca="false">H15+F16+G16</f>
        <v>-44534.49</v>
      </c>
    </row>
    <row r="17" customFormat="false" ht="12.75" hidden="false" customHeight="false" outlineLevel="0" collapsed="false">
      <c r="A17" s="90" t="n">
        <v>45523</v>
      </c>
      <c r="B17" s="108" t="s">
        <v>74</v>
      </c>
      <c r="C17" s="108" t="s">
        <v>332</v>
      </c>
      <c r="D17" s="80"/>
      <c r="E17" s="80" t="n">
        <v>-100</v>
      </c>
      <c r="F17" s="80"/>
      <c r="G17" s="80" t="n">
        <v>-28</v>
      </c>
      <c r="H17" s="80" t="n">
        <f aca="false">H16+F17+G17</f>
        <v>-44562.49</v>
      </c>
    </row>
    <row r="18" customFormat="false" ht="12.75" hidden="false" customHeight="false" outlineLevel="0" collapsed="false">
      <c r="A18" s="90" t="n">
        <v>45533</v>
      </c>
      <c r="B18" s="103" t="s">
        <v>80</v>
      </c>
      <c r="C18" s="103"/>
      <c r="D18" s="80"/>
      <c r="E18" s="80" t="n">
        <v>-400</v>
      </c>
      <c r="F18" s="80"/>
      <c r="G18" s="80" t="n">
        <v>-500</v>
      </c>
      <c r="H18" s="80" t="n">
        <f aca="false">H17+F18+G18</f>
        <v>-45062.49</v>
      </c>
    </row>
    <row r="19" customFormat="false" ht="12.75" hidden="false" customHeight="false" outlineLevel="0" collapsed="false">
      <c r="A19" s="90" t="n">
        <v>45533</v>
      </c>
      <c r="B19" s="103" t="s">
        <v>81</v>
      </c>
      <c r="C19" s="103"/>
      <c r="D19" s="80"/>
      <c r="E19" s="80" t="n">
        <v>-500</v>
      </c>
      <c r="F19" s="80"/>
      <c r="G19" s="80" t="n">
        <v>-865</v>
      </c>
      <c r="H19" s="80" t="n">
        <f aca="false">H18+F19+G19</f>
        <v>-45927.49</v>
      </c>
    </row>
    <row r="20" customFormat="false" ht="12.75" hidden="false" customHeight="false" outlineLevel="0" collapsed="false">
      <c r="B20" s="0" t="s">
        <v>77</v>
      </c>
      <c r="D20" s="80"/>
      <c r="E20" s="80"/>
      <c r="F20" s="80"/>
      <c r="G20" s="80"/>
      <c r="H20" s="80" t="n">
        <f aca="false">H19+F20+G20</f>
        <v>-45927.49</v>
      </c>
    </row>
    <row r="21" customFormat="false" ht="12.75" hidden="false" customHeight="false" outlineLevel="0" collapsed="false">
      <c r="B21" s="0" t="s">
        <v>77</v>
      </c>
      <c r="D21" s="80"/>
      <c r="E21" s="80" t="n">
        <v>-6500</v>
      </c>
      <c r="F21" s="80"/>
      <c r="G21" s="80" t="n">
        <v>-6500</v>
      </c>
      <c r="H21" s="80" t="n">
        <f aca="false">H20+F21+G21</f>
        <v>-52427.49</v>
      </c>
    </row>
    <row r="22" customFormat="false" ht="12.75" hidden="false" customHeight="false" outlineLevel="0" collapsed="false">
      <c r="B22" s="0" t="s">
        <v>78</v>
      </c>
      <c r="D22" s="80"/>
      <c r="E22" s="80" t="n">
        <v>-6500</v>
      </c>
      <c r="F22" s="80"/>
      <c r="G22" s="80" t="n">
        <v>-6500</v>
      </c>
      <c r="H22" s="80" t="n">
        <f aca="false">H21+F22+G22</f>
        <v>-58927.49</v>
      </c>
    </row>
    <row r="23" customFormat="false" ht="12.75" hidden="false" customHeight="false" outlineLevel="0" collapsed="false">
      <c r="B23" s="0" t="s">
        <v>79</v>
      </c>
      <c r="D23" s="80"/>
      <c r="E23" s="80" t="n">
        <v>-6500</v>
      </c>
      <c r="F23" s="80"/>
      <c r="G23" s="80" t="n">
        <v>-6500</v>
      </c>
      <c r="H23" s="80" t="n">
        <f aca="false">H22+F23+G23</f>
        <v>-65427.49</v>
      </c>
    </row>
    <row r="24" customFormat="false" ht="12.75" hidden="false" customHeight="false" outlineLevel="0" collapsed="false">
      <c r="H24" s="80" t="n">
        <f aca="false">H23+F24+G24</f>
        <v>-65427.49</v>
      </c>
    </row>
    <row r="25" customFormat="false" ht="12.75" hidden="false" customHeight="false" outlineLevel="0" collapsed="false">
      <c r="A25" s="102"/>
      <c r="B25" s="8" t="s">
        <v>76</v>
      </c>
      <c r="D25" s="79" t="n">
        <v>12984.15</v>
      </c>
      <c r="F25" s="79" t="n">
        <v>13006.38</v>
      </c>
      <c r="H25" s="80" t="n">
        <f aca="false">H24+F25+G25</f>
        <v>-52421.11</v>
      </c>
    </row>
    <row r="26" customFormat="false" ht="12.75" hidden="false" customHeight="false" outlineLevel="0" collapsed="false">
      <c r="A26" s="102"/>
      <c r="H26" s="80" t="n">
        <f aca="false">H25+F26+G26</f>
        <v>-52421.11</v>
      </c>
    </row>
    <row r="27" customFormat="false" ht="12.75" hidden="false" customHeight="false" outlineLevel="0" collapsed="false">
      <c r="H27" s="80" t="n">
        <f aca="false">H26+F27+G27</f>
        <v>-52421.11</v>
      </c>
    </row>
    <row r="28" customFormat="false" ht="12.75" hidden="false" customHeight="false" outlineLevel="0" collapsed="false">
      <c r="A28" s="90" t="n">
        <v>45531</v>
      </c>
      <c r="B28" s="8" t="s">
        <v>466</v>
      </c>
      <c r="C28" s="176"/>
      <c r="D28" s="79" t="s">
        <v>467</v>
      </c>
      <c r="E28" s="80" t="n">
        <v>-750</v>
      </c>
      <c r="F28" s="80"/>
      <c r="G28" s="80" t="n">
        <f aca="false">E28</f>
        <v>-750</v>
      </c>
      <c r="H28" s="80" t="n">
        <f aca="false">H27+F28+G28</f>
        <v>-53171.11</v>
      </c>
    </row>
    <row r="29" customFormat="false" ht="12.75" hidden="false" customHeight="false" outlineLevel="0" collapsed="false">
      <c r="A29" s="90" t="n">
        <v>45531</v>
      </c>
      <c r="B29" s="8" t="s">
        <v>468</v>
      </c>
      <c r="C29" s="176"/>
      <c r="D29" s="79" t="s">
        <v>467</v>
      </c>
      <c r="E29" s="80" t="n">
        <v>-2137.5</v>
      </c>
      <c r="F29" s="80"/>
      <c r="G29" s="80" t="n">
        <f aca="false">E29</f>
        <v>-2137.5</v>
      </c>
      <c r="H29" s="80" t="n">
        <f aca="false">H28+F29+G29</f>
        <v>-55308.61</v>
      </c>
    </row>
    <row r="30" customFormat="false" ht="12.75" hidden="false" customHeight="false" outlineLevel="0" collapsed="false">
      <c r="A30" s="90" t="n">
        <v>45531</v>
      </c>
      <c r="B30" s="8" t="s">
        <v>469</v>
      </c>
      <c r="C30" s="176"/>
      <c r="D30" s="79" t="s">
        <v>467</v>
      </c>
      <c r="E30" s="80" t="n">
        <v>-925</v>
      </c>
      <c r="F30" s="80"/>
      <c r="G30" s="80" t="n">
        <f aca="false">E30</f>
        <v>-925</v>
      </c>
      <c r="H30" s="80" t="n">
        <f aca="false">H29+F30+G30</f>
        <v>-56233.61</v>
      </c>
    </row>
    <row r="31" customFormat="false" ht="12.75" hidden="false" customHeight="false" outlineLevel="0" collapsed="false">
      <c r="A31" s="90" t="n">
        <v>45531</v>
      </c>
      <c r="B31" s="8" t="s">
        <v>470</v>
      </c>
      <c r="C31" s="176"/>
      <c r="D31" s="79" t="s">
        <v>467</v>
      </c>
      <c r="E31" s="80" t="n">
        <v>-625</v>
      </c>
      <c r="F31" s="80"/>
      <c r="G31" s="80" t="n">
        <f aca="false">E31</f>
        <v>-625</v>
      </c>
      <c r="H31" s="80" t="n">
        <f aca="false">H30+F31+G31</f>
        <v>-56858.61</v>
      </c>
    </row>
    <row r="32" customFormat="false" ht="12.75" hidden="false" customHeight="false" outlineLevel="0" collapsed="false">
      <c r="A32" s="90" t="n">
        <v>45531</v>
      </c>
      <c r="B32" s="8" t="s">
        <v>471</v>
      </c>
      <c r="C32" s="176"/>
      <c r="D32" s="79" t="s">
        <v>467</v>
      </c>
      <c r="E32" s="80" t="n">
        <v>-1075</v>
      </c>
      <c r="F32" s="80"/>
      <c r="G32" s="80" t="n">
        <f aca="false">E32</f>
        <v>-1075</v>
      </c>
      <c r="H32" s="80" t="n">
        <f aca="false">H31+F32+G32</f>
        <v>-57933.61</v>
      </c>
    </row>
    <row r="33" customFormat="false" ht="12.75" hidden="false" customHeight="false" outlineLevel="0" collapsed="false">
      <c r="A33" s="90" t="n">
        <v>45531</v>
      </c>
      <c r="B33" s="8" t="s">
        <v>472</v>
      </c>
      <c r="C33" s="176"/>
      <c r="D33" s="79" t="s">
        <v>467</v>
      </c>
      <c r="E33" s="80" t="n">
        <v>-1825</v>
      </c>
      <c r="F33" s="80"/>
      <c r="G33" s="80" t="n">
        <f aca="false">E33</f>
        <v>-1825</v>
      </c>
      <c r="H33" s="80" t="n">
        <f aca="false">H32+F33+G33</f>
        <v>-59758.61</v>
      </c>
    </row>
    <row r="34" customFormat="false" ht="12.75" hidden="false" customHeight="false" outlineLevel="0" collapsed="false">
      <c r="A34" s="90"/>
      <c r="C34" s="176"/>
      <c r="E34" s="80"/>
      <c r="F34" s="80"/>
      <c r="G34" s="80"/>
      <c r="H34" s="80" t="n">
        <f aca="false">H33+F34+G34</f>
        <v>-59758.61</v>
      </c>
    </row>
    <row r="35" customFormat="false" ht="12.75" hidden="false" customHeight="false" outlineLevel="0" collapsed="false">
      <c r="A35" s="90" t="n">
        <v>45531</v>
      </c>
      <c r="B35" s="8" t="s">
        <v>473</v>
      </c>
      <c r="C35" s="79" t="s">
        <v>467</v>
      </c>
      <c r="D35" s="80" t="s">
        <v>474</v>
      </c>
      <c r="E35" s="80" t="n">
        <v>-136.08</v>
      </c>
      <c r="F35" s="80"/>
      <c r="G35" s="80" t="n">
        <v>-136.08</v>
      </c>
      <c r="H35" s="80" t="n">
        <f aca="false">H34+F35+G35</f>
        <v>-59894.69</v>
      </c>
    </row>
    <row r="36" customFormat="false" ht="12.75" hidden="false" customHeight="false" outlineLevel="0" collapsed="false">
      <c r="A36" s="90" t="n">
        <v>45531</v>
      </c>
      <c r="B36" s="8" t="s">
        <v>475</v>
      </c>
      <c r="C36" s="79" t="s">
        <v>467</v>
      </c>
      <c r="D36" s="80" t="s">
        <v>474</v>
      </c>
      <c r="E36" s="80" t="n">
        <v>-258.61</v>
      </c>
      <c r="F36" s="80"/>
      <c r="G36" s="80" t="n">
        <v>-258.61</v>
      </c>
      <c r="H36" s="80" t="n">
        <f aca="false">H35+F36+G36</f>
        <v>-60153.3</v>
      </c>
    </row>
    <row r="37" customFormat="false" ht="12.75" hidden="false" customHeight="false" outlineLevel="0" collapsed="false">
      <c r="A37" s="90" t="n">
        <v>45531</v>
      </c>
      <c r="B37" s="8" t="s">
        <v>476</v>
      </c>
      <c r="C37" s="79" t="s">
        <v>467</v>
      </c>
      <c r="D37" s="80" t="s">
        <v>474</v>
      </c>
      <c r="E37" s="80" t="n">
        <v>-119.07</v>
      </c>
      <c r="F37" s="80"/>
      <c r="G37" s="80" t="n">
        <v>-119.07</v>
      </c>
      <c r="H37" s="80" t="n">
        <f aca="false">H36+F37+G37</f>
        <v>-60272.37</v>
      </c>
    </row>
    <row r="38" customFormat="false" ht="12.75" hidden="false" customHeight="false" outlineLevel="0" collapsed="false">
      <c r="A38" s="90" t="n">
        <v>45531</v>
      </c>
      <c r="B38" s="8" t="s">
        <v>477</v>
      </c>
      <c r="C38" s="79" t="s">
        <v>467</v>
      </c>
      <c r="D38" s="80" t="s">
        <v>474</v>
      </c>
      <c r="E38" s="80" t="n">
        <v>-103.12</v>
      </c>
      <c r="F38" s="80"/>
      <c r="G38" s="80" t="n">
        <v>-103.12</v>
      </c>
      <c r="H38" s="80" t="n">
        <f aca="false">H37+F38+G38</f>
        <v>-60375.49</v>
      </c>
    </row>
    <row r="39" customFormat="false" ht="12.75" hidden="false" customHeight="false" outlineLevel="0" collapsed="false">
      <c r="C39" s="176"/>
      <c r="H39" s="80" t="n">
        <f aca="false">H38+F39+G39</f>
        <v>-60375.49</v>
      </c>
    </row>
    <row r="40" customFormat="false" ht="12.75" hidden="false" customHeight="false" outlineLevel="0" collapsed="false">
      <c r="A40" s="90" t="n">
        <v>45535</v>
      </c>
      <c r="B40" s="171" t="s">
        <v>478</v>
      </c>
      <c r="C40" s="176"/>
      <c r="H40" s="80" t="n">
        <f aca="false">H39+F40+G40</f>
        <v>-60375.49</v>
      </c>
    </row>
    <row r="41" customFormat="false" ht="12.75" hidden="false" customHeight="false" outlineLevel="0" collapsed="false">
      <c r="H41" s="80" t="n">
        <f aca="false">H40+F41+G41</f>
        <v>-60375.49</v>
      </c>
    </row>
    <row r="42" customFormat="false" ht="12.75" hidden="false" customHeight="false" outlineLevel="0" collapsed="false">
      <c r="B42" s="175" t="s">
        <v>437</v>
      </c>
      <c r="C42" s="175"/>
      <c r="D42" s="85" t="n">
        <v>15000</v>
      </c>
      <c r="H42" s="80" t="n">
        <f aca="false">H41+F42+G42</f>
        <v>-60375.49</v>
      </c>
    </row>
    <row r="43" customFormat="false" ht="12.75" hidden="false" customHeight="false" outlineLevel="0" collapsed="false">
      <c r="B43" s="175" t="s">
        <v>445</v>
      </c>
      <c r="C43" s="175"/>
      <c r="D43" s="185" t="n">
        <v>8500</v>
      </c>
      <c r="H43" s="80" t="n">
        <f aca="false">H42+F43+G43</f>
        <v>-60375.49</v>
      </c>
    </row>
    <row r="44" customFormat="false" ht="12.75" hidden="false" customHeight="false" outlineLevel="0" collapsed="false">
      <c r="B44" s="175" t="s">
        <v>403</v>
      </c>
      <c r="C44" s="175"/>
      <c r="D44" s="112"/>
      <c r="E44" s="112" t="n">
        <v>-10000</v>
      </c>
      <c r="H44" s="80" t="n">
        <f aca="false">H43+F44+G44</f>
        <v>-60375.49</v>
      </c>
    </row>
    <row r="45" customFormat="false" ht="12.75" hidden="false" customHeight="false" outlineLevel="0" collapsed="false">
      <c r="B45" s="0" t="s">
        <v>479</v>
      </c>
      <c r="C45" s="176" t="n">
        <v>0.234011</v>
      </c>
      <c r="D45" s="79" t="n">
        <v>144000</v>
      </c>
      <c r="H45" s="80" t="n">
        <f aca="false">H44+F45+G45</f>
        <v>-60375.49</v>
      </c>
    </row>
    <row r="46" customFormat="false" ht="12.75" hidden="false" customHeight="false" outlineLevel="0" collapsed="false">
      <c r="B46" s="103" t="s">
        <v>75</v>
      </c>
      <c r="C46" s="103" t="s">
        <v>332</v>
      </c>
      <c r="E46" s="79" t="n">
        <v>-150</v>
      </c>
      <c r="H46" s="80" t="n">
        <f aca="false">H45+F46+G46</f>
        <v>-60375.49</v>
      </c>
    </row>
    <row r="47" customFormat="false" ht="12.75" hidden="false" customHeight="false" outlineLevel="0" collapsed="false">
      <c r="H47" s="80" t="n">
        <f aca="false">H46+F47+G47</f>
        <v>-60375.49</v>
      </c>
    </row>
    <row r="49" customFormat="false" ht="12.75" hidden="false" customHeight="false" outlineLevel="0" collapsed="false">
      <c r="B49" s="0" t="s">
        <v>334</v>
      </c>
    </row>
    <row r="50" customFormat="false" ht="12.75" hidden="false" customHeight="false" outlineLevel="0" collapsed="false">
      <c r="A50" s="105" t="s">
        <v>335</v>
      </c>
      <c r="B50" s="105"/>
      <c r="C50" s="105"/>
    </row>
    <row r="51" customFormat="false" ht="12.75" hidden="false" customHeight="false" outlineLevel="0" collapsed="false">
      <c r="A51" s="102"/>
      <c r="C51" s="176"/>
    </row>
    <row r="52" customFormat="false" ht="12.75" hidden="false" customHeight="false" outlineLevel="0" collapsed="false">
      <c r="A52" s="177" t="n">
        <v>44929</v>
      </c>
      <c r="B52" s="178" t="s">
        <v>336</v>
      </c>
      <c r="C52" s="105"/>
      <c r="D52" s="79" t="n">
        <f aca="false">SUM(D53:D58)</f>
        <v>0</v>
      </c>
      <c r="E52" s="79" t="n">
        <f aca="false">SUM(E53:E58)</f>
        <v>0</v>
      </c>
    </row>
    <row r="53" customFormat="false" ht="12.75" hidden="false" customHeight="false" outlineLevel="0" collapsed="false">
      <c r="A53" s="102"/>
      <c r="B53" s="108" t="s">
        <v>337</v>
      </c>
    </row>
    <row r="54" customFormat="false" ht="12.75" hidden="false" customHeight="false" outlineLevel="0" collapsed="false">
      <c r="B54" s="0" t="s">
        <v>338</v>
      </c>
    </row>
    <row r="55" customFormat="false" ht="12.75" hidden="false" customHeight="false" outlineLevel="0" collapsed="false">
      <c r="B55" s="0" t="s">
        <v>339</v>
      </c>
    </row>
    <row r="56" customFormat="false" ht="12.75" hidden="false" customHeight="false" outlineLevel="0" collapsed="false">
      <c r="B56" s="0" t="s">
        <v>340</v>
      </c>
    </row>
    <row r="57" customFormat="false" ht="12.75" hidden="false" customHeight="false" outlineLevel="0" collapsed="false">
      <c r="B57" s="0" t="s">
        <v>341</v>
      </c>
    </row>
    <row r="58" customFormat="false" ht="12.75" hidden="false" customHeight="false" outlineLevel="0" collapsed="false">
      <c r="B58" s="0" t="s">
        <v>342</v>
      </c>
      <c r="C58" s="108"/>
    </row>
    <row r="59" customFormat="false" ht="12.75" hidden="false" customHeight="false" outlineLevel="0" collapsed="false">
      <c r="C59" s="108"/>
    </row>
    <row r="61" customFormat="false" ht="12.75" hidden="false" customHeight="false" outlineLevel="0" collapsed="false">
      <c r="B61" s="17"/>
    </row>
    <row r="62" customFormat="false" ht="12.75" hidden="false" customHeight="false" outlineLevel="0" collapsed="false">
      <c r="B62" s="104"/>
    </row>
    <row r="63" customFormat="false" ht="12.75" hidden="false" customHeight="false" outlineLevel="0" collapsed="false">
      <c r="A63" s="105"/>
      <c r="B63" s="106" t="s">
        <v>83</v>
      </c>
      <c r="C63" s="105"/>
      <c r="E63" s="79" t="n">
        <f aca="false">SUM(E64:E75)</f>
        <v>-8154.2</v>
      </c>
    </row>
    <row r="65" customFormat="false" ht="12.75" hidden="false" customHeight="false" outlineLevel="0" collapsed="false">
      <c r="A65" s="90" t="n">
        <v>45348</v>
      </c>
      <c r="B65" s="8" t="s">
        <v>448</v>
      </c>
      <c r="C65" s="0" t="n">
        <v>1406</v>
      </c>
      <c r="D65" s="79" t="s">
        <v>480</v>
      </c>
      <c r="E65" s="79" t="n">
        <v>-234.33</v>
      </c>
      <c r="F65" s="79" t="n">
        <v>0</v>
      </c>
    </row>
    <row r="66" customFormat="false" ht="12.75" hidden="false" customHeight="false" outlineLevel="0" collapsed="false">
      <c r="A66" s="90" t="n">
        <v>45373</v>
      </c>
      <c r="B66" s="8" t="s">
        <v>343</v>
      </c>
      <c r="C66" s="0" t="n">
        <v>10176.39</v>
      </c>
      <c r="D66" s="79" t="s">
        <v>481</v>
      </c>
      <c r="E66" s="79" t="n">
        <v>-1130.71</v>
      </c>
      <c r="F66" s="79" t="n">
        <v>0</v>
      </c>
    </row>
    <row r="67" customFormat="false" ht="12.75" hidden="false" customHeight="false" outlineLevel="0" collapsed="false">
      <c r="A67" s="90" t="n">
        <v>45375</v>
      </c>
      <c r="B67" s="8" t="s">
        <v>345</v>
      </c>
      <c r="C67" s="0" t="n">
        <v>5999</v>
      </c>
      <c r="D67" s="79" t="s">
        <v>481</v>
      </c>
      <c r="E67" s="79" t="n">
        <v>-666.56</v>
      </c>
      <c r="F67" s="79" t="n">
        <v>0</v>
      </c>
    </row>
    <row r="68" customFormat="false" ht="12.75" hidden="false" customHeight="false" outlineLevel="0" collapsed="false">
      <c r="A68" s="90" t="n">
        <v>45358</v>
      </c>
      <c r="B68" s="8" t="s">
        <v>451</v>
      </c>
      <c r="C68" s="0" t="n">
        <v>2273</v>
      </c>
      <c r="D68" s="79" t="s">
        <v>480</v>
      </c>
      <c r="E68" s="79" t="n">
        <v>-378.87</v>
      </c>
      <c r="F68" s="79" t="n">
        <v>0</v>
      </c>
    </row>
    <row r="69" customFormat="false" ht="12.75" hidden="false" customHeight="false" outlineLevel="0" collapsed="false">
      <c r="A69" s="90" t="n">
        <v>45371</v>
      </c>
      <c r="B69" s="8" t="s">
        <v>452</v>
      </c>
      <c r="D69" s="79" t="s">
        <v>480</v>
      </c>
      <c r="E69" s="79" t="n">
        <v>101.77</v>
      </c>
      <c r="F69" s="79" t="n">
        <v>0</v>
      </c>
    </row>
    <row r="70" customFormat="false" ht="12.75" hidden="false" customHeight="false" outlineLevel="0" collapsed="false">
      <c r="A70" s="102" t="n">
        <v>45442</v>
      </c>
      <c r="B70" s="186" t="s">
        <v>482</v>
      </c>
      <c r="C70" s="108"/>
      <c r="D70" s="79" t="s">
        <v>483</v>
      </c>
      <c r="E70" s="79" t="n">
        <v>-1054.14</v>
      </c>
      <c r="F70" s="79" t="n">
        <v>0</v>
      </c>
    </row>
    <row r="71" customFormat="false" ht="12.75" hidden="false" customHeight="false" outlineLevel="0" collapsed="false">
      <c r="A71" s="102" t="n">
        <v>45456</v>
      </c>
      <c r="B71" s="109" t="s">
        <v>453</v>
      </c>
      <c r="C71" s="108"/>
      <c r="D71" s="79" t="s">
        <v>484</v>
      </c>
      <c r="E71" s="79" t="n">
        <v>-3923.33</v>
      </c>
      <c r="F71" s="79" t="n">
        <v>0</v>
      </c>
    </row>
    <row r="72" customFormat="false" ht="12.75" hidden="false" customHeight="false" outlineLevel="0" collapsed="false">
      <c r="A72" s="102" t="n">
        <v>45470</v>
      </c>
      <c r="B72" s="109" t="s">
        <v>485</v>
      </c>
      <c r="C72" s="108"/>
      <c r="E72" s="79" t="n">
        <v>-868.03</v>
      </c>
    </row>
    <row r="73" customFormat="false" ht="12.75" hidden="false" customHeight="false" outlineLevel="0" collapsed="false">
      <c r="A73" s="102" t="n">
        <v>45478</v>
      </c>
      <c r="B73" s="109" t="s">
        <v>132</v>
      </c>
      <c r="C73" s="108"/>
      <c r="D73" s="79" t="n">
        <v>2700.47</v>
      </c>
    </row>
    <row r="74" customFormat="false" ht="13.8" hidden="false" customHeight="false" outlineLevel="0" collapsed="false">
      <c r="A74" s="102" t="n">
        <v>45478</v>
      </c>
      <c r="B74" s="109" t="s">
        <v>132</v>
      </c>
      <c r="D74" s="79" t="n">
        <v>6244.07</v>
      </c>
      <c r="E74" s="107" t="s">
        <v>84</v>
      </c>
    </row>
    <row r="75" customFormat="false" ht="12.75" hidden="false" customHeight="false" outlineLevel="0" collapsed="false">
      <c r="A75" s="102"/>
      <c r="B75" s="109"/>
      <c r="C75" s="108"/>
    </row>
    <row r="76" customFormat="false" ht="12.75" hidden="false" customHeight="false" outlineLevel="0" collapsed="false">
      <c r="A76" s="102"/>
      <c r="B76" s="3"/>
    </row>
    <row r="77" customFormat="false" ht="12.75" hidden="false" customHeight="false" outlineLevel="0" collapsed="false">
      <c r="A77" s="102"/>
      <c r="B77" s="108"/>
      <c r="C77" s="108"/>
    </row>
    <row r="78" customFormat="false" ht="12.75" hidden="false" customHeight="false" outlineLevel="0" collapsed="false">
      <c r="A78" s="105"/>
      <c r="B78" s="106" t="s">
        <v>85</v>
      </c>
      <c r="C78" s="105"/>
      <c r="E78" s="79" t="n">
        <f aca="false">SUM(E79:E121)</f>
        <v>-21980.09</v>
      </c>
    </row>
    <row r="79" customFormat="false" ht="12.75" hidden="false" customHeight="false" outlineLevel="0" collapsed="false">
      <c r="A79" s="102"/>
      <c r="B79" s="108"/>
      <c r="C79" s="108"/>
    </row>
    <row r="80" customFormat="false" ht="14.9" hidden="false" customHeight="false" outlineLevel="0" collapsed="false">
      <c r="A80" s="102"/>
      <c r="B80" s="3" t="s">
        <v>486</v>
      </c>
      <c r="C80" s="108"/>
      <c r="D80" s="79" t="s">
        <v>487</v>
      </c>
      <c r="E80" s="79" t="n">
        <v>-649.8</v>
      </c>
    </row>
    <row r="81" customFormat="false" ht="12.75" hidden="false" customHeight="false" outlineLevel="0" collapsed="false">
      <c r="A81" s="102"/>
      <c r="B81" s="3" t="s">
        <v>488</v>
      </c>
      <c r="C81" s="108" t="n">
        <v>50</v>
      </c>
      <c r="D81" s="79" t="s">
        <v>487</v>
      </c>
    </row>
    <row r="82" customFormat="false" ht="12.75" hidden="false" customHeight="false" outlineLevel="0" collapsed="false">
      <c r="A82" s="102"/>
      <c r="B82" s="3"/>
      <c r="C82" s="108"/>
    </row>
    <row r="83" customFormat="false" ht="12.75" hidden="false" customHeight="false" outlineLevel="0" collapsed="false">
      <c r="A83" s="102" t="n">
        <v>45456</v>
      </c>
      <c r="B83" s="8" t="s">
        <v>489</v>
      </c>
      <c r="C83" s="108"/>
      <c r="D83" s="79" t="s">
        <v>483</v>
      </c>
      <c r="E83" s="79" t="n">
        <v>-5875</v>
      </c>
    </row>
    <row r="84" customFormat="false" ht="12.75" hidden="false" customHeight="false" outlineLevel="0" collapsed="false">
      <c r="A84" s="102" t="n">
        <v>45456</v>
      </c>
      <c r="B84" s="8" t="s">
        <v>490</v>
      </c>
      <c r="C84" s="108"/>
      <c r="D84" s="79" t="s">
        <v>483</v>
      </c>
      <c r="E84" s="79" t="n">
        <v>-4300</v>
      </c>
    </row>
    <row r="85" customFormat="false" ht="12.75" hidden="false" customHeight="false" outlineLevel="0" collapsed="false">
      <c r="A85" s="102" t="n">
        <v>45475</v>
      </c>
      <c r="B85" s="3" t="s">
        <v>491</v>
      </c>
      <c r="C85" s="108"/>
      <c r="E85" s="79" t="n">
        <v>-1129.5</v>
      </c>
    </row>
    <row r="86" customFormat="false" ht="12.75" hidden="false" customHeight="false" outlineLevel="0" collapsed="false">
      <c r="A86" s="102" t="n">
        <v>45478</v>
      </c>
      <c r="B86" s="3" t="s">
        <v>492</v>
      </c>
      <c r="C86" s="108"/>
      <c r="E86" s="79" t="n">
        <v>-1060</v>
      </c>
    </row>
    <row r="87" customFormat="false" ht="12.75" hidden="false" customHeight="false" outlineLevel="0" collapsed="false">
      <c r="A87" s="102"/>
      <c r="B87" s="3"/>
      <c r="C87" s="108"/>
    </row>
    <row r="88" customFormat="false" ht="12.75" hidden="false" customHeight="false" outlineLevel="0" collapsed="false">
      <c r="A88" s="102" t="n">
        <v>45467</v>
      </c>
      <c r="B88" s="3" t="s">
        <v>493</v>
      </c>
      <c r="C88" s="108" t="n">
        <v>120</v>
      </c>
      <c r="E88" s="79" t="n">
        <v>-120</v>
      </c>
    </row>
    <row r="89" customFormat="false" ht="12.75" hidden="false" customHeight="false" outlineLevel="0" collapsed="false">
      <c r="A89" s="102" t="n">
        <v>45467</v>
      </c>
      <c r="B89" s="3" t="s">
        <v>494</v>
      </c>
      <c r="C89" s="108"/>
      <c r="E89" s="79" t="n">
        <v>-70</v>
      </c>
    </row>
    <row r="90" customFormat="false" ht="12.75" hidden="false" customHeight="false" outlineLevel="0" collapsed="false">
      <c r="A90" s="102" t="n">
        <v>45467</v>
      </c>
      <c r="B90" s="3" t="s">
        <v>495</v>
      </c>
      <c r="C90" s="108"/>
      <c r="E90" s="79" t="n">
        <v>-1400</v>
      </c>
    </row>
    <row r="91" customFormat="false" ht="12.75" hidden="false" customHeight="false" outlineLevel="0" collapsed="false">
      <c r="A91" s="102" t="n">
        <v>45468</v>
      </c>
      <c r="B91" s="3" t="s">
        <v>493</v>
      </c>
      <c r="C91" s="108" t="n">
        <v>150</v>
      </c>
      <c r="E91" s="79" t="n">
        <v>-150</v>
      </c>
    </row>
    <row r="92" customFormat="false" ht="12.75" hidden="false" customHeight="false" outlineLevel="0" collapsed="false">
      <c r="A92" s="102" t="n">
        <v>45468</v>
      </c>
      <c r="B92" s="3" t="s">
        <v>496</v>
      </c>
      <c r="C92" s="108"/>
      <c r="E92" s="79" t="n">
        <v>-230</v>
      </c>
    </row>
    <row r="93" customFormat="false" ht="12.75" hidden="false" customHeight="false" outlineLevel="0" collapsed="false">
      <c r="A93" s="102" t="n">
        <v>45469</v>
      </c>
      <c r="B93" s="3" t="s">
        <v>493</v>
      </c>
      <c r="C93" s="108" t="n">
        <v>250</v>
      </c>
      <c r="E93" s="79" t="n">
        <v>-250</v>
      </c>
    </row>
    <row r="94" customFormat="false" ht="12.75" hidden="false" customHeight="false" outlineLevel="0" collapsed="false">
      <c r="A94" s="102" t="n">
        <v>45470</v>
      </c>
      <c r="B94" s="3" t="s">
        <v>497</v>
      </c>
      <c r="C94" s="108"/>
      <c r="E94" s="79" t="n">
        <v>-130</v>
      </c>
    </row>
    <row r="95" customFormat="false" ht="12.75" hidden="false" customHeight="false" outlineLevel="0" collapsed="false">
      <c r="A95" s="102" t="n">
        <v>45470</v>
      </c>
      <c r="B95" s="3" t="s">
        <v>423</v>
      </c>
      <c r="C95" s="108"/>
      <c r="E95" s="79" t="n">
        <v>-48.99</v>
      </c>
    </row>
    <row r="96" customFormat="false" ht="12.75" hidden="false" customHeight="false" outlineLevel="0" collapsed="false">
      <c r="A96" s="102" t="n">
        <v>45470</v>
      </c>
      <c r="B96" s="3" t="s">
        <v>498</v>
      </c>
      <c r="C96" s="108"/>
      <c r="E96" s="79" t="n">
        <v>-169.5</v>
      </c>
    </row>
    <row r="97" customFormat="false" ht="12.75" hidden="false" customHeight="false" outlineLevel="0" collapsed="false">
      <c r="A97" s="102" t="n">
        <v>45471</v>
      </c>
      <c r="B97" s="3" t="s">
        <v>499</v>
      </c>
      <c r="C97" s="108"/>
      <c r="E97" s="79" t="n">
        <v>-80</v>
      </c>
    </row>
    <row r="98" customFormat="false" ht="12.75" hidden="false" customHeight="false" outlineLevel="0" collapsed="false">
      <c r="A98" s="102" t="n">
        <v>45473</v>
      </c>
      <c r="B98" s="3" t="s">
        <v>130</v>
      </c>
      <c r="C98" s="108"/>
      <c r="E98" s="79" t="n">
        <v>-50</v>
      </c>
    </row>
    <row r="99" customFormat="false" ht="12.75" hidden="false" customHeight="false" outlineLevel="0" collapsed="false">
      <c r="A99" s="102" t="n">
        <v>45474</v>
      </c>
      <c r="B99" s="3" t="s">
        <v>494</v>
      </c>
      <c r="C99" s="108"/>
      <c r="E99" s="79" t="n">
        <v>-70</v>
      </c>
    </row>
    <row r="100" customFormat="false" ht="12.75" hidden="false" customHeight="false" outlineLevel="0" collapsed="false">
      <c r="A100" s="102" t="n">
        <v>45475</v>
      </c>
      <c r="B100" s="3" t="s">
        <v>493</v>
      </c>
      <c r="C100" s="108" t="n">
        <v>440</v>
      </c>
      <c r="E100" s="79" t="n">
        <v>-440</v>
      </c>
    </row>
    <row r="101" customFormat="false" ht="12.75" hidden="false" customHeight="false" outlineLevel="0" collapsed="false">
      <c r="A101" s="102" t="n">
        <v>45475</v>
      </c>
      <c r="B101" s="3" t="s">
        <v>500</v>
      </c>
      <c r="E101" s="79" t="n">
        <v>-1673</v>
      </c>
    </row>
    <row r="102" customFormat="false" ht="12.75" hidden="false" customHeight="false" outlineLevel="0" collapsed="false">
      <c r="A102" s="102" t="n">
        <v>45475</v>
      </c>
      <c r="B102" s="3" t="s">
        <v>497</v>
      </c>
      <c r="C102" s="108"/>
      <c r="E102" s="79" t="n">
        <v>-150</v>
      </c>
    </row>
    <row r="103" customFormat="false" ht="12.75" hidden="false" customHeight="false" outlineLevel="0" collapsed="false">
      <c r="A103" s="102" t="n">
        <v>45476</v>
      </c>
      <c r="B103" s="3" t="s">
        <v>494</v>
      </c>
      <c r="C103" s="108"/>
      <c r="E103" s="79" t="n">
        <v>-140</v>
      </c>
    </row>
    <row r="104" customFormat="false" ht="12.75" hidden="false" customHeight="false" outlineLevel="0" collapsed="false">
      <c r="A104" s="102" t="n">
        <v>45477</v>
      </c>
      <c r="B104" s="3" t="s">
        <v>501</v>
      </c>
      <c r="C104" s="108" t="n">
        <v>10597.81</v>
      </c>
    </row>
    <row r="105" customFormat="false" ht="12.75" hidden="false" customHeight="false" outlineLevel="0" collapsed="false">
      <c r="A105" s="102" t="n">
        <v>45478</v>
      </c>
      <c r="B105" s="3" t="s">
        <v>502</v>
      </c>
      <c r="C105" s="108"/>
      <c r="E105" s="79" t="n">
        <v>-300</v>
      </c>
    </row>
    <row r="106" customFormat="false" ht="12.75" hidden="false" customHeight="false" outlineLevel="0" collapsed="false">
      <c r="A106" s="102" t="n">
        <v>45478</v>
      </c>
      <c r="B106" s="3" t="s">
        <v>132</v>
      </c>
      <c r="C106" s="108" t="n">
        <v>15971.71</v>
      </c>
    </row>
    <row r="107" customFormat="false" ht="12.75" hidden="false" customHeight="false" outlineLevel="0" collapsed="false">
      <c r="A107" s="102" t="n">
        <v>45479</v>
      </c>
      <c r="B107" s="3" t="s">
        <v>503</v>
      </c>
      <c r="C107" s="108"/>
      <c r="E107" s="79" t="n">
        <v>-325</v>
      </c>
    </row>
    <row r="108" customFormat="false" ht="12.75" hidden="false" customHeight="false" outlineLevel="0" collapsed="false">
      <c r="A108" s="102" t="n">
        <v>45479</v>
      </c>
      <c r="B108" s="3" t="s">
        <v>504</v>
      </c>
      <c r="C108" s="108"/>
      <c r="E108" s="79" t="n">
        <v>-629</v>
      </c>
    </row>
    <row r="109" customFormat="false" ht="12.75" hidden="false" customHeight="false" outlineLevel="0" collapsed="false">
      <c r="A109" s="102"/>
      <c r="B109" s="3" t="s">
        <v>505</v>
      </c>
      <c r="C109" s="108"/>
      <c r="E109" s="79" t="n">
        <v>-800</v>
      </c>
    </row>
    <row r="110" customFormat="false" ht="12.75" hidden="false" customHeight="false" outlineLevel="0" collapsed="false">
      <c r="E110" s="79" t="n">
        <v>-119.74</v>
      </c>
    </row>
    <row r="111" customFormat="false" ht="12.75" hidden="false" customHeight="false" outlineLevel="0" collapsed="false">
      <c r="E111" s="79" t="n">
        <v>-215.98</v>
      </c>
    </row>
    <row r="112" customFormat="false" ht="12.75" hidden="false" customHeight="false" outlineLevel="0" collapsed="false">
      <c r="E112" s="79" t="n">
        <v>-104</v>
      </c>
    </row>
    <row r="113" customFormat="false" ht="12.75" hidden="false" customHeight="false" outlineLevel="0" collapsed="false">
      <c r="E113" s="79" t="n">
        <v>-81.37</v>
      </c>
    </row>
    <row r="114" customFormat="false" ht="12.75" hidden="false" customHeight="false" outlineLevel="0" collapsed="false">
      <c r="E114" s="79" t="n">
        <v>-65.67</v>
      </c>
    </row>
    <row r="115" customFormat="false" ht="12.75" hidden="false" customHeight="false" outlineLevel="0" collapsed="false">
      <c r="E115" s="79" t="n">
        <v>-260</v>
      </c>
    </row>
    <row r="116" customFormat="false" ht="12.75" hidden="false" customHeight="false" outlineLevel="0" collapsed="false">
      <c r="E116" s="79" t="n">
        <v>-270</v>
      </c>
    </row>
    <row r="117" customFormat="false" ht="12.75" hidden="false" customHeight="false" outlineLevel="0" collapsed="false">
      <c r="E117" s="79" t="n">
        <v>-300</v>
      </c>
    </row>
    <row r="118" customFormat="false" ht="12.75" hidden="false" customHeight="false" outlineLevel="0" collapsed="false">
      <c r="B118" s="36" t="s">
        <v>427</v>
      </c>
      <c r="C118" s="108" t="n">
        <f aca="false">SUM(C88:C100)</f>
        <v>960</v>
      </c>
      <c r="E118" s="79" t="n">
        <v>-37.33</v>
      </c>
    </row>
    <row r="119" customFormat="false" ht="12.75" hidden="false" customHeight="false" outlineLevel="0" collapsed="false">
      <c r="E119" s="79" t="n">
        <v>-37.33</v>
      </c>
    </row>
    <row r="120" customFormat="false" ht="12.75" hidden="false" customHeight="false" outlineLevel="0" collapsed="false">
      <c r="E120" s="79" t="n">
        <v>-72.63</v>
      </c>
    </row>
    <row r="121" customFormat="false" ht="13.8" hidden="false" customHeight="false" outlineLevel="0" collapsed="false">
      <c r="D121" s="107" t="s">
        <v>84</v>
      </c>
      <c r="E121" s="79" t="n">
        <v>-176.25</v>
      </c>
    </row>
    <row r="122" customFormat="false" ht="13.8" hidden="false" customHeight="false" outlineLevel="0" collapsed="false">
      <c r="D122" s="187"/>
    </row>
    <row r="123" customFormat="false" ht="13.8" hidden="false" customHeight="false" outlineLevel="0" collapsed="false">
      <c r="D123" s="187"/>
    </row>
    <row r="125" customFormat="false" ht="12.75" hidden="false" customHeight="false" outlineLevel="0" collapsed="false">
      <c r="A125" s="117" t="s">
        <v>506</v>
      </c>
      <c r="B125" s="106" t="s">
        <v>139</v>
      </c>
      <c r="C125" s="105" t="n">
        <v>2024</v>
      </c>
      <c r="D125" s="163"/>
      <c r="E125" s="164" t="n">
        <f aca="false">SUM(E126:E146)</f>
        <v>981303.727228</v>
      </c>
    </row>
    <row r="126" customFormat="false" ht="12.75" hidden="false" customHeight="false" outlineLevel="0" collapsed="false">
      <c r="A126" s="165" t="n">
        <v>45505</v>
      </c>
      <c r="B126" s="8" t="s">
        <v>77</v>
      </c>
      <c r="C126" s="2"/>
      <c r="D126" s="2"/>
      <c r="E126" s="2" t="n">
        <v>64000</v>
      </c>
    </row>
    <row r="127" customFormat="false" ht="12.75" hidden="false" customHeight="false" outlineLevel="0" collapsed="false">
      <c r="A127" s="165" t="n">
        <f aca="false">A126</f>
        <v>45505</v>
      </c>
      <c r="B127" s="8" t="s">
        <v>387</v>
      </c>
      <c r="C127" s="2"/>
      <c r="D127" s="2"/>
      <c r="E127" s="2" t="n">
        <v>150845</v>
      </c>
    </row>
    <row r="128" customFormat="false" ht="12.75" hidden="false" customHeight="false" outlineLevel="0" collapsed="false">
      <c r="A128" s="165" t="n">
        <f aca="false">A127</f>
        <v>45505</v>
      </c>
      <c r="B128" s="8" t="s">
        <v>309</v>
      </c>
      <c r="C128" s="2"/>
      <c r="D128" s="2"/>
      <c r="E128" s="17" t="n">
        <v>12712.47</v>
      </c>
    </row>
    <row r="129" customFormat="false" ht="12.75" hidden="false" customHeight="false" outlineLevel="0" collapsed="false">
      <c r="A129" s="165" t="n">
        <f aca="false">A128</f>
        <v>45505</v>
      </c>
      <c r="B129" s="8" t="s">
        <v>310</v>
      </c>
      <c r="C129" s="2"/>
      <c r="D129" s="2"/>
      <c r="E129" s="17" t="n">
        <v>0</v>
      </c>
    </row>
    <row r="130" customFormat="false" ht="12.75" hidden="false" customHeight="false" outlineLevel="0" collapsed="false">
      <c r="A130" s="165" t="n">
        <f aca="false">A129</f>
        <v>45505</v>
      </c>
      <c r="B130" s="8" t="s">
        <v>507</v>
      </c>
      <c r="C130" s="2"/>
      <c r="D130" s="2"/>
      <c r="E130" s="17" t="n">
        <v>0</v>
      </c>
    </row>
    <row r="131" customFormat="false" ht="12.75" hidden="false" customHeight="false" outlineLevel="0" collapsed="false">
      <c r="A131" s="165" t="n">
        <f aca="false">A130</f>
        <v>45505</v>
      </c>
      <c r="B131" s="8" t="s">
        <v>311</v>
      </c>
      <c r="C131" s="129"/>
      <c r="D131" s="2"/>
      <c r="E131" s="17" t="n">
        <v>0</v>
      </c>
    </row>
    <row r="132" customFormat="false" ht="12.75" hidden="false" customHeight="false" outlineLevel="0" collapsed="false">
      <c r="A132" s="165" t="n">
        <f aca="false">A131</f>
        <v>45505</v>
      </c>
      <c r="B132" s="8" t="s">
        <v>245</v>
      </c>
      <c r="C132" s="2" t="n">
        <v>74</v>
      </c>
      <c r="D132" s="179" t="n">
        <v>677.539422</v>
      </c>
      <c r="E132" s="17" t="n">
        <f aca="false">D132*C132</f>
        <v>50137.917228</v>
      </c>
    </row>
    <row r="133" customFormat="false" ht="12.75" hidden="false" customHeight="false" outlineLevel="0" collapsed="false">
      <c r="A133" s="165" t="n">
        <f aca="false">A132</f>
        <v>45505</v>
      </c>
      <c r="B133" s="8" t="s">
        <v>508</v>
      </c>
      <c r="C133" s="180" t="n">
        <v>125000</v>
      </c>
      <c r="D133" s="179" t="n">
        <v>0.83507</v>
      </c>
      <c r="E133" s="17" t="n">
        <f aca="false">D133*C133</f>
        <v>104383.75</v>
      </c>
    </row>
    <row r="134" customFormat="false" ht="12.75" hidden="false" customHeight="false" outlineLevel="0" collapsed="false">
      <c r="A134" s="165" t="n">
        <f aca="false">A133</f>
        <v>45505</v>
      </c>
      <c r="B134" s="8" t="s">
        <v>509</v>
      </c>
      <c r="C134" s="2" t="n">
        <v>10</v>
      </c>
      <c r="D134" s="2" t="n">
        <v>123.7</v>
      </c>
      <c r="E134" s="17" t="n">
        <f aca="false">D134*C134</f>
        <v>1237</v>
      </c>
    </row>
    <row r="135" customFormat="false" ht="12.75" hidden="false" customHeight="false" outlineLevel="0" collapsed="false">
      <c r="A135" s="165" t="n">
        <f aca="false">A134</f>
        <v>45505</v>
      </c>
      <c r="B135" s="8" t="s">
        <v>510</v>
      </c>
      <c r="C135" s="2" t="n">
        <v>38</v>
      </c>
      <c r="D135" s="2" t="n">
        <v>22.78</v>
      </c>
      <c r="E135" s="17" t="n">
        <f aca="false">D135*C135</f>
        <v>865.64</v>
      </c>
    </row>
    <row r="136" customFormat="false" ht="12.75" hidden="false" customHeight="false" outlineLevel="0" collapsed="false">
      <c r="A136" s="165" t="n">
        <f aca="false">A135</f>
        <v>45505</v>
      </c>
      <c r="B136" s="8" t="s">
        <v>511</v>
      </c>
      <c r="C136" s="2" t="n">
        <v>26</v>
      </c>
      <c r="D136" s="2" t="n">
        <v>27.26</v>
      </c>
      <c r="E136" s="17" t="n">
        <f aca="false">D136*C136</f>
        <v>708.76</v>
      </c>
    </row>
    <row r="137" customFormat="false" ht="12.75" hidden="false" customHeight="false" outlineLevel="0" collapsed="false">
      <c r="A137" s="165" t="n">
        <f aca="false">A136</f>
        <v>45505</v>
      </c>
      <c r="B137" s="8" t="s">
        <v>143</v>
      </c>
      <c r="C137" s="2"/>
      <c r="D137" s="2"/>
      <c r="E137" s="17" t="n">
        <f aca="false">D137*C137</f>
        <v>0</v>
      </c>
    </row>
    <row r="138" customFormat="false" ht="12.75" hidden="false" customHeight="false" outlineLevel="0" collapsed="false">
      <c r="A138" s="165" t="n">
        <f aca="false">A137</f>
        <v>45505</v>
      </c>
      <c r="B138" s="8" t="s">
        <v>389</v>
      </c>
      <c r="C138" s="2" t="n">
        <v>7500</v>
      </c>
      <c r="D138" s="2" t="n">
        <v>24.5</v>
      </c>
      <c r="E138" s="17" t="n">
        <f aca="false">D138*C138</f>
        <v>183750</v>
      </c>
    </row>
    <row r="139" customFormat="false" ht="12.75" hidden="false" customHeight="false" outlineLevel="0" collapsed="false">
      <c r="A139" s="165" t="n">
        <f aca="false">A138</f>
        <v>45505</v>
      </c>
      <c r="C139" s="2"/>
      <c r="D139" s="2"/>
      <c r="E139" s="17" t="n">
        <f aca="false">D139*C139</f>
        <v>0</v>
      </c>
    </row>
    <row r="140" customFormat="false" ht="12.75" hidden="false" customHeight="false" outlineLevel="0" collapsed="false">
      <c r="A140" s="165" t="n">
        <f aca="false">A139</f>
        <v>45505</v>
      </c>
      <c r="C140" s="2"/>
      <c r="D140" s="2"/>
      <c r="E140" s="17" t="n">
        <f aca="false">D140*C140</f>
        <v>0</v>
      </c>
    </row>
    <row r="141" customFormat="false" ht="12.75" hidden="false" customHeight="false" outlineLevel="0" collapsed="false">
      <c r="A141" s="165" t="n">
        <f aca="false">A140</f>
        <v>45505</v>
      </c>
      <c r="B141" s="8" t="s">
        <v>512</v>
      </c>
      <c r="C141" s="2" t="n">
        <v>2375.02</v>
      </c>
      <c r="D141" s="2" t="n">
        <v>156</v>
      </c>
      <c r="E141" s="17" t="n">
        <f aca="false">D141*C141</f>
        <v>370503.12</v>
      </c>
    </row>
    <row r="142" customFormat="false" ht="12.75" hidden="false" customHeight="false" outlineLevel="0" collapsed="false">
      <c r="A142" s="165" t="n">
        <f aca="false">A141</f>
        <v>45505</v>
      </c>
      <c r="B142" s="8" t="s">
        <v>513</v>
      </c>
      <c r="C142" s="167" t="n">
        <v>31.9637</v>
      </c>
      <c r="D142" s="2" t="n">
        <v>850</v>
      </c>
      <c r="E142" s="17" t="n">
        <f aca="false">D142*C142</f>
        <v>27169.145</v>
      </c>
    </row>
    <row r="143" customFormat="false" ht="12.75" hidden="false" customHeight="false" outlineLevel="0" collapsed="false">
      <c r="A143" s="165" t="n">
        <f aca="false">A142</f>
        <v>45505</v>
      </c>
      <c r="B143" s="8" t="s">
        <v>514</v>
      </c>
      <c r="C143" s="167" t="n">
        <f aca="false">C142</f>
        <v>31.9637</v>
      </c>
      <c r="D143" s="2" t="n">
        <v>250</v>
      </c>
      <c r="E143" s="17" t="n">
        <f aca="false">D143*C143</f>
        <v>7990.925</v>
      </c>
    </row>
    <row r="144" customFormat="false" ht="12.75" hidden="false" customHeight="false" outlineLevel="0" collapsed="false">
      <c r="A144" s="165" t="n">
        <f aca="false">A143</f>
        <v>45505</v>
      </c>
      <c r="B144" s="8" t="s">
        <v>515</v>
      </c>
      <c r="C144" s="167" t="n">
        <v>34.4121</v>
      </c>
      <c r="D144" s="2" t="n">
        <v>0</v>
      </c>
      <c r="E144" s="17" t="n">
        <f aca="false">D144*C144</f>
        <v>0</v>
      </c>
    </row>
    <row r="145" customFormat="false" ht="12.75" hidden="false" customHeight="false" outlineLevel="0" collapsed="false">
      <c r="A145" s="165" t="n">
        <f aca="false">A144</f>
        <v>45505</v>
      </c>
      <c r="B145" s="8" t="s">
        <v>155</v>
      </c>
      <c r="C145" s="2"/>
      <c r="D145" s="2"/>
      <c r="E145" s="17" t="n">
        <v>3000</v>
      </c>
    </row>
    <row r="146" customFormat="false" ht="12.75" hidden="false" customHeight="false" outlineLevel="0" collapsed="false">
      <c r="A146" s="165" t="n">
        <f aca="false">A145</f>
        <v>45505</v>
      </c>
      <c r="B146" s="8" t="s">
        <v>156</v>
      </c>
      <c r="C146" s="2"/>
      <c r="D146" s="2"/>
      <c r="E146" s="17" t="n">
        <v>4000</v>
      </c>
    </row>
    <row r="147" customFormat="false" ht="12.75" hidden="false" customHeight="false" outlineLevel="0" collapsed="false">
      <c r="E147" s="181"/>
    </row>
    <row r="148" customFormat="false" ht="12.75" hidden="false" customHeight="false" outlineLevel="0" collapsed="false">
      <c r="C148" s="129"/>
      <c r="D148" s="3"/>
      <c r="E148" s="129"/>
    </row>
    <row r="149" customFormat="false" ht="12.75" hidden="false" customHeight="false" outlineLevel="0" collapsed="false">
      <c r="C149" s="129"/>
      <c r="D149" s="18" t="s">
        <v>158</v>
      </c>
      <c r="E149" s="9" t="n">
        <f aca="false">SUM(E126:E146)</f>
        <v>981303.727228</v>
      </c>
    </row>
    <row r="150" customFormat="false" ht="12.75" hidden="false" customHeight="false" outlineLevel="0" collapsed="false">
      <c r="C150" s="130" t="str">
        <f aca="false">A125</f>
        <v>AĞUSTOSa</v>
      </c>
      <c r="D150" s="131" t="s">
        <v>159</v>
      </c>
      <c r="E150" s="132" t="n">
        <f aca="false">H2</f>
        <v>-60375.49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H158"/>
  <sheetViews>
    <sheetView showFormulas="false" showGridLines="true" showRowColHeaders="true" showZeros="true" rightToLeft="false" tabSelected="false" showOutlineSymbols="true" defaultGridColor="true" view="normal" topLeftCell="A7" colorId="64" zoomScale="170" zoomScaleNormal="170" zoomScalePageLayoutView="100" workbookViewId="0">
      <selection pane="topLeft" activeCell="A118" activeCellId="0" sqref="A118"/>
    </sheetView>
  </sheetViews>
  <sheetFormatPr defaultColWidth="12.2929687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79" width="15.71"/>
    <col collapsed="false" customWidth="false" hidden="false" outlineLevel="0" max="8" min="5" style="79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79" t="s">
        <v>28</v>
      </c>
      <c r="G1" s="79" t="s">
        <v>29</v>
      </c>
      <c r="H1" s="79" t="s">
        <v>3</v>
      </c>
    </row>
    <row r="2" customFormat="false" ht="12.75" hidden="false" customHeight="false" outlineLevel="0" collapsed="false">
      <c r="A2" s="3" t="s">
        <v>516</v>
      </c>
      <c r="C2" s="81" t="s">
        <v>67</v>
      </c>
      <c r="D2" s="79" t="n">
        <f aca="false">SUM(D4:D39)</f>
        <v>51000</v>
      </c>
      <c r="E2" s="79" t="n">
        <f aca="false">SUM(E4:E39)</f>
        <v>-85166.06</v>
      </c>
      <c r="F2" s="79" t="n">
        <f aca="false">SUM(F4:F39)</f>
        <v>27984.15</v>
      </c>
      <c r="G2" s="79" t="n">
        <f aca="false">SUM(G4:G39)</f>
        <v>-87971.62</v>
      </c>
      <c r="H2" s="79" t="n">
        <f aca="false">F2+G2</f>
        <v>-59987.47</v>
      </c>
    </row>
    <row r="3" customFormat="false" ht="12.75" hidden="false" customHeight="false" outlineLevel="0" collapsed="false">
      <c r="B3" s="18"/>
    </row>
    <row r="4" customFormat="false" ht="12.75" hidden="false" customHeight="false" outlineLevel="0" collapsed="false">
      <c r="A4" s="90" t="n">
        <v>45468</v>
      </c>
      <c r="B4" s="42" t="s">
        <v>434</v>
      </c>
      <c r="D4" s="80"/>
      <c r="E4" s="80" t="n">
        <v>-152</v>
      </c>
      <c r="F4" s="80"/>
      <c r="G4" s="80" t="n">
        <v>-167</v>
      </c>
      <c r="H4" s="80" t="n">
        <f aca="false">H3+F4+G4</f>
        <v>-167</v>
      </c>
    </row>
    <row r="5" customFormat="false" ht="12.75" hidden="false" customHeight="false" outlineLevel="0" collapsed="false">
      <c r="D5" s="80"/>
      <c r="E5" s="80"/>
      <c r="F5" s="80"/>
      <c r="G5" s="80"/>
      <c r="H5" s="80" t="n">
        <f aca="false">H4+F5+G5</f>
        <v>-167</v>
      </c>
    </row>
    <row r="6" customFormat="false" ht="12.75" hidden="false" customHeight="false" outlineLevel="0" collapsed="false">
      <c r="A6" s="90" t="n">
        <v>45474</v>
      </c>
      <c r="B6" s="103" t="s">
        <v>80</v>
      </c>
      <c r="C6" s="103"/>
      <c r="D6" s="80"/>
      <c r="E6" s="80" t="n">
        <v>-400</v>
      </c>
      <c r="F6" s="80"/>
      <c r="G6" s="80" t="n">
        <v>-275</v>
      </c>
      <c r="H6" s="80" t="n">
        <f aca="false">H5+F6+G6</f>
        <v>-442</v>
      </c>
    </row>
    <row r="7" customFormat="false" ht="12.75" hidden="false" customHeight="false" outlineLevel="0" collapsed="false">
      <c r="A7" s="90" t="n">
        <v>45474</v>
      </c>
      <c r="B7" s="103" t="s">
        <v>81</v>
      </c>
      <c r="C7" s="103"/>
      <c r="D7" s="80"/>
      <c r="E7" s="80" t="n">
        <v>-500</v>
      </c>
      <c r="F7" s="80"/>
      <c r="G7" s="80" t="n">
        <v>-520</v>
      </c>
      <c r="H7" s="80" t="n">
        <f aca="false">H6+F7+G7</f>
        <v>-962</v>
      </c>
    </row>
    <row r="8" customFormat="false" ht="12.75" hidden="false" customHeight="false" outlineLevel="0" collapsed="false">
      <c r="B8" s="103" t="s">
        <v>517</v>
      </c>
      <c r="C8" s="103" t="s">
        <v>361</v>
      </c>
      <c r="D8" s="80"/>
      <c r="E8" s="80" t="n">
        <v>-250</v>
      </c>
      <c r="F8" s="80"/>
      <c r="G8" s="80"/>
      <c r="H8" s="80" t="n">
        <f aca="false">H7+F8+G8</f>
        <v>-962</v>
      </c>
    </row>
    <row r="9" customFormat="false" ht="12.75" hidden="false" customHeight="false" outlineLevel="0" collapsed="false">
      <c r="A9" s="90" t="n">
        <v>45478</v>
      </c>
      <c r="B9" s="182" t="s">
        <v>68</v>
      </c>
      <c r="D9" s="80"/>
      <c r="E9" s="80" t="n">
        <f aca="false">E55</f>
        <v>-8944.54</v>
      </c>
      <c r="F9" s="80"/>
      <c r="G9" s="80" t="n">
        <f aca="false">E9</f>
        <v>-8944.54</v>
      </c>
      <c r="H9" s="80" t="n">
        <f aca="false">H8+F9+G9</f>
        <v>-9906.54</v>
      </c>
    </row>
    <row r="10" customFormat="false" ht="12.75" hidden="false" customHeight="false" outlineLevel="0" collapsed="false">
      <c r="A10" s="170" t="n">
        <v>45478</v>
      </c>
      <c r="B10" s="182" t="s">
        <v>69</v>
      </c>
      <c r="D10" s="80"/>
      <c r="E10" s="80" t="n">
        <f aca="false">E72</f>
        <v>-26619.52</v>
      </c>
      <c r="F10" s="80"/>
      <c r="G10" s="80" t="n">
        <f aca="false">E10</f>
        <v>-26619.52</v>
      </c>
      <c r="H10" s="80" t="n">
        <f aca="false">H9+F10+G10</f>
        <v>-36526.06</v>
      </c>
    </row>
    <row r="11" customFormat="false" ht="12.75" hidden="false" customHeight="false" outlineLevel="0" collapsed="false">
      <c r="A11" s="102" t="n">
        <v>45481</v>
      </c>
      <c r="B11" s="8" t="s">
        <v>518</v>
      </c>
      <c r="D11" s="80" t="n">
        <v>15000</v>
      </c>
      <c r="E11" s="80"/>
      <c r="F11" s="80" t="n">
        <v>15000</v>
      </c>
      <c r="G11" s="80"/>
      <c r="H11" s="80" t="n">
        <f aca="false">H10+F11+G11</f>
        <v>-21526.06</v>
      </c>
    </row>
    <row r="12" customFormat="false" ht="12.75" hidden="false" customHeight="false" outlineLevel="0" collapsed="false">
      <c r="A12" s="90" t="n">
        <v>45481</v>
      </c>
      <c r="B12" s="103" t="s">
        <v>519</v>
      </c>
      <c r="C12" s="103"/>
      <c r="D12" s="80"/>
      <c r="E12" s="80" t="n">
        <v>-17500</v>
      </c>
      <c r="F12" s="80"/>
      <c r="G12" s="80" t="n">
        <v>-17500</v>
      </c>
      <c r="H12" s="80" t="n">
        <f aca="false">H11+F12+G12</f>
        <v>-39026.06</v>
      </c>
    </row>
    <row r="13" customFormat="false" ht="12.75" hidden="false" customHeight="false" outlineLevel="0" collapsed="false">
      <c r="A13" s="90" t="n">
        <v>45481</v>
      </c>
      <c r="B13" s="103" t="s">
        <v>70</v>
      </c>
      <c r="C13" s="103"/>
      <c r="D13" s="80"/>
      <c r="E13" s="80" t="n">
        <v>-1500</v>
      </c>
      <c r="F13" s="80"/>
      <c r="G13" s="80" t="n">
        <v>-1519.7</v>
      </c>
      <c r="H13" s="80" t="n">
        <f aca="false">H12+F13+G13</f>
        <v>-40545.76</v>
      </c>
    </row>
    <row r="14" customFormat="false" ht="12.75" hidden="false" customHeight="false" outlineLevel="0" collapsed="false">
      <c r="B14" s="103" t="s">
        <v>75</v>
      </c>
      <c r="C14" s="103" t="s">
        <v>332</v>
      </c>
      <c r="D14" s="80"/>
      <c r="E14" s="80" t="n">
        <v>-150</v>
      </c>
      <c r="F14" s="80"/>
      <c r="G14" s="80"/>
      <c r="H14" s="80" t="n">
        <f aca="false">H13+F14+G14</f>
        <v>-40545.76</v>
      </c>
    </row>
    <row r="15" customFormat="false" ht="12.75" hidden="false" customHeight="false" outlineLevel="0" collapsed="false">
      <c r="A15" s="90" t="n">
        <v>45481</v>
      </c>
      <c r="B15" s="8" t="s">
        <v>403</v>
      </c>
      <c r="C15" s="103"/>
      <c r="D15" s="80"/>
      <c r="E15" s="80" t="n">
        <v>-10000</v>
      </c>
      <c r="F15" s="80"/>
      <c r="G15" s="80" t="n">
        <v>-10000</v>
      </c>
      <c r="H15" s="80" t="n">
        <f aca="false">H14+F15+G15</f>
        <v>-50545.76</v>
      </c>
    </row>
    <row r="16" customFormat="false" ht="12.75" hidden="false" customHeight="false" outlineLevel="0" collapsed="false">
      <c r="B16" s="103"/>
      <c r="C16" s="103"/>
      <c r="D16" s="80"/>
      <c r="E16" s="80"/>
      <c r="F16" s="80"/>
      <c r="G16" s="80"/>
      <c r="H16" s="80" t="n">
        <f aca="false">H15+F16+G16</f>
        <v>-50545.76</v>
      </c>
    </row>
    <row r="17" customFormat="false" ht="12.75" hidden="false" customHeight="false" outlineLevel="0" collapsed="false">
      <c r="B17" s="103"/>
      <c r="C17" s="103"/>
      <c r="D17" s="80"/>
      <c r="E17" s="80"/>
      <c r="F17" s="80"/>
      <c r="G17" s="80"/>
      <c r="H17" s="80" t="n">
        <f aca="false">H16+F17+G17</f>
        <v>-50545.76</v>
      </c>
    </row>
    <row r="18" customFormat="false" ht="12.75" hidden="false" customHeight="false" outlineLevel="0" collapsed="false">
      <c r="D18" s="80"/>
      <c r="E18" s="80"/>
      <c r="F18" s="80"/>
      <c r="G18" s="80"/>
      <c r="H18" s="80" t="n">
        <f aca="false">H17+F18+G18</f>
        <v>-50545.76</v>
      </c>
    </row>
    <row r="19" customFormat="false" ht="12.75" hidden="false" customHeight="false" outlineLevel="0" collapsed="false">
      <c r="A19" s="90" t="n">
        <v>45489</v>
      </c>
      <c r="B19" s="108" t="s">
        <v>73</v>
      </c>
      <c r="C19" s="108" t="s">
        <v>332</v>
      </c>
      <c r="D19" s="80"/>
      <c r="E19" s="80" t="n">
        <v>-300</v>
      </c>
      <c r="F19" s="80"/>
      <c r="G19" s="80" t="n">
        <v>-33</v>
      </c>
      <c r="H19" s="80" t="n">
        <f aca="false">H18+F19+G19</f>
        <v>-50578.76</v>
      </c>
    </row>
    <row r="20" customFormat="false" ht="12.75" hidden="false" customHeight="false" outlineLevel="0" collapsed="false">
      <c r="A20" s="90" t="n">
        <v>45489</v>
      </c>
      <c r="B20" s="108" t="s">
        <v>74</v>
      </c>
      <c r="C20" s="108" t="s">
        <v>332</v>
      </c>
      <c r="D20" s="80"/>
      <c r="E20" s="80" t="n">
        <v>-100</v>
      </c>
      <c r="F20" s="80"/>
      <c r="G20" s="80" t="n">
        <v>-27</v>
      </c>
      <c r="H20" s="80" t="n">
        <f aca="false">H19+F20+G20</f>
        <v>-50605.76</v>
      </c>
    </row>
    <row r="21" customFormat="false" ht="12.75" hidden="false" customHeight="false" outlineLevel="0" collapsed="false">
      <c r="B21" s="103"/>
      <c r="C21" s="103"/>
      <c r="D21" s="80"/>
      <c r="E21" s="80"/>
      <c r="F21" s="80"/>
      <c r="G21" s="80"/>
      <c r="H21" s="80" t="n">
        <f aca="false">H20+F21+G21</f>
        <v>-50605.76</v>
      </c>
    </row>
    <row r="22" customFormat="false" ht="12.75" hidden="false" customHeight="false" outlineLevel="0" collapsed="false">
      <c r="B22" s="182" t="s">
        <v>72</v>
      </c>
      <c r="D22" s="80"/>
      <c r="E22" s="80" t="n">
        <f aca="false">F50*-1</f>
        <v>-0</v>
      </c>
      <c r="F22" s="80"/>
      <c r="G22" s="80"/>
      <c r="H22" s="80" t="n">
        <f aca="false">H21+F22+G22</f>
        <v>-50605.76</v>
      </c>
    </row>
    <row r="23" customFormat="false" ht="12.75" hidden="false" customHeight="false" outlineLevel="0" collapsed="false">
      <c r="A23" s="90"/>
      <c r="D23" s="80"/>
      <c r="E23" s="80"/>
      <c r="F23" s="80"/>
      <c r="G23" s="80"/>
      <c r="H23" s="80" t="n">
        <f aca="false">H22+F23+G23</f>
        <v>-50605.76</v>
      </c>
    </row>
    <row r="24" customFormat="false" ht="12.75" hidden="false" customHeight="false" outlineLevel="0" collapsed="false">
      <c r="D24" s="80"/>
      <c r="E24" s="80"/>
      <c r="F24" s="80"/>
      <c r="G24" s="80"/>
      <c r="H24" s="80" t="n">
        <f aca="false">H23+F24+G24</f>
        <v>-50605.76</v>
      </c>
    </row>
    <row r="25" customFormat="false" ht="12.75" hidden="false" customHeight="false" outlineLevel="0" collapsed="false">
      <c r="D25" s="80"/>
      <c r="E25" s="80"/>
      <c r="F25" s="80"/>
      <c r="G25" s="80"/>
      <c r="H25" s="80" t="n">
        <f aca="false">H24+F25+G25</f>
        <v>-50605.76</v>
      </c>
    </row>
    <row r="26" customFormat="false" ht="12.75" hidden="false" customHeight="false" outlineLevel="0" collapsed="false">
      <c r="A26" s="90" t="n">
        <v>45500</v>
      </c>
      <c r="B26" s="8" t="s">
        <v>77</v>
      </c>
      <c r="D26" s="80"/>
      <c r="E26" s="80" t="n">
        <v>-6250</v>
      </c>
      <c r="F26" s="80"/>
      <c r="G26" s="80" t="n">
        <v>-6500</v>
      </c>
      <c r="H26" s="80" t="n">
        <f aca="false">H25+F26+G26</f>
        <v>-57105.76</v>
      </c>
    </row>
    <row r="27" customFormat="false" ht="12.75" hidden="false" customHeight="false" outlineLevel="0" collapsed="false">
      <c r="A27" s="90" t="n">
        <v>45500</v>
      </c>
      <c r="B27" s="8" t="s">
        <v>78</v>
      </c>
      <c r="D27" s="80"/>
      <c r="E27" s="80" t="n">
        <v>-6250</v>
      </c>
      <c r="F27" s="80"/>
      <c r="G27" s="80" t="n">
        <v>-6500</v>
      </c>
      <c r="H27" s="80" t="n">
        <f aca="false">H26+F27+G27</f>
        <v>-63605.76</v>
      </c>
    </row>
    <row r="28" customFormat="false" ht="12.75" hidden="false" customHeight="false" outlineLevel="0" collapsed="false">
      <c r="B28" s="0" t="s">
        <v>79</v>
      </c>
      <c r="D28" s="80"/>
      <c r="E28" s="80" t="n">
        <v>-6250</v>
      </c>
      <c r="F28" s="80"/>
      <c r="G28" s="80" t="n">
        <v>-6500</v>
      </c>
      <c r="H28" s="80" t="n">
        <f aca="false">H27+F28+G28</f>
        <v>-70105.76</v>
      </c>
    </row>
    <row r="29" customFormat="false" ht="12.75" hidden="false" customHeight="false" outlineLevel="0" collapsed="false">
      <c r="D29" s="80"/>
      <c r="E29" s="80"/>
      <c r="F29" s="80"/>
      <c r="G29" s="80"/>
      <c r="H29" s="80" t="n">
        <f aca="false">H28+F29+G29</f>
        <v>-70105.76</v>
      </c>
    </row>
    <row r="30" customFormat="false" ht="12.75" hidden="false" customHeight="false" outlineLevel="0" collapsed="false">
      <c r="B30" s="0" t="s">
        <v>76</v>
      </c>
      <c r="D30" s="80" t="n">
        <v>12500</v>
      </c>
      <c r="E30" s="80"/>
      <c r="F30" s="80" t="n">
        <v>12984.15</v>
      </c>
      <c r="G30" s="80"/>
      <c r="H30" s="80" t="n">
        <f aca="false">H29+F30+G30</f>
        <v>-57121.61</v>
      </c>
    </row>
    <row r="31" customFormat="false" ht="12.75" hidden="false" customHeight="false" outlineLevel="0" collapsed="false">
      <c r="A31" s="102"/>
      <c r="D31" s="80"/>
      <c r="E31" s="80"/>
      <c r="F31" s="80"/>
      <c r="G31" s="80"/>
      <c r="H31" s="80" t="n">
        <f aca="false">H30+F31+G31</f>
        <v>-57121.61</v>
      </c>
    </row>
    <row r="32" customFormat="false" ht="12.75" hidden="false" customHeight="false" outlineLevel="0" collapsed="false">
      <c r="A32" s="102"/>
      <c r="B32" s="175" t="s">
        <v>445</v>
      </c>
      <c r="C32" s="175"/>
      <c r="D32" s="188" t="n">
        <v>8500</v>
      </c>
      <c r="E32" s="80"/>
      <c r="F32" s="80"/>
      <c r="G32" s="80"/>
      <c r="H32" s="80" t="n">
        <f aca="false">H31+F32+G32</f>
        <v>-57121.61</v>
      </c>
    </row>
    <row r="33" customFormat="false" ht="12.75" hidden="false" customHeight="false" outlineLevel="0" collapsed="false">
      <c r="A33" s="102"/>
      <c r="B33" s="175" t="s">
        <v>462</v>
      </c>
      <c r="C33" s="175"/>
      <c r="D33" s="172" t="n">
        <v>15000</v>
      </c>
      <c r="E33" s="80"/>
      <c r="F33" s="80"/>
      <c r="G33" s="80"/>
      <c r="H33" s="80" t="n">
        <f aca="false">H32+F33+G33</f>
        <v>-57121.61</v>
      </c>
    </row>
    <row r="34" customFormat="false" ht="12.75" hidden="false" customHeight="false" outlineLevel="0" collapsed="false">
      <c r="A34" s="102" t="n">
        <v>45502</v>
      </c>
      <c r="B34" s="103" t="s">
        <v>80</v>
      </c>
      <c r="D34" s="80"/>
      <c r="E34" s="80"/>
      <c r="F34" s="80"/>
      <c r="G34" s="80" t="n">
        <v>-350</v>
      </c>
      <c r="H34" s="80" t="n">
        <f aca="false">H33+F34+G34</f>
        <v>-57471.61</v>
      </c>
    </row>
    <row r="35" customFormat="false" ht="12.75" hidden="false" customHeight="false" outlineLevel="0" collapsed="false">
      <c r="A35" s="102" t="n">
        <v>45502</v>
      </c>
      <c r="B35" s="103" t="s">
        <v>81</v>
      </c>
      <c r="D35" s="80"/>
      <c r="E35" s="80"/>
      <c r="F35" s="80"/>
      <c r="G35" s="80" t="n">
        <v>-710</v>
      </c>
      <c r="H35" s="80" t="n">
        <f aca="false">H34+F35+G35</f>
        <v>-58181.61</v>
      </c>
    </row>
    <row r="36" customFormat="false" ht="12.75" hidden="false" customHeight="false" outlineLevel="0" collapsed="false">
      <c r="A36" s="102" t="n">
        <v>45504</v>
      </c>
      <c r="B36" s="8" t="s">
        <v>520</v>
      </c>
      <c r="D36" s="80"/>
      <c r="E36" s="80"/>
      <c r="F36" s="80"/>
      <c r="G36" s="80" t="n">
        <v>-1805.86</v>
      </c>
      <c r="H36" s="80" t="n">
        <f aca="false">H35+F36+G36</f>
        <v>-59987.47</v>
      </c>
    </row>
    <row r="37" customFormat="false" ht="12.75" hidden="false" customHeight="false" outlineLevel="0" collapsed="false">
      <c r="D37" s="80"/>
      <c r="E37" s="80"/>
      <c r="F37" s="80"/>
      <c r="G37" s="80"/>
      <c r="H37" s="80" t="n">
        <f aca="false">H36+F37+G37</f>
        <v>-59987.47</v>
      </c>
    </row>
    <row r="38" customFormat="false" ht="12.75" hidden="false" customHeight="false" outlineLevel="0" collapsed="false">
      <c r="D38" s="80"/>
      <c r="E38" s="80"/>
      <c r="F38" s="80"/>
      <c r="G38" s="80"/>
      <c r="H38" s="80" t="n">
        <f aca="false">H37+F38+G38</f>
        <v>-59987.47</v>
      </c>
    </row>
    <row r="39" customFormat="false" ht="15" hidden="false" customHeight="false" outlineLevel="0" collapsed="false">
      <c r="B39" s="184"/>
    </row>
    <row r="41" customFormat="false" ht="12.75" hidden="false" customHeight="false" outlineLevel="0" collapsed="false">
      <c r="B41" s="0" t="s">
        <v>334</v>
      </c>
    </row>
    <row r="42" customFormat="false" ht="12.75" hidden="false" customHeight="false" outlineLevel="0" collapsed="false">
      <c r="A42" s="105" t="s">
        <v>335</v>
      </c>
      <c r="B42" s="105"/>
      <c r="C42" s="105"/>
    </row>
    <row r="43" customFormat="false" ht="12.75" hidden="false" customHeight="false" outlineLevel="0" collapsed="false">
      <c r="A43" s="102"/>
      <c r="C43" s="176"/>
    </row>
    <row r="44" customFormat="false" ht="12.75" hidden="false" customHeight="false" outlineLevel="0" collapsed="false">
      <c r="A44" s="177" t="n">
        <v>44929</v>
      </c>
      <c r="B44" s="178" t="s">
        <v>336</v>
      </c>
      <c r="C44" s="105"/>
      <c r="D44" s="79" t="n">
        <f aca="false">SUM(D45:D50)</f>
        <v>0</v>
      </c>
      <c r="E44" s="79" t="n">
        <f aca="false">SUM(E45:E51)</f>
        <v>0</v>
      </c>
    </row>
    <row r="45" customFormat="false" ht="12.75" hidden="false" customHeight="false" outlineLevel="0" collapsed="false">
      <c r="A45" s="102"/>
      <c r="B45" s="108" t="s">
        <v>337</v>
      </c>
    </row>
    <row r="46" customFormat="false" ht="12.75" hidden="false" customHeight="false" outlineLevel="0" collapsed="false">
      <c r="B46" s="0" t="s">
        <v>338</v>
      </c>
    </row>
    <row r="47" customFormat="false" ht="12.75" hidden="false" customHeight="false" outlineLevel="0" collapsed="false">
      <c r="B47" s="0" t="s">
        <v>339</v>
      </c>
    </row>
    <row r="48" customFormat="false" ht="12.75" hidden="false" customHeight="false" outlineLevel="0" collapsed="false">
      <c r="B48" s="0" t="s">
        <v>340</v>
      </c>
      <c r="D48" s="79" t="s">
        <v>521</v>
      </c>
    </row>
    <row r="49" customFormat="false" ht="12.75" hidden="false" customHeight="false" outlineLevel="0" collapsed="false">
      <c r="B49" s="0" t="s">
        <v>341</v>
      </c>
      <c r="D49" s="79" t="s">
        <v>522</v>
      </c>
    </row>
    <row r="50" customFormat="false" ht="12.75" hidden="false" customHeight="false" outlineLevel="0" collapsed="false">
      <c r="B50" s="0" t="s">
        <v>342</v>
      </c>
      <c r="C50" s="108"/>
    </row>
    <row r="51" customFormat="false" ht="12.75" hidden="false" customHeight="false" outlineLevel="0" collapsed="false">
      <c r="C51" s="108"/>
    </row>
    <row r="53" customFormat="false" ht="12.75" hidden="false" customHeight="false" outlineLevel="0" collapsed="false">
      <c r="B53" s="17"/>
    </row>
    <row r="54" customFormat="false" ht="12.75" hidden="false" customHeight="false" outlineLevel="0" collapsed="false">
      <c r="B54" s="104"/>
    </row>
    <row r="55" customFormat="false" ht="12.75" hidden="false" customHeight="false" outlineLevel="0" collapsed="false">
      <c r="A55" s="105"/>
      <c r="B55" s="106" t="s">
        <v>83</v>
      </c>
      <c r="C55" s="105"/>
      <c r="E55" s="79" t="n">
        <f aca="false">SUM(E56:E68)</f>
        <v>-8944.54</v>
      </c>
    </row>
    <row r="57" customFormat="false" ht="12.75" hidden="false" customHeight="false" outlineLevel="0" collapsed="false">
      <c r="A57" s="90" t="n">
        <v>45348</v>
      </c>
      <c r="B57" s="8" t="s">
        <v>448</v>
      </c>
      <c r="C57" s="0" t="n">
        <v>1406</v>
      </c>
      <c r="D57" s="79" t="s">
        <v>523</v>
      </c>
      <c r="E57" s="79" t="n">
        <v>-234.33</v>
      </c>
    </row>
    <row r="58" customFormat="false" ht="12.75" hidden="false" customHeight="false" outlineLevel="0" collapsed="false">
      <c r="A58" s="90" t="n">
        <v>45373</v>
      </c>
      <c r="B58" s="8" t="s">
        <v>343</v>
      </c>
      <c r="C58" s="0" t="n">
        <v>10176.39</v>
      </c>
      <c r="D58" s="79" t="s">
        <v>524</v>
      </c>
      <c r="E58" s="79" t="n">
        <v>-1130.71</v>
      </c>
    </row>
    <row r="59" customFormat="false" ht="12.75" hidden="false" customHeight="false" outlineLevel="0" collapsed="false">
      <c r="A59" s="90" t="n">
        <v>45375</v>
      </c>
      <c r="B59" s="8" t="s">
        <v>345</v>
      </c>
      <c r="C59" s="0" t="n">
        <v>5999</v>
      </c>
      <c r="D59" s="79" t="s">
        <v>524</v>
      </c>
      <c r="E59" s="79" t="n">
        <v>-666.56</v>
      </c>
    </row>
    <row r="60" customFormat="false" ht="12.75" hidden="false" customHeight="false" outlineLevel="0" collapsed="false">
      <c r="A60" s="90" t="n">
        <v>45358</v>
      </c>
      <c r="B60" s="8" t="s">
        <v>451</v>
      </c>
      <c r="C60" s="0" t="n">
        <v>2273</v>
      </c>
      <c r="D60" s="79" t="s">
        <v>523</v>
      </c>
      <c r="E60" s="79" t="n">
        <v>-378.87</v>
      </c>
    </row>
    <row r="61" customFormat="false" ht="12.75" hidden="false" customHeight="false" outlineLevel="0" collapsed="false">
      <c r="A61" s="90" t="n">
        <v>45371</v>
      </c>
      <c r="B61" s="8" t="s">
        <v>452</v>
      </c>
      <c r="D61" s="79" t="s">
        <v>525</v>
      </c>
      <c r="E61" s="79" t="n">
        <v>101.77</v>
      </c>
    </row>
    <row r="62" customFormat="false" ht="12.75" hidden="false" customHeight="false" outlineLevel="0" collapsed="false">
      <c r="A62" s="90"/>
    </row>
    <row r="63" customFormat="false" ht="12.75" hidden="false" customHeight="false" outlineLevel="0" collapsed="false">
      <c r="A63" s="102" t="n">
        <v>45442</v>
      </c>
      <c r="B63" s="186" t="s">
        <v>482</v>
      </c>
      <c r="C63" s="108"/>
      <c r="D63" s="79" t="s">
        <v>526</v>
      </c>
      <c r="E63" s="79" t="n">
        <v>-1054.14</v>
      </c>
    </row>
    <row r="64" customFormat="false" ht="12.75" hidden="false" customHeight="false" outlineLevel="0" collapsed="false">
      <c r="A64" s="102" t="n">
        <v>45456</v>
      </c>
      <c r="B64" s="109" t="s">
        <v>453</v>
      </c>
      <c r="C64" s="108"/>
      <c r="D64" s="79" t="s">
        <v>527</v>
      </c>
      <c r="E64" s="79" t="n">
        <v>-3923.33</v>
      </c>
    </row>
    <row r="65" customFormat="false" ht="12.75" hidden="false" customHeight="false" outlineLevel="0" collapsed="false">
      <c r="A65" s="102" t="n">
        <v>45442</v>
      </c>
      <c r="B65" s="108" t="s">
        <v>528</v>
      </c>
      <c r="C65" s="108"/>
      <c r="E65" s="79" t="n">
        <v>-278.97</v>
      </c>
    </row>
    <row r="67" customFormat="false" ht="12.75" hidden="false" customHeight="false" outlineLevel="0" collapsed="false">
      <c r="A67" s="102" t="n">
        <v>45444</v>
      </c>
      <c r="B67" s="109" t="s">
        <v>529</v>
      </c>
      <c r="C67" s="108"/>
      <c r="E67" s="79" t="n">
        <v>-1379.4</v>
      </c>
    </row>
    <row r="68" customFormat="false" ht="13.8" hidden="false" customHeight="false" outlineLevel="0" collapsed="false">
      <c r="A68" s="102" t="n">
        <v>45447</v>
      </c>
      <c r="B68" s="109" t="s">
        <v>132</v>
      </c>
      <c r="D68" s="79" t="n">
        <v>4300</v>
      </c>
      <c r="E68" s="107" t="s">
        <v>84</v>
      </c>
    </row>
    <row r="70" customFormat="false" ht="12.75" hidden="false" customHeight="false" outlineLevel="0" collapsed="false">
      <c r="A70" s="102"/>
      <c r="B70" s="3"/>
    </row>
    <row r="71" customFormat="false" ht="12.75" hidden="false" customHeight="false" outlineLevel="0" collapsed="false">
      <c r="A71" s="102"/>
      <c r="B71" s="108"/>
      <c r="C71" s="108"/>
    </row>
    <row r="72" customFormat="false" ht="12.75" hidden="false" customHeight="false" outlineLevel="0" collapsed="false">
      <c r="A72" s="105"/>
      <c r="B72" s="106" t="s">
        <v>85</v>
      </c>
      <c r="C72" s="105"/>
      <c r="E72" s="79" t="n">
        <f aca="false">SUM(E73:E130)</f>
        <v>-26619.52</v>
      </c>
    </row>
    <row r="73" customFormat="false" ht="12.75" hidden="false" customHeight="false" outlineLevel="0" collapsed="false">
      <c r="A73" s="102"/>
      <c r="B73" s="108"/>
      <c r="C73" s="108"/>
    </row>
    <row r="74" customFormat="false" ht="12.75" hidden="false" customHeight="false" outlineLevel="0" collapsed="false">
      <c r="A74" s="170" t="n">
        <v>45285</v>
      </c>
      <c r="B74" s="108" t="s">
        <v>530</v>
      </c>
      <c r="C74" s="108"/>
      <c r="D74" s="79" t="s">
        <v>531</v>
      </c>
      <c r="E74" s="79" t="n">
        <v>-3551.68</v>
      </c>
    </row>
    <row r="75" customFormat="false" ht="14.9" hidden="false" customHeight="false" outlineLevel="0" collapsed="false">
      <c r="A75" s="102"/>
      <c r="B75" s="3" t="s">
        <v>486</v>
      </c>
      <c r="C75" s="108"/>
      <c r="D75" s="79" t="s">
        <v>532</v>
      </c>
      <c r="E75" s="79" t="n">
        <v>-649.78</v>
      </c>
    </row>
    <row r="76" customFormat="false" ht="12.75" hidden="false" customHeight="false" outlineLevel="0" collapsed="false">
      <c r="A76" s="102"/>
      <c r="B76" s="3" t="s">
        <v>488</v>
      </c>
      <c r="C76" s="108"/>
      <c r="D76" s="79" t="s">
        <v>533</v>
      </c>
    </row>
    <row r="77" customFormat="false" ht="12.75" hidden="false" customHeight="false" outlineLevel="0" collapsed="false">
      <c r="A77" s="102"/>
      <c r="B77" s="3"/>
      <c r="C77" s="108"/>
    </row>
    <row r="78" customFormat="false" ht="12.75" hidden="false" customHeight="false" outlineLevel="0" collapsed="false">
      <c r="A78" s="102" t="n">
        <v>45456</v>
      </c>
      <c r="B78" s="8" t="s">
        <v>489</v>
      </c>
      <c r="C78" s="108"/>
      <c r="D78" s="79" t="s">
        <v>526</v>
      </c>
      <c r="E78" s="79" t="n">
        <v>-5875</v>
      </c>
    </row>
    <row r="79" customFormat="false" ht="12.75" hidden="false" customHeight="false" outlineLevel="0" collapsed="false">
      <c r="A79" s="102" t="n">
        <v>45456</v>
      </c>
      <c r="B79" s="8" t="s">
        <v>490</v>
      </c>
      <c r="C79" s="108"/>
      <c r="D79" s="79" t="s">
        <v>526</v>
      </c>
      <c r="E79" s="79" t="n">
        <v>-4300</v>
      </c>
    </row>
    <row r="80" customFormat="false" ht="12.75" hidden="false" customHeight="false" outlineLevel="0" collapsed="false">
      <c r="A80" s="102" t="n">
        <v>45465</v>
      </c>
      <c r="B80" s="3" t="s">
        <v>528</v>
      </c>
      <c r="C80" s="108"/>
      <c r="E80" s="79" t="n">
        <v>-483.01</v>
      </c>
    </row>
    <row r="81" customFormat="false" ht="12.75" hidden="false" customHeight="false" outlineLevel="0" collapsed="false">
      <c r="A81" s="102" t="n">
        <v>45436</v>
      </c>
      <c r="B81" s="3" t="s">
        <v>534</v>
      </c>
      <c r="C81" s="108"/>
      <c r="E81" s="79" t="n">
        <v>-80</v>
      </c>
    </row>
    <row r="82" customFormat="false" ht="12.75" hidden="false" customHeight="false" outlineLevel="0" collapsed="false">
      <c r="A82" s="102" t="n">
        <v>45436</v>
      </c>
      <c r="B82" s="3" t="s">
        <v>535</v>
      </c>
      <c r="C82" s="108"/>
      <c r="E82" s="79" t="n">
        <v>-1000</v>
      </c>
    </row>
    <row r="83" customFormat="false" ht="12.75" hidden="false" customHeight="false" outlineLevel="0" collapsed="false">
      <c r="A83" s="102" t="n">
        <v>45437</v>
      </c>
      <c r="B83" s="3" t="s">
        <v>536</v>
      </c>
      <c r="C83" s="108"/>
      <c r="E83" s="79" t="n">
        <v>-70</v>
      </c>
    </row>
    <row r="84" customFormat="false" ht="12.75" hidden="false" customHeight="false" outlineLevel="0" collapsed="false">
      <c r="A84" s="102" t="n">
        <v>45438</v>
      </c>
      <c r="B84" s="3" t="s">
        <v>418</v>
      </c>
      <c r="C84" s="108"/>
      <c r="E84" s="79" t="n">
        <v>-232.27</v>
      </c>
    </row>
    <row r="85" customFormat="false" ht="12.75" hidden="false" customHeight="false" outlineLevel="0" collapsed="false">
      <c r="A85" s="102" t="n">
        <v>45438</v>
      </c>
      <c r="B85" s="3" t="s">
        <v>537</v>
      </c>
      <c r="C85" s="108"/>
      <c r="E85" s="79" t="n">
        <v>-130</v>
      </c>
    </row>
    <row r="86" customFormat="false" ht="12.75" hidden="false" customHeight="false" outlineLevel="0" collapsed="false">
      <c r="A86" s="102" t="n">
        <v>45469</v>
      </c>
      <c r="B86" s="3" t="s">
        <v>538</v>
      </c>
      <c r="C86" s="108"/>
      <c r="E86" s="79" t="n">
        <v>-246.8</v>
      </c>
    </row>
    <row r="87" customFormat="false" ht="12.75" hidden="false" customHeight="false" outlineLevel="0" collapsed="false">
      <c r="A87" s="102" t="n">
        <v>45439</v>
      </c>
      <c r="B87" s="3" t="s">
        <v>536</v>
      </c>
      <c r="C87" s="108"/>
      <c r="E87" s="79" t="n">
        <v>-70</v>
      </c>
    </row>
    <row r="88" customFormat="false" ht="12.75" hidden="false" customHeight="false" outlineLevel="0" collapsed="false">
      <c r="A88" s="102" t="n">
        <v>45440</v>
      </c>
      <c r="B88" s="3" t="s">
        <v>493</v>
      </c>
      <c r="C88" s="108" t="n">
        <v>300</v>
      </c>
      <c r="E88" s="79" t="n">
        <v>-300</v>
      </c>
    </row>
    <row r="89" customFormat="false" ht="12.75" hidden="false" customHeight="false" outlineLevel="0" collapsed="false">
      <c r="A89" s="102" t="n">
        <v>45440</v>
      </c>
      <c r="B89" s="3" t="s">
        <v>539</v>
      </c>
      <c r="C89" s="108"/>
      <c r="E89" s="79" t="n">
        <v>-460</v>
      </c>
    </row>
    <row r="90" customFormat="false" ht="12.75" hidden="false" customHeight="false" outlineLevel="0" collapsed="false">
      <c r="A90" s="102" t="n">
        <v>45441</v>
      </c>
      <c r="B90" s="3" t="s">
        <v>418</v>
      </c>
      <c r="C90" s="108"/>
      <c r="E90" s="79" t="n">
        <v>-27.66</v>
      </c>
    </row>
    <row r="91" customFormat="false" ht="12.75" hidden="false" customHeight="false" outlineLevel="0" collapsed="false">
      <c r="A91" s="102" t="n">
        <v>45441</v>
      </c>
      <c r="B91" s="3" t="s">
        <v>493</v>
      </c>
      <c r="C91" s="108" t="n">
        <v>400</v>
      </c>
      <c r="E91" s="79" t="n">
        <v>-400</v>
      </c>
    </row>
    <row r="92" customFormat="false" ht="12.75" hidden="false" customHeight="false" outlineLevel="0" collapsed="false">
      <c r="A92" s="102" t="n">
        <v>45442</v>
      </c>
      <c r="B92" s="3" t="s">
        <v>493</v>
      </c>
      <c r="C92" s="108" t="n">
        <v>200</v>
      </c>
      <c r="E92" s="79" t="n">
        <v>-200</v>
      </c>
    </row>
    <row r="93" customFormat="false" ht="12.75" hidden="false" customHeight="false" outlineLevel="0" collapsed="false">
      <c r="A93" s="102" t="n">
        <v>45442</v>
      </c>
      <c r="B93" s="3" t="s">
        <v>540</v>
      </c>
      <c r="C93" s="108"/>
      <c r="E93" s="79" t="n">
        <v>-80</v>
      </c>
    </row>
    <row r="94" customFormat="false" ht="12.75" hidden="false" customHeight="false" outlineLevel="0" collapsed="false">
      <c r="A94" s="102" t="n">
        <v>45444</v>
      </c>
      <c r="B94" s="3" t="s">
        <v>541</v>
      </c>
      <c r="C94" s="108"/>
      <c r="E94" s="79" t="n">
        <v>-80</v>
      </c>
    </row>
    <row r="95" customFormat="false" ht="12.75" hidden="false" customHeight="false" outlineLevel="0" collapsed="false">
      <c r="A95" s="102" t="n">
        <v>45444</v>
      </c>
      <c r="B95" s="3" t="s">
        <v>418</v>
      </c>
      <c r="C95" s="108"/>
      <c r="E95" s="79" t="n">
        <v>-12.26</v>
      </c>
    </row>
    <row r="96" customFormat="false" ht="12.75" hidden="false" customHeight="false" outlineLevel="0" collapsed="false">
      <c r="A96" s="102" t="n">
        <v>45444</v>
      </c>
      <c r="B96" s="3" t="s">
        <v>493</v>
      </c>
      <c r="C96" s="108" t="n">
        <v>350</v>
      </c>
      <c r="E96" s="79" t="n">
        <v>-350</v>
      </c>
    </row>
    <row r="97" customFormat="false" ht="12.75" hidden="false" customHeight="false" outlineLevel="0" collapsed="false">
      <c r="A97" s="102" t="n">
        <v>45444</v>
      </c>
      <c r="B97" s="3" t="s">
        <v>542</v>
      </c>
      <c r="C97" s="108"/>
      <c r="E97" s="79" t="n">
        <v>-300</v>
      </c>
    </row>
    <row r="98" customFormat="false" ht="12.75" hidden="false" customHeight="false" outlineLevel="0" collapsed="false">
      <c r="A98" s="102" t="n">
        <v>45446</v>
      </c>
      <c r="B98" s="3" t="s">
        <v>184</v>
      </c>
      <c r="C98" s="108"/>
      <c r="E98" s="79" t="n">
        <v>-500</v>
      </c>
    </row>
    <row r="99" customFormat="false" ht="12.75" hidden="false" customHeight="false" outlineLevel="0" collapsed="false">
      <c r="A99" s="102" t="n">
        <v>45446</v>
      </c>
      <c r="B99" s="3" t="s">
        <v>536</v>
      </c>
      <c r="C99" s="108"/>
      <c r="E99" s="79" t="n">
        <v>-70</v>
      </c>
    </row>
    <row r="100" customFormat="false" ht="12.75" hidden="false" customHeight="false" outlineLevel="0" collapsed="false">
      <c r="A100" s="102" t="n">
        <v>45446</v>
      </c>
      <c r="B100" s="3" t="s">
        <v>132</v>
      </c>
      <c r="C100" s="108"/>
      <c r="D100" s="79" t="n">
        <v>7949.1</v>
      </c>
    </row>
    <row r="101" customFormat="false" ht="12.75" hidden="false" customHeight="false" outlineLevel="0" collapsed="false">
      <c r="A101" s="102" t="n">
        <v>45447</v>
      </c>
      <c r="B101" s="3" t="s">
        <v>493</v>
      </c>
      <c r="C101" s="108" t="n">
        <v>240</v>
      </c>
      <c r="E101" s="79" t="n">
        <v>-240</v>
      </c>
    </row>
    <row r="102" customFormat="false" ht="12.75" hidden="false" customHeight="false" outlineLevel="0" collapsed="false">
      <c r="A102" s="102" t="n">
        <v>45447</v>
      </c>
      <c r="B102" s="3" t="s">
        <v>536</v>
      </c>
      <c r="C102" s="108"/>
      <c r="E102" s="79" t="n">
        <v>-70</v>
      </c>
    </row>
    <row r="103" customFormat="false" ht="12.75" hidden="false" customHeight="false" outlineLevel="0" collapsed="false">
      <c r="A103" s="102" t="n">
        <v>45447</v>
      </c>
      <c r="B103" s="3" t="s">
        <v>132</v>
      </c>
      <c r="C103" s="108"/>
      <c r="D103" s="79" t="n">
        <v>11998.63</v>
      </c>
    </row>
    <row r="104" customFormat="false" ht="12.75" hidden="false" customHeight="false" outlineLevel="0" collapsed="false">
      <c r="A104" s="90" t="n">
        <v>45448</v>
      </c>
      <c r="B104" s="3" t="s">
        <v>493</v>
      </c>
      <c r="C104" s="0" t="n">
        <v>280</v>
      </c>
      <c r="E104" s="79" t="n">
        <v>-280</v>
      </c>
    </row>
    <row r="105" customFormat="false" ht="12.75" hidden="false" customHeight="false" outlineLevel="0" collapsed="false">
      <c r="A105" s="90" t="n">
        <v>45448</v>
      </c>
      <c r="B105" s="3" t="s">
        <v>543</v>
      </c>
    </row>
    <row r="106" customFormat="false" ht="12.75" hidden="false" customHeight="false" outlineLevel="0" collapsed="false">
      <c r="A106" s="90" t="n">
        <v>45449</v>
      </c>
      <c r="B106" s="3" t="s">
        <v>493</v>
      </c>
      <c r="C106" s="0" t="n">
        <v>300</v>
      </c>
      <c r="E106" s="79" t="n">
        <v>-300</v>
      </c>
    </row>
    <row r="107" customFormat="false" ht="12.75" hidden="false" customHeight="false" outlineLevel="0" collapsed="false">
      <c r="A107" s="90" t="n">
        <v>45449</v>
      </c>
      <c r="B107" s="3" t="s">
        <v>418</v>
      </c>
      <c r="E107" s="79" t="n">
        <v>-84.7</v>
      </c>
    </row>
    <row r="108" customFormat="false" ht="12.75" hidden="false" customHeight="false" outlineLevel="0" collapsed="false">
      <c r="A108" s="90" t="n">
        <v>45450</v>
      </c>
      <c r="B108" s="3" t="s">
        <v>493</v>
      </c>
      <c r="C108" s="0" t="n">
        <v>300</v>
      </c>
      <c r="E108" s="79" t="n">
        <v>-300</v>
      </c>
    </row>
    <row r="109" customFormat="false" ht="12.75" hidden="false" customHeight="false" outlineLevel="0" collapsed="false">
      <c r="A109" s="90" t="n">
        <v>45450</v>
      </c>
      <c r="B109" s="3" t="s">
        <v>541</v>
      </c>
      <c r="E109" s="79" t="n">
        <v>-80</v>
      </c>
    </row>
    <row r="110" customFormat="false" ht="12.75" hidden="false" customHeight="false" outlineLevel="0" collapsed="false">
      <c r="A110" s="90" t="n">
        <v>45451</v>
      </c>
      <c r="B110" s="3" t="s">
        <v>493</v>
      </c>
      <c r="C110" s="0" t="n">
        <v>250</v>
      </c>
      <c r="E110" s="79" t="n">
        <v>-250</v>
      </c>
    </row>
    <row r="111" customFormat="false" ht="12.75" hidden="false" customHeight="false" outlineLevel="0" collapsed="false">
      <c r="A111" s="90" t="n">
        <v>45451</v>
      </c>
      <c r="B111" s="3" t="s">
        <v>536</v>
      </c>
      <c r="E111" s="79" t="n">
        <v>-145</v>
      </c>
    </row>
    <row r="112" customFormat="false" ht="12.75" hidden="false" customHeight="false" outlineLevel="0" collapsed="false">
      <c r="A112" s="90" t="n">
        <v>45454</v>
      </c>
      <c r="B112" s="3" t="s">
        <v>493</v>
      </c>
      <c r="C112" s="0" t="n">
        <v>400</v>
      </c>
      <c r="E112" s="79" t="n">
        <v>-400</v>
      </c>
    </row>
    <row r="113" customFormat="false" ht="12.75" hidden="false" customHeight="false" outlineLevel="0" collapsed="false">
      <c r="A113" s="90" t="n">
        <v>45455</v>
      </c>
      <c r="B113" s="3" t="s">
        <v>544</v>
      </c>
      <c r="E113" s="79" t="n">
        <v>-300</v>
      </c>
    </row>
    <row r="114" customFormat="false" ht="12.75" hidden="false" customHeight="false" outlineLevel="0" collapsed="false">
      <c r="A114" s="90" t="n">
        <v>45456</v>
      </c>
      <c r="B114" s="3" t="s">
        <v>493</v>
      </c>
      <c r="C114" s="0" t="n">
        <v>300</v>
      </c>
      <c r="E114" s="79" t="n">
        <v>-300</v>
      </c>
    </row>
    <row r="115" customFormat="false" ht="12.75" hidden="false" customHeight="false" outlineLevel="0" collapsed="false">
      <c r="A115" s="90" t="n">
        <v>45456</v>
      </c>
      <c r="B115" s="3" t="s">
        <v>536</v>
      </c>
      <c r="E115" s="79" t="n">
        <v>-70</v>
      </c>
    </row>
    <row r="116" customFormat="false" ht="12.75" hidden="false" customHeight="false" outlineLevel="0" collapsed="false">
      <c r="A116" s="90" t="n">
        <v>45459</v>
      </c>
      <c r="B116" s="3" t="s">
        <v>541</v>
      </c>
      <c r="E116" s="79" t="n">
        <v>-80</v>
      </c>
    </row>
    <row r="117" customFormat="false" ht="12.75" hidden="false" customHeight="false" outlineLevel="0" collapsed="false">
      <c r="A117" s="90" t="n">
        <v>45460</v>
      </c>
      <c r="B117" s="3" t="s">
        <v>418</v>
      </c>
      <c r="E117" s="79" t="n">
        <v>-71.95</v>
      </c>
    </row>
    <row r="118" customFormat="false" ht="12.75" hidden="false" customHeight="false" outlineLevel="0" collapsed="false">
      <c r="A118" s="90" t="n">
        <v>45460</v>
      </c>
      <c r="B118" s="3" t="s">
        <v>184</v>
      </c>
      <c r="E118" s="79" t="n">
        <v>-500</v>
      </c>
    </row>
    <row r="119" customFormat="false" ht="12.75" hidden="false" customHeight="false" outlineLevel="0" collapsed="false">
      <c r="A119" s="90" t="n">
        <v>45463</v>
      </c>
      <c r="B119" s="3" t="s">
        <v>541</v>
      </c>
      <c r="E119" s="79" t="n">
        <v>-80</v>
      </c>
    </row>
    <row r="120" customFormat="false" ht="12.75" hidden="false" customHeight="false" outlineLevel="0" collapsed="false">
      <c r="A120" s="90" t="n">
        <v>45464</v>
      </c>
      <c r="B120" s="3" t="s">
        <v>545</v>
      </c>
      <c r="E120" s="79" t="n">
        <v>-105</v>
      </c>
    </row>
    <row r="121" customFormat="false" ht="12.75" hidden="false" customHeight="false" outlineLevel="0" collapsed="false">
      <c r="A121" s="90" t="n">
        <v>45464</v>
      </c>
      <c r="B121" s="3" t="s">
        <v>546</v>
      </c>
      <c r="E121" s="79" t="n">
        <v>-800</v>
      </c>
    </row>
    <row r="122" customFormat="false" ht="12.75" hidden="false" customHeight="false" outlineLevel="0" collapsed="false">
      <c r="A122" s="90" t="n">
        <v>45464</v>
      </c>
      <c r="B122" s="3" t="s">
        <v>547</v>
      </c>
      <c r="E122" s="79" t="n">
        <v>-277.5</v>
      </c>
    </row>
    <row r="123" customFormat="false" ht="12.75" hidden="false" customHeight="false" outlineLevel="0" collapsed="false">
      <c r="A123" s="90" t="n">
        <v>45465</v>
      </c>
      <c r="B123" s="3" t="s">
        <v>548</v>
      </c>
      <c r="E123" s="79" t="n">
        <v>-200</v>
      </c>
    </row>
    <row r="124" customFormat="false" ht="12.75" hidden="false" customHeight="false" outlineLevel="0" collapsed="false">
      <c r="A124" s="90" t="n">
        <v>45466</v>
      </c>
      <c r="B124" s="3" t="s">
        <v>549</v>
      </c>
      <c r="E124" s="79" t="n">
        <v>-689.5</v>
      </c>
    </row>
    <row r="125" customFormat="false" ht="12.75" hidden="false" customHeight="false" outlineLevel="0" collapsed="false">
      <c r="A125" s="90" t="n">
        <v>45466</v>
      </c>
      <c r="B125" s="3" t="s">
        <v>184</v>
      </c>
      <c r="E125" s="79" t="n">
        <v>-500</v>
      </c>
    </row>
    <row r="126" customFormat="false" ht="12.75" hidden="false" customHeight="false" outlineLevel="0" collapsed="false">
      <c r="A126" s="90" t="n">
        <v>45466</v>
      </c>
      <c r="B126" s="3" t="s">
        <v>550</v>
      </c>
      <c r="E126" s="79" t="n">
        <v>-650</v>
      </c>
    </row>
    <row r="127" customFormat="false" ht="12.75" hidden="false" customHeight="false" outlineLevel="0" collapsed="false">
      <c r="A127" s="90" t="n">
        <v>45466</v>
      </c>
      <c r="B127" s="3" t="s">
        <v>551</v>
      </c>
      <c r="E127" s="79" t="n">
        <v>-134.33</v>
      </c>
    </row>
    <row r="128" customFormat="false" ht="12.75" hidden="false" customHeight="false" outlineLevel="0" collapsed="false">
      <c r="A128" s="90" t="n">
        <v>45467</v>
      </c>
      <c r="B128" s="3" t="s">
        <v>552</v>
      </c>
      <c r="E128" s="79" t="n">
        <v>-28.05</v>
      </c>
    </row>
    <row r="129" customFormat="false" ht="12.75" hidden="false" customHeight="false" outlineLevel="0" collapsed="false">
      <c r="A129" s="90" t="n">
        <v>45467</v>
      </c>
      <c r="B129" s="3" t="s">
        <v>553</v>
      </c>
      <c r="E129" s="79" t="n">
        <v>-28.05</v>
      </c>
    </row>
    <row r="130" customFormat="false" ht="12.75" hidden="false" customHeight="false" outlineLevel="0" collapsed="false">
      <c r="A130" s="90" t="n">
        <v>45467</v>
      </c>
      <c r="B130" s="3" t="s">
        <v>554</v>
      </c>
      <c r="E130" s="79" t="n">
        <v>-186.98</v>
      </c>
    </row>
    <row r="131" customFormat="false" ht="13.8" hidden="false" customHeight="false" outlineLevel="0" collapsed="false">
      <c r="B131" s="18" t="s">
        <v>427</v>
      </c>
      <c r="C131" s="3" t="n">
        <f aca="false">SUM(C86:C130)</f>
        <v>3320</v>
      </c>
      <c r="E131" s="107" t="s">
        <v>84</v>
      </c>
    </row>
    <row r="132" customFormat="false" ht="12.75" hidden="false" customHeight="false" outlineLevel="0" collapsed="false">
      <c r="B132" s="3" t="s">
        <v>555</v>
      </c>
    </row>
    <row r="133" customFormat="false" ht="12.75" hidden="false" customHeight="false" outlineLevel="0" collapsed="false">
      <c r="A133" s="117" t="s">
        <v>556</v>
      </c>
      <c r="B133" s="106" t="s">
        <v>139</v>
      </c>
      <c r="C133" s="105" t="n">
        <v>2024</v>
      </c>
      <c r="D133" s="163"/>
      <c r="E133" s="164" t="n">
        <f aca="false">SUM(E134:E154)</f>
        <v>981303.727228</v>
      </c>
    </row>
    <row r="134" customFormat="false" ht="12.75" hidden="false" customHeight="false" outlineLevel="0" collapsed="false">
      <c r="A134" s="165" t="n">
        <v>45474</v>
      </c>
      <c r="B134" s="8" t="s">
        <v>77</v>
      </c>
      <c r="C134" s="2"/>
      <c r="D134" s="2"/>
      <c r="E134" s="2" t="n">
        <v>64000</v>
      </c>
    </row>
    <row r="135" customFormat="false" ht="12.75" hidden="false" customHeight="false" outlineLevel="0" collapsed="false">
      <c r="A135" s="165" t="n">
        <f aca="false">A134</f>
        <v>45474</v>
      </c>
      <c r="B135" s="8" t="s">
        <v>387</v>
      </c>
      <c r="C135" s="2"/>
      <c r="D135" s="2"/>
      <c r="E135" s="2" t="n">
        <v>150845</v>
      </c>
    </row>
    <row r="136" customFormat="false" ht="12.75" hidden="false" customHeight="false" outlineLevel="0" collapsed="false">
      <c r="A136" s="165" t="n">
        <f aca="false">A135</f>
        <v>45474</v>
      </c>
      <c r="B136" s="8" t="s">
        <v>309</v>
      </c>
      <c r="C136" s="2"/>
      <c r="D136" s="2"/>
      <c r="E136" s="17" t="n">
        <v>12712.47</v>
      </c>
    </row>
    <row r="137" customFormat="false" ht="12.75" hidden="false" customHeight="false" outlineLevel="0" collapsed="false">
      <c r="A137" s="165" t="n">
        <f aca="false">A136</f>
        <v>45474</v>
      </c>
      <c r="B137" s="8" t="s">
        <v>310</v>
      </c>
      <c r="C137" s="2"/>
      <c r="D137" s="2"/>
      <c r="E137" s="17" t="n">
        <v>0</v>
      </c>
    </row>
    <row r="138" customFormat="false" ht="12.75" hidden="false" customHeight="false" outlineLevel="0" collapsed="false">
      <c r="A138" s="165" t="n">
        <f aca="false">A137</f>
        <v>45474</v>
      </c>
      <c r="B138" s="8" t="s">
        <v>507</v>
      </c>
      <c r="C138" s="2"/>
      <c r="D138" s="2"/>
      <c r="E138" s="17" t="n">
        <v>0</v>
      </c>
    </row>
    <row r="139" customFormat="false" ht="12.75" hidden="false" customHeight="false" outlineLevel="0" collapsed="false">
      <c r="A139" s="165" t="n">
        <f aca="false">A138</f>
        <v>45474</v>
      </c>
      <c r="B139" s="8" t="s">
        <v>311</v>
      </c>
      <c r="C139" s="129"/>
      <c r="D139" s="2"/>
      <c r="E139" s="17" t="n">
        <v>0</v>
      </c>
    </row>
    <row r="140" customFormat="false" ht="12.75" hidden="false" customHeight="false" outlineLevel="0" collapsed="false">
      <c r="A140" s="165" t="n">
        <f aca="false">A139</f>
        <v>45474</v>
      </c>
      <c r="B140" s="8" t="s">
        <v>245</v>
      </c>
      <c r="C140" s="2" t="n">
        <v>74</v>
      </c>
      <c r="D140" s="179" t="n">
        <v>677.539422</v>
      </c>
      <c r="E140" s="17" t="n">
        <f aca="false">D140*C140</f>
        <v>50137.917228</v>
      </c>
    </row>
    <row r="141" customFormat="false" ht="12.75" hidden="false" customHeight="false" outlineLevel="0" collapsed="false">
      <c r="A141" s="165" t="n">
        <f aca="false">A140</f>
        <v>45474</v>
      </c>
      <c r="B141" s="8" t="s">
        <v>508</v>
      </c>
      <c r="C141" s="180" t="n">
        <v>125000</v>
      </c>
      <c r="D141" s="179" t="n">
        <v>0.83507</v>
      </c>
      <c r="E141" s="17" t="n">
        <f aca="false">D141*C141</f>
        <v>104383.75</v>
      </c>
    </row>
    <row r="142" customFormat="false" ht="12.75" hidden="false" customHeight="false" outlineLevel="0" collapsed="false">
      <c r="A142" s="165" t="n">
        <f aca="false">A141</f>
        <v>45474</v>
      </c>
      <c r="B142" s="8" t="s">
        <v>509</v>
      </c>
      <c r="C142" s="2" t="n">
        <v>10</v>
      </c>
      <c r="D142" s="2" t="n">
        <v>123.7</v>
      </c>
      <c r="E142" s="17" t="n">
        <f aca="false">D142*C142</f>
        <v>1237</v>
      </c>
    </row>
    <row r="143" customFormat="false" ht="12.75" hidden="false" customHeight="false" outlineLevel="0" collapsed="false">
      <c r="A143" s="165" t="n">
        <f aca="false">A142</f>
        <v>45474</v>
      </c>
      <c r="B143" s="8" t="s">
        <v>510</v>
      </c>
      <c r="C143" s="2" t="n">
        <v>38</v>
      </c>
      <c r="D143" s="2" t="n">
        <v>22.78</v>
      </c>
      <c r="E143" s="17" t="n">
        <f aca="false">D143*C143</f>
        <v>865.64</v>
      </c>
    </row>
    <row r="144" customFormat="false" ht="12.75" hidden="false" customHeight="false" outlineLevel="0" collapsed="false">
      <c r="A144" s="165" t="n">
        <f aca="false">A143</f>
        <v>45474</v>
      </c>
      <c r="B144" s="8" t="s">
        <v>511</v>
      </c>
      <c r="C144" s="2" t="n">
        <v>26</v>
      </c>
      <c r="D144" s="2" t="n">
        <v>27.26</v>
      </c>
      <c r="E144" s="17" t="n">
        <f aca="false">D144*C144</f>
        <v>708.76</v>
      </c>
    </row>
    <row r="145" customFormat="false" ht="12.75" hidden="false" customHeight="false" outlineLevel="0" collapsed="false">
      <c r="A145" s="165" t="n">
        <f aca="false">A144</f>
        <v>45474</v>
      </c>
      <c r="B145" s="8" t="s">
        <v>143</v>
      </c>
      <c r="C145" s="2"/>
      <c r="D145" s="2"/>
      <c r="E145" s="17" t="n">
        <f aca="false">D145*C145</f>
        <v>0</v>
      </c>
    </row>
    <row r="146" customFormat="false" ht="12.75" hidden="false" customHeight="false" outlineLevel="0" collapsed="false">
      <c r="A146" s="165" t="n">
        <f aca="false">A145</f>
        <v>45474</v>
      </c>
      <c r="B146" s="8" t="s">
        <v>389</v>
      </c>
      <c r="C146" s="2" t="n">
        <v>7500</v>
      </c>
      <c r="D146" s="2" t="n">
        <v>24.5</v>
      </c>
      <c r="E146" s="17" t="n">
        <f aca="false">D146*C146</f>
        <v>183750</v>
      </c>
    </row>
    <row r="147" customFormat="false" ht="12.75" hidden="false" customHeight="false" outlineLevel="0" collapsed="false">
      <c r="A147" s="165" t="n">
        <f aca="false">A146</f>
        <v>45474</v>
      </c>
      <c r="C147" s="2"/>
      <c r="D147" s="2"/>
      <c r="E147" s="17" t="n">
        <f aca="false">D147*C147</f>
        <v>0</v>
      </c>
    </row>
    <row r="148" customFormat="false" ht="12.75" hidden="false" customHeight="false" outlineLevel="0" collapsed="false">
      <c r="A148" s="165" t="n">
        <f aca="false">A147</f>
        <v>45474</v>
      </c>
      <c r="C148" s="2"/>
      <c r="D148" s="2"/>
      <c r="E148" s="17" t="n">
        <f aca="false">D148*C148</f>
        <v>0</v>
      </c>
    </row>
    <row r="149" customFormat="false" ht="12.75" hidden="false" customHeight="false" outlineLevel="0" collapsed="false">
      <c r="A149" s="165" t="n">
        <f aca="false">A148</f>
        <v>45474</v>
      </c>
      <c r="B149" s="8" t="s">
        <v>512</v>
      </c>
      <c r="C149" s="2" t="n">
        <v>2375.02</v>
      </c>
      <c r="D149" s="2" t="n">
        <v>156</v>
      </c>
      <c r="E149" s="17" t="n">
        <f aca="false">D149*C149</f>
        <v>370503.12</v>
      </c>
    </row>
    <row r="150" customFormat="false" ht="12.75" hidden="false" customHeight="false" outlineLevel="0" collapsed="false">
      <c r="A150" s="165" t="n">
        <f aca="false">A149</f>
        <v>45474</v>
      </c>
      <c r="B150" s="8" t="s">
        <v>513</v>
      </c>
      <c r="C150" s="167" t="n">
        <v>31.9637</v>
      </c>
      <c r="D150" s="2" t="n">
        <v>850</v>
      </c>
      <c r="E150" s="17" t="n">
        <f aca="false">D150*C150</f>
        <v>27169.145</v>
      </c>
    </row>
    <row r="151" customFormat="false" ht="12.75" hidden="false" customHeight="false" outlineLevel="0" collapsed="false">
      <c r="A151" s="165" t="n">
        <f aca="false">A150</f>
        <v>45474</v>
      </c>
      <c r="B151" s="8" t="s">
        <v>514</v>
      </c>
      <c r="C151" s="167" t="n">
        <f aca="false">C150</f>
        <v>31.9637</v>
      </c>
      <c r="D151" s="2" t="n">
        <v>250</v>
      </c>
      <c r="E151" s="17" t="n">
        <f aca="false">D151*C151</f>
        <v>7990.925</v>
      </c>
    </row>
    <row r="152" customFormat="false" ht="12.75" hidden="false" customHeight="false" outlineLevel="0" collapsed="false">
      <c r="A152" s="165" t="n">
        <f aca="false">A151</f>
        <v>45474</v>
      </c>
      <c r="B152" s="8" t="s">
        <v>515</v>
      </c>
      <c r="C152" s="167" t="n">
        <v>34.4121</v>
      </c>
      <c r="D152" s="2" t="n">
        <v>0</v>
      </c>
      <c r="E152" s="17" t="n">
        <f aca="false">D152*C152</f>
        <v>0</v>
      </c>
    </row>
    <row r="153" customFormat="false" ht="12.75" hidden="false" customHeight="false" outlineLevel="0" collapsed="false">
      <c r="A153" s="165" t="n">
        <f aca="false">A152</f>
        <v>45474</v>
      </c>
      <c r="B153" s="8" t="s">
        <v>155</v>
      </c>
      <c r="C153" s="2"/>
      <c r="D153" s="2"/>
      <c r="E153" s="17" t="n">
        <v>3000</v>
      </c>
    </row>
    <row r="154" customFormat="false" ht="12.75" hidden="false" customHeight="false" outlineLevel="0" collapsed="false">
      <c r="A154" s="165" t="n">
        <f aca="false">A153</f>
        <v>45474</v>
      </c>
      <c r="B154" s="8" t="s">
        <v>156</v>
      </c>
      <c r="C154" s="2"/>
      <c r="D154" s="2"/>
      <c r="E154" s="17" t="n">
        <v>4000</v>
      </c>
    </row>
    <row r="155" customFormat="false" ht="12.75" hidden="false" customHeight="false" outlineLevel="0" collapsed="false">
      <c r="E155" s="181"/>
    </row>
    <row r="156" customFormat="false" ht="12.75" hidden="false" customHeight="false" outlineLevel="0" collapsed="false">
      <c r="C156" s="129"/>
      <c r="D156" s="3"/>
      <c r="E156" s="129"/>
    </row>
    <row r="157" customFormat="false" ht="12.75" hidden="false" customHeight="false" outlineLevel="0" collapsed="false">
      <c r="C157" s="129"/>
      <c r="D157" s="18" t="s">
        <v>158</v>
      </c>
      <c r="E157" s="9" t="n">
        <f aca="false">SUM(E134:E154)</f>
        <v>981303.727228</v>
      </c>
    </row>
    <row r="158" customFormat="false" ht="12.75" hidden="false" customHeight="false" outlineLevel="0" collapsed="false">
      <c r="C158" s="130" t="str">
        <f aca="false">A133</f>
        <v>TEMMUZa</v>
      </c>
      <c r="D158" s="131" t="s">
        <v>159</v>
      </c>
      <c r="E158" s="132" t="n">
        <f aca="false">H2</f>
        <v>-59987.47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H139"/>
  <sheetViews>
    <sheetView showFormulas="false" showGridLines="true" showRowColHeaders="true" showZeros="true" rightToLeft="false" tabSelected="false" showOutlineSymbols="true" defaultGridColor="true" view="normal" topLeftCell="A1" colorId="64" zoomScale="170" zoomScaleNormal="170" zoomScalePageLayoutView="100" workbookViewId="0">
      <selection pane="topLeft" activeCell="B31" activeCellId="0" sqref="B31"/>
    </sheetView>
  </sheetViews>
  <sheetFormatPr defaultColWidth="12.2929687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79" width="11.57"/>
    <col collapsed="false" customWidth="false" hidden="false" outlineLevel="0" max="8" min="5" style="79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79" t="s">
        <v>28</v>
      </c>
      <c r="G1" s="79" t="s">
        <v>29</v>
      </c>
      <c r="H1" s="79" t="s">
        <v>3</v>
      </c>
    </row>
    <row r="2" customFormat="false" ht="12.75" hidden="false" customHeight="false" outlineLevel="0" collapsed="false">
      <c r="A2" s="3" t="s">
        <v>557</v>
      </c>
      <c r="C2" s="81" t="s">
        <v>67</v>
      </c>
      <c r="D2" s="79" t="n">
        <f aca="false">SUM(D4:D36)</f>
        <v>33500</v>
      </c>
      <c r="E2" s="79" t="n">
        <f aca="false">SUM(E4:E36)</f>
        <v>-77377.563693</v>
      </c>
      <c r="F2" s="79" t="n">
        <f aca="false">SUM(F4:F36)</f>
        <v>13427.62</v>
      </c>
      <c r="G2" s="79" t="n">
        <f aca="false">SUM(G4:G36)</f>
        <v>-97778.153693</v>
      </c>
      <c r="H2" s="79" t="n">
        <f aca="false">F2+G2</f>
        <v>-84350.533693</v>
      </c>
    </row>
    <row r="3" customFormat="false" ht="12.75" hidden="false" customHeight="false" outlineLevel="0" collapsed="false">
      <c r="B3" s="18"/>
    </row>
    <row r="4" customFormat="false" ht="12.75" hidden="false" customHeight="false" outlineLevel="0" collapsed="false">
      <c r="A4" s="0" t="n">
        <v>29.5</v>
      </c>
      <c r="B4" s="42" t="s">
        <v>434</v>
      </c>
      <c r="E4" s="80" t="n">
        <v>-152</v>
      </c>
      <c r="F4" s="80"/>
      <c r="G4" s="80" t="n">
        <v>-166.9</v>
      </c>
      <c r="H4" s="80" t="n">
        <f aca="false">H3+F4+G4</f>
        <v>-166.9</v>
      </c>
    </row>
    <row r="5" customFormat="false" ht="12.75" hidden="false" customHeight="false" outlineLevel="0" collapsed="false">
      <c r="B5" s="103" t="s">
        <v>558</v>
      </c>
      <c r="C5" s="103" t="s">
        <v>361</v>
      </c>
      <c r="E5" s="80" t="n">
        <v>-250</v>
      </c>
      <c r="F5" s="80"/>
      <c r="G5" s="80" t="n">
        <f aca="false">E5</f>
        <v>-250</v>
      </c>
      <c r="H5" s="80" t="n">
        <f aca="false">H4+F5+G5</f>
        <v>-416.9</v>
      </c>
    </row>
    <row r="6" customFormat="false" ht="12.75" hidden="false" customHeight="false" outlineLevel="0" collapsed="false">
      <c r="A6" s="0" t="n">
        <v>29.5</v>
      </c>
      <c r="B6" s="103" t="s">
        <v>75</v>
      </c>
      <c r="C6" s="103" t="s">
        <v>332</v>
      </c>
      <c r="E6" s="80" t="n">
        <v>-150</v>
      </c>
      <c r="F6" s="80"/>
      <c r="G6" s="80" t="n">
        <v>-47.4</v>
      </c>
      <c r="H6" s="80" t="n">
        <f aca="false">H5+F6+G6</f>
        <v>-464.3</v>
      </c>
    </row>
    <row r="7" customFormat="false" ht="12.75" hidden="false" customHeight="false" outlineLevel="0" collapsed="false">
      <c r="A7" s="170" t="n">
        <v>45446</v>
      </c>
      <c r="B7" s="182" t="s">
        <v>69</v>
      </c>
      <c r="D7" s="80"/>
      <c r="E7" s="80" t="n">
        <f aca="false">E65</f>
        <v>-19997.71</v>
      </c>
      <c r="F7" s="80"/>
      <c r="G7" s="80" t="n">
        <f aca="false">E7</f>
        <v>-19997.71</v>
      </c>
      <c r="H7" s="80" t="n">
        <f aca="false">H6+F7+G7</f>
        <v>-20462.01</v>
      </c>
    </row>
    <row r="8" customFormat="false" ht="12.75" hidden="false" customHeight="false" outlineLevel="0" collapsed="false">
      <c r="A8" s="170" t="n">
        <v>45446</v>
      </c>
      <c r="B8" s="182" t="s">
        <v>559</v>
      </c>
      <c r="D8" s="80"/>
      <c r="E8" s="80"/>
      <c r="F8" s="80"/>
      <c r="G8" s="80" t="n">
        <v>-7860.53</v>
      </c>
      <c r="H8" s="80" t="n">
        <f aca="false">H7+F8+G8</f>
        <v>-28322.54</v>
      </c>
    </row>
    <row r="9" customFormat="false" ht="12.75" hidden="false" customHeight="false" outlineLevel="0" collapsed="false">
      <c r="A9" s="170" t="n">
        <v>45447</v>
      </c>
      <c r="B9" s="182" t="s">
        <v>560</v>
      </c>
      <c r="D9" s="80"/>
      <c r="E9" s="80"/>
      <c r="F9" s="80"/>
      <c r="G9" s="80" t="n">
        <v>-11998.63</v>
      </c>
      <c r="H9" s="80" t="n">
        <f aca="false">H8+F9+G9</f>
        <v>-40321.17</v>
      </c>
    </row>
    <row r="10" customFormat="false" ht="12.75" hidden="false" customHeight="false" outlineLevel="0" collapsed="false">
      <c r="A10" s="90" t="n">
        <v>45447</v>
      </c>
      <c r="B10" s="182" t="s">
        <v>68</v>
      </c>
      <c r="D10" s="80"/>
      <c r="E10" s="80" t="n">
        <f aca="false">E50</f>
        <v>-4300.09</v>
      </c>
      <c r="F10" s="80"/>
      <c r="G10" s="80" t="n">
        <v>-4300.09</v>
      </c>
      <c r="H10" s="80" t="n">
        <f aca="false">H9+F10+G10</f>
        <v>-44621.26</v>
      </c>
    </row>
    <row r="11" customFormat="false" ht="12.75" hidden="false" customHeight="false" outlineLevel="0" collapsed="false">
      <c r="A11" s="90" t="n">
        <v>45447</v>
      </c>
      <c r="B11" s="182" t="s">
        <v>561</v>
      </c>
      <c r="C11" s="0" t="n">
        <v>227.87</v>
      </c>
      <c r="D11" s="80"/>
      <c r="E11" s="80" t="n">
        <f aca="false">-1*C11*C12</f>
        <v>-8090.273693</v>
      </c>
      <c r="F11" s="80"/>
      <c r="G11" s="80" t="n">
        <f aca="false">E11</f>
        <v>-8090.273693</v>
      </c>
      <c r="H11" s="80" t="n">
        <f aca="false">H10+F11+G11</f>
        <v>-52711.533693</v>
      </c>
    </row>
    <row r="12" customFormat="false" ht="12.75" hidden="false" customHeight="false" outlineLevel="0" collapsed="false">
      <c r="A12" s="90" t="n">
        <v>45447</v>
      </c>
      <c r="B12" s="182" t="s">
        <v>562</v>
      </c>
      <c r="C12" s="0" t="n">
        <v>35.5039</v>
      </c>
      <c r="D12" s="80"/>
      <c r="E12" s="80"/>
      <c r="F12" s="80"/>
      <c r="G12" s="80"/>
      <c r="H12" s="80" t="n">
        <f aca="false">H11+F12+G12</f>
        <v>-52711.533693</v>
      </c>
    </row>
    <row r="13" customFormat="false" ht="12.75" hidden="false" customHeight="false" outlineLevel="0" collapsed="false">
      <c r="A13" s="90" t="n">
        <v>45447</v>
      </c>
      <c r="B13" s="103" t="s">
        <v>563</v>
      </c>
      <c r="C13" s="103"/>
      <c r="D13" s="80"/>
      <c r="E13" s="80" t="n">
        <v>-1500</v>
      </c>
      <c r="F13" s="80"/>
      <c r="G13" s="80" t="n">
        <v>-1512.13</v>
      </c>
      <c r="H13" s="80" t="n">
        <f aca="false">H12+F13+G13</f>
        <v>-54223.663693</v>
      </c>
    </row>
    <row r="14" customFormat="false" ht="12.75" hidden="false" customHeight="false" outlineLevel="0" collapsed="false">
      <c r="A14" s="90" t="n">
        <v>45450</v>
      </c>
      <c r="B14" s="8" t="s">
        <v>403</v>
      </c>
      <c r="E14" s="80" t="n">
        <v>-10000</v>
      </c>
      <c r="F14" s="80"/>
      <c r="G14" s="80" t="n">
        <f aca="false">E14</f>
        <v>-10000</v>
      </c>
      <c r="H14" s="80" t="n">
        <f aca="false">H13+F14+G14</f>
        <v>-64223.663693</v>
      </c>
    </row>
    <row r="15" customFormat="false" ht="12.75" hidden="false" customHeight="false" outlineLevel="0" collapsed="false">
      <c r="A15" s="90" t="n">
        <v>45450</v>
      </c>
      <c r="B15" s="103" t="s">
        <v>564</v>
      </c>
      <c r="C15" s="103"/>
      <c r="E15" s="80" t="n">
        <v>-7500</v>
      </c>
      <c r="F15" s="80"/>
      <c r="G15" s="80" t="n">
        <f aca="false">E15</f>
        <v>-7500</v>
      </c>
      <c r="H15" s="80" t="n">
        <f aca="false">H14+F15+G15</f>
        <v>-71723.663693</v>
      </c>
    </row>
    <row r="16" customFormat="false" ht="12.75" hidden="false" customHeight="false" outlineLevel="0" collapsed="false">
      <c r="A16" s="90" t="n">
        <v>45450</v>
      </c>
      <c r="B16" s="103" t="s">
        <v>565</v>
      </c>
      <c r="C16" s="103"/>
      <c r="E16" s="80" t="n">
        <v>-10000</v>
      </c>
      <c r="F16" s="80"/>
      <c r="G16" s="80" t="n">
        <f aca="false">E16</f>
        <v>-10000</v>
      </c>
      <c r="H16" s="80" t="n">
        <f aca="false">H15+F16+G16</f>
        <v>-81723.663693</v>
      </c>
    </row>
    <row r="17" customFormat="false" ht="12.75" hidden="false" customHeight="false" outlineLevel="0" collapsed="false">
      <c r="A17" s="90"/>
      <c r="B17" s="103" t="s">
        <v>566</v>
      </c>
      <c r="C17" s="103"/>
      <c r="G17" s="80" t="n">
        <v>-700</v>
      </c>
      <c r="H17" s="80" t="n">
        <f aca="false">H16+F17+G17</f>
        <v>-82423.663693</v>
      </c>
    </row>
    <row r="18" customFormat="false" ht="12.75" hidden="false" customHeight="false" outlineLevel="0" collapsed="false">
      <c r="A18" s="90"/>
      <c r="B18" s="103"/>
      <c r="C18" s="103"/>
      <c r="H18" s="80" t="n">
        <f aca="false">H17+F18+G18</f>
        <v>-82423.663693</v>
      </c>
    </row>
    <row r="19" customFormat="false" ht="12.75" hidden="false" customHeight="false" outlineLevel="0" collapsed="false">
      <c r="A19" s="90" t="n">
        <v>45454</v>
      </c>
      <c r="B19" s="103" t="s">
        <v>567</v>
      </c>
      <c r="C19" s="103"/>
      <c r="D19" s="80"/>
      <c r="E19" s="80"/>
      <c r="F19" s="80" t="n">
        <v>3000</v>
      </c>
      <c r="G19" s="80"/>
      <c r="H19" s="80" t="n">
        <f aca="false">H18+F19+G19</f>
        <v>-79423.663693</v>
      </c>
    </row>
    <row r="20" customFormat="false" ht="12" hidden="false" customHeight="true" outlineLevel="0" collapsed="false">
      <c r="A20" s="90" t="n">
        <v>45454</v>
      </c>
      <c r="B20" s="182" t="s">
        <v>72</v>
      </c>
      <c r="D20" s="80"/>
      <c r="E20" s="80" t="n">
        <f aca="false">E47*-1</f>
        <v>-37.49</v>
      </c>
      <c r="F20" s="80"/>
      <c r="G20" s="80" t="n">
        <v>-37.49</v>
      </c>
      <c r="H20" s="80" t="n">
        <f aca="false">H19+F20+G20</f>
        <v>-79461.153693</v>
      </c>
    </row>
    <row r="21" customFormat="false" ht="12.75" hidden="false" customHeight="false" outlineLevel="0" collapsed="false">
      <c r="A21" s="90" t="n">
        <v>45463</v>
      </c>
      <c r="B21" s="108" t="s">
        <v>73</v>
      </c>
      <c r="C21" s="108" t="s">
        <v>332</v>
      </c>
      <c r="D21" s="80"/>
      <c r="E21" s="80" t="n">
        <v>-300</v>
      </c>
      <c r="F21" s="80"/>
      <c r="G21" s="80" t="n">
        <v>-305</v>
      </c>
      <c r="H21" s="80" t="n">
        <f aca="false">H20+F21+G21</f>
        <v>-79766.153693</v>
      </c>
    </row>
    <row r="22" customFormat="false" ht="12.75" hidden="false" customHeight="false" outlineLevel="0" collapsed="false">
      <c r="A22" s="90" t="n">
        <v>45463</v>
      </c>
      <c r="B22" s="108" t="s">
        <v>74</v>
      </c>
      <c r="C22" s="108" t="s">
        <v>332</v>
      </c>
      <c r="D22" s="80"/>
      <c r="E22" s="80" t="n">
        <v>-100</v>
      </c>
      <c r="F22" s="80"/>
      <c r="G22" s="80" t="n">
        <v>0</v>
      </c>
      <c r="H22" s="80" t="n">
        <f aca="false">H21+F22+G22</f>
        <v>-79766.153693</v>
      </c>
    </row>
    <row r="23" customFormat="false" ht="12.75" hidden="false" customHeight="false" outlineLevel="0" collapsed="false">
      <c r="H23" s="80" t="n">
        <f aca="false">H22+F23+G23</f>
        <v>-79766.153693</v>
      </c>
    </row>
    <row r="24" customFormat="false" ht="12.75" hidden="false" customHeight="false" outlineLevel="0" collapsed="false">
      <c r="A24" s="90"/>
      <c r="B24" s="103"/>
      <c r="C24" s="103"/>
      <c r="H24" s="80" t="n">
        <f aca="false">H23+F24+G24</f>
        <v>-79766.153693</v>
      </c>
    </row>
    <row r="25" customFormat="false" ht="12.75" hidden="false" customHeight="false" outlineLevel="0" collapsed="false">
      <c r="A25" s="90"/>
      <c r="B25" s="103"/>
      <c r="C25" s="103"/>
      <c r="H25" s="80" t="n">
        <f aca="false">H24+F25+G25</f>
        <v>-79766.153693</v>
      </c>
    </row>
    <row r="26" customFormat="false" ht="12.75" hidden="false" customHeight="false" outlineLevel="0" collapsed="false">
      <c r="H26" s="80" t="n">
        <f aca="false">H25+F26+G26</f>
        <v>-79766.153693</v>
      </c>
    </row>
    <row r="27" customFormat="false" ht="12.75" hidden="false" customHeight="false" outlineLevel="0" collapsed="false">
      <c r="A27" s="90" t="n">
        <v>45476</v>
      </c>
      <c r="B27" s="8" t="s">
        <v>77</v>
      </c>
      <c r="D27" s="80"/>
      <c r="E27" s="80" t="n">
        <v>-5000</v>
      </c>
      <c r="F27" s="80"/>
      <c r="G27" s="80" t="n">
        <v>-5006</v>
      </c>
      <c r="H27" s="80" t="n">
        <f aca="false">H26+F27+G27</f>
        <v>-84772.153693</v>
      </c>
    </row>
    <row r="28" customFormat="false" ht="12.75" hidden="false" customHeight="false" outlineLevel="0" collapsed="false">
      <c r="A28" s="90" t="n">
        <v>45476</v>
      </c>
      <c r="B28" s="8" t="s">
        <v>78</v>
      </c>
      <c r="D28" s="80"/>
      <c r="E28" s="80" t="n">
        <v>-5000</v>
      </c>
      <c r="F28" s="80"/>
      <c r="G28" s="80" t="n">
        <v>-5006</v>
      </c>
      <c r="H28" s="80" t="n">
        <f aca="false">H27+F28+G28</f>
        <v>-89778.153693</v>
      </c>
    </row>
    <row r="29" customFormat="false" ht="12.75" hidden="false" customHeight="false" outlineLevel="0" collapsed="false">
      <c r="B29" s="0" t="s">
        <v>79</v>
      </c>
      <c r="D29" s="80"/>
      <c r="E29" s="80" t="n">
        <v>-5000</v>
      </c>
      <c r="F29" s="80"/>
      <c r="G29" s="80" t="n">
        <v>-5000</v>
      </c>
      <c r="H29" s="80" t="n">
        <f aca="false">H28+F29+G29</f>
        <v>-94778.153693</v>
      </c>
    </row>
    <row r="30" customFormat="false" ht="12.75" hidden="false" customHeight="false" outlineLevel="0" collapsed="false">
      <c r="D30" s="80"/>
      <c r="E30" s="80"/>
      <c r="F30" s="80"/>
      <c r="G30" s="80"/>
      <c r="H30" s="80" t="n">
        <f aca="false">H29+F30+G30</f>
        <v>-94778.153693</v>
      </c>
    </row>
    <row r="31" customFormat="false" ht="12.75" hidden="false" customHeight="false" outlineLevel="0" collapsed="false">
      <c r="B31" s="0" t="s">
        <v>76</v>
      </c>
      <c r="D31" s="80" t="n">
        <v>10000</v>
      </c>
      <c r="E31" s="80"/>
      <c r="F31" s="80" t="n">
        <v>10427.62</v>
      </c>
      <c r="G31" s="80"/>
      <c r="H31" s="80" t="n">
        <f aca="false">H30+F31+G31</f>
        <v>-84350.533693</v>
      </c>
    </row>
    <row r="32" customFormat="false" ht="12.75" hidden="false" customHeight="false" outlineLevel="0" collapsed="false">
      <c r="A32" s="102"/>
      <c r="B32" s="175" t="s">
        <v>518</v>
      </c>
      <c r="C32" s="175"/>
      <c r="D32" s="172" t="n">
        <v>15000</v>
      </c>
      <c r="E32" s="80"/>
      <c r="F32" s="80"/>
      <c r="G32" s="80"/>
      <c r="H32" s="80" t="n">
        <f aca="false">H31+F32+G32</f>
        <v>-84350.533693</v>
      </c>
    </row>
    <row r="33" customFormat="false" ht="12.75" hidden="false" customHeight="false" outlineLevel="0" collapsed="false">
      <c r="A33" s="90" t="n">
        <v>45351</v>
      </c>
      <c r="B33" s="175" t="s">
        <v>445</v>
      </c>
      <c r="C33" s="175"/>
      <c r="D33" s="188" t="n">
        <v>8500</v>
      </c>
      <c r="E33" s="80"/>
      <c r="F33" s="80"/>
      <c r="G33" s="80"/>
      <c r="H33" s="80" t="n">
        <f aca="false">H32+F33+G33</f>
        <v>-84350.533693</v>
      </c>
    </row>
    <row r="34" customFormat="false" ht="12.75" hidden="false" customHeight="false" outlineLevel="0" collapsed="false">
      <c r="D34" s="80"/>
      <c r="E34" s="80"/>
      <c r="F34" s="80"/>
      <c r="G34" s="80"/>
      <c r="H34" s="80" t="n">
        <f aca="false">H33+F34+G34</f>
        <v>-84350.533693</v>
      </c>
    </row>
    <row r="36" customFormat="false" ht="15" hidden="false" customHeight="false" outlineLevel="0" collapsed="false">
      <c r="B36" s="184"/>
    </row>
    <row r="38" customFormat="false" ht="12.75" hidden="false" customHeight="false" outlineLevel="0" collapsed="false">
      <c r="B38" s="0" t="s">
        <v>334</v>
      </c>
    </row>
    <row r="39" customFormat="false" ht="12.75" hidden="false" customHeight="false" outlineLevel="0" collapsed="false">
      <c r="A39" s="105" t="s">
        <v>335</v>
      </c>
      <c r="B39" s="105"/>
      <c r="C39" s="105"/>
    </row>
    <row r="40" customFormat="false" ht="12.75" hidden="false" customHeight="false" outlineLevel="0" collapsed="false">
      <c r="A40" s="102"/>
      <c r="C40" s="176"/>
    </row>
    <row r="41" customFormat="false" ht="12.75" hidden="false" customHeight="false" outlineLevel="0" collapsed="false">
      <c r="A41" s="177" t="n">
        <v>44929</v>
      </c>
      <c r="B41" s="178" t="s">
        <v>336</v>
      </c>
      <c r="C41" s="105"/>
      <c r="D41" s="79" t="n">
        <f aca="false">SUM(D42:D47)</f>
        <v>5394.16</v>
      </c>
      <c r="E41" s="79" t="n">
        <f aca="false">SUM(E42:E47)</f>
        <v>4605.33</v>
      </c>
    </row>
    <row r="42" customFormat="false" ht="12.75" hidden="false" customHeight="false" outlineLevel="0" collapsed="false">
      <c r="A42" s="102"/>
      <c r="B42" s="108" t="s">
        <v>337</v>
      </c>
      <c r="D42" s="79" t="n">
        <v>468.65</v>
      </c>
    </row>
    <row r="43" customFormat="false" ht="12.75" hidden="false" customHeight="false" outlineLevel="0" collapsed="false">
      <c r="B43" s="0" t="s">
        <v>338</v>
      </c>
      <c r="D43" s="79" t="n">
        <v>1257.73</v>
      </c>
      <c r="E43" s="79" t="n">
        <v>1260</v>
      </c>
    </row>
    <row r="44" customFormat="false" ht="12.75" hidden="false" customHeight="false" outlineLevel="0" collapsed="false">
      <c r="B44" s="0" t="s">
        <v>568</v>
      </c>
      <c r="C44" s="0" t="s">
        <v>569</v>
      </c>
      <c r="D44" s="79" t="n">
        <v>919.84</v>
      </c>
      <c r="E44" s="79" t="n">
        <v>919.84</v>
      </c>
    </row>
    <row r="45" customFormat="false" ht="12.75" hidden="false" customHeight="false" outlineLevel="0" collapsed="false">
      <c r="B45" s="0" t="s">
        <v>340</v>
      </c>
      <c r="D45" s="79" t="n">
        <v>2358.03</v>
      </c>
      <c r="E45" s="79" t="n">
        <v>2358</v>
      </c>
    </row>
    <row r="46" customFormat="false" ht="12.75" hidden="false" customHeight="false" outlineLevel="0" collapsed="false">
      <c r="B46" s="0" t="s">
        <v>341</v>
      </c>
      <c r="D46" s="79" t="n">
        <v>352.42</v>
      </c>
      <c r="E46" s="79" t="n">
        <v>30</v>
      </c>
    </row>
    <row r="47" customFormat="false" ht="12.75" hidden="false" customHeight="false" outlineLevel="0" collapsed="false">
      <c r="B47" s="0" t="s">
        <v>342</v>
      </c>
      <c r="C47" s="108"/>
      <c r="D47" s="79" t="n">
        <v>37.49</v>
      </c>
      <c r="E47" s="79" t="n">
        <v>37.49</v>
      </c>
    </row>
    <row r="48" customFormat="false" ht="12.75" hidden="false" customHeight="false" outlineLevel="0" collapsed="false">
      <c r="B48" s="0" t="n">
        <v>-4625</v>
      </c>
      <c r="C48" s="108"/>
    </row>
    <row r="49" customFormat="false" ht="12.75" hidden="false" customHeight="false" outlineLevel="0" collapsed="false">
      <c r="B49" s="104"/>
    </row>
    <row r="50" customFormat="false" ht="12.75" hidden="false" customHeight="false" outlineLevel="0" collapsed="false">
      <c r="A50" s="105"/>
      <c r="B50" s="106" t="s">
        <v>83</v>
      </c>
      <c r="C50" s="105"/>
      <c r="E50" s="79" t="n">
        <f aca="false">SUM(E51:E62)</f>
        <v>-4300.09</v>
      </c>
    </row>
    <row r="52" customFormat="false" ht="12.75" hidden="false" customHeight="false" outlineLevel="0" collapsed="false">
      <c r="A52" s="102"/>
      <c r="B52" s="108"/>
      <c r="C52" s="108"/>
    </row>
    <row r="53" customFormat="false" ht="12.75" hidden="false" customHeight="false" outlineLevel="0" collapsed="false">
      <c r="A53" s="102" t="n">
        <v>45187</v>
      </c>
      <c r="B53" s="108" t="s">
        <v>570</v>
      </c>
      <c r="C53" s="108" t="n">
        <v>7648.33</v>
      </c>
      <c r="D53" s="79" t="s">
        <v>571</v>
      </c>
      <c r="E53" s="79" t="n">
        <v>-849.85</v>
      </c>
      <c r="F53" s="79" t="n">
        <v>0</v>
      </c>
    </row>
    <row r="54" customFormat="false" ht="12.75" hidden="false" customHeight="false" outlineLevel="0" collapsed="false">
      <c r="A54" s="90" t="n">
        <v>45348</v>
      </c>
      <c r="B54" s="8" t="s">
        <v>448</v>
      </c>
      <c r="C54" s="0" t="n">
        <v>1406</v>
      </c>
      <c r="D54" s="79" t="s">
        <v>572</v>
      </c>
      <c r="E54" s="79" t="n">
        <v>-234.33</v>
      </c>
      <c r="F54" s="79" t="n">
        <v>0</v>
      </c>
    </row>
    <row r="55" customFormat="false" ht="12.75" hidden="false" customHeight="false" outlineLevel="0" collapsed="false">
      <c r="A55" s="90" t="n">
        <v>45373</v>
      </c>
      <c r="B55" s="8" t="s">
        <v>343</v>
      </c>
      <c r="C55" s="0" t="n">
        <v>10176.39</v>
      </c>
      <c r="D55" s="79" t="s">
        <v>573</v>
      </c>
      <c r="E55" s="79" t="n">
        <v>-1130.71</v>
      </c>
      <c r="F55" s="79" t="n">
        <v>0</v>
      </c>
    </row>
    <row r="56" customFormat="false" ht="12.75" hidden="false" customHeight="false" outlineLevel="0" collapsed="false">
      <c r="A56" s="90" t="n">
        <v>45375</v>
      </c>
      <c r="B56" s="8" t="s">
        <v>345</v>
      </c>
      <c r="C56" s="0" t="n">
        <v>5999</v>
      </c>
      <c r="D56" s="79" t="s">
        <v>573</v>
      </c>
      <c r="E56" s="79" t="n">
        <v>-666.56</v>
      </c>
      <c r="F56" s="79" t="n">
        <v>0</v>
      </c>
    </row>
    <row r="57" customFormat="false" ht="12.75" hidden="false" customHeight="false" outlineLevel="0" collapsed="false">
      <c r="A57" s="90" t="n">
        <v>45358</v>
      </c>
      <c r="B57" s="8" t="s">
        <v>451</v>
      </c>
      <c r="C57" s="0" t="n">
        <v>2273</v>
      </c>
      <c r="D57" s="79" t="s">
        <v>572</v>
      </c>
      <c r="E57" s="79" t="n">
        <v>-378.87</v>
      </c>
      <c r="F57" s="79" t="n">
        <v>0</v>
      </c>
    </row>
    <row r="58" customFormat="false" ht="12.75" hidden="false" customHeight="false" outlineLevel="0" collapsed="false">
      <c r="A58" s="90" t="n">
        <v>45371</v>
      </c>
      <c r="B58" s="8" t="s">
        <v>452</v>
      </c>
      <c r="D58" s="79" t="s">
        <v>572</v>
      </c>
      <c r="E58" s="79" t="n">
        <v>101.77</v>
      </c>
    </row>
    <row r="59" customFormat="false" ht="12.75" hidden="false" customHeight="false" outlineLevel="0" collapsed="false">
      <c r="A59" s="90"/>
    </row>
    <row r="60" customFormat="false" ht="12.75" hidden="false" customHeight="false" outlineLevel="0" collapsed="false">
      <c r="A60" s="102" t="n">
        <v>45418</v>
      </c>
      <c r="B60" s="109" t="s">
        <v>574</v>
      </c>
      <c r="C60" s="108"/>
      <c r="E60" s="79" t="n">
        <v>-251.54</v>
      </c>
      <c r="F60" s="79" t="n">
        <v>0</v>
      </c>
    </row>
    <row r="61" customFormat="false" ht="12.75" hidden="false" customHeight="false" outlineLevel="0" collapsed="false">
      <c r="A61" s="102" t="n">
        <v>45418</v>
      </c>
      <c r="B61" s="109" t="s">
        <v>575</v>
      </c>
      <c r="E61" s="79" t="n">
        <v>-890</v>
      </c>
      <c r="F61" s="79" t="n">
        <v>0</v>
      </c>
    </row>
    <row r="62" customFormat="false" ht="13.8" hidden="false" customHeight="false" outlineLevel="0" collapsed="false">
      <c r="A62" s="102" t="n">
        <v>45418</v>
      </c>
      <c r="B62" s="109" t="s">
        <v>132</v>
      </c>
      <c r="C62" s="108" t="n">
        <v>4278.51</v>
      </c>
      <c r="D62" s="187"/>
      <c r="E62" s="107" t="s">
        <v>84</v>
      </c>
    </row>
    <row r="63" customFormat="false" ht="12.75" hidden="false" customHeight="false" outlineLevel="0" collapsed="false">
      <c r="A63" s="102"/>
      <c r="B63" s="3"/>
    </row>
    <row r="64" customFormat="false" ht="12.75" hidden="false" customHeight="false" outlineLevel="0" collapsed="false">
      <c r="A64" s="102"/>
      <c r="B64" s="108"/>
      <c r="C64" s="108"/>
    </row>
    <row r="65" customFormat="false" ht="12.75" hidden="false" customHeight="false" outlineLevel="0" collapsed="false">
      <c r="A65" s="105"/>
      <c r="B65" s="106" t="s">
        <v>85</v>
      </c>
      <c r="C65" s="105"/>
      <c r="D65" s="79" t="n">
        <v>19997.71</v>
      </c>
      <c r="E65" s="79" t="n">
        <f aca="false">SUM(E66:E114)</f>
        <v>-19997.71</v>
      </c>
      <c r="F65" s="79" t="n">
        <f aca="false">D65+E65</f>
        <v>0</v>
      </c>
    </row>
    <row r="66" customFormat="false" ht="12.75" hidden="false" customHeight="false" outlineLevel="0" collapsed="false">
      <c r="A66" s="102"/>
      <c r="B66" s="108"/>
      <c r="C66" s="108"/>
    </row>
    <row r="67" customFormat="false" ht="12.75" hidden="false" customHeight="false" outlineLevel="0" collapsed="false">
      <c r="A67" s="170" t="n">
        <v>45285</v>
      </c>
      <c r="B67" s="108" t="s">
        <v>530</v>
      </c>
      <c r="C67" s="108"/>
      <c r="D67" s="79" t="s">
        <v>576</v>
      </c>
      <c r="E67" s="79" t="n">
        <v>-3551.66</v>
      </c>
    </row>
    <row r="68" customFormat="false" ht="14.9" hidden="false" customHeight="false" outlineLevel="0" collapsed="false">
      <c r="A68" s="102"/>
      <c r="B68" s="3" t="s">
        <v>486</v>
      </c>
      <c r="C68" s="108"/>
      <c r="D68" s="79" t="s">
        <v>577</v>
      </c>
      <c r="E68" s="79" t="n">
        <v>-649.78</v>
      </c>
    </row>
    <row r="69" customFormat="false" ht="12.75" hidden="false" customHeight="false" outlineLevel="0" collapsed="false">
      <c r="A69" s="102"/>
      <c r="B69" s="3" t="s">
        <v>488</v>
      </c>
      <c r="C69" s="108" t="n">
        <v>49.98</v>
      </c>
      <c r="D69" s="79" t="s">
        <v>577</v>
      </c>
    </row>
    <row r="70" customFormat="false" ht="12.75" hidden="false" customHeight="false" outlineLevel="0" collapsed="false">
      <c r="A70" s="102"/>
      <c r="B70" s="3"/>
      <c r="C70" s="108"/>
    </row>
    <row r="71" customFormat="false" ht="12.75" hidden="false" customHeight="false" outlineLevel="0" collapsed="false">
      <c r="A71" s="102" t="n">
        <v>45408</v>
      </c>
      <c r="B71" s="3" t="s">
        <v>578</v>
      </c>
      <c r="C71" s="108"/>
      <c r="E71" s="79" t="n">
        <v>-1407.23</v>
      </c>
    </row>
    <row r="72" customFormat="false" ht="12.75" hidden="false" customHeight="false" outlineLevel="0" collapsed="false">
      <c r="A72" s="102" t="n">
        <v>45420</v>
      </c>
      <c r="B72" s="3" t="s">
        <v>543</v>
      </c>
      <c r="C72" s="108" t="n">
        <v>300</v>
      </c>
    </row>
    <row r="73" customFormat="false" ht="12.75" hidden="false" customHeight="false" outlineLevel="0" collapsed="false">
      <c r="A73" s="102" t="n">
        <v>45426</v>
      </c>
      <c r="B73" s="3" t="s">
        <v>579</v>
      </c>
      <c r="C73" s="108"/>
      <c r="E73" s="79" t="n">
        <v>-1469</v>
      </c>
    </row>
    <row r="74" customFormat="false" ht="12.75" hidden="false" customHeight="false" outlineLevel="0" collapsed="false">
      <c r="A74" s="102" t="n">
        <v>45426</v>
      </c>
      <c r="B74" s="3" t="s">
        <v>580</v>
      </c>
      <c r="C74" s="108"/>
      <c r="E74" s="79" t="n">
        <v>-1453</v>
      </c>
    </row>
    <row r="75" customFormat="false" ht="12.75" hidden="false" customHeight="false" outlineLevel="0" collapsed="false">
      <c r="A75" s="102" t="n">
        <v>45427</v>
      </c>
      <c r="B75" s="3" t="s">
        <v>581</v>
      </c>
      <c r="C75" s="108"/>
      <c r="E75" s="79" t="n">
        <v>905.5</v>
      </c>
    </row>
    <row r="76" customFormat="false" ht="12.75" hidden="false" customHeight="false" outlineLevel="0" collapsed="false">
      <c r="A76" s="102"/>
      <c r="C76" s="108"/>
    </row>
    <row r="77" customFormat="false" ht="12.75" hidden="false" customHeight="false" outlineLevel="0" collapsed="false">
      <c r="A77" s="102" t="n">
        <v>45407</v>
      </c>
      <c r="B77" s="3" t="s">
        <v>582</v>
      </c>
      <c r="C77" s="108"/>
      <c r="E77" s="79" t="n">
        <v>-800</v>
      </c>
      <c r="F77" s="79" t="n">
        <v>0</v>
      </c>
    </row>
    <row r="78" customFormat="false" ht="12.75" hidden="false" customHeight="false" outlineLevel="0" collapsed="false">
      <c r="A78" s="102" t="n">
        <v>45408</v>
      </c>
      <c r="B78" s="3" t="s">
        <v>583</v>
      </c>
      <c r="C78" s="108"/>
      <c r="E78" s="79" t="n">
        <v>-550</v>
      </c>
      <c r="F78" s="79" t="n">
        <v>0</v>
      </c>
    </row>
    <row r="79" customFormat="false" ht="12.75" hidden="false" customHeight="false" outlineLevel="0" collapsed="false">
      <c r="A79" s="102" t="n">
        <v>45411</v>
      </c>
      <c r="B79" s="3" t="s">
        <v>584</v>
      </c>
      <c r="C79" s="108"/>
      <c r="E79" s="79" t="n">
        <v>-70</v>
      </c>
      <c r="F79" s="79" t="n">
        <v>0</v>
      </c>
    </row>
    <row r="80" customFormat="false" ht="12.75" hidden="false" customHeight="false" outlineLevel="0" collapsed="false">
      <c r="A80" s="102" t="n">
        <v>45412</v>
      </c>
      <c r="B80" s="3" t="s">
        <v>585</v>
      </c>
      <c r="C80" s="108" t="s">
        <v>586</v>
      </c>
      <c r="D80" s="79" t="n">
        <f aca="false">E80</f>
        <v>-250</v>
      </c>
      <c r="E80" s="79" t="n">
        <v>-250</v>
      </c>
      <c r="F80" s="79" t="n">
        <v>0</v>
      </c>
    </row>
    <row r="81" customFormat="false" ht="12.75" hidden="false" customHeight="false" outlineLevel="0" collapsed="false">
      <c r="A81" s="102" t="n">
        <v>45412</v>
      </c>
      <c r="B81" s="3" t="s">
        <v>587</v>
      </c>
      <c r="C81" s="108"/>
      <c r="E81" s="79" t="n">
        <v>-1508</v>
      </c>
      <c r="F81" s="79" t="n">
        <v>0</v>
      </c>
    </row>
    <row r="82" customFormat="false" ht="12.75" hidden="false" customHeight="false" outlineLevel="0" collapsed="false">
      <c r="A82" s="102" t="n">
        <v>45412</v>
      </c>
      <c r="B82" s="3" t="s">
        <v>588</v>
      </c>
      <c r="C82" s="108"/>
      <c r="E82" s="79" t="n">
        <v>-70</v>
      </c>
      <c r="F82" s="79" t="n">
        <v>0</v>
      </c>
    </row>
    <row r="83" customFormat="false" ht="12.75" hidden="false" customHeight="false" outlineLevel="0" collapsed="false">
      <c r="A83" s="102" t="n">
        <v>45413</v>
      </c>
      <c r="B83" s="3" t="s">
        <v>589</v>
      </c>
      <c r="C83" s="108"/>
      <c r="E83" s="79" t="n">
        <v>-516</v>
      </c>
      <c r="F83" s="79" t="n">
        <v>0</v>
      </c>
    </row>
    <row r="84" customFormat="false" ht="12.75" hidden="false" customHeight="false" outlineLevel="0" collapsed="false">
      <c r="A84" s="102" t="n">
        <v>45413</v>
      </c>
      <c r="B84" s="3" t="s">
        <v>590</v>
      </c>
      <c r="C84" s="108"/>
      <c r="E84" s="79" t="n">
        <v>-150</v>
      </c>
      <c r="F84" s="79" t="n">
        <v>0</v>
      </c>
    </row>
    <row r="85" customFormat="false" ht="12.75" hidden="false" customHeight="false" outlineLevel="0" collapsed="false">
      <c r="A85" s="102" t="n">
        <v>45413</v>
      </c>
      <c r="B85" s="3" t="s">
        <v>590</v>
      </c>
      <c r="C85" s="108"/>
      <c r="E85" s="79" t="n">
        <v>-150</v>
      </c>
      <c r="F85" s="79" t="n">
        <v>0</v>
      </c>
    </row>
    <row r="86" customFormat="false" ht="12.75" hidden="false" customHeight="false" outlineLevel="0" collapsed="false">
      <c r="A86" s="102" t="n">
        <v>45413</v>
      </c>
      <c r="B86" s="3" t="s">
        <v>534</v>
      </c>
      <c r="C86" s="108"/>
      <c r="E86" s="79" t="n">
        <v>-530</v>
      </c>
      <c r="F86" s="79" t="n">
        <v>0</v>
      </c>
    </row>
    <row r="87" customFormat="false" ht="12.75" hidden="false" customHeight="false" outlineLevel="0" collapsed="false">
      <c r="A87" s="102" t="n">
        <v>45418</v>
      </c>
      <c r="B87" s="3" t="s">
        <v>132</v>
      </c>
      <c r="C87" s="108" t="n">
        <v>23491.02</v>
      </c>
    </row>
    <row r="88" customFormat="false" ht="12.75" hidden="false" customHeight="false" outlineLevel="0" collapsed="false">
      <c r="A88" s="102" t="n">
        <v>45420</v>
      </c>
      <c r="B88" s="3" t="s">
        <v>418</v>
      </c>
      <c r="C88" s="108"/>
      <c r="E88" s="79" t="n">
        <v>-518.4</v>
      </c>
      <c r="F88" s="79" t="n">
        <v>0</v>
      </c>
    </row>
    <row r="89" customFormat="false" ht="12.75" hidden="false" customHeight="false" outlineLevel="0" collapsed="false">
      <c r="A89" s="102" t="n">
        <v>45422</v>
      </c>
      <c r="B89" s="3" t="s">
        <v>591</v>
      </c>
      <c r="C89" s="108"/>
      <c r="E89" s="79" t="n">
        <v>-80</v>
      </c>
      <c r="F89" s="79" t="n">
        <v>0</v>
      </c>
    </row>
    <row r="90" customFormat="false" ht="12.75" hidden="false" customHeight="false" outlineLevel="0" collapsed="false">
      <c r="A90" s="102" t="n">
        <v>45424</v>
      </c>
      <c r="B90" s="3" t="s">
        <v>418</v>
      </c>
      <c r="C90" s="108"/>
      <c r="E90" s="79" t="n">
        <v>-173.82</v>
      </c>
      <c r="F90" s="79" t="n">
        <v>0</v>
      </c>
    </row>
    <row r="91" customFormat="false" ht="12.75" hidden="false" customHeight="false" outlineLevel="0" collapsed="false">
      <c r="A91" s="102" t="n">
        <v>45425</v>
      </c>
      <c r="B91" s="3" t="s">
        <v>585</v>
      </c>
      <c r="C91" s="108" t="s">
        <v>586</v>
      </c>
      <c r="D91" s="79" t="n">
        <f aca="false">E91</f>
        <v>-200</v>
      </c>
      <c r="E91" s="79" t="n">
        <v>-200</v>
      </c>
      <c r="F91" s="79" t="n">
        <v>0</v>
      </c>
    </row>
    <row r="92" customFormat="false" ht="12.75" hidden="false" customHeight="false" outlineLevel="0" collapsed="false">
      <c r="A92" s="102" t="n">
        <v>45426</v>
      </c>
      <c r="B92" s="3" t="s">
        <v>585</v>
      </c>
      <c r="C92" s="108" t="s">
        <v>586</v>
      </c>
      <c r="D92" s="79" t="n">
        <f aca="false">E92</f>
        <v>-300</v>
      </c>
      <c r="E92" s="79" t="n">
        <v>-300</v>
      </c>
      <c r="F92" s="79" t="n">
        <v>0</v>
      </c>
    </row>
    <row r="93" customFormat="false" ht="12.75" hidden="false" customHeight="false" outlineLevel="0" collapsed="false">
      <c r="A93" s="102" t="n">
        <v>45426</v>
      </c>
      <c r="B93" s="3" t="s">
        <v>592</v>
      </c>
      <c r="C93" s="108"/>
      <c r="E93" s="79" t="n">
        <v>-600</v>
      </c>
      <c r="F93" s="79" t="n">
        <v>0</v>
      </c>
    </row>
    <row r="94" customFormat="false" ht="12.75" hidden="false" customHeight="false" outlineLevel="0" collapsed="false">
      <c r="A94" s="102" t="n">
        <v>45427</v>
      </c>
      <c r="B94" s="3" t="s">
        <v>593</v>
      </c>
      <c r="C94" s="108" t="n">
        <v>95.08</v>
      </c>
      <c r="F94" s="79" t="n">
        <v>0</v>
      </c>
    </row>
    <row r="95" customFormat="false" ht="12.75" hidden="false" customHeight="false" outlineLevel="0" collapsed="false">
      <c r="A95" s="90" t="n">
        <v>45427</v>
      </c>
      <c r="B95" s="3" t="s">
        <v>594</v>
      </c>
      <c r="E95" s="79" t="n">
        <v>-1123.15</v>
      </c>
      <c r="F95" s="79" t="n">
        <v>0</v>
      </c>
    </row>
    <row r="96" customFormat="false" ht="12.75" hidden="false" customHeight="false" outlineLevel="0" collapsed="false">
      <c r="A96" s="90" t="n">
        <v>45427</v>
      </c>
      <c r="B96" s="3" t="s">
        <v>595</v>
      </c>
      <c r="C96" s="0" t="n">
        <v>1.26</v>
      </c>
      <c r="F96" s="79" t="n">
        <v>0</v>
      </c>
    </row>
    <row r="97" customFormat="false" ht="12.75" hidden="false" customHeight="false" outlineLevel="0" collapsed="false">
      <c r="A97" s="90" t="n">
        <v>45427</v>
      </c>
      <c r="B97" s="3" t="s">
        <v>596</v>
      </c>
      <c r="E97" s="79" t="n">
        <v>-16</v>
      </c>
      <c r="F97" s="79" t="n">
        <v>0</v>
      </c>
    </row>
    <row r="98" customFormat="false" ht="12.75" hidden="false" customHeight="false" outlineLevel="0" collapsed="false">
      <c r="A98" s="90" t="n">
        <v>45427</v>
      </c>
      <c r="B98" s="3" t="s">
        <v>597</v>
      </c>
      <c r="E98" s="79" t="n">
        <v>-375</v>
      </c>
      <c r="F98" s="79" t="n">
        <v>0</v>
      </c>
    </row>
    <row r="99" customFormat="false" ht="12.75" hidden="false" customHeight="false" outlineLevel="0" collapsed="false">
      <c r="A99" s="90" t="n">
        <v>45427</v>
      </c>
      <c r="B99" s="3" t="s">
        <v>596</v>
      </c>
      <c r="E99" s="79" t="n">
        <v>-11.5</v>
      </c>
      <c r="F99" s="79" t="n">
        <v>0</v>
      </c>
    </row>
    <row r="100" customFormat="false" ht="12.75" hidden="false" customHeight="false" outlineLevel="0" collapsed="false">
      <c r="A100" s="90" t="n">
        <v>45428</v>
      </c>
      <c r="B100" s="3" t="s">
        <v>598</v>
      </c>
      <c r="E100" s="79" t="n">
        <v>-500</v>
      </c>
      <c r="F100" s="79" t="n">
        <v>0</v>
      </c>
    </row>
    <row r="101" customFormat="false" ht="12.75" hidden="false" customHeight="false" outlineLevel="0" collapsed="false">
      <c r="A101" s="90" t="n">
        <v>45428</v>
      </c>
      <c r="B101" s="3" t="s">
        <v>599</v>
      </c>
      <c r="E101" s="79" t="n">
        <v>-594.68</v>
      </c>
      <c r="F101" s="79" t="n">
        <v>0</v>
      </c>
    </row>
    <row r="102" customFormat="false" ht="12.75" hidden="false" customHeight="false" outlineLevel="0" collapsed="false">
      <c r="A102" s="90" t="n">
        <v>45430</v>
      </c>
      <c r="B102" s="3" t="s">
        <v>599</v>
      </c>
      <c r="E102" s="79" t="n">
        <v>-169.99</v>
      </c>
      <c r="F102" s="79" t="n">
        <v>0</v>
      </c>
    </row>
    <row r="103" customFormat="false" ht="12.75" hidden="false" customHeight="false" outlineLevel="0" collapsed="false">
      <c r="A103" s="90" t="n">
        <v>45430</v>
      </c>
      <c r="B103" s="3" t="s">
        <v>600</v>
      </c>
      <c r="E103" s="79" t="n">
        <v>-330</v>
      </c>
      <c r="F103" s="79" t="n">
        <v>0</v>
      </c>
    </row>
    <row r="104" customFormat="false" ht="12.75" hidden="false" customHeight="false" outlineLevel="0" collapsed="false">
      <c r="A104" s="90" t="n">
        <v>45430</v>
      </c>
      <c r="B104" s="3" t="s">
        <v>599</v>
      </c>
      <c r="E104" s="79" t="n">
        <v>-139.9</v>
      </c>
      <c r="F104" s="79" t="n">
        <v>0</v>
      </c>
    </row>
    <row r="105" customFormat="false" ht="12.75" hidden="false" customHeight="false" outlineLevel="0" collapsed="false">
      <c r="A105" s="90" t="n">
        <v>45430</v>
      </c>
      <c r="B105" s="3" t="s">
        <v>598</v>
      </c>
      <c r="E105" s="79" t="n">
        <v>-500</v>
      </c>
      <c r="F105" s="79" t="n">
        <v>0</v>
      </c>
    </row>
    <row r="106" customFormat="false" ht="12.75" hidden="false" customHeight="false" outlineLevel="0" collapsed="false">
      <c r="A106" s="90" t="n">
        <v>45431</v>
      </c>
      <c r="B106" s="3" t="s">
        <v>601</v>
      </c>
      <c r="E106" s="79" t="n">
        <v>-266</v>
      </c>
      <c r="F106" s="79" t="n">
        <v>0</v>
      </c>
    </row>
    <row r="107" customFormat="false" ht="12.75" hidden="false" customHeight="false" outlineLevel="0" collapsed="false">
      <c r="A107" s="90" t="n">
        <v>45432</v>
      </c>
      <c r="B107" s="3" t="s">
        <v>601</v>
      </c>
      <c r="E107" s="79" t="n">
        <v>-22.1</v>
      </c>
      <c r="F107" s="79" t="n">
        <v>0</v>
      </c>
    </row>
    <row r="108" customFormat="false" ht="12.75" hidden="false" customHeight="false" outlineLevel="0" collapsed="false">
      <c r="A108" s="90" t="n">
        <v>45432</v>
      </c>
      <c r="B108" s="3" t="s">
        <v>596</v>
      </c>
      <c r="E108" s="79" t="n">
        <v>-11.5</v>
      </c>
      <c r="F108" s="79" t="n">
        <v>0</v>
      </c>
    </row>
    <row r="109" customFormat="false" ht="12.75" hidden="false" customHeight="false" outlineLevel="0" collapsed="false">
      <c r="A109" s="90" t="n">
        <v>45432</v>
      </c>
      <c r="B109" s="3" t="s">
        <v>597</v>
      </c>
      <c r="E109" s="79" t="n">
        <v>-335</v>
      </c>
      <c r="F109" s="79" t="n">
        <v>0</v>
      </c>
    </row>
    <row r="110" customFormat="false" ht="12.75" hidden="false" customHeight="false" outlineLevel="0" collapsed="false">
      <c r="A110" s="90" t="n">
        <v>45432</v>
      </c>
      <c r="B110" s="3" t="s">
        <v>596</v>
      </c>
      <c r="E110" s="79" t="n">
        <v>-11.5</v>
      </c>
      <c r="F110" s="79" t="n">
        <v>0</v>
      </c>
    </row>
    <row r="111" customFormat="false" ht="12.75" hidden="false" customHeight="false" outlineLevel="0" collapsed="false">
      <c r="A111" s="90" t="n">
        <v>45432</v>
      </c>
      <c r="B111" s="3" t="s">
        <v>602</v>
      </c>
      <c r="E111" s="79" t="n">
        <v>-650</v>
      </c>
      <c r="F111" s="79" t="n">
        <v>0</v>
      </c>
    </row>
    <row r="112" customFormat="false" ht="12.75" hidden="false" customHeight="false" outlineLevel="0" collapsed="false">
      <c r="A112" s="90" t="n">
        <v>45435</v>
      </c>
      <c r="B112" s="3" t="s">
        <v>585</v>
      </c>
      <c r="C112" s="8" t="s">
        <v>586</v>
      </c>
      <c r="D112" s="79" t="n">
        <f aca="false">E112</f>
        <v>-300</v>
      </c>
      <c r="E112" s="79" t="n">
        <v>-300</v>
      </c>
      <c r="F112" s="79" t="n">
        <v>0</v>
      </c>
    </row>
    <row r="113" customFormat="false" ht="12.75" hidden="false" customHeight="false" outlineLevel="0" collapsed="false">
      <c r="A113" s="90" t="n">
        <v>45435</v>
      </c>
      <c r="B113" s="3" t="s">
        <v>603</v>
      </c>
      <c r="E113" s="79" t="n">
        <v>-550</v>
      </c>
      <c r="F113" s="79" t="n">
        <v>0</v>
      </c>
    </row>
    <row r="114" customFormat="false" ht="13.8" hidden="false" customHeight="false" outlineLevel="0" collapsed="false">
      <c r="A114" s="90"/>
      <c r="B114" s="3"/>
      <c r="C114" s="189" t="s">
        <v>427</v>
      </c>
      <c r="D114" s="190" t="n">
        <f aca="false">SUM(D79:D113)</f>
        <v>-1050</v>
      </c>
      <c r="E114" s="107" t="s">
        <v>84</v>
      </c>
    </row>
    <row r="115" customFormat="false" ht="12.75" hidden="false" customHeight="false" outlineLevel="0" collapsed="false">
      <c r="A115" s="90"/>
      <c r="B115" s="3"/>
    </row>
    <row r="116" customFormat="false" ht="12.75" hidden="false" customHeight="false" outlineLevel="0" collapsed="false">
      <c r="A116" s="90"/>
      <c r="B116" s="3"/>
    </row>
    <row r="117" customFormat="false" ht="12.75" hidden="false" customHeight="false" outlineLevel="0" collapsed="false">
      <c r="A117" s="90"/>
      <c r="B117" s="3"/>
    </row>
    <row r="118" customFormat="false" ht="12.75" hidden="false" customHeight="false" outlineLevel="0" collapsed="false">
      <c r="A118" s="117" t="s">
        <v>604</v>
      </c>
      <c r="B118" s="106" t="s">
        <v>139</v>
      </c>
      <c r="C118" s="105" t="n">
        <v>2024</v>
      </c>
      <c r="D118" s="163"/>
      <c r="E118" s="164" t="n">
        <f aca="false">SUM(E119:E135)</f>
        <v>794302.16</v>
      </c>
    </row>
    <row r="119" customFormat="false" ht="12.75" hidden="false" customHeight="false" outlineLevel="0" collapsed="false">
      <c r="A119" s="165" t="n">
        <v>45413</v>
      </c>
      <c r="B119" s="8" t="s">
        <v>77</v>
      </c>
      <c r="C119" s="2"/>
      <c r="D119" s="2"/>
      <c r="E119" s="2" t="n">
        <v>64000</v>
      </c>
    </row>
    <row r="120" customFormat="false" ht="12.75" hidden="false" customHeight="false" outlineLevel="0" collapsed="false">
      <c r="A120" s="165" t="n">
        <f aca="false">A119</f>
        <v>45413</v>
      </c>
      <c r="B120" s="8" t="s">
        <v>387</v>
      </c>
      <c r="C120" s="2"/>
      <c r="D120" s="2"/>
      <c r="E120" s="2" t="n">
        <v>150845</v>
      </c>
    </row>
    <row r="121" customFormat="false" ht="12.75" hidden="false" customHeight="false" outlineLevel="0" collapsed="false">
      <c r="A121" s="165" t="n">
        <f aca="false">A120</f>
        <v>45413</v>
      </c>
      <c r="B121" s="8" t="s">
        <v>309</v>
      </c>
      <c r="C121" s="2"/>
      <c r="D121" s="2"/>
      <c r="E121" s="17" t="n">
        <v>4148.61</v>
      </c>
    </row>
    <row r="122" customFormat="false" ht="12.75" hidden="false" customHeight="false" outlineLevel="0" collapsed="false">
      <c r="A122" s="165" t="n">
        <f aca="false">A121</f>
        <v>45413</v>
      </c>
      <c r="B122" s="8" t="s">
        <v>310</v>
      </c>
      <c r="C122" s="2"/>
      <c r="D122" s="2"/>
      <c r="E122" s="17" t="n">
        <v>0</v>
      </c>
    </row>
    <row r="123" customFormat="false" ht="12.75" hidden="false" customHeight="false" outlineLevel="0" collapsed="false">
      <c r="A123" s="165" t="n">
        <f aca="false">A122</f>
        <v>45413</v>
      </c>
      <c r="B123" s="8" t="s">
        <v>507</v>
      </c>
      <c r="C123" s="2"/>
      <c r="D123" s="2"/>
      <c r="E123" s="17" t="n">
        <v>0</v>
      </c>
    </row>
    <row r="124" customFormat="false" ht="12.75" hidden="false" customHeight="false" outlineLevel="0" collapsed="false">
      <c r="A124" s="165" t="n">
        <f aca="false">A123</f>
        <v>45413</v>
      </c>
      <c r="B124" s="8" t="s">
        <v>311</v>
      </c>
      <c r="C124" s="129"/>
      <c r="D124" s="2"/>
      <c r="E124" s="17" t="n">
        <v>0</v>
      </c>
    </row>
    <row r="125" customFormat="false" ht="12.75" hidden="false" customHeight="false" outlineLevel="0" collapsed="false">
      <c r="A125" s="165" t="n">
        <f aca="false">A124</f>
        <v>45413</v>
      </c>
      <c r="B125" s="8" t="s">
        <v>245</v>
      </c>
      <c r="C125" s="2"/>
      <c r="D125" s="2"/>
      <c r="E125" s="17" t="n">
        <v>0</v>
      </c>
    </row>
    <row r="126" customFormat="false" ht="12.75" hidden="false" customHeight="false" outlineLevel="0" collapsed="false">
      <c r="A126" s="165" t="n">
        <f aca="false">A125</f>
        <v>45413</v>
      </c>
      <c r="B126" s="8" t="s">
        <v>508</v>
      </c>
      <c r="C126" s="180" t="n">
        <v>125000</v>
      </c>
      <c r="D126" s="2" t="n">
        <v>0.880976</v>
      </c>
      <c r="E126" s="17" t="n">
        <f aca="false">D126*C126</f>
        <v>110122</v>
      </c>
    </row>
    <row r="127" customFormat="false" ht="12.75" hidden="false" customHeight="false" outlineLevel="0" collapsed="false">
      <c r="A127" s="165" t="n">
        <f aca="false">A126</f>
        <v>45413</v>
      </c>
      <c r="B127" s="8" t="s">
        <v>509</v>
      </c>
      <c r="C127" s="2" t="n">
        <v>10</v>
      </c>
      <c r="D127" s="2" t="n">
        <v>122</v>
      </c>
      <c r="E127" s="17" t="n">
        <f aca="false">D127*C127</f>
        <v>1220</v>
      </c>
    </row>
    <row r="128" customFormat="false" ht="12.75" hidden="false" customHeight="false" outlineLevel="0" collapsed="false">
      <c r="A128" s="165" t="n">
        <f aca="false">A126</f>
        <v>45413</v>
      </c>
      <c r="B128" s="8" t="s">
        <v>143</v>
      </c>
      <c r="C128" s="2"/>
      <c r="D128" s="2"/>
      <c r="E128" s="17" t="n">
        <v>450</v>
      </c>
    </row>
    <row r="129" customFormat="false" ht="12.75" hidden="false" customHeight="false" outlineLevel="0" collapsed="false">
      <c r="A129" s="165" t="n">
        <f aca="false">A128</f>
        <v>45413</v>
      </c>
      <c r="B129" s="8" t="s">
        <v>389</v>
      </c>
      <c r="C129" s="2" t="n">
        <v>2500</v>
      </c>
      <c r="D129" s="2" t="n">
        <v>24.5</v>
      </c>
      <c r="E129" s="17" t="n">
        <f aca="false">D129*C129</f>
        <v>61250</v>
      </c>
    </row>
    <row r="130" customFormat="false" ht="12.75" hidden="false" customHeight="false" outlineLevel="0" collapsed="false">
      <c r="A130" s="165" t="n">
        <f aca="false">A128</f>
        <v>45413</v>
      </c>
      <c r="B130" s="8" t="s">
        <v>512</v>
      </c>
      <c r="C130" s="2" t="n">
        <v>2308.97</v>
      </c>
      <c r="D130" s="2" t="n">
        <v>156</v>
      </c>
      <c r="E130" s="17" t="n">
        <f aca="false">D130*C130</f>
        <v>360199.32</v>
      </c>
    </row>
    <row r="131" customFormat="false" ht="12.75" hidden="false" customHeight="false" outlineLevel="0" collapsed="false">
      <c r="A131" s="165" t="n">
        <f aca="false">A130</f>
        <v>45413</v>
      </c>
      <c r="B131" s="8" t="s">
        <v>605</v>
      </c>
      <c r="C131" s="167" t="n">
        <v>31.8793</v>
      </c>
      <c r="D131" s="2" t="n">
        <v>850</v>
      </c>
      <c r="E131" s="17" t="n">
        <f aca="false">D131*C131</f>
        <v>27097.405</v>
      </c>
    </row>
    <row r="132" customFormat="false" ht="12.75" hidden="false" customHeight="false" outlineLevel="0" collapsed="false">
      <c r="A132" s="165" t="n">
        <f aca="false">A131</f>
        <v>45413</v>
      </c>
      <c r="B132" s="8" t="s">
        <v>514</v>
      </c>
      <c r="C132" s="167" t="n">
        <f aca="false">C131</f>
        <v>31.8793</v>
      </c>
      <c r="D132" s="2" t="n">
        <v>250</v>
      </c>
      <c r="E132" s="17" t="n">
        <f aca="false">D132*C132</f>
        <v>7969.825</v>
      </c>
    </row>
    <row r="133" customFormat="false" ht="12.75" hidden="false" customHeight="false" outlineLevel="0" collapsed="false">
      <c r="A133" s="165" t="n">
        <f aca="false">A132</f>
        <v>45413</v>
      </c>
      <c r="B133" s="8" t="s">
        <v>606</v>
      </c>
      <c r="C133" s="167" t="n">
        <v>34.3945</v>
      </c>
      <c r="D133" s="2" t="n">
        <v>0</v>
      </c>
      <c r="E133" s="17" t="n">
        <f aca="false">D133*C133</f>
        <v>0</v>
      </c>
    </row>
    <row r="134" customFormat="false" ht="12.75" hidden="false" customHeight="false" outlineLevel="0" collapsed="false">
      <c r="A134" s="165" t="n">
        <f aca="false">A133</f>
        <v>45413</v>
      </c>
      <c r="B134" s="8" t="s">
        <v>155</v>
      </c>
      <c r="C134" s="2"/>
      <c r="D134" s="2"/>
      <c r="E134" s="17" t="n">
        <v>3000</v>
      </c>
    </row>
    <row r="135" customFormat="false" ht="12.75" hidden="false" customHeight="false" outlineLevel="0" collapsed="false">
      <c r="A135" s="165" t="n">
        <f aca="false">A134</f>
        <v>45413</v>
      </c>
      <c r="B135" s="8" t="s">
        <v>156</v>
      </c>
      <c r="C135" s="2"/>
      <c r="D135" s="2"/>
      <c r="E135" s="17" t="n">
        <v>4000</v>
      </c>
    </row>
    <row r="136" customFormat="false" ht="12.75" hidden="false" customHeight="false" outlineLevel="0" collapsed="false">
      <c r="E136" s="181"/>
    </row>
    <row r="137" customFormat="false" ht="12.75" hidden="false" customHeight="false" outlineLevel="0" collapsed="false">
      <c r="C137" s="129"/>
      <c r="D137" s="3"/>
      <c r="E137" s="129"/>
    </row>
    <row r="138" customFormat="false" ht="12.75" hidden="false" customHeight="false" outlineLevel="0" collapsed="false">
      <c r="C138" s="129"/>
      <c r="D138" s="18" t="s">
        <v>158</v>
      </c>
      <c r="E138" s="9" t="n">
        <f aca="false">SUM(E119:E135)</f>
        <v>794302.16</v>
      </c>
    </row>
    <row r="139" customFormat="false" ht="12.75" hidden="false" customHeight="false" outlineLevel="0" collapsed="false">
      <c r="C139" s="130" t="str">
        <f aca="false">A118</f>
        <v>HAZİRANa</v>
      </c>
      <c r="D139" s="131" t="s">
        <v>159</v>
      </c>
      <c r="E139" s="132" t="n">
        <f aca="false">H2</f>
        <v>-84350.533693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H122"/>
  <sheetViews>
    <sheetView showFormulas="false" showGridLines="true" showRowColHeaders="true" showZeros="true" rightToLeft="false" tabSelected="false" showOutlineSymbols="true" defaultGridColor="true" view="normal" topLeftCell="A4" colorId="64" zoomScale="170" zoomScaleNormal="170" zoomScalePageLayoutView="100" workbookViewId="0">
      <selection pane="topLeft" activeCell="B8" activeCellId="0" sqref="B8"/>
    </sheetView>
  </sheetViews>
  <sheetFormatPr defaultColWidth="12.2929687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79" width="15.86"/>
    <col collapsed="false" customWidth="true" hidden="false" outlineLevel="0" max="5" min="5" style="79" width="12.86"/>
    <col collapsed="false" customWidth="false" hidden="false" outlineLevel="0" max="8" min="6" style="79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79" t="s">
        <v>28</v>
      </c>
      <c r="G1" s="79" t="s">
        <v>29</v>
      </c>
      <c r="H1" s="79" t="s">
        <v>3</v>
      </c>
    </row>
    <row r="2" customFormat="false" ht="12.75" hidden="false" customHeight="false" outlineLevel="0" collapsed="false">
      <c r="A2" s="3" t="s">
        <v>607</v>
      </c>
      <c r="C2" s="81" t="s">
        <v>67</v>
      </c>
      <c r="D2" s="79" t="n">
        <f aca="false">SUM(D5:D26)</f>
        <v>25000</v>
      </c>
      <c r="E2" s="79" t="n">
        <f aca="false">SUM(E5:E26)</f>
        <v>-64525.01</v>
      </c>
      <c r="F2" s="79" t="n">
        <f aca="false">SUM(F5:F26)</f>
        <v>25427.62</v>
      </c>
      <c r="G2" s="79" t="n">
        <f aca="false">SUM(G5:G26)</f>
        <v>-64483.92</v>
      </c>
      <c r="H2" s="79" t="n">
        <f aca="false">F2+G2</f>
        <v>-39056.3</v>
      </c>
    </row>
    <row r="3" customFormat="false" ht="12.75" hidden="false" customHeight="false" outlineLevel="0" collapsed="false">
      <c r="B3" s="18"/>
    </row>
    <row r="4" customFormat="false" ht="12.75" hidden="false" customHeight="false" outlineLevel="0" collapsed="false">
      <c r="B4" s="103" t="s">
        <v>608</v>
      </c>
      <c r="C4" s="103" t="s">
        <v>361</v>
      </c>
      <c r="D4" s="80"/>
      <c r="E4" s="80" t="n">
        <v>-250</v>
      </c>
      <c r="F4" s="80"/>
      <c r="G4" s="80"/>
      <c r="H4" s="80" t="n">
        <f aca="false">H3+F4+G4</f>
        <v>0</v>
      </c>
    </row>
    <row r="5" customFormat="false" ht="12.75" hidden="false" customHeight="false" outlineLevel="0" collapsed="false">
      <c r="A5" s="90" t="n">
        <v>45404</v>
      </c>
      <c r="B5" s="42" t="s">
        <v>434</v>
      </c>
      <c r="C5" s="8" t="s">
        <v>609</v>
      </c>
      <c r="D5" s="80"/>
      <c r="E5" s="80" t="n">
        <v>-152</v>
      </c>
      <c r="F5" s="80"/>
      <c r="G5" s="80" t="n">
        <v>-166.9</v>
      </c>
      <c r="H5" s="80" t="n">
        <f aca="false">H4+F5+G5</f>
        <v>-166.9</v>
      </c>
    </row>
    <row r="6" customFormat="false" ht="12.75" hidden="false" customHeight="false" outlineLevel="0" collapsed="false">
      <c r="A6" s="99" t="n">
        <v>45414</v>
      </c>
      <c r="B6" s="103" t="s">
        <v>80</v>
      </c>
      <c r="C6" s="103"/>
      <c r="D6" s="80"/>
      <c r="E6" s="80" t="n">
        <v>-400</v>
      </c>
      <c r="F6" s="80"/>
      <c r="G6" s="80" t="n">
        <v>-330</v>
      </c>
      <c r="H6" s="80" t="n">
        <f aca="false">H5+F6+G6</f>
        <v>-496.9</v>
      </c>
    </row>
    <row r="7" customFormat="false" ht="12.75" hidden="false" customHeight="false" outlineLevel="0" collapsed="false">
      <c r="A7" s="99" t="n">
        <v>45414</v>
      </c>
      <c r="B7" s="103" t="s">
        <v>81</v>
      </c>
      <c r="C7" s="103"/>
      <c r="D7" s="80"/>
      <c r="E7" s="80" t="n">
        <v>-500</v>
      </c>
      <c r="F7" s="80"/>
      <c r="G7" s="80" t="n">
        <v>-510</v>
      </c>
      <c r="H7" s="80" t="n">
        <f aca="false">H6+F7+G7</f>
        <v>-1006.9</v>
      </c>
    </row>
    <row r="8" customFormat="false" ht="12.75" hidden="false" customHeight="false" outlineLevel="0" collapsed="false">
      <c r="A8" s="90" t="n">
        <v>45414</v>
      </c>
      <c r="B8" s="8" t="s">
        <v>610</v>
      </c>
      <c r="D8" s="80" t="s">
        <v>611</v>
      </c>
      <c r="E8" s="80" t="n">
        <v>-103.5</v>
      </c>
      <c r="F8" s="80"/>
      <c r="G8" s="80"/>
      <c r="H8" s="80" t="n">
        <f aca="false">H7+F8+G8</f>
        <v>-1006.9</v>
      </c>
    </row>
    <row r="9" customFormat="false" ht="12.75" hidden="false" customHeight="false" outlineLevel="0" collapsed="false">
      <c r="A9" s="99" t="n">
        <v>45418</v>
      </c>
      <c r="B9" s="103" t="s">
        <v>75</v>
      </c>
      <c r="C9" s="103" t="s">
        <v>332</v>
      </c>
      <c r="D9" s="80"/>
      <c r="E9" s="80" t="n">
        <v>-150</v>
      </c>
      <c r="F9" s="80"/>
      <c r="G9" s="80" t="n">
        <v>-25.38</v>
      </c>
      <c r="H9" s="80" t="n">
        <f aca="false">H8+F9+G9</f>
        <v>-1032.28</v>
      </c>
    </row>
    <row r="10" customFormat="false" ht="12.75" hidden="false" customHeight="false" outlineLevel="0" collapsed="false">
      <c r="A10" s="99" t="n">
        <v>45418</v>
      </c>
      <c r="B10" s="182" t="s">
        <v>68</v>
      </c>
      <c r="D10" s="80"/>
      <c r="E10" s="80" t="n">
        <f aca="false">E41</f>
        <v>-4278.51</v>
      </c>
      <c r="F10" s="80"/>
      <c r="G10" s="80" t="n">
        <v>-4276.51</v>
      </c>
      <c r="H10" s="80" t="n">
        <f aca="false">H9+F10+G10</f>
        <v>-5308.79</v>
      </c>
    </row>
    <row r="11" customFormat="false" ht="12.75" hidden="false" customHeight="false" outlineLevel="0" collapsed="false">
      <c r="A11" s="170" t="n">
        <v>45418</v>
      </c>
      <c r="B11" s="182" t="s">
        <v>69</v>
      </c>
      <c r="D11" s="80"/>
      <c r="E11" s="80" t="n">
        <f aca="false">E57</f>
        <v>-23541</v>
      </c>
      <c r="F11" s="80"/>
      <c r="G11" s="80" t="n">
        <v>-23541</v>
      </c>
      <c r="H11" s="80" t="n">
        <f aca="false">H10+F11+G11</f>
        <v>-28849.79</v>
      </c>
    </row>
    <row r="12" customFormat="false" ht="12.75" hidden="false" customHeight="false" outlineLevel="0" collapsed="false">
      <c r="A12" s="99" t="n">
        <v>45418</v>
      </c>
      <c r="B12" s="103" t="s">
        <v>612</v>
      </c>
      <c r="C12" s="103"/>
      <c r="D12" s="80"/>
      <c r="E12" s="80" t="n">
        <v>-1500</v>
      </c>
      <c r="F12" s="80"/>
      <c r="G12" s="80" t="n">
        <v>-1512.13</v>
      </c>
      <c r="H12" s="80" t="n">
        <f aca="false">H11+F12+G12</f>
        <v>-30361.92</v>
      </c>
    </row>
    <row r="13" customFormat="false" ht="12.75" hidden="false" customHeight="false" outlineLevel="0" collapsed="false">
      <c r="A13" s="99" t="n">
        <v>45418</v>
      </c>
      <c r="B13" s="8" t="s">
        <v>403</v>
      </c>
      <c r="D13" s="80"/>
      <c r="E13" s="80" t="n">
        <v>-10000</v>
      </c>
      <c r="F13" s="80"/>
      <c r="G13" s="80" t="n">
        <v>-10000</v>
      </c>
      <c r="H13" s="80" t="n">
        <f aca="false">H12+F13+G13</f>
        <v>-40361.92</v>
      </c>
    </row>
    <row r="14" customFormat="false" ht="12.75" hidden="false" customHeight="false" outlineLevel="0" collapsed="false">
      <c r="A14" s="102" t="n">
        <v>45419</v>
      </c>
      <c r="B14" s="103" t="s">
        <v>613</v>
      </c>
      <c r="C14" s="103"/>
      <c r="D14" s="80"/>
      <c r="E14" s="80" t="n">
        <v>-5375</v>
      </c>
      <c r="F14" s="80"/>
      <c r="G14" s="80" t="n">
        <v>-5375</v>
      </c>
      <c r="H14" s="80" t="n">
        <f aca="false">H13+F14+G14</f>
        <v>-45736.92</v>
      </c>
    </row>
    <row r="15" customFormat="false" ht="12.75" hidden="false" customHeight="false" outlineLevel="0" collapsed="false">
      <c r="A15" s="102" t="n">
        <v>45419</v>
      </c>
      <c r="B15" s="103" t="s">
        <v>613</v>
      </c>
      <c r="C15" s="103"/>
      <c r="D15" s="80"/>
      <c r="E15" s="80" t="n">
        <v>-2125</v>
      </c>
      <c r="F15" s="80"/>
      <c r="G15" s="80" t="n">
        <v>-2125</v>
      </c>
      <c r="H15" s="80" t="n">
        <f aca="false">H14+F15+G15</f>
        <v>-47861.92</v>
      </c>
    </row>
    <row r="16" customFormat="false" ht="12.75" hidden="false" customHeight="false" outlineLevel="0" collapsed="false">
      <c r="A16" s="102" t="n">
        <v>45432</v>
      </c>
      <c r="B16" s="108" t="s">
        <v>73</v>
      </c>
      <c r="C16" s="108" t="s">
        <v>332</v>
      </c>
      <c r="D16" s="80"/>
      <c r="E16" s="80" t="n">
        <v>-300</v>
      </c>
      <c r="F16" s="80"/>
      <c r="G16" s="80" t="n">
        <v>-403</v>
      </c>
      <c r="H16" s="80" t="n">
        <f aca="false">H15+F16+G16</f>
        <v>-48264.92</v>
      </c>
    </row>
    <row r="17" customFormat="false" ht="12.75" hidden="false" customHeight="false" outlineLevel="0" collapsed="false">
      <c r="A17" s="102" t="n">
        <v>45432</v>
      </c>
      <c r="B17" s="108" t="s">
        <v>74</v>
      </c>
      <c r="C17" s="108" t="s">
        <v>332</v>
      </c>
      <c r="D17" s="80"/>
      <c r="E17" s="80" t="n">
        <v>-100</v>
      </c>
      <c r="F17" s="80"/>
      <c r="G17" s="80" t="n">
        <v>-34</v>
      </c>
      <c r="H17" s="80" t="n">
        <f aca="false">H16+F17+G17</f>
        <v>-48298.92</v>
      </c>
    </row>
    <row r="18" customFormat="false" ht="12.75" hidden="false" customHeight="false" outlineLevel="0" collapsed="false">
      <c r="A18" s="102"/>
      <c r="B18" s="182" t="s">
        <v>72</v>
      </c>
      <c r="D18" s="80"/>
      <c r="E18" s="80" t="n">
        <f aca="false">E36*-1</f>
        <v>-100</v>
      </c>
      <c r="F18" s="80"/>
      <c r="G18" s="80" t="n">
        <f aca="false">E18</f>
        <v>-100</v>
      </c>
      <c r="H18" s="80" t="n">
        <f aca="false">H17+F18+G18</f>
        <v>-48398.92</v>
      </c>
    </row>
    <row r="19" customFormat="false" ht="12.75" hidden="false" customHeight="false" outlineLevel="0" collapsed="false">
      <c r="A19" s="90" t="n">
        <v>45439</v>
      </c>
      <c r="B19" s="8" t="s">
        <v>77</v>
      </c>
      <c r="D19" s="80"/>
      <c r="E19" s="80" t="n">
        <v>-5000</v>
      </c>
      <c r="F19" s="80"/>
      <c r="G19" s="80" t="n">
        <v>-5205</v>
      </c>
      <c r="H19" s="80" t="n">
        <f aca="false">H18+F19+G19</f>
        <v>-53603.92</v>
      </c>
    </row>
    <row r="20" customFormat="false" ht="12.75" hidden="false" customHeight="false" outlineLevel="0" collapsed="false">
      <c r="A20" s="90" t="n">
        <v>45439</v>
      </c>
      <c r="B20" s="8" t="s">
        <v>78</v>
      </c>
      <c r="D20" s="80"/>
      <c r="E20" s="80" t="n">
        <v>-5000</v>
      </c>
      <c r="F20" s="80"/>
      <c r="G20" s="80" t="n">
        <v>-5205</v>
      </c>
      <c r="H20" s="80" t="n">
        <f aca="false">H19+F20+G20</f>
        <v>-58808.92</v>
      </c>
    </row>
    <row r="21" customFormat="false" ht="12.75" hidden="false" customHeight="false" outlineLevel="0" collapsed="false">
      <c r="A21" s="90" t="n">
        <v>45439</v>
      </c>
      <c r="B21" s="8" t="s">
        <v>79</v>
      </c>
      <c r="D21" s="80"/>
      <c r="E21" s="80" t="n">
        <v>-5000</v>
      </c>
      <c r="F21" s="80"/>
      <c r="G21" s="80" t="n">
        <v>-5000</v>
      </c>
      <c r="H21" s="80" t="n">
        <f aca="false">H20+F21+G21</f>
        <v>-63808.92</v>
      </c>
    </row>
    <row r="22" customFormat="false" ht="12.75" hidden="false" customHeight="false" outlineLevel="0" collapsed="false">
      <c r="B22" s="0" t="s">
        <v>76</v>
      </c>
      <c r="D22" s="80" t="n">
        <v>10000</v>
      </c>
      <c r="E22" s="80"/>
      <c r="F22" s="80" t="n">
        <v>10427.62</v>
      </c>
      <c r="G22" s="80"/>
      <c r="H22" s="80" t="n">
        <f aca="false">H21+F22+G22</f>
        <v>-53381.3</v>
      </c>
    </row>
    <row r="23" customFormat="false" ht="12.75" hidden="false" customHeight="false" outlineLevel="0" collapsed="false">
      <c r="A23" s="102" t="n">
        <v>45447</v>
      </c>
      <c r="B23" s="8" t="s">
        <v>614</v>
      </c>
      <c r="D23" s="80" t="n">
        <v>15000</v>
      </c>
      <c r="E23" s="80"/>
      <c r="F23" s="80" t="n">
        <v>15000</v>
      </c>
      <c r="H23" s="80" t="n">
        <f aca="false">H22+F23+G23</f>
        <v>-38381.3</v>
      </c>
    </row>
    <row r="24" customFormat="false" ht="12.75" hidden="false" customHeight="false" outlineLevel="0" collapsed="false">
      <c r="H24" s="80" t="n">
        <f aca="false">H23+F24+G24</f>
        <v>-38381.3</v>
      </c>
    </row>
    <row r="25" customFormat="false" ht="12.75" hidden="false" customHeight="false" outlineLevel="0" collapsed="false">
      <c r="A25" s="99" t="n">
        <v>45442</v>
      </c>
      <c r="B25" s="103" t="s">
        <v>80</v>
      </c>
      <c r="C25" s="103"/>
      <c r="D25" s="80"/>
      <c r="E25" s="80" t="n">
        <v>-400</v>
      </c>
      <c r="G25" s="79" t="n">
        <v>-240</v>
      </c>
      <c r="H25" s="80" t="n">
        <f aca="false">H24+F25+G25</f>
        <v>-38621.3</v>
      </c>
    </row>
    <row r="26" customFormat="false" ht="12.75" hidden="false" customHeight="false" outlineLevel="0" collapsed="false">
      <c r="A26" s="99" t="n">
        <v>45442</v>
      </c>
      <c r="B26" s="103" t="s">
        <v>81</v>
      </c>
      <c r="C26" s="103"/>
      <c r="D26" s="80"/>
      <c r="E26" s="80" t="n">
        <v>-500</v>
      </c>
      <c r="G26" s="79" t="n">
        <v>-435</v>
      </c>
      <c r="H26" s="80" t="n">
        <f aca="false">H25+F26+G26</f>
        <v>-39056.3</v>
      </c>
    </row>
    <row r="28" customFormat="false" ht="12.75" hidden="false" customHeight="false" outlineLevel="0" collapsed="false">
      <c r="B28" s="0" t="s">
        <v>334</v>
      </c>
    </row>
    <row r="29" customFormat="false" ht="12.75" hidden="false" customHeight="false" outlineLevel="0" collapsed="false">
      <c r="A29" s="102"/>
      <c r="C29" s="176"/>
    </row>
    <row r="30" customFormat="false" ht="12.75" hidden="false" customHeight="false" outlineLevel="0" collapsed="false">
      <c r="A30" s="177" t="n">
        <v>44929</v>
      </c>
      <c r="B30" s="178" t="s">
        <v>336</v>
      </c>
      <c r="C30" s="105"/>
      <c r="D30" s="79" t="n">
        <f aca="false">SUM(D31:D36)</f>
        <v>3775.16</v>
      </c>
      <c r="E30" s="79" t="n">
        <f aca="false">SUM(E31:E36)</f>
        <v>3775.28</v>
      </c>
    </row>
    <row r="31" customFormat="false" ht="12.75" hidden="false" customHeight="false" outlineLevel="0" collapsed="false">
      <c r="A31" s="102"/>
      <c r="B31" s="108" t="s">
        <v>337</v>
      </c>
      <c r="D31" s="80" t="n">
        <v>786.88</v>
      </c>
      <c r="E31" s="80" t="n">
        <v>787</v>
      </c>
    </row>
    <row r="32" customFormat="false" ht="12.75" hidden="false" customHeight="false" outlineLevel="0" collapsed="false">
      <c r="B32" s="0" t="s">
        <v>338</v>
      </c>
      <c r="D32" s="80" t="n">
        <v>1205</v>
      </c>
      <c r="E32" s="80" t="n">
        <v>1205</v>
      </c>
    </row>
    <row r="33" customFormat="false" ht="12.75" hidden="false" customHeight="false" outlineLevel="0" collapsed="false">
      <c r="B33" s="0" t="s">
        <v>339</v>
      </c>
      <c r="D33" s="80" t="n">
        <v>55.4</v>
      </c>
      <c r="E33" s="80" t="n">
        <v>55.4</v>
      </c>
    </row>
    <row r="34" customFormat="false" ht="12.75" hidden="false" customHeight="false" outlineLevel="0" collapsed="false">
      <c r="B34" s="0" t="s">
        <v>340</v>
      </c>
      <c r="D34" s="80" t="n">
        <v>1257.4</v>
      </c>
      <c r="E34" s="80" t="n">
        <v>1257.4</v>
      </c>
    </row>
    <row r="35" customFormat="false" ht="12.75" hidden="false" customHeight="false" outlineLevel="0" collapsed="false">
      <c r="B35" s="0" t="s">
        <v>341</v>
      </c>
      <c r="D35" s="80" t="n">
        <v>370.48</v>
      </c>
      <c r="E35" s="80" t="n">
        <v>370.48</v>
      </c>
    </row>
    <row r="36" customFormat="false" ht="12.75" hidden="false" customHeight="false" outlineLevel="0" collapsed="false">
      <c r="B36" s="0" t="s">
        <v>342</v>
      </c>
      <c r="C36" s="108"/>
      <c r="D36" s="80" t="n">
        <v>100</v>
      </c>
      <c r="E36" s="80" t="n">
        <v>100</v>
      </c>
    </row>
    <row r="37" customFormat="false" ht="12.75" hidden="false" customHeight="false" outlineLevel="0" collapsed="false">
      <c r="C37" s="108"/>
    </row>
    <row r="39" customFormat="false" ht="12.75" hidden="false" customHeight="false" outlineLevel="0" collapsed="false">
      <c r="B39" s="17"/>
    </row>
    <row r="40" customFormat="false" ht="12.75" hidden="false" customHeight="false" outlineLevel="0" collapsed="false">
      <c r="B40" s="104"/>
    </row>
    <row r="41" customFormat="false" ht="12.75" hidden="false" customHeight="false" outlineLevel="0" collapsed="false">
      <c r="A41" s="105"/>
      <c r="B41" s="106" t="s">
        <v>83</v>
      </c>
      <c r="C41" s="105"/>
      <c r="E41" s="79" t="n">
        <f aca="false">SUM(E42:E53)</f>
        <v>-4278.51</v>
      </c>
    </row>
    <row r="43" customFormat="false" ht="12.75" hidden="false" customHeight="false" outlineLevel="0" collapsed="false">
      <c r="A43" s="102" t="n">
        <v>45187</v>
      </c>
      <c r="B43" s="108" t="s">
        <v>570</v>
      </c>
      <c r="C43" s="108" t="n">
        <v>7648.33</v>
      </c>
      <c r="D43" s="79" t="s">
        <v>372</v>
      </c>
      <c r="E43" s="79" t="n">
        <v>-849.81</v>
      </c>
    </row>
    <row r="44" customFormat="false" ht="12.75" hidden="false" customHeight="false" outlineLevel="0" collapsed="false">
      <c r="A44" s="90" t="n">
        <v>45348</v>
      </c>
      <c r="B44" s="8" t="s">
        <v>448</v>
      </c>
      <c r="C44" s="0" t="n">
        <v>1406</v>
      </c>
      <c r="D44" s="79" t="s">
        <v>615</v>
      </c>
      <c r="E44" s="79" t="n">
        <v>-234.33</v>
      </c>
    </row>
    <row r="45" customFormat="false" ht="12.75" hidden="false" customHeight="false" outlineLevel="0" collapsed="false">
      <c r="A45" s="90" t="n">
        <v>45373</v>
      </c>
      <c r="B45" s="8" t="s">
        <v>343</v>
      </c>
      <c r="C45" s="0" t="n">
        <v>10176.39</v>
      </c>
      <c r="D45" s="79" t="s">
        <v>616</v>
      </c>
      <c r="E45" s="79" t="n">
        <v>-1130.71</v>
      </c>
    </row>
    <row r="46" customFormat="false" ht="12.75" hidden="false" customHeight="false" outlineLevel="0" collapsed="false">
      <c r="A46" s="90" t="n">
        <v>45375</v>
      </c>
      <c r="B46" s="8" t="s">
        <v>345</v>
      </c>
      <c r="C46" s="0" t="n">
        <v>5999</v>
      </c>
      <c r="D46" s="79" t="s">
        <v>617</v>
      </c>
      <c r="E46" s="79" t="n">
        <v>-666.56</v>
      </c>
    </row>
    <row r="47" customFormat="false" ht="12.75" hidden="false" customHeight="false" outlineLevel="0" collapsed="false">
      <c r="A47" s="90" t="n">
        <v>45358</v>
      </c>
      <c r="B47" s="8" t="s">
        <v>451</v>
      </c>
      <c r="C47" s="0" t="n">
        <v>2273</v>
      </c>
      <c r="D47" s="79" t="s">
        <v>615</v>
      </c>
      <c r="E47" s="79" t="n">
        <v>-378.87</v>
      </c>
    </row>
    <row r="48" customFormat="false" ht="12.75" hidden="false" customHeight="false" outlineLevel="0" collapsed="false">
      <c r="A48" s="90" t="n">
        <v>45371</v>
      </c>
      <c r="B48" s="8" t="s">
        <v>452</v>
      </c>
      <c r="D48" s="79" t="s">
        <v>618</v>
      </c>
      <c r="E48" s="79" t="n">
        <v>101.77</v>
      </c>
    </row>
    <row r="49" customFormat="false" ht="12.75" hidden="false" customHeight="false" outlineLevel="0" collapsed="false">
      <c r="A49" s="90" t="n">
        <v>45377</v>
      </c>
      <c r="B49" s="8" t="s">
        <v>619</v>
      </c>
      <c r="D49" s="79" t="s">
        <v>620</v>
      </c>
    </row>
    <row r="50" customFormat="false" ht="12.75" hidden="false" customHeight="false" outlineLevel="0" collapsed="false">
      <c r="A50" s="102"/>
      <c r="B50" s="109" t="s">
        <v>621</v>
      </c>
      <c r="C50" s="108"/>
      <c r="E50" s="79" t="n">
        <v>-90</v>
      </c>
    </row>
    <row r="51" customFormat="false" ht="12.75" hidden="false" customHeight="false" outlineLevel="0" collapsed="false">
      <c r="A51" s="102"/>
      <c r="B51" s="109"/>
      <c r="C51" s="108"/>
      <c r="D51" s="79" t="n">
        <v>6693.55</v>
      </c>
    </row>
    <row r="52" customFormat="false" ht="12.75" hidden="false" customHeight="false" outlineLevel="0" collapsed="false">
      <c r="A52" s="102"/>
      <c r="B52" s="109" t="s">
        <v>622</v>
      </c>
      <c r="E52" s="79" t="n">
        <v>-790</v>
      </c>
    </row>
    <row r="53" customFormat="false" ht="12.75" hidden="false" customHeight="false" outlineLevel="0" collapsed="false">
      <c r="A53" s="102"/>
      <c r="B53" s="109" t="s">
        <v>623</v>
      </c>
      <c r="C53" s="108"/>
      <c r="E53" s="79" t="n">
        <v>-240</v>
      </c>
    </row>
    <row r="54" customFormat="false" ht="13.8" hidden="false" customHeight="false" outlineLevel="0" collapsed="false">
      <c r="A54" s="102"/>
      <c r="B54" s="109"/>
      <c r="C54" s="108"/>
      <c r="D54" s="107" t="s">
        <v>84</v>
      </c>
    </row>
    <row r="55" customFormat="false" ht="12.75" hidden="false" customHeight="false" outlineLevel="0" collapsed="false">
      <c r="A55" s="102"/>
      <c r="B55" s="3"/>
    </row>
    <row r="56" customFormat="false" ht="12.75" hidden="false" customHeight="false" outlineLevel="0" collapsed="false">
      <c r="A56" s="102"/>
      <c r="B56" s="108"/>
      <c r="C56" s="108"/>
    </row>
    <row r="57" customFormat="false" ht="12.75" hidden="false" customHeight="false" outlineLevel="0" collapsed="false">
      <c r="A57" s="105"/>
      <c r="B57" s="106" t="s">
        <v>85</v>
      </c>
      <c r="C57" s="105"/>
      <c r="E57" s="79" t="n">
        <f aca="false">SUM(E58:E100)</f>
        <v>-23541</v>
      </c>
    </row>
    <row r="58" customFormat="false" ht="12.75" hidden="false" customHeight="false" outlineLevel="0" collapsed="false">
      <c r="A58" s="102"/>
      <c r="B58" s="108"/>
      <c r="C58" s="108"/>
    </row>
    <row r="59" customFormat="false" ht="12.75" hidden="false" customHeight="false" outlineLevel="0" collapsed="false">
      <c r="A59" s="170" t="n">
        <v>45285</v>
      </c>
      <c r="B59" s="108" t="s">
        <v>530</v>
      </c>
      <c r="C59" s="108"/>
      <c r="D59" s="79" t="s">
        <v>624</v>
      </c>
      <c r="E59" s="79" t="n">
        <v>-3551.66</v>
      </c>
    </row>
    <row r="60" customFormat="false" ht="14.9" hidden="false" customHeight="false" outlineLevel="0" collapsed="false">
      <c r="A60" s="102"/>
      <c r="B60" s="3" t="s">
        <v>486</v>
      </c>
      <c r="C60" s="108"/>
      <c r="D60" s="79" t="s">
        <v>625</v>
      </c>
      <c r="E60" s="79" t="n">
        <v>-649.78</v>
      </c>
    </row>
    <row r="61" customFormat="false" ht="12.75" hidden="false" customHeight="false" outlineLevel="0" collapsed="false">
      <c r="A61" s="102"/>
      <c r="B61" s="3" t="s">
        <v>488</v>
      </c>
      <c r="C61" s="108" t="n">
        <v>49.98</v>
      </c>
      <c r="D61" s="79" t="s">
        <v>625</v>
      </c>
    </row>
    <row r="62" customFormat="false" ht="12.75" hidden="false" customHeight="false" outlineLevel="0" collapsed="false">
      <c r="A62" s="102"/>
      <c r="B62" s="3"/>
      <c r="C62" s="108"/>
    </row>
    <row r="63" customFormat="false" ht="12.75" hidden="false" customHeight="false" outlineLevel="0" collapsed="false">
      <c r="A63" s="102"/>
      <c r="B63" s="3"/>
      <c r="C63" s="108"/>
    </row>
    <row r="64" customFormat="false" ht="12.75" hidden="false" customHeight="false" outlineLevel="0" collapsed="false">
      <c r="A64" s="102" t="n">
        <v>45405</v>
      </c>
      <c r="B64" s="3" t="s">
        <v>626</v>
      </c>
      <c r="C64" s="108"/>
      <c r="E64" s="79" t="n">
        <v>-500</v>
      </c>
    </row>
    <row r="65" customFormat="false" ht="12.75" hidden="false" customHeight="false" outlineLevel="0" collapsed="false">
      <c r="A65" s="102" t="n">
        <v>45398</v>
      </c>
      <c r="B65" s="3" t="s">
        <v>627</v>
      </c>
      <c r="C65" s="108"/>
      <c r="E65" s="79" t="n">
        <v>-400</v>
      </c>
    </row>
    <row r="66" customFormat="false" ht="12.75" hidden="false" customHeight="false" outlineLevel="0" collapsed="false">
      <c r="A66" s="102" t="n">
        <v>45398</v>
      </c>
      <c r="B66" s="3" t="s">
        <v>130</v>
      </c>
      <c r="C66" s="108"/>
      <c r="E66" s="79" t="n">
        <v>-48.5</v>
      </c>
    </row>
    <row r="67" customFormat="false" ht="12.75" hidden="false" customHeight="false" outlineLevel="0" collapsed="false">
      <c r="A67" s="102" t="n">
        <v>45398</v>
      </c>
      <c r="B67" s="3" t="s">
        <v>627</v>
      </c>
      <c r="C67" s="108"/>
      <c r="E67" s="79" t="n">
        <v>-871.29</v>
      </c>
    </row>
    <row r="68" customFormat="false" ht="12.75" hidden="false" customHeight="false" outlineLevel="0" collapsed="false">
      <c r="A68" s="102" t="n">
        <v>45398</v>
      </c>
      <c r="B68" s="3" t="s">
        <v>627</v>
      </c>
      <c r="C68" s="108"/>
      <c r="E68" s="79" t="n">
        <v>-810.42</v>
      </c>
    </row>
    <row r="69" customFormat="false" ht="12.75" hidden="false" customHeight="false" outlineLevel="0" collapsed="false">
      <c r="A69" s="102" t="n">
        <v>45397</v>
      </c>
      <c r="B69" s="3" t="s">
        <v>585</v>
      </c>
      <c r="C69" s="108" t="n">
        <v>240</v>
      </c>
      <c r="E69" s="79" t="n">
        <v>-240</v>
      </c>
    </row>
    <row r="70" customFormat="false" ht="12.75" hidden="false" customHeight="false" outlineLevel="0" collapsed="false">
      <c r="A70" s="102" t="n">
        <v>45388</v>
      </c>
      <c r="B70" s="3" t="s">
        <v>628</v>
      </c>
      <c r="C70" s="108"/>
      <c r="E70" s="79" t="n">
        <v>-400</v>
      </c>
    </row>
    <row r="71" customFormat="false" ht="12.75" hidden="false" customHeight="false" outlineLevel="0" collapsed="false">
      <c r="A71" s="102"/>
      <c r="B71" s="3"/>
      <c r="C71" s="108"/>
      <c r="D71" s="79" t="n">
        <v>6501.46</v>
      </c>
    </row>
    <row r="72" customFormat="false" ht="12.75" hidden="false" customHeight="false" outlineLevel="0" collapsed="false">
      <c r="A72" s="102" t="n">
        <v>45383</v>
      </c>
      <c r="B72" s="3" t="s">
        <v>585</v>
      </c>
      <c r="C72" s="108" t="n">
        <v>250</v>
      </c>
      <c r="E72" s="79" t="n">
        <v>-250</v>
      </c>
    </row>
    <row r="73" customFormat="false" ht="12.75" hidden="false" customHeight="false" outlineLevel="0" collapsed="false">
      <c r="A73" s="102" t="n">
        <v>45377</v>
      </c>
      <c r="B73" s="3" t="n">
        <v>2240</v>
      </c>
      <c r="C73" s="108"/>
      <c r="E73" s="79" t="n">
        <v>-167</v>
      </c>
    </row>
    <row r="74" customFormat="false" ht="12.75" hidden="false" customHeight="false" outlineLevel="0" collapsed="false">
      <c r="A74" s="102" t="n">
        <v>45377</v>
      </c>
      <c r="B74" s="3" t="n">
        <v>2240</v>
      </c>
      <c r="C74" s="108"/>
      <c r="E74" s="79" t="n">
        <v>-2.17</v>
      </c>
    </row>
    <row r="75" customFormat="false" ht="12.75" hidden="false" customHeight="false" outlineLevel="0" collapsed="false">
      <c r="A75" s="102" t="n">
        <v>45377</v>
      </c>
      <c r="B75" s="3" t="n">
        <v>2240</v>
      </c>
      <c r="C75" s="108"/>
      <c r="E75" s="79" t="n">
        <v>-0.11</v>
      </c>
    </row>
    <row r="76" customFormat="false" ht="12.75" hidden="false" customHeight="false" outlineLevel="0" collapsed="false">
      <c r="A76" s="102" t="n">
        <v>45406</v>
      </c>
      <c r="B76" s="3" t="s">
        <v>130</v>
      </c>
      <c r="C76" s="108"/>
      <c r="E76" s="79" t="n">
        <v>-34.6</v>
      </c>
    </row>
    <row r="77" customFormat="false" ht="12.75" hidden="false" customHeight="false" outlineLevel="0" collapsed="false">
      <c r="A77" s="102" t="n">
        <v>24.4</v>
      </c>
      <c r="B77" s="3" t="s">
        <v>130</v>
      </c>
      <c r="C77" s="108"/>
      <c r="E77" s="79" t="n">
        <v>-370.4</v>
      </c>
    </row>
    <row r="78" customFormat="false" ht="12.75" hidden="false" customHeight="false" outlineLevel="0" collapsed="false">
      <c r="A78" s="102" t="n">
        <v>45405</v>
      </c>
      <c r="B78" s="3" t="s">
        <v>629</v>
      </c>
      <c r="C78" s="108"/>
      <c r="E78" s="79" t="n">
        <v>-1306.88</v>
      </c>
    </row>
    <row r="79" customFormat="false" ht="12.75" hidden="false" customHeight="false" outlineLevel="0" collapsed="false">
      <c r="A79" s="102" t="n">
        <v>45387</v>
      </c>
      <c r="B79" s="3" t="s">
        <v>630</v>
      </c>
      <c r="C79" s="108"/>
      <c r="E79" s="79" t="n">
        <v>-13938.19</v>
      </c>
    </row>
    <row r="80" customFormat="false" ht="12.75" hidden="false" customHeight="false" outlineLevel="0" collapsed="false">
      <c r="A80" s="102"/>
      <c r="B80" s="3"/>
      <c r="C80" s="108"/>
    </row>
    <row r="81" customFormat="false" ht="12.75" hidden="false" customHeight="false" outlineLevel="0" collapsed="false">
      <c r="A81" s="102"/>
      <c r="B81" s="18" t="s">
        <v>631</v>
      </c>
      <c r="C81" s="108" t="n">
        <f aca="false">SUM(C69:C80)</f>
        <v>490</v>
      </c>
    </row>
    <row r="82" customFormat="false" ht="12.75" hidden="false" customHeight="false" outlineLevel="0" collapsed="false">
      <c r="A82" s="102"/>
      <c r="B82" s="3"/>
      <c r="C82" s="108"/>
    </row>
    <row r="83" customFormat="false" ht="12.75" hidden="false" customHeight="false" outlineLevel="0" collapsed="false">
      <c r="A83" s="102"/>
      <c r="B83" s="3"/>
      <c r="C83" s="108"/>
    </row>
    <row r="84" customFormat="false" ht="12.75" hidden="false" customHeight="false" outlineLevel="0" collapsed="false">
      <c r="A84" s="102"/>
      <c r="B84" s="3"/>
      <c r="C84" s="108"/>
    </row>
    <row r="85" customFormat="false" ht="12.75" hidden="false" customHeight="false" outlineLevel="0" collapsed="false">
      <c r="A85" s="102"/>
      <c r="B85" s="3"/>
      <c r="C85" s="108"/>
    </row>
    <row r="86" customFormat="false" ht="12.75" hidden="false" customHeight="false" outlineLevel="0" collapsed="false">
      <c r="A86" s="102"/>
      <c r="B86" s="3"/>
      <c r="C86" s="108"/>
    </row>
    <row r="87" customFormat="false" ht="12.75" hidden="false" customHeight="false" outlineLevel="0" collapsed="false">
      <c r="A87" s="102"/>
      <c r="B87" s="3"/>
      <c r="C87" s="108"/>
    </row>
    <row r="88" customFormat="false" ht="12.75" hidden="false" customHeight="false" outlineLevel="0" collapsed="false">
      <c r="A88" s="102"/>
      <c r="B88" s="3"/>
      <c r="C88" s="108"/>
    </row>
    <row r="89" customFormat="false" ht="12.75" hidden="false" customHeight="false" outlineLevel="0" collapsed="false">
      <c r="A89" s="102"/>
      <c r="B89" s="3"/>
      <c r="C89" s="108"/>
    </row>
    <row r="90" customFormat="false" ht="12.75" hidden="false" customHeight="false" outlineLevel="0" collapsed="false">
      <c r="A90" s="102"/>
      <c r="B90" s="3"/>
      <c r="C90" s="108"/>
    </row>
    <row r="91" customFormat="false" ht="12.75" hidden="false" customHeight="false" outlineLevel="0" collapsed="false">
      <c r="A91" s="102"/>
      <c r="B91" s="3"/>
      <c r="C91" s="108"/>
    </row>
    <row r="92" customFormat="false" ht="12.75" hidden="false" customHeight="false" outlineLevel="0" collapsed="false">
      <c r="A92" s="102"/>
      <c r="B92" s="3"/>
      <c r="C92" s="108"/>
    </row>
    <row r="93" customFormat="false" ht="12.75" hidden="false" customHeight="false" outlineLevel="0" collapsed="false">
      <c r="A93" s="102"/>
      <c r="B93" s="3"/>
      <c r="C93" s="108"/>
    </row>
    <row r="94" customFormat="false" ht="12.75" hidden="false" customHeight="false" outlineLevel="0" collapsed="false">
      <c r="A94" s="102"/>
      <c r="B94" s="3"/>
      <c r="C94" s="108"/>
    </row>
    <row r="95" customFormat="false" ht="12.75" hidden="false" customHeight="false" outlineLevel="0" collapsed="false">
      <c r="A95" s="102"/>
      <c r="B95" s="3"/>
      <c r="C95" s="108"/>
    </row>
    <row r="96" customFormat="false" ht="12.75" hidden="false" customHeight="false" outlineLevel="0" collapsed="false">
      <c r="A96" s="102"/>
      <c r="B96" s="3"/>
      <c r="C96" s="108"/>
    </row>
    <row r="97" customFormat="false" ht="12.75" hidden="false" customHeight="false" outlineLevel="0" collapsed="false">
      <c r="A97" s="102"/>
      <c r="B97" s="3"/>
      <c r="C97" s="108"/>
    </row>
    <row r="98" customFormat="false" ht="12.75" hidden="false" customHeight="false" outlineLevel="0" collapsed="false">
      <c r="A98" s="102"/>
      <c r="B98" s="3"/>
      <c r="C98" s="108"/>
    </row>
    <row r="99" customFormat="false" ht="12.75" hidden="false" customHeight="false" outlineLevel="0" collapsed="false">
      <c r="A99" s="102"/>
      <c r="B99" s="3"/>
      <c r="C99" s="108"/>
    </row>
    <row r="100" customFormat="false" ht="13.8" hidden="false" customHeight="false" outlineLevel="0" collapsed="false">
      <c r="A100" s="102"/>
      <c r="B100" s="3"/>
      <c r="C100" s="108"/>
      <c r="D100" s="107" t="s">
        <v>84</v>
      </c>
    </row>
    <row r="101" customFormat="false" ht="12.75" hidden="false" customHeight="false" outlineLevel="0" collapsed="false">
      <c r="A101" s="117" t="s">
        <v>632</v>
      </c>
      <c r="B101" s="106" t="s">
        <v>139</v>
      </c>
      <c r="C101" s="105" t="n">
        <v>2024</v>
      </c>
      <c r="D101" s="163"/>
      <c r="E101" s="164" t="n">
        <f aca="false">SUM(E102:E118)</f>
        <v>1018967.8866</v>
      </c>
    </row>
    <row r="102" customFormat="false" ht="12.75" hidden="false" customHeight="false" outlineLevel="0" collapsed="false">
      <c r="A102" s="165" t="n">
        <v>45413</v>
      </c>
      <c r="B102" s="8" t="s">
        <v>77</v>
      </c>
      <c r="C102" s="2"/>
      <c r="D102" s="2"/>
      <c r="E102" s="2" t="n">
        <v>64000</v>
      </c>
    </row>
    <row r="103" customFormat="false" ht="12.75" hidden="false" customHeight="false" outlineLevel="0" collapsed="false">
      <c r="A103" s="165" t="n">
        <f aca="false">A102</f>
        <v>45413</v>
      </c>
      <c r="B103" s="8" t="s">
        <v>387</v>
      </c>
      <c r="C103" s="2"/>
      <c r="D103" s="2"/>
      <c r="E103" s="2" t="n">
        <v>150845</v>
      </c>
    </row>
    <row r="104" customFormat="false" ht="12.75" hidden="false" customHeight="false" outlineLevel="0" collapsed="false">
      <c r="A104" s="165" t="n">
        <f aca="false">A103</f>
        <v>45413</v>
      </c>
      <c r="B104" s="8" t="s">
        <v>309</v>
      </c>
      <c r="C104" s="2"/>
      <c r="D104" s="2"/>
      <c r="E104" s="17" t="n">
        <v>6036.94</v>
      </c>
    </row>
    <row r="105" customFormat="false" ht="12.75" hidden="false" customHeight="false" outlineLevel="0" collapsed="false">
      <c r="A105" s="165" t="n">
        <f aca="false">A104</f>
        <v>45413</v>
      </c>
      <c r="B105" s="8" t="s">
        <v>310</v>
      </c>
      <c r="C105" s="2"/>
      <c r="D105" s="2"/>
      <c r="E105" s="17" t="n">
        <v>102000</v>
      </c>
    </row>
    <row r="106" customFormat="false" ht="12.75" hidden="false" customHeight="false" outlineLevel="0" collapsed="false">
      <c r="A106" s="165" t="n">
        <f aca="false">A105</f>
        <v>45413</v>
      </c>
      <c r="B106" s="8" t="s">
        <v>507</v>
      </c>
      <c r="C106" s="2"/>
      <c r="D106" s="2"/>
      <c r="E106" s="17" t="n">
        <v>0</v>
      </c>
    </row>
    <row r="107" customFormat="false" ht="12.75" hidden="false" customHeight="false" outlineLevel="0" collapsed="false">
      <c r="A107" s="165" t="n">
        <f aca="false">A106</f>
        <v>45413</v>
      </c>
      <c r="B107" s="8" t="s">
        <v>311</v>
      </c>
      <c r="C107" s="129"/>
      <c r="D107" s="2"/>
      <c r="E107" s="17" t="n">
        <v>0</v>
      </c>
    </row>
    <row r="108" customFormat="false" ht="12.75" hidden="false" customHeight="false" outlineLevel="0" collapsed="false">
      <c r="A108" s="165" t="n">
        <f aca="false">A107</f>
        <v>45413</v>
      </c>
      <c r="B108" s="8" t="s">
        <v>245</v>
      </c>
      <c r="C108" s="2"/>
      <c r="D108" s="2"/>
      <c r="E108" s="17" t="n">
        <v>0</v>
      </c>
    </row>
    <row r="109" customFormat="false" ht="12.75" hidden="false" customHeight="false" outlineLevel="0" collapsed="false">
      <c r="A109" s="165" t="n">
        <f aca="false">A108</f>
        <v>45413</v>
      </c>
      <c r="B109" s="8" t="s">
        <v>508</v>
      </c>
      <c r="C109" s="180" t="n">
        <v>125000</v>
      </c>
      <c r="D109" s="2" t="n">
        <v>0.880976</v>
      </c>
      <c r="E109" s="17" t="n">
        <f aca="false">D109*C109</f>
        <v>110122</v>
      </c>
    </row>
    <row r="110" customFormat="false" ht="12.75" hidden="false" customHeight="false" outlineLevel="0" collapsed="false">
      <c r="A110" s="165" t="n">
        <f aca="false">A109</f>
        <v>45413</v>
      </c>
      <c r="B110" s="8" t="s">
        <v>509</v>
      </c>
      <c r="C110" s="2" t="n">
        <v>10</v>
      </c>
      <c r="D110" s="2" t="n">
        <v>145</v>
      </c>
      <c r="E110" s="17" t="n">
        <f aca="false">D110*C110</f>
        <v>1450</v>
      </c>
    </row>
    <row r="111" customFormat="false" ht="12.75" hidden="false" customHeight="false" outlineLevel="0" collapsed="false">
      <c r="A111" s="165" t="n">
        <f aca="false">A109</f>
        <v>45413</v>
      </c>
      <c r="B111" s="8" t="s">
        <v>143</v>
      </c>
      <c r="C111" s="2"/>
      <c r="D111" s="2"/>
      <c r="E111" s="17" t="n">
        <v>450</v>
      </c>
    </row>
    <row r="112" customFormat="false" ht="12.75" hidden="false" customHeight="false" outlineLevel="0" collapsed="false">
      <c r="A112" s="165" t="n">
        <f aca="false">A111</f>
        <v>45413</v>
      </c>
      <c r="B112" s="8" t="s">
        <v>389</v>
      </c>
      <c r="C112" s="2" t="n">
        <v>2500</v>
      </c>
      <c r="D112" s="2" t="n">
        <v>25.11</v>
      </c>
      <c r="E112" s="17" t="n">
        <f aca="false">D112*C112</f>
        <v>62775</v>
      </c>
    </row>
    <row r="113" customFormat="false" ht="12.75" hidden="false" customHeight="false" outlineLevel="0" collapsed="false">
      <c r="A113" s="165" t="n">
        <f aca="false">A111</f>
        <v>45413</v>
      </c>
      <c r="B113" s="8" t="s">
        <v>512</v>
      </c>
      <c r="C113" s="2" t="n">
        <v>2308.97</v>
      </c>
      <c r="D113" s="2" t="n">
        <v>156</v>
      </c>
      <c r="E113" s="17" t="n">
        <f aca="false">D113*C113</f>
        <v>360199.32</v>
      </c>
    </row>
    <row r="114" customFormat="false" ht="12.75" hidden="false" customHeight="false" outlineLevel="0" collapsed="false">
      <c r="A114" s="165" t="n">
        <f aca="false">A113</f>
        <v>45413</v>
      </c>
      <c r="B114" s="8" t="s">
        <v>605</v>
      </c>
      <c r="C114" s="167" t="n">
        <v>31.8793</v>
      </c>
      <c r="D114" s="2" t="n">
        <v>850</v>
      </c>
      <c r="E114" s="17" t="n">
        <f aca="false">D114*C114</f>
        <v>27097.405</v>
      </c>
    </row>
    <row r="115" customFormat="false" ht="12.75" hidden="false" customHeight="false" outlineLevel="0" collapsed="false">
      <c r="A115" s="165" t="n">
        <f aca="false">A114</f>
        <v>45413</v>
      </c>
      <c r="B115" s="8" t="s">
        <v>514</v>
      </c>
      <c r="C115" s="167" t="n">
        <f aca="false">C114</f>
        <v>31.8793</v>
      </c>
      <c r="D115" s="2" t="n">
        <v>250</v>
      </c>
      <c r="E115" s="17" t="n">
        <f aca="false">D115*C115</f>
        <v>7969.825</v>
      </c>
    </row>
    <row r="116" customFormat="false" ht="12.75" hidden="false" customHeight="false" outlineLevel="0" collapsed="false">
      <c r="A116" s="165" t="n">
        <f aca="false">A115</f>
        <v>45413</v>
      </c>
      <c r="B116" s="8" t="s">
        <v>606</v>
      </c>
      <c r="C116" s="167" t="n">
        <v>34.3945</v>
      </c>
      <c r="D116" s="2" t="n">
        <v>58.8</v>
      </c>
      <c r="E116" s="17" t="n">
        <f aca="false">D116*C116</f>
        <v>2022.3966</v>
      </c>
    </row>
    <row r="117" customFormat="false" ht="12.75" hidden="false" customHeight="false" outlineLevel="0" collapsed="false">
      <c r="A117" s="165" t="n">
        <f aca="false">A116</f>
        <v>45413</v>
      </c>
      <c r="B117" s="8" t="s">
        <v>155</v>
      </c>
      <c r="C117" s="2"/>
      <c r="D117" s="2"/>
      <c r="E117" s="17" t="n">
        <v>120000</v>
      </c>
    </row>
    <row r="118" customFormat="false" ht="12.75" hidden="false" customHeight="false" outlineLevel="0" collapsed="false">
      <c r="A118" s="165" t="n">
        <f aca="false">A117</f>
        <v>45413</v>
      </c>
      <c r="B118" s="8" t="s">
        <v>156</v>
      </c>
      <c r="C118" s="2"/>
      <c r="D118" s="2"/>
      <c r="E118" s="17" t="n">
        <v>4000</v>
      </c>
    </row>
    <row r="119" customFormat="false" ht="12.75" hidden="false" customHeight="false" outlineLevel="0" collapsed="false">
      <c r="E119" s="181"/>
    </row>
    <row r="120" customFormat="false" ht="12.75" hidden="false" customHeight="false" outlineLevel="0" collapsed="false">
      <c r="C120" s="129"/>
      <c r="D120" s="3"/>
      <c r="E120" s="129"/>
    </row>
    <row r="121" customFormat="false" ht="12.75" hidden="false" customHeight="false" outlineLevel="0" collapsed="false">
      <c r="C121" s="129"/>
      <c r="D121" s="18" t="s">
        <v>158</v>
      </c>
      <c r="E121" s="9" t="n">
        <f aca="false">SUM(E102:E118)</f>
        <v>1018967.8866</v>
      </c>
    </row>
    <row r="122" customFormat="false" ht="12.75" hidden="false" customHeight="false" outlineLevel="0" collapsed="false">
      <c r="C122" s="130" t="str">
        <f aca="false">A101</f>
        <v>MAYISa</v>
      </c>
      <c r="D122" s="131" t="s">
        <v>159</v>
      </c>
      <c r="E122" s="132" t="n">
        <f aca="false">H2</f>
        <v>-39056.3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H130"/>
  <sheetViews>
    <sheetView showFormulas="false" showGridLines="true" showRowColHeaders="true" showZeros="true" rightToLeft="false" tabSelected="false" showOutlineSymbols="true" defaultGridColor="true" view="normal" topLeftCell="A23" colorId="64" zoomScale="170" zoomScaleNormal="170" zoomScalePageLayoutView="100" workbookViewId="0">
      <selection pane="topLeft" activeCell="B20" activeCellId="0" sqref="B20"/>
    </sheetView>
  </sheetViews>
  <sheetFormatPr defaultColWidth="12.2929687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79" width="16"/>
    <col collapsed="false" customWidth="true" hidden="false" outlineLevel="0" max="5" min="5" style="79" width="12.57"/>
    <col collapsed="false" customWidth="false" hidden="false" outlineLevel="0" max="8" min="6" style="79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79" t="s">
        <v>28</v>
      </c>
      <c r="G1" s="79" t="s">
        <v>29</v>
      </c>
      <c r="H1" s="79" t="s">
        <v>3</v>
      </c>
    </row>
    <row r="2" customFormat="false" ht="12.75" hidden="false" customHeight="false" outlineLevel="0" collapsed="false">
      <c r="A2" s="3" t="s">
        <v>633</v>
      </c>
      <c r="C2" s="81" t="s">
        <v>67</v>
      </c>
      <c r="D2" s="79" t="n">
        <f aca="false">SUM(D5:D45)</f>
        <v>40000</v>
      </c>
      <c r="E2" s="79" t="n">
        <f aca="false">SUM(E5:E45)</f>
        <v>-51710.3</v>
      </c>
      <c r="F2" s="79" t="n">
        <f aca="false">SUM(F5:F45)</f>
        <v>332427.62</v>
      </c>
      <c r="G2" s="79" t="n">
        <f aca="false">SUM(G5:G45)</f>
        <v>-86892.22</v>
      </c>
      <c r="H2" s="79" t="n">
        <f aca="false">F2+G2</f>
        <v>245535.4</v>
      </c>
    </row>
    <row r="3" customFormat="false" ht="12.75" hidden="false" customHeight="false" outlineLevel="0" collapsed="false">
      <c r="B3" s="18"/>
    </row>
    <row r="5" customFormat="false" ht="12.75" hidden="false" customHeight="false" outlineLevel="0" collapsed="false">
      <c r="A5" s="90" t="n">
        <v>45339</v>
      </c>
      <c r="B5" s="103" t="s">
        <v>634</v>
      </c>
      <c r="C5" s="103" t="s">
        <v>361</v>
      </c>
      <c r="E5" s="80" t="n">
        <v>-250</v>
      </c>
      <c r="F5" s="80"/>
      <c r="G5" s="80"/>
      <c r="H5" s="80" t="n">
        <f aca="false">H4+F5+G5</f>
        <v>0</v>
      </c>
    </row>
    <row r="6" customFormat="false" ht="12.75" hidden="false" customHeight="false" outlineLevel="0" collapsed="false">
      <c r="A6" s="90" t="n">
        <v>45377</v>
      </c>
      <c r="B6" s="42" t="s">
        <v>434</v>
      </c>
      <c r="C6" s="8" t="s">
        <v>635</v>
      </c>
      <c r="E6" s="80" t="n">
        <v>-152</v>
      </c>
      <c r="F6" s="80"/>
      <c r="G6" s="80" t="n">
        <v>-169.28</v>
      </c>
      <c r="H6" s="80" t="n">
        <f aca="false">H5+F6+G6</f>
        <v>-169.28</v>
      </c>
    </row>
    <row r="7" customFormat="false" ht="12.75" hidden="false" customHeight="false" outlineLevel="0" collapsed="false">
      <c r="A7" s="90" t="n">
        <v>45383</v>
      </c>
      <c r="B7" s="103" t="s">
        <v>636</v>
      </c>
      <c r="C7" s="103"/>
      <c r="E7" s="80" t="n">
        <v>-1500</v>
      </c>
      <c r="G7" s="80" t="n">
        <v>-1512.13</v>
      </c>
      <c r="H7" s="80" t="n">
        <f aca="false">H6+F7+G7</f>
        <v>-1681.41</v>
      </c>
    </row>
    <row r="8" customFormat="false" ht="12.75" hidden="false" customHeight="false" outlineLevel="0" collapsed="false">
      <c r="A8" s="90" t="n">
        <v>45384</v>
      </c>
      <c r="B8" s="103" t="s">
        <v>637</v>
      </c>
      <c r="C8" s="103"/>
      <c r="E8" s="80"/>
      <c r="G8" s="80" t="n">
        <v>-10000</v>
      </c>
      <c r="H8" s="80" t="n">
        <f aca="false">H7+F8+G8</f>
        <v>-11681.41</v>
      </c>
    </row>
    <row r="9" customFormat="false" ht="12.75" hidden="false" customHeight="false" outlineLevel="0" collapsed="false">
      <c r="A9" s="90" t="n">
        <v>45384</v>
      </c>
      <c r="B9" s="8" t="s">
        <v>638</v>
      </c>
      <c r="D9" s="191"/>
      <c r="E9" s="80" t="n">
        <v>-2273.07</v>
      </c>
      <c r="F9" s="64"/>
      <c r="G9" s="80" t="n">
        <v>-2237.07</v>
      </c>
      <c r="H9" s="80" t="n">
        <f aca="false">H8+F9+G9</f>
        <v>-13918.48</v>
      </c>
    </row>
    <row r="10" customFormat="false" ht="12.75" hidden="false" customHeight="false" outlineLevel="0" collapsed="false">
      <c r="A10" s="90" t="n">
        <v>45384</v>
      </c>
      <c r="B10" s="8" t="s">
        <v>610</v>
      </c>
      <c r="D10" s="79" t="s">
        <v>639</v>
      </c>
      <c r="E10" s="80" t="n">
        <v>-103.5</v>
      </c>
      <c r="F10" s="80"/>
      <c r="G10" s="80" t="n">
        <v>-103.5</v>
      </c>
      <c r="H10" s="80" t="n">
        <f aca="false">H9+F10+G10</f>
        <v>-14021.98</v>
      </c>
    </row>
    <row r="11" customFormat="false" ht="12.75" hidden="false" customHeight="false" outlineLevel="0" collapsed="false">
      <c r="A11" s="90" t="n">
        <v>45385</v>
      </c>
      <c r="B11" s="103" t="s">
        <v>75</v>
      </c>
      <c r="C11" s="103" t="s">
        <v>332</v>
      </c>
      <c r="D11" s="80"/>
      <c r="E11" s="80" t="n">
        <v>-150</v>
      </c>
      <c r="F11" s="80"/>
      <c r="G11" s="80" t="n">
        <v>-197.34</v>
      </c>
      <c r="H11" s="80" t="n">
        <f aca="false">H10+F11+G11</f>
        <v>-14219.32</v>
      </c>
    </row>
    <row r="12" customFormat="false" ht="12.75" hidden="false" customHeight="false" outlineLevel="0" collapsed="false">
      <c r="A12" s="170" t="n">
        <v>45385</v>
      </c>
      <c r="B12" s="182" t="s">
        <v>69</v>
      </c>
      <c r="D12" s="80"/>
      <c r="E12" s="80" t="n">
        <f aca="false">E97</f>
        <v>-6501.46</v>
      </c>
      <c r="F12" s="80"/>
      <c r="G12" s="80" t="n">
        <f aca="false">E12</f>
        <v>-6501.46</v>
      </c>
      <c r="H12" s="80" t="n">
        <f aca="false">H11+F12+G12</f>
        <v>-20720.78</v>
      </c>
    </row>
    <row r="13" customFormat="false" ht="12.75" hidden="false" customHeight="false" outlineLevel="0" collapsed="false">
      <c r="A13" s="90" t="n">
        <v>45386</v>
      </c>
      <c r="B13" s="182" t="s">
        <v>68</v>
      </c>
      <c r="D13" s="80"/>
      <c r="E13" s="80" t="n">
        <f aca="false">E65</f>
        <v>-6693.55</v>
      </c>
      <c r="F13" s="80"/>
      <c r="G13" s="80" t="n">
        <f aca="false">E13</f>
        <v>-6693.55</v>
      </c>
      <c r="H13" s="80" t="n">
        <f aca="false">H12+F13+G13</f>
        <v>-27414.33</v>
      </c>
    </row>
    <row r="14" customFormat="false" ht="12.75" hidden="false" customHeight="false" outlineLevel="0" collapsed="false">
      <c r="A14" s="90" t="n">
        <v>45386</v>
      </c>
      <c r="B14" s="8" t="s">
        <v>640</v>
      </c>
      <c r="D14" s="191" t="n">
        <v>15000</v>
      </c>
      <c r="F14" s="80" t="n">
        <v>15000</v>
      </c>
      <c r="H14" s="80" t="n">
        <f aca="false">H13+F14+G14</f>
        <v>-12414.33</v>
      </c>
    </row>
    <row r="15" customFormat="false" ht="12.75" hidden="false" customHeight="false" outlineLevel="0" collapsed="false">
      <c r="A15" s="170" t="n">
        <v>45387</v>
      </c>
      <c r="B15" s="182" t="s">
        <v>641</v>
      </c>
      <c r="D15" s="80"/>
      <c r="E15" s="80"/>
      <c r="F15" s="80" t="n">
        <v>3000</v>
      </c>
      <c r="H15" s="80" t="n">
        <f aca="false">H14+F15+G15</f>
        <v>-9414.33</v>
      </c>
    </row>
    <row r="16" customFormat="false" ht="12.75" hidden="false" customHeight="false" outlineLevel="0" collapsed="false">
      <c r="A16" s="102" t="n">
        <v>45389</v>
      </c>
      <c r="B16" s="103" t="s">
        <v>642</v>
      </c>
      <c r="C16" s="103"/>
      <c r="E16" s="80" t="n">
        <v>-5375</v>
      </c>
      <c r="F16" s="80"/>
      <c r="G16" s="80" t="n">
        <f aca="false">E16</f>
        <v>-5375</v>
      </c>
      <c r="H16" s="80" t="n">
        <f aca="false">H15+F16+G16</f>
        <v>-14789.33</v>
      </c>
    </row>
    <row r="17" customFormat="false" ht="12.75" hidden="false" customHeight="false" outlineLevel="0" collapsed="false">
      <c r="A17" s="102" t="n">
        <v>45389</v>
      </c>
      <c r="B17" s="103" t="s">
        <v>642</v>
      </c>
      <c r="C17" s="103"/>
      <c r="E17" s="80" t="n">
        <v>-2125</v>
      </c>
      <c r="F17" s="80"/>
      <c r="G17" s="80" t="n">
        <f aca="false">E17</f>
        <v>-2125</v>
      </c>
      <c r="H17" s="80" t="n">
        <f aca="false">H16+F17+G17</f>
        <v>-16914.33</v>
      </c>
    </row>
    <row r="18" customFormat="false" ht="12.75" hidden="false" customHeight="false" outlineLevel="0" collapsed="false">
      <c r="B18" s="0" t="s">
        <v>403</v>
      </c>
      <c r="D18" s="80"/>
      <c r="E18" s="80" t="n">
        <v>-10000</v>
      </c>
      <c r="F18" s="80"/>
      <c r="G18" s="80" t="n">
        <f aca="false">E18</f>
        <v>-10000</v>
      </c>
      <c r="H18" s="80" t="n">
        <f aca="false">H17+F18+G18</f>
        <v>-26914.33</v>
      </c>
    </row>
    <row r="19" customFormat="false" ht="12.75" hidden="false" customHeight="false" outlineLevel="0" collapsed="false">
      <c r="A19" s="90" t="n">
        <v>45397</v>
      </c>
      <c r="B19" s="182" t="s">
        <v>72</v>
      </c>
      <c r="D19" s="80"/>
      <c r="E19" s="80" t="n">
        <f aca="false">E60*-1</f>
        <v>-286.72</v>
      </c>
      <c r="F19" s="80"/>
      <c r="G19" s="80" t="n">
        <f aca="false">E19</f>
        <v>-286.72</v>
      </c>
      <c r="H19" s="80" t="n">
        <f aca="false">H18+F19+G19</f>
        <v>-27201.05</v>
      </c>
    </row>
    <row r="20" customFormat="false" ht="12.75" hidden="false" customHeight="false" outlineLevel="0" collapsed="false">
      <c r="A20" s="90" t="n">
        <v>45397</v>
      </c>
      <c r="B20" s="103" t="s">
        <v>465</v>
      </c>
      <c r="D20" s="80"/>
      <c r="E20" s="80"/>
      <c r="F20" s="80"/>
      <c r="G20" s="80" t="n">
        <v>-55</v>
      </c>
      <c r="H20" s="80" t="n">
        <f aca="false">H19+F20+G20</f>
        <v>-27256.05</v>
      </c>
    </row>
    <row r="21" customFormat="false" ht="12.75" hidden="false" customHeight="false" outlineLevel="0" collapsed="false">
      <c r="A21" s="90" t="n">
        <v>45397</v>
      </c>
      <c r="B21" s="103" t="s">
        <v>643</v>
      </c>
      <c r="D21" s="80"/>
      <c r="E21" s="80"/>
      <c r="F21" s="80" t="n">
        <v>85000</v>
      </c>
      <c r="G21" s="80"/>
      <c r="H21" s="80" t="n">
        <f aca="false">H20+F21+G21</f>
        <v>57743.95</v>
      </c>
    </row>
    <row r="22" customFormat="false" ht="12.75" hidden="false" customHeight="false" outlineLevel="0" collapsed="false">
      <c r="A22" s="99" t="n">
        <v>45398</v>
      </c>
      <c r="B22" s="108" t="s">
        <v>73</v>
      </c>
      <c r="C22" s="108" t="s">
        <v>644</v>
      </c>
      <c r="D22" s="80"/>
      <c r="E22" s="80" t="n">
        <v>-300</v>
      </c>
      <c r="F22" s="80"/>
      <c r="G22" s="80" t="n">
        <v>-636</v>
      </c>
      <c r="H22" s="80" t="n">
        <f aca="false">H21+F22+G22</f>
        <v>57107.95</v>
      </c>
    </row>
    <row r="23" customFormat="false" ht="12.75" hidden="false" customHeight="false" outlineLevel="0" collapsed="false">
      <c r="A23" s="99" t="n">
        <v>45398</v>
      </c>
      <c r="B23" s="108" t="s">
        <v>74</v>
      </c>
      <c r="C23" s="108" t="s">
        <v>332</v>
      </c>
      <c r="D23" s="80"/>
      <c r="E23" s="80" t="n">
        <v>-100</v>
      </c>
      <c r="F23" s="80"/>
      <c r="G23" s="80" t="n">
        <v>0</v>
      </c>
      <c r="H23" s="80" t="n">
        <f aca="false">H22+F23+G23</f>
        <v>57107.95</v>
      </c>
    </row>
    <row r="24" customFormat="false" ht="12.75" hidden="false" customHeight="false" outlineLevel="0" collapsed="false">
      <c r="A24" s="90" t="n">
        <v>45401</v>
      </c>
      <c r="B24" s="8" t="s">
        <v>645</v>
      </c>
      <c r="D24" s="80"/>
      <c r="E24" s="80"/>
      <c r="F24" s="80"/>
      <c r="G24" s="80" t="n">
        <v>-3592.17</v>
      </c>
      <c r="H24" s="80" t="n">
        <f aca="false">H23+F24+G24</f>
        <v>53515.78</v>
      </c>
    </row>
    <row r="25" customFormat="false" ht="12.75" hidden="false" customHeight="false" outlineLevel="0" collapsed="false">
      <c r="A25" s="90" t="n">
        <v>45404</v>
      </c>
      <c r="B25" s="8" t="s">
        <v>646</v>
      </c>
      <c r="C25" s="8" t="s">
        <v>156</v>
      </c>
      <c r="D25" s="80"/>
      <c r="E25" s="80"/>
      <c r="F25" s="80" t="n">
        <v>1000</v>
      </c>
      <c r="G25" s="80"/>
      <c r="H25" s="80" t="n">
        <f aca="false">H24+F25+G25</f>
        <v>54515.78</v>
      </c>
    </row>
    <row r="26" customFormat="false" ht="12.75" hidden="false" customHeight="false" outlineLevel="0" collapsed="false">
      <c r="A26" s="90"/>
      <c r="B26" s="8" t="s">
        <v>646</v>
      </c>
      <c r="C26" s="8" t="s">
        <v>156</v>
      </c>
      <c r="D26" s="80"/>
      <c r="E26" s="80"/>
      <c r="F26" s="80" t="n">
        <v>50000</v>
      </c>
      <c r="G26" s="80"/>
      <c r="H26" s="80" t="n">
        <f aca="false">H25+F26+G26</f>
        <v>104515.78</v>
      </c>
    </row>
    <row r="27" customFormat="false" ht="12.75" hidden="false" customHeight="false" outlineLevel="0" collapsed="false">
      <c r="A27" s="90"/>
      <c r="B27" s="8" t="s">
        <v>646</v>
      </c>
      <c r="C27" s="8" t="s">
        <v>647</v>
      </c>
      <c r="D27" s="80"/>
      <c r="E27" s="80"/>
      <c r="F27" s="80" t="n">
        <v>33000</v>
      </c>
      <c r="G27" s="80"/>
      <c r="H27" s="80" t="n">
        <f aca="false">H26+F27+G27</f>
        <v>137515.78</v>
      </c>
    </row>
    <row r="28" customFormat="false" ht="12.75" hidden="false" customHeight="false" outlineLevel="0" collapsed="false">
      <c r="A28" s="90"/>
      <c r="B28" s="8" t="s">
        <v>646</v>
      </c>
      <c r="C28" s="8" t="s">
        <v>156</v>
      </c>
      <c r="D28" s="80"/>
      <c r="E28" s="80"/>
      <c r="F28" s="80" t="n">
        <v>120000</v>
      </c>
      <c r="G28" s="80"/>
      <c r="H28" s="80" t="n">
        <f aca="false">H27+F28+G28</f>
        <v>257515.78</v>
      </c>
    </row>
    <row r="29" customFormat="false" ht="12.75" hidden="false" customHeight="false" outlineLevel="0" collapsed="false">
      <c r="A29" s="90"/>
      <c r="B29" s="8" t="s">
        <v>648</v>
      </c>
      <c r="D29" s="80"/>
      <c r="E29" s="80"/>
      <c r="F29" s="80"/>
      <c r="G29" s="80" t="n">
        <v>-24000</v>
      </c>
      <c r="H29" s="80" t="n">
        <f aca="false">H28+F29+G29</f>
        <v>233515.78</v>
      </c>
    </row>
    <row r="30" customFormat="false" ht="12.75" hidden="false" customHeight="false" outlineLevel="0" collapsed="false">
      <c r="A30" s="90"/>
      <c r="D30" s="80"/>
      <c r="E30" s="80"/>
      <c r="F30" s="80"/>
      <c r="G30" s="80"/>
      <c r="H30" s="80" t="n">
        <f aca="false">H29+F30+G30</f>
        <v>233515.78</v>
      </c>
    </row>
    <row r="31" customFormat="false" ht="12.75" hidden="false" customHeight="false" outlineLevel="0" collapsed="false">
      <c r="A31" s="90"/>
      <c r="D31" s="80"/>
      <c r="E31" s="80"/>
      <c r="F31" s="80"/>
      <c r="G31" s="80"/>
      <c r="H31" s="80" t="n">
        <f aca="false">H30+F31+G31</f>
        <v>233515.78</v>
      </c>
    </row>
    <row r="32" customFormat="false" ht="12.75" hidden="false" customHeight="false" outlineLevel="0" collapsed="false">
      <c r="A32" s="90"/>
      <c r="D32" s="80"/>
      <c r="E32" s="80"/>
      <c r="F32" s="80"/>
      <c r="G32" s="80"/>
      <c r="H32" s="80" t="n">
        <f aca="false">H31+F32+G32</f>
        <v>233515.78</v>
      </c>
    </row>
    <row r="33" customFormat="false" ht="12.75" hidden="false" customHeight="false" outlineLevel="0" collapsed="false">
      <c r="A33" s="90"/>
      <c r="H33" s="80" t="n">
        <f aca="false">H32+F33+G33</f>
        <v>233515.78</v>
      </c>
    </row>
    <row r="34" customFormat="false" ht="12.75" hidden="false" customHeight="false" outlineLevel="0" collapsed="false">
      <c r="A34" s="90" t="n">
        <v>45414</v>
      </c>
      <c r="B34" s="103" t="s">
        <v>80</v>
      </c>
      <c r="C34" s="103"/>
      <c r="E34" s="80" t="n">
        <v>-400</v>
      </c>
      <c r="F34" s="64"/>
      <c r="H34" s="80" t="n">
        <f aca="false">H33+F34+G34</f>
        <v>233515.78</v>
      </c>
    </row>
    <row r="35" customFormat="false" ht="12.75" hidden="false" customHeight="false" outlineLevel="0" collapsed="false">
      <c r="A35" s="90" t="n">
        <v>45414</v>
      </c>
      <c r="B35" s="103" t="s">
        <v>81</v>
      </c>
      <c r="C35" s="103"/>
      <c r="E35" s="80" t="n">
        <v>-500</v>
      </c>
      <c r="H35" s="80" t="n">
        <f aca="false">H34+F35+G35</f>
        <v>233515.78</v>
      </c>
    </row>
    <row r="36" customFormat="false" ht="12.75" hidden="false" customHeight="false" outlineLevel="0" collapsed="false">
      <c r="H36" s="80" t="n">
        <f aca="false">H35+F36+G36</f>
        <v>233515.78</v>
      </c>
    </row>
    <row r="37" customFormat="false" ht="12.75" hidden="false" customHeight="false" outlineLevel="0" collapsed="false">
      <c r="B37" s="0" t="s">
        <v>77</v>
      </c>
      <c r="D37" s="80"/>
      <c r="E37" s="80"/>
      <c r="F37" s="80"/>
      <c r="G37" s="80"/>
      <c r="H37" s="80" t="n">
        <f aca="false">H36+F37+G37</f>
        <v>233515.78</v>
      </c>
    </row>
    <row r="38" customFormat="false" ht="12.75" hidden="false" customHeight="false" outlineLevel="0" collapsed="false">
      <c r="B38" s="0" t="s">
        <v>649</v>
      </c>
      <c r="D38" s="80"/>
      <c r="E38" s="80" t="n">
        <v>-5000</v>
      </c>
      <c r="F38" s="80"/>
      <c r="G38" s="80" t="n">
        <v>-6704</v>
      </c>
      <c r="H38" s="80" t="n">
        <f aca="false">H37+F38+G38</f>
        <v>226811.78</v>
      </c>
    </row>
    <row r="39" customFormat="false" ht="12.75" hidden="false" customHeight="false" outlineLevel="0" collapsed="false">
      <c r="B39" s="0" t="s">
        <v>650</v>
      </c>
      <c r="D39" s="80"/>
      <c r="E39" s="80" t="n">
        <v>-5000</v>
      </c>
      <c r="F39" s="80"/>
      <c r="G39" s="80" t="n">
        <v>-6704</v>
      </c>
      <c r="H39" s="80" t="n">
        <f aca="false">H38+F39+G39</f>
        <v>220107.78</v>
      </c>
    </row>
    <row r="40" customFormat="false" ht="12.75" hidden="false" customHeight="false" outlineLevel="0" collapsed="false">
      <c r="B40" s="0" t="s">
        <v>79</v>
      </c>
      <c r="D40" s="80"/>
      <c r="E40" s="80" t="n">
        <v>-5000</v>
      </c>
      <c r="F40" s="80"/>
      <c r="G40" s="80"/>
      <c r="H40" s="80" t="n">
        <f aca="false">H39+F40+G40</f>
        <v>220107.78</v>
      </c>
    </row>
    <row r="41" customFormat="false" ht="12.75" hidden="false" customHeight="false" outlineLevel="0" collapsed="false">
      <c r="B41" s="0" t="s">
        <v>76</v>
      </c>
      <c r="D41" s="80" t="n">
        <v>10000</v>
      </c>
      <c r="E41" s="80"/>
      <c r="F41" s="80" t="n">
        <v>10427.62</v>
      </c>
      <c r="G41" s="80"/>
      <c r="H41" s="80" t="n">
        <f aca="false">H40+F41+G41</f>
        <v>230535.4</v>
      </c>
    </row>
    <row r="42" customFormat="false" ht="12.75" hidden="false" customHeight="false" outlineLevel="0" collapsed="false">
      <c r="A42" s="102"/>
      <c r="B42" s="8" t="s">
        <v>651</v>
      </c>
      <c r="D42" s="80" t="n">
        <v>15000</v>
      </c>
      <c r="E42" s="80"/>
      <c r="F42" s="80" t="n">
        <v>15000</v>
      </c>
      <c r="G42" s="80"/>
      <c r="H42" s="80" t="n">
        <f aca="false">H41+F42+G42</f>
        <v>245535.4</v>
      </c>
    </row>
    <row r="43" customFormat="false" ht="12.75" hidden="false" customHeight="false" outlineLevel="0" collapsed="false">
      <c r="H43" s="80" t="n">
        <f aca="false">H42+F43+G43</f>
        <v>245535.4</v>
      </c>
    </row>
    <row r="44" customFormat="false" ht="12.75" hidden="false" customHeight="false" outlineLevel="0" collapsed="false">
      <c r="H44" s="80" t="n">
        <f aca="false">H43+F44+G44</f>
        <v>245535.4</v>
      </c>
    </row>
    <row r="45" customFormat="false" ht="12.75" hidden="false" customHeight="false" outlineLevel="0" collapsed="false">
      <c r="A45" s="192" t="n">
        <v>45322</v>
      </c>
      <c r="B45" s="25" t="s">
        <v>652</v>
      </c>
      <c r="C45" s="193"/>
      <c r="D45" s="193"/>
      <c r="H45" s="80" t="n">
        <f aca="false">H44+F45+G45</f>
        <v>245535.4</v>
      </c>
    </row>
    <row r="46" customFormat="false" ht="12.75" hidden="false" customHeight="false" outlineLevel="0" collapsed="false">
      <c r="A46" s="90"/>
      <c r="C46" s="129"/>
      <c r="D46" s="129"/>
    </row>
    <row r="47" customFormat="false" ht="12.75" hidden="false" customHeight="false" outlineLevel="0" collapsed="false">
      <c r="A47" s="90"/>
      <c r="C47" s="129"/>
      <c r="D47" s="129"/>
    </row>
    <row r="48" customFormat="false" ht="12.75" hidden="false" customHeight="false" outlineLevel="0" collapsed="false">
      <c r="A48" s="90"/>
      <c r="C48" s="129"/>
      <c r="D48" s="129"/>
    </row>
    <row r="49" customFormat="false" ht="12.75" hidden="false" customHeight="false" outlineLevel="0" collapsed="false">
      <c r="A49" s="90"/>
      <c r="C49" s="129"/>
      <c r="D49" s="129"/>
    </row>
    <row r="51" customFormat="false" ht="12.75" hidden="false" customHeight="false" outlineLevel="0" collapsed="false">
      <c r="B51" s="0" t="s">
        <v>334</v>
      </c>
    </row>
    <row r="52" customFormat="false" ht="12.75" hidden="false" customHeight="false" outlineLevel="0" collapsed="false">
      <c r="A52" s="105" t="s">
        <v>335</v>
      </c>
      <c r="B52" s="105"/>
      <c r="C52" s="105"/>
    </row>
    <row r="53" customFormat="false" ht="12.75" hidden="false" customHeight="false" outlineLevel="0" collapsed="false">
      <c r="A53" s="102"/>
      <c r="C53" s="176"/>
    </row>
    <row r="54" customFormat="false" ht="12.75" hidden="false" customHeight="false" outlineLevel="0" collapsed="false">
      <c r="A54" s="177" t="n">
        <v>44929</v>
      </c>
      <c r="B54" s="178" t="s">
        <v>336</v>
      </c>
      <c r="C54" s="105"/>
      <c r="D54" s="79" t="n">
        <f aca="false">SUM(D55:D60)</f>
        <v>4514.12</v>
      </c>
      <c r="E54" s="79" t="n">
        <f aca="false">SUM(E55:E60)</f>
        <v>4437.22</v>
      </c>
    </row>
    <row r="55" customFormat="false" ht="12.75" hidden="false" customHeight="false" outlineLevel="0" collapsed="false">
      <c r="A55" s="102"/>
      <c r="B55" s="108" t="s">
        <v>337</v>
      </c>
      <c r="D55" s="79" t="n">
        <v>874.44</v>
      </c>
      <c r="E55" s="79" t="n">
        <v>800</v>
      </c>
    </row>
    <row r="56" customFormat="false" ht="12.75" hidden="false" customHeight="false" outlineLevel="0" collapsed="false">
      <c r="B56" s="0" t="s">
        <v>338</v>
      </c>
      <c r="D56" s="79" t="n">
        <v>1078.92</v>
      </c>
      <c r="E56" s="79" t="n">
        <v>1079</v>
      </c>
    </row>
    <row r="57" customFormat="false" ht="12.75" hidden="false" customHeight="false" outlineLevel="0" collapsed="false">
      <c r="B57" s="0" t="s">
        <v>339</v>
      </c>
      <c r="D57" s="79" t="n">
        <v>173.45</v>
      </c>
      <c r="E57" s="79" t="n">
        <v>172.5</v>
      </c>
    </row>
    <row r="58" customFormat="false" ht="12.75" hidden="false" customHeight="false" outlineLevel="0" collapsed="false">
      <c r="B58" s="0" t="s">
        <v>340</v>
      </c>
      <c r="C58" s="0" t="s">
        <v>653</v>
      </c>
      <c r="D58" s="79" t="n">
        <v>1774</v>
      </c>
      <c r="E58" s="79" t="n">
        <v>1774</v>
      </c>
    </row>
    <row r="59" customFormat="false" ht="12.75" hidden="false" customHeight="false" outlineLevel="0" collapsed="false">
      <c r="B59" s="0" t="s">
        <v>341</v>
      </c>
      <c r="D59" s="79" t="n">
        <v>326.59</v>
      </c>
      <c r="E59" s="79" t="n">
        <v>325</v>
      </c>
    </row>
    <row r="60" customFormat="false" ht="12.75" hidden="false" customHeight="false" outlineLevel="0" collapsed="false">
      <c r="B60" s="0" t="s">
        <v>342</v>
      </c>
      <c r="C60" s="108"/>
      <c r="D60" s="79" t="n">
        <v>286.72</v>
      </c>
      <c r="E60" s="79" t="n">
        <f aca="false">D60</f>
        <v>286.72</v>
      </c>
    </row>
    <row r="61" customFormat="false" ht="12.75" hidden="false" customHeight="false" outlineLevel="0" collapsed="false">
      <c r="C61" s="108"/>
    </row>
    <row r="63" customFormat="false" ht="12.75" hidden="false" customHeight="false" outlineLevel="0" collapsed="false">
      <c r="B63" s="17"/>
    </row>
    <row r="64" customFormat="false" ht="12.75" hidden="false" customHeight="false" outlineLevel="0" collapsed="false">
      <c r="B64" s="104"/>
    </row>
    <row r="65" customFormat="false" ht="12.75" hidden="false" customHeight="false" outlineLevel="0" collapsed="false">
      <c r="A65" s="105"/>
      <c r="B65" s="106" t="s">
        <v>83</v>
      </c>
      <c r="C65" s="105"/>
      <c r="E65" s="79" t="n">
        <f aca="false">SUM(E66:E91)</f>
        <v>-6693.55</v>
      </c>
    </row>
    <row r="67" customFormat="false" ht="12.75" hidden="false" customHeight="false" outlineLevel="0" collapsed="false">
      <c r="A67" s="102" t="n">
        <v>45187</v>
      </c>
      <c r="B67" s="108" t="s">
        <v>570</v>
      </c>
      <c r="C67" s="108" t="n">
        <v>7648.33</v>
      </c>
      <c r="D67" s="79" t="s">
        <v>404</v>
      </c>
      <c r="E67" s="79" t="n">
        <v>-849.81</v>
      </c>
    </row>
    <row r="68" customFormat="false" ht="12.75" hidden="false" customHeight="false" outlineLevel="0" collapsed="false">
      <c r="A68" s="90" t="n">
        <v>45348</v>
      </c>
      <c r="B68" s="8" t="s">
        <v>448</v>
      </c>
      <c r="C68" s="0" t="n">
        <v>1406</v>
      </c>
      <c r="D68" s="79" t="s">
        <v>654</v>
      </c>
      <c r="E68" s="79" t="n">
        <v>-234.33</v>
      </c>
    </row>
    <row r="69" customFormat="false" ht="12.75" hidden="false" customHeight="false" outlineLevel="0" collapsed="false">
      <c r="A69" s="90" t="n">
        <v>45358</v>
      </c>
      <c r="B69" s="8" t="s">
        <v>451</v>
      </c>
      <c r="C69" s="0" t="n">
        <v>2273</v>
      </c>
      <c r="D69" s="79" t="s">
        <v>654</v>
      </c>
      <c r="E69" s="79" t="n">
        <v>-378.87</v>
      </c>
    </row>
    <row r="70" customFormat="false" ht="12.75" hidden="false" customHeight="false" outlineLevel="0" collapsed="false">
      <c r="A70" s="90" t="n">
        <v>45371</v>
      </c>
      <c r="B70" s="8" t="s">
        <v>452</v>
      </c>
      <c r="D70" s="79" t="s">
        <v>655</v>
      </c>
      <c r="E70" s="79" t="n">
        <v>101.77</v>
      </c>
    </row>
    <row r="71" customFormat="false" ht="12.75" hidden="false" customHeight="false" outlineLevel="0" collapsed="false">
      <c r="A71" s="90" t="n">
        <v>45373</v>
      </c>
      <c r="B71" s="8" t="s">
        <v>343</v>
      </c>
      <c r="C71" s="0" t="n">
        <v>10176.39</v>
      </c>
      <c r="D71" s="79" t="s">
        <v>656</v>
      </c>
      <c r="E71" s="79" t="n">
        <v>-1130.71</v>
      </c>
    </row>
    <row r="72" customFormat="false" ht="12.75" hidden="false" customHeight="false" outlineLevel="0" collapsed="false">
      <c r="A72" s="90" t="n">
        <v>45375</v>
      </c>
      <c r="B72" s="8" t="s">
        <v>345</v>
      </c>
      <c r="C72" s="0" t="n">
        <v>5999</v>
      </c>
      <c r="D72" s="79" t="s">
        <v>656</v>
      </c>
      <c r="E72" s="79" t="n">
        <v>-666.56</v>
      </c>
    </row>
    <row r="73" customFormat="false" ht="12.75" hidden="false" customHeight="false" outlineLevel="0" collapsed="false">
      <c r="A73" s="90"/>
    </row>
    <row r="74" customFormat="false" ht="12.75" hidden="false" customHeight="false" outlineLevel="0" collapsed="false">
      <c r="A74" s="90" t="n">
        <v>45347</v>
      </c>
      <c r="B74" s="8" t="s">
        <v>657</v>
      </c>
      <c r="E74" s="79" t="n">
        <v>-343</v>
      </c>
    </row>
    <row r="75" customFormat="false" ht="12.75" hidden="false" customHeight="false" outlineLevel="0" collapsed="false">
      <c r="A75" s="102" t="n">
        <v>45348</v>
      </c>
      <c r="B75" s="108" t="s">
        <v>658</v>
      </c>
      <c r="C75" s="108"/>
      <c r="E75" s="79" t="n">
        <v>-150</v>
      </c>
    </row>
    <row r="76" customFormat="false" ht="12.75" hidden="false" customHeight="false" outlineLevel="0" collapsed="false">
      <c r="A76" s="102" t="n">
        <v>45351</v>
      </c>
      <c r="B76" s="108" t="s">
        <v>137</v>
      </c>
      <c r="C76" s="96" t="n">
        <f aca="false">E76</f>
        <v>-86.95</v>
      </c>
      <c r="E76" s="79" t="n">
        <v>-86.95</v>
      </c>
    </row>
    <row r="77" customFormat="false" ht="12.75" hidden="false" customHeight="false" outlineLevel="0" collapsed="false">
      <c r="A77" s="102" t="n">
        <v>45353</v>
      </c>
      <c r="B77" s="109" t="s">
        <v>184</v>
      </c>
      <c r="C77" s="108"/>
      <c r="E77" s="79" t="n">
        <v>-500</v>
      </c>
    </row>
    <row r="78" customFormat="false" ht="12.75" hidden="false" customHeight="false" outlineLevel="0" collapsed="false">
      <c r="A78" s="102" t="n">
        <v>45353</v>
      </c>
      <c r="B78" s="109" t="s">
        <v>659</v>
      </c>
      <c r="C78" s="108"/>
      <c r="E78" s="79" t="n">
        <v>-600</v>
      </c>
    </row>
    <row r="79" customFormat="false" ht="12.75" hidden="false" customHeight="false" outlineLevel="0" collapsed="false">
      <c r="A79" s="102" t="n">
        <v>45354</v>
      </c>
      <c r="B79" s="109" t="s">
        <v>660</v>
      </c>
      <c r="C79" s="108"/>
      <c r="E79" s="79" t="n">
        <v>-330</v>
      </c>
    </row>
    <row r="80" customFormat="false" ht="12.75" hidden="false" customHeight="false" outlineLevel="0" collapsed="false">
      <c r="A80" s="102" t="n">
        <v>45355</v>
      </c>
      <c r="B80" s="109" t="s">
        <v>661</v>
      </c>
      <c r="C80" s="96" t="n">
        <f aca="false">E80</f>
        <v>-200</v>
      </c>
      <c r="E80" s="79" t="n">
        <v>-200</v>
      </c>
    </row>
    <row r="81" customFormat="false" ht="12.75" hidden="false" customHeight="false" outlineLevel="0" collapsed="false">
      <c r="A81" s="102" t="n">
        <v>45355</v>
      </c>
      <c r="B81" s="109" t="s">
        <v>534</v>
      </c>
      <c r="C81" s="108"/>
      <c r="E81" s="79" t="n">
        <v>-50</v>
      </c>
    </row>
    <row r="82" customFormat="false" ht="12.75" hidden="false" customHeight="false" outlineLevel="0" collapsed="false">
      <c r="A82" s="102" t="n">
        <v>45356</v>
      </c>
      <c r="B82" s="109" t="s">
        <v>661</v>
      </c>
      <c r="C82" s="96" t="n">
        <f aca="false">E82</f>
        <v>-200</v>
      </c>
      <c r="E82" s="79" t="n">
        <v>-200</v>
      </c>
    </row>
    <row r="83" customFormat="false" ht="12.75" hidden="false" customHeight="false" outlineLevel="0" collapsed="false">
      <c r="A83" s="102" t="n">
        <v>45357</v>
      </c>
      <c r="B83" s="109" t="s">
        <v>662</v>
      </c>
      <c r="C83" s="108"/>
      <c r="E83" s="79" t="n">
        <v>-160</v>
      </c>
    </row>
    <row r="84" customFormat="false" ht="12.75" hidden="false" customHeight="false" outlineLevel="0" collapsed="false">
      <c r="A84" s="102" t="n">
        <v>45357</v>
      </c>
      <c r="B84" s="109" t="s">
        <v>132</v>
      </c>
      <c r="C84" s="108" t="n">
        <v>6341.66</v>
      </c>
    </row>
    <row r="85" customFormat="false" ht="12.75" hidden="false" customHeight="false" outlineLevel="0" collapsed="false">
      <c r="A85" s="102" t="n">
        <v>45361</v>
      </c>
      <c r="B85" s="109" t="s">
        <v>418</v>
      </c>
      <c r="E85" s="79" t="n">
        <v>-294.14</v>
      </c>
    </row>
    <row r="86" customFormat="false" ht="12.75" hidden="false" customHeight="false" outlineLevel="0" collapsed="false">
      <c r="A86" s="102" t="n">
        <v>45358</v>
      </c>
      <c r="B86" s="109" t="s">
        <v>661</v>
      </c>
      <c r="C86" s="96" t="n">
        <f aca="false">E86</f>
        <v>-200</v>
      </c>
      <c r="E86" s="79" t="n">
        <v>-200</v>
      </c>
    </row>
    <row r="87" customFormat="false" ht="12.75" hidden="false" customHeight="false" outlineLevel="0" collapsed="false">
      <c r="A87" s="102"/>
      <c r="B87" s="109"/>
      <c r="C87" s="108"/>
      <c r="E87" s="79" t="n">
        <v>-3.05</v>
      </c>
    </row>
    <row r="88" customFormat="false" ht="12.75" hidden="false" customHeight="false" outlineLevel="0" collapsed="false">
      <c r="A88" s="102" t="n">
        <v>45376</v>
      </c>
      <c r="B88" s="109" t="s">
        <v>663</v>
      </c>
      <c r="C88" s="108"/>
      <c r="E88" s="79" t="n">
        <v>-874.19</v>
      </c>
    </row>
    <row r="89" customFormat="false" ht="12.75" hidden="false" customHeight="false" outlineLevel="0" collapsed="false">
      <c r="A89" s="102"/>
      <c r="B89" s="109"/>
      <c r="C89" s="108"/>
      <c r="E89" s="79" t="n">
        <v>-43.71</v>
      </c>
    </row>
    <row r="90" customFormat="false" ht="12.75" hidden="false" customHeight="false" outlineLevel="0" collapsed="false">
      <c r="A90" s="102" t="n">
        <v>45374</v>
      </c>
      <c r="B90" s="109" t="s">
        <v>664</v>
      </c>
      <c r="C90" s="108"/>
      <c r="E90" s="79" t="n">
        <v>500</v>
      </c>
    </row>
    <row r="91" customFormat="false" ht="13.8" hidden="false" customHeight="false" outlineLevel="0" collapsed="false">
      <c r="A91" s="102" t="n">
        <v>45374</v>
      </c>
      <c r="B91" s="109" t="s">
        <v>664</v>
      </c>
      <c r="D91" s="107" t="s">
        <v>84</v>
      </c>
    </row>
    <row r="92" customFormat="false" ht="13.8" hidden="false" customHeight="false" outlineLevel="0" collapsed="false">
      <c r="A92" s="102"/>
      <c r="B92" s="36" t="s">
        <v>427</v>
      </c>
      <c r="C92" s="0" t="n">
        <v>686.95</v>
      </c>
      <c r="D92" s="187"/>
    </row>
    <row r="93" customFormat="false" ht="13.8" hidden="false" customHeight="false" outlineLevel="0" collapsed="false">
      <c r="A93" s="102"/>
      <c r="B93" s="109"/>
      <c r="D93" s="187"/>
    </row>
    <row r="94" customFormat="false" ht="13.8" hidden="false" customHeight="false" outlineLevel="0" collapsed="false">
      <c r="A94" s="102"/>
      <c r="B94" s="109"/>
      <c r="D94" s="187"/>
    </row>
    <row r="95" customFormat="false" ht="13.8" hidden="false" customHeight="false" outlineLevel="0" collapsed="false">
      <c r="A95" s="102"/>
      <c r="B95" s="109"/>
      <c r="D95" s="187"/>
    </row>
    <row r="96" customFormat="false" ht="12.75" hidden="false" customHeight="false" outlineLevel="0" collapsed="false">
      <c r="A96" s="102"/>
      <c r="B96" s="108"/>
      <c r="C96" s="108"/>
    </row>
    <row r="97" customFormat="false" ht="12.75" hidden="false" customHeight="false" outlineLevel="0" collapsed="false">
      <c r="A97" s="105"/>
      <c r="B97" s="106" t="s">
        <v>85</v>
      </c>
      <c r="C97" s="105"/>
      <c r="E97" s="79" t="n">
        <f aca="false">SUM(E98:E105)</f>
        <v>-6501.46</v>
      </c>
    </row>
    <row r="98" customFormat="false" ht="12.75" hidden="false" customHeight="false" outlineLevel="0" collapsed="false">
      <c r="A98" s="102"/>
      <c r="B98" s="108"/>
      <c r="C98" s="108"/>
    </row>
    <row r="99" customFormat="false" ht="12.75" hidden="false" customHeight="false" outlineLevel="0" collapsed="false">
      <c r="A99" s="170" t="n">
        <v>45214</v>
      </c>
      <c r="B99" s="8" t="s">
        <v>665</v>
      </c>
      <c r="D99" s="79" t="s">
        <v>666</v>
      </c>
      <c r="E99" s="79" t="n">
        <v>-600</v>
      </c>
    </row>
    <row r="100" customFormat="false" ht="12.75" hidden="false" customHeight="false" outlineLevel="0" collapsed="false">
      <c r="A100" s="170" t="n">
        <v>45285</v>
      </c>
      <c r="B100" s="108" t="s">
        <v>530</v>
      </c>
      <c r="C100" s="108"/>
      <c r="D100" s="79" t="s">
        <v>667</v>
      </c>
      <c r="E100" s="79" t="n">
        <v>-3551.66</v>
      </c>
      <c r="F100" s="79" t="n">
        <v>0</v>
      </c>
    </row>
    <row r="101" customFormat="false" ht="14.9" hidden="false" customHeight="false" outlineLevel="0" collapsed="false">
      <c r="A101" s="102"/>
      <c r="B101" s="3" t="s">
        <v>668</v>
      </c>
      <c r="C101" s="108"/>
      <c r="D101" s="79" t="s">
        <v>669</v>
      </c>
      <c r="E101" s="79" t="n">
        <v>-649.78</v>
      </c>
      <c r="F101" s="79" t="n">
        <v>0</v>
      </c>
    </row>
    <row r="102" customFormat="false" ht="12.75" hidden="false" customHeight="false" outlineLevel="0" collapsed="false">
      <c r="A102" s="102"/>
      <c r="B102" s="3" t="s">
        <v>488</v>
      </c>
      <c r="C102" s="108" t="n">
        <v>49.98</v>
      </c>
      <c r="D102" s="79" t="s">
        <v>669</v>
      </c>
      <c r="E102" s="79" t="n">
        <v>49.98</v>
      </c>
      <c r="F102" s="79" t="n">
        <v>0</v>
      </c>
    </row>
    <row r="103" customFormat="false" ht="12.75" hidden="false" customHeight="false" outlineLevel="0" collapsed="false">
      <c r="A103" s="102"/>
      <c r="B103" s="3"/>
      <c r="C103" s="108"/>
    </row>
    <row r="104" customFormat="false" ht="12.75" hidden="false" customHeight="false" outlineLevel="0" collapsed="false">
      <c r="A104" s="102" t="n">
        <v>45374</v>
      </c>
      <c r="B104" s="3" t="s">
        <v>670</v>
      </c>
      <c r="C104" s="108"/>
      <c r="E104" s="79" t="n">
        <v>-1750</v>
      </c>
    </row>
    <row r="105" customFormat="false" ht="13.8" hidden="false" customHeight="false" outlineLevel="0" collapsed="false">
      <c r="A105" s="102"/>
      <c r="B105" s="3"/>
      <c r="C105" s="108"/>
      <c r="D105" s="107" t="s">
        <v>84</v>
      </c>
    </row>
    <row r="106" customFormat="false" ht="12.75" hidden="false" customHeight="false" outlineLevel="0" collapsed="false">
      <c r="A106" s="102"/>
      <c r="B106" s="3"/>
      <c r="C106" s="108"/>
    </row>
    <row r="107" customFormat="false" ht="12.75" hidden="false" customHeight="false" outlineLevel="0" collapsed="false">
      <c r="A107" s="102"/>
      <c r="B107" s="3"/>
      <c r="C107" s="108"/>
    </row>
    <row r="108" customFormat="false" ht="12.75" hidden="false" customHeight="false" outlineLevel="0" collapsed="false">
      <c r="A108" s="102"/>
      <c r="B108" s="3"/>
      <c r="C108" s="108"/>
    </row>
    <row r="109" customFormat="false" ht="12.75" hidden="false" customHeight="false" outlineLevel="0" collapsed="false">
      <c r="A109" s="102"/>
      <c r="B109" s="3"/>
      <c r="C109" s="108"/>
    </row>
    <row r="110" customFormat="false" ht="12.75" hidden="false" customHeight="false" outlineLevel="0" collapsed="false">
      <c r="A110" s="102"/>
      <c r="B110" s="3"/>
      <c r="C110" s="108"/>
    </row>
    <row r="111" customFormat="false" ht="12.75" hidden="false" customHeight="false" outlineLevel="0" collapsed="false">
      <c r="A111" s="117" t="s">
        <v>671</v>
      </c>
      <c r="B111" s="106" t="s">
        <v>139</v>
      </c>
      <c r="C111" s="105" t="n">
        <v>2024</v>
      </c>
      <c r="D111" s="163"/>
      <c r="E111" s="164" t="n">
        <f aca="false">SUM(E112:E126)</f>
        <v>774287.7366</v>
      </c>
    </row>
    <row r="112" customFormat="false" ht="12.75" hidden="false" customHeight="false" outlineLevel="0" collapsed="false">
      <c r="A112" s="165" t="n">
        <v>45383</v>
      </c>
      <c r="B112" s="8" t="s">
        <v>77</v>
      </c>
      <c r="C112" s="2"/>
      <c r="D112" s="2"/>
      <c r="E112" s="2" t="n">
        <v>64000</v>
      </c>
    </row>
    <row r="113" customFormat="false" ht="12.75" hidden="false" customHeight="false" outlineLevel="0" collapsed="false">
      <c r="A113" s="165" t="n">
        <f aca="false">A112</f>
        <v>45383</v>
      </c>
      <c r="B113" s="8" t="s">
        <v>387</v>
      </c>
      <c r="C113" s="2"/>
      <c r="D113" s="2"/>
      <c r="E113" s="2" t="n">
        <v>150845</v>
      </c>
    </row>
    <row r="114" customFormat="false" ht="12.75" hidden="false" customHeight="false" outlineLevel="0" collapsed="false">
      <c r="A114" s="165" t="n">
        <f aca="false">A113</f>
        <v>45383</v>
      </c>
      <c r="B114" s="8" t="s">
        <v>309</v>
      </c>
      <c r="C114" s="2"/>
      <c r="D114" s="2"/>
      <c r="E114" s="17" t="n">
        <v>6036.94</v>
      </c>
    </row>
    <row r="115" customFormat="false" ht="12.75" hidden="false" customHeight="false" outlineLevel="0" collapsed="false">
      <c r="A115" s="165" t="n">
        <f aca="false">A114</f>
        <v>45383</v>
      </c>
      <c r="B115" s="8" t="s">
        <v>310</v>
      </c>
      <c r="C115" s="2"/>
      <c r="D115" s="2"/>
      <c r="E115" s="17" t="n">
        <v>0</v>
      </c>
    </row>
    <row r="116" customFormat="false" ht="12.75" hidden="false" customHeight="false" outlineLevel="0" collapsed="false">
      <c r="A116" s="165" t="n">
        <f aca="false">A115</f>
        <v>45383</v>
      </c>
      <c r="B116" s="8" t="s">
        <v>507</v>
      </c>
      <c r="C116" s="2"/>
      <c r="D116" s="2"/>
      <c r="E116" s="17" t="n">
        <v>0</v>
      </c>
    </row>
    <row r="117" customFormat="false" ht="12.75" hidden="false" customHeight="false" outlineLevel="0" collapsed="false">
      <c r="A117" s="165" t="n">
        <f aca="false">A116</f>
        <v>45383</v>
      </c>
      <c r="B117" s="8" t="s">
        <v>311</v>
      </c>
      <c r="C117" s="129"/>
      <c r="D117" s="2"/>
      <c r="E117" s="17" t="n">
        <v>0</v>
      </c>
    </row>
    <row r="118" customFormat="false" ht="12.75" hidden="false" customHeight="false" outlineLevel="0" collapsed="false">
      <c r="A118" s="165" t="n">
        <f aca="false">A117</f>
        <v>45383</v>
      </c>
      <c r="B118" s="8" t="s">
        <v>245</v>
      </c>
      <c r="C118" s="2"/>
      <c r="D118" s="2"/>
      <c r="E118" s="17" t="n">
        <v>0</v>
      </c>
    </row>
    <row r="119" customFormat="false" ht="12.75" hidden="false" customHeight="false" outlineLevel="0" collapsed="false">
      <c r="A119" s="165" t="n">
        <f aca="false">A118</f>
        <v>45383</v>
      </c>
      <c r="B119" s="8" t="s">
        <v>508</v>
      </c>
      <c r="C119" s="2" t="s">
        <v>672</v>
      </c>
      <c r="D119" s="2"/>
      <c r="E119" s="17" t="n">
        <v>110122</v>
      </c>
    </row>
    <row r="120" customFormat="false" ht="12.75" hidden="false" customHeight="false" outlineLevel="0" collapsed="false">
      <c r="A120" s="165" t="n">
        <f aca="false">A119</f>
        <v>45383</v>
      </c>
      <c r="B120" s="8" t="s">
        <v>143</v>
      </c>
      <c r="C120" s="2"/>
      <c r="D120" s="2"/>
      <c r="E120" s="17" t="n">
        <v>450</v>
      </c>
    </row>
    <row r="121" customFormat="false" ht="12.75" hidden="false" customHeight="false" outlineLevel="0" collapsed="false">
      <c r="A121" s="165" t="n">
        <f aca="false">A120</f>
        <v>45383</v>
      </c>
      <c r="B121" s="8" t="s">
        <v>512</v>
      </c>
      <c r="C121" s="2" t="n">
        <v>2308.97</v>
      </c>
      <c r="D121" s="2" t="n">
        <v>161</v>
      </c>
      <c r="E121" s="17" t="n">
        <f aca="false">D121*C121</f>
        <v>371744.17</v>
      </c>
    </row>
    <row r="122" customFormat="false" ht="12.75" hidden="false" customHeight="false" outlineLevel="0" collapsed="false">
      <c r="A122" s="165" t="n">
        <f aca="false">A121</f>
        <v>45383</v>
      </c>
      <c r="B122" s="8" t="s">
        <v>605</v>
      </c>
      <c r="C122" s="167" t="n">
        <v>31.8793</v>
      </c>
      <c r="D122" s="2" t="n">
        <v>850</v>
      </c>
      <c r="E122" s="17" t="n">
        <f aca="false">D122*C122</f>
        <v>27097.405</v>
      </c>
    </row>
    <row r="123" customFormat="false" ht="12.75" hidden="false" customHeight="false" outlineLevel="0" collapsed="false">
      <c r="A123" s="165" t="n">
        <f aca="false">A122</f>
        <v>45383</v>
      </c>
      <c r="B123" s="8" t="s">
        <v>514</v>
      </c>
      <c r="C123" s="167" t="n">
        <f aca="false">C122</f>
        <v>31.8793</v>
      </c>
      <c r="D123" s="2" t="n">
        <v>250</v>
      </c>
      <c r="E123" s="17" t="n">
        <f aca="false">D123*C123</f>
        <v>7969.825</v>
      </c>
    </row>
    <row r="124" customFormat="false" ht="12.75" hidden="false" customHeight="false" outlineLevel="0" collapsed="false">
      <c r="A124" s="165" t="n">
        <f aca="false">A123</f>
        <v>45383</v>
      </c>
      <c r="B124" s="8" t="s">
        <v>606</v>
      </c>
      <c r="C124" s="167" t="n">
        <v>34.3945</v>
      </c>
      <c r="D124" s="2" t="n">
        <v>58.8</v>
      </c>
      <c r="E124" s="17" t="n">
        <f aca="false">D124*C124</f>
        <v>2022.3966</v>
      </c>
    </row>
    <row r="125" customFormat="false" ht="12.75" hidden="false" customHeight="false" outlineLevel="0" collapsed="false">
      <c r="A125" s="165" t="n">
        <f aca="false">A124</f>
        <v>45383</v>
      </c>
      <c r="B125" s="8" t="s">
        <v>155</v>
      </c>
      <c r="C125" s="2"/>
      <c r="D125" s="2"/>
      <c r="E125" s="17" t="n">
        <v>30000</v>
      </c>
    </row>
    <row r="126" customFormat="false" ht="12.75" hidden="false" customHeight="false" outlineLevel="0" collapsed="false">
      <c r="A126" s="165" t="n">
        <f aca="false">A125</f>
        <v>45383</v>
      </c>
      <c r="B126" s="8" t="s">
        <v>156</v>
      </c>
      <c r="C126" s="2"/>
      <c r="D126" s="2"/>
      <c r="E126" s="17" t="n">
        <v>4000</v>
      </c>
    </row>
    <row r="127" customFormat="false" ht="12.75" hidden="false" customHeight="false" outlineLevel="0" collapsed="false">
      <c r="E127" s="181"/>
    </row>
    <row r="128" customFormat="false" ht="12.75" hidden="false" customHeight="false" outlineLevel="0" collapsed="false">
      <c r="C128" s="129"/>
      <c r="D128" s="3"/>
      <c r="E128" s="129"/>
    </row>
    <row r="129" customFormat="false" ht="12.75" hidden="false" customHeight="false" outlineLevel="0" collapsed="false">
      <c r="C129" s="129"/>
      <c r="D129" s="18" t="s">
        <v>158</v>
      </c>
      <c r="E129" s="9" t="n">
        <f aca="false">SUM(E112:E126)</f>
        <v>774287.7366</v>
      </c>
    </row>
    <row r="130" customFormat="false" ht="12.75" hidden="false" customHeight="false" outlineLevel="0" collapsed="false">
      <c r="C130" s="130" t="str">
        <f aca="false">A111</f>
        <v>NİSANa</v>
      </c>
      <c r="D130" s="131" t="s">
        <v>159</v>
      </c>
      <c r="E130" s="132" t="n">
        <f aca="false">H2</f>
        <v>245535.4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H131"/>
  <sheetViews>
    <sheetView showFormulas="false" showGridLines="true" showRowColHeaders="true" showZeros="true" rightToLeft="false" tabSelected="false" showOutlineSymbols="true" defaultGridColor="true" view="normal" topLeftCell="A5" colorId="64" zoomScale="170" zoomScaleNormal="170" zoomScalePageLayoutView="100" workbookViewId="0">
      <selection pane="topLeft" activeCell="E29" activeCellId="0" sqref="E29"/>
    </sheetView>
  </sheetViews>
  <sheetFormatPr defaultColWidth="12.29296875" defaultRowHeight="12.75" zeroHeight="false" outlineLevelRow="0" outlineLevelCol="0"/>
  <cols>
    <col collapsed="false" customWidth="true" hidden="false" outlineLevel="0" max="1" min="1" style="0" width="10.43"/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104" width="11.57"/>
    <col collapsed="false" customWidth="false" hidden="false" outlineLevel="0" max="5" min="5" style="79" width="12.29"/>
    <col collapsed="false" customWidth="true" hidden="false" outlineLevel="0" max="8" min="8" style="0" width="12.86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194" t="s">
        <v>28</v>
      </c>
      <c r="G1" s="194" t="s">
        <v>29</v>
      </c>
      <c r="H1" s="194" t="s">
        <v>3</v>
      </c>
    </row>
    <row r="2" customFormat="false" ht="12.75" hidden="false" customHeight="false" outlineLevel="0" collapsed="false">
      <c r="B2" s="3" t="s">
        <v>673</v>
      </c>
      <c r="C2" s="81" t="s">
        <v>67</v>
      </c>
      <c r="D2" s="104" t="n">
        <f aca="false">SUM(D6:D27)</f>
        <v>12800</v>
      </c>
      <c r="E2" s="79" t="n">
        <f aca="false">SUM(E3:E29)</f>
        <v>-114592.82</v>
      </c>
      <c r="F2" s="79" t="n">
        <f aca="false">SUM(F3:F29)</f>
        <v>19667.49</v>
      </c>
      <c r="G2" s="79" t="n">
        <f aca="false">SUM(G3:G29)</f>
        <v>-116144.16</v>
      </c>
      <c r="H2" s="79" t="n">
        <f aca="false">F2+G2</f>
        <v>-96476.67</v>
      </c>
    </row>
    <row r="3" customFormat="false" ht="12.75" hidden="false" customHeight="false" outlineLevel="0" collapsed="false">
      <c r="B3" s="18"/>
      <c r="H3" s="79"/>
    </row>
    <row r="4" customFormat="false" ht="12.75" hidden="false" customHeight="false" outlineLevel="0" collapsed="false">
      <c r="B4" s="103" t="s">
        <v>674</v>
      </c>
      <c r="C4" s="103" t="s">
        <v>361</v>
      </c>
      <c r="E4" s="80" t="n">
        <v>-250</v>
      </c>
      <c r="H4" s="79" t="n">
        <f aca="false">H3+F4+G4</f>
        <v>0</v>
      </c>
    </row>
    <row r="5" customFormat="false" ht="12.75" hidden="false" customHeight="false" outlineLevel="0" collapsed="false">
      <c r="A5" s="90" t="n">
        <v>45352</v>
      </c>
      <c r="B5" s="103" t="s">
        <v>675</v>
      </c>
      <c r="C5" s="103"/>
      <c r="E5" s="80" t="n">
        <v>-1500</v>
      </c>
      <c r="G5" s="80" t="n">
        <v>-1512.13</v>
      </c>
      <c r="H5" s="80" t="n">
        <f aca="false">H4+F5+G5</f>
        <v>-1512.13</v>
      </c>
    </row>
    <row r="6" customFormat="false" ht="12.75" hidden="false" customHeight="false" outlineLevel="0" collapsed="false">
      <c r="A6" s="90" t="n">
        <v>45355</v>
      </c>
      <c r="B6" s="42" t="s">
        <v>434</v>
      </c>
      <c r="E6" s="80" t="n">
        <v>-152</v>
      </c>
      <c r="G6" s="80" t="n">
        <v>-166.9</v>
      </c>
      <c r="H6" s="80" t="n">
        <f aca="false">H5+F6+G6</f>
        <v>-1679.03</v>
      </c>
    </row>
    <row r="7" customFormat="false" ht="12.75" hidden="false" customHeight="false" outlineLevel="0" collapsed="false">
      <c r="A7" s="90" t="n">
        <v>45356</v>
      </c>
      <c r="B7" s="8" t="s">
        <v>403</v>
      </c>
      <c r="E7" s="80" t="n">
        <v>-10000</v>
      </c>
      <c r="G7" s="80" t="n">
        <f aca="false">E7</f>
        <v>-10000</v>
      </c>
      <c r="H7" s="80" t="n">
        <f aca="false">H6+F7+G7</f>
        <v>-11679.03</v>
      </c>
    </row>
    <row r="8" customFormat="false" ht="12.75" hidden="false" customHeight="false" outlineLevel="0" collapsed="false">
      <c r="A8" s="170" t="n">
        <v>45356</v>
      </c>
      <c r="B8" s="182" t="s">
        <v>69</v>
      </c>
      <c r="C8" s="0" t="n">
        <v>72000</v>
      </c>
      <c r="D8" s="191"/>
      <c r="E8" s="80" t="n">
        <f aca="false">E65</f>
        <v>-72173.5</v>
      </c>
      <c r="G8" s="80" t="n">
        <f aca="false">E8</f>
        <v>-72173.5</v>
      </c>
      <c r="H8" s="80" t="n">
        <f aca="false">H7+F8+G8</f>
        <v>-83852.53</v>
      </c>
    </row>
    <row r="9" customFormat="false" ht="12.75" hidden="false" customHeight="false" outlineLevel="0" collapsed="false">
      <c r="A9" s="90" t="n">
        <v>45357</v>
      </c>
      <c r="B9" s="182" t="s">
        <v>68</v>
      </c>
      <c r="D9" s="191"/>
      <c r="E9" s="80" t="n">
        <f aca="false">E46</f>
        <v>-6341.66</v>
      </c>
      <c r="G9" s="80" t="n">
        <f aca="false">E9</f>
        <v>-6341.66</v>
      </c>
      <c r="H9" s="80" t="n">
        <f aca="false">H8+F9+G9</f>
        <v>-90194.19</v>
      </c>
    </row>
    <row r="10" customFormat="false" ht="12.75" hidden="false" customHeight="false" outlineLevel="0" collapsed="false">
      <c r="A10" s="90" t="n">
        <v>45357</v>
      </c>
      <c r="B10" s="182" t="s">
        <v>676</v>
      </c>
      <c r="C10" s="8" t="s">
        <v>677</v>
      </c>
      <c r="D10" s="191"/>
      <c r="E10" s="80"/>
      <c r="G10" s="80" t="n">
        <v>-220.03</v>
      </c>
      <c r="H10" s="80" t="n">
        <f aca="false">H9+F10+G10</f>
        <v>-90414.22</v>
      </c>
    </row>
    <row r="11" customFormat="false" ht="12.75" hidden="false" customHeight="false" outlineLevel="0" collapsed="false">
      <c r="A11" s="90" t="n">
        <v>45357</v>
      </c>
      <c r="B11" s="182" t="s">
        <v>676</v>
      </c>
      <c r="C11" s="8" t="s">
        <v>677</v>
      </c>
      <c r="D11" s="191"/>
      <c r="E11" s="80"/>
      <c r="G11" s="80" t="n">
        <v>-631.37</v>
      </c>
      <c r="H11" s="80" t="n">
        <f aca="false">H10+F11+G11</f>
        <v>-91045.59</v>
      </c>
    </row>
    <row r="12" customFormat="false" ht="12.75" hidden="false" customHeight="false" outlineLevel="0" collapsed="false">
      <c r="A12" s="102" t="n">
        <v>45358</v>
      </c>
      <c r="B12" s="103" t="s">
        <v>678</v>
      </c>
      <c r="C12" s="103"/>
      <c r="D12" s="191"/>
      <c r="E12" s="80" t="n">
        <v>-5375</v>
      </c>
      <c r="G12" s="80" t="n">
        <f aca="false">E12</f>
        <v>-5375</v>
      </c>
      <c r="H12" s="80" t="n">
        <f aca="false">H11+F12+G12</f>
        <v>-96420.59</v>
      </c>
    </row>
    <row r="13" customFormat="false" ht="12.75" hidden="false" customHeight="false" outlineLevel="0" collapsed="false">
      <c r="A13" s="102" t="n">
        <v>45358</v>
      </c>
      <c r="B13" s="103" t="s">
        <v>678</v>
      </c>
      <c r="C13" s="103"/>
      <c r="D13" s="191"/>
      <c r="E13" s="80" t="n">
        <v>-2125</v>
      </c>
      <c r="G13" s="80" t="n">
        <f aca="false">E13</f>
        <v>-2125</v>
      </c>
      <c r="H13" s="80" t="n">
        <f aca="false">H12+F13+G13</f>
        <v>-98545.59</v>
      </c>
    </row>
    <row r="14" customFormat="false" ht="12.75" hidden="false" customHeight="false" outlineLevel="0" collapsed="false">
      <c r="A14" s="102" t="n">
        <v>45358</v>
      </c>
      <c r="B14" s="8" t="s">
        <v>679</v>
      </c>
      <c r="C14" s="103"/>
      <c r="D14" s="191"/>
      <c r="E14" s="80"/>
      <c r="F14" s="0" t="n">
        <v>6500</v>
      </c>
      <c r="G14" s="80"/>
      <c r="H14" s="80" t="n">
        <f aca="false">H13+F14+G14</f>
        <v>-92045.59</v>
      </c>
    </row>
    <row r="15" customFormat="false" ht="12.75" hidden="false" customHeight="false" outlineLevel="0" collapsed="false">
      <c r="A15" s="90" t="n">
        <v>45359</v>
      </c>
      <c r="B15" s="103" t="s">
        <v>75</v>
      </c>
      <c r="C15" s="103"/>
      <c r="D15" s="191"/>
      <c r="E15" s="80" t="n">
        <v>-150</v>
      </c>
      <c r="G15" s="80" t="n">
        <v>-168.91</v>
      </c>
      <c r="H15" s="80" t="n">
        <f aca="false">H14+F15+G15</f>
        <v>-92214.5</v>
      </c>
    </row>
    <row r="16" customFormat="false" ht="12.75" hidden="false" customHeight="false" outlineLevel="0" collapsed="false">
      <c r="A16" s="102" t="n">
        <v>45362</v>
      </c>
      <c r="B16" s="108" t="s">
        <v>72</v>
      </c>
      <c r="D16" s="191"/>
      <c r="E16" s="80" t="n">
        <f aca="false">E41*-1</f>
        <v>-225.66</v>
      </c>
      <c r="F16" s="64"/>
      <c r="G16" s="80" t="n">
        <f aca="false">-225.66</f>
        <v>-225.66</v>
      </c>
      <c r="H16" s="80" t="n">
        <f aca="false">H15+F16+G16</f>
        <v>-92440.16</v>
      </c>
    </row>
    <row r="17" customFormat="false" ht="12.75" hidden="false" customHeight="false" outlineLevel="0" collapsed="false">
      <c r="A17" s="90" t="n">
        <v>45372</v>
      </c>
      <c r="B17" s="108" t="s">
        <v>73</v>
      </c>
      <c r="C17" s="108" t="s">
        <v>332</v>
      </c>
      <c r="D17" s="191"/>
      <c r="E17" s="80" t="n">
        <v>-300</v>
      </c>
      <c r="F17" s="64"/>
      <c r="G17" s="80" t="n">
        <v>-1083</v>
      </c>
      <c r="H17" s="80" t="n">
        <f aca="false">H16+F17+G17</f>
        <v>-93523.16</v>
      </c>
    </row>
    <row r="18" customFormat="false" ht="12.75" hidden="false" customHeight="false" outlineLevel="0" collapsed="false">
      <c r="A18" s="90" t="n">
        <v>45372</v>
      </c>
      <c r="B18" s="108" t="s">
        <v>74</v>
      </c>
      <c r="C18" s="108" t="s">
        <v>332</v>
      </c>
      <c r="D18" s="191"/>
      <c r="E18" s="80" t="n">
        <v>-100</v>
      </c>
      <c r="F18" s="64"/>
      <c r="G18" s="80" t="n">
        <v>0</v>
      </c>
      <c r="H18" s="80" t="n">
        <f aca="false">H17+F18+G18</f>
        <v>-93523.16</v>
      </c>
    </row>
    <row r="19" customFormat="false" ht="12.75" hidden="false" customHeight="false" outlineLevel="0" collapsed="false">
      <c r="A19" s="90" t="n">
        <v>45378</v>
      </c>
      <c r="B19" s="8" t="s">
        <v>76</v>
      </c>
      <c r="D19" s="191" t="n">
        <v>10000</v>
      </c>
      <c r="E19" s="80"/>
      <c r="F19" s="64" t="n">
        <v>10367.49</v>
      </c>
      <c r="G19" s="80"/>
      <c r="H19" s="80" t="n">
        <f aca="false">H18+F19+G19</f>
        <v>-83155.67</v>
      </c>
    </row>
    <row r="20" customFormat="false" ht="12.75" hidden="false" customHeight="false" outlineLevel="0" collapsed="false">
      <c r="A20" s="90" t="n">
        <v>45378</v>
      </c>
      <c r="B20" s="8" t="s">
        <v>77</v>
      </c>
      <c r="D20" s="191"/>
      <c r="E20" s="80" t="n">
        <v>-5000</v>
      </c>
      <c r="F20" s="64"/>
      <c r="G20" s="80" t="n">
        <v>-5203</v>
      </c>
      <c r="H20" s="80" t="n">
        <f aca="false">H19+F20+G20</f>
        <v>-88358.67</v>
      </c>
    </row>
    <row r="21" customFormat="false" ht="12.75" hidden="false" customHeight="false" outlineLevel="0" collapsed="false">
      <c r="A21" s="90"/>
      <c r="B21" s="8" t="s">
        <v>680</v>
      </c>
      <c r="D21" s="191"/>
      <c r="E21" s="80"/>
      <c r="F21" s="64"/>
      <c r="G21" s="80"/>
      <c r="H21" s="80" t="n">
        <f aca="false">H20+F21+G21</f>
        <v>-88358.67</v>
      </c>
    </row>
    <row r="22" customFormat="false" ht="12.75" hidden="false" customHeight="false" outlineLevel="0" collapsed="false">
      <c r="A22" s="90" t="n">
        <v>45378</v>
      </c>
      <c r="B22" s="8" t="s">
        <v>78</v>
      </c>
      <c r="D22" s="191"/>
      <c r="E22" s="80" t="n">
        <v>-5000</v>
      </c>
      <c r="F22" s="64"/>
      <c r="G22" s="80" t="n">
        <v>-5203</v>
      </c>
      <c r="H22" s="80" t="n">
        <f aca="false">H21+F22+G22</f>
        <v>-93561.67</v>
      </c>
    </row>
    <row r="23" customFormat="false" ht="12.75" hidden="false" customHeight="false" outlineLevel="0" collapsed="false">
      <c r="A23" s="90" t="n">
        <v>45378</v>
      </c>
      <c r="B23" s="8" t="s">
        <v>79</v>
      </c>
      <c r="D23" s="191"/>
      <c r="E23" s="80" t="n">
        <v>-5000</v>
      </c>
      <c r="F23" s="64"/>
      <c r="G23" s="80" t="n">
        <v>-5000</v>
      </c>
      <c r="H23" s="80" t="n">
        <f aca="false">H22+F23+G23</f>
        <v>-98561.67</v>
      </c>
    </row>
    <row r="24" customFormat="false" ht="12.75" hidden="false" customHeight="false" outlineLevel="0" collapsed="false">
      <c r="A24" s="102" t="n">
        <v>45380</v>
      </c>
      <c r="B24" s="8" t="s">
        <v>681</v>
      </c>
      <c r="D24" s="191" t="n">
        <v>2800</v>
      </c>
      <c r="E24" s="80"/>
      <c r="F24" s="64" t="n">
        <v>2800</v>
      </c>
      <c r="G24" s="80"/>
      <c r="H24" s="80" t="n">
        <f aca="false">H23+F24+G24</f>
        <v>-95761.67</v>
      </c>
    </row>
    <row r="25" customFormat="false" ht="12.75" hidden="false" customHeight="false" outlineLevel="0" collapsed="false">
      <c r="A25" s="90" t="n">
        <v>45380</v>
      </c>
      <c r="B25" s="103" t="s">
        <v>80</v>
      </c>
      <c r="C25" s="103"/>
      <c r="D25" s="191"/>
      <c r="E25" s="80" t="n">
        <v>-400</v>
      </c>
      <c r="G25" s="80" t="n">
        <v>-255</v>
      </c>
      <c r="H25" s="80" t="n">
        <f aca="false">H24+F25+G25</f>
        <v>-96016.67</v>
      </c>
    </row>
    <row r="26" customFormat="false" ht="12.75" hidden="false" customHeight="false" outlineLevel="0" collapsed="false">
      <c r="A26" s="90" t="n">
        <v>45380</v>
      </c>
      <c r="B26" s="103" t="s">
        <v>81</v>
      </c>
      <c r="C26" s="103"/>
      <c r="D26" s="191"/>
      <c r="E26" s="80" t="n">
        <v>-500</v>
      </c>
      <c r="G26" s="80" t="n">
        <v>-460</v>
      </c>
      <c r="H26" s="80" t="n">
        <f aca="false">H25+F26+G26</f>
        <v>-96476.67</v>
      </c>
    </row>
    <row r="27" customFormat="false" ht="12.75" hidden="false" customHeight="false" outlineLevel="0" collapsed="false">
      <c r="F27" s="168"/>
      <c r="G27" s="80"/>
      <c r="H27" s="80" t="n">
        <f aca="false">H26+F27+G27</f>
        <v>-96476.67</v>
      </c>
    </row>
    <row r="28" customFormat="false" ht="12.75" hidden="false" customHeight="false" outlineLevel="0" collapsed="false">
      <c r="A28" s="195"/>
      <c r="G28" s="80"/>
      <c r="H28" s="80" t="n">
        <f aca="false">H27+F28+G28</f>
        <v>-96476.67</v>
      </c>
    </row>
    <row r="29" customFormat="false" ht="12.75" hidden="false" customHeight="false" outlineLevel="0" collapsed="false">
      <c r="A29" s="162"/>
      <c r="E29" s="196"/>
      <c r="F29" s="64"/>
      <c r="G29" s="80"/>
      <c r="H29" s="80" t="n">
        <f aca="false">H28+F29+G29</f>
        <v>-96476.67</v>
      </c>
    </row>
    <row r="30" customFormat="false" ht="12.75" hidden="false" customHeight="false" outlineLevel="0" collapsed="false">
      <c r="A30" s="197"/>
      <c r="F30" s="64"/>
      <c r="G30" s="79"/>
      <c r="H30" s="80"/>
    </row>
    <row r="31" customFormat="false" ht="12.75" hidden="false" customHeight="false" outlineLevel="0" collapsed="false">
      <c r="G31" s="64"/>
      <c r="H31" s="64"/>
    </row>
    <row r="32" customFormat="false" ht="12.75" hidden="false" customHeight="false" outlineLevel="0" collapsed="false">
      <c r="B32" s="0" t="s">
        <v>334</v>
      </c>
      <c r="G32" s="64"/>
      <c r="H32" s="64"/>
    </row>
    <row r="33" customFormat="false" ht="12.75" hidden="false" customHeight="false" outlineLevel="0" collapsed="false">
      <c r="A33" s="105"/>
      <c r="B33" s="105" t="s">
        <v>335</v>
      </c>
      <c r="C33" s="105"/>
      <c r="G33" s="64"/>
      <c r="H33" s="64"/>
    </row>
    <row r="34" customFormat="false" ht="12.75" hidden="false" customHeight="false" outlineLevel="0" collapsed="false">
      <c r="A34" s="102"/>
      <c r="C34" s="176"/>
      <c r="H34" s="64"/>
    </row>
    <row r="35" customFormat="false" ht="12.75" hidden="false" customHeight="false" outlineLevel="0" collapsed="false">
      <c r="A35" s="177" t="n">
        <v>44929</v>
      </c>
      <c r="B35" s="178" t="s">
        <v>336</v>
      </c>
      <c r="C35" s="105"/>
      <c r="D35" s="104" t="n">
        <f aca="false">SUM(D36:D41)</f>
        <v>5343.55</v>
      </c>
      <c r="E35" s="79" t="n">
        <f aca="false">SUM(E36:E41)</f>
        <v>5345.8</v>
      </c>
      <c r="H35" s="64"/>
    </row>
    <row r="36" customFormat="false" ht="12.75" hidden="false" customHeight="false" outlineLevel="0" collapsed="false">
      <c r="A36" s="102"/>
      <c r="B36" s="108" t="s">
        <v>337</v>
      </c>
      <c r="D36" s="104" t="n">
        <v>967.68</v>
      </c>
      <c r="E36" s="80" t="n">
        <v>970</v>
      </c>
      <c r="H36" s="64"/>
    </row>
    <row r="37" customFormat="false" ht="12.75" hidden="false" customHeight="false" outlineLevel="0" collapsed="false">
      <c r="B37" s="0" t="s">
        <v>682</v>
      </c>
      <c r="C37" s="0" t="s">
        <v>438</v>
      </c>
      <c r="D37" s="104" t="n">
        <v>1224.42</v>
      </c>
      <c r="E37" s="80" t="n">
        <v>1225</v>
      </c>
      <c r="F37" s="64"/>
      <c r="G37" s="64"/>
    </row>
    <row r="38" customFormat="false" ht="12.75" hidden="false" customHeight="false" outlineLevel="0" collapsed="false">
      <c r="B38" s="0" t="s">
        <v>339</v>
      </c>
      <c r="D38" s="104" t="n">
        <v>237.14</v>
      </c>
      <c r="E38" s="80" t="n">
        <v>237.14</v>
      </c>
      <c r="F38" s="64"/>
      <c r="G38" s="64"/>
    </row>
    <row r="39" customFormat="false" ht="12.75" hidden="false" customHeight="false" outlineLevel="0" collapsed="false">
      <c r="B39" s="0" t="s">
        <v>683</v>
      </c>
      <c r="D39" s="104" t="n">
        <v>2248.8</v>
      </c>
      <c r="E39" s="80" t="n">
        <v>2248</v>
      </c>
      <c r="F39" s="64"/>
      <c r="G39" s="64"/>
    </row>
    <row r="40" customFormat="false" ht="12.75" hidden="false" customHeight="false" outlineLevel="0" collapsed="false">
      <c r="B40" s="0" t="s">
        <v>341</v>
      </c>
      <c r="D40" s="104" t="n">
        <v>439.85</v>
      </c>
      <c r="E40" s="80" t="n">
        <v>440</v>
      </c>
      <c r="F40" s="64"/>
      <c r="G40" s="64"/>
    </row>
    <row r="41" customFormat="false" ht="12.75" hidden="false" customHeight="false" outlineLevel="0" collapsed="false">
      <c r="B41" s="0" t="s">
        <v>342</v>
      </c>
      <c r="C41" s="108"/>
      <c r="D41" s="108" t="n">
        <v>225.66</v>
      </c>
      <c r="E41" s="80" t="n">
        <v>225.66</v>
      </c>
      <c r="F41" s="64"/>
      <c r="G41" s="64"/>
    </row>
    <row r="42" customFormat="false" ht="12.75" hidden="false" customHeight="false" outlineLevel="0" collapsed="false">
      <c r="C42" s="108"/>
      <c r="F42" s="64"/>
      <c r="G42" s="64"/>
    </row>
    <row r="44" customFormat="false" ht="12.75" hidden="false" customHeight="false" outlineLevel="0" collapsed="false">
      <c r="B44" s="17"/>
    </row>
    <row r="45" customFormat="false" ht="12.75" hidden="false" customHeight="false" outlineLevel="0" collapsed="false">
      <c r="B45" s="104"/>
    </row>
    <row r="46" customFormat="false" ht="12.75" hidden="false" customHeight="false" outlineLevel="0" collapsed="false">
      <c r="A46" s="105"/>
      <c r="B46" s="106" t="s">
        <v>83</v>
      </c>
      <c r="C46" s="105"/>
      <c r="E46" s="198" t="n">
        <f aca="false">SUM(E47:E60)</f>
        <v>-6341.66</v>
      </c>
    </row>
    <row r="47" customFormat="false" ht="12.75" hidden="false" customHeight="false" outlineLevel="0" collapsed="false">
      <c r="A47" s="102" t="n">
        <v>45187</v>
      </c>
      <c r="B47" s="108" t="s">
        <v>570</v>
      </c>
      <c r="C47" s="108" t="n">
        <v>7648.33</v>
      </c>
      <c r="D47" s="104" t="s">
        <v>684</v>
      </c>
      <c r="E47" s="79" t="n">
        <v>-849.81</v>
      </c>
      <c r="G47" s="64"/>
      <c r="H47" s="64"/>
    </row>
    <row r="48" customFormat="false" ht="12.75" hidden="false" customHeight="false" outlineLevel="0" collapsed="false">
      <c r="A48" s="102" t="n">
        <v>45187</v>
      </c>
      <c r="B48" s="108" t="s">
        <v>685</v>
      </c>
      <c r="C48" s="108" t="n">
        <v>11128</v>
      </c>
      <c r="D48" s="104" t="s">
        <v>449</v>
      </c>
      <c r="E48" s="79" t="n">
        <v>-1854.65</v>
      </c>
      <c r="F48" s="64"/>
      <c r="G48" s="64"/>
      <c r="H48" s="64"/>
    </row>
    <row r="49" customFormat="false" ht="12.75" hidden="false" customHeight="false" outlineLevel="0" collapsed="false">
      <c r="A49" s="90" t="n">
        <v>45325</v>
      </c>
      <c r="B49" s="8" t="s">
        <v>418</v>
      </c>
      <c r="E49" s="79" t="n">
        <v>-453.4</v>
      </c>
      <c r="G49" s="64"/>
      <c r="H49" s="64"/>
    </row>
    <row r="50" customFormat="false" ht="12.75" hidden="false" customHeight="false" outlineLevel="0" collapsed="false">
      <c r="A50" s="90" t="n">
        <v>45326</v>
      </c>
      <c r="B50" s="8" t="s">
        <v>686</v>
      </c>
      <c r="E50" s="79" t="n">
        <v>-300</v>
      </c>
      <c r="G50" s="64"/>
      <c r="H50" s="64"/>
    </row>
    <row r="51" customFormat="false" ht="12.75" hidden="false" customHeight="false" outlineLevel="0" collapsed="false">
      <c r="A51" s="90" t="n">
        <v>45327</v>
      </c>
      <c r="B51" s="8" t="s">
        <v>132</v>
      </c>
      <c r="C51" s="0" t="n">
        <v>3900.57</v>
      </c>
      <c r="G51" s="64"/>
      <c r="H51" s="64"/>
    </row>
    <row r="52" customFormat="false" ht="12.75" hidden="false" customHeight="false" outlineLevel="0" collapsed="false">
      <c r="A52" s="90" t="n">
        <v>45330</v>
      </c>
      <c r="B52" s="8" t="s">
        <v>687</v>
      </c>
      <c r="E52" s="79" t="n">
        <v>-900</v>
      </c>
      <c r="G52" s="64"/>
      <c r="H52" s="64"/>
    </row>
    <row r="53" customFormat="false" ht="12.75" hidden="false" customHeight="false" outlineLevel="0" collapsed="false">
      <c r="A53" s="90" t="n">
        <v>45330</v>
      </c>
      <c r="B53" s="8" t="s">
        <v>688</v>
      </c>
      <c r="E53" s="79" t="n">
        <v>-116.38</v>
      </c>
      <c r="G53" s="64"/>
      <c r="H53" s="64"/>
    </row>
    <row r="54" customFormat="false" ht="12.75" hidden="false" customHeight="false" outlineLevel="0" collapsed="false">
      <c r="A54" s="102" t="n">
        <v>45331</v>
      </c>
      <c r="B54" s="108" t="s">
        <v>661</v>
      </c>
      <c r="C54" s="108"/>
      <c r="E54" s="79" t="n">
        <v>-100</v>
      </c>
      <c r="F54" s="64"/>
      <c r="G54" s="64"/>
      <c r="H54" s="64"/>
    </row>
    <row r="55" customFormat="false" ht="12.75" hidden="false" customHeight="false" outlineLevel="0" collapsed="false">
      <c r="A55" s="102" t="n">
        <v>45331</v>
      </c>
      <c r="B55" s="108" t="s">
        <v>689</v>
      </c>
      <c r="C55" s="108"/>
      <c r="E55" s="79" t="n">
        <v>-215.42</v>
      </c>
      <c r="F55" s="64"/>
      <c r="G55" s="64"/>
      <c r="H55" s="64"/>
    </row>
    <row r="56" customFormat="false" ht="12.75" hidden="false" customHeight="false" outlineLevel="0" collapsed="false">
      <c r="A56" s="102" t="n">
        <v>45332</v>
      </c>
      <c r="B56" s="108" t="s">
        <v>661</v>
      </c>
      <c r="C56" s="108"/>
      <c r="E56" s="79" t="n">
        <v>-100</v>
      </c>
      <c r="F56" s="64"/>
      <c r="G56" s="64"/>
      <c r="H56" s="64"/>
    </row>
    <row r="57" customFormat="false" ht="12.75" hidden="false" customHeight="false" outlineLevel="0" collapsed="false">
      <c r="A57" s="102" t="n">
        <v>45332</v>
      </c>
      <c r="B57" s="108" t="s">
        <v>690</v>
      </c>
      <c r="C57" s="108"/>
      <c r="E57" s="79" t="n">
        <v>-900</v>
      </c>
      <c r="F57" s="64"/>
      <c r="G57" s="64"/>
      <c r="H57" s="64"/>
    </row>
    <row r="58" customFormat="false" ht="12.75" hidden="false" customHeight="false" outlineLevel="0" collapsed="false">
      <c r="A58" s="102" t="n">
        <v>45337</v>
      </c>
      <c r="B58" s="108" t="s">
        <v>691</v>
      </c>
      <c r="E58" s="79" t="n">
        <v>-352</v>
      </c>
      <c r="F58" s="64"/>
      <c r="G58" s="64"/>
      <c r="H58" s="64"/>
    </row>
    <row r="59" customFormat="false" ht="12.75" hidden="false" customHeight="false" outlineLevel="0" collapsed="false">
      <c r="A59" s="102" t="n">
        <v>45338</v>
      </c>
      <c r="B59" s="108" t="s">
        <v>661</v>
      </c>
      <c r="C59" s="108"/>
      <c r="E59" s="79" t="n">
        <v>-100</v>
      </c>
      <c r="F59" s="64"/>
      <c r="G59" s="64"/>
      <c r="H59" s="64"/>
    </row>
    <row r="60" customFormat="false" ht="12.75" hidden="false" customHeight="false" outlineLevel="0" collapsed="false">
      <c r="A60" s="102" t="n">
        <v>45339</v>
      </c>
      <c r="B60" s="3" t="s">
        <v>661</v>
      </c>
      <c r="E60" s="79" t="n">
        <v>-100</v>
      </c>
      <c r="F60" s="64"/>
      <c r="G60" s="64"/>
      <c r="H60" s="64"/>
    </row>
    <row r="61" customFormat="false" ht="13.8" hidden="false" customHeight="false" outlineLevel="0" collapsed="false">
      <c r="A61" s="102"/>
      <c r="B61" s="108"/>
      <c r="C61" s="108"/>
      <c r="D61" s="107" t="s">
        <v>84</v>
      </c>
      <c r="F61" s="64"/>
      <c r="G61" s="64"/>
      <c r="H61" s="64"/>
    </row>
    <row r="62" customFormat="false" ht="12.75" hidden="false" customHeight="false" outlineLevel="0" collapsed="false">
      <c r="A62" s="102"/>
      <c r="B62" s="108"/>
      <c r="C62" s="108"/>
      <c r="F62" s="64"/>
      <c r="G62" s="64"/>
      <c r="H62" s="64"/>
    </row>
    <row r="63" customFormat="false" ht="12.75" hidden="false" customHeight="false" outlineLevel="0" collapsed="false">
      <c r="A63" s="102"/>
      <c r="B63" s="108"/>
      <c r="C63" s="108"/>
      <c r="F63" s="64"/>
      <c r="G63" s="64"/>
      <c r="H63" s="64"/>
    </row>
    <row r="64" customFormat="false" ht="12.75" hidden="false" customHeight="false" outlineLevel="0" collapsed="false">
      <c r="A64" s="102"/>
      <c r="B64" s="108"/>
      <c r="C64" s="108"/>
      <c r="F64" s="64"/>
      <c r="G64" s="64"/>
      <c r="H64" s="64"/>
    </row>
    <row r="65" customFormat="false" ht="12.75" hidden="false" customHeight="false" outlineLevel="0" collapsed="false">
      <c r="A65" s="105"/>
      <c r="B65" s="106" t="s">
        <v>85</v>
      </c>
      <c r="C65" s="105"/>
      <c r="E65" s="199" t="n">
        <f aca="false">SUM(E66:E85)</f>
        <v>-72173.5</v>
      </c>
      <c r="F65" s="64"/>
      <c r="G65" s="64"/>
    </row>
    <row r="66" customFormat="false" ht="12.75" hidden="false" customHeight="false" outlineLevel="0" collapsed="false">
      <c r="A66" s="102"/>
      <c r="B66" s="108"/>
      <c r="C66" s="108"/>
      <c r="F66" s="64"/>
      <c r="G66" s="64"/>
      <c r="H66" s="64"/>
    </row>
    <row r="67" customFormat="false" ht="12.75" hidden="false" customHeight="false" outlineLevel="0" collapsed="false">
      <c r="A67" s="102" t="n">
        <v>45187</v>
      </c>
      <c r="B67" s="108" t="s">
        <v>692</v>
      </c>
      <c r="C67" s="108"/>
      <c r="D67" s="104" t="s">
        <v>693</v>
      </c>
      <c r="E67" s="79" t="n">
        <v>-3974.42</v>
      </c>
      <c r="F67" s="0" t="n">
        <v>0</v>
      </c>
      <c r="G67" s="64"/>
      <c r="H67" s="64"/>
    </row>
    <row r="68" customFormat="false" ht="12.75" hidden="false" customHeight="false" outlineLevel="0" collapsed="false">
      <c r="A68" s="170" t="n">
        <v>45214</v>
      </c>
      <c r="B68" s="8" t="s">
        <v>665</v>
      </c>
      <c r="D68" s="104" t="s">
        <v>694</v>
      </c>
      <c r="E68" s="79" t="n">
        <v>-600</v>
      </c>
      <c r="F68" s="64"/>
      <c r="G68" s="64"/>
      <c r="H68" s="64"/>
    </row>
    <row r="69" customFormat="false" ht="12.75" hidden="false" customHeight="false" outlineLevel="0" collapsed="false">
      <c r="A69" s="170" t="n">
        <v>45285</v>
      </c>
      <c r="B69" s="108" t="s">
        <v>530</v>
      </c>
      <c r="C69" s="108"/>
      <c r="D69" s="104" t="s">
        <v>695</v>
      </c>
      <c r="E69" s="79" t="n">
        <v>-3551.66</v>
      </c>
      <c r="F69" s="64"/>
      <c r="G69" s="64"/>
      <c r="H69" s="64"/>
    </row>
    <row r="70" customFormat="false" ht="12.75" hidden="false" customHeight="false" outlineLevel="0" collapsed="false">
      <c r="A70" s="170" t="n">
        <v>45259</v>
      </c>
      <c r="B70" s="8" t="s">
        <v>696</v>
      </c>
      <c r="C70" s="181" t="n">
        <v>-1204.5</v>
      </c>
      <c r="D70" s="104" t="s">
        <v>697</v>
      </c>
      <c r="E70" s="79" t="n">
        <v>-401.5</v>
      </c>
      <c r="F70" s="64"/>
      <c r="G70" s="64"/>
      <c r="H70" s="64"/>
    </row>
    <row r="71" customFormat="false" ht="12.75" hidden="false" customHeight="false" outlineLevel="0" collapsed="false">
      <c r="A71" s="170" t="n">
        <v>45259</v>
      </c>
      <c r="B71" s="8" t="s">
        <v>698</v>
      </c>
      <c r="C71" s="181" t="n">
        <v>-148.6</v>
      </c>
      <c r="D71" s="104" t="s">
        <v>697</v>
      </c>
      <c r="E71" s="79" t="n">
        <v>-49.54</v>
      </c>
      <c r="F71" s="64"/>
      <c r="G71" s="64"/>
      <c r="H71" s="64"/>
    </row>
    <row r="72" customFormat="false" ht="12.75" hidden="false" customHeight="false" outlineLevel="0" collapsed="false">
      <c r="A72" s="170" t="n">
        <v>45259</v>
      </c>
      <c r="B72" s="8" t="s">
        <v>699</v>
      </c>
      <c r="C72" s="181" t="n">
        <v>-244.8</v>
      </c>
      <c r="D72" s="104" t="s">
        <v>697</v>
      </c>
      <c r="E72" s="79" t="n">
        <v>-81.6</v>
      </c>
      <c r="F72" s="64"/>
      <c r="G72" s="64"/>
      <c r="H72" s="64"/>
    </row>
    <row r="73" customFormat="false" ht="12.75" hidden="false" customHeight="false" outlineLevel="0" collapsed="false">
      <c r="A73" s="170" t="n">
        <v>45259</v>
      </c>
      <c r="B73" s="8" t="s">
        <v>700</v>
      </c>
      <c r="C73" s="181" t="n">
        <v>-532.6</v>
      </c>
      <c r="D73" s="104" t="s">
        <v>697</v>
      </c>
      <c r="E73" s="79" t="n">
        <v>-177.54</v>
      </c>
      <c r="F73" s="64"/>
      <c r="G73" s="64"/>
      <c r="H73" s="64"/>
    </row>
    <row r="74" customFormat="false" ht="12.75" hidden="false" customHeight="false" outlineLevel="0" collapsed="false">
      <c r="A74" s="170"/>
      <c r="B74" s="108" t="s">
        <v>166</v>
      </c>
      <c r="C74" s="108" t="n">
        <v>899</v>
      </c>
      <c r="D74" s="200" t="s">
        <v>701</v>
      </c>
      <c r="E74" s="79" t="n">
        <v>-449.5</v>
      </c>
      <c r="F74" s="64"/>
      <c r="G74" s="64"/>
      <c r="H74" s="64"/>
    </row>
    <row r="75" customFormat="false" ht="12.75" hidden="false" customHeight="false" outlineLevel="0" collapsed="false">
      <c r="A75" s="170"/>
      <c r="B75" s="108" t="s">
        <v>702</v>
      </c>
      <c r="C75" s="108"/>
      <c r="D75" s="200" t="s">
        <v>701</v>
      </c>
      <c r="E75" s="79" t="n">
        <v>-299.64</v>
      </c>
      <c r="F75" s="64"/>
      <c r="G75" s="64"/>
      <c r="H75" s="64"/>
    </row>
    <row r="76" customFormat="false" ht="12.75" hidden="false" customHeight="false" outlineLevel="0" collapsed="false">
      <c r="A76" s="170"/>
      <c r="B76" s="108" t="s">
        <v>703</v>
      </c>
      <c r="C76" s="108"/>
      <c r="D76" s="200" t="s">
        <v>701</v>
      </c>
      <c r="E76" s="79" t="n">
        <v>-546.82</v>
      </c>
      <c r="F76" s="64"/>
      <c r="G76" s="64"/>
      <c r="H76" s="64"/>
    </row>
    <row r="77" customFormat="false" ht="14.9" hidden="false" customHeight="false" outlineLevel="0" collapsed="false">
      <c r="A77" s="102"/>
      <c r="B77" s="3" t="s">
        <v>486</v>
      </c>
      <c r="C77" s="108"/>
      <c r="D77" s="200" t="s">
        <v>704</v>
      </c>
      <c r="E77" s="79" t="n">
        <v>-649.78</v>
      </c>
      <c r="F77" s="64"/>
      <c r="G77" s="64"/>
      <c r="H77" s="64"/>
    </row>
    <row r="78" customFormat="false" ht="12.75" hidden="false" customHeight="false" outlineLevel="0" collapsed="false">
      <c r="A78" s="102"/>
      <c r="B78" s="3" t="s">
        <v>488</v>
      </c>
      <c r="C78" s="108" t="n">
        <v>49.98</v>
      </c>
      <c r="D78" s="200" t="s">
        <v>704</v>
      </c>
      <c r="F78" s="64"/>
      <c r="G78" s="64"/>
      <c r="H78" s="64"/>
    </row>
    <row r="79" customFormat="false" ht="12.75" hidden="false" customHeight="false" outlineLevel="0" collapsed="false">
      <c r="A79" s="102"/>
      <c r="B79" s="3"/>
      <c r="C79" s="108"/>
      <c r="F79" s="64"/>
      <c r="G79" s="64"/>
      <c r="H79" s="64"/>
    </row>
    <row r="80" customFormat="false" ht="12.75" hidden="false" customHeight="false" outlineLevel="0" collapsed="false">
      <c r="A80" s="102"/>
      <c r="B80" s="3"/>
      <c r="C80" s="108"/>
      <c r="F80" s="64"/>
      <c r="G80" s="64"/>
      <c r="H80" s="64"/>
    </row>
    <row r="81" customFormat="false" ht="12.75" hidden="false" customHeight="false" outlineLevel="0" collapsed="false">
      <c r="A81" s="102" t="n">
        <v>45324</v>
      </c>
      <c r="B81" s="3" t="s">
        <v>705</v>
      </c>
      <c r="C81" s="108"/>
      <c r="E81" s="79" t="n">
        <v>-1195</v>
      </c>
      <c r="F81" s="64"/>
      <c r="G81" s="64"/>
      <c r="H81" s="64"/>
    </row>
    <row r="82" customFormat="false" ht="12.75" hidden="false" customHeight="false" outlineLevel="0" collapsed="false">
      <c r="A82" s="102" t="n">
        <v>45327</v>
      </c>
      <c r="B82" s="3" t="s">
        <v>706</v>
      </c>
      <c r="C82" s="79" t="n">
        <v>-299.99</v>
      </c>
      <c r="F82" s="64"/>
      <c r="G82" s="64"/>
      <c r="H82" s="64"/>
    </row>
    <row r="83" customFormat="false" ht="12.75" hidden="false" customHeight="false" outlineLevel="0" collapsed="false">
      <c r="A83" s="102" t="n">
        <v>45336</v>
      </c>
      <c r="B83" s="3" t="s">
        <v>373</v>
      </c>
      <c r="C83" s="108"/>
      <c r="E83" s="79" t="n">
        <v>-59483.25</v>
      </c>
      <c r="F83" s="64"/>
      <c r="G83" s="64"/>
      <c r="H83" s="64"/>
    </row>
    <row r="84" customFormat="false" ht="12.75" hidden="false" customHeight="false" outlineLevel="0" collapsed="false">
      <c r="A84" s="102" t="n">
        <v>45329</v>
      </c>
      <c r="B84" s="3" t="s">
        <v>707</v>
      </c>
      <c r="C84" s="108"/>
      <c r="E84" s="79" t="n">
        <v>-713.25</v>
      </c>
      <c r="F84" s="64"/>
      <c r="G84" s="64"/>
      <c r="H84" s="64"/>
    </row>
    <row r="85" customFormat="false" ht="12.75" hidden="false" customHeight="false" outlineLevel="0" collapsed="false">
      <c r="A85" s="102" t="n">
        <v>45327</v>
      </c>
      <c r="B85" s="3" t="s">
        <v>132</v>
      </c>
      <c r="C85" s="108" t="n">
        <v>24742.96</v>
      </c>
      <c r="F85" s="64"/>
      <c r="G85" s="64"/>
      <c r="H85" s="64"/>
    </row>
    <row r="86" customFormat="false" ht="12.75" hidden="false" customHeight="false" outlineLevel="0" collapsed="false">
      <c r="A86" s="102"/>
      <c r="B86" s="3"/>
      <c r="C86" s="108"/>
      <c r="F86" s="64"/>
      <c r="G86" s="64"/>
      <c r="H86" s="64"/>
    </row>
    <row r="87" customFormat="false" ht="13.8" hidden="false" customHeight="false" outlineLevel="0" collapsed="false">
      <c r="A87" s="102"/>
      <c r="B87" s="3"/>
      <c r="C87" s="108"/>
      <c r="D87" s="107" t="s">
        <v>84</v>
      </c>
      <c r="F87" s="64"/>
      <c r="G87" s="64"/>
      <c r="H87" s="64"/>
    </row>
    <row r="88" customFormat="false" ht="12.75" hidden="false" customHeight="false" outlineLevel="0" collapsed="false">
      <c r="A88" s="102"/>
      <c r="B88" s="3"/>
      <c r="C88" s="108"/>
      <c r="F88" s="64"/>
      <c r="G88" s="64"/>
      <c r="H88" s="64"/>
    </row>
    <row r="89" customFormat="false" ht="12.75" hidden="false" customHeight="false" outlineLevel="0" collapsed="false">
      <c r="A89" s="102"/>
      <c r="B89" s="3"/>
      <c r="C89" s="108"/>
      <c r="F89" s="64"/>
      <c r="G89" s="64"/>
      <c r="H89" s="64"/>
    </row>
    <row r="90" customFormat="false" ht="12.75" hidden="false" customHeight="false" outlineLevel="0" collapsed="false">
      <c r="A90" s="102"/>
      <c r="B90" s="3"/>
      <c r="C90" s="108"/>
      <c r="F90" s="64"/>
      <c r="G90" s="64"/>
      <c r="H90" s="64"/>
    </row>
    <row r="91" customFormat="false" ht="12.75" hidden="false" customHeight="false" outlineLevel="0" collapsed="false">
      <c r="A91" s="102"/>
      <c r="B91" s="3"/>
      <c r="C91" s="108"/>
      <c r="F91" s="64"/>
      <c r="G91" s="64"/>
      <c r="H91" s="64"/>
    </row>
    <row r="92" customFormat="false" ht="12.75" hidden="false" customHeight="false" outlineLevel="0" collapsed="false">
      <c r="A92" s="102"/>
      <c r="B92" s="3"/>
      <c r="C92" s="108"/>
      <c r="F92" s="64"/>
      <c r="G92" s="64"/>
      <c r="H92" s="64"/>
    </row>
    <row r="93" customFormat="false" ht="12.75" hidden="false" customHeight="false" outlineLevel="0" collapsed="false">
      <c r="A93" s="102"/>
      <c r="B93" s="3"/>
      <c r="C93" s="108"/>
      <c r="F93" s="64"/>
      <c r="G93" s="64"/>
      <c r="H93" s="64"/>
    </row>
    <row r="94" customFormat="false" ht="12.75" hidden="false" customHeight="false" outlineLevel="0" collapsed="false">
      <c r="A94" s="102"/>
      <c r="B94" s="3"/>
      <c r="C94" s="108"/>
      <c r="F94" s="64"/>
      <c r="G94" s="64"/>
      <c r="H94" s="64"/>
    </row>
    <row r="95" customFormat="false" ht="12.75" hidden="false" customHeight="false" outlineLevel="0" collapsed="false">
      <c r="A95" s="102"/>
      <c r="B95" s="3"/>
      <c r="C95" s="108"/>
      <c r="F95" s="64"/>
      <c r="G95" s="64"/>
      <c r="H95" s="64"/>
    </row>
    <row r="96" customFormat="false" ht="12.75" hidden="false" customHeight="false" outlineLevel="0" collapsed="false">
      <c r="A96" s="102"/>
      <c r="B96" s="3"/>
      <c r="C96" s="108"/>
      <c r="F96" s="64"/>
      <c r="G96" s="64"/>
      <c r="H96" s="64"/>
    </row>
    <row r="97" customFormat="false" ht="12.75" hidden="false" customHeight="false" outlineLevel="0" collapsed="false">
      <c r="A97" s="102"/>
      <c r="B97" s="3"/>
      <c r="C97" s="108"/>
      <c r="F97" s="64"/>
      <c r="G97" s="64"/>
      <c r="H97" s="64"/>
    </row>
    <row r="106" customFormat="false" ht="12.75" hidden="false" customHeight="false" outlineLevel="0" collapsed="false">
      <c r="A106" s="102"/>
    </row>
    <row r="107" customFormat="false" ht="12.75" hidden="false" customHeight="false" outlineLevel="0" collapsed="false">
      <c r="A107" s="102"/>
    </row>
    <row r="108" customFormat="false" ht="12.75" hidden="false" customHeight="false" outlineLevel="0" collapsed="false">
      <c r="A108" s="117" t="s">
        <v>708</v>
      </c>
      <c r="B108" s="106" t="s">
        <v>139</v>
      </c>
      <c r="C108" s="105" t="n">
        <v>2024</v>
      </c>
      <c r="D108" s="163"/>
      <c r="E108" s="164" t="n">
        <f aca="false">SUM(E109:E127)</f>
        <v>745852.050357</v>
      </c>
    </row>
    <row r="109" customFormat="false" ht="12.75" hidden="false" customHeight="false" outlineLevel="0" collapsed="false">
      <c r="A109" s="165" t="n">
        <v>45352</v>
      </c>
      <c r="B109" s="8" t="s">
        <v>77</v>
      </c>
      <c r="C109" s="2"/>
      <c r="D109" s="2"/>
      <c r="E109" s="2" t="n">
        <v>64000</v>
      </c>
    </row>
    <row r="110" customFormat="false" ht="12.75" hidden="false" customHeight="false" outlineLevel="0" collapsed="false">
      <c r="A110" s="165" t="n">
        <f aca="false">A109</f>
        <v>45352</v>
      </c>
      <c r="B110" s="8" t="s">
        <v>709</v>
      </c>
      <c r="C110" s="2"/>
      <c r="D110" s="2"/>
      <c r="E110" s="2" t="n">
        <v>150845</v>
      </c>
    </row>
    <row r="111" customFormat="false" ht="12.75" hidden="false" customHeight="false" outlineLevel="0" collapsed="false">
      <c r="A111" s="165" t="n">
        <f aca="false">A110</f>
        <v>45352</v>
      </c>
      <c r="B111" s="8" t="s">
        <v>309</v>
      </c>
      <c r="C111" s="2"/>
      <c r="D111" s="2"/>
      <c r="E111" s="17" t="n">
        <v>5039.78</v>
      </c>
    </row>
    <row r="112" customFormat="false" ht="12.75" hidden="false" customHeight="false" outlineLevel="0" collapsed="false">
      <c r="A112" s="165" t="n">
        <f aca="false">A111</f>
        <v>45352</v>
      </c>
      <c r="B112" s="8" t="s">
        <v>310</v>
      </c>
      <c r="C112" s="2"/>
      <c r="D112" s="2"/>
      <c r="E112" s="17" t="n">
        <v>0</v>
      </c>
    </row>
    <row r="113" customFormat="false" ht="12.75" hidden="false" customHeight="false" outlineLevel="0" collapsed="false">
      <c r="A113" s="165" t="n">
        <f aca="false">A112</f>
        <v>45352</v>
      </c>
      <c r="B113" s="8" t="s">
        <v>507</v>
      </c>
      <c r="C113" s="2"/>
      <c r="D113" s="2"/>
      <c r="E113" s="17" t="n">
        <v>0</v>
      </c>
    </row>
    <row r="114" customFormat="false" ht="12.75" hidden="false" customHeight="false" outlineLevel="0" collapsed="false">
      <c r="A114" s="165" t="n">
        <f aca="false">A113</f>
        <v>45352</v>
      </c>
      <c r="B114" s="8" t="s">
        <v>311</v>
      </c>
      <c r="C114" s="129"/>
      <c r="D114" s="2"/>
      <c r="E114" s="17" t="n">
        <v>0</v>
      </c>
    </row>
    <row r="115" customFormat="false" ht="12.75" hidden="false" customHeight="false" outlineLevel="0" collapsed="false">
      <c r="A115" s="165" t="n">
        <f aca="false">A114</f>
        <v>45352</v>
      </c>
      <c r="B115" s="8" t="s">
        <v>245</v>
      </c>
      <c r="C115" s="2"/>
      <c r="D115" s="2"/>
      <c r="E115" s="17" t="n">
        <v>0</v>
      </c>
    </row>
    <row r="116" customFormat="false" ht="12.75" hidden="false" customHeight="false" outlineLevel="0" collapsed="false">
      <c r="A116" s="165" t="n">
        <f aca="false">A115</f>
        <v>45352</v>
      </c>
      <c r="B116" s="8" t="s">
        <v>508</v>
      </c>
      <c r="C116" s="2" t="s">
        <v>710</v>
      </c>
      <c r="D116" s="2"/>
      <c r="E116" s="17" t="n">
        <v>129254.5</v>
      </c>
    </row>
    <row r="117" customFormat="false" ht="12.75" hidden="false" customHeight="false" outlineLevel="0" collapsed="false">
      <c r="A117" s="165" t="n">
        <f aca="false">A116</f>
        <v>45352</v>
      </c>
      <c r="B117" s="8" t="s">
        <v>711</v>
      </c>
      <c r="C117" s="2" t="s">
        <v>712</v>
      </c>
      <c r="D117" s="2"/>
      <c r="E117" s="17" t="n">
        <v>256.56</v>
      </c>
    </row>
    <row r="118" customFormat="false" ht="12.75" hidden="false" customHeight="false" outlineLevel="0" collapsed="false">
      <c r="A118" s="165" t="n">
        <f aca="false">A117</f>
        <v>45352</v>
      </c>
      <c r="B118" s="8" t="s">
        <v>713</v>
      </c>
      <c r="C118" s="165" t="s">
        <v>714</v>
      </c>
      <c r="D118" s="166"/>
      <c r="E118" s="17" t="n">
        <v>0</v>
      </c>
    </row>
    <row r="119" customFormat="false" ht="12.75" hidden="false" customHeight="false" outlineLevel="0" collapsed="false">
      <c r="A119" s="165" t="n">
        <f aca="false">A118</f>
        <v>45352</v>
      </c>
      <c r="B119" s="8" t="s">
        <v>715</v>
      </c>
      <c r="C119" s="165" t="s">
        <v>716</v>
      </c>
      <c r="D119" s="166"/>
      <c r="E119" s="17" t="n">
        <v>588.6</v>
      </c>
    </row>
    <row r="120" customFormat="false" ht="12.75" hidden="false" customHeight="false" outlineLevel="0" collapsed="false">
      <c r="A120" s="165" t="n">
        <f aca="false">A119</f>
        <v>45352</v>
      </c>
      <c r="B120" s="8" t="s">
        <v>717</v>
      </c>
      <c r="C120" s="165"/>
      <c r="D120" s="166"/>
      <c r="E120" s="17"/>
    </row>
    <row r="121" customFormat="false" ht="12.75" hidden="false" customHeight="false" outlineLevel="0" collapsed="false">
      <c r="A121" s="165" t="n">
        <f aca="false">A120</f>
        <v>45352</v>
      </c>
      <c r="B121" s="8" t="s">
        <v>143</v>
      </c>
      <c r="C121" s="2"/>
      <c r="D121" s="2"/>
      <c r="E121" s="17" t="n">
        <v>450</v>
      </c>
    </row>
    <row r="122" customFormat="false" ht="12.75" hidden="false" customHeight="false" outlineLevel="0" collapsed="false">
      <c r="A122" s="165" t="n">
        <f aca="false">A121</f>
        <v>45352</v>
      </c>
      <c r="B122" s="8" t="s">
        <v>718</v>
      </c>
      <c r="C122" s="2" t="n">
        <v>2017.98</v>
      </c>
      <c r="D122" s="2" t="n">
        <v>161</v>
      </c>
      <c r="E122" s="17" t="n">
        <f aca="false">D122*C122</f>
        <v>324894.78</v>
      </c>
    </row>
    <row r="123" customFormat="false" ht="12.75" hidden="false" customHeight="false" outlineLevel="0" collapsed="false">
      <c r="A123" s="165" t="n">
        <f aca="false">A122</f>
        <v>45352</v>
      </c>
      <c r="B123" s="8" t="s">
        <v>719</v>
      </c>
      <c r="C123" s="167" t="n">
        <v>30.7262</v>
      </c>
      <c r="D123" s="2" t="n">
        <v>850</v>
      </c>
      <c r="E123" s="17" t="n">
        <f aca="false">D123*C123</f>
        <v>26117.27</v>
      </c>
    </row>
    <row r="124" customFormat="false" ht="12.75" hidden="false" customHeight="false" outlineLevel="0" collapsed="false">
      <c r="A124" s="165" t="n">
        <f aca="false">A123</f>
        <v>45352</v>
      </c>
      <c r="B124" s="8" t="s">
        <v>514</v>
      </c>
      <c r="C124" s="167" t="n">
        <v>30.726</v>
      </c>
      <c r="D124" s="2" t="n">
        <v>250</v>
      </c>
      <c r="E124" s="17" t="n">
        <f aca="false">D124*C124</f>
        <v>7681.5</v>
      </c>
    </row>
    <row r="125" customFormat="false" ht="12.75" hidden="false" customHeight="false" outlineLevel="0" collapsed="false">
      <c r="A125" s="165" t="n">
        <f aca="false">A124</f>
        <v>45352</v>
      </c>
      <c r="B125" s="8" t="s">
        <v>720</v>
      </c>
      <c r="C125" s="167" t="n">
        <v>33.2243</v>
      </c>
      <c r="D125" s="2" t="n">
        <v>81.99</v>
      </c>
      <c r="E125" s="17" t="n">
        <f aca="false">D125*C125</f>
        <v>2724.060357</v>
      </c>
    </row>
    <row r="126" customFormat="false" ht="12.75" hidden="false" customHeight="false" outlineLevel="0" collapsed="false">
      <c r="A126" s="165" t="n">
        <f aca="false">A125</f>
        <v>45352</v>
      </c>
      <c r="B126" s="8" t="s">
        <v>155</v>
      </c>
      <c r="C126" s="2"/>
      <c r="D126" s="2"/>
      <c r="E126" s="17" t="n">
        <v>30000</v>
      </c>
    </row>
    <row r="127" customFormat="false" ht="12.75" hidden="false" customHeight="false" outlineLevel="0" collapsed="false">
      <c r="A127" s="165" t="n">
        <f aca="false">A126</f>
        <v>45352</v>
      </c>
      <c r="B127" s="8" t="s">
        <v>156</v>
      </c>
      <c r="C127" s="2"/>
      <c r="D127" s="2"/>
      <c r="E127" s="17" t="n">
        <v>4000</v>
      </c>
    </row>
    <row r="128" customFormat="false" ht="12.75" hidden="false" customHeight="false" outlineLevel="0" collapsed="false">
      <c r="E128" s="181"/>
    </row>
    <row r="129" customFormat="false" ht="12.75" hidden="false" customHeight="false" outlineLevel="0" collapsed="false">
      <c r="C129" s="129"/>
      <c r="D129" s="3"/>
      <c r="E129" s="129"/>
    </row>
    <row r="130" customFormat="false" ht="12.75" hidden="false" customHeight="false" outlineLevel="0" collapsed="false">
      <c r="C130" s="129"/>
      <c r="D130" s="18" t="s">
        <v>158</v>
      </c>
      <c r="E130" s="9" t="n">
        <f aca="false">SUM(E109:E127)</f>
        <v>745852.050357</v>
      </c>
    </row>
    <row r="131" customFormat="false" ht="12.75" hidden="false" customHeight="false" outlineLevel="0" collapsed="false">
      <c r="C131" s="130" t="str">
        <f aca="false">A108</f>
        <v>MART</v>
      </c>
      <c r="D131" s="131" t="s">
        <v>159</v>
      </c>
      <c r="E131" s="132" t="n">
        <f aca="false">H2</f>
        <v>-96476.67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H134"/>
  <sheetViews>
    <sheetView showFormulas="false" showGridLines="true" showRowColHeaders="true" showZeros="true" rightToLeft="false" tabSelected="false" showOutlineSymbols="true" defaultGridColor="true" view="normal" topLeftCell="A1" colorId="64" zoomScale="170" zoomScaleNormal="170" zoomScalePageLayoutView="100" workbookViewId="0">
      <selection pane="topLeft" activeCell="D29" activeCellId="0" sqref="D29"/>
    </sheetView>
  </sheetViews>
  <sheetFormatPr defaultColWidth="12.2929687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9.43"/>
    <col collapsed="false" customWidth="true" hidden="false" outlineLevel="0" max="4" min="4" style="0" width="12.57"/>
    <col collapsed="false" customWidth="true" hidden="false" outlineLevel="0" max="5" min="5" style="181" width="12.57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E1" s="201"/>
      <c r="F1" s="194" t="s">
        <v>28</v>
      </c>
      <c r="G1" s="194" t="s">
        <v>29</v>
      </c>
      <c r="H1" s="194" t="s">
        <v>3</v>
      </c>
    </row>
    <row r="2" customFormat="false" ht="12.75" hidden="false" customHeight="false" outlineLevel="0" collapsed="false">
      <c r="A2" s="3" t="s">
        <v>721</v>
      </c>
      <c r="C2" s="81" t="s">
        <v>67</v>
      </c>
      <c r="D2" s="129" t="n">
        <f aca="false">SUM(D4:D31)</f>
        <v>19300</v>
      </c>
      <c r="E2" s="129" t="n">
        <f aca="false">SUM(E4:E31)</f>
        <v>-65325.85</v>
      </c>
      <c r="F2" s="129" t="n">
        <f aca="false">SUM(F4:F31)</f>
        <v>20543.64</v>
      </c>
      <c r="G2" s="129" t="n">
        <f aca="false">SUM(G4:G31)</f>
        <v>-69834.74</v>
      </c>
      <c r="H2" s="129" t="n">
        <f aca="false">F2+G2</f>
        <v>-49291.1</v>
      </c>
    </row>
    <row r="3" customFormat="false" ht="12.75" hidden="false" customHeight="false" outlineLevel="0" collapsed="false">
      <c r="B3" s="18"/>
      <c r="E3" s="129"/>
      <c r="F3" s="129"/>
      <c r="G3" s="129"/>
      <c r="H3" s="129"/>
    </row>
    <row r="4" customFormat="false" ht="12.75" hidden="false" customHeight="false" outlineLevel="0" collapsed="false">
      <c r="A4" s="90" t="n">
        <v>45323</v>
      </c>
      <c r="B4" s="42" t="s">
        <v>434</v>
      </c>
      <c r="E4" s="181" t="n">
        <v>-152</v>
      </c>
      <c r="F4" s="181"/>
      <c r="G4" s="181" t="n">
        <v>-167</v>
      </c>
      <c r="H4" s="129" t="n">
        <f aca="false">H3+F4+G4</f>
        <v>-167</v>
      </c>
    </row>
    <row r="5" customFormat="false" ht="12.75" hidden="false" customHeight="false" outlineLevel="0" collapsed="false">
      <c r="A5" s="90" t="n">
        <v>45323</v>
      </c>
      <c r="B5" s="103" t="s">
        <v>70</v>
      </c>
      <c r="C5" s="103"/>
      <c r="D5" s="103"/>
      <c r="E5" s="181" t="n">
        <v>-1500</v>
      </c>
      <c r="F5" s="181"/>
      <c r="G5" s="181" t="n">
        <v>-1512.13</v>
      </c>
      <c r="H5" s="129" t="n">
        <f aca="false">H4+F5+G5</f>
        <v>-1679.13</v>
      </c>
    </row>
    <row r="6" customFormat="false" ht="12.75" hidden="false" customHeight="false" outlineLevel="0" collapsed="false">
      <c r="A6" s="90" t="n">
        <v>45323</v>
      </c>
      <c r="B6" s="8" t="s">
        <v>403</v>
      </c>
      <c r="D6" s="104"/>
      <c r="E6" s="181" t="n">
        <v>-10000</v>
      </c>
      <c r="F6" s="181"/>
      <c r="G6" s="181" t="n">
        <v>-10000</v>
      </c>
      <c r="H6" s="129" t="n">
        <f aca="false">H5+F6+G6</f>
        <v>-11679.13</v>
      </c>
    </row>
    <row r="7" customFormat="false" ht="12.75" hidden="false" customHeight="false" outlineLevel="0" collapsed="false">
      <c r="A7" s="90" t="n">
        <v>45323</v>
      </c>
      <c r="B7" s="103" t="s">
        <v>722</v>
      </c>
      <c r="C7" s="103"/>
      <c r="D7" s="103"/>
      <c r="E7" s="181" t="n">
        <v>-250</v>
      </c>
      <c r="F7" s="181"/>
      <c r="G7" s="181" t="n">
        <v>-250</v>
      </c>
      <c r="H7" s="129" t="n">
        <f aca="false">H6+F7+G7</f>
        <v>-11929.13</v>
      </c>
    </row>
    <row r="8" customFormat="false" ht="12.75" hidden="false" customHeight="false" outlineLevel="0" collapsed="false">
      <c r="A8" s="90" t="n">
        <v>45339</v>
      </c>
      <c r="B8" s="103" t="s">
        <v>723</v>
      </c>
      <c r="C8" s="103"/>
      <c r="D8" s="103"/>
      <c r="F8" s="181"/>
      <c r="G8" s="181" t="n">
        <v>-2750</v>
      </c>
      <c r="H8" s="129" t="n">
        <f aca="false">H7+F8+G8</f>
        <v>-14679.13</v>
      </c>
    </row>
    <row r="9" customFormat="false" ht="12.75" hidden="false" customHeight="false" outlineLevel="0" collapsed="false">
      <c r="A9" s="90" t="n">
        <v>45327</v>
      </c>
      <c r="B9" s="183" t="s">
        <v>68</v>
      </c>
      <c r="E9" s="181" t="n">
        <f aca="false">E47</f>
        <v>-3900.57</v>
      </c>
      <c r="F9" s="181"/>
      <c r="G9" s="181" t="n">
        <f aca="false">E9</f>
        <v>-3900.57</v>
      </c>
      <c r="H9" s="129" t="n">
        <f aca="false">H8+F9+G9</f>
        <v>-18579.7</v>
      </c>
    </row>
    <row r="10" customFormat="false" ht="12.75" hidden="false" customHeight="false" outlineLevel="0" collapsed="false">
      <c r="A10" s="170" t="n">
        <v>45327</v>
      </c>
      <c r="B10" s="183" t="s">
        <v>69</v>
      </c>
      <c r="E10" s="181" t="n">
        <f aca="false">E64</f>
        <v>-24792.94</v>
      </c>
      <c r="F10" s="181"/>
      <c r="G10" s="181" t="n">
        <f aca="false">E10</f>
        <v>-24792.94</v>
      </c>
      <c r="H10" s="129" t="n">
        <f aca="false">H9+F10+G10</f>
        <v>-43372.64</v>
      </c>
    </row>
    <row r="11" customFormat="false" ht="12.75" hidden="false" customHeight="false" outlineLevel="0" collapsed="false">
      <c r="A11" s="102" t="n">
        <v>45328</v>
      </c>
      <c r="B11" s="8" t="s">
        <v>724</v>
      </c>
      <c r="C11" s="129"/>
      <c r="D11" s="129"/>
      <c r="F11" s="181" t="n">
        <v>6500</v>
      </c>
      <c r="G11" s="181"/>
      <c r="H11" s="129" t="n">
        <f aca="false">H10+F11+G11</f>
        <v>-36872.64</v>
      </c>
    </row>
    <row r="12" customFormat="false" ht="12.75" hidden="false" customHeight="false" outlineLevel="0" collapsed="false">
      <c r="A12" s="102" t="n">
        <v>45329</v>
      </c>
      <c r="B12" s="103" t="s">
        <v>725</v>
      </c>
      <c r="C12" s="103"/>
      <c r="D12" s="103"/>
      <c r="E12" s="181" t="n">
        <v>-5375</v>
      </c>
      <c r="F12" s="181"/>
      <c r="G12" s="181" t="n">
        <f aca="false">E12</f>
        <v>-5375</v>
      </c>
      <c r="H12" s="129" t="n">
        <f aca="false">H11+F12+G12</f>
        <v>-42247.64</v>
      </c>
    </row>
    <row r="13" customFormat="false" ht="12.75" hidden="false" customHeight="false" outlineLevel="0" collapsed="false">
      <c r="A13" s="102" t="n">
        <v>45329</v>
      </c>
      <c r="B13" s="103" t="s">
        <v>725</v>
      </c>
      <c r="C13" s="103"/>
      <c r="D13" s="103"/>
      <c r="E13" s="181" t="n">
        <v>-2125</v>
      </c>
      <c r="F13" s="181"/>
      <c r="G13" s="181" t="n">
        <f aca="false">E13</f>
        <v>-2125</v>
      </c>
      <c r="H13" s="129" t="n">
        <f aca="false">H12+F13+G13</f>
        <v>-44372.64</v>
      </c>
    </row>
    <row r="14" customFormat="false" ht="12.75" hidden="false" customHeight="false" outlineLevel="0" collapsed="false">
      <c r="A14" s="90" t="n">
        <v>45329</v>
      </c>
      <c r="B14" s="8" t="s">
        <v>726</v>
      </c>
      <c r="E14" s="129"/>
      <c r="F14" s="181" t="n">
        <v>816.04</v>
      </c>
      <c r="G14" s="181"/>
      <c r="H14" s="129" t="n">
        <f aca="false">H13+F14+G14</f>
        <v>-43556.6</v>
      </c>
    </row>
    <row r="15" customFormat="false" ht="12.75" hidden="false" customHeight="false" outlineLevel="0" collapsed="false">
      <c r="A15" s="202" t="n">
        <v>45329</v>
      </c>
      <c r="B15" s="203" t="s">
        <v>727</v>
      </c>
      <c r="C15" s="103"/>
      <c r="E15" s="181" t="n">
        <v>-713.25</v>
      </c>
      <c r="F15" s="181"/>
      <c r="G15" s="181" t="n">
        <f aca="false">E15</f>
        <v>-713.25</v>
      </c>
      <c r="H15" s="129" t="n">
        <f aca="false">H14+F15+G15</f>
        <v>-44269.85</v>
      </c>
    </row>
    <row r="16" customFormat="false" ht="14.9" hidden="false" customHeight="false" outlineLevel="0" collapsed="false">
      <c r="A16" s="170"/>
      <c r="B16" s="8" t="s">
        <v>728</v>
      </c>
      <c r="E16" s="129"/>
      <c r="F16" s="129"/>
      <c r="G16" s="129"/>
      <c r="H16" s="129" t="n">
        <f aca="false">H15+F16+G16</f>
        <v>-44269.85</v>
      </c>
    </row>
    <row r="17" customFormat="false" ht="12.75" hidden="false" customHeight="false" outlineLevel="0" collapsed="false">
      <c r="A17" s="90" t="n">
        <v>45329</v>
      </c>
      <c r="B17" s="108" t="s">
        <v>74</v>
      </c>
      <c r="C17" s="108" t="s">
        <v>729</v>
      </c>
      <c r="D17" s="108"/>
      <c r="E17" s="181" t="n">
        <v>-100</v>
      </c>
      <c r="F17" s="129"/>
      <c r="G17" s="181" t="n">
        <v>0</v>
      </c>
      <c r="H17" s="129" t="n">
        <f aca="false">H16+F17+G17</f>
        <v>-44269.85</v>
      </c>
    </row>
    <row r="18" customFormat="false" ht="12.75" hidden="false" customHeight="false" outlineLevel="0" collapsed="false">
      <c r="A18" s="90" t="n">
        <v>45334</v>
      </c>
      <c r="B18" s="103" t="s">
        <v>75</v>
      </c>
      <c r="C18" s="103" t="s">
        <v>332</v>
      </c>
      <c r="D18" s="103"/>
      <c r="E18" s="181" t="n">
        <v>-150</v>
      </c>
      <c r="F18" s="181"/>
      <c r="G18" s="181" t="n">
        <v>-242.76</v>
      </c>
      <c r="H18" s="129" t="n">
        <f aca="false">H17+F18+G18</f>
        <v>-44512.61</v>
      </c>
    </row>
    <row r="19" customFormat="false" ht="12.75" hidden="false" customHeight="false" outlineLevel="0" collapsed="false">
      <c r="A19" s="90" t="n">
        <v>45334</v>
      </c>
      <c r="B19" s="183" t="s">
        <v>72</v>
      </c>
      <c r="D19" s="64"/>
      <c r="E19" s="181" t="n">
        <f aca="false">E42*-1</f>
        <v>-67.09</v>
      </c>
      <c r="G19" s="181" t="n">
        <f aca="false">E19</f>
        <v>-67.09</v>
      </c>
      <c r="H19" s="129" t="n">
        <f aca="false">H18+F19+G19</f>
        <v>-44579.7</v>
      </c>
    </row>
    <row r="20" customFormat="false" ht="12.75" hidden="false" customHeight="false" outlineLevel="0" collapsed="false">
      <c r="A20" s="90" t="n">
        <v>45341</v>
      </c>
      <c r="B20" s="108" t="s">
        <v>73</v>
      </c>
      <c r="C20" s="108" t="s">
        <v>730</v>
      </c>
      <c r="D20" s="108"/>
      <c r="E20" s="181" t="n">
        <v>-300</v>
      </c>
      <c r="F20" s="181"/>
      <c r="G20" s="181" t="n">
        <v>-1734</v>
      </c>
      <c r="H20" s="129" t="n">
        <f aca="false">H19+F20+G20</f>
        <v>-46313.7</v>
      </c>
    </row>
    <row r="21" customFormat="false" ht="12.75" hidden="false" customHeight="false" outlineLevel="0" collapsed="false">
      <c r="A21" s="202" t="n">
        <v>45341</v>
      </c>
      <c r="B21" s="8" t="s">
        <v>681</v>
      </c>
      <c r="D21" s="191" t="n">
        <v>2800</v>
      </c>
      <c r="F21" s="181" t="n">
        <v>2800</v>
      </c>
      <c r="G21" s="129"/>
      <c r="H21" s="129" t="n">
        <f aca="false">H20+F21+G21</f>
        <v>-43513.7</v>
      </c>
    </row>
    <row r="22" customFormat="false" ht="12.75" hidden="false" customHeight="false" outlineLevel="0" collapsed="false">
      <c r="A22" s="90" t="n">
        <v>45349</v>
      </c>
      <c r="B22" s="8" t="s">
        <v>77</v>
      </c>
      <c r="E22" s="181" t="n">
        <v>-5000</v>
      </c>
      <c r="F22" s="181"/>
      <c r="G22" s="181" t="n">
        <v>-5200</v>
      </c>
      <c r="H22" s="129" t="n">
        <f aca="false">H21+F22+G22</f>
        <v>-48713.7</v>
      </c>
    </row>
    <row r="23" customFormat="false" ht="12.75" hidden="false" customHeight="false" outlineLevel="0" collapsed="false">
      <c r="A23" s="90" t="n">
        <v>45349</v>
      </c>
      <c r="B23" s="8" t="s">
        <v>78</v>
      </c>
      <c r="E23" s="181" t="n">
        <v>-5000</v>
      </c>
      <c r="F23" s="181"/>
      <c r="G23" s="181" t="n">
        <v>-5200</v>
      </c>
      <c r="H23" s="129" t="n">
        <f aca="false">H22+F23+G23</f>
        <v>-53913.7</v>
      </c>
    </row>
    <row r="24" customFormat="false" ht="12.75" hidden="false" customHeight="false" outlineLevel="0" collapsed="false">
      <c r="A24" s="90" t="n">
        <v>45349</v>
      </c>
      <c r="B24" s="8" t="s">
        <v>79</v>
      </c>
      <c r="E24" s="181" t="n">
        <v>-5000</v>
      </c>
      <c r="F24" s="181"/>
      <c r="G24" s="181" t="n">
        <v>-5000</v>
      </c>
      <c r="H24" s="129" t="n">
        <f aca="false">H23+F24+G24</f>
        <v>-58913.7</v>
      </c>
    </row>
    <row r="25" customFormat="false" ht="12.75" hidden="false" customHeight="false" outlineLevel="0" collapsed="false">
      <c r="A25" s="90" t="n">
        <v>45349</v>
      </c>
      <c r="B25" s="8" t="s">
        <v>76</v>
      </c>
      <c r="D25" s="191" t="n">
        <v>10000</v>
      </c>
      <c r="F25" s="181" t="n">
        <v>10427.6</v>
      </c>
      <c r="G25" s="129"/>
      <c r="H25" s="129" t="n">
        <f aca="false">H24+F25+G25</f>
        <v>-48486.1</v>
      </c>
    </row>
    <row r="26" customFormat="false" ht="12.75" hidden="false" customHeight="false" outlineLevel="0" collapsed="false">
      <c r="A26" s="90" t="n">
        <v>45358</v>
      </c>
      <c r="B26" s="8" t="s">
        <v>679</v>
      </c>
      <c r="D26" s="104" t="n">
        <v>6500</v>
      </c>
      <c r="F26" s="129"/>
      <c r="G26" s="129"/>
      <c r="H26" s="129" t="n">
        <f aca="false">H25+F26+G26</f>
        <v>-48486.1</v>
      </c>
    </row>
    <row r="27" customFormat="false" ht="12.75" hidden="false" customHeight="false" outlineLevel="0" collapsed="false">
      <c r="A27" s="102"/>
      <c r="H27" s="129" t="n">
        <f aca="false">H26+F27+G27</f>
        <v>-48486.1</v>
      </c>
    </row>
    <row r="28" customFormat="false" ht="12.75" hidden="false" customHeight="false" outlineLevel="0" collapsed="false">
      <c r="A28" s="90" t="n">
        <v>45351</v>
      </c>
      <c r="B28" s="103" t="s">
        <v>80</v>
      </c>
      <c r="C28" s="103"/>
      <c r="D28" s="103"/>
      <c r="E28" s="129" t="n">
        <v>-400</v>
      </c>
      <c r="F28" s="129"/>
      <c r="G28" s="129" t="n">
        <v>-300</v>
      </c>
      <c r="H28" s="129" t="n">
        <f aca="false">H27+F28+G28</f>
        <v>-48786.1</v>
      </c>
    </row>
    <row r="29" customFormat="false" ht="12.75" hidden="false" customHeight="false" outlineLevel="0" collapsed="false">
      <c r="A29" s="90" t="n">
        <v>45351</v>
      </c>
      <c r="B29" s="103" t="s">
        <v>81</v>
      </c>
      <c r="C29" s="103"/>
      <c r="D29" s="103"/>
      <c r="E29" s="129" t="n">
        <v>-500</v>
      </c>
      <c r="F29" s="129"/>
      <c r="G29" s="129" t="n">
        <v>-505</v>
      </c>
      <c r="H29" s="129" t="n">
        <f aca="false">H28+F29+G29</f>
        <v>-49291.1</v>
      </c>
    </row>
    <row r="30" customFormat="false" ht="12.75" hidden="false" customHeight="false" outlineLevel="0" collapsed="false">
      <c r="A30" s="197"/>
      <c r="B30" s="175" t="s">
        <v>731</v>
      </c>
      <c r="C30" s="204" t="n">
        <v>7000</v>
      </c>
      <c r="D30" s="204"/>
      <c r="F30" s="129"/>
      <c r="G30" s="129"/>
      <c r="H30" s="129" t="n">
        <f aca="false">H29+F30+G30</f>
        <v>-49291.1</v>
      </c>
    </row>
    <row r="31" customFormat="false" ht="15" hidden="false" customHeight="false" outlineLevel="0" collapsed="false">
      <c r="B31" s="184"/>
      <c r="F31" s="64"/>
      <c r="G31" s="64"/>
      <c r="H31" s="129"/>
    </row>
    <row r="32" customFormat="false" ht="12.75" hidden="false" customHeight="false" outlineLevel="0" collapsed="false">
      <c r="G32" s="64"/>
      <c r="H32" s="129"/>
    </row>
    <row r="33" customFormat="false" ht="12.75" hidden="false" customHeight="false" outlineLevel="0" collapsed="false">
      <c r="B33" s="0" t="s">
        <v>334</v>
      </c>
      <c r="G33" s="64"/>
      <c r="H33" s="129"/>
    </row>
    <row r="34" customFormat="false" ht="12.75" hidden="false" customHeight="false" outlineLevel="0" collapsed="false">
      <c r="A34" s="105" t="s">
        <v>335</v>
      </c>
      <c r="B34" s="105"/>
      <c r="C34" s="105"/>
      <c r="D34" s="105"/>
      <c r="E34" s="205"/>
      <c r="G34" s="64"/>
      <c r="H34" s="64"/>
    </row>
    <row r="35" customFormat="false" ht="12.75" hidden="false" customHeight="false" outlineLevel="0" collapsed="false">
      <c r="A35" s="102"/>
      <c r="C35" s="176"/>
      <c r="H35" s="64"/>
    </row>
    <row r="36" customFormat="false" ht="12.75" hidden="false" customHeight="false" outlineLevel="0" collapsed="false">
      <c r="A36" s="177" t="n">
        <v>44929</v>
      </c>
      <c r="B36" s="178" t="s">
        <v>336</v>
      </c>
      <c r="C36" s="105"/>
      <c r="D36" s="206" t="n">
        <f aca="false">SUM(D37:D42)</f>
        <v>3749.53</v>
      </c>
      <c r="E36" s="207" t="n">
        <f aca="false">SUM(E37:E42)</f>
        <v>3837.49</v>
      </c>
      <c r="H36" s="64"/>
    </row>
    <row r="37" customFormat="false" ht="12.75" hidden="false" customHeight="false" outlineLevel="0" collapsed="false">
      <c r="A37" s="102"/>
      <c r="B37" s="108" t="s">
        <v>337</v>
      </c>
      <c r="D37" s="2" t="n">
        <v>999.4</v>
      </c>
      <c r="E37" s="181" t="n">
        <v>999.4</v>
      </c>
      <c r="H37" s="64"/>
    </row>
    <row r="38" customFormat="false" ht="12.75" hidden="false" customHeight="false" outlineLevel="0" collapsed="false">
      <c r="B38" s="0" t="s">
        <v>338</v>
      </c>
      <c r="D38" s="2" t="n">
        <v>876.64</v>
      </c>
      <c r="E38" s="181" t="n">
        <v>875</v>
      </c>
      <c r="F38" s="64"/>
      <c r="G38" s="64"/>
    </row>
    <row r="39" customFormat="false" ht="12.75" hidden="false" customHeight="false" outlineLevel="0" collapsed="false">
      <c r="B39" s="0" t="s">
        <v>339</v>
      </c>
      <c r="D39" s="2" t="n">
        <v>431.36</v>
      </c>
      <c r="E39" s="181" t="n">
        <v>431</v>
      </c>
      <c r="F39" s="64"/>
      <c r="G39" s="64"/>
    </row>
    <row r="40" customFormat="false" ht="12.75" hidden="false" customHeight="false" outlineLevel="0" collapsed="false">
      <c r="A40" s="90" t="n">
        <v>45334</v>
      </c>
      <c r="B40" s="8" t="s">
        <v>732</v>
      </c>
      <c r="C40" s="181" t="n">
        <f aca="false">E40-D40</f>
        <v>90.68</v>
      </c>
      <c r="D40" s="2" t="n">
        <v>891.32</v>
      </c>
      <c r="E40" s="181" t="n">
        <v>982</v>
      </c>
      <c r="F40" s="64"/>
      <c r="G40" s="64"/>
    </row>
    <row r="41" customFormat="false" ht="12.75" hidden="false" customHeight="false" outlineLevel="0" collapsed="false">
      <c r="B41" s="0" t="s">
        <v>341</v>
      </c>
      <c r="D41" s="2" t="n">
        <v>483.72</v>
      </c>
      <c r="E41" s="181" t="n">
        <v>483</v>
      </c>
      <c r="F41" s="64"/>
      <c r="G41" s="64"/>
    </row>
    <row r="42" customFormat="false" ht="12.75" hidden="false" customHeight="false" outlineLevel="0" collapsed="false">
      <c r="B42" s="0" t="s">
        <v>342</v>
      </c>
      <c r="C42" s="108"/>
      <c r="D42" s="2" t="n">
        <v>67.09</v>
      </c>
      <c r="E42" s="208" t="n">
        <v>67.09</v>
      </c>
      <c r="F42" s="64"/>
      <c r="G42" s="64"/>
    </row>
    <row r="43" customFormat="false" ht="12.75" hidden="false" customHeight="false" outlineLevel="0" collapsed="false">
      <c r="C43" s="108"/>
      <c r="D43" s="108"/>
      <c r="E43" s="129"/>
      <c r="F43" s="64"/>
      <c r="G43" s="64"/>
    </row>
    <row r="45" customFormat="false" ht="12.75" hidden="false" customHeight="false" outlineLevel="0" collapsed="false">
      <c r="B45" s="17"/>
    </row>
    <row r="46" customFormat="false" ht="12.75" hidden="false" customHeight="false" outlineLevel="0" collapsed="false">
      <c r="B46" s="104"/>
    </row>
    <row r="47" customFormat="false" ht="12.75" hidden="false" customHeight="false" outlineLevel="0" collapsed="false">
      <c r="A47" s="105"/>
      <c r="B47" s="106" t="s">
        <v>83</v>
      </c>
      <c r="C47" s="105"/>
      <c r="D47" s="163"/>
      <c r="E47" s="207" t="n">
        <f aca="false">SUM(E48:E61)</f>
        <v>-3900.57</v>
      </c>
    </row>
    <row r="48" customFormat="false" ht="12.75" hidden="false" customHeight="false" outlineLevel="0" collapsed="false">
      <c r="G48" s="64"/>
      <c r="H48" s="64"/>
    </row>
    <row r="49" customFormat="false" ht="12.75" hidden="false" customHeight="false" outlineLevel="0" collapsed="false">
      <c r="A49" s="165"/>
      <c r="B49" s="108"/>
      <c r="C49" s="108"/>
      <c r="D49" s="36"/>
      <c r="E49" s="129"/>
      <c r="F49" s="64"/>
      <c r="G49" s="64"/>
      <c r="H49" s="64"/>
    </row>
    <row r="50" customFormat="false" ht="12.75" hidden="false" customHeight="false" outlineLevel="0" collapsed="false">
      <c r="A50" s="165" t="n">
        <v>45043</v>
      </c>
      <c r="B50" s="108" t="s">
        <v>733</v>
      </c>
      <c r="C50" s="108" t="n">
        <v>10764.57</v>
      </c>
      <c r="D50" s="36" t="s">
        <v>734</v>
      </c>
      <c r="E50" s="129" t="n">
        <v>-1196.09</v>
      </c>
      <c r="G50" s="64"/>
      <c r="H50" s="64"/>
    </row>
    <row r="51" customFormat="false" ht="12.75" hidden="false" customHeight="false" outlineLevel="0" collapsed="false">
      <c r="A51" s="102" t="n">
        <v>45187</v>
      </c>
      <c r="B51" s="108" t="s">
        <v>570</v>
      </c>
      <c r="C51" s="108" t="n">
        <v>7648.33</v>
      </c>
      <c r="D51" s="209" t="s">
        <v>735</v>
      </c>
      <c r="E51" s="129" t="n">
        <v>-849.81</v>
      </c>
      <c r="G51" s="64"/>
      <c r="H51" s="64"/>
    </row>
    <row r="52" customFormat="false" ht="12.75" hidden="false" customHeight="false" outlineLevel="0" collapsed="false">
      <c r="A52" s="102" t="n">
        <v>45187</v>
      </c>
      <c r="B52" s="108" t="s">
        <v>685</v>
      </c>
      <c r="C52" s="108" t="n">
        <v>11128</v>
      </c>
      <c r="D52" s="209" t="s">
        <v>480</v>
      </c>
      <c r="E52" s="129" t="n">
        <v>-1854.67</v>
      </c>
      <c r="G52" s="64"/>
      <c r="H52" s="64"/>
    </row>
    <row r="53" customFormat="false" ht="13.8" hidden="false" customHeight="false" outlineLevel="0" collapsed="false">
      <c r="D53" s="107" t="s">
        <v>84</v>
      </c>
      <c r="G53" s="64"/>
      <c r="H53" s="64"/>
    </row>
    <row r="54" customFormat="false" ht="12.75" hidden="false" customHeight="false" outlineLevel="0" collapsed="false">
      <c r="G54" s="64"/>
      <c r="H54" s="64"/>
    </row>
    <row r="55" customFormat="false" ht="12.75" hidden="false" customHeight="false" outlineLevel="0" collapsed="false">
      <c r="G55" s="64"/>
      <c r="H55" s="64"/>
    </row>
    <row r="56" customFormat="false" ht="12.75" hidden="false" customHeight="false" outlineLevel="0" collapsed="false">
      <c r="A56" s="102"/>
      <c r="B56" s="108"/>
      <c r="C56" s="108"/>
      <c r="D56" s="108"/>
      <c r="F56" s="64"/>
      <c r="G56" s="64"/>
      <c r="H56" s="64"/>
    </row>
    <row r="57" customFormat="false" ht="12.75" hidden="false" customHeight="false" outlineLevel="0" collapsed="false">
      <c r="A57" s="102"/>
      <c r="B57" s="108"/>
      <c r="C57" s="108"/>
      <c r="D57" s="108"/>
      <c r="F57" s="64"/>
      <c r="G57" s="64"/>
      <c r="H57" s="64"/>
    </row>
    <row r="58" customFormat="false" ht="12.75" hidden="false" customHeight="false" outlineLevel="0" collapsed="false">
      <c r="A58" s="102"/>
      <c r="B58" s="109"/>
      <c r="C58" s="108"/>
      <c r="D58" s="108"/>
      <c r="F58" s="64"/>
      <c r="G58" s="64"/>
      <c r="H58" s="64"/>
    </row>
    <row r="59" customFormat="false" ht="12.75" hidden="false" customHeight="false" outlineLevel="0" collapsed="false">
      <c r="A59" s="102"/>
      <c r="B59" s="109"/>
      <c r="C59" s="108"/>
      <c r="D59" s="108"/>
      <c r="F59" s="64"/>
      <c r="G59" s="64"/>
      <c r="H59" s="64"/>
    </row>
    <row r="60" customFormat="false" ht="12.75" hidden="false" customHeight="false" outlineLevel="0" collapsed="false">
      <c r="A60" s="102"/>
      <c r="B60" s="109"/>
      <c r="F60" s="64"/>
      <c r="G60" s="64"/>
      <c r="H60" s="64"/>
    </row>
    <row r="61" customFormat="false" ht="12.75" hidden="false" customHeight="false" outlineLevel="0" collapsed="false">
      <c r="A61" s="102"/>
      <c r="B61" s="109"/>
      <c r="C61" s="108"/>
      <c r="D61" s="108"/>
      <c r="F61" s="64"/>
      <c r="G61" s="64"/>
      <c r="H61" s="64"/>
    </row>
    <row r="62" customFormat="false" ht="12.75" hidden="false" customHeight="false" outlineLevel="0" collapsed="false">
      <c r="A62" s="102"/>
      <c r="B62" s="3"/>
      <c r="F62" s="64"/>
      <c r="G62" s="64"/>
      <c r="H62" s="64"/>
    </row>
    <row r="63" customFormat="false" ht="12.75" hidden="false" customHeight="false" outlineLevel="0" collapsed="false">
      <c r="A63" s="102"/>
      <c r="B63" s="108"/>
      <c r="C63" s="108"/>
      <c r="D63" s="108"/>
      <c r="F63" s="64"/>
      <c r="G63" s="64"/>
      <c r="H63" s="64"/>
    </row>
    <row r="64" customFormat="false" ht="12.75" hidden="false" customHeight="false" outlineLevel="0" collapsed="false">
      <c r="A64" s="105"/>
      <c r="B64" s="106" t="s">
        <v>85</v>
      </c>
      <c r="C64" s="105"/>
      <c r="D64" s="105"/>
      <c r="E64" s="210" t="n">
        <f aca="false">SUM(E65:E102)</f>
        <v>-24792.94</v>
      </c>
      <c r="F64" s="64"/>
      <c r="G64" s="64"/>
    </row>
    <row r="65" customFormat="false" ht="12.75" hidden="false" customHeight="false" outlineLevel="0" collapsed="false">
      <c r="A65" s="102"/>
      <c r="B65" s="108"/>
      <c r="C65" s="108"/>
      <c r="E65" s="129"/>
      <c r="F65" s="64"/>
      <c r="G65" s="64"/>
      <c r="H65" s="64"/>
    </row>
    <row r="66" customFormat="false" ht="12.75" hidden="false" customHeight="false" outlineLevel="0" collapsed="false">
      <c r="A66" s="102" t="n">
        <v>45187</v>
      </c>
      <c r="B66" s="108" t="s">
        <v>692</v>
      </c>
      <c r="C66" s="108"/>
      <c r="D66" s="8" t="s">
        <v>736</v>
      </c>
      <c r="E66" s="129" t="n">
        <v>-3974.44</v>
      </c>
      <c r="G66" s="64"/>
      <c r="H66" s="64"/>
    </row>
    <row r="67" customFormat="false" ht="12.75" hidden="false" customHeight="false" outlineLevel="0" collapsed="false">
      <c r="A67" s="170" t="n">
        <v>45214</v>
      </c>
      <c r="B67" s="8" t="s">
        <v>665</v>
      </c>
      <c r="D67" s="8" t="s">
        <v>737</v>
      </c>
      <c r="E67" s="129" t="n">
        <v>-600</v>
      </c>
      <c r="F67" s="64"/>
      <c r="G67" s="64"/>
      <c r="H67" s="64"/>
    </row>
    <row r="68" customFormat="false" ht="12.75" hidden="false" customHeight="false" outlineLevel="0" collapsed="false">
      <c r="A68" s="170" t="n">
        <v>45285</v>
      </c>
      <c r="B68" s="108" t="s">
        <v>530</v>
      </c>
      <c r="C68" s="108"/>
      <c r="D68" s="8" t="s">
        <v>738</v>
      </c>
      <c r="E68" s="129" t="n">
        <v>-3551.66</v>
      </c>
      <c r="F68" s="64"/>
      <c r="G68" s="64"/>
      <c r="H68" s="64"/>
    </row>
    <row r="69" customFormat="false" ht="12.75" hidden="false" customHeight="false" outlineLevel="0" collapsed="false">
      <c r="A69" s="170" t="n">
        <v>45259</v>
      </c>
      <c r="B69" s="8" t="s">
        <v>696</v>
      </c>
      <c r="C69" s="181" t="n">
        <v>-1204.5</v>
      </c>
      <c r="D69" s="8" t="s">
        <v>739</v>
      </c>
      <c r="E69" s="129" t="n">
        <v>-401.5</v>
      </c>
      <c r="F69" s="64"/>
      <c r="G69" s="64"/>
      <c r="H69" s="64"/>
    </row>
    <row r="70" customFormat="false" ht="12.75" hidden="false" customHeight="false" outlineLevel="0" collapsed="false">
      <c r="A70" s="170" t="n">
        <v>45259</v>
      </c>
      <c r="B70" s="8" t="s">
        <v>698</v>
      </c>
      <c r="C70" s="181" t="n">
        <v>-148.6</v>
      </c>
      <c r="D70" s="8" t="s">
        <v>739</v>
      </c>
      <c r="E70" s="129" t="n">
        <v>-49.53</v>
      </c>
      <c r="F70" s="64"/>
      <c r="G70" s="64"/>
      <c r="H70" s="64"/>
    </row>
    <row r="71" customFormat="false" ht="12.75" hidden="false" customHeight="false" outlineLevel="0" collapsed="false">
      <c r="A71" s="170" t="n">
        <v>45259</v>
      </c>
      <c r="B71" s="8" t="s">
        <v>699</v>
      </c>
      <c r="C71" s="181" t="n">
        <v>-244.8</v>
      </c>
      <c r="D71" s="8" t="s">
        <v>739</v>
      </c>
      <c r="E71" s="129" t="n">
        <v>-81.6</v>
      </c>
      <c r="F71" s="64"/>
      <c r="G71" s="64"/>
      <c r="H71" s="64"/>
    </row>
    <row r="72" customFormat="false" ht="12.75" hidden="false" customHeight="false" outlineLevel="0" collapsed="false">
      <c r="A72" s="170" t="n">
        <v>45259</v>
      </c>
      <c r="B72" s="8" t="s">
        <v>700</v>
      </c>
      <c r="C72" s="181" t="n">
        <v>-532.6</v>
      </c>
      <c r="D72" s="8" t="s">
        <v>739</v>
      </c>
      <c r="E72" s="129" t="n">
        <v>-177.53</v>
      </c>
      <c r="F72" s="64"/>
      <c r="G72" s="64"/>
      <c r="H72" s="64"/>
    </row>
    <row r="73" customFormat="false" ht="12.75" hidden="false" customHeight="false" outlineLevel="0" collapsed="false">
      <c r="A73" s="170"/>
      <c r="B73" s="108" t="s">
        <v>166</v>
      </c>
      <c r="C73" s="108" t="n">
        <v>899</v>
      </c>
      <c r="D73" s="8" t="s">
        <v>740</v>
      </c>
      <c r="E73" s="129" t="n">
        <v>-449.5</v>
      </c>
      <c r="F73" s="64"/>
      <c r="G73" s="64"/>
      <c r="H73" s="64"/>
    </row>
    <row r="74" customFormat="false" ht="12.75" hidden="false" customHeight="false" outlineLevel="0" collapsed="false">
      <c r="A74" s="170"/>
      <c r="B74" s="108" t="s">
        <v>702</v>
      </c>
      <c r="C74" s="108"/>
      <c r="D74" s="8" t="s">
        <v>740</v>
      </c>
      <c r="E74" s="129" t="n">
        <v>-299.64</v>
      </c>
      <c r="F74" s="64"/>
      <c r="G74" s="64"/>
      <c r="H74" s="64"/>
    </row>
    <row r="75" customFormat="false" ht="12.75" hidden="false" customHeight="false" outlineLevel="0" collapsed="false">
      <c r="A75" s="170"/>
      <c r="B75" s="108" t="s">
        <v>703</v>
      </c>
      <c r="C75" s="108"/>
      <c r="D75" s="8" t="s">
        <v>740</v>
      </c>
      <c r="E75" s="129" t="n">
        <v>-546.83</v>
      </c>
      <c r="F75" s="64"/>
      <c r="G75" s="64"/>
      <c r="H75" s="64"/>
    </row>
    <row r="76" customFormat="false" ht="12.75" hidden="false" customHeight="false" outlineLevel="0" collapsed="false">
      <c r="A76" s="102"/>
      <c r="B76" s="3"/>
      <c r="C76" s="108"/>
      <c r="D76" s="108"/>
      <c r="E76" s="129"/>
      <c r="F76" s="64"/>
      <c r="G76" s="64"/>
      <c r="H76" s="64"/>
    </row>
    <row r="77" customFormat="false" ht="12.75" hidden="false" customHeight="false" outlineLevel="0" collapsed="false">
      <c r="A77" s="102" t="n">
        <v>45312</v>
      </c>
      <c r="B77" s="3" t="s">
        <v>550</v>
      </c>
      <c r="C77" s="108"/>
      <c r="D77" s="108"/>
      <c r="E77" s="129" t="n">
        <v>-505</v>
      </c>
      <c r="F77" s="64"/>
      <c r="G77" s="64"/>
      <c r="H77" s="64"/>
    </row>
    <row r="78" customFormat="false" ht="12.75" hidden="false" customHeight="false" outlineLevel="0" collapsed="false">
      <c r="A78" s="102" t="n">
        <v>45312</v>
      </c>
      <c r="B78" s="3" t="s">
        <v>538</v>
      </c>
      <c r="C78" s="108"/>
      <c r="D78" s="108"/>
      <c r="E78" s="129" t="n">
        <v>-223.2</v>
      </c>
      <c r="F78" s="64"/>
      <c r="G78" s="64"/>
      <c r="H78" s="64"/>
    </row>
    <row r="79" customFormat="false" ht="12.75" hidden="false" customHeight="false" outlineLevel="0" collapsed="false">
      <c r="A79" s="102" t="n">
        <v>45310</v>
      </c>
      <c r="B79" s="3" t="s">
        <v>550</v>
      </c>
      <c r="C79" s="108"/>
      <c r="D79" s="108"/>
      <c r="E79" s="129" t="n">
        <v>-655</v>
      </c>
      <c r="F79" s="64"/>
      <c r="G79" s="64"/>
      <c r="H79" s="64"/>
    </row>
    <row r="80" customFormat="false" ht="12.75" hidden="false" customHeight="false" outlineLevel="0" collapsed="false">
      <c r="A80" s="102" t="n">
        <v>45293</v>
      </c>
      <c r="B80" s="3" t="s">
        <v>741</v>
      </c>
      <c r="C80" s="108"/>
      <c r="D80" s="108"/>
      <c r="E80" s="129" t="n">
        <v>-480</v>
      </c>
      <c r="F80" s="64"/>
      <c r="G80" s="64"/>
      <c r="H80" s="64"/>
    </row>
    <row r="81" customFormat="false" ht="12.75" hidden="false" customHeight="false" outlineLevel="0" collapsed="false">
      <c r="A81" s="102" t="n">
        <v>45293</v>
      </c>
      <c r="B81" s="3" t="s">
        <v>742</v>
      </c>
      <c r="C81" s="108"/>
      <c r="D81" s="108"/>
      <c r="E81" s="129" t="n">
        <v>-1200</v>
      </c>
      <c r="F81" s="64"/>
      <c r="G81" s="64"/>
      <c r="H81" s="64"/>
    </row>
    <row r="82" customFormat="false" ht="12.75" hidden="false" customHeight="false" outlineLevel="0" collapsed="false">
      <c r="A82" s="102" t="n">
        <v>45293</v>
      </c>
      <c r="B82" s="3" t="s">
        <v>742</v>
      </c>
      <c r="C82" s="108"/>
      <c r="D82" s="108"/>
      <c r="E82" s="129" t="n">
        <v>-500</v>
      </c>
      <c r="F82" s="64"/>
      <c r="G82" s="64"/>
      <c r="H82" s="64"/>
    </row>
    <row r="83" customFormat="false" ht="12.75" hidden="false" customHeight="false" outlineLevel="0" collapsed="false">
      <c r="A83" s="102"/>
      <c r="B83" s="3" t="s">
        <v>132</v>
      </c>
      <c r="C83" s="108" t="n">
        <v>12474.55</v>
      </c>
      <c r="D83" s="108"/>
      <c r="E83" s="129"/>
      <c r="F83" s="64"/>
      <c r="G83" s="64"/>
      <c r="H83" s="64"/>
    </row>
    <row r="84" customFormat="false" ht="12.75" hidden="false" customHeight="false" outlineLevel="0" collapsed="false">
      <c r="A84" s="102" t="n">
        <v>45293</v>
      </c>
      <c r="B84" s="3" t="s">
        <v>743</v>
      </c>
      <c r="C84" s="108"/>
      <c r="D84" s="108"/>
      <c r="E84" s="129" t="n">
        <v>-150</v>
      </c>
      <c r="F84" s="64"/>
      <c r="G84" s="64"/>
      <c r="H84" s="64"/>
    </row>
    <row r="85" customFormat="false" ht="12.75" hidden="false" customHeight="false" outlineLevel="0" collapsed="false">
      <c r="A85" s="102" t="n">
        <v>45291</v>
      </c>
      <c r="B85" s="3" t="s">
        <v>744</v>
      </c>
      <c r="C85" s="108"/>
      <c r="D85" s="108"/>
      <c r="E85" s="129" t="n">
        <v>-60</v>
      </c>
      <c r="F85" s="64"/>
      <c r="G85" s="64"/>
      <c r="H85" s="64"/>
    </row>
    <row r="86" customFormat="false" ht="12.75" hidden="false" customHeight="false" outlineLevel="0" collapsed="false">
      <c r="A86" s="102" t="n">
        <v>45290</v>
      </c>
      <c r="B86" s="3" t="s">
        <v>745</v>
      </c>
      <c r="C86" s="108"/>
      <c r="D86" s="108"/>
      <c r="E86" s="129" t="n">
        <v>-73</v>
      </c>
      <c r="F86" s="64"/>
      <c r="G86" s="64"/>
      <c r="H86" s="64"/>
    </row>
    <row r="87" customFormat="false" ht="12.75" hidden="false" customHeight="false" outlineLevel="0" collapsed="false">
      <c r="A87" s="102" t="n">
        <v>45290</v>
      </c>
      <c r="B87" s="3" t="s">
        <v>745</v>
      </c>
      <c r="C87" s="108"/>
      <c r="D87" s="108"/>
      <c r="E87" s="129" t="n">
        <v>-100</v>
      </c>
      <c r="F87" s="64"/>
      <c r="G87" s="64"/>
      <c r="H87" s="64"/>
    </row>
    <row r="88" customFormat="false" ht="12.75" hidden="false" customHeight="false" outlineLevel="0" collapsed="false">
      <c r="A88" s="102" t="n">
        <v>45289</v>
      </c>
      <c r="B88" s="3" t="s">
        <v>741</v>
      </c>
      <c r="C88" s="108"/>
      <c r="D88" s="108"/>
      <c r="E88" s="129" t="n">
        <v>-944</v>
      </c>
      <c r="F88" s="64"/>
      <c r="G88" s="64"/>
      <c r="H88" s="64"/>
    </row>
    <row r="89" customFormat="false" ht="12.75" hidden="false" customHeight="false" outlineLevel="0" collapsed="false">
      <c r="A89" s="102" t="n">
        <v>45288</v>
      </c>
      <c r="B89" s="3" t="s">
        <v>746</v>
      </c>
      <c r="C89" s="108"/>
      <c r="D89" s="108"/>
      <c r="E89" s="129" t="n">
        <v>-140</v>
      </c>
      <c r="F89" s="64"/>
      <c r="G89" s="64"/>
      <c r="H89" s="64"/>
    </row>
    <row r="90" customFormat="false" ht="12.75" hidden="false" customHeight="false" outlineLevel="0" collapsed="false">
      <c r="A90" s="102" t="n">
        <v>45288</v>
      </c>
      <c r="B90" s="3" t="s">
        <v>747</v>
      </c>
      <c r="C90" s="108"/>
      <c r="D90" s="108"/>
      <c r="E90" s="129" t="n">
        <v>-1570.18</v>
      </c>
      <c r="F90" s="64"/>
      <c r="G90" s="64"/>
      <c r="H90" s="64"/>
    </row>
    <row r="91" customFormat="false" ht="12.75" hidden="false" customHeight="false" outlineLevel="0" collapsed="false">
      <c r="A91" s="102" t="n">
        <v>45288</v>
      </c>
      <c r="B91" s="3" t="s">
        <v>418</v>
      </c>
      <c r="C91" s="108"/>
      <c r="D91" s="108"/>
      <c r="E91" s="129" t="n">
        <v>-169.27</v>
      </c>
      <c r="F91" s="64"/>
      <c r="G91" s="64"/>
      <c r="H91" s="64"/>
    </row>
    <row r="92" customFormat="false" ht="12.75" hidden="false" customHeight="false" outlineLevel="0" collapsed="false">
      <c r="A92" s="102" t="n">
        <v>45288</v>
      </c>
      <c r="B92" s="3" t="s">
        <v>748</v>
      </c>
      <c r="C92" s="108"/>
      <c r="D92" s="108"/>
      <c r="E92" s="129" t="n">
        <v>-800</v>
      </c>
      <c r="F92" s="64"/>
      <c r="G92" s="64"/>
      <c r="H92" s="64"/>
    </row>
    <row r="93" customFormat="false" ht="12.75" hidden="false" customHeight="false" outlineLevel="0" collapsed="false">
      <c r="A93" s="102" t="n">
        <v>45287</v>
      </c>
      <c r="B93" s="3" t="s">
        <v>418</v>
      </c>
      <c r="C93" s="108"/>
      <c r="D93" s="108"/>
      <c r="E93" s="129" t="n">
        <v>-438.05</v>
      </c>
      <c r="F93" s="64"/>
      <c r="G93" s="64"/>
      <c r="H93" s="64"/>
    </row>
    <row r="94" customFormat="false" ht="12.75" hidden="false" customHeight="false" outlineLevel="0" collapsed="false">
      <c r="A94" s="102" t="n">
        <v>45653</v>
      </c>
      <c r="B94" s="3" t="s">
        <v>493</v>
      </c>
      <c r="C94" s="108"/>
      <c r="D94" s="108" t="n">
        <v>185</v>
      </c>
      <c r="E94" s="129" t="n">
        <v>-185</v>
      </c>
      <c r="F94" s="64"/>
      <c r="G94" s="64"/>
      <c r="H94" s="64"/>
    </row>
    <row r="95" customFormat="false" ht="12.75" hidden="false" customHeight="false" outlineLevel="0" collapsed="false">
      <c r="A95" s="102" t="n">
        <v>45653</v>
      </c>
      <c r="B95" s="3" t="s">
        <v>749</v>
      </c>
      <c r="C95" s="108"/>
      <c r="D95" s="108" t="n">
        <v>25.85</v>
      </c>
      <c r="E95" s="129" t="n">
        <v>-25.85</v>
      </c>
      <c r="F95" s="64"/>
      <c r="G95" s="64"/>
      <c r="H95" s="64"/>
    </row>
    <row r="96" customFormat="false" ht="12.75" hidden="false" customHeight="false" outlineLevel="0" collapsed="false">
      <c r="A96" s="102" t="n">
        <v>45286</v>
      </c>
      <c r="B96" s="3" t="s">
        <v>750</v>
      </c>
      <c r="C96" s="108"/>
      <c r="D96" s="108"/>
      <c r="E96" s="129" t="n">
        <v>-160</v>
      </c>
      <c r="F96" s="64"/>
      <c r="G96" s="64"/>
      <c r="H96" s="64"/>
    </row>
    <row r="97" customFormat="false" ht="12.75" hidden="false" customHeight="false" outlineLevel="0" collapsed="false">
      <c r="A97" s="102" t="n">
        <v>45286</v>
      </c>
      <c r="B97" s="3" t="s">
        <v>751</v>
      </c>
      <c r="C97" s="108"/>
      <c r="D97" s="108"/>
      <c r="E97" s="129" t="n">
        <v>-300</v>
      </c>
      <c r="F97" s="64"/>
      <c r="G97" s="64"/>
      <c r="H97" s="64"/>
    </row>
    <row r="98" customFormat="false" ht="12.75" hidden="false" customHeight="false" outlineLevel="0" collapsed="false">
      <c r="A98" s="102" t="n">
        <v>45651</v>
      </c>
      <c r="B98" s="3" t="s">
        <v>752</v>
      </c>
      <c r="C98" s="108"/>
      <c r="D98" s="108" t="n">
        <v>112.64</v>
      </c>
      <c r="E98" s="129" t="n">
        <v>-112.64</v>
      </c>
      <c r="F98" s="64"/>
      <c r="G98" s="64"/>
      <c r="H98" s="64"/>
    </row>
    <row r="99" customFormat="false" ht="12.75" hidden="false" customHeight="false" outlineLevel="0" collapsed="false">
      <c r="A99" s="102"/>
      <c r="B99" s="3" t="s">
        <v>753</v>
      </c>
      <c r="C99" s="108"/>
      <c r="D99" s="108"/>
      <c r="E99" s="129" t="n">
        <v>-193</v>
      </c>
      <c r="F99" s="64"/>
      <c r="G99" s="64"/>
      <c r="H99" s="64"/>
    </row>
    <row r="100" customFormat="false" ht="12.75" hidden="false" customHeight="false" outlineLevel="0" collapsed="false">
      <c r="A100" s="102"/>
      <c r="B100" s="3" t="s">
        <v>754</v>
      </c>
      <c r="C100" s="108"/>
      <c r="D100" s="108"/>
      <c r="E100" s="129" t="n">
        <v>-5517.52</v>
      </c>
      <c r="F100" s="64"/>
      <c r="G100" s="64"/>
      <c r="H100" s="64"/>
    </row>
    <row r="101" customFormat="false" ht="12.75" hidden="false" customHeight="false" outlineLevel="0" collapsed="false">
      <c r="A101" s="102"/>
      <c r="B101" s="3" t="s">
        <v>755</v>
      </c>
      <c r="C101" s="108"/>
      <c r="D101" s="108"/>
      <c r="E101" s="129" t="n">
        <v>-105</v>
      </c>
      <c r="F101" s="64"/>
      <c r="G101" s="64"/>
      <c r="H101" s="64"/>
    </row>
    <row r="102" customFormat="false" ht="12.75" hidden="false" customHeight="false" outlineLevel="0" collapsed="false">
      <c r="A102" s="102"/>
      <c r="B102" s="3" t="s">
        <v>755</v>
      </c>
      <c r="C102" s="108"/>
      <c r="D102" s="108"/>
      <c r="E102" s="129" t="n">
        <v>-54</v>
      </c>
      <c r="F102" s="64"/>
      <c r="G102" s="64"/>
      <c r="H102" s="64"/>
    </row>
    <row r="103" customFormat="false" ht="12.75" hidden="false" customHeight="false" outlineLevel="0" collapsed="false">
      <c r="A103" s="102"/>
      <c r="B103" s="3"/>
      <c r="C103" s="211" t="s">
        <v>756</v>
      </c>
      <c r="D103" s="109" t="n">
        <f aca="false">SUM(D94:D102)</f>
        <v>323.49</v>
      </c>
      <c r="E103" s="129"/>
      <c r="F103" s="64"/>
      <c r="G103" s="64"/>
      <c r="H103" s="64"/>
    </row>
    <row r="104" customFormat="false" ht="13.8" hidden="false" customHeight="false" outlineLevel="0" collapsed="false">
      <c r="A104" s="102"/>
      <c r="B104" s="3"/>
      <c r="C104" s="108"/>
      <c r="D104" s="107" t="s">
        <v>84</v>
      </c>
      <c r="E104" s="129"/>
      <c r="F104" s="64"/>
      <c r="G104" s="64"/>
      <c r="H104" s="64"/>
    </row>
    <row r="105" customFormat="false" ht="13.8" hidden="false" customHeight="false" outlineLevel="0" collapsed="false">
      <c r="A105" s="102"/>
      <c r="B105" s="3"/>
      <c r="C105" s="108"/>
      <c r="D105" s="187"/>
      <c r="E105" s="129"/>
      <c r="F105" s="64"/>
      <c r="G105" s="64"/>
      <c r="H105" s="64"/>
    </row>
    <row r="106" customFormat="false" ht="13.8" hidden="false" customHeight="false" outlineLevel="0" collapsed="false">
      <c r="A106" s="102"/>
      <c r="B106" s="3"/>
      <c r="C106" s="108"/>
      <c r="D106" s="187"/>
      <c r="E106" s="129"/>
      <c r="F106" s="64"/>
      <c r="G106" s="64"/>
      <c r="H106" s="64"/>
    </row>
    <row r="107" customFormat="false" ht="13.8" hidden="false" customHeight="false" outlineLevel="0" collapsed="false">
      <c r="A107" s="102"/>
      <c r="B107" s="3"/>
      <c r="C107" s="108"/>
      <c r="D107" s="187"/>
      <c r="E107" s="129"/>
      <c r="F107" s="64"/>
      <c r="G107" s="64"/>
      <c r="H107" s="64"/>
    </row>
    <row r="108" customFormat="false" ht="13.8" hidden="false" customHeight="false" outlineLevel="0" collapsed="false">
      <c r="A108" s="102"/>
      <c r="B108" s="3"/>
      <c r="C108" s="108"/>
      <c r="D108" s="187"/>
      <c r="E108" s="129"/>
      <c r="F108" s="64"/>
      <c r="G108" s="64"/>
      <c r="H108" s="64"/>
    </row>
    <row r="109" customFormat="false" ht="12.75" hidden="false" customHeight="false" outlineLevel="0" collapsed="false">
      <c r="D109" s="18"/>
    </row>
    <row r="111" customFormat="false" ht="12.75" hidden="false" customHeight="false" outlineLevel="0" collapsed="false">
      <c r="A111" s="117" t="s">
        <v>757</v>
      </c>
      <c r="B111" s="106" t="s">
        <v>139</v>
      </c>
      <c r="C111" s="105" t="n">
        <v>2024</v>
      </c>
      <c r="D111" s="163"/>
      <c r="E111" s="164" t="n">
        <f aca="false">SUM(E112:E130)</f>
        <v>809249.830357</v>
      </c>
    </row>
    <row r="112" customFormat="false" ht="12.75" hidden="false" customHeight="false" outlineLevel="0" collapsed="false">
      <c r="A112" s="165" t="n">
        <v>45352</v>
      </c>
      <c r="B112" s="8" t="s">
        <v>77</v>
      </c>
      <c r="C112" s="2"/>
      <c r="D112" s="2"/>
      <c r="E112" s="17" t="n">
        <v>64000</v>
      </c>
    </row>
    <row r="113" customFormat="false" ht="12.75" hidden="false" customHeight="false" outlineLevel="0" collapsed="false">
      <c r="A113" s="165" t="n">
        <f aca="false">A112</f>
        <v>45352</v>
      </c>
      <c r="B113" s="8" t="s">
        <v>758</v>
      </c>
      <c r="C113" s="2"/>
      <c r="D113" s="2"/>
      <c r="E113" s="17" t="n">
        <v>180345.5</v>
      </c>
      <c r="F113" s="0" t="n">
        <v>30000</v>
      </c>
    </row>
    <row r="114" customFormat="false" ht="12.75" hidden="false" customHeight="false" outlineLevel="0" collapsed="false">
      <c r="A114" s="165" t="n">
        <f aca="false">A113</f>
        <v>45352</v>
      </c>
      <c r="B114" s="8" t="s">
        <v>309</v>
      </c>
      <c r="C114" s="2"/>
      <c r="D114" s="2"/>
      <c r="E114" s="17" t="n">
        <v>5039.78</v>
      </c>
      <c r="F114" s="2" t="n">
        <f aca="false">E114</f>
        <v>5039.78</v>
      </c>
    </row>
    <row r="115" customFormat="false" ht="12.75" hidden="false" customHeight="false" outlineLevel="0" collapsed="false">
      <c r="A115" s="165" t="n">
        <f aca="false">A114</f>
        <v>45352</v>
      </c>
      <c r="B115" s="8" t="s">
        <v>310</v>
      </c>
      <c r="C115" s="2"/>
      <c r="D115" s="2"/>
      <c r="E115" s="17" t="n">
        <v>0</v>
      </c>
    </row>
    <row r="116" customFormat="false" ht="12.75" hidden="false" customHeight="false" outlineLevel="0" collapsed="false">
      <c r="A116" s="165" t="n">
        <f aca="false">A115</f>
        <v>45352</v>
      </c>
      <c r="B116" s="8" t="s">
        <v>507</v>
      </c>
      <c r="C116" s="2"/>
      <c r="D116" s="2"/>
      <c r="E116" s="17" t="n">
        <v>0</v>
      </c>
    </row>
    <row r="117" customFormat="false" ht="12.75" hidden="false" customHeight="false" outlineLevel="0" collapsed="false">
      <c r="A117" s="165" t="n">
        <f aca="false">A116</f>
        <v>45352</v>
      </c>
      <c r="B117" s="8" t="s">
        <v>311</v>
      </c>
      <c r="C117" s="129"/>
      <c r="D117" s="2"/>
      <c r="E117" s="17" t="n">
        <v>0</v>
      </c>
    </row>
    <row r="118" customFormat="false" ht="12.75" hidden="false" customHeight="false" outlineLevel="0" collapsed="false">
      <c r="A118" s="165" t="n">
        <f aca="false">A117</f>
        <v>45352</v>
      </c>
      <c r="B118" s="8" t="s">
        <v>245</v>
      </c>
      <c r="C118" s="2" t="s">
        <v>759</v>
      </c>
      <c r="D118" s="2"/>
      <c r="E118" s="17" t="n">
        <v>32865.52</v>
      </c>
      <c r="F118" s="2" t="n">
        <f aca="false">E118</f>
        <v>32865.52</v>
      </c>
    </row>
    <row r="119" customFormat="false" ht="12.75" hidden="false" customHeight="false" outlineLevel="0" collapsed="false">
      <c r="A119" s="165" t="n">
        <f aca="false">A118</f>
        <v>45352</v>
      </c>
      <c r="B119" s="8" t="s">
        <v>508</v>
      </c>
      <c r="C119" s="2" t="s">
        <v>710</v>
      </c>
      <c r="D119" s="2"/>
      <c r="E119" s="17" t="n">
        <v>129254.5</v>
      </c>
    </row>
    <row r="120" customFormat="false" ht="12.75" hidden="false" customHeight="false" outlineLevel="0" collapsed="false">
      <c r="A120" s="165" t="n">
        <f aca="false">A119</f>
        <v>45352</v>
      </c>
      <c r="B120" s="8" t="s">
        <v>711</v>
      </c>
      <c r="C120" s="2" t="s">
        <v>712</v>
      </c>
      <c r="D120" s="2"/>
      <c r="E120" s="17" t="n">
        <v>256.56</v>
      </c>
      <c r="F120" s="2" t="n">
        <f aca="false">E120</f>
        <v>256.56</v>
      </c>
    </row>
    <row r="121" customFormat="false" ht="12.75" hidden="false" customHeight="false" outlineLevel="0" collapsed="false">
      <c r="A121" s="165" t="n">
        <f aca="false">A120</f>
        <v>45352</v>
      </c>
      <c r="B121" s="8" t="s">
        <v>713</v>
      </c>
      <c r="C121" s="165" t="s">
        <v>760</v>
      </c>
      <c r="D121" s="166"/>
      <c r="E121" s="17" t="n">
        <v>1031.76</v>
      </c>
      <c r="F121" s="2" t="n">
        <f aca="false">E121</f>
        <v>1031.76</v>
      </c>
    </row>
    <row r="122" customFormat="false" ht="12.75" hidden="false" customHeight="false" outlineLevel="0" collapsed="false">
      <c r="A122" s="165" t="n">
        <f aca="false">A121</f>
        <v>45352</v>
      </c>
      <c r="B122" s="8" t="s">
        <v>715</v>
      </c>
      <c r="C122" s="165" t="s">
        <v>716</v>
      </c>
      <c r="D122" s="166"/>
      <c r="E122" s="17" t="n">
        <v>588.6</v>
      </c>
    </row>
    <row r="123" customFormat="false" ht="12.75" hidden="false" customHeight="false" outlineLevel="0" collapsed="false">
      <c r="A123" s="165" t="n">
        <f aca="false">A122</f>
        <v>45352</v>
      </c>
      <c r="B123" s="8" t="s">
        <v>717</v>
      </c>
      <c r="C123" s="165"/>
      <c r="D123" s="166"/>
      <c r="E123" s="17"/>
    </row>
    <row r="124" customFormat="false" ht="12.75" hidden="false" customHeight="false" outlineLevel="0" collapsed="false">
      <c r="A124" s="165" t="n">
        <f aca="false">A123</f>
        <v>45352</v>
      </c>
      <c r="B124" s="8" t="s">
        <v>143</v>
      </c>
      <c r="C124" s="2"/>
      <c r="D124" s="2"/>
      <c r="E124" s="17" t="n">
        <v>450</v>
      </c>
      <c r="F124" s="2" t="n">
        <f aca="false">E124</f>
        <v>450</v>
      </c>
    </row>
    <row r="125" customFormat="false" ht="12.75" hidden="false" customHeight="false" outlineLevel="0" collapsed="false">
      <c r="A125" s="165" t="n">
        <f aca="false">A124</f>
        <v>45352</v>
      </c>
      <c r="B125" s="8" t="s">
        <v>718</v>
      </c>
      <c r="C125" s="2" t="n">
        <v>2017.98</v>
      </c>
      <c r="D125" s="2" t="n">
        <v>161</v>
      </c>
      <c r="E125" s="17" t="n">
        <f aca="false">D125*C125</f>
        <v>324894.78</v>
      </c>
    </row>
    <row r="126" customFormat="false" ht="12.75" hidden="false" customHeight="false" outlineLevel="0" collapsed="false">
      <c r="A126" s="165" t="n">
        <f aca="false">A125</f>
        <v>45352</v>
      </c>
      <c r="B126" s="8" t="s">
        <v>719</v>
      </c>
      <c r="C126" s="167" t="n">
        <v>30.7262</v>
      </c>
      <c r="D126" s="2" t="n">
        <v>850</v>
      </c>
      <c r="E126" s="17" t="n">
        <f aca="false">D126*C126</f>
        <v>26117.27</v>
      </c>
      <c r="F126" s="2"/>
    </row>
    <row r="127" customFormat="false" ht="12.75" hidden="false" customHeight="false" outlineLevel="0" collapsed="false">
      <c r="A127" s="165" t="n">
        <f aca="false">A126</f>
        <v>45352</v>
      </c>
      <c r="B127" s="8" t="s">
        <v>514</v>
      </c>
      <c r="C127" s="167" t="n">
        <v>30.726</v>
      </c>
      <c r="D127" s="2" t="n">
        <v>250</v>
      </c>
      <c r="E127" s="17" t="n">
        <f aca="false">D127*C127</f>
        <v>7681.5</v>
      </c>
    </row>
    <row r="128" customFormat="false" ht="12.75" hidden="false" customHeight="false" outlineLevel="0" collapsed="false">
      <c r="A128" s="165" t="n">
        <f aca="false">A127</f>
        <v>45352</v>
      </c>
      <c r="B128" s="8" t="s">
        <v>720</v>
      </c>
      <c r="C128" s="167" t="n">
        <v>33.2243</v>
      </c>
      <c r="D128" s="2" t="n">
        <v>81.99</v>
      </c>
      <c r="E128" s="17" t="n">
        <f aca="false">D128*C128</f>
        <v>2724.060357</v>
      </c>
    </row>
    <row r="129" customFormat="false" ht="12.75" hidden="false" customHeight="false" outlineLevel="0" collapsed="false">
      <c r="A129" s="165" t="n">
        <f aca="false">A128</f>
        <v>45352</v>
      </c>
      <c r="B129" s="8" t="s">
        <v>155</v>
      </c>
      <c r="C129" s="2"/>
      <c r="D129" s="2"/>
      <c r="E129" s="17" t="n">
        <v>30000</v>
      </c>
      <c r="F129" s="2" t="n">
        <f aca="false">E129</f>
        <v>30000</v>
      </c>
    </row>
    <row r="130" customFormat="false" ht="12.75" hidden="false" customHeight="false" outlineLevel="0" collapsed="false">
      <c r="A130" s="165" t="n">
        <f aca="false">A129</f>
        <v>45352</v>
      </c>
      <c r="B130" s="8" t="s">
        <v>156</v>
      </c>
      <c r="C130" s="2"/>
      <c r="D130" s="2"/>
      <c r="E130" s="17" t="n">
        <v>4000</v>
      </c>
      <c r="F130" s="2" t="n">
        <f aca="false">E130</f>
        <v>4000</v>
      </c>
    </row>
    <row r="131" customFormat="false" ht="12.75" hidden="false" customHeight="false" outlineLevel="0" collapsed="false">
      <c r="F131" s="8" t="n">
        <f aca="false">SUM(F113:F130)</f>
        <v>103643.62</v>
      </c>
    </row>
    <row r="132" customFormat="false" ht="12.75" hidden="false" customHeight="false" outlineLevel="0" collapsed="false">
      <c r="C132" s="129"/>
      <c r="D132" s="3"/>
      <c r="E132" s="129"/>
    </row>
    <row r="133" customFormat="false" ht="12.75" hidden="false" customHeight="false" outlineLevel="0" collapsed="false">
      <c r="C133" s="129"/>
      <c r="D133" s="18" t="s">
        <v>158</v>
      </c>
      <c r="E133" s="9" t="n">
        <f aca="false">SUM(E112:E130)</f>
        <v>809249.830357</v>
      </c>
    </row>
    <row r="134" customFormat="false" ht="12.75" hidden="false" customHeight="false" outlineLevel="0" collapsed="false">
      <c r="C134" s="130" t="str">
        <f aca="false">A111</f>
        <v>ŞUBAT</v>
      </c>
      <c r="D134" s="131" t="s">
        <v>159</v>
      </c>
      <c r="E134" s="132" t="n">
        <f aca="false">H2</f>
        <v>-49291.1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H149"/>
  <sheetViews>
    <sheetView showFormulas="false" showGridLines="true" showRowColHeaders="true" showZeros="true" rightToLeft="false" tabSelected="false" showOutlineSymbols="true" defaultGridColor="true" view="normal" topLeftCell="A17" colorId="64" zoomScale="170" zoomScaleNormal="170" zoomScalePageLayoutView="100" workbookViewId="0">
      <selection pane="topLeft" activeCell="B42" activeCellId="0" sqref="B42"/>
    </sheetView>
  </sheetViews>
  <sheetFormatPr defaultColWidth="12.2929687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129" width="9.86"/>
    <col collapsed="false" customWidth="true" hidden="false" outlineLevel="0" max="4" min="4" style="129" width="15.57"/>
    <col collapsed="false" customWidth="true" hidden="false" outlineLevel="0" max="5" min="5" style="129" width="13.14"/>
    <col collapsed="false" customWidth="false" hidden="false" outlineLevel="0" max="8" min="6" style="129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129" t="s">
        <v>28</v>
      </c>
      <c r="G1" s="129" t="s">
        <v>29</v>
      </c>
      <c r="H1" s="129" t="s">
        <v>3</v>
      </c>
    </row>
    <row r="2" customFormat="false" ht="12.75" hidden="false" customHeight="false" outlineLevel="0" collapsed="false">
      <c r="A2" s="3" t="s">
        <v>761</v>
      </c>
      <c r="C2" s="129" t="s">
        <v>67</v>
      </c>
      <c r="D2" s="129" t="n">
        <f aca="false">SUM(D4:D42)</f>
        <v>340464.6</v>
      </c>
      <c r="E2" s="129" t="n">
        <f aca="false">SUM(E4:E42)</f>
        <v>-52469.76</v>
      </c>
      <c r="F2" s="129" t="n">
        <f aca="false">SUM(F4:F42)</f>
        <v>194911.58</v>
      </c>
      <c r="G2" s="129" t="n">
        <f aca="false">SUM(G4:G42)</f>
        <v>-66377.21</v>
      </c>
      <c r="H2" s="129" t="n">
        <f aca="false">F2+G2</f>
        <v>128534.37</v>
      </c>
    </row>
    <row r="3" customFormat="false" ht="12.75" hidden="false" customHeight="false" outlineLevel="0" collapsed="false">
      <c r="B3" s="18"/>
    </row>
    <row r="4" customFormat="false" ht="12.75" hidden="false" customHeight="false" outlineLevel="0" collapsed="false">
      <c r="A4" s="170" t="n">
        <v>45231</v>
      </c>
      <c r="B4" s="42" t="s">
        <v>434</v>
      </c>
      <c r="E4" s="129" t="n">
        <v>-152</v>
      </c>
      <c r="G4" s="129" t="n">
        <v>-152</v>
      </c>
      <c r="H4" s="129" t="n">
        <f aca="false">H3+F4+G4</f>
        <v>-152</v>
      </c>
    </row>
    <row r="5" customFormat="false" ht="12.75" hidden="false" customHeight="false" outlineLevel="0" collapsed="false">
      <c r="A5" s="170"/>
      <c r="B5" s="8" t="s">
        <v>403</v>
      </c>
      <c r="E5" s="129" t="n">
        <v>-10000</v>
      </c>
      <c r="G5" s="129" t="n">
        <v>-10000</v>
      </c>
      <c r="H5" s="129" t="n">
        <f aca="false">H4+F5+G5</f>
        <v>-10152</v>
      </c>
    </row>
    <row r="6" customFormat="false" ht="12.75" hidden="false" customHeight="false" outlineLevel="0" collapsed="false">
      <c r="B6" s="103" t="s">
        <v>762</v>
      </c>
      <c r="E6" s="129" t="n">
        <v>-250</v>
      </c>
      <c r="G6" s="129" t="n">
        <v>-250</v>
      </c>
      <c r="H6" s="129" t="n">
        <f aca="false">H5+F6+G6</f>
        <v>-10402</v>
      </c>
    </row>
    <row r="7" customFormat="false" ht="12.75" hidden="false" customHeight="false" outlineLevel="0" collapsed="false">
      <c r="B7" s="103"/>
      <c r="H7" s="129" t="n">
        <f aca="false">H6+F7+G7</f>
        <v>-10402</v>
      </c>
    </row>
    <row r="8" customFormat="false" ht="12.75" hidden="false" customHeight="false" outlineLevel="0" collapsed="false">
      <c r="B8" s="103" t="s">
        <v>75</v>
      </c>
      <c r="C8" s="129" t="s">
        <v>332</v>
      </c>
      <c r="E8" s="129" t="n">
        <v>-150</v>
      </c>
      <c r="G8" s="129" t="n">
        <v>0</v>
      </c>
      <c r="H8" s="129" t="n">
        <f aca="false">H7+F8+G8</f>
        <v>-10402</v>
      </c>
    </row>
    <row r="9" customFormat="false" ht="12.75" hidden="false" customHeight="false" outlineLevel="0" collapsed="false">
      <c r="A9" s="170" t="n">
        <v>45309</v>
      </c>
      <c r="B9" s="108" t="s">
        <v>73</v>
      </c>
      <c r="C9" s="129" t="s">
        <v>332</v>
      </c>
      <c r="D9" s="129" t="n">
        <v>137.3</v>
      </c>
      <c r="E9" s="129" t="n">
        <v>-300</v>
      </c>
      <c r="G9" s="129" t="n">
        <v>-1408</v>
      </c>
      <c r="H9" s="129" t="n">
        <f aca="false">H8+F9+G9</f>
        <v>-11810</v>
      </c>
    </row>
    <row r="10" customFormat="false" ht="12.75" hidden="false" customHeight="false" outlineLevel="0" collapsed="false">
      <c r="A10" s="170" t="n">
        <v>45299</v>
      </c>
      <c r="B10" s="108" t="s">
        <v>74</v>
      </c>
      <c r="C10" s="129" t="s">
        <v>332</v>
      </c>
      <c r="D10" s="129" t="n">
        <v>27.3</v>
      </c>
      <c r="E10" s="129" t="n">
        <v>-100</v>
      </c>
      <c r="G10" s="129" t="n">
        <v>0</v>
      </c>
      <c r="H10" s="129" t="n">
        <f aca="false">H9+F10+G10</f>
        <v>-11810</v>
      </c>
    </row>
    <row r="11" customFormat="false" ht="12.75" hidden="false" customHeight="false" outlineLevel="0" collapsed="false">
      <c r="B11" s="103"/>
      <c r="H11" s="129" t="n">
        <f aca="false">H10+F11+G11</f>
        <v>-11810</v>
      </c>
    </row>
    <row r="12" customFormat="false" ht="12.75" hidden="false" customHeight="false" outlineLevel="0" collapsed="false">
      <c r="B12" s="183" t="s">
        <v>72</v>
      </c>
      <c r="E12" s="129" t="n">
        <f aca="false">E55*-1</f>
        <v>-169.14</v>
      </c>
      <c r="G12" s="129" t="n">
        <f aca="false">E12</f>
        <v>-169.14</v>
      </c>
      <c r="H12" s="129" t="n">
        <f aca="false">H11+F12+G12</f>
        <v>-11979.14</v>
      </c>
    </row>
    <row r="13" customFormat="false" ht="12.75" hidden="false" customHeight="false" outlineLevel="0" collapsed="false">
      <c r="A13" s="170"/>
      <c r="B13" s="183" t="s">
        <v>68</v>
      </c>
      <c r="E13" s="129" t="n">
        <f aca="false">E60</f>
        <v>-3961.94</v>
      </c>
      <c r="G13" s="129" t="n">
        <f aca="false">E13</f>
        <v>-3961.94</v>
      </c>
      <c r="H13" s="129" t="n">
        <f aca="false">H12+F13+G13</f>
        <v>-15941.08</v>
      </c>
    </row>
    <row r="14" customFormat="false" ht="12.75" hidden="false" customHeight="false" outlineLevel="0" collapsed="false">
      <c r="A14" s="170" t="n">
        <v>45294</v>
      </c>
      <c r="B14" s="183" t="s">
        <v>69</v>
      </c>
      <c r="E14" s="129" t="n">
        <f aca="false">E77</f>
        <v>-12474.55</v>
      </c>
      <c r="G14" s="129" t="n">
        <v>-12474</v>
      </c>
      <c r="H14" s="129" t="n">
        <f aca="false">H13+F14+G14</f>
        <v>-28415.08</v>
      </c>
    </row>
    <row r="15" customFormat="false" ht="12.75" hidden="false" customHeight="false" outlineLevel="0" collapsed="false">
      <c r="A15" s="102" t="n">
        <v>45295</v>
      </c>
      <c r="B15" s="103" t="s">
        <v>763</v>
      </c>
      <c r="E15" s="129" t="n">
        <v>-5375</v>
      </c>
      <c r="G15" s="129" t="n">
        <f aca="false">E15</f>
        <v>-5375</v>
      </c>
      <c r="H15" s="129" t="n">
        <f aca="false">H14+F15+G15</f>
        <v>-33790.08</v>
      </c>
    </row>
    <row r="16" customFormat="false" ht="12.75" hidden="false" customHeight="false" outlineLevel="0" collapsed="false">
      <c r="A16" s="102"/>
      <c r="B16" s="103" t="s">
        <v>763</v>
      </c>
      <c r="E16" s="129" t="n">
        <v>-2125</v>
      </c>
      <c r="G16" s="129" t="n">
        <f aca="false">E16</f>
        <v>-2125</v>
      </c>
      <c r="H16" s="129" t="n">
        <f aca="false">H15+F16+G16</f>
        <v>-35915.08</v>
      </c>
    </row>
    <row r="17" customFormat="false" ht="12.75" hidden="false" customHeight="false" outlineLevel="0" collapsed="false">
      <c r="B17" s="103" t="s">
        <v>764</v>
      </c>
      <c r="E17" s="129" t="n">
        <v>-1512.13</v>
      </c>
      <c r="G17" s="129" t="n">
        <v>-1512.13</v>
      </c>
      <c r="H17" s="129" t="n">
        <f aca="false">H16+F17+G17</f>
        <v>-37427.21</v>
      </c>
    </row>
    <row r="18" customFormat="false" ht="12.75" hidden="false" customHeight="false" outlineLevel="0" collapsed="false">
      <c r="H18" s="129" t="n">
        <f aca="false">H17+F18+G18</f>
        <v>-37427.21</v>
      </c>
    </row>
    <row r="19" customFormat="false" ht="12.75" hidden="false" customHeight="false" outlineLevel="0" collapsed="false">
      <c r="B19" s="0" t="s">
        <v>77</v>
      </c>
      <c r="E19" s="129" t="n">
        <v>-5000</v>
      </c>
      <c r="G19" s="129" t="n">
        <v>-4800</v>
      </c>
      <c r="H19" s="129" t="n">
        <f aca="false">H18+F19+G19</f>
        <v>-42227.21</v>
      </c>
    </row>
    <row r="20" customFormat="false" ht="12.75" hidden="false" customHeight="false" outlineLevel="0" collapsed="false">
      <c r="B20" s="0" t="s">
        <v>78</v>
      </c>
      <c r="E20" s="129" t="n">
        <v>-5000</v>
      </c>
      <c r="G20" s="129" t="n">
        <v>-4800</v>
      </c>
      <c r="H20" s="129" t="n">
        <f aca="false">H19+F20+G20</f>
        <v>-47027.21</v>
      </c>
    </row>
    <row r="21" customFormat="false" ht="12.75" hidden="false" customHeight="false" outlineLevel="0" collapsed="false">
      <c r="B21" s="0" t="s">
        <v>79</v>
      </c>
      <c r="E21" s="129" t="n">
        <v>-5000</v>
      </c>
      <c r="G21" s="129" t="n">
        <v>-5000</v>
      </c>
      <c r="H21" s="129" t="n">
        <f aca="false">H20+F21+G21</f>
        <v>-52027.21</v>
      </c>
    </row>
    <row r="22" customFormat="false" ht="12.75" hidden="false" customHeight="false" outlineLevel="0" collapsed="false">
      <c r="B22" s="103" t="s">
        <v>80</v>
      </c>
      <c r="E22" s="129" t="n">
        <v>-400</v>
      </c>
      <c r="G22" s="129" t="n">
        <v>-230</v>
      </c>
      <c r="H22" s="129" t="n">
        <f aca="false">H21+F22+G22</f>
        <v>-52257.21</v>
      </c>
    </row>
    <row r="23" customFormat="false" ht="12.75" hidden="false" customHeight="false" outlineLevel="0" collapsed="false">
      <c r="B23" s="103" t="s">
        <v>81</v>
      </c>
      <c r="E23" s="129" t="n">
        <v>-500</v>
      </c>
      <c r="G23" s="129" t="n">
        <v>-420</v>
      </c>
      <c r="H23" s="129" t="n">
        <f aca="false">H22+F23+G23</f>
        <v>-52677.21</v>
      </c>
    </row>
    <row r="24" customFormat="false" ht="12.75" hidden="false" customHeight="false" outlineLevel="0" collapsed="false">
      <c r="H24" s="129" t="n">
        <f aca="false">H23+F24+G24</f>
        <v>-52677.21</v>
      </c>
    </row>
    <row r="25" customFormat="false" ht="12.75" hidden="false" customHeight="false" outlineLevel="0" collapsed="false">
      <c r="A25" s="170" t="n">
        <v>45300</v>
      </c>
      <c r="B25" s="8" t="s">
        <v>765</v>
      </c>
      <c r="G25" s="129" t="n">
        <v>-5000</v>
      </c>
      <c r="H25" s="129" t="n">
        <f aca="false">H24+F25+G25</f>
        <v>-57677.21</v>
      </c>
    </row>
    <row r="26" customFormat="false" ht="12.75" hidden="false" customHeight="false" outlineLevel="0" collapsed="false">
      <c r="H26" s="129" t="n">
        <f aca="false">H25+F26+G26</f>
        <v>-57677.21</v>
      </c>
    </row>
    <row r="27" customFormat="false" ht="12.75" hidden="false" customHeight="false" outlineLevel="0" collapsed="false">
      <c r="B27" s="0" t="s">
        <v>76</v>
      </c>
      <c r="D27" s="181" t="n">
        <v>10000</v>
      </c>
      <c r="F27" s="181" t="n">
        <v>9611.58</v>
      </c>
      <c r="H27" s="129" t="n">
        <f aca="false">H26+F27+G27</f>
        <v>-48065.63</v>
      </c>
    </row>
    <row r="28" customFormat="false" ht="12.75" hidden="false" customHeight="false" outlineLevel="0" collapsed="false">
      <c r="A28" s="102"/>
      <c r="B28" s="8" t="s">
        <v>681</v>
      </c>
      <c r="D28" s="181" t="n">
        <v>2800</v>
      </c>
      <c r="F28" s="181" t="n">
        <v>2800</v>
      </c>
      <c r="H28" s="129" t="n">
        <f aca="false">H27+F28+G28</f>
        <v>-45265.63</v>
      </c>
    </row>
    <row r="29" customFormat="false" ht="12.75" hidden="false" customHeight="false" outlineLevel="0" collapsed="false">
      <c r="A29" s="165" t="n">
        <v>45293</v>
      </c>
      <c r="B29" s="8" t="s">
        <v>766</v>
      </c>
      <c r="F29" s="181" t="n">
        <v>6500</v>
      </c>
      <c r="H29" s="129" t="n">
        <f aca="false">H28+F29+G29</f>
        <v>-38765.63</v>
      </c>
    </row>
    <row r="30" customFormat="false" ht="12.75" hidden="false" customHeight="false" outlineLevel="0" collapsed="false">
      <c r="A30" s="102" t="n">
        <v>45328</v>
      </c>
      <c r="B30" s="8" t="s">
        <v>767</v>
      </c>
      <c r="D30" s="181" t="n">
        <v>6500</v>
      </c>
      <c r="F30" s="181"/>
      <c r="H30" s="129" t="n">
        <f aca="false">H29+F30+G30</f>
        <v>-38765.63</v>
      </c>
    </row>
    <row r="31" customFormat="false" ht="12.75" hidden="false" customHeight="false" outlineLevel="0" collapsed="false">
      <c r="A31" s="165" t="n">
        <v>45294</v>
      </c>
      <c r="B31" s="8" t="s">
        <v>768</v>
      </c>
      <c r="F31" s="181" t="n">
        <v>6000</v>
      </c>
      <c r="H31" s="129" t="n">
        <f aca="false">H30+F31+G31</f>
        <v>-32765.63</v>
      </c>
    </row>
    <row r="32" customFormat="false" ht="12.75" hidden="false" customHeight="false" outlineLevel="0" collapsed="false">
      <c r="A32" s="197"/>
      <c r="B32" s="175" t="s">
        <v>731</v>
      </c>
      <c r="C32" s="204"/>
      <c r="D32" s="204" t="n">
        <v>7000</v>
      </c>
      <c r="E32" s="204"/>
      <c r="F32" s="212"/>
      <c r="H32" s="129" t="n">
        <f aca="false">H31+F32+G32</f>
        <v>-32765.63</v>
      </c>
    </row>
    <row r="33" customFormat="false" ht="12.75" hidden="false" customHeight="false" outlineLevel="0" collapsed="false">
      <c r="B33" s="0" t="s">
        <v>769</v>
      </c>
      <c r="D33" s="181" t="n">
        <v>170000</v>
      </c>
      <c r="F33" s="181"/>
      <c r="H33" s="129" t="n">
        <f aca="false">H32+F33+G33</f>
        <v>-32765.63</v>
      </c>
    </row>
    <row r="34" customFormat="false" ht="12.75" hidden="false" customHeight="false" outlineLevel="0" collapsed="false">
      <c r="A34" s="170" t="n">
        <v>45295</v>
      </c>
      <c r="B34" s="8" t="s">
        <v>770</v>
      </c>
      <c r="F34" s="181" t="n">
        <v>120000</v>
      </c>
      <c r="H34" s="129" t="n">
        <f aca="false">H33+F34+G34</f>
        <v>87234.37</v>
      </c>
    </row>
    <row r="35" customFormat="false" ht="12.75" hidden="false" customHeight="false" outlineLevel="0" collapsed="false">
      <c r="A35" s="170" t="n">
        <v>45296</v>
      </c>
      <c r="B35" s="8" t="s">
        <v>770</v>
      </c>
      <c r="F35" s="181" t="n">
        <v>26000</v>
      </c>
      <c r="H35" s="129" t="n">
        <f aca="false">H34+F35+G35</f>
        <v>113234.37</v>
      </c>
    </row>
    <row r="36" customFormat="false" ht="12.75" hidden="false" customHeight="false" outlineLevel="0" collapsed="false">
      <c r="A36" s="170" t="n">
        <v>45299</v>
      </c>
      <c r="B36" s="8" t="s">
        <v>771</v>
      </c>
      <c r="F36" s="181" t="n">
        <v>24000</v>
      </c>
      <c r="H36" s="129" t="n">
        <f aca="false">H35+F36+G36</f>
        <v>137234.37</v>
      </c>
    </row>
    <row r="37" customFormat="false" ht="12.75" hidden="false" customHeight="false" outlineLevel="0" collapsed="false">
      <c r="A37" s="170"/>
      <c r="B37" s="8" t="s">
        <v>772</v>
      </c>
      <c r="G37" s="129" t="n">
        <v>-4000</v>
      </c>
      <c r="H37" s="129" t="n">
        <f aca="false">H36+F37+G37</f>
        <v>133234.37</v>
      </c>
    </row>
    <row r="38" customFormat="false" ht="12.75" hidden="false" customHeight="false" outlineLevel="0" collapsed="false">
      <c r="A38" s="170" t="n">
        <v>45321</v>
      </c>
      <c r="B38" s="8" t="s">
        <v>772</v>
      </c>
      <c r="G38" s="129" t="n">
        <v>-1000</v>
      </c>
      <c r="H38" s="129" t="n">
        <f aca="false">H37+F38+G38</f>
        <v>132234.37</v>
      </c>
    </row>
    <row r="39" customFormat="false" ht="12.75" hidden="false" customHeight="false" outlineLevel="0" collapsed="false">
      <c r="A39" s="170"/>
      <c r="B39" s="8" t="s">
        <v>773</v>
      </c>
      <c r="G39" s="129" t="n">
        <v>-3700</v>
      </c>
      <c r="H39" s="129" t="n">
        <f aca="false">H38+F39+G39</f>
        <v>128534.37</v>
      </c>
    </row>
    <row r="40" customFormat="false" ht="12.75" hidden="false" customHeight="false" outlineLevel="0" collapsed="false">
      <c r="A40" s="170"/>
      <c r="H40" s="129" t="n">
        <f aca="false">H39+F40+G40</f>
        <v>128534.37</v>
      </c>
    </row>
    <row r="41" customFormat="false" ht="12.75" hidden="false" customHeight="false" outlineLevel="0" collapsed="false">
      <c r="A41" s="90" t="n">
        <v>45315</v>
      </c>
      <c r="B41" s="8" t="s">
        <v>774</v>
      </c>
      <c r="H41" s="129" t="n">
        <f aca="false">H40+F41+G41</f>
        <v>128534.37</v>
      </c>
    </row>
    <row r="42" customFormat="false" ht="12.75" hidden="false" customHeight="false" outlineLevel="0" collapsed="false">
      <c r="B42" s="0" t="s">
        <v>775</v>
      </c>
      <c r="C42" s="129" t="n">
        <v>0.234011</v>
      </c>
      <c r="D42" s="129" t="n">
        <v>144000</v>
      </c>
      <c r="H42" s="129" t="n">
        <f aca="false">H41+F42+G42</f>
        <v>128534.37</v>
      </c>
    </row>
    <row r="43" customFormat="false" ht="12.75" hidden="false" customHeight="false" outlineLevel="0" collapsed="false">
      <c r="A43" s="165"/>
      <c r="H43" s="129" t="n">
        <f aca="false">H42+F43+G43</f>
        <v>128534.37</v>
      </c>
    </row>
    <row r="44" customFormat="false" ht="12.75" hidden="false" customHeight="false" outlineLevel="0" collapsed="false">
      <c r="A44" s="165"/>
      <c r="H44" s="129" t="n">
        <f aca="false">H43+F44+G44</f>
        <v>128534.37</v>
      </c>
    </row>
    <row r="45" customFormat="false" ht="12.75" hidden="false" customHeight="false" outlineLevel="0" collapsed="false">
      <c r="H45" s="129" t="n">
        <f aca="false">H44+F45+G45</f>
        <v>128534.37</v>
      </c>
    </row>
    <row r="46" customFormat="false" ht="12.75" hidden="false" customHeight="false" outlineLevel="0" collapsed="false">
      <c r="B46" s="0" t="s">
        <v>334</v>
      </c>
    </row>
    <row r="47" customFormat="false" ht="12.75" hidden="false" customHeight="false" outlineLevel="0" collapsed="false">
      <c r="A47" s="105" t="s">
        <v>335</v>
      </c>
      <c r="B47" s="105"/>
    </row>
    <row r="48" customFormat="false" ht="12.75" hidden="false" customHeight="false" outlineLevel="0" collapsed="false">
      <c r="A48" s="102"/>
    </row>
    <row r="49" customFormat="false" ht="12.75" hidden="false" customHeight="false" outlineLevel="0" collapsed="false">
      <c r="A49" s="177" t="n">
        <v>44929</v>
      </c>
      <c r="B49" s="178" t="s">
        <v>336</v>
      </c>
      <c r="D49" s="129" t="n">
        <f aca="false">SUM(D50:D55)</f>
        <v>4772.15</v>
      </c>
      <c r="E49" s="129" t="n">
        <f aca="false">SUM(E50:E55)</f>
        <v>4742.64</v>
      </c>
    </row>
    <row r="50" customFormat="false" ht="12.75" hidden="false" customHeight="false" outlineLevel="0" collapsed="false">
      <c r="A50" s="102"/>
      <c r="B50" s="108" t="s">
        <v>337</v>
      </c>
      <c r="C50" s="129" t="s">
        <v>776</v>
      </c>
      <c r="D50" s="129" t="n">
        <v>1329.72</v>
      </c>
      <c r="E50" s="129" t="n">
        <v>1330</v>
      </c>
    </row>
    <row r="51" customFormat="false" ht="12.75" hidden="false" customHeight="false" outlineLevel="0" collapsed="false">
      <c r="B51" s="0" t="s">
        <v>777</v>
      </c>
      <c r="D51" s="129" t="n">
        <v>1282.42</v>
      </c>
      <c r="E51" s="129" t="n">
        <v>1250</v>
      </c>
    </row>
    <row r="52" customFormat="false" ht="12.75" hidden="false" customHeight="false" outlineLevel="0" collapsed="false">
      <c r="B52" s="0" t="s">
        <v>339</v>
      </c>
      <c r="D52" s="129" t="n">
        <v>298.67</v>
      </c>
      <c r="E52" s="129" t="n">
        <v>298.5</v>
      </c>
    </row>
    <row r="53" customFormat="false" ht="12.75" hidden="false" customHeight="false" outlineLevel="0" collapsed="false">
      <c r="B53" s="0" t="s">
        <v>778</v>
      </c>
      <c r="D53" s="129" t="n">
        <v>1204.38</v>
      </c>
      <c r="E53" s="129" t="n">
        <v>1205</v>
      </c>
    </row>
    <row r="54" customFormat="false" ht="12.75" hidden="false" customHeight="false" outlineLevel="0" collapsed="false">
      <c r="B54" s="0" t="s">
        <v>341</v>
      </c>
      <c r="D54" s="129" t="n">
        <v>487.82</v>
      </c>
      <c r="E54" s="129" t="n">
        <v>490</v>
      </c>
    </row>
    <row r="55" customFormat="false" ht="12.75" hidden="false" customHeight="false" outlineLevel="0" collapsed="false">
      <c r="B55" s="0" t="s">
        <v>342</v>
      </c>
      <c r="D55" s="129" t="n">
        <v>169.14</v>
      </c>
      <c r="E55" s="129" t="n">
        <v>169.14</v>
      </c>
    </row>
    <row r="58" customFormat="false" ht="12.75" hidden="false" customHeight="false" outlineLevel="0" collapsed="false">
      <c r="B58" s="17"/>
    </row>
    <row r="59" customFormat="false" ht="12.75" hidden="false" customHeight="false" outlineLevel="0" collapsed="false">
      <c r="B59" s="104"/>
    </row>
    <row r="60" customFormat="false" ht="12.75" hidden="false" customHeight="false" outlineLevel="0" collapsed="false">
      <c r="A60" s="105"/>
      <c r="B60" s="106" t="s">
        <v>83</v>
      </c>
      <c r="E60" s="129" t="n">
        <f aca="false">SUM(E61:E74)</f>
        <v>-3961.94</v>
      </c>
    </row>
    <row r="62" customFormat="false" ht="12.75" hidden="false" customHeight="false" outlineLevel="0" collapsed="false">
      <c r="A62" s="165"/>
      <c r="B62" s="108"/>
    </row>
    <row r="63" customFormat="false" ht="12.75" hidden="false" customHeight="false" outlineLevel="0" collapsed="false">
      <c r="A63" s="165" t="n">
        <v>45043</v>
      </c>
      <c r="B63" s="108" t="s">
        <v>733</v>
      </c>
      <c r="C63" s="129" t="n">
        <v>10764.57</v>
      </c>
      <c r="D63" s="129" t="s">
        <v>779</v>
      </c>
      <c r="E63" s="129" t="n">
        <v>-1196.06</v>
      </c>
    </row>
    <row r="64" customFormat="false" ht="12.75" hidden="false" customHeight="false" outlineLevel="0" collapsed="false">
      <c r="A64" s="102" t="n">
        <v>45187</v>
      </c>
      <c r="B64" s="108" t="s">
        <v>570</v>
      </c>
      <c r="C64" s="129" t="n">
        <v>7648.33</v>
      </c>
      <c r="D64" s="129" t="s">
        <v>780</v>
      </c>
      <c r="E64" s="129" t="n">
        <v>-849.81</v>
      </c>
    </row>
    <row r="65" customFormat="false" ht="12.75" hidden="false" customHeight="false" outlineLevel="0" collapsed="false">
      <c r="A65" s="102" t="n">
        <v>45187</v>
      </c>
      <c r="B65" s="108" t="s">
        <v>685</v>
      </c>
      <c r="C65" s="129" t="n">
        <v>11128</v>
      </c>
      <c r="D65" s="129" t="s">
        <v>523</v>
      </c>
      <c r="E65" s="129" t="n">
        <v>-1854.67</v>
      </c>
    </row>
    <row r="66" customFormat="false" ht="12.75" hidden="false" customHeight="false" outlineLevel="0" collapsed="false">
      <c r="A66" s="165" t="n">
        <v>44995</v>
      </c>
      <c r="B66" s="8" t="s">
        <v>781</v>
      </c>
      <c r="C66" s="129" t="n">
        <v>613.91</v>
      </c>
      <c r="D66" s="129" t="s">
        <v>782</v>
      </c>
      <c r="E66" s="129" t="n">
        <v>-61.4</v>
      </c>
    </row>
    <row r="67" customFormat="false" ht="12.75" hidden="false" customHeight="false" outlineLevel="0" collapsed="false">
      <c r="D67" s="129" t="s">
        <v>84</v>
      </c>
    </row>
    <row r="69" customFormat="false" ht="12.75" hidden="false" customHeight="false" outlineLevel="0" collapsed="false">
      <c r="A69" s="102"/>
      <c r="B69" s="108"/>
    </row>
    <row r="70" customFormat="false" ht="12.75" hidden="false" customHeight="false" outlineLevel="0" collapsed="false">
      <c r="A70" s="102"/>
      <c r="B70" s="108"/>
    </row>
    <row r="71" customFormat="false" ht="12.75" hidden="false" customHeight="false" outlineLevel="0" collapsed="false">
      <c r="A71" s="102"/>
      <c r="B71" s="109"/>
    </row>
    <row r="72" customFormat="false" ht="12.75" hidden="false" customHeight="false" outlineLevel="0" collapsed="false">
      <c r="A72" s="102"/>
      <c r="B72" s="109"/>
    </row>
    <row r="73" customFormat="false" ht="12.75" hidden="false" customHeight="false" outlineLevel="0" collapsed="false">
      <c r="A73" s="102"/>
      <c r="B73" s="109"/>
    </row>
    <row r="74" customFormat="false" ht="12.75" hidden="false" customHeight="false" outlineLevel="0" collapsed="false">
      <c r="A74" s="102"/>
      <c r="B74" s="109"/>
    </row>
    <row r="75" customFormat="false" ht="12.75" hidden="false" customHeight="false" outlineLevel="0" collapsed="false">
      <c r="A75" s="102"/>
      <c r="B75" s="3"/>
    </row>
    <row r="76" customFormat="false" ht="12.75" hidden="false" customHeight="false" outlineLevel="0" collapsed="false">
      <c r="A76" s="102"/>
      <c r="B76" s="108"/>
    </row>
    <row r="77" customFormat="false" ht="12.75" hidden="false" customHeight="false" outlineLevel="0" collapsed="false">
      <c r="A77" s="105"/>
      <c r="B77" s="106" t="s">
        <v>85</v>
      </c>
      <c r="E77" s="129" t="n">
        <f aca="false">SUM(E78:E112)</f>
        <v>-12474.55</v>
      </c>
    </row>
    <row r="78" customFormat="false" ht="12.75" hidden="false" customHeight="false" outlineLevel="0" collapsed="false">
      <c r="A78" s="102"/>
      <c r="B78" s="108"/>
    </row>
    <row r="79" customFormat="false" ht="12.75" hidden="false" customHeight="false" outlineLevel="0" collapsed="false">
      <c r="A79" s="102" t="n">
        <v>45187</v>
      </c>
      <c r="B79" s="108" t="s">
        <v>692</v>
      </c>
      <c r="D79" s="129" t="s">
        <v>783</v>
      </c>
      <c r="E79" s="129" t="n">
        <v>-3974.44</v>
      </c>
    </row>
    <row r="80" customFormat="false" ht="12.75" hidden="false" customHeight="false" outlineLevel="0" collapsed="false">
      <c r="A80" s="170" t="n">
        <v>45214</v>
      </c>
      <c r="B80" s="8" t="s">
        <v>665</v>
      </c>
      <c r="D80" s="129" t="s">
        <v>667</v>
      </c>
      <c r="E80" s="129" t="n">
        <v>-600</v>
      </c>
    </row>
    <row r="81" customFormat="false" ht="12.75" hidden="false" customHeight="false" outlineLevel="0" collapsed="false">
      <c r="A81" s="102"/>
      <c r="B81" s="3"/>
    </row>
    <row r="82" customFormat="false" ht="12.75" hidden="false" customHeight="false" outlineLevel="0" collapsed="false">
      <c r="A82" s="170" t="n">
        <v>45259</v>
      </c>
      <c r="B82" s="8" t="s">
        <v>696</v>
      </c>
      <c r="C82" s="129" t="n">
        <v>-1204.5</v>
      </c>
      <c r="D82" s="129" t="s">
        <v>784</v>
      </c>
      <c r="E82" s="129" t="n">
        <v>-401.5</v>
      </c>
    </row>
    <row r="83" customFormat="false" ht="12.75" hidden="false" customHeight="false" outlineLevel="0" collapsed="false">
      <c r="A83" s="170" t="n">
        <v>45259</v>
      </c>
      <c r="B83" s="8" t="s">
        <v>698</v>
      </c>
      <c r="C83" s="129" t="n">
        <v>-148.6</v>
      </c>
      <c r="D83" s="129" t="s">
        <v>784</v>
      </c>
      <c r="E83" s="129" t="n">
        <v>-49.53</v>
      </c>
    </row>
    <row r="84" customFormat="false" ht="12.75" hidden="false" customHeight="false" outlineLevel="0" collapsed="false">
      <c r="A84" s="170" t="n">
        <v>45259</v>
      </c>
      <c r="B84" s="8" t="s">
        <v>699</v>
      </c>
      <c r="C84" s="129" t="n">
        <v>-244.8</v>
      </c>
      <c r="D84" s="129" t="s">
        <v>784</v>
      </c>
      <c r="E84" s="129" t="n">
        <v>-81.6</v>
      </c>
    </row>
    <row r="85" customFormat="false" ht="12.75" hidden="false" customHeight="false" outlineLevel="0" collapsed="false">
      <c r="A85" s="170" t="n">
        <v>45259</v>
      </c>
      <c r="B85" s="8" t="s">
        <v>700</v>
      </c>
      <c r="C85" s="129" t="n">
        <v>-532.6</v>
      </c>
      <c r="D85" s="129" t="s">
        <v>784</v>
      </c>
      <c r="E85" s="129" t="n">
        <v>-177.53</v>
      </c>
    </row>
    <row r="86" customFormat="false" ht="12.75" hidden="false" customHeight="false" outlineLevel="0" collapsed="false">
      <c r="A86" s="170" t="n">
        <v>45285</v>
      </c>
      <c r="B86" s="108" t="s">
        <v>530</v>
      </c>
    </row>
    <row r="87" customFormat="false" ht="12.75" hidden="false" customHeight="false" outlineLevel="0" collapsed="false">
      <c r="A87" s="102"/>
      <c r="B87" s="3" t="s">
        <v>543</v>
      </c>
      <c r="C87" s="129" t="n">
        <v>109.92</v>
      </c>
    </row>
    <row r="88" customFormat="false" ht="12.75" hidden="false" customHeight="false" outlineLevel="0" collapsed="false">
      <c r="A88" s="102" t="n">
        <v>45283</v>
      </c>
      <c r="B88" s="3" t="s">
        <v>550</v>
      </c>
      <c r="E88" s="129" t="n">
        <v>-90</v>
      </c>
    </row>
    <row r="89" customFormat="false" ht="12.75" hidden="false" customHeight="false" outlineLevel="0" collapsed="false">
      <c r="A89" s="102" t="n">
        <v>45283</v>
      </c>
      <c r="B89" s="3" t="s">
        <v>137</v>
      </c>
      <c r="C89" s="129" t="n">
        <f aca="false">E89</f>
        <v>-105.12</v>
      </c>
      <c r="E89" s="129" t="n">
        <v>-105.12</v>
      </c>
    </row>
    <row r="90" customFormat="false" ht="12.75" hidden="false" customHeight="false" outlineLevel="0" collapsed="false">
      <c r="A90" s="102" t="n">
        <v>45282</v>
      </c>
      <c r="B90" s="3" t="s">
        <v>137</v>
      </c>
      <c r="C90" s="129" t="n">
        <f aca="false">E90</f>
        <v>-58.63</v>
      </c>
      <c r="E90" s="129" t="n">
        <v>-58.63</v>
      </c>
    </row>
    <row r="91" customFormat="false" ht="12.75" hidden="false" customHeight="false" outlineLevel="0" collapsed="false">
      <c r="A91" s="102" t="n">
        <v>45281</v>
      </c>
      <c r="B91" s="3" t="s">
        <v>550</v>
      </c>
      <c r="E91" s="129" t="n">
        <v>-110</v>
      </c>
    </row>
    <row r="92" customFormat="false" ht="12.75" hidden="false" customHeight="false" outlineLevel="0" collapsed="false">
      <c r="A92" s="102" t="n">
        <v>45281</v>
      </c>
      <c r="B92" s="3" t="s">
        <v>137</v>
      </c>
      <c r="C92" s="129" t="n">
        <f aca="false">E92</f>
        <v>-70</v>
      </c>
      <c r="E92" s="129" t="n">
        <v>-70</v>
      </c>
    </row>
    <row r="93" customFormat="false" ht="12.75" hidden="false" customHeight="false" outlineLevel="0" collapsed="false">
      <c r="A93" s="102" t="n">
        <v>45281</v>
      </c>
      <c r="B93" s="3" t="s">
        <v>137</v>
      </c>
      <c r="C93" s="129" t="n">
        <f aca="false">E93</f>
        <v>-76.66</v>
      </c>
      <c r="E93" s="129" t="n">
        <v>-76.66</v>
      </c>
    </row>
    <row r="94" customFormat="false" ht="12.75" hidden="false" customHeight="false" outlineLevel="0" collapsed="false">
      <c r="A94" s="102" t="n">
        <v>45279</v>
      </c>
      <c r="B94" s="3" t="s">
        <v>785</v>
      </c>
      <c r="E94" s="129" t="n">
        <v>-260</v>
      </c>
    </row>
    <row r="95" customFormat="false" ht="12.75" hidden="false" customHeight="false" outlineLevel="0" collapsed="false">
      <c r="A95" s="102" t="n">
        <v>45278</v>
      </c>
      <c r="B95" s="3" t="s">
        <v>137</v>
      </c>
      <c r="C95" s="129" t="n">
        <f aca="false">E95</f>
        <v>-370</v>
      </c>
      <c r="E95" s="129" t="n">
        <v>-370</v>
      </c>
    </row>
    <row r="96" customFormat="false" ht="12.75" hidden="false" customHeight="false" outlineLevel="0" collapsed="false">
      <c r="A96" s="102" t="n">
        <v>45276</v>
      </c>
      <c r="B96" s="3" t="s">
        <v>786</v>
      </c>
      <c r="E96" s="129" t="n">
        <v>-300</v>
      </c>
    </row>
    <row r="97" customFormat="false" ht="12.75" hidden="false" customHeight="false" outlineLevel="0" collapsed="false">
      <c r="A97" s="102" t="n">
        <v>45276</v>
      </c>
      <c r="B97" s="3" t="s">
        <v>137</v>
      </c>
      <c r="C97" s="129" t="n">
        <f aca="false">E97</f>
        <v>-250</v>
      </c>
      <c r="E97" s="129" t="n">
        <v>-250</v>
      </c>
    </row>
    <row r="98" customFormat="false" ht="12.75" hidden="false" customHeight="false" outlineLevel="0" collapsed="false">
      <c r="A98" s="102" t="n">
        <v>45275</v>
      </c>
      <c r="B98" s="3" t="s">
        <v>787</v>
      </c>
      <c r="E98" s="129" t="n">
        <v>-470</v>
      </c>
    </row>
    <row r="99" customFormat="false" ht="12.75" hidden="false" customHeight="false" outlineLevel="0" collapsed="false">
      <c r="A99" s="102" t="n">
        <v>45275</v>
      </c>
      <c r="B99" s="3" t="s">
        <v>788</v>
      </c>
      <c r="E99" s="129" t="n">
        <v>-285</v>
      </c>
    </row>
    <row r="100" customFormat="false" ht="12.75" hidden="false" customHeight="false" outlineLevel="0" collapsed="false">
      <c r="A100" s="102" t="n">
        <v>45274</v>
      </c>
      <c r="B100" s="3" t="s">
        <v>137</v>
      </c>
      <c r="C100" s="129" t="n">
        <f aca="false">E100</f>
        <v>-150</v>
      </c>
      <c r="E100" s="129" t="n">
        <v>-150</v>
      </c>
    </row>
    <row r="101" customFormat="false" ht="12.75" hidden="false" customHeight="false" outlineLevel="0" collapsed="false">
      <c r="A101" s="102" t="n">
        <v>45272</v>
      </c>
      <c r="B101" s="3" t="s">
        <v>789</v>
      </c>
      <c r="E101" s="129" t="n">
        <v>-1108.15</v>
      </c>
    </row>
    <row r="102" customFormat="false" ht="12.75" hidden="false" customHeight="false" outlineLevel="0" collapsed="false">
      <c r="A102" s="102" t="n">
        <v>45271</v>
      </c>
      <c r="B102" s="3" t="s">
        <v>137</v>
      </c>
      <c r="C102" s="129" t="n">
        <f aca="false">E102</f>
        <v>-150</v>
      </c>
      <c r="E102" s="129" t="n">
        <v>-150</v>
      </c>
    </row>
    <row r="103" customFormat="false" ht="12.75" hidden="false" customHeight="false" outlineLevel="0" collapsed="false">
      <c r="A103" s="102" t="n">
        <v>45270</v>
      </c>
      <c r="B103" s="3" t="s">
        <v>135</v>
      </c>
      <c r="E103" s="129" t="n">
        <v>-1551.29</v>
      </c>
    </row>
    <row r="104" customFormat="false" ht="12.75" hidden="false" customHeight="false" outlineLevel="0" collapsed="false">
      <c r="A104" s="102" t="n">
        <v>45270</v>
      </c>
      <c r="B104" s="3" t="s">
        <v>790</v>
      </c>
      <c r="E104" s="129" t="n">
        <v>-315.1</v>
      </c>
    </row>
    <row r="105" customFormat="false" ht="12.75" hidden="false" customHeight="false" outlineLevel="0" collapsed="false">
      <c r="A105" s="102" t="n">
        <v>45267</v>
      </c>
      <c r="B105" s="3" t="s">
        <v>550</v>
      </c>
      <c r="E105" s="129" t="n">
        <v>-300</v>
      </c>
    </row>
    <row r="106" customFormat="false" ht="12.75" hidden="false" customHeight="false" outlineLevel="0" collapsed="false">
      <c r="A106" s="102" t="n">
        <v>45266</v>
      </c>
      <c r="B106" s="3" t="s">
        <v>137</v>
      </c>
      <c r="C106" s="129" t="n">
        <f aca="false">E106</f>
        <v>-200</v>
      </c>
      <c r="E106" s="129" t="n">
        <v>-200</v>
      </c>
    </row>
    <row r="107" customFormat="false" ht="12.75" hidden="false" customHeight="false" outlineLevel="0" collapsed="false">
      <c r="A107" s="102" t="n">
        <v>45265</v>
      </c>
      <c r="B107" s="3" t="s">
        <v>137</v>
      </c>
      <c r="C107" s="129" t="n">
        <f aca="false">E107</f>
        <v>-200</v>
      </c>
      <c r="E107" s="129" t="n">
        <v>-200</v>
      </c>
    </row>
    <row r="108" customFormat="false" ht="12.75" hidden="false" customHeight="false" outlineLevel="0" collapsed="false">
      <c r="A108" s="102" t="n">
        <v>45264</v>
      </c>
      <c r="B108" s="3" t="s">
        <v>132</v>
      </c>
      <c r="D108" s="129" t="n">
        <v>11990.16</v>
      </c>
    </row>
    <row r="109" customFormat="false" ht="12.75" hidden="false" customHeight="false" outlineLevel="0" collapsed="false">
      <c r="A109" s="102" t="n">
        <v>45260</v>
      </c>
      <c r="B109" s="3" t="s">
        <v>137</v>
      </c>
      <c r="C109" s="129" t="n">
        <f aca="false">E109</f>
        <v>-200</v>
      </c>
      <c r="E109" s="129" t="n">
        <v>-200</v>
      </c>
    </row>
    <row r="110" customFormat="false" ht="12.75" hidden="false" customHeight="false" outlineLevel="0" collapsed="false">
      <c r="A110" s="170" t="n">
        <v>45257</v>
      </c>
      <c r="B110" s="3" t="s">
        <v>137</v>
      </c>
      <c r="C110" s="129" t="n">
        <f aca="false">E110</f>
        <v>-250</v>
      </c>
      <c r="E110" s="129" t="n">
        <v>-250</v>
      </c>
    </row>
    <row r="111" customFormat="false" ht="12.75" hidden="false" customHeight="false" outlineLevel="0" collapsed="false">
      <c r="A111" s="170" t="n">
        <v>45255</v>
      </c>
      <c r="B111" s="3" t="s">
        <v>137</v>
      </c>
      <c r="C111" s="129" t="n">
        <f aca="false">E111</f>
        <v>-160</v>
      </c>
      <c r="E111" s="129" t="n">
        <v>-160</v>
      </c>
    </row>
    <row r="112" customFormat="false" ht="12.75" hidden="false" customHeight="false" outlineLevel="0" collapsed="false">
      <c r="A112" s="170" t="n">
        <v>45254</v>
      </c>
      <c r="B112" s="3" t="s">
        <v>137</v>
      </c>
      <c r="C112" s="129" t="n">
        <f aca="false">E112</f>
        <v>-160</v>
      </c>
      <c r="E112" s="129" t="n">
        <v>-160</v>
      </c>
    </row>
    <row r="113" customFormat="false" ht="12.75" hidden="false" customHeight="false" outlineLevel="0" collapsed="false">
      <c r="D113" s="129" t="s">
        <v>84</v>
      </c>
    </row>
    <row r="114" customFormat="false" ht="12.75" hidden="false" customHeight="false" outlineLevel="0" collapsed="false">
      <c r="B114" s="18" t="s">
        <v>427</v>
      </c>
      <c r="C114" s="129" t="n">
        <f aca="false">SUM(C89:C113)</f>
        <v>-2400.41</v>
      </c>
    </row>
    <row r="118" customFormat="false" ht="12.75" hidden="false" customHeight="false" outlineLevel="0" collapsed="false">
      <c r="A118" s="117" t="s">
        <v>791</v>
      </c>
      <c r="B118" s="106" t="s">
        <v>139</v>
      </c>
      <c r="C118" s="105" t="n">
        <v>2023</v>
      </c>
      <c r="D118" s="163"/>
      <c r="E118" s="164" t="n">
        <f aca="false">SUM(E119:E135)</f>
        <v>813151.51</v>
      </c>
    </row>
    <row r="119" customFormat="false" ht="12.75" hidden="false" customHeight="false" outlineLevel="0" collapsed="false">
      <c r="A119" s="165" t="n">
        <v>45322</v>
      </c>
      <c r="B119" s="8" t="s">
        <v>77</v>
      </c>
      <c r="C119" s="2"/>
      <c r="D119" s="2"/>
      <c r="E119" s="17" t="n">
        <v>64000</v>
      </c>
    </row>
    <row r="120" customFormat="false" ht="12.75" hidden="false" customHeight="false" outlineLevel="0" collapsed="false">
      <c r="A120" s="165" t="n">
        <f aca="false">A119</f>
        <v>45322</v>
      </c>
      <c r="B120" s="8" t="s">
        <v>792</v>
      </c>
      <c r="C120" s="2"/>
      <c r="D120" s="2"/>
      <c r="E120" s="17" t="n">
        <v>210345.5</v>
      </c>
    </row>
    <row r="121" customFormat="false" ht="12.75" hidden="false" customHeight="false" outlineLevel="0" collapsed="false">
      <c r="A121" s="165" t="n">
        <f aca="false">A120</f>
        <v>45322</v>
      </c>
      <c r="B121" s="8" t="s">
        <v>309</v>
      </c>
      <c r="C121" s="2"/>
      <c r="D121" s="2"/>
      <c r="E121" s="17" t="n">
        <v>7564.7</v>
      </c>
    </row>
    <row r="122" customFormat="false" ht="12.75" hidden="false" customHeight="false" outlineLevel="0" collapsed="false">
      <c r="A122" s="165" t="n">
        <f aca="false">A121</f>
        <v>45322</v>
      </c>
      <c r="B122" s="8" t="s">
        <v>310</v>
      </c>
      <c r="C122" s="2"/>
      <c r="D122" s="2"/>
      <c r="E122" s="17" t="n">
        <v>122.31</v>
      </c>
    </row>
    <row r="123" customFormat="false" ht="12.75" hidden="false" customHeight="false" outlineLevel="0" collapsed="false">
      <c r="A123" s="165" t="n">
        <f aca="false">A122</f>
        <v>45322</v>
      </c>
      <c r="B123" s="8" t="s">
        <v>507</v>
      </c>
      <c r="C123" s="2"/>
      <c r="D123" s="2"/>
      <c r="E123" s="17" t="n">
        <v>10000</v>
      </c>
    </row>
    <row r="124" customFormat="false" ht="12.75" hidden="false" customHeight="false" outlineLevel="0" collapsed="false">
      <c r="A124" s="165" t="n">
        <f aca="false">A123</f>
        <v>45322</v>
      </c>
      <c r="B124" s="8" t="s">
        <v>311</v>
      </c>
      <c r="D124" s="2"/>
      <c r="E124" s="17" t="n">
        <v>0</v>
      </c>
    </row>
    <row r="125" customFormat="false" ht="12.75" hidden="false" customHeight="false" outlineLevel="0" collapsed="false">
      <c r="A125" s="165" t="n">
        <v>45327</v>
      </c>
      <c r="B125" s="8" t="s">
        <v>245</v>
      </c>
      <c r="C125" s="2" t="s">
        <v>793</v>
      </c>
      <c r="D125" s="2"/>
      <c r="E125" s="17" t="n">
        <v>132120.79</v>
      </c>
    </row>
    <row r="126" customFormat="false" ht="12.75" hidden="false" customHeight="false" outlineLevel="0" collapsed="false">
      <c r="A126" s="165" t="n">
        <f aca="false">A125</f>
        <v>45327</v>
      </c>
      <c r="B126" s="8" t="s">
        <v>794</v>
      </c>
      <c r="C126" s="2"/>
      <c r="D126" s="2"/>
      <c r="E126" s="17" t="n">
        <v>0</v>
      </c>
    </row>
    <row r="127" customFormat="false" ht="12.75" hidden="false" customHeight="false" outlineLevel="0" collapsed="false">
      <c r="A127" s="165" t="n">
        <v>45327</v>
      </c>
      <c r="B127" s="8" t="s">
        <v>795</v>
      </c>
      <c r="C127" s="165" t="n">
        <v>45327</v>
      </c>
      <c r="D127" s="166" t="n">
        <v>21.7</v>
      </c>
      <c r="E127" s="17" t="n">
        <v>513.5</v>
      </c>
    </row>
    <row r="128" customFormat="false" ht="12.75" hidden="false" customHeight="false" outlineLevel="0" collapsed="false">
      <c r="A128" s="165" t="n">
        <f aca="false">A127</f>
        <v>45327</v>
      </c>
      <c r="B128" s="8" t="s">
        <v>796</v>
      </c>
      <c r="C128" s="165" t="n">
        <v>45327</v>
      </c>
      <c r="D128" s="166" t="n">
        <v>539.29</v>
      </c>
      <c r="E128" s="17" t="n">
        <v>5448.3</v>
      </c>
    </row>
    <row r="129" customFormat="false" ht="12.75" hidden="false" customHeight="false" outlineLevel="0" collapsed="false">
      <c r="A129" s="165" t="n">
        <v>45327</v>
      </c>
      <c r="B129" s="8" t="s">
        <v>143</v>
      </c>
      <c r="C129" s="2"/>
      <c r="D129" s="2"/>
      <c r="E129" s="17" t="n">
        <v>500</v>
      </c>
    </row>
    <row r="130" customFormat="false" ht="12.75" hidden="false" customHeight="false" outlineLevel="0" collapsed="false">
      <c r="A130" s="165" t="n">
        <v>45327</v>
      </c>
      <c r="B130" s="8" t="s">
        <v>797</v>
      </c>
      <c r="C130" s="2" t="n">
        <v>1959.94</v>
      </c>
      <c r="D130" s="2" t="n">
        <v>161</v>
      </c>
      <c r="E130" s="17" t="n">
        <f aca="false">D130*C130</f>
        <v>315550.34</v>
      </c>
    </row>
    <row r="131" customFormat="false" ht="12.75" hidden="false" customHeight="false" outlineLevel="0" collapsed="false">
      <c r="A131" s="165" t="n">
        <f aca="false">A130</f>
        <v>45327</v>
      </c>
      <c r="B131" s="8" t="s">
        <v>798</v>
      </c>
      <c r="C131" s="167" t="n">
        <v>30.452</v>
      </c>
      <c r="D131" s="2" t="n">
        <v>850</v>
      </c>
      <c r="E131" s="17" t="n">
        <f aca="false">D131*C131</f>
        <v>25884.2</v>
      </c>
    </row>
    <row r="132" customFormat="false" ht="12.75" hidden="false" customHeight="false" outlineLevel="0" collapsed="false">
      <c r="A132" s="165" t="n">
        <f aca="false">A131</f>
        <v>45327</v>
      </c>
      <c r="B132" s="8" t="s">
        <v>514</v>
      </c>
      <c r="C132" s="167" t="n">
        <v>30.452</v>
      </c>
      <c r="D132" s="2" t="n">
        <v>250</v>
      </c>
      <c r="E132" s="17" t="n">
        <f aca="false">D132*C132</f>
        <v>7613</v>
      </c>
    </row>
    <row r="133" customFormat="false" ht="12.75" hidden="false" customHeight="false" outlineLevel="0" collapsed="false">
      <c r="A133" s="165" t="n">
        <f aca="false">A131</f>
        <v>45327</v>
      </c>
      <c r="B133" s="8" t="s">
        <v>799</v>
      </c>
      <c r="C133" s="167" t="n">
        <v>32.3887</v>
      </c>
      <c r="D133" s="2" t="n">
        <v>100</v>
      </c>
      <c r="E133" s="17" t="n">
        <f aca="false">D133*C133</f>
        <v>3238.87</v>
      </c>
    </row>
    <row r="134" customFormat="false" ht="12.75" hidden="false" customHeight="false" outlineLevel="0" collapsed="false">
      <c r="A134" s="165" t="n">
        <f aca="false">A133</f>
        <v>45327</v>
      </c>
      <c r="B134" s="8" t="s">
        <v>155</v>
      </c>
      <c r="C134" s="2"/>
      <c r="D134" s="2"/>
      <c r="E134" s="17" t="n">
        <v>30000</v>
      </c>
    </row>
    <row r="135" customFormat="false" ht="12.75" hidden="false" customHeight="false" outlineLevel="0" collapsed="false">
      <c r="A135" s="165" t="n">
        <f aca="false">A134</f>
        <v>45327</v>
      </c>
      <c r="B135" s="8" t="s">
        <v>156</v>
      </c>
      <c r="C135" s="2"/>
      <c r="D135" s="2"/>
      <c r="E135" s="17" t="n">
        <v>250</v>
      </c>
    </row>
    <row r="136" customFormat="false" ht="12.75" hidden="false" customHeight="false" outlineLevel="0" collapsed="false">
      <c r="C136" s="130" t="str">
        <f aca="false">A118</f>
        <v>OCAK</v>
      </c>
      <c r="D136" s="131" t="s">
        <v>159</v>
      </c>
      <c r="E136" s="132" t="n">
        <f aca="false">H2</f>
        <v>128534.37</v>
      </c>
    </row>
    <row r="137" customFormat="false" ht="12.75" hidden="false" customHeight="false" outlineLevel="0" collapsed="false">
      <c r="D137" s="3"/>
    </row>
    <row r="138" customFormat="false" ht="12.75" hidden="false" customHeight="false" outlineLevel="0" collapsed="false">
      <c r="D138" s="18" t="s">
        <v>158</v>
      </c>
      <c r="E138" s="9" t="n">
        <f aca="false">SUM(E119:E135)</f>
        <v>813151.51</v>
      </c>
    </row>
    <row r="140" customFormat="false" ht="12.75" hidden="false" customHeight="false" outlineLevel="0" collapsed="false">
      <c r="B140" s="0" t="s">
        <v>800</v>
      </c>
    </row>
    <row r="141" customFormat="false" ht="12.75" hidden="false" customHeight="false" outlineLevel="0" collapsed="false">
      <c r="A141" s="90" t="n">
        <v>45317</v>
      </c>
      <c r="B141" s="8" t="s">
        <v>801</v>
      </c>
      <c r="C141" s="129" t="n">
        <v>12500</v>
      </c>
      <c r="D141" s="129" t="s">
        <v>802</v>
      </c>
      <c r="E141" s="129" t="n">
        <v>10000</v>
      </c>
    </row>
    <row r="142" customFormat="false" ht="12.75" hidden="false" customHeight="false" outlineLevel="0" collapsed="false">
      <c r="B142" s="0" t="s">
        <v>801</v>
      </c>
      <c r="C142" s="129" t="n">
        <v>13400</v>
      </c>
      <c r="D142" s="129" t="s">
        <v>143</v>
      </c>
      <c r="E142" s="129" t="n">
        <v>25000</v>
      </c>
    </row>
    <row r="143" customFormat="false" ht="12.75" hidden="false" customHeight="false" outlineLevel="0" collapsed="false">
      <c r="B143" s="0" t="s">
        <v>801</v>
      </c>
      <c r="C143" s="129" t="n">
        <v>13700</v>
      </c>
      <c r="D143" s="129" t="s">
        <v>803</v>
      </c>
      <c r="E143" s="129" t="n">
        <v>10400</v>
      </c>
    </row>
    <row r="144" customFormat="false" ht="12.75" hidden="false" customHeight="false" outlineLevel="0" collapsed="false">
      <c r="B144" s="0" t="s">
        <v>801</v>
      </c>
      <c r="C144" s="129" t="n">
        <v>5800</v>
      </c>
      <c r="D144" s="129" t="n">
        <f aca="false">SUM(C141:C144)</f>
        <v>45400</v>
      </c>
      <c r="E144" s="129" t="n">
        <f aca="false">SUM(E141:E143)</f>
        <v>45400</v>
      </c>
    </row>
    <row r="146" customFormat="false" ht="12.75" hidden="false" customHeight="false" outlineLevel="0" collapsed="false">
      <c r="B146" s="0" t="s">
        <v>804</v>
      </c>
      <c r="C146" s="129" t="n">
        <v>14400</v>
      </c>
    </row>
    <row r="147" customFormat="false" ht="12.75" hidden="false" customHeight="false" outlineLevel="0" collapsed="false">
      <c r="B147" s="0" t="s">
        <v>805</v>
      </c>
      <c r="C147" s="129" t="n">
        <v>2800</v>
      </c>
      <c r="D147" s="129" t="n">
        <f aca="false">SUM(C146:C147)</f>
        <v>17200</v>
      </c>
    </row>
    <row r="148" customFormat="false" ht="12.75" hidden="false" customHeight="false" outlineLevel="0" collapsed="false">
      <c r="B148" s="0" t="s">
        <v>806</v>
      </c>
      <c r="C148" s="129" t="n">
        <v>200</v>
      </c>
    </row>
    <row r="149" customFormat="false" ht="12.75" hidden="false" customHeight="false" outlineLevel="0" collapsed="false">
      <c r="C149" s="129" t="n">
        <f aca="false">SUM(C141:C148)</f>
        <v>62800</v>
      </c>
      <c r="D149" s="129" t="n">
        <f aca="false">SUM(D141:D148)</f>
        <v>62600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68A1A"/>
    <pageSetUpPr fitToPage="false"/>
  </sheetPr>
  <dimension ref="A1:N35"/>
  <sheetViews>
    <sheetView showFormulas="false" showGridLines="true" showRowColHeaders="true" showZeros="true" rightToLeft="false" tabSelected="false" showOutlineSymbols="true" defaultGridColor="true" view="normal" topLeftCell="A1" colorId="64" zoomScale="170" zoomScaleNormal="170" zoomScalePageLayoutView="100" workbookViewId="0">
      <selection pane="topLeft" activeCell="J14" activeCellId="0" sqref="J14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7.29"/>
    <col collapsed="false" customWidth="true" hidden="false" outlineLevel="0" max="2" min="2" style="0" width="12.71"/>
    <col collapsed="false" customWidth="true" hidden="false" outlineLevel="0" max="3" min="3" style="0" width="16.86"/>
    <col collapsed="false" customWidth="true" hidden="false" outlineLevel="0" max="4" min="4" style="0" width="27.43"/>
    <col collapsed="false" customWidth="true" hidden="false" outlineLevel="0" max="5" min="5" style="0" width="12.71"/>
    <col collapsed="false" customWidth="true" hidden="false" outlineLevel="0" max="6" min="6" style="0" width="15.14"/>
    <col collapsed="false" customWidth="true" hidden="false" outlineLevel="0" max="7" min="7" style="0" width="14.86"/>
    <col collapsed="false" customWidth="true" hidden="false" outlineLevel="0" max="8" min="8" style="0" width="0.86"/>
    <col collapsed="false" customWidth="true" hidden="false" outlineLevel="0" max="9" min="9" style="0" width="5.43"/>
    <col collapsed="false" customWidth="true" hidden="false" outlineLevel="0" max="10" min="10" style="0" width="7"/>
    <col collapsed="false" customWidth="true" hidden="false" outlineLevel="0" max="13" min="11" style="2" width="6.57"/>
    <col collapsed="false" customWidth="true" hidden="false" outlineLevel="0" max="14" min="14" style="80" width="7.14"/>
    <col collapsed="false" customWidth="true" hidden="false" outlineLevel="0" max="15" min="15" style="0" width="9.14"/>
  </cols>
  <sheetData>
    <row r="1" customFormat="false" ht="15" hidden="false" customHeight="false" outlineLevel="0" collapsed="false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13" t="n">
        <v>0.235384</v>
      </c>
      <c r="L1" s="214" t="n">
        <f aca="false">1-K1</f>
        <v>0.764616</v>
      </c>
      <c r="M1" s="215"/>
      <c r="N1" s="80" t="s">
        <v>27</v>
      </c>
    </row>
    <row r="2" customFormat="false" ht="15" hidden="false" customHeight="false" outlineLevel="0" collapsed="false">
      <c r="A2" s="19" t="n">
        <v>-2022</v>
      </c>
      <c r="B2" s="23" t="s">
        <v>28</v>
      </c>
      <c r="C2" s="29" t="s">
        <v>29</v>
      </c>
      <c r="D2" s="22" t="s">
        <v>30</v>
      </c>
      <c r="E2" s="23" t="s">
        <v>28</v>
      </c>
      <c r="F2" s="29" t="s">
        <v>29</v>
      </c>
      <c r="G2" s="22" t="s">
        <v>3</v>
      </c>
      <c r="H2" s="24"/>
      <c r="I2" s="25"/>
      <c r="J2" s="26" t="s">
        <v>31</v>
      </c>
      <c r="K2" s="216" t="s">
        <v>807</v>
      </c>
      <c r="L2" s="217" t="s">
        <v>808</v>
      </c>
      <c r="M2" s="32" t="s">
        <v>32</v>
      </c>
      <c r="N2" s="80" t="n">
        <f aca="false">F26/1000</f>
        <v>356.02227</v>
      </c>
    </row>
    <row r="3" customFormat="false" ht="12.75" hidden="false" customHeight="false" outlineLevel="0" collapsed="false">
      <c r="A3" s="0" t="s">
        <v>33</v>
      </c>
      <c r="B3" s="218" t="n">
        <f aca="false">01_23!D2</f>
        <v>13261</v>
      </c>
      <c r="C3" s="219" t="n">
        <f aca="false">01_23!E2</f>
        <v>-22808.31</v>
      </c>
      <c r="D3" s="220" t="n">
        <f aca="false">B3+C3</f>
        <v>-9547.31</v>
      </c>
      <c r="E3" s="218" t="n">
        <f aca="false">01_23!F2</f>
        <v>8049.2</v>
      </c>
      <c r="F3" s="219" t="n">
        <f aca="false">01_23!G2</f>
        <v>-23047.62</v>
      </c>
      <c r="G3" s="221" t="n">
        <f aca="false">E3+F3</f>
        <v>-14998.42</v>
      </c>
      <c r="H3" s="35"/>
      <c r="I3" s="36" t="s">
        <v>34</v>
      </c>
      <c r="J3" s="0" t="n">
        <v>78</v>
      </c>
      <c r="K3" s="222"/>
      <c r="L3" s="38"/>
      <c r="M3" s="39" t="n">
        <f aca="false">J3</f>
        <v>78</v>
      </c>
      <c r="N3" s="80" t="n">
        <f aca="false">01_23!E111/1000</f>
        <v>356.02227</v>
      </c>
    </row>
    <row r="4" customFormat="false" ht="12.75" hidden="false" customHeight="false" outlineLevel="0" collapsed="false">
      <c r="A4" s="0" t="s">
        <v>35</v>
      </c>
      <c r="B4" s="218" t="n">
        <f aca="false">02_23!D2</f>
        <v>15761</v>
      </c>
      <c r="C4" s="219" t="n">
        <f aca="false">02_23!E2</f>
        <v>-56286.92</v>
      </c>
      <c r="D4" s="220" t="n">
        <f aca="false">B4+C4+D3</f>
        <v>-50073.23</v>
      </c>
      <c r="E4" s="218" t="n">
        <f aca="false">02_23!F2</f>
        <v>26990.01</v>
      </c>
      <c r="F4" s="219" t="n">
        <f aca="false">02_23!G2</f>
        <v>-77441.49</v>
      </c>
      <c r="G4" s="221" t="n">
        <f aca="false">E4+F4+G3</f>
        <v>-65449.9</v>
      </c>
      <c r="H4" s="35"/>
      <c r="I4" s="36" t="s">
        <v>36</v>
      </c>
      <c r="J4" s="0" t="n">
        <v>83.16</v>
      </c>
      <c r="K4" s="222" t="n">
        <f aca="false">J4*$K$1</f>
        <v>19.57453344</v>
      </c>
      <c r="L4" s="41" t="n">
        <f aca="false">J4-K4</f>
        <v>63.58546656</v>
      </c>
      <c r="M4" s="39"/>
      <c r="N4" s="80" t="n">
        <f aca="false">02_23!E111/1000</f>
        <v>335.748</v>
      </c>
    </row>
    <row r="5" customFormat="false" ht="12.75" hidden="false" customHeight="false" outlineLevel="0" collapsed="false">
      <c r="A5" s="0" t="s">
        <v>37</v>
      </c>
      <c r="B5" s="218" t="n">
        <f aca="false">03_23!D2</f>
        <v>88189</v>
      </c>
      <c r="C5" s="219" t="n">
        <f aca="false">03_23!E2</f>
        <v>-24634.69</v>
      </c>
      <c r="D5" s="220" t="n">
        <f aca="false">B5+C5+D4</f>
        <v>13481.08</v>
      </c>
      <c r="E5" s="218" t="n">
        <f aca="false">03_23!F2</f>
        <v>23139.34</v>
      </c>
      <c r="F5" s="219" t="n">
        <f aca="false">03_23!G2</f>
        <v>-33283.54</v>
      </c>
      <c r="G5" s="221" t="n">
        <f aca="false">E5+F5+G4</f>
        <v>-75594.1</v>
      </c>
      <c r="H5" s="35"/>
      <c r="I5" s="36" t="s">
        <v>38</v>
      </c>
      <c r="J5" s="0" t="n">
        <v>33</v>
      </c>
      <c r="K5" s="222"/>
      <c r="L5" s="38"/>
      <c r="M5" s="39" t="n">
        <v>33</v>
      </c>
      <c r="N5" s="80" t="n">
        <f aca="false">03_23!E111/1000</f>
        <v>310.9323</v>
      </c>
    </row>
    <row r="6" customFormat="false" ht="12.75" hidden="false" customHeight="false" outlineLevel="0" collapsed="false">
      <c r="A6" s="0" t="s">
        <v>39</v>
      </c>
      <c r="B6" s="218" t="n">
        <f aca="false">04_23!D2</f>
        <v>20911</v>
      </c>
      <c r="C6" s="219" t="n">
        <f aca="false">04_23!E2</f>
        <v>-54277.093</v>
      </c>
      <c r="D6" s="220" t="n">
        <f aca="false">B6+C6+D5</f>
        <v>-19885.013</v>
      </c>
      <c r="E6" s="218" t="n">
        <f aca="false">04_23!F2</f>
        <v>72630</v>
      </c>
      <c r="F6" s="219" t="n">
        <f aca="false">04_23!G2</f>
        <v>-58332.79</v>
      </c>
      <c r="G6" s="221" t="n">
        <f aca="false">E6+F6+G5</f>
        <v>-61296.89</v>
      </c>
      <c r="H6" s="35"/>
      <c r="I6" s="42" t="s">
        <v>40</v>
      </c>
      <c r="K6" s="223"/>
      <c r="L6" s="38"/>
      <c r="M6" s="43" t="n">
        <f aca="false">E18/1000</f>
        <v>39.20855</v>
      </c>
      <c r="N6" s="80" t="n">
        <f aca="false">04_23!E111/1000</f>
        <v>367.48341</v>
      </c>
    </row>
    <row r="7" customFormat="false" ht="12.75" hidden="false" customHeight="false" outlineLevel="0" collapsed="false">
      <c r="A7" s="0" t="s">
        <v>41</v>
      </c>
      <c r="B7" s="218" t="n">
        <f aca="false">05_23!D2</f>
        <v>17911</v>
      </c>
      <c r="C7" s="219" t="n">
        <f aca="false">05_23!E2</f>
        <v>-20977.52</v>
      </c>
      <c r="D7" s="220" t="n">
        <f aca="false">B7+C7+D6</f>
        <v>-22951.533</v>
      </c>
      <c r="E7" s="218" t="n">
        <f aca="false">05_23!F2</f>
        <v>19800</v>
      </c>
      <c r="F7" s="219" t="n">
        <f aca="false">05_23!G2</f>
        <v>-25248.52</v>
      </c>
      <c r="G7" s="221" t="n">
        <f aca="false">E7+F7+G6</f>
        <v>-66745.41</v>
      </c>
      <c r="H7" s="35"/>
      <c r="I7" s="42" t="s">
        <v>42</v>
      </c>
      <c r="K7" s="222"/>
      <c r="L7" s="41"/>
      <c r="M7" s="43" t="n">
        <f aca="false">(E19+E20)/1000</f>
        <v>51.93253</v>
      </c>
      <c r="N7" s="80" t="n">
        <f aca="false">05_23!E111/1000</f>
        <v>358.02834</v>
      </c>
    </row>
    <row r="8" customFormat="false" ht="12.75" hidden="false" customHeight="false" outlineLevel="0" collapsed="false">
      <c r="A8" s="0" t="s">
        <v>43</v>
      </c>
      <c r="B8" s="218" t="n">
        <f aca="false">06_23!D2</f>
        <v>28744</v>
      </c>
      <c r="C8" s="219" t="n">
        <f aca="false">06_23!E2</f>
        <v>-26572.63</v>
      </c>
      <c r="D8" s="220" t="n">
        <f aca="false">B8+C8+D7</f>
        <v>-20780.163</v>
      </c>
      <c r="E8" s="218" t="n">
        <f aca="false">06_23!F2</f>
        <v>33133</v>
      </c>
      <c r="F8" s="219" t="n">
        <f aca="false">06_23!G2</f>
        <v>-28830.22</v>
      </c>
      <c r="G8" s="221" t="n">
        <f aca="false">E8+F8+G7</f>
        <v>-62442.63</v>
      </c>
      <c r="H8" s="35"/>
      <c r="I8" s="36" t="s">
        <v>44</v>
      </c>
      <c r="J8" s="0" t="n">
        <v>150</v>
      </c>
      <c r="K8" s="222"/>
      <c r="L8" s="41"/>
      <c r="M8" s="39" t="n">
        <f aca="false">J8/4</f>
        <v>37.5</v>
      </c>
      <c r="N8" s="80" t="n">
        <f aca="false">06_23!E111/1000</f>
        <v>377.42543</v>
      </c>
    </row>
    <row r="9" customFormat="false" ht="12.75" hidden="false" customHeight="false" outlineLevel="0" collapsed="false">
      <c r="A9" s="0" t="s">
        <v>45</v>
      </c>
      <c r="B9" s="218" t="n">
        <f aca="false">07_23!D2</f>
        <v>67911</v>
      </c>
      <c r="C9" s="219" t="n">
        <f aca="false">07_23!E2</f>
        <v>-35277.64</v>
      </c>
      <c r="D9" s="220" t="n">
        <f aca="false">B9+C9+D8</f>
        <v>11853.197</v>
      </c>
      <c r="E9" s="218" t="n">
        <f aca="false">07_23!F2</f>
        <v>70250</v>
      </c>
      <c r="F9" s="219" t="n">
        <f aca="false">07_23!G2</f>
        <v>-42110.31</v>
      </c>
      <c r="G9" s="221" t="n">
        <f aca="false">E9+F9+G8</f>
        <v>-34302.94</v>
      </c>
      <c r="H9" s="35"/>
      <c r="I9" s="36" t="s">
        <v>46</v>
      </c>
      <c r="J9" s="0" t="n">
        <v>96</v>
      </c>
      <c r="K9" s="222" t="n">
        <f aca="false">J9*$K$1</f>
        <v>22.596864</v>
      </c>
      <c r="L9" s="41" t="n">
        <f aca="false">J9-K9</f>
        <v>73.403136</v>
      </c>
      <c r="M9" s="44"/>
      <c r="N9" s="80" t="n">
        <f aca="false">07_23!E111/1000</f>
        <v>433.28659</v>
      </c>
    </row>
    <row r="10" customFormat="false" ht="12.75" hidden="false" customHeight="false" outlineLevel="0" collapsed="false">
      <c r="A10" s="0" t="s">
        <v>47</v>
      </c>
      <c r="B10" s="218" t="n">
        <f aca="false">08_23!D2</f>
        <v>87911</v>
      </c>
      <c r="C10" s="219" t="n">
        <f aca="false">08_23!E2</f>
        <v>-32079.01</v>
      </c>
      <c r="D10" s="220" t="n">
        <f aca="false">B10+C10+D9</f>
        <v>67685.187</v>
      </c>
      <c r="E10" s="218" t="n">
        <f aca="false">08_23!F2</f>
        <v>16800</v>
      </c>
      <c r="F10" s="219" t="n">
        <f aca="false">08_23!G2</f>
        <v>-37135.35</v>
      </c>
      <c r="G10" s="221" t="n">
        <f aca="false">E10+F10+G9</f>
        <v>-54638.29</v>
      </c>
      <c r="H10" s="35"/>
      <c r="I10" s="36" t="s">
        <v>48</v>
      </c>
      <c r="J10" s="0" t="n">
        <v>100</v>
      </c>
      <c r="K10" s="222"/>
      <c r="L10" s="41"/>
      <c r="M10" s="39" t="n">
        <v>10</v>
      </c>
      <c r="N10" s="80" t="n">
        <f aca="false">08_23!E111/1000</f>
        <v>399.80057</v>
      </c>
    </row>
    <row r="11" customFormat="false" ht="12.75" hidden="false" customHeight="false" outlineLevel="0" collapsed="false">
      <c r="A11" s="0" t="s">
        <v>49</v>
      </c>
      <c r="B11" s="218" t="n">
        <f aca="false">09_23!D2</f>
        <v>133300</v>
      </c>
      <c r="C11" s="219" t="n">
        <f aca="false">09_23!E2</f>
        <v>-31871.02</v>
      </c>
      <c r="D11" s="220" t="n">
        <f aca="false">B11+C11+D10</f>
        <v>169114.167</v>
      </c>
      <c r="E11" s="218" t="n">
        <f aca="false">09_23!F2</f>
        <v>257800</v>
      </c>
      <c r="F11" s="219" t="n">
        <f aca="false">09_23!G2</f>
        <v>-34914.91</v>
      </c>
      <c r="G11" s="221" t="n">
        <f aca="false">E11+F11+G10</f>
        <v>168246.8</v>
      </c>
      <c r="H11" s="35"/>
      <c r="I11" s="36" t="s">
        <v>50</v>
      </c>
      <c r="J11" s="0" t="n">
        <v>96</v>
      </c>
      <c r="K11" s="222" t="n">
        <f aca="false">J11*$K$1</f>
        <v>22.596864</v>
      </c>
      <c r="L11" s="41" t="n">
        <f aca="false">J11-K11</f>
        <v>73.403136</v>
      </c>
      <c r="M11" s="39"/>
      <c r="N11" s="80" t="n">
        <f aca="false">09_23!E111/1000</f>
        <v>604.3701</v>
      </c>
    </row>
    <row r="12" customFormat="false" ht="12.75" hidden="false" customHeight="false" outlineLevel="0" collapsed="false">
      <c r="A12" s="0" t="s">
        <v>51</v>
      </c>
      <c r="B12" s="218" t="n">
        <f aca="false">10_23!D2</f>
        <v>32800</v>
      </c>
      <c r="C12" s="219" t="n">
        <f aca="false">10_23!E2</f>
        <v>-44478.17</v>
      </c>
      <c r="D12" s="220" t="n">
        <f aca="false">B12+C12+D11</f>
        <v>157435.997</v>
      </c>
      <c r="E12" s="218" t="n">
        <f aca="false">10_23!F2</f>
        <v>23200</v>
      </c>
      <c r="F12" s="219" t="n">
        <f aca="false">10_23!G2</f>
        <v>-43968.17</v>
      </c>
      <c r="G12" s="221" t="n">
        <f aca="false">E12+F12+G11</f>
        <v>147478.63</v>
      </c>
      <c r="H12" s="35"/>
      <c r="I12" s="36" t="s">
        <v>52</v>
      </c>
      <c r="J12" s="0" t="n">
        <v>84</v>
      </c>
      <c r="K12" s="222" t="n">
        <f aca="false">J12*$K$1</f>
        <v>19.772256</v>
      </c>
      <c r="L12" s="41" t="n">
        <f aca="false">J12-K12</f>
        <v>64.227744</v>
      </c>
      <c r="M12" s="39"/>
      <c r="N12" s="80" t="n">
        <f aca="false">10_23!E111/1000</f>
        <v>610.64973</v>
      </c>
    </row>
    <row r="13" customFormat="false" ht="12.75" hidden="false" customHeight="false" outlineLevel="0" collapsed="false">
      <c r="A13" s="0" t="s">
        <v>53</v>
      </c>
      <c r="B13" s="218" t="n">
        <f aca="false">11_23!D2</f>
        <v>262800</v>
      </c>
      <c r="C13" s="219" t="n">
        <f aca="false">11_23!E2</f>
        <v>-98843.11</v>
      </c>
      <c r="D13" s="220" t="n">
        <f aca="false">B13+C13+D12</f>
        <v>321392.887</v>
      </c>
      <c r="E13" s="218" t="n">
        <f aca="false">11_23!F2</f>
        <v>177687.06</v>
      </c>
      <c r="F13" s="219" t="n">
        <f aca="false">11_23!G2</f>
        <v>-242504.11</v>
      </c>
      <c r="G13" s="221" t="n">
        <f aca="false">E13+F13+G12</f>
        <v>82661.58</v>
      </c>
      <c r="H13" s="35"/>
      <c r="I13" s="36" t="s">
        <v>54</v>
      </c>
      <c r="J13" s="0" t="n">
        <v>135</v>
      </c>
      <c r="K13" s="222" t="n">
        <f aca="false">J13*$K$1</f>
        <v>31.77684</v>
      </c>
      <c r="L13" s="41" t="n">
        <f aca="false">J13-K13</f>
        <v>103.22316</v>
      </c>
      <c r="M13" s="44"/>
      <c r="N13" s="80" t="n">
        <f aca="false">11_23!E111/1000</f>
        <v>709.393085</v>
      </c>
    </row>
    <row r="14" customFormat="false" ht="12.75" hidden="false" customHeight="false" outlineLevel="0" collapsed="false">
      <c r="A14" s="0" t="s">
        <v>55</v>
      </c>
      <c r="B14" s="218" t="n">
        <f aca="false">12_23!D2</f>
        <v>22800</v>
      </c>
      <c r="C14" s="219" t="n">
        <f aca="false">12_23!E2</f>
        <v>-38101.83</v>
      </c>
      <c r="D14" s="220" t="n">
        <f aca="false">B14+C14+D13</f>
        <v>306091.057</v>
      </c>
      <c r="E14" s="218" t="n">
        <f aca="false">12_23!F2</f>
        <v>16232.53</v>
      </c>
      <c r="F14" s="219" t="n">
        <f aca="false">12_23!G2</f>
        <v>-41854.23</v>
      </c>
      <c r="G14" s="221" t="n">
        <f aca="false">E14+F14+G13</f>
        <v>57039.88</v>
      </c>
      <c r="H14" s="35"/>
      <c r="I14" s="36" t="s">
        <v>56</v>
      </c>
      <c r="K14" s="222" t="n">
        <f aca="false">J14*$K$1</f>
        <v>0</v>
      </c>
      <c r="L14" s="41" t="n">
        <f aca="false">J14-K14</f>
        <v>0</v>
      </c>
      <c r="M14" s="44"/>
      <c r="N14" s="80" t="n">
        <f aca="false">12_23!E113/1000</f>
        <v>218.088</v>
      </c>
    </row>
    <row r="15" customFormat="false" ht="12.75" hidden="false" customHeight="false" outlineLevel="0" collapsed="false">
      <c r="A15" s="47" t="s">
        <v>57</v>
      </c>
      <c r="B15" s="224" t="n">
        <f aca="false">SUM(B3:B14)</f>
        <v>792299</v>
      </c>
      <c r="C15" s="225" t="n">
        <f aca="false">SUM(C3:C14)</f>
        <v>-486207.943</v>
      </c>
      <c r="D15" s="226" t="n">
        <f aca="false">B15+C15</f>
        <v>306091.057</v>
      </c>
      <c r="E15" s="224" t="n">
        <f aca="false">SUM(E3:E14)</f>
        <v>745711.14</v>
      </c>
      <c r="F15" s="225" t="n">
        <f aca="false">SUM(F3:F14)</f>
        <v>-688671.26</v>
      </c>
      <c r="G15" s="226" t="n">
        <f aca="false">E15+F15</f>
        <v>57039.88</v>
      </c>
      <c r="H15" s="35"/>
      <c r="I15" s="227"/>
      <c r="J15" s="227" t="n">
        <f aca="false">SUM(J3:J14)</f>
        <v>855.16</v>
      </c>
      <c r="K15" s="228" t="n">
        <f aca="false">SUM(K4:K14)</f>
        <v>116.31735744</v>
      </c>
      <c r="L15" s="52" t="n">
        <f aca="false">SUM(L4:L14)</f>
        <v>377.84264256</v>
      </c>
      <c r="M15" s="53" t="n">
        <f aca="false">SUM(M3:M10)</f>
        <v>249.64108</v>
      </c>
    </row>
    <row r="16" customFormat="false" ht="12.75" hidden="false" customHeight="false" outlineLevel="0" collapsed="false">
      <c r="A16" s="54" t="n">
        <v>12</v>
      </c>
      <c r="B16" s="55" t="n">
        <f aca="false">B15/A16</f>
        <v>66024.9166666667</v>
      </c>
      <c r="C16" s="56" t="n">
        <f aca="false">C15/A16</f>
        <v>-40517.3285833333</v>
      </c>
      <c r="D16" s="56"/>
      <c r="E16" s="56" t="n">
        <f aca="false">E15/A16</f>
        <v>62142.595</v>
      </c>
      <c r="F16" s="56" t="n">
        <f aca="false">F15/A16</f>
        <v>-57389.2716666667</v>
      </c>
      <c r="G16" s="56" t="n">
        <f aca="false">G15/A16</f>
        <v>4753.32333333333</v>
      </c>
      <c r="H16" s="57"/>
      <c r="I16" s="229"/>
      <c r="J16" s="56" t="n">
        <f aca="false">J15/12</f>
        <v>71.2633333333333</v>
      </c>
      <c r="K16" s="230" t="n">
        <f aca="false">K15/12</f>
        <v>9.69311312</v>
      </c>
      <c r="L16" s="231" t="n">
        <f aca="false">L15/12</f>
        <v>31.48688688</v>
      </c>
      <c r="M16" s="232" t="n">
        <f aca="false">M15/12</f>
        <v>20.8034233333333</v>
      </c>
      <c r="N16" s="233" t="n">
        <f aca="false">AVERAGE(N2:N15)</f>
        <v>418.250007307692</v>
      </c>
    </row>
    <row r="17" customFormat="false" ht="12.75" hidden="false" customHeight="false" outlineLevel="0" collapsed="false">
      <c r="C17" s="2"/>
      <c r="D17" s="2"/>
      <c r="G17" s="64"/>
      <c r="H17" s="64"/>
      <c r="I17" s="36"/>
      <c r="L17" s="234" t="s">
        <v>809</v>
      </c>
      <c r="M17" s="235" t="n">
        <f aca="false">L15+M15</f>
        <v>627.48372256</v>
      </c>
    </row>
    <row r="18" customFormat="false" ht="13.8" hidden="false" customHeight="false" outlineLevel="0" collapsed="false">
      <c r="D18" s="66" t="s">
        <v>58</v>
      </c>
      <c r="E18" s="2" t="n">
        <f aca="false">01_23!F20+02_23!F21+03_23!F20+04_23!F20+05_23!F19+06_23!F21</f>
        <v>39208.55</v>
      </c>
      <c r="F18" s="0" t="n">
        <v>5589</v>
      </c>
      <c r="G18" s="75" t="n">
        <v>25</v>
      </c>
      <c r="J18" s="36"/>
      <c r="L18" s="236" t="s">
        <v>810</v>
      </c>
      <c r="M18" s="68" t="n">
        <f aca="false">M17/12</f>
        <v>52.2903102133333</v>
      </c>
    </row>
    <row r="19" customFormat="false" ht="13.8" hidden="false" customHeight="false" outlineLevel="0" collapsed="false">
      <c r="C19" s="69"/>
      <c r="D19" s="70" t="s">
        <v>60</v>
      </c>
      <c r="E19" s="71" t="n">
        <f aca="false">07_23!F26+08_23!F22+09_23!F21+10_23!F23+11_23!F21+12_23!F28</f>
        <v>44932.53</v>
      </c>
      <c r="F19" s="8" t="n">
        <f aca="false">F18*G18/100</f>
        <v>1397.25</v>
      </c>
      <c r="G19" s="75" t="s">
        <v>811</v>
      </c>
    </row>
    <row r="20" customFormat="false" ht="13.8" hidden="false" customHeight="false" outlineLevel="0" collapsed="false">
      <c r="C20" s="69"/>
      <c r="D20" s="70" t="s">
        <v>812</v>
      </c>
      <c r="E20" s="71" t="n">
        <v>7000</v>
      </c>
      <c r="G20" s="75"/>
    </row>
    <row r="21" customFormat="false" ht="13.8" hidden="false" customHeight="false" outlineLevel="0" collapsed="false">
      <c r="D21" s="18" t="s">
        <v>61</v>
      </c>
      <c r="E21" s="17" t="n">
        <f aca="false">SUM(E18:E20)</f>
        <v>91141.08</v>
      </c>
      <c r="F21" s="77" t="n">
        <f aca="false">SUM(F18:F19)</f>
        <v>6986.25</v>
      </c>
      <c r="G21" s="77" t="s">
        <v>813</v>
      </c>
    </row>
    <row r="26" customFormat="false" ht="12.75" hidden="false" customHeight="false" outlineLevel="0" collapsed="false">
      <c r="B26" s="105"/>
      <c r="C26" s="106" t="s">
        <v>814</v>
      </c>
      <c r="D26" s="105"/>
      <c r="E26" s="163"/>
      <c r="F26" s="164" t="n">
        <f aca="false">SUM(F27:F65)</f>
        <v>356022.27</v>
      </c>
    </row>
    <row r="27" customFormat="false" ht="12.75" hidden="false" customHeight="false" outlineLevel="0" collapsed="false">
      <c r="B27" s="102" t="n">
        <v>45291</v>
      </c>
      <c r="C27" s="8" t="s">
        <v>77</v>
      </c>
      <c r="F27" s="0" t="n">
        <v>32000</v>
      </c>
    </row>
    <row r="28" customFormat="false" ht="12.75" hidden="false" customHeight="false" outlineLevel="0" collapsed="false">
      <c r="B28" s="102" t="n">
        <v>45291</v>
      </c>
      <c r="C28" s="8" t="s">
        <v>78</v>
      </c>
      <c r="F28" s="0" t="n">
        <v>40000</v>
      </c>
    </row>
    <row r="29" customFormat="false" ht="12.75" hidden="false" customHeight="false" outlineLevel="0" collapsed="false">
      <c r="B29" s="102" t="n">
        <v>45291</v>
      </c>
      <c r="C29" s="8" t="s">
        <v>309</v>
      </c>
      <c r="F29" s="0" t="n">
        <v>40162.18</v>
      </c>
    </row>
    <row r="30" customFormat="false" ht="12.75" hidden="false" customHeight="false" outlineLevel="0" collapsed="false">
      <c r="B30" s="102" t="n">
        <v>45291</v>
      </c>
      <c r="C30" s="8" t="s">
        <v>310</v>
      </c>
      <c r="F30" s="0" t="n">
        <v>44912.09</v>
      </c>
    </row>
    <row r="31" customFormat="false" ht="12.75" hidden="false" customHeight="false" outlineLevel="0" collapsed="false">
      <c r="B31" s="102" t="n">
        <v>45291</v>
      </c>
      <c r="C31" s="8" t="s">
        <v>815</v>
      </c>
      <c r="D31" s="0" t="n">
        <v>1093</v>
      </c>
      <c r="E31" s="0" t="n">
        <v>111</v>
      </c>
      <c r="F31" s="8" t="n">
        <f aca="false">E31*D31</f>
        <v>121323</v>
      </c>
    </row>
    <row r="32" customFormat="false" ht="12.75" hidden="false" customHeight="false" outlineLevel="0" collapsed="false">
      <c r="B32" s="102" t="n">
        <v>45291</v>
      </c>
      <c r="C32" s="8" t="s">
        <v>816</v>
      </c>
      <c r="D32" s="0" t="n">
        <v>18.5</v>
      </c>
      <c r="E32" s="0" t="n">
        <v>850</v>
      </c>
      <c r="F32" s="8" t="n">
        <f aca="false">E32*D32</f>
        <v>15725</v>
      </c>
    </row>
    <row r="33" customFormat="false" ht="12.75" hidden="false" customHeight="false" outlineLevel="0" collapsed="false">
      <c r="B33" s="102" t="n">
        <v>45291</v>
      </c>
      <c r="C33" s="8" t="s">
        <v>817</v>
      </c>
      <c r="D33" s="0" t="n">
        <v>19</v>
      </c>
      <c r="E33" s="0" t="n">
        <v>100</v>
      </c>
      <c r="F33" s="8" t="n">
        <f aca="false">E33*D33</f>
        <v>1900</v>
      </c>
    </row>
    <row r="34" customFormat="false" ht="12.75" hidden="false" customHeight="false" outlineLevel="0" collapsed="false">
      <c r="B34" s="102" t="n">
        <v>45291</v>
      </c>
      <c r="C34" s="8" t="s">
        <v>818</v>
      </c>
      <c r="F34" s="0" t="n">
        <v>60000</v>
      </c>
    </row>
    <row r="35" customFormat="false" ht="12.75" hidden="false" customHeight="false" outlineLevel="0" collapsed="false">
      <c r="F35" s="64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62"/>
  <sheetViews>
    <sheetView showFormulas="false" showGridLines="true" showRowColHeaders="true" showZeros="true" rightToLeft="false" tabSelected="false" showOutlineSymbols="true" defaultGridColor="true" view="normal" topLeftCell="A26" colorId="64" zoomScale="170" zoomScaleNormal="170" zoomScalePageLayoutView="100" workbookViewId="0">
      <selection pane="topLeft" activeCell="E58" activeCellId="0" sqref="E58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1" width="12.29"/>
    <col collapsed="false" customWidth="true" hidden="false" outlineLevel="0" max="3" min="3" style="0" width="31.29"/>
    <col collapsed="false" customWidth="true" hidden="false" outlineLevel="0" max="4" min="4" style="0" width="10.57"/>
    <col collapsed="false" customWidth="true" hidden="false" outlineLevel="0" max="7" min="5" style="2" width="12.29"/>
    <col collapsed="false" customWidth="true" hidden="false" outlineLevel="0" max="8" min="8" style="0" width="9.14"/>
  </cols>
  <sheetData>
    <row r="1" customFormat="false" ht="27.75" hidden="false" customHeight="true" outlineLevel="0" collapsed="false">
      <c r="D1" s="237" t="s">
        <v>0</v>
      </c>
      <c r="F1" s="4" t="s">
        <v>819</v>
      </c>
      <c r="G1" s="4" t="s">
        <v>3</v>
      </c>
    </row>
    <row r="2" customFormat="false" ht="12.75" hidden="false" customHeight="false" outlineLevel="0" collapsed="false">
      <c r="F2" s="7" t="s">
        <v>132</v>
      </c>
    </row>
    <row r="3" customFormat="false" ht="12.75" hidden="false" customHeight="false" outlineLevel="0" collapsed="false">
      <c r="B3" s="1" t="n">
        <v>44873</v>
      </c>
      <c r="C3" s="8" t="s">
        <v>820</v>
      </c>
      <c r="E3" s="2" t="n">
        <v>1250</v>
      </c>
      <c r="G3" s="2" t="n">
        <f aca="false">G2+E3-F3</f>
        <v>1250</v>
      </c>
    </row>
    <row r="4" customFormat="false" ht="12.75" hidden="false" customHeight="false" outlineLevel="0" collapsed="false">
      <c r="B4" s="1" t="n">
        <v>44888</v>
      </c>
      <c r="C4" s="3" t="s">
        <v>2</v>
      </c>
      <c r="D4" s="3"/>
      <c r="F4" s="17" t="n">
        <v>2250</v>
      </c>
      <c r="G4" s="2" t="n">
        <f aca="false">G3+E4-F4</f>
        <v>-1000</v>
      </c>
    </row>
    <row r="5" customFormat="false" ht="12.75" hidden="false" customHeight="false" outlineLevel="0" collapsed="false">
      <c r="B5" s="1" t="n">
        <v>44873</v>
      </c>
      <c r="C5" s="8" t="s">
        <v>821</v>
      </c>
      <c r="F5" s="17"/>
      <c r="G5" s="2" t="n">
        <f aca="false">G4+E5-F5</f>
        <v>-1000</v>
      </c>
    </row>
    <row r="6" customFormat="false" ht="12.75" hidden="false" customHeight="false" outlineLevel="0" collapsed="false">
      <c r="B6" s="1" t="n">
        <v>44873</v>
      </c>
      <c r="C6" s="8" t="s">
        <v>822</v>
      </c>
      <c r="E6" s="2" t="n">
        <v>1111.11</v>
      </c>
      <c r="F6" s="17"/>
      <c r="G6" s="2" t="n">
        <f aca="false">G5+E6-F6</f>
        <v>111.11</v>
      </c>
    </row>
    <row r="7" customFormat="false" ht="12.75" hidden="false" customHeight="false" outlineLevel="0" collapsed="false">
      <c r="B7" s="1" t="n">
        <v>44888</v>
      </c>
      <c r="C7" s="3" t="s">
        <v>2</v>
      </c>
      <c r="D7" s="3"/>
      <c r="F7" s="17" t="n">
        <v>150</v>
      </c>
      <c r="G7" s="2" t="n">
        <f aca="false">G6+E7-F7</f>
        <v>-38.8900000000001</v>
      </c>
    </row>
    <row r="8" customFormat="false" ht="12.75" hidden="false" customHeight="false" outlineLevel="0" collapsed="false">
      <c r="B8" s="1" t="n">
        <v>44903</v>
      </c>
      <c r="C8" s="8" t="s">
        <v>823</v>
      </c>
      <c r="E8" s="2" t="n">
        <v>1111.11</v>
      </c>
      <c r="F8" s="17"/>
      <c r="G8" s="2" t="n">
        <f aca="false">G7+E8-F8</f>
        <v>1072.22</v>
      </c>
    </row>
    <row r="9" customFormat="false" ht="12.75" hidden="false" customHeight="false" outlineLevel="0" collapsed="false">
      <c r="B9" s="1" t="n">
        <v>44914</v>
      </c>
      <c r="C9" s="3" t="s">
        <v>2</v>
      </c>
      <c r="D9" s="3"/>
      <c r="F9" s="17" t="n">
        <v>2500</v>
      </c>
      <c r="G9" s="2" t="n">
        <f aca="false">G8+E9-F9</f>
        <v>-1427.78</v>
      </c>
    </row>
    <row r="10" customFormat="false" ht="12.75" hidden="false" customHeight="false" outlineLevel="0" collapsed="false">
      <c r="B10" s="1" t="n">
        <v>44934</v>
      </c>
      <c r="C10" s="8" t="s">
        <v>824</v>
      </c>
      <c r="E10" s="2" t="n">
        <v>1111.11</v>
      </c>
      <c r="F10" s="17"/>
      <c r="G10" s="2" t="n">
        <f aca="false">G9+E10-F10</f>
        <v>-316.67</v>
      </c>
    </row>
    <row r="11" customFormat="false" ht="12.75" hidden="false" customHeight="false" outlineLevel="0" collapsed="false">
      <c r="B11" s="1" t="n">
        <v>44941</v>
      </c>
      <c r="C11" s="3" t="s">
        <v>825</v>
      </c>
      <c r="D11" s="3"/>
      <c r="F11" s="17" t="n">
        <v>1500</v>
      </c>
      <c r="G11" s="2" t="n">
        <f aca="false">G10+E11-F11</f>
        <v>-1816.67</v>
      </c>
    </row>
    <row r="12" customFormat="false" ht="12.75" hidden="false" customHeight="false" outlineLevel="0" collapsed="false">
      <c r="B12" s="1" t="n">
        <v>44957</v>
      </c>
      <c r="C12" s="8" t="s">
        <v>826</v>
      </c>
      <c r="E12" s="2" t="n">
        <v>225.4</v>
      </c>
      <c r="F12" s="17"/>
      <c r="G12" s="2" t="n">
        <f aca="false">G11+E12-F12</f>
        <v>-1591.27</v>
      </c>
    </row>
    <row r="13" customFormat="false" ht="12.75" hidden="false" customHeight="false" outlineLevel="0" collapsed="false">
      <c r="B13" s="1" t="n">
        <v>44957</v>
      </c>
      <c r="C13" s="8" t="s">
        <v>826</v>
      </c>
      <c r="E13" s="2" t="n">
        <v>225.4</v>
      </c>
      <c r="F13" s="17"/>
      <c r="G13" s="2" t="n">
        <f aca="false">G12+E13-F13</f>
        <v>-1365.87</v>
      </c>
    </row>
    <row r="14" customFormat="false" ht="12.75" hidden="false" customHeight="false" outlineLevel="0" collapsed="false">
      <c r="B14" s="1" t="n">
        <v>44957</v>
      </c>
      <c r="C14" s="8" t="s">
        <v>827</v>
      </c>
      <c r="E14" s="2" t="n">
        <v>437.97</v>
      </c>
      <c r="F14" s="17"/>
      <c r="G14" s="2" t="n">
        <f aca="false">G13+E14-F14</f>
        <v>-927.9</v>
      </c>
    </row>
    <row r="15" customFormat="false" ht="12.75" hidden="false" customHeight="false" outlineLevel="0" collapsed="false">
      <c r="B15" s="1" t="n">
        <v>44957</v>
      </c>
      <c r="C15" s="8" t="s">
        <v>828</v>
      </c>
      <c r="E15" s="2" t="n">
        <v>404.23</v>
      </c>
      <c r="F15" s="17"/>
      <c r="G15" s="2" t="n">
        <f aca="false">G14+E15-F15</f>
        <v>-523.67</v>
      </c>
    </row>
    <row r="16" customFormat="false" ht="12.75" hidden="false" customHeight="false" outlineLevel="0" collapsed="false">
      <c r="B16" s="1" t="n">
        <v>44957</v>
      </c>
      <c r="C16" s="8" t="s">
        <v>829</v>
      </c>
      <c r="E16" s="2" t="n">
        <v>1135</v>
      </c>
      <c r="F16" s="17"/>
      <c r="G16" s="2" t="n">
        <f aca="false">G15+E16-F16</f>
        <v>611.33</v>
      </c>
    </row>
    <row r="17" customFormat="false" ht="12.75" hidden="false" customHeight="false" outlineLevel="0" collapsed="false">
      <c r="B17" s="1" t="n">
        <v>44965</v>
      </c>
      <c r="C17" s="8" t="s">
        <v>830</v>
      </c>
      <c r="E17" s="2" t="n">
        <v>1111.11</v>
      </c>
      <c r="F17" s="17"/>
      <c r="G17" s="2" t="n">
        <f aca="false">G16+E17-F17</f>
        <v>1722.44</v>
      </c>
    </row>
    <row r="18" customFormat="false" ht="12.75" hidden="false" customHeight="false" outlineLevel="0" collapsed="false">
      <c r="B18" s="1" t="n">
        <v>44981</v>
      </c>
      <c r="C18" s="3" t="s">
        <v>677</v>
      </c>
      <c r="D18" s="3"/>
      <c r="F18" s="17" t="n">
        <v>2000</v>
      </c>
      <c r="G18" s="2" t="n">
        <f aca="false">G17+E18-F18</f>
        <v>-277.56</v>
      </c>
    </row>
    <row r="19" customFormat="false" ht="12.75" hidden="false" customHeight="false" outlineLevel="0" collapsed="false">
      <c r="B19" s="1" t="n">
        <v>44993</v>
      </c>
      <c r="C19" s="8" t="s">
        <v>831</v>
      </c>
      <c r="E19" s="2" t="n">
        <v>1111.11</v>
      </c>
      <c r="F19" s="17"/>
      <c r="G19" s="2" t="n">
        <f aca="false">G18+E19-F19</f>
        <v>833.55</v>
      </c>
    </row>
    <row r="20" customFormat="false" ht="12.75" hidden="false" customHeight="false" outlineLevel="0" collapsed="false">
      <c r="B20" s="1" t="n">
        <v>45024</v>
      </c>
      <c r="C20" s="8" t="s">
        <v>832</v>
      </c>
      <c r="E20" s="2" t="n">
        <v>1111.11</v>
      </c>
      <c r="F20" s="17"/>
      <c r="G20" s="2" t="n">
        <f aca="false">G19+E20-F20</f>
        <v>1944.66</v>
      </c>
    </row>
    <row r="21" customFormat="false" ht="12.75" hidden="false" customHeight="false" outlineLevel="0" collapsed="false">
      <c r="B21" s="1" t="n">
        <v>45031</v>
      </c>
      <c r="C21" s="3" t="s">
        <v>677</v>
      </c>
      <c r="D21" s="3"/>
      <c r="F21" s="17" t="n">
        <v>6000</v>
      </c>
      <c r="G21" s="2" t="n">
        <f aca="false">G20+E21-F21</f>
        <v>-4055.34</v>
      </c>
    </row>
    <row r="22" customFormat="false" ht="12.75" hidden="false" customHeight="false" outlineLevel="0" collapsed="false">
      <c r="B22" s="1" t="n">
        <v>45054</v>
      </c>
      <c r="C22" s="8" t="s">
        <v>833</v>
      </c>
      <c r="E22" s="2" t="n">
        <v>1111.11</v>
      </c>
      <c r="F22" s="17"/>
      <c r="G22" s="2" t="n">
        <f aca="false">G21+E22-F22</f>
        <v>-2944.23</v>
      </c>
    </row>
    <row r="23" customFormat="false" ht="12.75" hidden="false" customHeight="false" outlineLevel="0" collapsed="false">
      <c r="B23" s="1" t="n">
        <v>45085</v>
      </c>
      <c r="C23" s="8" t="s">
        <v>834</v>
      </c>
      <c r="E23" s="2" t="n">
        <v>1111.11</v>
      </c>
      <c r="F23" s="17"/>
      <c r="G23" s="2" t="n">
        <f aca="false">G22+E23-F23</f>
        <v>-1833.12</v>
      </c>
    </row>
    <row r="24" customFormat="false" ht="12.75" hidden="false" customHeight="false" outlineLevel="0" collapsed="false">
      <c r="B24" s="1" t="n">
        <v>45115</v>
      </c>
      <c r="C24" s="8" t="s">
        <v>835</v>
      </c>
      <c r="E24" s="2" t="n">
        <v>1111.12</v>
      </c>
      <c r="F24" s="17"/>
      <c r="G24" s="2" t="n">
        <f aca="false">G23+E24-F24</f>
        <v>-722.000000000001</v>
      </c>
    </row>
    <row r="25" customFormat="false" ht="12.75" hidden="false" customHeight="false" outlineLevel="0" collapsed="false">
      <c r="B25" s="1" t="n">
        <v>45000</v>
      </c>
      <c r="C25" s="8" t="s">
        <v>836</v>
      </c>
      <c r="E25" s="2" t="n">
        <v>2258</v>
      </c>
      <c r="F25" s="17"/>
      <c r="G25" s="2" t="n">
        <f aca="false">G24+E25-F25</f>
        <v>1536</v>
      </c>
    </row>
    <row r="26" customFormat="false" ht="12.75" hidden="false" customHeight="false" outlineLevel="0" collapsed="false">
      <c r="C26" s="8" t="s">
        <v>837</v>
      </c>
      <c r="E26" s="2" t="n">
        <v>613</v>
      </c>
      <c r="F26" s="4"/>
      <c r="G26" s="2" t="n">
        <f aca="false">G25+E26-F26</f>
        <v>2149</v>
      </c>
    </row>
    <row r="27" customFormat="false" ht="12.75" hidden="false" customHeight="false" outlineLevel="0" collapsed="false">
      <c r="C27" s="8" t="s">
        <v>838</v>
      </c>
      <c r="E27" s="2" t="n">
        <v>720</v>
      </c>
      <c r="F27" s="4"/>
      <c r="G27" s="2" t="n">
        <f aca="false">G26+E27-F27</f>
        <v>2869</v>
      </c>
    </row>
    <row r="28" customFormat="false" ht="12.75" hidden="false" customHeight="false" outlineLevel="0" collapsed="false">
      <c r="C28" s="8" t="s">
        <v>839</v>
      </c>
      <c r="F28" s="4" t="n">
        <v>1036</v>
      </c>
      <c r="G28" s="2" t="n">
        <f aca="false">G27+E28-F28</f>
        <v>1833</v>
      </c>
    </row>
    <row r="29" customFormat="false" ht="12.75" hidden="false" customHeight="false" outlineLevel="0" collapsed="false">
      <c r="B29" s="1" t="n">
        <v>45112</v>
      </c>
      <c r="C29" s="8" t="s">
        <v>840</v>
      </c>
      <c r="F29" s="4" t="n">
        <v>500</v>
      </c>
      <c r="G29" s="2" t="n">
        <f aca="false">G28+E29-F29</f>
        <v>1333</v>
      </c>
    </row>
    <row r="30" customFormat="false" ht="12.75" hidden="false" customHeight="false" outlineLevel="0" collapsed="false">
      <c r="B30" s="1" t="n">
        <v>45114</v>
      </c>
      <c r="C30" s="8" t="s">
        <v>841</v>
      </c>
      <c r="E30" s="2" t="n">
        <v>2650</v>
      </c>
      <c r="F30" s="4"/>
      <c r="G30" s="2" t="n">
        <f aca="false">G29+E30-F30</f>
        <v>3983</v>
      </c>
    </row>
    <row r="31" customFormat="false" ht="12.75" hidden="false" customHeight="false" outlineLevel="0" collapsed="false">
      <c r="C31" s="8" t="s">
        <v>842</v>
      </c>
      <c r="E31" s="2" t="n">
        <v>1356</v>
      </c>
      <c r="F31" s="4"/>
      <c r="G31" s="2" t="n">
        <f aca="false">G30+E31-F31</f>
        <v>5339</v>
      </c>
    </row>
    <row r="32" customFormat="false" ht="12.75" hidden="false" customHeight="false" outlineLevel="0" collapsed="false">
      <c r="C32" s="8" t="s">
        <v>842</v>
      </c>
      <c r="E32" s="2" t="n">
        <v>869</v>
      </c>
      <c r="F32" s="4"/>
      <c r="G32" s="2" t="n">
        <f aca="false">G31+E32-F32</f>
        <v>6208</v>
      </c>
    </row>
    <row r="33" customFormat="false" ht="12.75" hidden="false" customHeight="false" outlineLevel="0" collapsed="false">
      <c r="C33" s="8" t="s">
        <v>843</v>
      </c>
      <c r="D33" s="0" t="n">
        <v>1120</v>
      </c>
      <c r="F33" s="4"/>
      <c r="G33" s="2" t="n">
        <f aca="false">G32+E33-F33</f>
        <v>6208</v>
      </c>
    </row>
    <row r="34" customFormat="false" ht="12.75" hidden="false" customHeight="false" outlineLevel="0" collapsed="false">
      <c r="B34" s="1" t="n">
        <v>45122</v>
      </c>
      <c r="C34" s="8" t="s">
        <v>844</v>
      </c>
      <c r="F34" s="4" t="n">
        <v>3450</v>
      </c>
      <c r="G34" s="2" t="n">
        <f aca="false">G33+E34-F34</f>
        <v>2758</v>
      </c>
    </row>
    <row r="35" customFormat="false" ht="12.75" hidden="false" customHeight="false" outlineLevel="0" collapsed="false">
      <c r="C35" s="8" t="s">
        <v>845</v>
      </c>
      <c r="E35" s="2" t="n">
        <v>1750</v>
      </c>
      <c r="F35" s="17"/>
      <c r="G35" s="2" t="n">
        <f aca="false">G34+E35-F35</f>
        <v>4508</v>
      </c>
    </row>
    <row r="36" customFormat="false" ht="12.75" hidden="false" customHeight="false" outlineLevel="0" collapsed="false">
      <c r="B36" s="1" t="n">
        <v>45149</v>
      </c>
      <c r="C36" s="8" t="s">
        <v>846</v>
      </c>
      <c r="F36" s="17" t="n">
        <v>3450</v>
      </c>
      <c r="G36" s="2" t="n">
        <f aca="false">G35+E36-F36</f>
        <v>1058</v>
      </c>
    </row>
    <row r="37" customFormat="false" ht="12.75" hidden="false" customHeight="false" outlineLevel="0" collapsed="false">
      <c r="F37" s="17"/>
      <c r="G37" s="2" t="n">
        <f aca="false">G36+E37-F37</f>
        <v>1058</v>
      </c>
    </row>
    <row r="38" customFormat="false" ht="12.75" hidden="false" customHeight="false" outlineLevel="0" collapsed="false">
      <c r="F38" s="17"/>
    </row>
    <row r="39" customFormat="false" ht="15" hidden="false" customHeight="false" outlineLevel="0" collapsed="false">
      <c r="B39" s="238" t="n">
        <v>45168</v>
      </c>
      <c r="D39" s="18" t="s">
        <v>847</v>
      </c>
      <c r="E39" s="2" t="n">
        <f aca="false">SUM(E3:E37)</f>
        <v>23894</v>
      </c>
      <c r="F39" s="17" t="n">
        <f aca="false">SUM(F3:F37)</f>
        <v>22836</v>
      </c>
      <c r="G39" s="239" t="n">
        <f aca="false">E39-F39</f>
        <v>1058</v>
      </c>
    </row>
    <row r="41" customFormat="false" ht="12.75" hidden="false" customHeight="false" outlineLevel="0" collapsed="false">
      <c r="B41" s="1" t="n">
        <v>45179</v>
      </c>
      <c r="C41" s="8" t="s">
        <v>848</v>
      </c>
      <c r="E41" s="2" t="n">
        <v>3450</v>
      </c>
      <c r="G41" s="2" t="n">
        <f aca="false">G39+E41-F41</f>
        <v>4508</v>
      </c>
    </row>
    <row r="42" customFormat="false" ht="12.75" hidden="false" customHeight="false" outlineLevel="0" collapsed="false">
      <c r="B42" s="1" t="n">
        <v>45184</v>
      </c>
      <c r="C42" s="8" t="s">
        <v>849</v>
      </c>
      <c r="E42" s="2" t="n">
        <v>3300</v>
      </c>
      <c r="G42" s="2" t="n">
        <f aca="false">G41+E42-F42</f>
        <v>7808</v>
      </c>
    </row>
    <row r="43" customFormat="false" ht="12.75" hidden="false" customHeight="false" outlineLevel="0" collapsed="false">
      <c r="B43" s="1" t="n">
        <v>45184</v>
      </c>
      <c r="C43" s="8" t="s">
        <v>850</v>
      </c>
      <c r="F43" s="17" t="n">
        <v>3450</v>
      </c>
      <c r="G43" s="2" t="n">
        <f aca="false">G42+E43-F43</f>
        <v>4358</v>
      </c>
    </row>
    <row r="44" customFormat="false" ht="12.75" hidden="false" customHeight="false" outlineLevel="0" collapsed="false">
      <c r="B44" s="1" t="n">
        <v>45192</v>
      </c>
      <c r="C44" s="8" t="s">
        <v>851</v>
      </c>
      <c r="D44" s="0" t="n">
        <v>450</v>
      </c>
      <c r="G44" s="2" t="n">
        <f aca="false">G43+E44-F44</f>
        <v>4358</v>
      </c>
    </row>
    <row r="45" customFormat="false" ht="12.75" hidden="false" customHeight="false" outlineLevel="0" collapsed="false">
      <c r="B45" s="1" t="n">
        <v>45192</v>
      </c>
      <c r="C45" s="8" t="s">
        <v>852</v>
      </c>
      <c r="D45" s="0" t="n">
        <v>699</v>
      </c>
      <c r="G45" s="2" t="n">
        <f aca="false">G44+E45-F45</f>
        <v>4358</v>
      </c>
    </row>
    <row r="46" customFormat="false" ht="12.75" hidden="false" customHeight="false" outlineLevel="0" collapsed="false">
      <c r="B46" s="1" t="n">
        <v>45189</v>
      </c>
      <c r="C46" s="8" t="s">
        <v>853</v>
      </c>
      <c r="E46" s="2" t="n">
        <v>573</v>
      </c>
      <c r="G46" s="2" t="n">
        <f aca="false">G45+E46-F46</f>
        <v>4931</v>
      </c>
    </row>
    <row r="47" customFormat="false" ht="12.75" hidden="false" customHeight="false" outlineLevel="0" collapsed="false">
      <c r="C47" s="8" t="s">
        <v>854</v>
      </c>
      <c r="D47" s="0" t="n">
        <v>1500</v>
      </c>
      <c r="G47" s="2" t="n">
        <f aca="false">G46+E47-F47</f>
        <v>4931</v>
      </c>
    </row>
    <row r="48" customFormat="false" ht="12.75" hidden="false" customHeight="false" outlineLevel="0" collapsed="false">
      <c r="C48" s="8" t="s">
        <v>855</v>
      </c>
      <c r="E48" s="2" t="n">
        <v>1207</v>
      </c>
      <c r="G48" s="2" t="n">
        <f aca="false">G47+E48-F48</f>
        <v>6138</v>
      </c>
    </row>
    <row r="49" customFormat="false" ht="12.75" hidden="false" customHeight="false" outlineLevel="0" collapsed="false">
      <c r="C49" s="8" t="s">
        <v>856</v>
      </c>
      <c r="D49" s="0" t="n">
        <v>1502</v>
      </c>
      <c r="G49" s="2" t="n">
        <f aca="false">G48+E49-F49</f>
        <v>6138</v>
      </c>
    </row>
    <row r="50" customFormat="false" ht="12.75" hidden="false" customHeight="false" outlineLevel="0" collapsed="false">
      <c r="B50" s="1" t="n">
        <v>45214</v>
      </c>
      <c r="C50" s="8" t="s">
        <v>857</v>
      </c>
      <c r="F50" s="17" t="n">
        <v>3450</v>
      </c>
      <c r="G50" s="2" t="n">
        <f aca="false">G49+E50-F50</f>
        <v>2688</v>
      </c>
    </row>
    <row r="51" customFormat="false" ht="12.75" hidden="false" customHeight="false" outlineLevel="0" collapsed="false">
      <c r="B51" s="1" t="n">
        <v>45246</v>
      </c>
      <c r="C51" s="8" t="s">
        <v>858</v>
      </c>
      <c r="E51" s="2" t="n">
        <v>1500</v>
      </c>
      <c r="G51" s="2" t="n">
        <f aca="false">G50+E51-F51</f>
        <v>4188</v>
      </c>
    </row>
    <row r="52" customFormat="false" ht="12.75" hidden="false" customHeight="false" outlineLevel="0" collapsed="false">
      <c r="B52" s="1" t="n">
        <v>45246</v>
      </c>
      <c r="C52" s="8" t="s">
        <v>859</v>
      </c>
      <c r="F52" s="2" t="n">
        <v>3450</v>
      </c>
      <c r="G52" s="2" t="n">
        <f aca="false">G51+E52-F52</f>
        <v>738</v>
      </c>
    </row>
    <row r="53" customFormat="false" ht="12.75" hidden="false" customHeight="false" outlineLevel="0" collapsed="false">
      <c r="B53" s="1" t="n">
        <v>45260</v>
      </c>
      <c r="C53" s="8" t="s">
        <v>860</v>
      </c>
      <c r="E53" s="2" t="n">
        <v>573</v>
      </c>
      <c r="G53" s="2" t="n">
        <f aca="false">G52+E53-F53</f>
        <v>1311</v>
      </c>
    </row>
    <row r="54" customFormat="false" ht="12.75" hidden="false" customHeight="false" outlineLevel="0" collapsed="false">
      <c r="B54" s="1" t="n">
        <v>45266</v>
      </c>
      <c r="C54" s="8" t="s">
        <v>861</v>
      </c>
      <c r="F54" s="2" t="n">
        <v>3450</v>
      </c>
      <c r="G54" s="2" t="n">
        <f aca="false">G53+E54-F54</f>
        <v>-2139</v>
      </c>
    </row>
    <row r="55" customFormat="false" ht="12.75" hidden="false" customHeight="false" outlineLevel="0" collapsed="false">
      <c r="B55" s="1" t="n">
        <v>45267</v>
      </c>
      <c r="C55" s="8" t="s">
        <v>862</v>
      </c>
      <c r="E55" s="2" t="n">
        <v>1500</v>
      </c>
      <c r="G55" s="2" t="n">
        <f aca="false">G54+E55-F55</f>
        <v>-639</v>
      </c>
    </row>
    <row r="56" customFormat="false" ht="12.75" hidden="false" customHeight="false" outlineLevel="0" collapsed="false">
      <c r="B56" s="1" t="n">
        <v>45270</v>
      </c>
      <c r="C56" s="8" t="s">
        <v>135</v>
      </c>
      <c r="E56" s="2" t="n">
        <v>1711</v>
      </c>
      <c r="G56" s="2" t="n">
        <f aca="false">G55+E56-F56</f>
        <v>1072</v>
      </c>
    </row>
    <row r="57" customFormat="false" ht="12.75" hidden="false" customHeight="false" outlineLevel="0" collapsed="false">
      <c r="G57" s="2" t="n">
        <f aca="false">G56+E57-F57</f>
        <v>1072</v>
      </c>
    </row>
    <row r="58" customFormat="false" ht="12.75" hidden="false" customHeight="false" outlineLevel="0" collapsed="false">
      <c r="G58" s="240" t="n">
        <f aca="false">G57+E58-F58</f>
        <v>1072</v>
      </c>
    </row>
    <row r="59" customFormat="false" ht="12.75" hidden="false" customHeight="false" outlineLevel="0" collapsed="false">
      <c r="G59" s="241"/>
    </row>
    <row r="60" customFormat="false" ht="13.8" hidden="false" customHeight="false" outlineLevel="0" collapsed="false">
      <c r="C60" s="242" t="s">
        <v>863</v>
      </c>
      <c r="D60" s="243" t="n">
        <f aca="false">SUM(D3:D36)+SUM(D41:D52)</f>
        <v>5271</v>
      </c>
      <c r="E60" s="243" t="n">
        <f aca="false">SUM(E3:E36)+SUM(E41:E56)</f>
        <v>37708</v>
      </c>
      <c r="F60" s="243" t="n">
        <f aca="false">SUM(F3:F36)+SUM(F41:F56)</f>
        <v>36636</v>
      </c>
      <c r="G60" s="244" t="n">
        <f aca="false">E60-F60</f>
        <v>1072</v>
      </c>
    </row>
    <row r="61" customFormat="false" ht="12.75" hidden="false" customHeight="false" outlineLevel="0" collapsed="false">
      <c r="D61" s="245" t="s">
        <v>864</v>
      </c>
      <c r="E61" s="246" t="s">
        <v>865</v>
      </c>
      <c r="F61" s="246" t="s">
        <v>866</v>
      </c>
      <c r="G61" s="247" t="s">
        <v>866</v>
      </c>
    </row>
    <row r="62" customFormat="false" ht="12.75" hidden="false" customHeight="false" outlineLevel="0" collapsed="false">
      <c r="D62" s="245" t="s">
        <v>867</v>
      </c>
      <c r="E62" s="246" t="s">
        <v>868</v>
      </c>
      <c r="F62" s="246" t="s">
        <v>278</v>
      </c>
      <c r="G62" s="248" t="s">
        <v>869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overThenDown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49"/>
  <sheetViews>
    <sheetView showFormulas="false" showGridLines="true" showRowColHeaders="true" showZeros="true" rightToLeft="false" tabSelected="false" showOutlineSymbols="true" defaultGridColor="true" view="normal" topLeftCell="A7" colorId="64" zoomScale="170" zoomScaleNormal="170" zoomScalePageLayoutView="100" workbookViewId="0">
      <selection pane="topLeft" activeCell="D16" activeCellId="0" sqref="D16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.71"/>
    <col collapsed="false" customWidth="true" hidden="false" outlineLevel="0" max="3" min="3" style="0" width="27.14"/>
    <col collapsed="false" customWidth="true" hidden="false" outlineLevel="0" max="4" min="4" style="181" width="11.86"/>
    <col collapsed="false" customWidth="true" hidden="false" outlineLevel="0" max="5" min="5" style="181" width="12"/>
    <col collapsed="false" customWidth="true" hidden="false" outlineLevel="0" max="6" min="6" style="181" width="12.57"/>
    <col collapsed="false" customWidth="true" hidden="false" outlineLevel="0" max="7" min="7" style="249" width="4.14"/>
    <col collapsed="false" customWidth="true" hidden="false" outlineLevel="0" max="8" min="8" style="181" width="11.86"/>
    <col collapsed="false" customWidth="true" hidden="false" outlineLevel="0" max="9" min="9" style="181" width="15.57"/>
    <col collapsed="false" customWidth="true" hidden="false" outlineLevel="0" max="10" min="10" style="0" width="9.14"/>
  </cols>
  <sheetData>
    <row r="2" customFormat="false" ht="12.75" hidden="false" customHeight="false" outlineLevel="0" collapsed="false">
      <c r="C2" s="250" t="s">
        <v>870</v>
      </c>
    </row>
    <row r="3" customFormat="false" ht="12.75" hidden="false" customHeight="false" outlineLevel="0" collapsed="false">
      <c r="D3" s="251" t="s">
        <v>871</v>
      </c>
      <c r="E3" s="129" t="s">
        <v>872</v>
      </c>
      <c r="F3" s="251" t="s">
        <v>873</v>
      </c>
      <c r="G3" s="252"/>
      <c r="I3" s="251" t="s">
        <v>874</v>
      </c>
    </row>
    <row r="4" customFormat="false" ht="12.75" hidden="false" customHeight="false" outlineLevel="0" collapsed="false">
      <c r="D4" s="251" t="s">
        <v>875</v>
      </c>
      <c r="E4" s="129" t="s">
        <v>228</v>
      </c>
      <c r="F4" s="251" t="s">
        <v>875</v>
      </c>
      <c r="G4" s="252"/>
      <c r="I4" s="251" t="s">
        <v>228</v>
      </c>
    </row>
    <row r="5" customFormat="false" ht="13.8" hidden="false" customHeight="false" outlineLevel="0" collapsed="false">
      <c r="E5" s="253" t="n">
        <v>119305.95</v>
      </c>
      <c r="F5" s="253"/>
      <c r="G5" s="254"/>
      <c r="H5" s="255" t="s">
        <v>876</v>
      </c>
      <c r="I5" s="256" t="n">
        <f aca="false">NZN_23!I8*-1</f>
        <v>119305.954847</v>
      </c>
    </row>
    <row r="6" customFormat="false" ht="13.8" hidden="false" customHeight="false" outlineLevel="0" collapsed="false">
      <c r="H6" s="257" t="s">
        <v>877</v>
      </c>
      <c r="I6" s="258" t="n">
        <f aca="false">I23*-1</f>
        <v>39967</v>
      </c>
    </row>
    <row r="7" customFormat="false" ht="13.8" hidden="false" customHeight="false" outlineLevel="0" collapsed="false">
      <c r="I7" s="258" t="n">
        <f aca="false">I6+I5</f>
        <v>159272.954847</v>
      </c>
    </row>
    <row r="8" customFormat="false" ht="12.75" hidden="false" customHeight="false" outlineLevel="0" collapsed="false">
      <c r="B8" s="165" t="n">
        <v>45295</v>
      </c>
      <c r="C8" s="8" t="s">
        <v>878</v>
      </c>
      <c r="D8" s="129" t="n">
        <v>10000</v>
      </c>
      <c r="E8" s="181" t="n">
        <f aca="false">I7-D8</f>
        <v>149272.954847</v>
      </c>
      <c r="F8" s="259" t="n">
        <v>10000</v>
      </c>
      <c r="G8" s="260"/>
      <c r="H8" s="261" t="s">
        <v>879</v>
      </c>
      <c r="I8" s="261" t="n">
        <f aca="false">I7-F8</f>
        <v>149272.954847</v>
      </c>
    </row>
    <row r="9" customFormat="false" ht="12.75" hidden="false" customHeight="false" outlineLevel="0" collapsed="false">
      <c r="B9" s="165" t="n">
        <v>45324</v>
      </c>
      <c r="C9" s="8" t="s">
        <v>878</v>
      </c>
      <c r="D9" s="129" t="n">
        <v>10000</v>
      </c>
      <c r="E9" s="181" t="n">
        <f aca="false">E8-D9</f>
        <v>139272.954847</v>
      </c>
      <c r="F9" s="259" t="n">
        <v>10000</v>
      </c>
      <c r="H9" s="261" t="s">
        <v>879</v>
      </c>
      <c r="I9" s="181" t="n">
        <f aca="false">I8-F9</f>
        <v>139272.954847</v>
      </c>
    </row>
    <row r="10" customFormat="false" ht="12.75" hidden="false" customHeight="false" outlineLevel="0" collapsed="false">
      <c r="B10" s="165" t="n">
        <v>45352</v>
      </c>
      <c r="D10" s="129" t="n">
        <v>10000</v>
      </c>
      <c r="E10" s="181" t="n">
        <f aca="false">E9-D10</f>
        <v>129272.954847</v>
      </c>
      <c r="F10" s="259" t="n">
        <v>10000</v>
      </c>
      <c r="H10" s="261" t="s">
        <v>879</v>
      </c>
      <c r="I10" s="181" t="n">
        <f aca="false">I9-F10</f>
        <v>129272.954847</v>
      </c>
    </row>
    <row r="11" customFormat="false" ht="12.75" hidden="false" customHeight="false" outlineLevel="0" collapsed="false">
      <c r="B11" s="165" t="n">
        <v>45383</v>
      </c>
      <c r="D11" s="129" t="n">
        <v>10000</v>
      </c>
      <c r="E11" s="181" t="n">
        <f aca="false">E10-D11</f>
        <v>119272.954847</v>
      </c>
      <c r="F11" s="259" t="n">
        <v>10000</v>
      </c>
      <c r="H11" s="261" t="s">
        <v>879</v>
      </c>
      <c r="I11" s="181" t="n">
        <f aca="false">I10-F11</f>
        <v>119272.954847</v>
      </c>
    </row>
    <row r="12" customFormat="false" ht="12.75" hidden="false" customHeight="false" outlineLevel="0" collapsed="false">
      <c r="B12" s="165" t="n">
        <v>45413</v>
      </c>
      <c r="D12" s="129" t="n">
        <v>10000</v>
      </c>
      <c r="E12" s="181" t="n">
        <f aca="false">E11-D12</f>
        <v>109272.954847</v>
      </c>
      <c r="F12" s="259" t="n">
        <v>10000</v>
      </c>
      <c r="H12" s="261" t="s">
        <v>879</v>
      </c>
      <c r="I12" s="181" t="n">
        <f aca="false">I11-F12</f>
        <v>109272.954847</v>
      </c>
    </row>
    <row r="13" customFormat="false" ht="12.75" hidden="false" customHeight="false" outlineLevel="0" collapsed="false">
      <c r="B13" s="165" t="n">
        <v>45444</v>
      </c>
      <c r="D13" s="129" t="n">
        <v>10000</v>
      </c>
      <c r="E13" s="181" t="n">
        <f aca="false">E12-D13</f>
        <v>99272.954847</v>
      </c>
      <c r="F13" s="259" t="n">
        <v>10000</v>
      </c>
      <c r="H13" s="261" t="s">
        <v>879</v>
      </c>
      <c r="I13" s="181" t="n">
        <f aca="false">I12-F13</f>
        <v>99272.954847</v>
      </c>
    </row>
    <row r="14" customFormat="false" ht="12.75" hidden="false" customHeight="false" outlineLevel="0" collapsed="false">
      <c r="B14" s="165" t="n">
        <v>45474</v>
      </c>
      <c r="D14" s="129" t="n">
        <v>10000</v>
      </c>
      <c r="E14" s="181" t="n">
        <f aca="false">E13-D14</f>
        <v>89272.954847</v>
      </c>
      <c r="F14" s="259" t="n">
        <v>10000</v>
      </c>
      <c r="H14" s="261" t="s">
        <v>879</v>
      </c>
      <c r="I14" s="181" t="n">
        <f aca="false">I13-F14</f>
        <v>89272.954847</v>
      </c>
    </row>
    <row r="15" customFormat="false" ht="12.75" hidden="false" customHeight="false" outlineLevel="0" collapsed="false">
      <c r="B15" s="165" t="n">
        <v>45505</v>
      </c>
      <c r="D15" s="129" t="n">
        <v>10000</v>
      </c>
      <c r="E15" s="181" t="n">
        <f aca="false">E14-D15</f>
        <v>79272.954847</v>
      </c>
      <c r="H15" s="181" t="s">
        <v>880</v>
      </c>
      <c r="I15" s="181" t="n">
        <f aca="false">I14-F15</f>
        <v>89272.954847</v>
      </c>
    </row>
    <row r="16" customFormat="false" ht="12.75" hidden="false" customHeight="false" outlineLevel="0" collapsed="false">
      <c r="B16" s="165" t="n">
        <v>45536</v>
      </c>
      <c r="D16" s="129" t="n">
        <v>10000</v>
      </c>
      <c r="E16" s="181" t="n">
        <f aca="false">E15-D16</f>
        <v>69272.954847</v>
      </c>
      <c r="H16" s="181" t="s">
        <v>880</v>
      </c>
      <c r="I16" s="181" t="n">
        <f aca="false">I15-F16</f>
        <v>89272.954847</v>
      </c>
    </row>
    <row r="17" customFormat="false" ht="12.75" hidden="false" customHeight="false" outlineLevel="0" collapsed="false">
      <c r="B17" s="165" t="n">
        <v>45566</v>
      </c>
      <c r="D17" s="129" t="n">
        <v>10000</v>
      </c>
      <c r="E17" s="181" t="n">
        <f aca="false">E16-D17</f>
        <v>59272.954847</v>
      </c>
      <c r="H17" s="181" t="s">
        <v>880</v>
      </c>
      <c r="I17" s="181" t="n">
        <f aca="false">I16-F17</f>
        <v>89272.954847</v>
      </c>
    </row>
    <row r="18" customFormat="false" ht="12.75" hidden="false" customHeight="false" outlineLevel="0" collapsed="false">
      <c r="B18" s="165" t="n">
        <v>45597</v>
      </c>
      <c r="D18" s="129" t="n">
        <v>10000</v>
      </c>
      <c r="E18" s="181" t="n">
        <f aca="false">E17-D18</f>
        <v>49272.954847</v>
      </c>
      <c r="H18" s="181" t="s">
        <v>880</v>
      </c>
      <c r="I18" s="181" t="n">
        <f aca="false">I17-F18</f>
        <v>89272.954847</v>
      </c>
    </row>
    <row r="19" customFormat="false" ht="12.75" hidden="false" customHeight="false" outlineLevel="0" collapsed="false">
      <c r="B19" s="165" t="n">
        <v>45627</v>
      </c>
      <c r="D19" s="129" t="n">
        <v>10000</v>
      </c>
      <c r="E19" s="181" t="n">
        <f aca="false">E18-D19</f>
        <v>39272.954847</v>
      </c>
      <c r="I19" s="181" t="n">
        <f aca="false">I18-F19</f>
        <v>89272.954847</v>
      </c>
    </row>
    <row r="20" customFormat="false" ht="12.75" hidden="false" customHeight="false" outlineLevel="0" collapsed="false">
      <c r="D20" s="129"/>
    </row>
    <row r="21" customFormat="false" ht="15" hidden="false" customHeight="false" outlineLevel="0" collapsed="false">
      <c r="C21" s="262" t="s">
        <v>881</v>
      </c>
      <c r="E21" s="263" t="n">
        <v>0.2351</v>
      </c>
      <c r="F21" s="263" t="n">
        <f aca="false">1-E21</f>
        <v>0.7649</v>
      </c>
    </row>
    <row r="22" customFormat="false" ht="12.75" hidden="false" customHeight="false" outlineLevel="0" collapsed="false">
      <c r="B22" s="264" t="s">
        <v>882</v>
      </c>
      <c r="C22" s="264" t="s">
        <v>883</v>
      </c>
      <c r="D22" s="265" t="s">
        <v>884</v>
      </c>
      <c r="E22" s="266" t="s">
        <v>885</v>
      </c>
      <c r="F22" s="265" t="s">
        <v>886</v>
      </c>
      <c r="G22" s="267" t="s">
        <v>887</v>
      </c>
      <c r="H22" s="265" t="s">
        <v>888</v>
      </c>
      <c r="I22" s="265" t="s">
        <v>889</v>
      </c>
    </row>
    <row r="23" customFormat="false" ht="12.75" hidden="false" customHeight="false" outlineLevel="0" collapsed="false">
      <c r="B23" s="268"/>
      <c r="C23" s="269" t="s">
        <v>890</v>
      </c>
      <c r="D23" s="270" t="n">
        <f aca="false">SUBTOTAL(109,D24:D37)</f>
        <v>331000</v>
      </c>
      <c r="E23" s="270" t="n">
        <f aca="false">SUBTOTAL(109,$E$24:$E$37)</f>
        <v>170000</v>
      </c>
      <c r="F23" s="270" t="n">
        <f aca="false">SUM(F24:F37)</f>
        <v>-37851.1</v>
      </c>
      <c r="G23" s="271"/>
      <c r="H23" s="270" t="n">
        <f aca="false">SUBTOTAL(109,$H$24:$H$37)</f>
        <v>-39967</v>
      </c>
      <c r="I23" s="270" t="n">
        <f aca="false">I24</f>
        <v>-39967</v>
      </c>
      <c r="K23" s="272"/>
    </row>
    <row r="24" customFormat="false" ht="12.75" hidden="false" customHeight="false" outlineLevel="0" collapsed="false">
      <c r="B24" s="273" t="n">
        <v>45656</v>
      </c>
      <c r="C24" s="8" t="s">
        <v>891</v>
      </c>
      <c r="E24" s="129" t="n">
        <f aca="false">IF(G24=1,$D24,0)</f>
        <v>0</v>
      </c>
      <c r="F24" s="274" t="n">
        <f aca="false">IF(G24=0,D24*$E$21*-1,0)</f>
        <v>-0</v>
      </c>
      <c r="G24" s="275" t="n">
        <v>0</v>
      </c>
      <c r="H24" s="129" t="n">
        <f aca="false">IF(G24=1,D24*$E$21*-1,0)</f>
        <v>0</v>
      </c>
      <c r="I24" s="181" t="n">
        <f aca="false">I25+H24</f>
        <v>-39967</v>
      </c>
      <c r="K24" s="272"/>
    </row>
    <row r="25" customFormat="false" ht="12.75" hidden="false" customHeight="false" outlineLevel="0" collapsed="false">
      <c r="B25" s="276"/>
      <c r="C25" s="277"/>
      <c r="D25" s="278"/>
      <c r="E25" s="129" t="n">
        <f aca="false">IF(G25=1,$D25,0)</f>
        <v>0</v>
      </c>
      <c r="F25" s="274" t="n">
        <f aca="false">IF(G25=0,D25*$E$21*-1,0)</f>
        <v>-0</v>
      </c>
      <c r="G25" s="275" t="n">
        <v>0</v>
      </c>
      <c r="H25" s="129" t="n">
        <f aca="false">IF(G25=1,D25*$E$21*-1,0)</f>
        <v>0</v>
      </c>
      <c r="I25" s="181" t="n">
        <f aca="false">I26+H25</f>
        <v>-39967</v>
      </c>
    </row>
    <row r="26" customFormat="false" ht="12.75" hidden="false" customHeight="false" outlineLevel="0" collapsed="false">
      <c r="B26" s="279"/>
      <c r="C26" s="280"/>
      <c r="D26" s="281"/>
      <c r="E26" s="129" t="n">
        <f aca="false">IF(G26=1,$D26,0)</f>
        <v>0</v>
      </c>
      <c r="F26" s="274" t="n">
        <f aca="false">IF(G26=0,D26*$E$21*-1,0)</f>
        <v>-0</v>
      </c>
      <c r="G26" s="275" t="n">
        <v>0</v>
      </c>
      <c r="H26" s="129" t="n">
        <f aca="false">IF(G26=1,D26*$E$21*-1,0)</f>
        <v>0</v>
      </c>
      <c r="I26" s="181" t="n">
        <f aca="false">I27+H26</f>
        <v>-39967</v>
      </c>
    </row>
    <row r="27" customFormat="false" ht="12.75" hidden="false" customHeight="false" outlineLevel="0" collapsed="false">
      <c r="B27" s="279"/>
      <c r="C27" s="280"/>
      <c r="D27" s="281"/>
      <c r="E27" s="129" t="n">
        <f aca="false">IF(G27=1,$D27,0)</f>
        <v>0</v>
      </c>
      <c r="F27" s="274" t="n">
        <f aca="false">IF(G27=0,D27*$E$21*-1,0)</f>
        <v>-0</v>
      </c>
      <c r="G27" s="275" t="n">
        <v>0</v>
      </c>
      <c r="H27" s="129" t="n">
        <f aca="false">IF(G27=1,D27*$E$21*-1,0)</f>
        <v>0</v>
      </c>
      <c r="I27" s="181" t="n">
        <f aca="false">I28+H27</f>
        <v>-39967</v>
      </c>
    </row>
    <row r="28" customFormat="false" ht="12.75" hidden="false" customHeight="false" outlineLevel="0" collapsed="false">
      <c r="B28" s="276"/>
      <c r="C28" s="277"/>
      <c r="D28" s="278"/>
      <c r="E28" s="129" t="n">
        <f aca="false">IF(G28=1,$D28,0)</f>
        <v>0</v>
      </c>
      <c r="F28" s="274" t="n">
        <f aca="false">IF(G28=0,D28*$E$21*-1,0)</f>
        <v>-0</v>
      </c>
      <c r="G28" s="275" t="n">
        <v>0</v>
      </c>
      <c r="H28" s="129" t="n">
        <f aca="false">IF(G28=1,D28*$E$21*-1,0)</f>
        <v>0</v>
      </c>
      <c r="I28" s="181" t="n">
        <f aca="false">I29+H28</f>
        <v>-39967</v>
      </c>
    </row>
    <row r="29" customFormat="false" ht="12.75" hidden="false" customHeight="false" outlineLevel="0" collapsed="false">
      <c r="B29" s="276"/>
      <c r="C29" s="277" t="s">
        <v>892</v>
      </c>
      <c r="D29" s="278"/>
      <c r="E29" s="129" t="n">
        <f aca="false">IF(G29=1,$D29,0)</f>
        <v>0</v>
      </c>
      <c r="F29" s="274" t="n">
        <f aca="false">IF(G29=0,D29*$E$21*-1,0)</f>
        <v>-0</v>
      </c>
      <c r="G29" s="275" t="n">
        <v>0</v>
      </c>
      <c r="H29" s="129" t="n">
        <f aca="false">IF(G29=1,D29*$E$21*-1,0)</f>
        <v>0</v>
      </c>
      <c r="I29" s="181" t="n">
        <f aca="false">I30+H29</f>
        <v>-39967</v>
      </c>
    </row>
    <row r="30" customFormat="false" ht="12.75" hidden="false" customHeight="false" outlineLevel="0" collapsed="false">
      <c r="B30" s="276"/>
      <c r="C30" s="277"/>
      <c r="D30" s="278"/>
      <c r="E30" s="129" t="n">
        <f aca="false">IF(G30=1,$D30,0)</f>
        <v>0</v>
      </c>
      <c r="F30" s="274" t="n">
        <f aca="false">IF(G30=0,D30*$E$21*-1,0)</f>
        <v>-0</v>
      </c>
      <c r="G30" s="275" t="n">
        <v>0</v>
      </c>
      <c r="H30" s="129" t="n">
        <f aca="false">IF(G30=1,D30*$E$21*-1,0)</f>
        <v>0</v>
      </c>
      <c r="I30" s="181" t="n">
        <f aca="false">I31+H30</f>
        <v>-39967</v>
      </c>
    </row>
    <row r="31" customFormat="false" ht="12.75" hidden="false" customHeight="false" outlineLevel="0" collapsed="false">
      <c r="B31" s="276"/>
      <c r="C31" s="277"/>
      <c r="D31" s="278"/>
      <c r="E31" s="129" t="n">
        <f aca="false">IF(G31=1,$D31,0)</f>
        <v>0</v>
      </c>
      <c r="F31" s="274" t="n">
        <f aca="false">IF(G31=0,D31*$E$21*-1,0)</f>
        <v>-0</v>
      </c>
      <c r="G31" s="275" t="n">
        <v>0</v>
      </c>
      <c r="H31" s="129" t="n">
        <f aca="false">IF(G31=1,D31*$E$21*-1,0)</f>
        <v>0</v>
      </c>
      <c r="I31" s="181" t="n">
        <f aca="false">I32+H31</f>
        <v>-39967</v>
      </c>
    </row>
    <row r="32" customFormat="false" ht="12.75" hidden="false" customHeight="false" outlineLevel="0" collapsed="false">
      <c r="B32" s="279"/>
      <c r="C32" s="280"/>
      <c r="D32" s="281"/>
      <c r="E32" s="129" t="n">
        <f aca="false">IF(G32=1,$D32,0)</f>
        <v>0</v>
      </c>
      <c r="F32" s="274" t="n">
        <f aca="false">IF(G32=0,D32*$E$21*-1,0)</f>
        <v>-0</v>
      </c>
      <c r="G32" s="275" t="n">
        <v>0</v>
      </c>
      <c r="H32" s="129" t="n">
        <f aca="false">IF(G32=1,D32*$E$21*-1,0)</f>
        <v>0</v>
      </c>
      <c r="I32" s="181" t="n">
        <f aca="false">I33+H32</f>
        <v>-39967</v>
      </c>
    </row>
    <row r="33" customFormat="false" ht="12.75" hidden="false" customHeight="false" outlineLevel="0" collapsed="false">
      <c r="B33" s="273" t="n">
        <v>45321</v>
      </c>
      <c r="C33" s="282" t="s">
        <v>893</v>
      </c>
      <c r="D33" s="283" t="n">
        <v>7000</v>
      </c>
      <c r="E33" s="129" t="n">
        <f aca="false">IF(G33=1,$D33,0)</f>
        <v>0</v>
      </c>
      <c r="F33" s="274" t="n">
        <f aca="false">IF(G33=0,D33*$E$21*-1,0)</f>
        <v>-1645.7</v>
      </c>
      <c r="G33" s="275" t="n">
        <v>0</v>
      </c>
      <c r="H33" s="129" t="n">
        <f aca="false">IF(G33=1,D33*$E$21*-1,0)</f>
        <v>0</v>
      </c>
      <c r="I33" s="181" t="n">
        <f aca="false">I34+H33</f>
        <v>-39967</v>
      </c>
    </row>
    <row r="34" customFormat="false" ht="12.75" hidden="false" customHeight="false" outlineLevel="0" collapsed="false">
      <c r="B34" s="279"/>
      <c r="C34" s="280" t="s">
        <v>894</v>
      </c>
      <c r="D34" s="281" t="n">
        <v>24000</v>
      </c>
      <c r="E34" s="129" t="n">
        <f aca="false">IF(G34=1,$D34,0)</f>
        <v>24000</v>
      </c>
      <c r="F34" s="274" t="n">
        <f aca="false">IF(G34=0,D34*$E$21*-1,0)</f>
        <v>0</v>
      </c>
      <c r="G34" s="275" t="n">
        <v>1</v>
      </c>
      <c r="H34" s="129" t="n">
        <f aca="false">IF(G34=1,D34*$E$21*-1,0)</f>
        <v>-5642.4</v>
      </c>
      <c r="I34" s="181" t="n">
        <f aca="false">I35+H34</f>
        <v>-39967</v>
      </c>
    </row>
    <row r="35" customFormat="false" ht="12.75" hidden="false" customHeight="false" outlineLevel="0" collapsed="false">
      <c r="B35" s="279" t="n">
        <v>45296</v>
      </c>
      <c r="C35" s="280" t="s">
        <v>895</v>
      </c>
      <c r="D35" s="281" t="n">
        <v>26000</v>
      </c>
      <c r="E35" s="129" t="n">
        <f aca="false">IF(G35=1,$D35,0)</f>
        <v>26000</v>
      </c>
      <c r="F35" s="274" t="n">
        <f aca="false">IF(G35=0,D35*$E$21*-1,0)</f>
        <v>0</v>
      </c>
      <c r="G35" s="275" t="n">
        <v>1</v>
      </c>
      <c r="H35" s="129" t="n">
        <f aca="false">IF(G35=1,D35*$E$21*-1,0)</f>
        <v>-6112.6</v>
      </c>
      <c r="I35" s="181" t="n">
        <f aca="false">I36+H35</f>
        <v>-34324.6</v>
      </c>
    </row>
    <row r="36" customFormat="false" ht="12.75" hidden="false" customHeight="false" outlineLevel="0" collapsed="false">
      <c r="B36" s="276" t="n">
        <v>45295</v>
      </c>
      <c r="C36" s="280" t="s">
        <v>895</v>
      </c>
      <c r="D36" s="278" t="n">
        <v>120000</v>
      </c>
      <c r="E36" s="129" t="n">
        <f aca="false">IF(G36=1,$D36,0)</f>
        <v>120000</v>
      </c>
      <c r="F36" s="274" t="n">
        <f aca="false">IF(G36=0,D36*$E$21*-1,0)</f>
        <v>0</v>
      </c>
      <c r="G36" s="275" t="n">
        <v>1</v>
      </c>
      <c r="H36" s="129" t="n">
        <f aca="false">IF(G36=1,D36*$E$21*-1,0)</f>
        <v>-28212</v>
      </c>
      <c r="I36" s="181" t="n">
        <f aca="false">I37+H36</f>
        <v>-28212</v>
      </c>
    </row>
    <row r="37" customFormat="false" ht="12.75" hidden="false" customHeight="false" outlineLevel="0" collapsed="false">
      <c r="B37" s="279" t="n">
        <v>45292</v>
      </c>
      <c r="C37" s="280" t="s">
        <v>775</v>
      </c>
      <c r="D37" s="284" t="n">
        <v>154000</v>
      </c>
      <c r="E37" s="129" t="n">
        <f aca="false">IF(G37=1,$D37,0)</f>
        <v>0</v>
      </c>
      <c r="F37" s="274" t="n">
        <f aca="false">IF(G37=0,D37*$E$21*-1,0)</f>
        <v>-36205.4</v>
      </c>
      <c r="G37" s="285" t="n">
        <v>0</v>
      </c>
      <c r="H37" s="129" t="n">
        <f aca="false">IF(G37=1,D37*$E$21*-1,0)</f>
        <v>0</v>
      </c>
      <c r="I37" s="181" t="n">
        <f aca="false">H37</f>
        <v>0</v>
      </c>
    </row>
    <row r="40" customFormat="false" ht="12.75" hidden="false" customHeight="false" outlineLevel="0" collapsed="false">
      <c r="D40" s="129" t="s">
        <v>896</v>
      </c>
      <c r="E40" s="181" t="s">
        <v>897</v>
      </c>
      <c r="F40" s="181" t="s">
        <v>898</v>
      </c>
      <c r="H40" s="286"/>
      <c r="I40" s="286"/>
      <c r="J40" s="287"/>
    </row>
    <row r="41" customFormat="false" ht="15" hidden="false" customHeight="false" outlineLevel="0" collapsed="false">
      <c r="C41" s="0" t="s">
        <v>899</v>
      </c>
      <c r="D41" s="288" t="n">
        <v>1</v>
      </c>
      <c r="E41" s="289" t="n">
        <f aca="false">1-F41</f>
        <v>0.7649</v>
      </c>
      <c r="F41" s="289" t="n">
        <f aca="false">E21</f>
        <v>0.2351</v>
      </c>
    </row>
    <row r="42" customFormat="false" ht="12.75" hidden="false" customHeight="false" outlineLevel="0" collapsed="false">
      <c r="C42" s="0" t="s">
        <v>900</v>
      </c>
      <c r="D42" s="290" t="n">
        <f aca="false">$D$23*D41</f>
        <v>331000</v>
      </c>
      <c r="E42" s="291" t="n">
        <f aca="false">$D$23*E41</f>
        <v>253181.9</v>
      </c>
      <c r="F42" s="291" t="n">
        <f aca="false">$D$23*F41</f>
        <v>77818.1</v>
      </c>
    </row>
    <row r="43" customFormat="false" ht="12.75" hidden="false" customHeight="false" outlineLevel="0" collapsed="false">
      <c r="C43" s="0" t="s">
        <v>901</v>
      </c>
      <c r="D43" s="129" t="n">
        <f aca="false">E43+F43</f>
        <v>170000</v>
      </c>
      <c r="E43" s="181" t="n">
        <f aca="false">F43/F41*E41</f>
        <v>130033</v>
      </c>
      <c r="F43" s="181" t="n">
        <f aca="false">$I$23*-1</f>
        <v>39967</v>
      </c>
      <c r="K43" s="64"/>
    </row>
    <row r="44" customFormat="false" ht="12.75" hidden="false" customHeight="false" outlineLevel="0" collapsed="false">
      <c r="C44" s="0" t="s">
        <v>902</v>
      </c>
      <c r="D44" s="129" t="n">
        <f aca="false">D42-D43</f>
        <v>161000</v>
      </c>
      <c r="E44" s="181" t="n">
        <f aca="false">E42-E43</f>
        <v>123148.9</v>
      </c>
      <c r="F44" s="181" t="n">
        <f aca="false">F42-F43</f>
        <v>37851.1</v>
      </c>
      <c r="K44" s="64"/>
    </row>
    <row r="45" customFormat="false" ht="12.75" hidden="false" customHeight="false" outlineLevel="0" collapsed="false">
      <c r="D45" s="292"/>
      <c r="E45" s="292"/>
      <c r="F45" s="292"/>
      <c r="K45" s="64"/>
    </row>
    <row r="46" customFormat="false" ht="12.75" hidden="false" customHeight="false" outlineLevel="0" collapsed="false">
      <c r="K46" s="64"/>
    </row>
    <row r="47" customFormat="false" ht="12.75" hidden="false" customHeight="false" outlineLevel="0" collapsed="false">
      <c r="D47" s="251" t="s">
        <v>903</v>
      </c>
      <c r="E47" s="251" t="s">
        <v>904</v>
      </c>
      <c r="F47" s="251" t="s">
        <v>905</v>
      </c>
      <c r="K47" s="64"/>
    </row>
    <row r="48" customFormat="false" ht="12.75" hidden="false" customHeight="false" outlineLevel="0" collapsed="false">
      <c r="E48" s="257"/>
      <c r="K48" s="64"/>
    </row>
    <row r="49" customFormat="false" ht="12.75" hidden="false" customHeight="false" outlineLevel="0" collapsed="false">
      <c r="C49" s="64" t="s">
        <v>809</v>
      </c>
      <c r="D49" s="181" t="n">
        <f aca="false">E43</f>
        <v>130033</v>
      </c>
      <c r="E49" s="181" t="n">
        <v>0.025</v>
      </c>
      <c r="F49" s="181" t="n">
        <f aca="false">D49*E49</f>
        <v>3250.825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41"/>
  <sheetViews>
    <sheetView showFormulas="false" showGridLines="true" showRowColHeaders="true" showZeros="true" rightToLeft="false" tabSelected="false" showOutlineSymbols="true" defaultGridColor="true" view="normal" topLeftCell="A1" colorId="64" zoomScale="170" zoomScaleNormal="170" zoomScalePageLayoutView="100" workbookViewId="0">
      <selection pane="topLeft" activeCell="C12" activeCellId="0" sqref="C12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.71"/>
    <col collapsed="false" customWidth="true" hidden="false" outlineLevel="0" max="3" min="3" style="0" width="27.14"/>
    <col collapsed="false" customWidth="true" hidden="false" outlineLevel="0" max="4" min="4" style="0" width="11.86"/>
    <col collapsed="false" customWidth="true" hidden="false" outlineLevel="0" max="5" min="5" style="0" width="12"/>
    <col collapsed="false" customWidth="true" hidden="false" outlineLevel="0" max="6" min="6" style="0" width="12.43"/>
    <col collapsed="false" customWidth="true" hidden="false" outlineLevel="0" max="7" min="7" style="0" width="4.14"/>
    <col collapsed="false" customWidth="true" hidden="false" outlineLevel="0" max="8" min="8" style="0" width="11"/>
    <col collapsed="false" customWidth="true" hidden="false" outlineLevel="0" max="9" min="9" style="0" width="17.43"/>
    <col collapsed="false" customWidth="true" hidden="false" outlineLevel="0" max="10" min="10" style="0" width="9.14"/>
  </cols>
  <sheetData>
    <row r="2" customFormat="false" ht="12.75" hidden="false" customHeight="false" outlineLevel="0" collapsed="false">
      <c r="C2" s="250" t="s">
        <v>870</v>
      </c>
    </row>
    <row r="3" customFormat="false" ht="12.75" hidden="false" customHeight="false" outlineLevel="0" collapsed="false">
      <c r="D3" s="104"/>
      <c r="E3" s="104"/>
      <c r="I3" s="64"/>
    </row>
    <row r="4" customFormat="false" ht="12.75" hidden="false" customHeight="false" outlineLevel="0" collapsed="false">
      <c r="E4" s="104"/>
      <c r="I4" s="64"/>
    </row>
    <row r="5" customFormat="false" ht="15" hidden="false" customHeight="false" outlineLevel="0" collapsed="false">
      <c r="C5" s="262" t="s">
        <v>881</v>
      </c>
      <c r="E5" s="293" t="n">
        <v>0.2351</v>
      </c>
      <c r="F5" s="293" t="n">
        <f aca="false">1-E5</f>
        <v>0.7649</v>
      </c>
      <c r="I5" s="64"/>
    </row>
    <row r="6" customFormat="false" ht="12.75" hidden="false" customHeight="false" outlineLevel="0" collapsed="false">
      <c r="B6" s="8" t="s">
        <v>882</v>
      </c>
      <c r="C6" s="8" t="s">
        <v>883</v>
      </c>
      <c r="D6" s="36" t="s">
        <v>884</v>
      </c>
      <c r="E6" s="200" t="s">
        <v>885</v>
      </c>
      <c r="F6" s="36" t="s">
        <v>886</v>
      </c>
      <c r="G6" s="294" t="s">
        <v>887</v>
      </c>
      <c r="H6" s="36" t="s">
        <v>888</v>
      </c>
      <c r="I6" s="295" t="s">
        <v>889</v>
      </c>
    </row>
    <row r="7" customFormat="false" ht="12.75" hidden="false" customHeight="false" outlineLevel="0" collapsed="false">
      <c r="K7" s="272"/>
    </row>
    <row r="8" customFormat="false" ht="15" hidden="false" customHeight="false" outlineLevel="0" collapsed="false">
      <c r="B8" s="273" t="n">
        <v>45290</v>
      </c>
      <c r="C8" s="8" t="s">
        <v>891</v>
      </c>
      <c r="D8" s="0" t="n">
        <v>-5843.55</v>
      </c>
      <c r="E8" s="168" t="n">
        <f aca="false">IF(G8=1,$D8,0)</f>
        <v>-5843.55</v>
      </c>
      <c r="F8" s="296" t="n">
        <f aca="false">IF(G8=0,D8*$E$5*-1,0)</f>
        <v>0</v>
      </c>
      <c r="G8" s="297" t="n">
        <v>1</v>
      </c>
      <c r="H8" s="168" t="n">
        <f aca="false">IF(G8=1,D8*$E$5*-1,0)</f>
        <v>1373.818605</v>
      </c>
      <c r="I8" s="298" t="n">
        <f aca="false">I9+H8</f>
        <v>-119305.954847</v>
      </c>
      <c r="K8" s="272"/>
    </row>
    <row r="9" customFormat="false" ht="12.75" hidden="false" customHeight="false" outlineLevel="0" collapsed="false">
      <c r="B9" s="299" t="n">
        <v>45290</v>
      </c>
      <c r="C9" s="87" t="s">
        <v>906</v>
      </c>
      <c r="D9" s="300" t="n">
        <v>135000</v>
      </c>
      <c r="E9" s="168" t="n">
        <f aca="false">IF(G9=1,$D9,0)</f>
        <v>135000</v>
      </c>
      <c r="F9" s="296" t="n">
        <f aca="false">IF(G9=0,D9*$E$5*-1,0)</f>
        <v>0</v>
      </c>
      <c r="G9" s="297" t="n">
        <v>1</v>
      </c>
      <c r="H9" s="168" t="n">
        <f aca="false">IF(G9=1,D9*$E$5*-1,0)</f>
        <v>-31738.5</v>
      </c>
      <c r="I9" s="64" t="n">
        <f aca="false">I10+H9</f>
        <v>-120679.773452</v>
      </c>
    </row>
    <row r="10" customFormat="false" ht="12.75" hidden="false" customHeight="false" outlineLevel="0" collapsed="false">
      <c r="B10" s="301" t="n">
        <v>45260</v>
      </c>
      <c r="C10" s="302" t="s">
        <v>907</v>
      </c>
      <c r="D10" s="303"/>
      <c r="E10" s="304" t="n">
        <f aca="false">IF(G10=1,$D10,0)</f>
        <v>0</v>
      </c>
      <c r="F10" s="305" t="n">
        <f aca="false">IF(G10=0,D10*$E$5*-1,0)</f>
        <v>-0</v>
      </c>
      <c r="G10" s="306" t="n">
        <v>0</v>
      </c>
      <c r="H10" s="304" t="n">
        <f aca="false">IF(G10=1,D10*$E$5*-1,0)</f>
        <v>0</v>
      </c>
      <c r="I10" s="303" t="n">
        <f aca="false">I11+H10</f>
        <v>-88941.273452</v>
      </c>
    </row>
    <row r="11" customFormat="false" ht="12.75" hidden="false" customHeight="false" outlineLevel="0" collapsed="false">
      <c r="B11" s="299" t="n">
        <v>45236</v>
      </c>
      <c r="C11" s="87" t="s">
        <v>908</v>
      </c>
      <c r="D11" s="300" t="n">
        <v>15887.06</v>
      </c>
      <c r="E11" s="168" t="n">
        <f aca="false">IF(G11=1,$D11,0)</f>
        <v>15887.06</v>
      </c>
      <c r="F11" s="296" t="n">
        <f aca="false">IF(G11=0,D11*$E$5*-1,0)</f>
        <v>0</v>
      </c>
      <c r="G11" s="297" t="n">
        <v>1</v>
      </c>
      <c r="H11" s="168" t="n">
        <f aca="false">IF(G11=1,D11*$E$5*-1,0)</f>
        <v>-3735.047806</v>
      </c>
      <c r="I11" s="64" t="n">
        <f aca="false">I12+H11</f>
        <v>-88941.273452</v>
      </c>
    </row>
    <row r="12" customFormat="false" ht="12.75" hidden="false" customHeight="false" outlineLevel="0" collapsed="false">
      <c r="B12" s="299" t="n">
        <v>45195</v>
      </c>
      <c r="C12" s="87" t="s">
        <v>909</v>
      </c>
      <c r="D12" s="300" t="n">
        <v>84000</v>
      </c>
      <c r="E12" s="168" t="n">
        <f aca="false">IF(G12=1,$D12,0)</f>
        <v>84000</v>
      </c>
      <c r="F12" s="296" t="n">
        <f aca="false">IF(G12=0,D12*$E$5*-1,0)</f>
        <v>0</v>
      </c>
      <c r="G12" s="297" t="n">
        <v>1</v>
      </c>
      <c r="H12" s="168" t="n">
        <f aca="false">IF(G12=1,D12*$E$5*-1,0)</f>
        <v>-19748.4</v>
      </c>
      <c r="I12" s="64" t="n">
        <f aca="false">I13+H12</f>
        <v>-85206.225646</v>
      </c>
    </row>
    <row r="13" customFormat="false" ht="12.75" hidden="false" customHeight="false" outlineLevel="0" collapsed="false">
      <c r="B13" s="299" t="n">
        <v>45229</v>
      </c>
      <c r="C13" s="87" t="s">
        <v>910</v>
      </c>
      <c r="D13" s="300" t="n">
        <v>10000</v>
      </c>
      <c r="E13" s="168" t="n">
        <f aca="false">IF(G13=1,$D13,0)</f>
        <v>10000</v>
      </c>
      <c r="F13" s="296" t="n">
        <f aca="false">IF(G13=0,D13*$E$5*-1,0)</f>
        <v>0</v>
      </c>
      <c r="G13" s="297" t="n">
        <v>1</v>
      </c>
      <c r="H13" s="168" t="n">
        <f aca="false">IF(G13=1,D13*$E$5*-1,0)</f>
        <v>-2351</v>
      </c>
      <c r="I13" s="64" t="n">
        <f aca="false">I14+H13</f>
        <v>-65457.825646</v>
      </c>
    </row>
    <row r="14" customFormat="false" ht="12.75" hidden="false" customHeight="false" outlineLevel="0" collapsed="false">
      <c r="B14" s="299" t="n">
        <v>45194</v>
      </c>
      <c r="C14" s="87" t="s">
        <v>910</v>
      </c>
      <c r="D14" s="300" t="n">
        <v>3000</v>
      </c>
      <c r="E14" s="168" t="n">
        <f aca="false">IF(G14=1,$D14,0)</f>
        <v>3000</v>
      </c>
      <c r="F14" s="296" t="n">
        <f aca="false">IF(G14=0,D14*$E$5*-1,0)</f>
        <v>0</v>
      </c>
      <c r="G14" s="297" t="n">
        <v>1</v>
      </c>
      <c r="H14" s="168" t="n">
        <f aca="false">IF(G14=1,D14*$E$5*-1,0)</f>
        <v>-705.3</v>
      </c>
      <c r="I14" s="64" t="n">
        <f aca="false">I15+H14</f>
        <v>-63106.825646</v>
      </c>
    </row>
    <row r="15" customFormat="false" ht="12.75" hidden="false" customHeight="false" outlineLevel="0" collapsed="false">
      <c r="B15" s="299" t="n">
        <v>45192</v>
      </c>
      <c r="C15" s="87" t="s">
        <v>910</v>
      </c>
      <c r="D15" s="300" t="n">
        <v>83000</v>
      </c>
      <c r="E15" s="168" t="n">
        <f aca="false">IF(G15=1,$D15,0)</f>
        <v>83000</v>
      </c>
      <c r="F15" s="296" t="n">
        <f aca="false">IF(G15=0,D15*$E$5*-1,0)</f>
        <v>0</v>
      </c>
      <c r="G15" s="297" t="n">
        <v>1</v>
      </c>
      <c r="H15" s="168" t="n">
        <f aca="false">IF(G15=1,D15*$E$5*-1,0)</f>
        <v>-19513.3</v>
      </c>
      <c r="I15" s="64" t="n">
        <f aca="false">I16+H15</f>
        <v>-62401.525646</v>
      </c>
    </row>
    <row r="16" customFormat="false" ht="12.75" hidden="false" customHeight="false" outlineLevel="0" collapsed="false">
      <c r="B16" s="273" t="n">
        <v>45321</v>
      </c>
      <c r="C16" s="282" t="s">
        <v>893</v>
      </c>
      <c r="D16" s="225" t="n">
        <v>7000</v>
      </c>
      <c r="E16" s="168" t="n">
        <f aca="false">IF(G16=1,$D16,0)</f>
        <v>0</v>
      </c>
      <c r="F16" s="296" t="n">
        <f aca="false">IF(G16=0,D16*$E$5*-1,0)</f>
        <v>-1645.7</v>
      </c>
      <c r="G16" s="297" t="n">
        <v>0</v>
      </c>
      <c r="H16" s="168" t="n">
        <f aca="false">IF(G16=1,D16*$E$5*-1,0)</f>
        <v>0</v>
      </c>
      <c r="I16" s="64" t="n">
        <f aca="false">I17+H16</f>
        <v>-42888.225646</v>
      </c>
    </row>
    <row r="17" customFormat="false" ht="12.75" hidden="false" customHeight="false" outlineLevel="0" collapsed="false">
      <c r="B17" s="299" t="n">
        <v>45290</v>
      </c>
      <c r="C17" s="87" t="s">
        <v>911</v>
      </c>
      <c r="D17" s="300" t="n">
        <v>6000</v>
      </c>
      <c r="E17" s="168" t="n">
        <f aca="false">IF(G17=1,$D17,0)</f>
        <v>6000</v>
      </c>
      <c r="F17" s="296" t="n">
        <f aca="false">IF(G17=0,D17*$E$5*-1,0)</f>
        <v>0</v>
      </c>
      <c r="G17" s="297" t="n">
        <v>1</v>
      </c>
      <c r="H17" s="168" t="n">
        <f aca="false">IF(G17=1,D17*$E$5*-1,0)</f>
        <v>-1410.6</v>
      </c>
      <c r="I17" s="64" t="n">
        <f aca="false">I18+H17</f>
        <v>-42888.225646</v>
      </c>
    </row>
    <row r="18" customFormat="false" ht="12.75" hidden="false" customHeight="false" outlineLevel="0" collapsed="false">
      <c r="B18" s="299" t="n">
        <v>45260</v>
      </c>
      <c r="C18" s="87" t="s">
        <v>912</v>
      </c>
      <c r="D18" s="300" t="n">
        <v>6000</v>
      </c>
      <c r="E18" s="168" t="n">
        <f aca="false">IF(G18=1,$D18,0)</f>
        <v>6000</v>
      </c>
      <c r="F18" s="296" t="n">
        <f aca="false">IF(G18=0,D18*$E$5*-1,0)</f>
        <v>0</v>
      </c>
      <c r="G18" s="297" t="n">
        <v>1</v>
      </c>
      <c r="H18" s="168" t="n">
        <f aca="false">IF(G18=1,D18*$E$5*-1,0)</f>
        <v>-1410.6</v>
      </c>
      <c r="I18" s="64" t="n">
        <f aca="false">I19+H18</f>
        <v>-41477.625646</v>
      </c>
    </row>
    <row r="19" customFormat="false" ht="12.75" hidden="false" customHeight="false" outlineLevel="0" collapsed="false">
      <c r="B19" s="299" t="n">
        <v>45229</v>
      </c>
      <c r="C19" s="87" t="s">
        <v>913</v>
      </c>
      <c r="D19" s="300" t="n">
        <v>6000</v>
      </c>
      <c r="E19" s="168" t="n">
        <f aca="false">IF(G19=1,$D19,0)</f>
        <v>6000</v>
      </c>
      <c r="F19" s="296" t="n">
        <f aca="false">IF(G19=0,D19*$E$5*-1,0)</f>
        <v>0</v>
      </c>
      <c r="G19" s="297" t="n">
        <v>1</v>
      </c>
      <c r="H19" s="168" t="n">
        <f aca="false">IF(G19=1,D19*$E$5*-1,0)</f>
        <v>-1410.6</v>
      </c>
      <c r="I19" s="64" t="n">
        <f aca="false">I20+H19</f>
        <v>-40067.025646</v>
      </c>
    </row>
    <row r="20" customFormat="false" ht="12.75" hidden="false" customHeight="false" outlineLevel="0" collapsed="false">
      <c r="B20" s="299" t="n">
        <v>45199</v>
      </c>
      <c r="C20" s="87" t="s">
        <v>893</v>
      </c>
      <c r="D20" s="300" t="n">
        <v>6000</v>
      </c>
      <c r="E20" s="168" t="n">
        <f aca="false">IF(G20=1,$D20,0)</f>
        <v>6000</v>
      </c>
      <c r="F20" s="296" t="n">
        <f aca="false">IF(G20=0,D20*$E$5*-1,0)</f>
        <v>0</v>
      </c>
      <c r="G20" s="297" t="n">
        <v>1</v>
      </c>
      <c r="H20" s="168" t="n">
        <f aca="false">IF(G20=1,D20*$E$5*-1,0)</f>
        <v>-1410.6</v>
      </c>
      <c r="I20" s="64" t="n">
        <f aca="false">I21+H20</f>
        <v>-38656.425646</v>
      </c>
    </row>
    <row r="21" customFormat="false" ht="12.75" hidden="false" customHeight="false" outlineLevel="0" collapsed="false">
      <c r="B21" s="299" t="n">
        <v>45171</v>
      </c>
      <c r="C21" s="87" t="s">
        <v>893</v>
      </c>
      <c r="D21" s="300" t="n">
        <v>65000</v>
      </c>
      <c r="E21" s="168" t="n">
        <f aca="false">IF(G21=1,$D21,0)</f>
        <v>65000</v>
      </c>
      <c r="F21" s="296" t="n">
        <f aca="false">IF(G21=0,D21*$E$5*-1,0)</f>
        <v>0</v>
      </c>
      <c r="G21" s="297" t="n">
        <v>1</v>
      </c>
      <c r="H21" s="168" t="n">
        <f aca="false">IF(G21=1,D21*$E$5*-1,0)</f>
        <v>-15281.5</v>
      </c>
      <c r="I21" s="64" t="n">
        <f aca="false">I22+H21</f>
        <v>-37245.825646</v>
      </c>
    </row>
    <row r="22" customFormat="false" ht="12.75" hidden="false" customHeight="false" outlineLevel="0" collapsed="false">
      <c r="B22" s="299" t="n">
        <v>45122</v>
      </c>
      <c r="C22" s="87" t="s">
        <v>914</v>
      </c>
      <c r="D22" s="300" t="n">
        <v>50000</v>
      </c>
      <c r="E22" s="168" t="n">
        <f aca="false">IF(G22=1,$D22,0)</f>
        <v>50000</v>
      </c>
      <c r="F22" s="296" t="n">
        <f aca="false">IF(G22=0,D22*$E$5*-1,0)</f>
        <v>0</v>
      </c>
      <c r="G22" s="297" t="n">
        <v>1</v>
      </c>
      <c r="H22" s="168" t="n">
        <f aca="false">IF(G22=1,D22*$E$5*-1,0)</f>
        <v>-11755</v>
      </c>
      <c r="I22" s="64" t="n">
        <f aca="false">I23+H22</f>
        <v>-21964.325646</v>
      </c>
    </row>
    <row r="23" customFormat="false" ht="12.75" hidden="false" customHeight="false" outlineLevel="0" collapsed="false">
      <c r="B23" s="87"/>
      <c r="C23" s="87" t="s">
        <v>915</v>
      </c>
      <c r="D23" s="300" t="n">
        <v>28080</v>
      </c>
      <c r="E23" s="168" t="n">
        <f aca="false">IF(G23=1,$D23,0)</f>
        <v>28080</v>
      </c>
      <c r="F23" s="296" t="n">
        <f aca="false">IF(G23=0,D23*$E$5*-1,0)</f>
        <v>0</v>
      </c>
      <c r="G23" s="297" t="n">
        <v>1</v>
      </c>
      <c r="H23" s="168" t="n">
        <f aca="false">IF(G23=1,D23*$E$5*-1,0)</f>
        <v>-6601.608</v>
      </c>
      <c r="I23" s="64" t="n">
        <f aca="false">I24+H23</f>
        <v>-10209.325646</v>
      </c>
    </row>
    <row r="24" customFormat="false" ht="12.75" hidden="false" customHeight="false" outlineLevel="0" collapsed="false">
      <c r="B24" s="87"/>
      <c r="C24" s="87" t="s">
        <v>916</v>
      </c>
      <c r="D24" s="300" t="n">
        <v>8425.46</v>
      </c>
      <c r="E24" s="168" t="n">
        <f aca="false">IF(G24=1,$D24,0)</f>
        <v>8425.46</v>
      </c>
      <c r="F24" s="296" t="n">
        <f aca="false">IF(G24=0,D24*$E$5*-1,0)</f>
        <v>0</v>
      </c>
      <c r="G24" s="297" t="n">
        <v>1</v>
      </c>
      <c r="H24" s="168" t="n">
        <f aca="false">IF(G24=1,D24*$E$5*-1,0)</f>
        <v>-1980.825646</v>
      </c>
      <c r="I24" s="64" t="n">
        <f aca="false">I25+H24</f>
        <v>-3607.717646</v>
      </c>
    </row>
    <row r="25" customFormat="false" ht="12.75" hidden="false" customHeight="false" outlineLevel="0" collapsed="false">
      <c r="B25" s="299" t="n">
        <v>44963</v>
      </c>
      <c r="C25" s="87" t="s">
        <v>917</v>
      </c>
      <c r="D25" s="300" t="n">
        <v>6920</v>
      </c>
      <c r="E25" s="168" t="n">
        <f aca="false">IF(G25=1,$D25,0)</f>
        <v>6920</v>
      </c>
      <c r="F25" s="296" t="n">
        <f aca="false">IF(G25=0,D25*$E$5*-1,0)</f>
        <v>0</v>
      </c>
      <c r="G25" s="307" t="n">
        <v>1</v>
      </c>
      <c r="H25" s="168" t="n">
        <f aca="false">IF(G25=1,D25*$E$5*-1,0)</f>
        <v>-1626.892</v>
      </c>
      <c r="I25" s="64" t="n">
        <f aca="false">I26+H25</f>
        <v>-1626.892</v>
      </c>
    </row>
    <row r="27" customFormat="false" ht="12.75" hidden="false" customHeight="false" outlineLevel="0" collapsed="false">
      <c r="C27" s="0" t="s">
        <v>890</v>
      </c>
      <c r="D27" s="64" t="n">
        <f aca="false">SUBTOTAL(109,$D$7:$D$26)</f>
        <v>514468.97</v>
      </c>
      <c r="E27" s="64" t="n">
        <f aca="false">SUBTOTAL(109,$E$9:$E$26)</f>
        <v>513312.52</v>
      </c>
      <c r="F27" s="64" t="n">
        <f aca="false">SUM(F8:F25)</f>
        <v>-1645.7</v>
      </c>
      <c r="H27" s="64" t="n">
        <f aca="false">SUBTOTAL(109,$H$7:$H$26)</f>
        <v>-119305.954847</v>
      </c>
      <c r="I27" s="64"/>
    </row>
    <row r="28" customFormat="false" ht="12.75" hidden="false" customHeight="false" outlineLevel="0" collapsed="false">
      <c r="C28" s="0" t="s">
        <v>918</v>
      </c>
      <c r="D28" s="64"/>
      <c r="E28" s="64" t="n">
        <f aca="false">E8</f>
        <v>-5843.55</v>
      </c>
      <c r="F28" s="64"/>
      <c r="H28" s="64"/>
      <c r="I28" s="64"/>
    </row>
    <row r="29" customFormat="false" ht="12.75" hidden="false" customHeight="false" outlineLevel="0" collapsed="false">
      <c r="C29" s="0" t="s">
        <v>919</v>
      </c>
      <c r="D29" s="64"/>
      <c r="E29" s="64" t="n">
        <f aca="false">E28+E27</f>
        <v>507468.97</v>
      </c>
      <c r="F29" s="64"/>
      <c r="H29" s="64"/>
      <c r="I29" s="64"/>
    </row>
    <row r="30" customFormat="false" ht="12.75" hidden="false" customHeight="false" outlineLevel="0" collapsed="false">
      <c r="D30" s="64"/>
      <c r="E30" s="64"/>
      <c r="F30" s="64"/>
      <c r="H30" s="64"/>
      <c r="I30" s="64"/>
    </row>
    <row r="31" customFormat="false" ht="12.75" hidden="false" customHeight="false" outlineLevel="0" collapsed="false">
      <c r="D31" s="168" t="s">
        <v>896</v>
      </c>
      <c r="E31" s="64" t="s">
        <v>897</v>
      </c>
      <c r="F31" s="64" t="s">
        <v>898</v>
      </c>
      <c r="H31" s="308"/>
      <c r="I31" s="308"/>
      <c r="J31" s="287"/>
    </row>
    <row r="32" customFormat="false" ht="15" hidden="false" customHeight="false" outlineLevel="0" collapsed="false">
      <c r="C32" s="0" t="s">
        <v>899</v>
      </c>
      <c r="D32" s="309" t="n">
        <v>1</v>
      </c>
      <c r="E32" s="310" t="n">
        <f aca="false">1-F32</f>
        <v>0.7649</v>
      </c>
      <c r="F32" s="310" t="n">
        <v>0.2351</v>
      </c>
      <c r="I32" s="64"/>
    </row>
    <row r="33" customFormat="false" ht="12.75" hidden="false" customHeight="false" outlineLevel="0" collapsed="false">
      <c r="C33" s="0" t="s">
        <v>900</v>
      </c>
      <c r="D33" s="311" t="n">
        <f aca="false">$D$27*D32</f>
        <v>514468.97</v>
      </c>
      <c r="E33" s="312" t="n">
        <f aca="false">$D$27*E32</f>
        <v>393517.315153</v>
      </c>
      <c r="F33" s="312" t="n">
        <f aca="false">$D$27*F32</f>
        <v>120951.654847</v>
      </c>
      <c r="I33" s="64"/>
    </row>
    <row r="34" customFormat="false" ht="12.75" hidden="false" customHeight="false" outlineLevel="0" collapsed="false">
      <c r="C34" s="0" t="s">
        <v>901</v>
      </c>
      <c r="D34" s="168" t="n">
        <f aca="false">E34+F34</f>
        <v>507468.97</v>
      </c>
      <c r="E34" s="64" t="n">
        <f aca="false">F34/F32*E32</f>
        <v>388163.015153</v>
      </c>
      <c r="F34" s="64" t="n">
        <f aca="false">$H$27*-1</f>
        <v>119305.954847</v>
      </c>
      <c r="H34" s="313"/>
      <c r="I34" s="64"/>
      <c r="K34" s="64"/>
    </row>
    <row r="35" customFormat="false" ht="12.75" hidden="false" customHeight="false" outlineLevel="0" collapsed="false">
      <c r="C35" s="0" t="s">
        <v>902</v>
      </c>
      <c r="D35" s="168" t="n">
        <f aca="false">D33-D34</f>
        <v>6999.99999999994</v>
      </c>
      <c r="E35" s="64" t="n">
        <f aca="false">E33-E34</f>
        <v>5354.29999999999</v>
      </c>
      <c r="F35" s="64" t="n">
        <f aca="false">F33-F34</f>
        <v>1645.7</v>
      </c>
      <c r="H35" s="64"/>
      <c r="I35" s="64"/>
      <c r="K35" s="64"/>
    </row>
    <row r="36" customFormat="false" ht="12.75" hidden="false" customHeight="false" outlineLevel="0" collapsed="false">
      <c r="D36" s="314"/>
      <c r="E36" s="314"/>
      <c r="F36" s="314"/>
      <c r="H36" s="64"/>
      <c r="I36" s="64"/>
      <c r="K36" s="64"/>
    </row>
    <row r="37" customFormat="false" ht="12.75" hidden="false" customHeight="false" outlineLevel="0" collapsed="false">
      <c r="I37" s="64"/>
      <c r="K37" s="64"/>
    </row>
    <row r="38" customFormat="false" ht="12.75" hidden="false" customHeight="false" outlineLevel="0" collapsed="false">
      <c r="D38" s="18" t="s">
        <v>903</v>
      </c>
      <c r="E38" s="18" t="s">
        <v>904</v>
      </c>
      <c r="F38" s="18" t="s">
        <v>905</v>
      </c>
      <c r="H38" s="64"/>
      <c r="I38" s="64"/>
      <c r="K38" s="64"/>
    </row>
    <row r="39" customFormat="false" ht="12.75" hidden="false" customHeight="false" outlineLevel="0" collapsed="false">
      <c r="C39" s="0" t="s">
        <v>920</v>
      </c>
      <c r="D39" s="64" t="n">
        <f aca="false">F34</f>
        <v>119305.954847</v>
      </c>
      <c r="E39" s="315" t="n">
        <v>0.025</v>
      </c>
      <c r="F39" s="64" t="n">
        <f aca="false">D39*E39</f>
        <v>2982.648871175</v>
      </c>
      <c r="I39" s="64"/>
      <c r="K39" s="64"/>
    </row>
    <row r="40" customFormat="false" ht="12.75" hidden="false" customHeight="false" outlineLevel="0" collapsed="false">
      <c r="C40" s="64" t="s">
        <v>809</v>
      </c>
      <c r="D40" s="64" t="n">
        <f aca="false">E34</f>
        <v>388163.015153</v>
      </c>
      <c r="E40" s="176" t="n">
        <v>0.025</v>
      </c>
      <c r="F40" s="64" t="n">
        <f aca="false">D40*E40</f>
        <v>9704.075378825</v>
      </c>
      <c r="I40" s="64"/>
    </row>
    <row r="41" customFormat="false" ht="12.75" hidden="false" customHeight="false" outlineLevel="0" collapsed="false">
      <c r="F41" s="64"/>
      <c r="H41" s="64"/>
      <c r="I41" s="6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false"/>
  </sheetPr>
  <dimension ref="A1:H131"/>
  <sheetViews>
    <sheetView showFormulas="false" showGridLines="true" showRowColHeaders="true" showZeros="true" rightToLeft="false" tabSelected="false" showOutlineSymbols="true" defaultGridColor="true" view="normal" topLeftCell="A12" colorId="64" zoomScale="170" zoomScaleNormal="170" zoomScalePageLayoutView="100" workbookViewId="0">
      <selection pane="topLeft" activeCell="A111" activeCellId="0" sqref="A111"/>
    </sheetView>
  </sheetViews>
  <sheetFormatPr defaultColWidth="12.29296875" defaultRowHeight="12.75" zeroHeight="false" outlineLevelRow="0" outlineLevelCol="0"/>
  <cols>
    <col collapsed="false" customWidth="true" hidden="false" outlineLevel="0" max="1" min="1" style="0" width="12.43"/>
    <col collapsed="false" customWidth="true" hidden="false" outlineLevel="0" max="2" min="2" style="0" width="32.43"/>
    <col collapsed="false" customWidth="true" hidden="false" outlineLevel="0" max="3" min="3" style="0" width="11.14"/>
    <col collapsed="false" customWidth="true" hidden="false" outlineLevel="0" max="4" min="4" style="0" width="11.86"/>
    <col collapsed="false" customWidth="true" hidden="false" outlineLevel="0" max="5" min="5" style="0" width="11.71"/>
    <col collapsed="false" customWidth="true" hidden="false" outlineLevel="0" max="6" min="6" style="0" width="12.14"/>
    <col collapsed="false" customWidth="true" hidden="false" outlineLevel="0" max="7" min="7" style="0" width="11.14"/>
    <col collapsed="false" customWidth="true" hidden="false" outlineLevel="0" max="8" min="8" style="0" width="13.43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E1" s="194"/>
      <c r="F1" s="194" t="s">
        <v>28</v>
      </c>
      <c r="G1" s="194" t="s">
        <v>29</v>
      </c>
      <c r="H1" s="194" t="s">
        <v>3</v>
      </c>
    </row>
    <row r="2" customFormat="false" ht="12.75" hidden="false" customHeight="false" outlineLevel="0" collapsed="false">
      <c r="A2" s="3" t="s">
        <v>921</v>
      </c>
      <c r="C2" s="81" t="s">
        <v>67</v>
      </c>
      <c r="D2" s="311" t="n">
        <f aca="false">SUM(D5:D35)</f>
        <v>22800</v>
      </c>
      <c r="E2" s="311" t="n">
        <f aca="false">SUM(E5:E35)</f>
        <v>-38101.83</v>
      </c>
      <c r="F2" s="311" t="n">
        <f aca="false">SUM(F5:F35)</f>
        <v>16232.53</v>
      </c>
      <c r="G2" s="311" t="n">
        <f aca="false">SUM(G5:G35)</f>
        <v>-41854.23</v>
      </c>
      <c r="H2" s="311" t="n">
        <f aca="false">F2+G2</f>
        <v>-25621.7</v>
      </c>
    </row>
    <row r="3" customFormat="false" ht="12.75" hidden="false" customHeight="false" outlineLevel="0" collapsed="false">
      <c r="B3" s="18"/>
      <c r="H3" s="64"/>
    </row>
    <row r="4" customFormat="false" ht="12.75" hidden="false" customHeight="false" outlineLevel="0" collapsed="false">
      <c r="A4" s="170" t="n">
        <v>45259</v>
      </c>
      <c r="B4" s="316" t="s">
        <v>434</v>
      </c>
      <c r="C4" s="8" t="s">
        <v>442</v>
      </c>
      <c r="E4" s="64" t="n">
        <v>-152</v>
      </c>
      <c r="G4" s="64" t="n">
        <v>-152</v>
      </c>
      <c r="H4" s="64" t="n">
        <f aca="false">H3+F4+G4</f>
        <v>-152</v>
      </c>
    </row>
    <row r="5" customFormat="false" ht="12.75" hidden="false" customHeight="false" outlineLevel="0" collapsed="false">
      <c r="A5" s="170" t="n">
        <v>45260</v>
      </c>
      <c r="B5" s="103" t="s">
        <v>80</v>
      </c>
      <c r="C5" s="103"/>
      <c r="D5" s="103"/>
      <c r="E5" s="64" t="n">
        <v>-400</v>
      </c>
      <c r="G5" s="0" t="n">
        <v>-240</v>
      </c>
      <c r="H5" s="64" t="n">
        <f aca="false">H4+F5+G5</f>
        <v>-392</v>
      </c>
    </row>
    <row r="6" customFormat="false" ht="12.75" hidden="false" customHeight="false" outlineLevel="0" collapsed="false">
      <c r="A6" s="170" t="n">
        <v>45260</v>
      </c>
      <c r="B6" s="103" t="s">
        <v>81</v>
      </c>
      <c r="C6" s="103"/>
      <c r="D6" s="103"/>
      <c r="E6" s="64" t="n">
        <v>-500</v>
      </c>
      <c r="G6" s="0" t="n">
        <v>-455</v>
      </c>
      <c r="H6" s="64" t="n">
        <f aca="false">H5+F6+G6</f>
        <v>-847</v>
      </c>
    </row>
    <row r="7" customFormat="false" ht="12.75" hidden="false" customHeight="false" outlineLevel="0" collapsed="false">
      <c r="A7" s="170" t="n">
        <v>45264</v>
      </c>
      <c r="B7" s="103" t="s">
        <v>922</v>
      </c>
      <c r="C7" s="103"/>
      <c r="D7" s="103"/>
      <c r="E7" s="64" t="n">
        <v>-250</v>
      </c>
      <c r="G7" s="64" t="n">
        <f aca="false">E7</f>
        <v>-250</v>
      </c>
      <c r="H7" s="64" t="n">
        <f aca="false">H6+F7+G7</f>
        <v>-1097</v>
      </c>
    </row>
    <row r="8" customFormat="false" ht="12.75" hidden="false" customHeight="false" outlineLevel="0" collapsed="false">
      <c r="B8" s="103" t="s">
        <v>923</v>
      </c>
      <c r="C8" s="103"/>
      <c r="D8" s="103"/>
      <c r="E8" s="168"/>
      <c r="H8" s="64" t="n">
        <f aca="false">H7+F8+G8</f>
        <v>-1097</v>
      </c>
    </row>
    <row r="9" customFormat="false" ht="12.75" hidden="false" customHeight="false" outlineLevel="0" collapsed="false">
      <c r="B9" s="103" t="s">
        <v>924</v>
      </c>
      <c r="C9" s="103"/>
      <c r="D9" s="103"/>
      <c r="E9" s="168"/>
      <c r="H9" s="64" t="n">
        <f aca="false">H8+F9+G9</f>
        <v>-1097</v>
      </c>
    </row>
    <row r="10" customFormat="false" ht="12.75" hidden="false" customHeight="false" outlineLevel="0" collapsed="false">
      <c r="B10" s="103" t="s">
        <v>121</v>
      </c>
      <c r="C10" s="103"/>
      <c r="D10" s="103"/>
      <c r="E10" s="168"/>
      <c r="H10" s="64" t="n">
        <f aca="false">H9+F10+G10</f>
        <v>-1097</v>
      </c>
    </row>
    <row r="11" customFormat="false" ht="12.75" hidden="false" customHeight="false" outlineLevel="0" collapsed="false">
      <c r="B11" s="183" t="s">
        <v>72</v>
      </c>
      <c r="D11" s="64"/>
      <c r="E11" s="64" t="n">
        <f aca="false">E52*-1</f>
        <v>-138.01</v>
      </c>
      <c r="F11" s="64"/>
      <c r="G11" s="64" t="n">
        <f aca="false">E11</f>
        <v>-138.01</v>
      </c>
      <c r="H11" s="64" t="n">
        <f aca="false">H10+F11+G11</f>
        <v>-1235.01</v>
      </c>
    </row>
    <row r="12" customFormat="false" ht="12.75" hidden="false" customHeight="false" outlineLevel="0" collapsed="false">
      <c r="B12" s="183" t="s">
        <v>68</v>
      </c>
      <c r="E12" s="64" t="n">
        <f aca="false">E58</f>
        <v>-4628.58</v>
      </c>
      <c r="F12" s="64"/>
      <c r="G12" s="64" t="n">
        <f aca="false">E12</f>
        <v>-4628.58</v>
      </c>
      <c r="H12" s="64" t="n">
        <f aca="false">H11+F12+G12</f>
        <v>-5863.59</v>
      </c>
    </row>
    <row r="13" customFormat="false" ht="12.75" hidden="false" customHeight="false" outlineLevel="0" collapsed="false">
      <c r="A13" s="170" t="n">
        <v>45264</v>
      </c>
      <c r="B13" s="183" t="s">
        <v>69</v>
      </c>
      <c r="E13" s="64" t="n">
        <f aca="false">E81</f>
        <v>-11990.16</v>
      </c>
      <c r="G13" s="64" t="n">
        <f aca="false">E13</f>
        <v>-11990.16</v>
      </c>
      <c r="H13" s="64" t="n">
        <f aca="false">H12+F13+G13</f>
        <v>-17853.75</v>
      </c>
    </row>
    <row r="14" customFormat="false" ht="12.75" hidden="false" customHeight="false" outlineLevel="0" collapsed="false">
      <c r="A14" s="165"/>
      <c r="B14" s="103" t="s">
        <v>925</v>
      </c>
      <c r="C14" s="103"/>
      <c r="D14" s="103"/>
      <c r="E14" s="64" t="n">
        <v>-5375</v>
      </c>
      <c r="G14" s="64" t="n">
        <f aca="false">E14</f>
        <v>-5375</v>
      </c>
      <c r="H14" s="64" t="n">
        <f aca="false">H13+F14+G14</f>
        <v>-23228.75</v>
      </c>
    </row>
    <row r="15" customFormat="false" ht="12.75" hidden="false" customHeight="false" outlineLevel="0" collapsed="false">
      <c r="A15" s="165"/>
      <c r="B15" s="103" t="s">
        <v>925</v>
      </c>
      <c r="C15" s="103"/>
      <c r="D15" s="103"/>
      <c r="E15" s="64" t="n">
        <v>-2125</v>
      </c>
      <c r="G15" s="64" t="n">
        <f aca="false">E15</f>
        <v>-2125</v>
      </c>
      <c r="H15" s="64" t="n">
        <f aca="false">H14+F15+G15</f>
        <v>-25353.75</v>
      </c>
    </row>
    <row r="16" customFormat="false" ht="12.75" hidden="false" customHeight="false" outlineLevel="0" collapsed="false">
      <c r="B16" s="103" t="s">
        <v>926</v>
      </c>
      <c r="C16" s="103"/>
      <c r="D16" s="103"/>
      <c r="E16" s="64" t="n">
        <v>-945.08</v>
      </c>
      <c r="F16" s="168"/>
      <c r="G16" s="64" t="n">
        <f aca="false">E16</f>
        <v>-945.08</v>
      </c>
      <c r="H16" s="64" t="n">
        <f aca="false">H15+F16+G16</f>
        <v>-26298.83</v>
      </c>
    </row>
    <row r="17" customFormat="false" ht="12.75" hidden="false" customHeight="false" outlineLevel="0" collapsed="false">
      <c r="B17" s="103" t="s">
        <v>75</v>
      </c>
      <c r="C17" s="103"/>
      <c r="D17" s="103"/>
      <c r="E17" s="64" t="n">
        <v>-150</v>
      </c>
      <c r="F17" s="168"/>
      <c r="G17" s="64" t="n">
        <v>-133.4</v>
      </c>
      <c r="H17" s="64" t="n">
        <f aca="false">H16+F17+G17</f>
        <v>-26432.23</v>
      </c>
    </row>
    <row r="18" customFormat="false" ht="12.75" hidden="false" customHeight="false" outlineLevel="0" collapsed="false">
      <c r="B18" s="108" t="s">
        <v>73</v>
      </c>
      <c r="C18" s="108"/>
      <c r="D18" s="108"/>
      <c r="E18" s="64" t="n">
        <v>-1000</v>
      </c>
      <c r="F18" s="168"/>
      <c r="G18" s="64" t="n">
        <v>-621</v>
      </c>
      <c r="H18" s="64" t="n">
        <f aca="false">H17+F18+G18</f>
        <v>-27053.23</v>
      </c>
    </row>
    <row r="19" customFormat="false" ht="12.75" hidden="false" customHeight="false" outlineLevel="0" collapsed="false">
      <c r="B19" s="108" t="s">
        <v>74</v>
      </c>
      <c r="C19" s="108"/>
      <c r="D19" s="108"/>
      <c r="E19" s="64" t="n">
        <v>-100</v>
      </c>
      <c r="F19" s="168"/>
      <c r="G19" s="64" t="n">
        <v>0</v>
      </c>
      <c r="H19" s="64" t="n">
        <f aca="false">H18+F19+G19</f>
        <v>-27053.23</v>
      </c>
    </row>
    <row r="20" customFormat="false" ht="12.75" hidden="false" customHeight="false" outlineLevel="0" collapsed="false">
      <c r="A20" s="170" t="n">
        <v>45272</v>
      </c>
      <c r="B20" s="108" t="s">
        <v>77</v>
      </c>
      <c r="C20" s="108"/>
      <c r="D20" s="108"/>
      <c r="E20" s="168"/>
      <c r="F20" s="168"/>
      <c r="G20" s="64" t="n">
        <v>-3512</v>
      </c>
      <c r="H20" s="64" t="n">
        <f aca="false">H19+F20+G20</f>
        <v>-30565.23</v>
      </c>
    </row>
    <row r="21" customFormat="false" ht="12.75" hidden="false" customHeight="false" outlineLevel="0" collapsed="false">
      <c r="A21" s="170" t="n">
        <v>45287</v>
      </c>
      <c r="B21" s="8" t="s">
        <v>77</v>
      </c>
      <c r="E21" s="64" t="n">
        <v>-3500</v>
      </c>
      <c r="F21" s="64"/>
      <c r="G21" s="64" t="n">
        <v>-3512</v>
      </c>
      <c r="H21" s="64" t="n">
        <f aca="false">H20+F21+G21</f>
        <v>-34077.23</v>
      </c>
    </row>
    <row r="22" customFormat="false" ht="12.75" hidden="false" customHeight="false" outlineLevel="0" collapsed="false">
      <c r="A22" s="170" t="n">
        <v>45287</v>
      </c>
      <c r="B22" s="8" t="s">
        <v>78</v>
      </c>
      <c r="E22" s="64" t="n">
        <v>-3500</v>
      </c>
      <c r="F22" s="64"/>
      <c r="G22" s="64" t="n">
        <v>-3512</v>
      </c>
      <c r="H22" s="64" t="n">
        <f aca="false">H21+F22+G22</f>
        <v>-37589.23</v>
      </c>
    </row>
    <row r="23" customFormat="false" ht="12.75" hidden="false" customHeight="false" outlineLevel="0" collapsed="false">
      <c r="B23" s="0" t="s">
        <v>79</v>
      </c>
      <c r="E23" s="64" t="n">
        <v>-3500</v>
      </c>
      <c r="F23" s="64"/>
      <c r="G23" s="64" t="n">
        <v>-3512</v>
      </c>
      <c r="H23" s="64" t="n">
        <f aca="false">H22+F23+G23</f>
        <v>-41101.23</v>
      </c>
    </row>
    <row r="24" customFormat="false" ht="12.75" hidden="false" customHeight="false" outlineLevel="0" collapsed="false">
      <c r="B24" s="0" t="s">
        <v>927</v>
      </c>
      <c r="E24" s="168"/>
      <c r="F24" s="64"/>
      <c r="G24" s="64" t="n">
        <v>-155</v>
      </c>
      <c r="H24" s="64" t="n">
        <f aca="false">H23+F24+G24</f>
        <v>-41256.23</v>
      </c>
    </row>
    <row r="25" customFormat="false" ht="12.75" hidden="false" customHeight="false" outlineLevel="0" collapsed="false">
      <c r="A25" s="170" t="n">
        <v>45655</v>
      </c>
      <c r="B25" s="103" t="s">
        <v>80</v>
      </c>
      <c r="C25" s="103"/>
      <c r="D25" s="103"/>
      <c r="E25" s="168"/>
      <c r="F25" s="64"/>
      <c r="G25" s="64" t="n">
        <v>-250</v>
      </c>
      <c r="H25" s="64" t="n">
        <f aca="false">H24+F25+G25</f>
        <v>-41506.23</v>
      </c>
    </row>
    <row r="26" customFormat="false" ht="12.75" hidden="false" customHeight="false" outlineLevel="0" collapsed="false">
      <c r="A26" s="170" t="n">
        <v>45655</v>
      </c>
      <c r="B26" s="103" t="s">
        <v>81</v>
      </c>
      <c r="C26" s="103"/>
      <c r="D26" s="103"/>
      <c r="E26" s="168"/>
      <c r="F26" s="64"/>
      <c r="G26" s="64" t="n">
        <v>-500</v>
      </c>
      <c r="H26" s="64" t="n">
        <f aca="false">H25+F26+G26</f>
        <v>-42006.23</v>
      </c>
    </row>
    <row r="27" customFormat="false" ht="12.75" hidden="false" customHeight="false" outlineLevel="0" collapsed="false">
      <c r="E27" s="168"/>
      <c r="F27" s="64"/>
      <c r="G27" s="64"/>
      <c r="H27" s="64" t="n">
        <f aca="false">H26+F27+G27</f>
        <v>-42006.23</v>
      </c>
    </row>
    <row r="28" customFormat="false" ht="12.75" hidden="false" customHeight="false" outlineLevel="0" collapsed="false">
      <c r="B28" s="0" t="s">
        <v>76</v>
      </c>
      <c r="D28" s="191" t="n">
        <v>7500</v>
      </c>
      <c r="F28" s="64" t="n">
        <v>7432.53</v>
      </c>
      <c r="G28" s="64"/>
      <c r="H28" s="64" t="n">
        <f aca="false">H27+F28+G28</f>
        <v>-34573.7</v>
      </c>
    </row>
    <row r="29" customFormat="false" ht="12.75" hidden="false" customHeight="false" outlineLevel="0" collapsed="false">
      <c r="A29" s="170" t="n">
        <v>45275</v>
      </c>
      <c r="B29" s="8" t="s">
        <v>928</v>
      </c>
      <c r="D29" s="191" t="n">
        <v>2800</v>
      </c>
      <c r="F29" s="64" t="n">
        <v>2800</v>
      </c>
      <c r="G29" s="64"/>
      <c r="H29" s="64" t="n">
        <f aca="false">H28+F29+G29</f>
        <v>-31773.7</v>
      </c>
    </row>
    <row r="30" customFormat="false" ht="12.75" hidden="false" customHeight="false" outlineLevel="0" collapsed="false">
      <c r="A30" s="165" t="n">
        <v>45293</v>
      </c>
      <c r="B30" s="8" t="s">
        <v>766</v>
      </c>
      <c r="D30" s="191" t="n">
        <v>6500</v>
      </c>
      <c r="F30" s="64"/>
      <c r="G30" s="64"/>
      <c r="H30" s="64" t="n">
        <f aca="false">H29+F30+G30</f>
        <v>-31773.7</v>
      </c>
    </row>
    <row r="31" customFormat="false" ht="12.75" hidden="false" customHeight="false" outlineLevel="0" collapsed="false">
      <c r="A31" s="165"/>
      <c r="D31" s="104"/>
      <c r="H31" s="64" t="n">
        <f aca="false">H30+F31+G31</f>
        <v>-31773.7</v>
      </c>
    </row>
    <row r="32" customFormat="false" ht="12.75" hidden="false" customHeight="false" outlineLevel="0" collapsed="false">
      <c r="A32" s="165" t="n">
        <v>45294</v>
      </c>
      <c r="B32" s="8" t="s">
        <v>768</v>
      </c>
      <c r="D32" s="191" t="n">
        <v>6000</v>
      </c>
      <c r="F32" s="64"/>
      <c r="G32" s="64"/>
      <c r="H32" s="64" t="n">
        <f aca="false">H31+F32+G32</f>
        <v>-31773.7</v>
      </c>
    </row>
    <row r="33" customFormat="false" ht="12.75" hidden="false" customHeight="false" outlineLevel="0" collapsed="false">
      <c r="A33" s="165" t="n">
        <v>45266</v>
      </c>
      <c r="B33" s="8" t="s">
        <v>929</v>
      </c>
      <c r="D33" s="104"/>
      <c r="F33" s="64" t="n">
        <v>6000</v>
      </c>
      <c r="G33" s="64"/>
      <c r="H33" s="64" t="n">
        <f aca="false">H32+F33+G33</f>
        <v>-25773.7</v>
      </c>
    </row>
    <row r="34" customFormat="false" ht="12.75" hidden="false" customHeight="false" outlineLevel="0" collapsed="false">
      <c r="D34" s="104"/>
      <c r="F34" s="64"/>
      <c r="G34" s="64"/>
      <c r="H34" s="64" t="n">
        <f aca="false">H33+F34+G34</f>
        <v>-25773.7</v>
      </c>
    </row>
    <row r="35" customFormat="false" ht="12.75" hidden="false" customHeight="false" outlineLevel="0" collapsed="false">
      <c r="D35" s="104"/>
      <c r="F35" s="64"/>
      <c r="G35" s="64"/>
      <c r="H35" s="64" t="n">
        <f aca="false">H34+F35+G35</f>
        <v>-25773.7</v>
      </c>
    </row>
    <row r="41" customFormat="false" ht="12.75" hidden="false" customHeight="false" outlineLevel="0" collapsed="false">
      <c r="A41" s="105" t="s">
        <v>335</v>
      </c>
      <c r="B41" s="105"/>
      <c r="C41" s="105"/>
      <c r="D41" s="105"/>
      <c r="E41" s="163"/>
      <c r="G41" s="64"/>
      <c r="H41" s="64"/>
    </row>
    <row r="42" customFormat="false" ht="12.75" hidden="false" customHeight="false" outlineLevel="0" collapsed="false">
      <c r="A42" s="317"/>
      <c r="B42" s="317"/>
      <c r="C42" s="317"/>
      <c r="D42" s="317"/>
      <c r="E42" s="318"/>
      <c r="H42" s="64"/>
    </row>
    <row r="43" customFormat="false" ht="12.75" hidden="false" customHeight="false" outlineLevel="0" collapsed="false">
      <c r="A43" s="317"/>
      <c r="B43" s="317"/>
      <c r="C43" s="319"/>
      <c r="D43" s="317"/>
      <c r="E43" s="317"/>
      <c r="H43" s="64"/>
    </row>
    <row r="44" customFormat="false" ht="12.75" hidden="false" customHeight="false" outlineLevel="0" collapsed="false">
      <c r="A44" s="317"/>
      <c r="B44" s="317"/>
      <c r="C44" s="319"/>
      <c r="D44" s="317"/>
      <c r="E44" s="317"/>
      <c r="H44" s="64"/>
    </row>
    <row r="45" customFormat="false" ht="12.75" hidden="false" customHeight="false" outlineLevel="0" collapsed="false">
      <c r="C45" s="176"/>
      <c r="H45" s="64"/>
    </row>
    <row r="46" customFormat="false" ht="12.75" hidden="false" customHeight="false" outlineLevel="0" collapsed="false">
      <c r="A46" s="320" t="n">
        <v>44929</v>
      </c>
      <c r="B46" s="178" t="s">
        <v>336</v>
      </c>
      <c r="C46" s="105"/>
      <c r="D46" s="206" t="n">
        <f aca="false">SUM(D47:D54)</f>
        <v>5357.51</v>
      </c>
      <c r="E46" s="206" t="n">
        <f aca="false">SUM(E47:E53)</f>
        <v>5360.01</v>
      </c>
      <c r="H46" s="64"/>
    </row>
    <row r="47" customFormat="false" ht="12.75" hidden="false" customHeight="false" outlineLevel="0" collapsed="false">
      <c r="B47" s="0" t="s">
        <v>930</v>
      </c>
      <c r="C47" s="0" t="s">
        <v>156</v>
      </c>
      <c r="D47" s="0" t="n">
        <v>947.93</v>
      </c>
      <c r="E47" s="64" t="n">
        <v>950</v>
      </c>
      <c r="F47" s="64"/>
      <c r="G47" s="64"/>
    </row>
    <row r="48" customFormat="false" ht="12.75" hidden="false" customHeight="false" outlineLevel="0" collapsed="false">
      <c r="B48" s="0" t="s">
        <v>338</v>
      </c>
      <c r="C48" s="0" t="s">
        <v>931</v>
      </c>
      <c r="D48" s="0" t="n">
        <v>1830.06</v>
      </c>
      <c r="E48" s="64" t="n">
        <v>1830</v>
      </c>
      <c r="F48" s="64"/>
      <c r="G48" s="64"/>
    </row>
    <row r="49" customFormat="false" ht="12.75" hidden="false" customHeight="false" outlineLevel="0" collapsed="false">
      <c r="B49" s="0" t="s">
        <v>339</v>
      </c>
      <c r="C49" s="0" t="s">
        <v>931</v>
      </c>
      <c r="D49" s="0" t="n">
        <v>209.55</v>
      </c>
      <c r="E49" s="0" t="n">
        <v>210</v>
      </c>
      <c r="F49" s="64"/>
      <c r="G49" s="64"/>
    </row>
    <row r="50" customFormat="false" ht="12.75" hidden="false" customHeight="false" outlineLevel="0" collapsed="false">
      <c r="B50" s="0" t="s">
        <v>340</v>
      </c>
      <c r="C50" s="0" t="s">
        <v>932</v>
      </c>
      <c r="D50" s="0" t="n">
        <v>1732.62</v>
      </c>
      <c r="E50" s="0" t="n">
        <v>1732</v>
      </c>
      <c r="F50" s="64"/>
      <c r="G50" s="64"/>
    </row>
    <row r="51" customFormat="false" ht="12.75" hidden="false" customHeight="false" outlineLevel="0" collapsed="false">
      <c r="B51" s="0" t="s">
        <v>341</v>
      </c>
      <c r="C51" s="0" t="s">
        <v>931</v>
      </c>
      <c r="D51" s="0" t="n">
        <v>499.34</v>
      </c>
      <c r="E51" s="0" t="n">
        <v>500</v>
      </c>
      <c r="F51" s="64"/>
      <c r="G51" s="64"/>
    </row>
    <row r="52" customFormat="false" ht="12.75" hidden="false" customHeight="false" outlineLevel="0" collapsed="false">
      <c r="B52" s="0" t="s">
        <v>342</v>
      </c>
      <c r="C52" s="108"/>
      <c r="D52" s="108" t="n">
        <v>138.01</v>
      </c>
      <c r="E52" s="0" t="n">
        <v>138.01</v>
      </c>
      <c r="F52" s="64"/>
      <c r="G52" s="64"/>
    </row>
    <row r="53" customFormat="false" ht="12.75" hidden="false" customHeight="false" outlineLevel="0" collapsed="false">
      <c r="C53" s="108"/>
      <c r="E53" s="108"/>
      <c r="F53" s="64"/>
      <c r="G53" s="64"/>
    </row>
    <row r="54" customFormat="false" ht="12.75" hidden="false" customHeight="false" outlineLevel="0" collapsed="false">
      <c r="C54" s="108"/>
      <c r="D54" s="108"/>
    </row>
    <row r="56" customFormat="false" ht="12.75" hidden="false" customHeight="false" outlineLevel="0" collapsed="false">
      <c r="B56" s="17"/>
    </row>
    <row r="57" customFormat="false" ht="12.75" hidden="false" customHeight="false" outlineLevel="0" collapsed="false">
      <c r="B57" s="104"/>
    </row>
    <row r="58" customFormat="false" ht="12.75" hidden="false" customHeight="false" outlineLevel="0" collapsed="false">
      <c r="A58" s="105"/>
      <c r="B58" s="106" t="s">
        <v>83</v>
      </c>
      <c r="C58" s="105"/>
      <c r="D58" s="163"/>
      <c r="E58" s="321" t="n">
        <f aca="false">SUM(E59:E78)</f>
        <v>-4628.58</v>
      </c>
      <c r="F58" s="164" t="n">
        <f aca="false">SUM(F59:F78)</f>
        <v>0</v>
      </c>
    </row>
    <row r="59" customFormat="false" ht="12.75" hidden="false" customHeight="false" outlineLevel="0" collapsed="false">
      <c r="C59" s="108"/>
      <c r="D59" s="108"/>
      <c r="E59" s="168"/>
      <c r="G59" s="64"/>
      <c r="H59" s="64"/>
    </row>
    <row r="60" customFormat="false" ht="12.75" hidden="false" customHeight="false" outlineLevel="0" collapsed="false">
      <c r="A60" s="165" t="n">
        <v>44995</v>
      </c>
      <c r="B60" s="8" t="s">
        <v>781</v>
      </c>
      <c r="C60" s="0" t="n">
        <v>613.91</v>
      </c>
      <c r="D60" s="36" t="s">
        <v>933</v>
      </c>
      <c r="E60" s="168" t="n">
        <v>-61.39</v>
      </c>
      <c r="F60" s="64"/>
      <c r="G60" s="64"/>
      <c r="H60" s="64"/>
    </row>
    <row r="61" customFormat="false" ht="12.75" hidden="false" customHeight="false" outlineLevel="0" collapsed="false">
      <c r="F61" s="64"/>
      <c r="G61" s="64"/>
      <c r="H61" s="64"/>
    </row>
    <row r="62" customFormat="false" ht="12.75" hidden="false" customHeight="false" outlineLevel="0" collapsed="false">
      <c r="A62" s="165" t="n">
        <v>45043</v>
      </c>
      <c r="B62" s="108" t="s">
        <v>733</v>
      </c>
      <c r="C62" s="108" t="n">
        <v>10764.57</v>
      </c>
      <c r="D62" s="36" t="s">
        <v>404</v>
      </c>
      <c r="E62" s="168" t="n">
        <v>-1196.06</v>
      </c>
      <c r="F62" s="64"/>
      <c r="G62" s="64"/>
      <c r="H62" s="64"/>
    </row>
    <row r="63" customFormat="false" ht="12.75" hidden="false" customHeight="false" outlineLevel="0" collapsed="false">
      <c r="A63" s="165" t="n">
        <v>45078</v>
      </c>
      <c r="B63" s="108" t="s">
        <v>934</v>
      </c>
      <c r="D63" s="209" t="s">
        <v>449</v>
      </c>
      <c r="E63" s="168" t="n">
        <v>-666.65</v>
      </c>
      <c r="F63" s="64"/>
      <c r="G63" s="64"/>
      <c r="H63" s="64"/>
    </row>
    <row r="64" customFormat="false" ht="12.75" hidden="false" customHeight="false" outlineLevel="0" collapsed="false">
      <c r="A64" s="102" t="n">
        <v>45187</v>
      </c>
      <c r="B64" s="108" t="s">
        <v>570</v>
      </c>
      <c r="C64" s="108" t="n">
        <v>7648.33</v>
      </c>
      <c r="D64" s="209" t="s">
        <v>935</v>
      </c>
      <c r="E64" s="168" t="n">
        <v>-849.81</v>
      </c>
      <c r="F64" s="64"/>
      <c r="G64" s="64"/>
      <c r="H64" s="64"/>
    </row>
    <row r="65" customFormat="false" ht="12.75" hidden="false" customHeight="false" outlineLevel="0" collapsed="false">
      <c r="A65" s="102" t="n">
        <v>45187</v>
      </c>
      <c r="B65" s="108" t="s">
        <v>685</v>
      </c>
      <c r="C65" s="108" t="n">
        <v>11128</v>
      </c>
      <c r="D65" s="209" t="s">
        <v>936</v>
      </c>
      <c r="E65" s="168" t="n">
        <v>-1854.67</v>
      </c>
      <c r="F65" s="64"/>
      <c r="G65" s="64"/>
      <c r="H65" s="64"/>
    </row>
    <row r="66" customFormat="false" ht="13.8" hidden="false" customHeight="false" outlineLevel="0" collapsed="false">
      <c r="A66" s="102"/>
      <c r="B66" s="108"/>
      <c r="C66" s="108"/>
      <c r="D66" s="107" t="s">
        <v>84</v>
      </c>
      <c r="E66" s="168"/>
      <c r="F66" s="64"/>
      <c r="G66" s="64"/>
      <c r="H66" s="64"/>
    </row>
    <row r="67" customFormat="false" ht="12.75" hidden="false" customHeight="false" outlineLevel="0" collapsed="false">
      <c r="A67" s="102"/>
      <c r="B67" s="108"/>
      <c r="C67" s="108"/>
      <c r="D67" s="209"/>
      <c r="E67" s="168"/>
      <c r="F67" s="64"/>
      <c r="G67" s="64"/>
      <c r="H67" s="64"/>
    </row>
    <row r="68" customFormat="false" ht="12.75" hidden="false" customHeight="false" outlineLevel="0" collapsed="false">
      <c r="A68" s="102"/>
      <c r="B68" s="108"/>
      <c r="C68" s="108"/>
      <c r="D68" s="209"/>
      <c r="E68" s="168"/>
      <c r="F68" s="64"/>
      <c r="G68" s="64"/>
      <c r="H68" s="64"/>
    </row>
    <row r="69" customFormat="false" ht="12.75" hidden="false" customHeight="false" outlineLevel="0" collapsed="false">
      <c r="A69" s="102"/>
      <c r="B69" s="108"/>
      <c r="C69" s="108"/>
      <c r="D69" s="209"/>
      <c r="E69" s="168"/>
      <c r="F69" s="64"/>
      <c r="G69" s="64"/>
      <c r="H69" s="64"/>
    </row>
    <row r="70" customFormat="false" ht="12.75" hidden="false" customHeight="false" outlineLevel="0" collapsed="false">
      <c r="A70" s="102"/>
      <c r="B70" s="108"/>
      <c r="C70" s="108"/>
      <c r="D70" s="209"/>
      <c r="E70" s="168"/>
      <c r="F70" s="64"/>
      <c r="G70" s="64"/>
      <c r="H70" s="64"/>
    </row>
    <row r="71" customFormat="false" ht="12.75" hidden="false" customHeight="false" outlineLevel="0" collapsed="false">
      <c r="A71" s="102"/>
      <c r="B71" s="108"/>
      <c r="C71" s="108"/>
      <c r="D71" s="209"/>
      <c r="E71" s="168"/>
      <c r="F71" s="64"/>
      <c r="G71" s="64"/>
      <c r="H71" s="64"/>
    </row>
    <row r="72" customFormat="false" ht="12.75" hidden="false" customHeight="false" outlineLevel="0" collapsed="false">
      <c r="A72" s="102"/>
      <c r="B72" s="108"/>
      <c r="C72" s="108"/>
      <c r="D72" s="209"/>
      <c r="E72" s="168"/>
      <c r="F72" s="64"/>
      <c r="G72" s="64"/>
      <c r="H72" s="64"/>
    </row>
    <row r="73" customFormat="false" ht="12.75" hidden="false" customHeight="false" outlineLevel="0" collapsed="false">
      <c r="A73" s="102"/>
      <c r="B73" s="108"/>
      <c r="C73" s="108"/>
      <c r="D73" s="209"/>
      <c r="E73" s="168"/>
      <c r="F73" s="64"/>
      <c r="G73" s="64"/>
      <c r="H73" s="64"/>
    </row>
    <row r="74" customFormat="false" ht="12.75" hidden="false" customHeight="false" outlineLevel="0" collapsed="false">
      <c r="B74" s="108"/>
      <c r="C74" s="108"/>
      <c r="D74" s="108"/>
      <c r="E74" s="168"/>
      <c r="F74" s="64"/>
      <c r="G74" s="64"/>
      <c r="H74" s="64"/>
    </row>
    <row r="75" customFormat="false" ht="12.75" hidden="false" customHeight="false" outlineLevel="0" collapsed="false">
      <c r="C75" s="108"/>
      <c r="D75" s="108"/>
      <c r="E75" s="168"/>
      <c r="F75" s="64"/>
      <c r="G75" s="64"/>
      <c r="H75" s="64"/>
    </row>
    <row r="76" customFormat="false" ht="12.75" hidden="false" customHeight="false" outlineLevel="0" collapsed="false">
      <c r="E76" s="168"/>
    </row>
    <row r="77" customFormat="false" ht="12.75" hidden="false" customHeight="false" outlineLevel="0" collapsed="false">
      <c r="E77" s="168"/>
    </row>
    <row r="78" customFormat="false" ht="12.75" hidden="false" customHeight="false" outlineLevel="0" collapsed="false">
      <c r="E78" s="168"/>
    </row>
    <row r="79" customFormat="false" ht="12.75" hidden="false" customHeight="false" outlineLevel="0" collapsed="false">
      <c r="D79" s="36"/>
    </row>
    <row r="81" customFormat="false" ht="12.75" hidden="false" customHeight="false" outlineLevel="0" collapsed="false">
      <c r="A81" s="105"/>
      <c r="B81" s="106" t="s">
        <v>85</v>
      </c>
      <c r="C81" s="105"/>
      <c r="D81" s="105"/>
      <c r="E81" s="206" t="n">
        <f aca="false">SUM(E82:E107)</f>
        <v>-11990.16</v>
      </c>
      <c r="F81" s="164" t="n">
        <f aca="false">SUM(F82:F90)</f>
        <v>0</v>
      </c>
    </row>
    <row r="82" customFormat="false" ht="12.75" hidden="false" customHeight="false" outlineLevel="0" collapsed="false">
      <c r="A82" s="102" t="n">
        <v>45217</v>
      </c>
      <c r="B82" s="108" t="s">
        <v>692</v>
      </c>
      <c r="C82" s="108"/>
      <c r="D82" s="8" t="s">
        <v>937</v>
      </c>
      <c r="E82" s="168" t="n">
        <v>-3974.44</v>
      </c>
      <c r="F82" s="64"/>
      <c r="G82" s="64"/>
      <c r="H82" s="64"/>
    </row>
    <row r="83" customFormat="false" ht="12.75" hidden="false" customHeight="false" outlineLevel="0" collapsed="false">
      <c r="A83" s="170" t="n">
        <v>45214</v>
      </c>
      <c r="B83" s="8" t="s">
        <v>665</v>
      </c>
      <c r="D83" s="8" t="s">
        <v>938</v>
      </c>
      <c r="E83" s="168" t="n">
        <v>-600</v>
      </c>
      <c r="F83" s="64"/>
      <c r="G83" s="64"/>
      <c r="H83" s="64"/>
    </row>
    <row r="84" customFormat="false" ht="12.75" hidden="false" customHeight="false" outlineLevel="0" collapsed="false">
      <c r="B84" s="109"/>
      <c r="E84" s="168"/>
    </row>
    <row r="85" customFormat="false" ht="12.75" hidden="false" customHeight="false" outlineLevel="0" collapsed="false">
      <c r="A85" s="170" t="n">
        <v>45226</v>
      </c>
      <c r="B85" s="8" t="s">
        <v>939</v>
      </c>
      <c r="E85" s="168" t="n">
        <v>-1046.1</v>
      </c>
    </row>
    <row r="86" customFormat="false" ht="12.75" hidden="false" customHeight="false" outlineLevel="0" collapsed="false">
      <c r="A86" s="170" t="n">
        <v>45226</v>
      </c>
      <c r="B86" s="8" t="s">
        <v>939</v>
      </c>
      <c r="E86" s="168" t="n">
        <v>-1046.1</v>
      </c>
    </row>
    <row r="87" customFormat="false" ht="12.75" hidden="false" customHeight="false" outlineLevel="0" collapsed="false">
      <c r="A87" s="170" t="n">
        <v>45224</v>
      </c>
      <c r="B87" s="8" t="s">
        <v>661</v>
      </c>
      <c r="D87" s="0" t="n">
        <v>160</v>
      </c>
      <c r="E87" s="168" t="n">
        <v>-160</v>
      </c>
    </row>
    <row r="88" customFormat="false" ht="12.75" hidden="false" customHeight="false" outlineLevel="0" collapsed="false">
      <c r="A88" s="170" t="n">
        <v>45225</v>
      </c>
      <c r="B88" s="8" t="s">
        <v>661</v>
      </c>
      <c r="D88" s="0" t="n">
        <v>200</v>
      </c>
      <c r="E88" s="168" t="n">
        <v>-200</v>
      </c>
    </row>
    <row r="89" customFormat="false" ht="12.75" hidden="false" customHeight="false" outlineLevel="0" collapsed="false">
      <c r="A89" s="170" t="n">
        <v>45225</v>
      </c>
      <c r="B89" s="8" t="s">
        <v>351</v>
      </c>
      <c r="E89" s="168" t="n">
        <v>-200</v>
      </c>
    </row>
    <row r="90" customFormat="false" ht="12.75" hidden="false" customHeight="false" outlineLevel="0" collapsed="false">
      <c r="A90" s="170" t="n">
        <v>45226</v>
      </c>
      <c r="B90" s="8" t="s">
        <v>661</v>
      </c>
      <c r="D90" s="36" t="n">
        <v>150</v>
      </c>
      <c r="E90" s="168" t="n">
        <v>-150</v>
      </c>
    </row>
    <row r="91" customFormat="false" ht="12.75" hidden="false" customHeight="false" outlineLevel="0" collapsed="false">
      <c r="A91" s="170" t="n">
        <v>45227</v>
      </c>
      <c r="B91" s="8" t="s">
        <v>661</v>
      </c>
      <c r="D91" s="36" t="n">
        <v>100</v>
      </c>
      <c r="E91" s="168" t="n">
        <v>-100</v>
      </c>
    </row>
    <row r="92" customFormat="false" ht="12.75" hidden="false" customHeight="false" outlineLevel="0" collapsed="false">
      <c r="A92" s="170" t="n">
        <v>45227</v>
      </c>
      <c r="B92" s="8" t="s">
        <v>137</v>
      </c>
      <c r="D92" s="0" t="n">
        <v>70</v>
      </c>
      <c r="E92" s="168" t="n">
        <v>-70</v>
      </c>
    </row>
    <row r="93" customFormat="false" ht="12.75" hidden="false" customHeight="false" outlineLevel="0" collapsed="false">
      <c r="A93" s="170" t="n">
        <v>45229</v>
      </c>
      <c r="B93" s="8" t="s">
        <v>661</v>
      </c>
      <c r="D93" s="0" t="n">
        <v>200</v>
      </c>
      <c r="E93" s="168" t="n">
        <v>-200</v>
      </c>
    </row>
    <row r="94" customFormat="false" ht="12.75" hidden="false" customHeight="false" outlineLevel="0" collapsed="false">
      <c r="A94" s="170" t="n">
        <v>45229</v>
      </c>
      <c r="B94" s="8" t="s">
        <v>940</v>
      </c>
      <c r="D94" s="0" t="n">
        <v>95.49</v>
      </c>
      <c r="E94" s="168" t="n">
        <v>-95.49</v>
      </c>
    </row>
    <row r="95" customFormat="false" ht="12.75" hidden="false" customHeight="false" outlineLevel="0" collapsed="false">
      <c r="A95" s="170" t="n">
        <v>45232</v>
      </c>
      <c r="B95" s="8" t="s">
        <v>661</v>
      </c>
      <c r="D95" s="0" t="n">
        <v>250</v>
      </c>
      <c r="E95" s="168" t="n">
        <v>-250</v>
      </c>
    </row>
    <row r="96" customFormat="false" ht="12.75" hidden="false" customHeight="false" outlineLevel="0" collapsed="false">
      <c r="A96" s="170" t="n">
        <v>45233</v>
      </c>
      <c r="B96" s="8" t="s">
        <v>661</v>
      </c>
      <c r="D96" s="0" t="n">
        <v>180</v>
      </c>
      <c r="E96" s="168" t="n">
        <v>-160</v>
      </c>
    </row>
    <row r="97" customFormat="false" ht="12.75" hidden="false" customHeight="false" outlineLevel="0" collapsed="false">
      <c r="A97" s="170" t="n">
        <v>45234</v>
      </c>
      <c r="B97" s="8" t="s">
        <v>661</v>
      </c>
      <c r="D97" s="0" t="n">
        <v>320</v>
      </c>
      <c r="E97" s="168" t="n">
        <v>-320</v>
      </c>
    </row>
    <row r="98" customFormat="false" ht="12.75" hidden="false" customHeight="false" outlineLevel="0" collapsed="false">
      <c r="A98" s="170" t="n">
        <v>45237</v>
      </c>
      <c r="B98" s="8" t="s">
        <v>661</v>
      </c>
      <c r="D98" s="0" t="n">
        <v>200</v>
      </c>
      <c r="E98" s="168" t="n">
        <v>-200</v>
      </c>
    </row>
    <row r="99" customFormat="false" ht="12.75" hidden="false" customHeight="false" outlineLevel="0" collapsed="false">
      <c r="A99" s="170" t="n">
        <v>45237</v>
      </c>
      <c r="B99" s="8" t="s">
        <v>184</v>
      </c>
      <c r="E99" s="168" t="n">
        <v>-500</v>
      </c>
    </row>
    <row r="100" customFormat="false" ht="12.75" hidden="false" customHeight="false" outlineLevel="0" collapsed="false">
      <c r="A100" s="170" t="n">
        <v>45237</v>
      </c>
      <c r="B100" s="8" t="s">
        <v>941</v>
      </c>
      <c r="E100" s="168" t="n">
        <v>-180</v>
      </c>
    </row>
    <row r="101" customFormat="false" ht="12.75" hidden="false" customHeight="false" outlineLevel="0" collapsed="false">
      <c r="A101" s="170" t="n">
        <v>45238</v>
      </c>
      <c r="B101" s="8" t="s">
        <v>661</v>
      </c>
      <c r="D101" s="0" t="n">
        <v>160</v>
      </c>
      <c r="E101" s="168" t="n">
        <v>-160</v>
      </c>
    </row>
    <row r="102" customFormat="false" ht="12.75" hidden="false" customHeight="false" outlineLevel="0" collapsed="false">
      <c r="A102" s="170" t="n">
        <v>45239</v>
      </c>
      <c r="B102" s="8" t="s">
        <v>661</v>
      </c>
      <c r="D102" s="0" t="n">
        <v>250</v>
      </c>
      <c r="E102" s="168" t="n">
        <v>-250</v>
      </c>
    </row>
    <row r="103" customFormat="false" ht="12.75" hidden="false" customHeight="false" outlineLevel="0" collapsed="false">
      <c r="A103" s="170" t="n">
        <v>45240</v>
      </c>
      <c r="B103" s="8" t="s">
        <v>661</v>
      </c>
      <c r="D103" s="0" t="n">
        <v>160</v>
      </c>
      <c r="E103" s="168" t="n">
        <v>-160</v>
      </c>
    </row>
    <row r="104" customFormat="false" ht="12.75" hidden="false" customHeight="false" outlineLevel="0" collapsed="false">
      <c r="A104" s="170" t="n">
        <v>45241</v>
      </c>
      <c r="B104" s="8" t="s">
        <v>661</v>
      </c>
      <c r="D104" s="0" t="n">
        <v>250</v>
      </c>
      <c r="E104" s="168" t="n">
        <v>-250</v>
      </c>
    </row>
    <row r="105" customFormat="false" ht="12.75" hidden="false" customHeight="false" outlineLevel="0" collapsed="false">
      <c r="A105" s="170" t="n">
        <v>45244</v>
      </c>
      <c r="B105" s="8" t="s">
        <v>131</v>
      </c>
      <c r="E105" s="168" t="n">
        <v>-1144.11</v>
      </c>
    </row>
    <row r="106" customFormat="false" ht="12.75" hidden="false" customHeight="false" outlineLevel="0" collapsed="false">
      <c r="A106" s="170" t="n">
        <v>45245</v>
      </c>
      <c r="B106" s="8" t="s">
        <v>942</v>
      </c>
      <c r="E106" s="168" t="n">
        <v>-373.92</v>
      </c>
    </row>
    <row r="107" customFormat="false" ht="12.75" hidden="false" customHeight="false" outlineLevel="0" collapsed="false">
      <c r="A107" s="170" t="n">
        <v>45253</v>
      </c>
      <c r="B107" s="8" t="s">
        <v>661</v>
      </c>
      <c r="D107" s="0" t="n">
        <v>200</v>
      </c>
      <c r="E107" s="168" t="n">
        <v>-200</v>
      </c>
    </row>
    <row r="108" customFormat="false" ht="12.75" hidden="false" customHeight="false" outlineLevel="0" collapsed="false">
      <c r="E108" s="168"/>
    </row>
    <row r="109" customFormat="false" ht="12.75" hidden="false" customHeight="false" outlineLevel="0" collapsed="false">
      <c r="B109" s="0" t="s">
        <v>943</v>
      </c>
      <c r="D109" s="0" t="n">
        <f aca="false">SUM(D87:D108)</f>
        <v>2945.49</v>
      </c>
      <c r="E109" s="168"/>
    </row>
    <row r="110" customFormat="false" ht="13.8" hidden="false" customHeight="false" outlineLevel="0" collapsed="false">
      <c r="D110" s="107" t="s">
        <v>84</v>
      </c>
    </row>
    <row r="111" customFormat="false" ht="12.75" hidden="false" customHeight="false" outlineLevel="0" collapsed="false">
      <c r="A111" s="117" t="s">
        <v>308</v>
      </c>
      <c r="B111" s="106" t="s">
        <v>139</v>
      </c>
      <c r="C111" s="105" t="n">
        <v>2023</v>
      </c>
      <c r="D111" s="163"/>
      <c r="E111" s="164" t="n">
        <f aca="false">SUM(E112:E128)</f>
        <v>698220.305</v>
      </c>
    </row>
    <row r="112" customFormat="false" ht="12.75" hidden="false" customHeight="false" outlineLevel="0" collapsed="false">
      <c r="A112" s="165" t="n">
        <v>45290</v>
      </c>
      <c r="B112" s="8" t="s">
        <v>77</v>
      </c>
      <c r="C112" s="2"/>
      <c r="D112" s="2"/>
      <c r="E112" s="17" t="n">
        <v>64000</v>
      </c>
    </row>
    <row r="113" customFormat="false" ht="12.75" hidden="false" customHeight="false" outlineLevel="0" collapsed="false">
      <c r="A113" s="165" t="n">
        <f aca="false">A112</f>
        <v>45290</v>
      </c>
      <c r="B113" s="8" t="s">
        <v>78</v>
      </c>
      <c r="C113" s="2"/>
      <c r="D113" s="2"/>
      <c r="E113" s="17" t="n">
        <v>218088</v>
      </c>
    </row>
    <row r="114" customFormat="false" ht="12.75" hidden="false" customHeight="false" outlineLevel="0" collapsed="false">
      <c r="A114" s="165" t="n">
        <f aca="false">A113</f>
        <v>45290</v>
      </c>
      <c r="B114" s="8" t="s">
        <v>309</v>
      </c>
      <c r="C114" s="2"/>
      <c r="D114" s="2"/>
      <c r="E114" s="17" t="n">
        <v>3609.29</v>
      </c>
    </row>
    <row r="115" customFormat="false" ht="12.75" hidden="false" customHeight="false" outlineLevel="0" collapsed="false">
      <c r="A115" s="165" t="n">
        <f aca="false">A114</f>
        <v>45290</v>
      </c>
      <c r="B115" s="8" t="s">
        <v>310</v>
      </c>
      <c r="C115" s="2"/>
      <c r="D115" s="2"/>
      <c r="E115" s="17" t="n">
        <v>122.31</v>
      </c>
    </row>
    <row r="116" customFormat="false" ht="12.75" hidden="false" customHeight="false" outlineLevel="0" collapsed="false">
      <c r="A116" s="165" t="n">
        <f aca="false">A115</f>
        <v>45290</v>
      </c>
      <c r="B116" s="8" t="s">
        <v>311</v>
      </c>
      <c r="D116" s="2"/>
      <c r="E116" s="17" t="n">
        <v>6267.13</v>
      </c>
    </row>
    <row r="117" customFormat="false" ht="12.75" hidden="false" customHeight="false" outlineLevel="0" collapsed="false">
      <c r="A117" s="165" t="n">
        <f aca="false">A116</f>
        <v>45290</v>
      </c>
      <c r="B117" s="8" t="s">
        <v>245</v>
      </c>
      <c r="C117" s="2" t="s">
        <v>312</v>
      </c>
      <c r="D117" s="2"/>
      <c r="E117" s="17" t="n">
        <v>21088.49</v>
      </c>
    </row>
    <row r="118" customFormat="false" ht="12.75" hidden="false" customHeight="false" outlineLevel="0" collapsed="false">
      <c r="A118" s="165" t="n">
        <f aca="false">A117</f>
        <v>45290</v>
      </c>
      <c r="B118" s="8" t="s">
        <v>313</v>
      </c>
      <c r="C118" s="2" t="s">
        <v>314</v>
      </c>
      <c r="D118" s="2"/>
      <c r="E118" s="17" t="n">
        <v>5587.73</v>
      </c>
    </row>
    <row r="119" customFormat="false" ht="12.75" hidden="false" customHeight="false" outlineLevel="0" collapsed="false">
      <c r="A119" s="165" t="n">
        <f aca="false">A118</f>
        <v>45290</v>
      </c>
      <c r="B119" s="8" t="s">
        <v>315</v>
      </c>
      <c r="C119" s="165" t="n">
        <v>45295</v>
      </c>
      <c r="D119" s="166" t="n">
        <v>-629.36</v>
      </c>
      <c r="E119" s="17" t="n">
        <v>4752.22</v>
      </c>
    </row>
    <row r="120" customFormat="false" ht="12.75" hidden="false" customHeight="false" outlineLevel="0" collapsed="false">
      <c r="A120" s="165" t="n">
        <f aca="false">A119</f>
        <v>45290</v>
      </c>
      <c r="B120" s="8" t="s">
        <v>316</v>
      </c>
      <c r="C120" s="165" t="n">
        <v>45295</v>
      </c>
      <c r="D120" s="166" t="n">
        <v>-52.52</v>
      </c>
      <c r="E120" s="17" t="n">
        <v>315.38</v>
      </c>
    </row>
    <row r="121" customFormat="false" ht="12.75" hidden="false" customHeight="false" outlineLevel="0" collapsed="false">
      <c r="A121" s="165" t="n">
        <f aca="false">A120</f>
        <v>45290</v>
      </c>
      <c r="B121" s="8" t="s">
        <v>317</v>
      </c>
      <c r="C121" s="165" t="n">
        <v>45295</v>
      </c>
      <c r="D121" s="166" t="n">
        <v>-196</v>
      </c>
      <c r="E121" s="17" t="n">
        <v>295.8</v>
      </c>
    </row>
    <row r="122" customFormat="false" ht="12.75" hidden="false" customHeight="false" outlineLevel="0" collapsed="false">
      <c r="A122" s="165" t="n">
        <f aca="false">A121</f>
        <v>45290</v>
      </c>
      <c r="B122" s="8" t="s">
        <v>318</v>
      </c>
      <c r="C122" s="165" t="n">
        <v>45295</v>
      </c>
      <c r="D122" s="166" t="n">
        <v>-669.7</v>
      </c>
      <c r="E122" s="17" t="n">
        <v>4239.3</v>
      </c>
    </row>
    <row r="123" customFormat="false" ht="12.75" hidden="false" customHeight="false" outlineLevel="0" collapsed="false">
      <c r="A123" s="165" t="n">
        <f aca="false">A116</f>
        <v>45290</v>
      </c>
      <c r="B123" s="8" t="s">
        <v>143</v>
      </c>
      <c r="C123" s="2"/>
      <c r="D123" s="2"/>
      <c r="E123" s="17" t="n">
        <v>1000</v>
      </c>
    </row>
    <row r="124" customFormat="false" ht="12.75" hidden="false" customHeight="false" outlineLevel="0" collapsed="false">
      <c r="A124" s="165" t="n">
        <f aca="false">A115</f>
        <v>45290</v>
      </c>
      <c r="B124" s="8" t="s">
        <v>319</v>
      </c>
      <c r="C124" s="2" t="n">
        <v>1928.59</v>
      </c>
      <c r="D124" s="2" t="n">
        <v>161</v>
      </c>
      <c r="E124" s="17" t="n">
        <f aca="false">D124*C124</f>
        <v>310502.99</v>
      </c>
    </row>
    <row r="125" customFormat="false" ht="12.75" hidden="false" customHeight="false" outlineLevel="0" collapsed="false">
      <c r="A125" s="165" t="n">
        <f aca="false">A124</f>
        <v>45290</v>
      </c>
      <c r="B125" s="8" t="s">
        <v>320</v>
      </c>
      <c r="C125" s="167" t="n">
        <v>29.2927</v>
      </c>
      <c r="D125" s="2" t="n">
        <v>850</v>
      </c>
      <c r="E125" s="17" t="n">
        <f aca="false">D125*C125</f>
        <v>24898.795</v>
      </c>
    </row>
    <row r="126" customFormat="false" ht="12.75" hidden="false" customHeight="false" outlineLevel="0" collapsed="false">
      <c r="A126" s="165" t="n">
        <f aca="false">A125</f>
        <v>45290</v>
      </c>
      <c r="B126" s="8" t="s">
        <v>321</v>
      </c>
      <c r="C126" s="167" t="n">
        <v>32.0287</v>
      </c>
      <c r="D126" s="2" t="n">
        <v>100</v>
      </c>
      <c r="E126" s="17" t="n">
        <f aca="false">D126*C126</f>
        <v>3202.87</v>
      </c>
    </row>
    <row r="127" customFormat="false" ht="12.75" hidden="false" customHeight="false" outlineLevel="0" collapsed="false">
      <c r="A127" s="165" t="n">
        <f aca="false">A126</f>
        <v>45290</v>
      </c>
      <c r="B127" s="8" t="s">
        <v>155</v>
      </c>
      <c r="C127" s="2"/>
      <c r="D127" s="2"/>
      <c r="E127" s="17" t="n">
        <v>30000</v>
      </c>
    </row>
    <row r="128" customFormat="false" ht="12.75" hidden="false" customHeight="false" outlineLevel="0" collapsed="false">
      <c r="A128" s="165" t="n">
        <f aca="false">A127</f>
        <v>45290</v>
      </c>
      <c r="B128" s="8" t="s">
        <v>156</v>
      </c>
      <c r="C128" s="2"/>
      <c r="D128" s="2"/>
      <c r="E128" s="17" t="n">
        <v>250</v>
      </c>
    </row>
    <row r="129" customFormat="false" ht="12.75" hidden="false" customHeight="false" outlineLevel="0" collapsed="false">
      <c r="C129" s="3" t="str">
        <f aca="false">A111</f>
        <v>ARALIK</v>
      </c>
      <c r="D129" s="18" t="s">
        <v>159</v>
      </c>
      <c r="E129" s="168" t="n">
        <f aca="false">H33</f>
        <v>-25773.7</v>
      </c>
    </row>
    <row r="130" customFormat="false" ht="12.75" hidden="false" customHeight="false" outlineLevel="0" collapsed="false">
      <c r="D130" s="3"/>
    </row>
    <row r="131" customFormat="false" ht="12.75" hidden="false" customHeight="false" outlineLevel="0" collapsed="false">
      <c r="D131" s="18" t="s">
        <v>158</v>
      </c>
      <c r="E131" s="9" t="n">
        <f aca="false">SUM(E112:E128)</f>
        <v>698220.305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false"/>
  </sheetPr>
  <dimension ref="A1:H125"/>
  <sheetViews>
    <sheetView showFormulas="false" showGridLines="true" showRowColHeaders="true" showZeros="true" rightToLeft="false" tabSelected="false" showOutlineSymbols="true" defaultGridColor="true" view="normal" topLeftCell="A13" colorId="64" zoomScale="170" zoomScaleNormal="170" zoomScalePageLayoutView="100" workbookViewId="0">
      <selection pane="topLeft" activeCell="A13" activeCellId="0" sqref="A13"/>
    </sheetView>
  </sheetViews>
  <sheetFormatPr defaultColWidth="12.2929687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10.57"/>
    <col collapsed="false" customWidth="true" hidden="false" outlineLevel="0" max="4" min="4" style="0" width="12.86"/>
    <col collapsed="false" customWidth="true" hidden="false" outlineLevel="0" max="5" min="5" style="0" width="11.14"/>
    <col collapsed="false" customWidth="true" hidden="false" outlineLevel="0" max="6" min="6" style="0" width="13.14"/>
    <col collapsed="false" customWidth="true" hidden="false" outlineLevel="0" max="8" min="7" style="0" width="11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E1" s="194"/>
      <c r="F1" s="194" t="s">
        <v>28</v>
      </c>
      <c r="G1" s="194" t="s">
        <v>29</v>
      </c>
      <c r="H1" s="194" t="s">
        <v>3</v>
      </c>
    </row>
    <row r="2" customFormat="false" ht="12.75" hidden="false" customHeight="false" outlineLevel="0" collapsed="false">
      <c r="A2" s="3" t="s">
        <v>944</v>
      </c>
      <c r="C2" s="81" t="s">
        <v>67</v>
      </c>
      <c r="D2" s="311" t="n">
        <f aca="false">SUM(D5:D36)</f>
        <v>262800</v>
      </c>
      <c r="E2" s="311" t="n">
        <f aca="false">SUM(E4:E27)</f>
        <v>-98843.11</v>
      </c>
      <c r="F2" s="311" t="n">
        <f aca="false">SUM(F5:F37)</f>
        <v>177687.06</v>
      </c>
      <c r="G2" s="311" t="n">
        <f aca="false">SUM(G4:G37)</f>
        <v>-242504.11</v>
      </c>
      <c r="H2" s="311" t="n">
        <f aca="false">F2+G2</f>
        <v>-64817.05</v>
      </c>
    </row>
    <row r="3" customFormat="false" ht="12.75" hidden="false" customHeight="false" outlineLevel="0" collapsed="false">
      <c r="B3" s="18"/>
      <c r="H3" s="64"/>
    </row>
    <row r="4" customFormat="false" ht="12.75" hidden="false" customHeight="false" outlineLevel="0" collapsed="false">
      <c r="A4" s="170" t="n">
        <v>45231</v>
      </c>
      <c r="B4" s="316" t="s">
        <v>434</v>
      </c>
      <c r="E4" s="64" t="n">
        <v>-152</v>
      </c>
      <c r="G4" s="64" t="n">
        <v>-152</v>
      </c>
      <c r="H4" s="64" t="n">
        <f aca="false">H3+F4+G4</f>
        <v>-152</v>
      </c>
    </row>
    <row r="5" customFormat="false" ht="12.75" hidden="false" customHeight="false" outlineLevel="0" collapsed="false">
      <c r="A5" s="170" t="n">
        <v>45232</v>
      </c>
      <c r="B5" s="103" t="s">
        <v>80</v>
      </c>
      <c r="C5" s="103"/>
      <c r="D5" s="103"/>
      <c r="E5" s="64" t="n">
        <v>-400</v>
      </c>
      <c r="G5" s="64" t="n">
        <v>-277</v>
      </c>
      <c r="H5" s="64" t="n">
        <f aca="false">H4+F5+G5</f>
        <v>-429</v>
      </c>
    </row>
    <row r="6" customFormat="false" ht="12.75" hidden="false" customHeight="false" outlineLevel="0" collapsed="false">
      <c r="A6" s="170" t="n">
        <v>45232</v>
      </c>
      <c r="B6" s="103" t="s">
        <v>81</v>
      </c>
      <c r="C6" s="103"/>
      <c r="D6" s="103"/>
      <c r="E6" s="64" t="n">
        <v>-500</v>
      </c>
      <c r="G6" s="64" t="n">
        <v>-512</v>
      </c>
      <c r="H6" s="64" t="n">
        <f aca="false">H5+F6+G6</f>
        <v>-941</v>
      </c>
    </row>
    <row r="7" customFormat="false" ht="12.75" hidden="false" customHeight="false" outlineLevel="0" collapsed="false">
      <c r="A7" s="170" t="n">
        <v>45231</v>
      </c>
      <c r="B7" s="103" t="s">
        <v>945</v>
      </c>
      <c r="C7" s="103"/>
      <c r="D7" s="103"/>
      <c r="E7" s="64" t="n">
        <v>-250</v>
      </c>
      <c r="G7" s="64" t="n">
        <v>-250</v>
      </c>
      <c r="H7" s="64" t="n">
        <f aca="false">H6+F7+G7</f>
        <v>-1191</v>
      </c>
    </row>
    <row r="8" customFormat="false" ht="12.75" hidden="false" customHeight="false" outlineLevel="0" collapsed="false">
      <c r="B8" s="183" t="s">
        <v>72</v>
      </c>
      <c r="D8" s="64"/>
      <c r="E8" s="64" t="n">
        <f aca="false">E49*-1</f>
        <v>-51.54</v>
      </c>
      <c r="F8" s="64"/>
      <c r="G8" s="64" t="n">
        <f aca="false">E8</f>
        <v>-51.54</v>
      </c>
      <c r="H8" s="64" t="n">
        <f aca="false">H7+F8+G8</f>
        <v>-1242.54</v>
      </c>
    </row>
    <row r="9" customFormat="false" ht="12.75" hidden="false" customHeight="false" outlineLevel="0" collapsed="false">
      <c r="B9" s="183" t="s">
        <v>68</v>
      </c>
      <c r="E9" s="64" t="n">
        <f aca="false">E55</f>
        <v>-5698.99</v>
      </c>
      <c r="F9" s="64"/>
      <c r="G9" s="64" t="n">
        <f aca="false">E9</f>
        <v>-5698.99</v>
      </c>
      <c r="H9" s="64" t="n">
        <f aca="false">H8+F9+G9</f>
        <v>-6941.53</v>
      </c>
    </row>
    <row r="10" customFormat="false" ht="12.75" hidden="false" customHeight="false" outlineLevel="0" collapsed="false">
      <c r="A10" s="170" t="n">
        <v>45232</v>
      </c>
      <c r="B10" s="183" t="s">
        <v>69</v>
      </c>
      <c r="E10" s="64" t="n">
        <f aca="false">E71</f>
        <v>-71595.5</v>
      </c>
      <c r="G10" s="64" t="n">
        <f aca="false">E10</f>
        <v>-71595.5</v>
      </c>
      <c r="H10" s="64" t="n">
        <f aca="false">H9+F10+G10</f>
        <v>-78537.03</v>
      </c>
    </row>
    <row r="11" customFormat="false" ht="12.75" hidden="false" customHeight="false" outlineLevel="0" collapsed="false">
      <c r="A11" s="102"/>
      <c r="B11" s="103" t="s">
        <v>946</v>
      </c>
      <c r="C11" s="103"/>
      <c r="D11" s="103"/>
      <c r="E11" s="64" t="n">
        <v>-5375</v>
      </c>
      <c r="G11" s="64" t="n">
        <v>-5375</v>
      </c>
      <c r="H11" s="64" t="n">
        <f aca="false">H10+F11+G11</f>
        <v>-83912.03</v>
      </c>
    </row>
    <row r="12" customFormat="false" ht="12.75" hidden="false" customHeight="false" outlineLevel="0" collapsed="false">
      <c r="A12" s="102"/>
      <c r="B12" s="103" t="s">
        <v>946</v>
      </c>
      <c r="C12" s="103"/>
      <c r="D12" s="103"/>
      <c r="E12" s="64" t="n">
        <v>-2125</v>
      </c>
      <c r="G12" s="64" t="n">
        <v>-2125</v>
      </c>
      <c r="H12" s="64" t="n">
        <f aca="false">H11+F12+G12</f>
        <v>-86037.03</v>
      </c>
    </row>
    <row r="13" customFormat="false" ht="12.75" hidden="false" customHeight="false" outlineLevel="0" collapsed="false">
      <c r="A13" s="170" t="n">
        <v>45231</v>
      </c>
      <c r="B13" s="103" t="s">
        <v>947</v>
      </c>
      <c r="C13" s="103"/>
      <c r="D13" s="103"/>
      <c r="E13" s="64" t="n">
        <v>-945.08</v>
      </c>
      <c r="F13" s="168"/>
      <c r="G13" s="64" t="n">
        <v>-945.08</v>
      </c>
      <c r="H13" s="64" t="n">
        <f aca="false">H12+F13+G13</f>
        <v>-86982.11</v>
      </c>
    </row>
    <row r="14" customFormat="false" ht="12.75" hidden="false" customHeight="false" outlineLevel="0" collapsed="false">
      <c r="B14" s="103" t="s">
        <v>75</v>
      </c>
      <c r="C14" s="103"/>
      <c r="D14" s="103"/>
      <c r="E14" s="64" t="n">
        <v>-150</v>
      </c>
      <c r="F14" s="168"/>
      <c r="G14" s="64" t="n">
        <v>0</v>
      </c>
      <c r="H14" s="64" t="n">
        <f aca="false">H13+F14+G14</f>
        <v>-86982.11</v>
      </c>
    </row>
    <row r="15" customFormat="false" ht="12.75" hidden="false" customHeight="false" outlineLevel="0" collapsed="false">
      <c r="B15" s="108" t="s">
        <v>73</v>
      </c>
      <c r="C15" s="108"/>
      <c r="D15" s="108"/>
      <c r="E15" s="64" t="n">
        <v>-1000</v>
      </c>
      <c r="F15" s="168"/>
      <c r="G15" s="64" t="n">
        <v>0</v>
      </c>
      <c r="H15" s="64" t="n">
        <f aca="false">H14+F15+G15</f>
        <v>-86982.11</v>
      </c>
    </row>
    <row r="16" customFormat="false" ht="12.75" hidden="false" customHeight="false" outlineLevel="0" collapsed="false">
      <c r="B16" s="108" t="s">
        <v>74</v>
      </c>
      <c r="C16" s="108"/>
      <c r="D16" s="108"/>
      <c r="E16" s="64" t="n">
        <v>-100</v>
      </c>
      <c r="F16" s="168"/>
      <c r="G16" s="64" t="n">
        <v>0</v>
      </c>
      <c r="H16" s="64" t="n">
        <f aca="false">H15+F16+G16</f>
        <v>-86982.11</v>
      </c>
    </row>
    <row r="17" customFormat="false" ht="12.75" hidden="false" customHeight="false" outlineLevel="0" collapsed="false">
      <c r="B17" s="0" t="s">
        <v>77</v>
      </c>
      <c r="E17" s="64" t="n">
        <v>-3500</v>
      </c>
      <c r="F17" s="64"/>
      <c r="G17" s="64" t="n">
        <v>-3511</v>
      </c>
      <c r="H17" s="64" t="n">
        <f aca="false">H16+F17+G17</f>
        <v>-90493.11</v>
      </c>
    </row>
    <row r="18" customFormat="false" ht="12.75" hidden="false" customHeight="false" outlineLevel="0" collapsed="false">
      <c r="B18" s="0" t="s">
        <v>78</v>
      </c>
      <c r="E18" s="64" t="n">
        <v>-3500</v>
      </c>
      <c r="F18" s="64"/>
      <c r="G18" s="64" t="n">
        <v>-3511</v>
      </c>
      <c r="H18" s="64" t="n">
        <f aca="false">H17+F18+G18</f>
        <v>-94004.11</v>
      </c>
    </row>
    <row r="19" customFormat="false" ht="12.75" hidden="false" customHeight="false" outlineLevel="0" collapsed="false">
      <c r="B19" s="0" t="s">
        <v>79</v>
      </c>
      <c r="E19" s="64" t="n">
        <v>-3500</v>
      </c>
      <c r="F19" s="64"/>
      <c r="G19" s="64" t="n">
        <v>-3500</v>
      </c>
      <c r="H19" s="64" t="n">
        <f aca="false">H18+F19+G19</f>
        <v>-97504.11</v>
      </c>
    </row>
    <row r="20" customFormat="false" ht="12.75" hidden="false" customHeight="false" outlineLevel="0" collapsed="false">
      <c r="A20" s="170" t="n">
        <v>45236</v>
      </c>
      <c r="B20" s="8" t="s">
        <v>948</v>
      </c>
      <c r="E20" s="168"/>
      <c r="F20" s="64" t="n">
        <v>15887.06</v>
      </c>
      <c r="G20" s="64"/>
      <c r="H20" s="64" t="n">
        <f aca="false">H19+F20+G20</f>
        <v>-81617.05</v>
      </c>
    </row>
    <row r="21" customFormat="false" ht="12.75" hidden="false" customHeight="false" outlineLevel="0" collapsed="false">
      <c r="B21" s="0" t="s">
        <v>76</v>
      </c>
      <c r="D21" s="191" t="n">
        <v>7500</v>
      </c>
      <c r="F21" s="64" t="n">
        <v>7500</v>
      </c>
      <c r="G21" s="64"/>
      <c r="H21" s="64" t="n">
        <f aca="false">H20+F21+G21</f>
        <v>-74117.05</v>
      </c>
    </row>
    <row r="22" customFormat="false" ht="12.75" hidden="false" customHeight="false" outlineLevel="0" collapsed="false">
      <c r="A22" s="170" t="n">
        <v>45232</v>
      </c>
      <c r="B22" s="8" t="s">
        <v>949</v>
      </c>
      <c r="C22" s="8" t="s">
        <v>950</v>
      </c>
      <c r="D22" s="191" t="n">
        <v>2800</v>
      </c>
      <c r="F22" s="64" t="n">
        <v>2800</v>
      </c>
      <c r="G22" s="64"/>
      <c r="H22" s="64" t="n">
        <f aca="false">H21+F22+G22</f>
        <v>-71317.05</v>
      </c>
    </row>
    <row r="23" customFormat="false" ht="12.75" hidden="false" customHeight="false" outlineLevel="0" collapsed="false">
      <c r="B23" s="0" t="s">
        <v>951</v>
      </c>
      <c r="D23" s="191" t="n">
        <v>6500</v>
      </c>
      <c r="F23" s="64" t="n">
        <v>6500</v>
      </c>
      <c r="G23" s="64"/>
      <c r="H23" s="64" t="n">
        <f aca="false">H22+F23+G23</f>
        <v>-64817.05</v>
      </c>
    </row>
    <row r="24" customFormat="false" ht="12.75" hidden="false" customHeight="false" outlineLevel="0" collapsed="false">
      <c r="A24" s="102" t="n">
        <v>45231</v>
      </c>
      <c r="B24" s="8" t="s">
        <v>952</v>
      </c>
      <c r="D24" s="191"/>
      <c r="G24" s="64"/>
      <c r="H24" s="64" t="n">
        <f aca="false">H23+F24+G24</f>
        <v>-64817.05</v>
      </c>
    </row>
    <row r="25" customFormat="false" ht="12.75" hidden="false" customHeight="false" outlineLevel="0" collapsed="false">
      <c r="A25" s="102" t="n">
        <v>45260</v>
      </c>
      <c r="B25" s="8" t="s">
        <v>953</v>
      </c>
      <c r="D25" s="191" t="n">
        <v>240000</v>
      </c>
      <c r="F25" s="64" t="n">
        <v>135000</v>
      </c>
      <c r="G25" s="64"/>
      <c r="H25" s="64" t="n">
        <f aca="false">H24+F25+G25</f>
        <v>70182.95</v>
      </c>
    </row>
    <row r="26" customFormat="false" ht="12.75" hidden="false" customHeight="false" outlineLevel="0" collapsed="false">
      <c r="A26" s="102"/>
      <c r="D26" s="191"/>
      <c r="F26" s="64"/>
      <c r="G26" s="64" t="n">
        <v>-135000</v>
      </c>
      <c r="H26" s="64" t="n">
        <f aca="false">H25+F26+G26</f>
        <v>-64817.05</v>
      </c>
    </row>
    <row r="27" customFormat="false" ht="12.75" hidden="false" customHeight="false" outlineLevel="0" collapsed="false">
      <c r="A27" s="102" t="n">
        <v>45266</v>
      </c>
      <c r="B27" s="8" t="s">
        <v>954</v>
      </c>
      <c r="D27" s="191" t="n">
        <v>6000</v>
      </c>
      <c r="G27" s="64"/>
      <c r="H27" s="64" t="n">
        <f aca="false">H26+F27+G27</f>
        <v>-64817.05</v>
      </c>
    </row>
    <row r="28" customFormat="false" ht="12.75" hidden="false" customHeight="false" outlineLevel="0" collapsed="false">
      <c r="A28" s="165" t="n">
        <v>45258</v>
      </c>
      <c r="B28" s="8" t="s">
        <v>955</v>
      </c>
      <c r="D28" s="191"/>
      <c r="F28" s="64" t="n">
        <v>10000</v>
      </c>
      <c r="H28" s="64" t="n">
        <f aca="false">H27+F28+G28</f>
        <v>-54817.05</v>
      </c>
    </row>
    <row r="29" customFormat="false" ht="12.75" hidden="false" customHeight="false" outlineLevel="0" collapsed="false">
      <c r="A29" s="165" t="n">
        <v>45258</v>
      </c>
      <c r="B29" s="8" t="s">
        <v>956</v>
      </c>
      <c r="D29" s="191"/>
      <c r="F29" s="64"/>
      <c r="G29" s="64" t="n">
        <v>-10000</v>
      </c>
      <c r="H29" s="64" t="n">
        <f aca="false">H28+F29+G29</f>
        <v>-64817.05</v>
      </c>
    </row>
    <row r="30" customFormat="false" ht="12.75" hidden="false" customHeight="false" outlineLevel="0" collapsed="false">
      <c r="A30" s="170" t="n">
        <v>45259</v>
      </c>
      <c r="B30" s="8" t="s">
        <v>696</v>
      </c>
      <c r="C30" s="8" t="s">
        <v>442</v>
      </c>
      <c r="E30" s="64" t="n">
        <v>-1204.5</v>
      </c>
      <c r="H30" s="64" t="n">
        <f aca="false">H29+F30+G30</f>
        <v>-64817.05</v>
      </c>
    </row>
    <row r="31" customFormat="false" ht="12.75" hidden="false" customHeight="false" outlineLevel="0" collapsed="false">
      <c r="A31" s="170" t="n">
        <v>45259</v>
      </c>
      <c r="B31" s="8" t="s">
        <v>698</v>
      </c>
      <c r="C31" s="8" t="s">
        <v>442</v>
      </c>
      <c r="E31" s="64" t="n">
        <v>-148.6</v>
      </c>
      <c r="H31" s="64" t="n">
        <f aca="false">H30+F31+G31</f>
        <v>-64817.05</v>
      </c>
    </row>
    <row r="32" customFormat="false" ht="12.75" hidden="false" customHeight="false" outlineLevel="0" collapsed="false">
      <c r="A32" s="170" t="n">
        <v>45259</v>
      </c>
      <c r="B32" s="8" t="s">
        <v>699</v>
      </c>
      <c r="C32" s="8" t="s">
        <v>442</v>
      </c>
      <c r="E32" s="64" t="n">
        <v>-244.8</v>
      </c>
      <c r="H32" s="64" t="n">
        <f aca="false">H31+F32+G32</f>
        <v>-64817.05</v>
      </c>
    </row>
    <row r="33" customFormat="false" ht="12.75" hidden="false" customHeight="false" outlineLevel="0" collapsed="false">
      <c r="A33" s="170" t="n">
        <v>45259</v>
      </c>
      <c r="B33" s="8" t="s">
        <v>957</v>
      </c>
      <c r="C33" s="8" t="s">
        <v>442</v>
      </c>
      <c r="E33" s="64" t="n">
        <v>-532.6</v>
      </c>
      <c r="F33" s="64"/>
      <c r="G33" s="64"/>
      <c r="H33" s="64" t="n">
        <f aca="false">H32+F33+G33</f>
        <v>-64817.05</v>
      </c>
    </row>
    <row r="34" customFormat="false" ht="12.75" hidden="false" customHeight="false" outlineLevel="0" collapsed="false">
      <c r="F34" s="64"/>
      <c r="G34" s="64"/>
      <c r="H34" s="64"/>
    </row>
    <row r="35" customFormat="false" ht="12.75" hidden="false" customHeight="false" outlineLevel="0" collapsed="false">
      <c r="F35" s="64"/>
      <c r="G35" s="64"/>
      <c r="H35" s="64"/>
    </row>
    <row r="36" customFormat="false" ht="12.75" hidden="false" customHeight="false" outlineLevel="0" collapsed="false">
      <c r="E36" s="64"/>
      <c r="G36" s="64"/>
      <c r="H36" s="64"/>
    </row>
    <row r="37" customFormat="false" ht="12.75" hidden="false" customHeight="false" outlineLevel="0" collapsed="false">
      <c r="B37" s="0" t="s">
        <v>334</v>
      </c>
      <c r="E37" s="64"/>
      <c r="G37" s="64"/>
      <c r="H37" s="64"/>
    </row>
    <row r="38" customFormat="false" ht="12.75" hidden="false" customHeight="false" outlineLevel="0" collapsed="false">
      <c r="A38" s="105" t="s">
        <v>335</v>
      </c>
      <c r="B38" s="105"/>
      <c r="C38" s="105"/>
      <c r="D38" s="105"/>
      <c r="E38" s="163"/>
      <c r="G38" s="64"/>
      <c r="H38" s="64"/>
    </row>
    <row r="39" customFormat="false" ht="12.75" hidden="false" customHeight="false" outlineLevel="0" collapsed="false">
      <c r="A39" s="322"/>
      <c r="B39" s="317"/>
      <c r="C39" s="317"/>
      <c r="D39" s="317"/>
      <c r="E39" s="318"/>
      <c r="H39" s="64"/>
    </row>
    <row r="40" customFormat="false" ht="12.75" hidden="false" customHeight="false" outlineLevel="0" collapsed="false">
      <c r="A40" s="322"/>
      <c r="B40" s="317"/>
      <c r="C40" s="319"/>
      <c r="D40" s="317"/>
      <c r="E40" s="317"/>
      <c r="H40" s="64"/>
    </row>
    <row r="41" customFormat="false" ht="12.75" hidden="false" customHeight="false" outlineLevel="0" collapsed="false">
      <c r="A41" s="322"/>
      <c r="B41" s="317"/>
      <c r="C41" s="319"/>
      <c r="D41" s="317"/>
      <c r="E41" s="317"/>
      <c r="H41" s="64"/>
    </row>
    <row r="42" customFormat="false" ht="12.75" hidden="false" customHeight="false" outlineLevel="0" collapsed="false">
      <c r="A42" s="102"/>
      <c r="C42" s="176"/>
      <c r="H42" s="64"/>
    </row>
    <row r="43" customFormat="false" ht="12.75" hidden="false" customHeight="false" outlineLevel="0" collapsed="false">
      <c r="A43" s="177" t="n">
        <v>44929</v>
      </c>
      <c r="B43" s="178" t="s">
        <v>336</v>
      </c>
      <c r="C43" s="105"/>
      <c r="D43" s="206" t="n">
        <f aca="false">SUM(D44:D51)</f>
        <v>3906.85</v>
      </c>
      <c r="E43" s="206" t="n">
        <f aca="false">SUM(E44:E51)</f>
        <v>3907.8</v>
      </c>
      <c r="H43" s="64"/>
    </row>
    <row r="44" customFormat="false" ht="12.75" hidden="false" customHeight="false" outlineLevel="0" collapsed="false">
      <c r="B44" s="0" t="s">
        <v>930</v>
      </c>
      <c r="D44" s="0" t="n">
        <v>628.12</v>
      </c>
      <c r="E44" s="64" t="n">
        <v>630</v>
      </c>
      <c r="F44" s="64"/>
      <c r="G44" s="64"/>
    </row>
    <row r="45" customFormat="false" ht="12.75" hidden="false" customHeight="false" outlineLevel="0" collapsed="false">
      <c r="B45" s="0" t="s">
        <v>338</v>
      </c>
      <c r="D45" s="0" t="n">
        <v>1539.74</v>
      </c>
      <c r="E45" s="64" t="n">
        <v>1540</v>
      </c>
      <c r="F45" s="64"/>
      <c r="G45" s="64"/>
    </row>
    <row r="46" customFormat="false" ht="12.75" hidden="false" customHeight="false" outlineLevel="0" collapsed="false">
      <c r="B46" s="0" t="s">
        <v>339</v>
      </c>
      <c r="D46" s="0" t="n">
        <v>165.4</v>
      </c>
      <c r="E46" s="0" t="n">
        <v>165</v>
      </c>
      <c r="F46" s="64"/>
      <c r="G46" s="64"/>
    </row>
    <row r="47" customFormat="false" ht="12.75" hidden="false" customHeight="false" outlineLevel="0" collapsed="false">
      <c r="B47" s="0" t="s">
        <v>340</v>
      </c>
      <c r="D47" s="0" t="n">
        <v>1142.79</v>
      </c>
      <c r="E47" s="0" t="n">
        <v>1142</v>
      </c>
      <c r="F47" s="64"/>
      <c r="G47" s="64"/>
    </row>
    <row r="48" customFormat="false" ht="12.75" hidden="false" customHeight="false" outlineLevel="0" collapsed="false">
      <c r="B48" s="0" t="s">
        <v>341</v>
      </c>
      <c r="D48" s="3" t="n">
        <v>379.26</v>
      </c>
      <c r="E48" s="0" t="n">
        <v>379.26</v>
      </c>
      <c r="F48" s="64"/>
      <c r="G48" s="64"/>
    </row>
    <row r="49" customFormat="false" ht="12.75" hidden="false" customHeight="false" outlineLevel="0" collapsed="false">
      <c r="B49" s="0" t="s">
        <v>342</v>
      </c>
      <c r="C49" s="108"/>
      <c r="D49" s="108" t="n">
        <v>51.54</v>
      </c>
      <c r="E49" s="0" t="n">
        <v>51.54</v>
      </c>
      <c r="F49" s="64"/>
      <c r="G49" s="64"/>
    </row>
    <row r="50" customFormat="false" ht="12.75" hidden="false" customHeight="false" outlineLevel="0" collapsed="false">
      <c r="C50" s="108"/>
      <c r="E50" s="108"/>
      <c r="F50" s="64"/>
      <c r="G50" s="64"/>
    </row>
    <row r="51" customFormat="false" ht="12.75" hidden="false" customHeight="false" outlineLevel="0" collapsed="false">
      <c r="C51" s="108"/>
      <c r="D51" s="108"/>
      <c r="E51" s="168"/>
      <c r="F51" s="64"/>
      <c r="G51" s="64"/>
    </row>
    <row r="53" customFormat="false" ht="12.75" hidden="false" customHeight="false" outlineLevel="0" collapsed="false">
      <c r="B53" s="17"/>
    </row>
    <row r="54" customFormat="false" ht="12.75" hidden="false" customHeight="false" outlineLevel="0" collapsed="false">
      <c r="B54" s="104"/>
    </row>
    <row r="55" customFormat="false" ht="12.75" hidden="false" customHeight="false" outlineLevel="0" collapsed="false">
      <c r="A55" s="105"/>
      <c r="B55" s="106" t="s">
        <v>83</v>
      </c>
      <c r="C55" s="105"/>
      <c r="D55" s="163"/>
      <c r="E55" s="164" t="n">
        <f aca="false">SUM(E56:E68)</f>
        <v>-5698.99</v>
      </c>
    </row>
    <row r="56" customFormat="false" ht="12.75" hidden="false" customHeight="false" outlineLevel="0" collapsed="false">
      <c r="A56" s="102"/>
      <c r="C56" s="108"/>
      <c r="D56" s="108"/>
      <c r="E56" s="168"/>
      <c r="G56" s="64"/>
      <c r="H56" s="64"/>
    </row>
    <row r="57" customFormat="false" ht="12.75" hidden="false" customHeight="false" outlineLevel="0" collapsed="false">
      <c r="A57" s="102" t="n">
        <v>44995</v>
      </c>
      <c r="B57" s="8" t="s">
        <v>781</v>
      </c>
      <c r="C57" s="0" t="n">
        <v>613.91</v>
      </c>
      <c r="D57" s="36" t="s">
        <v>958</v>
      </c>
      <c r="E57" s="168" t="n">
        <v>-61.39</v>
      </c>
      <c r="F57" s="64"/>
      <c r="G57" s="64"/>
      <c r="H57" s="64"/>
    </row>
    <row r="58" customFormat="false" ht="12.75" hidden="false" customHeight="false" outlineLevel="0" collapsed="false">
      <c r="A58" s="102" t="n">
        <v>45043</v>
      </c>
      <c r="B58" s="108" t="s">
        <v>959</v>
      </c>
      <c r="C58" s="108" t="n">
        <v>3299</v>
      </c>
      <c r="D58" s="36" t="s">
        <v>960</v>
      </c>
      <c r="E58" s="168" t="n">
        <v>-549.85</v>
      </c>
      <c r="F58" s="64"/>
      <c r="G58" s="64"/>
      <c r="H58" s="64"/>
    </row>
    <row r="59" customFormat="false" ht="12.75" hidden="false" customHeight="false" outlineLevel="0" collapsed="false">
      <c r="A59" s="102" t="n">
        <v>45043</v>
      </c>
      <c r="B59" s="108" t="s">
        <v>733</v>
      </c>
      <c r="C59" s="108" t="n">
        <v>10764.57</v>
      </c>
      <c r="D59" s="36" t="s">
        <v>684</v>
      </c>
      <c r="E59" s="168" t="n">
        <v>-1196.06</v>
      </c>
      <c r="F59" s="64"/>
      <c r="G59" s="64"/>
      <c r="H59" s="64"/>
    </row>
    <row r="60" customFormat="false" ht="12.75" hidden="false" customHeight="false" outlineLevel="0" collapsed="false">
      <c r="A60" s="102" t="n">
        <v>45044</v>
      </c>
      <c r="B60" s="8" t="s">
        <v>961</v>
      </c>
      <c r="C60" s="108" t="n">
        <v>3123.29</v>
      </c>
      <c r="D60" s="209" t="s">
        <v>960</v>
      </c>
      <c r="E60" s="168" t="n">
        <v>-520.54</v>
      </c>
      <c r="F60" s="64"/>
      <c r="G60" s="64"/>
      <c r="H60" s="64"/>
    </row>
    <row r="61" customFormat="false" ht="12.75" hidden="false" customHeight="false" outlineLevel="0" collapsed="false">
      <c r="A61" s="102" t="n">
        <v>45078</v>
      </c>
      <c r="B61" s="108" t="s">
        <v>934</v>
      </c>
      <c r="D61" s="209" t="s">
        <v>480</v>
      </c>
      <c r="E61" s="168" t="n">
        <v>-666.67</v>
      </c>
      <c r="F61" s="64"/>
      <c r="G61" s="64"/>
      <c r="H61" s="64"/>
    </row>
    <row r="62" customFormat="false" ht="12.75" hidden="false" customHeight="false" outlineLevel="0" collapsed="false">
      <c r="A62" s="102" t="n">
        <v>45187</v>
      </c>
      <c r="B62" s="108" t="s">
        <v>570</v>
      </c>
      <c r="C62" s="108" t="n">
        <v>7648.33</v>
      </c>
      <c r="D62" s="209" t="s">
        <v>617</v>
      </c>
      <c r="E62" s="168" t="n">
        <v>-849.81</v>
      </c>
      <c r="F62" s="64"/>
      <c r="G62" s="64"/>
      <c r="H62" s="64"/>
    </row>
    <row r="63" customFormat="false" ht="12.75" hidden="false" customHeight="false" outlineLevel="0" collapsed="false">
      <c r="A63" s="102" t="n">
        <v>45187</v>
      </c>
      <c r="B63" s="108" t="s">
        <v>685</v>
      </c>
      <c r="C63" s="108" t="n">
        <v>11128</v>
      </c>
      <c r="D63" s="209" t="s">
        <v>615</v>
      </c>
      <c r="E63" s="168" t="n">
        <v>-1854.67</v>
      </c>
      <c r="F63" s="64"/>
      <c r="G63" s="64"/>
      <c r="H63" s="64"/>
    </row>
    <row r="64" customFormat="false" ht="12.75" hidden="false" customHeight="false" outlineLevel="0" collapsed="false">
      <c r="A64" s="102" t="n">
        <v>45204</v>
      </c>
      <c r="B64" s="108" t="s">
        <v>132</v>
      </c>
      <c r="C64" s="108" t="n">
        <v>-6481.59</v>
      </c>
      <c r="D64" s="108"/>
      <c r="E64" s="168"/>
      <c r="F64" s="64"/>
      <c r="G64" s="64"/>
      <c r="H64" s="64"/>
    </row>
    <row r="65" customFormat="false" ht="12.75" hidden="false" customHeight="false" outlineLevel="0" collapsed="false">
      <c r="A65" s="102"/>
      <c r="C65" s="108"/>
      <c r="D65" s="108"/>
      <c r="E65" s="168"/>
      <c r="F65" s="64"/>
      <c r="G65" s="64"/>
      <c r="H65" s="64"/>
    </row>
    <row r="66" customFormat="false" ht="13.8" hidden="false" customHeight="false" outlineLevel="0" collapsed="false">
      <c r="A66" s="102"/>
      <c r="D66" s="107" t="s">
        <v>84</v>
      </c>
      <c r="E66" s="168"/>
    </row>
    <row r="67" customFormat="false" ht="12.75" hidden="false" customHeight="false" outlineLevel="0" collapsed="false">
      <c r="A67" s="102"/>
      <c r="E67" s="168"/>
    </row>
    <row r="69" customFormat="false" ht="12.75" hidden="false" customHeight="false" outlineLevel="0" collapsed="false">
      <c r="D69" s="36"/>
    </row>
    <row r="71" customFormat="false" ht="12.75" hidden="false" customHeight="false" outlineLevel="0" collapsed="false">
      <c r="A71" s="105"/>
      <c r="B71" s="106" t="s">
        <v>85</v>
      </c>
      <c r="C71" s="105"/>
      <c r="D71" s="105"/>
      <c r="E71" s="164" t="n">
        <f aca="false">SUM(E72:E104)</f>
        <v>-71595.5</v>
      </c>
    </row>
    <row r="72" customFormat="false" ht="12.75" hidden="false" customHeight="false" outlineLevel="0" collapsed="false">
      <c r="A72" s="102" t="n">
        <v>45026</v>
      </c>
      <c r="B72" s="8" t="s">
        <v>962</v>
      </c>
      <c r="C72" s="0" t="n">
        <v>1140.99</v>
      </c>
      <c r="D72" s="8" t="s">
        <v>666</v>
      </c>
      <c r="E72" s="168" t="n">
        <v>-190.14</v>
      </c>
      <c r="F72" s="64"/>
      <c r="G72" s="64"/>
      <c r="H72" s="64"/>
    </row>
    <row r="73" customFormat="false" ht="12.75" hidden="false" customHeight="false" outlineLevel="0" collapsed="false">
      <c r="A73" s="170" t="n">
        <v>45141</v>
      </c>
      <c r="B73" s="8" t="s">
        <v>963</v>
      </c>
      <c r="D73" s="36" t="s">
        <v>964</v>
      </c>
      <c r="E73" s="168" t="n">
        <v>-181.84</v>
      </c>
      <c r="F73" s="64"/>
      <c r="G73" s="64"/>
      <c r="H73" s="64"/>
    </row>
    <row r="74" customFormat="false" ht="12.75" hidden="false" customHeight="false" outlineLevel="0" collapsed="false">
      <c r="A74" s="102" t="n">
        <v>45217</v>
      </c>
      <c r="B74" s="108" t="s">
        <v>692</v>
      </c>
      <c r="C74" s="108"/>
      <c r="D74" s="8" t="s">
        <v>938</v>
      </c>
      <c r="E74" s="168" t="n">
        <v>-3974.44</v>
      </c>
      <c r="F74" s="64"/>
      <c r="G74" s="64"/>
      <c r="H74" s="64"/>
    </row>
    <row r="75" customFormat="false" ht="12.75" hidden="false" customHeight="false" outlineLevel="0" collapsed="false">
      <c r="A75" s="102" t="n">
        <v>45194</v>
      </c>
      <c r="B75" s="108" t="s">
        <v>373</v>
      </c>
      <c r="C75" s="108"/>
      <c r="D75" s="108"/>
      <c r="E75" s="168" t="n">
        <v>-59483.25</v>
      </c>
    </row>
    <row r="76" customFormat="false" ht="12.75" hidden="false" customHeight="false" outlineLevel="0" collapsed="false">
      <c r="A76" s="170" t="n">
        <v>45214</v>
      </c>
      <c r="B76" s="8" t="s">
        <v>665</v>
      </c>
      <c r="D76" s="8" t="s">
        <v>965</v>
      </c>
      <c r="E76" s="168" t="n">
        <v>-600</v>
      </c>
      <c r="F76" s="64"/>
    </row>
    <row r="77" customFormat="false" ht="12.75" hidden="false" customHeight="false" outlineLevel="0" collapsed="false">
      <c r="A77" s="170" t="n">
        <v>45198</v>
      </c>
      <c r="B77" s="8" t="s">
        <v>661</v>
      </c>
      <c r="E77" s="168" t="n">
        <v>-160</v>
      </c>
    </row>
    <row r="78" customFormat="false" ht="12.75" hidden="false" customHeight="false" outlineLevel="0" collapsed="false">
      <c r="A78" s="170" t="n">
        <v>45201</v>
      </c>
      <c r="B78" s="8" t="s">
        <v>966</v>
      </c>
      <c r="E78" s="168" t="n">
        <v>-1180</v>
      </c>
    </row>
    <row r="79" customFormat="false" ht="12.75" hidden="false" customHeight="false" outlineLevel="0" collapsed="false">
      <c r="A79" s="170" t="n">
        <v>45204</v>
      </c>
      <c r="B79" s="8" t="s">
        <v>967</v>
      </c>
      <c r="E79" s="168" t="n">
        <v>-713.25</v>
      </c>
    </row>
    <row r="80" customFormat="false" ht="12.75" hidden="false" customHeight="false" outlineLevel="0" collapsed="false">
      <c r="A80" s="170" t="n">
        <v>45204</v>
      </c>
      <c r="B80" s="8" t="s">
        <v>967</v>
      </c>
      <c r="E80" s="168" t="n">
        <v>-713.25</v>
      </c>
    </row>
    <row r="81" customFormat="false" ht="12.75" hidden="false" customHeight="false" outlineLevel="0" collapsed="false">
      <c r="A81" s="170" t="n">
        <v>45194</v>
      </c>
      <c r="B81" s="8" t="s">
        <v>661</v>
      </c>
      <c r="D81" s="36"/>
      <c r="E81" s="168" t="n">
        <v>-200</v>
      </c>
    </row>
    <row r="82" customFormat="false" ht="12.75" hidden="false" customHeight="false" outlineLevel="0" collapsed="false">
      <c r="A82" s="170" t="n">
        <v>45225</v>
      </c>
      <c r="B82" s="8" t="s">
        <v>661</v>
      </c>
      <c r="D82" s="36"/>
      <c r="E82" s="168" t="n">
        <v>-160</v>
      </c>
    </row>
    <row r="83" customFormat="false" ht="12.75" hidden="false" customHeight="false" outlineLevel="0" collapsed="false">
      <c r="A83" s="170" t="n">
        <v>45226</v>
      </c>
      <c r="B83" s="8" t="s">
        <v>661</v>
      </c>
      <c r="E83" s="168" t="n">
        <v>-200</v>
      </c>
    </row>
    <row r="84" customFormat="false" ht="12.75" hidden="false" customHeight="false" outlineLevel="0" collapsed="false">
      <c r="A84" s="170" t="n">
        <v>45227</v>
      </c>
      <c r="B84" s="8" t="s">
        <v>661</v>
      </c>
      <c r="E84" s="168" t="n">
        <v>-200</v>
      </c>
    </row>
    <row r="85" customFormat="false" ht="12.75" hidden="false" customHeight="false" outlineLevel="0" collapsed="false">
      <c r="A85" s="170" t="n">
        <v>45227</v>
      </c>
      <c r="B85" s="8" t="s">
        <v>550</v>
      </c>
      <c r="E85" s="168" t="n">
        <v>-245</v>
      </c>
    </row>
    <row r="86" customFormat="false" ht="12.75" hidden="false" customHeight="false" outlineLevel="0" collapsed="false">
      <c r="A86" s="170" t="n">
        <v>45228</v>
      </c>
      <c r="B86" s="8" t="s">
        <v>661</v>
      </c>
      <c r="E86" s="168" t="n">
        <v>-160</v>
      </c>
    </row>
    <row r="87" customFormat="false" ht="12.75" hidden="false" customHeight="false" outlineLevel="0" collapsed="false">
      <c r="A87" s="170" t="n">
        <v>45228</v>
      </c>
      <c r="B87" s="8" t="s">
        <v>968</v>
      </c>
      <c r="E87" s="168" t="n">
        <v>-33.65</v>
      </c>
    </row>
    <row r="88" customFormat="false" ht="12.75" hidden="false" customHeight="false" outlineLevel="0" collapsed="false">
      <c r="A88" s="170" t="n">
        <v>45201</v>
      </c>
      <c r="B88" s="8" t="s">
        <v>661</v>
      </c>
      <c r="E88" s="168" t="n">
        <v>-160</v>
      </c>
    </row>
    <row r="89" customFormat="false" ht="12.75" hidden="false" customHeight="false" outlineLevel="0" collapsed="false">
      <c r="A89" s="170" t="n">
        <v>45201</v>
      </c>
      <c r="B89" s="8" t="s">
        <v>132</v>
      </c>
      <c r="C89" s="0" t="n">
        <v>-16000.55</v>
      </c>
      <c r="E89" s="168"/>
    </row>
    <row r="90" customFormat="false" ht="12.75" hidden="false" customHeight="false" outlineLevel="0" collapsed="false">
      <c r="A90" s="170" t="n">
        <v>45202</v>
      </c>
      <c r="B90" s="8" t="s">
        <v>661</v>
      </c>
      <c r="E90" s="168" t="n">
        <v>-250</v>
      </c>
    </row>
    <row r="91" customFormat="false" ht="12.75" hidden="false" customHeight="false" outlineLevel="0" collapsed="false">
      <c r="A91" s="170" t="n">
        <v>45204</v>
      </c>
      <c r="B91" s="8" t="s">
        <v>661</v>
      </c>
      <c r="E91" s="168" t="n">
        <v>-300</v>
      </c>
    </row>
    <row r="92" customFormat="false" ht="12.75" hidden="false" customHeight="false" outlineLevel="0" collapsed="false">
      <c r="A92" s="170" t="n">
        <v>45205</v>
      </c>
      <c r="B92" s="8" t="s">
        <v>661</v>
      </c>
      <c r="E92" s="168" t="n">
        <v>-250</v>
      </c>
    </row>
    <row r="93" customFormat="false" ht="12.75" hidden="false" customHeight="false" outlineLevel="0" collapsed="false">
      <c r="A93" s="170" t="n">
        <v>45206</v>
      </c>
      <c r="B93" s="8" t="s">
        <v>661</v>
      </c>
      <c r="E93" s="168" t="n">
        <v>-250</v>
      </c>
    </row>
    <row r="94" customFormat="false" ht="12.75" hidden="false" customHeight="false" outlineLevel="0" collapsed="false">
      <c r="A94" s="170" t="n">
        <v>45206</v>
      </c>
      <c r="B94" s="8" t="s">
        <v>969</v>
      </c>
      <c r="E94" s="168" t="n">
        <v>-107.32</v>
      </c>
    </row>
    <row r="95" customFormat="false" ht="12.75" hidden="false" customHeight="false" outlineLevel="0" collapsed="false">
      <c r="A95" s="170" t="n">
        <v>45210</v>
      </c>
      <c r="B95" s="8" t="s">
        <v>661</v>
      </c>
      <c r="E95" s="168" t="n">
        <v>-200</v>
      </c>
    </row>
    <row r="96" customFormat="false" ht="12.75" hidden="false" customHeight="false" outlineLevel="0" collapsed="false">
      <c r="A96" s="170" t="n">
        <v>45215</v>
      </c>
      <c r="B96" s="8" t="s">
        <v>661</v>
      </c>
      <c r="E96" s="168" t="n">
        <v>-160</v>
      </c>
    </row>
    <row r="97" customFormat="false" ht="12.75" hidden="false" customHeight="false" outlineLevel="0" collapsed="false">
      <c r="A97" s="170" t="n">
        <v>45216</v>
      </c>
      <c r="B97" s="8" t="s">
        <v>661</v>
      </c>
      <c r="E97" s="168" t="n">
        <v>-160</v>
      </c>
    </row>
    <row r="98" customFormat="false" ht="12.75" hidden="false" customHeight="false" outlineLevel="0" collapsed="false">
      <c r="A98" s="170" t="n">
        <v>45217</v>
      </c>
      <c r="B98" s="8" t="s">
        <v>661</v>
      </c>
      <c r="E98" s="168" t="n">
        <v>-160</v>
      </c>
    </row>
    <row r="99" customFormat="false" ht="12.75" hidden="false" customHeight="false" outlineLevel="0" collapsed="false">
      <c r="A99" s="170" t="n">
        <v>45218</v>
      </c>
      <c r="B99" s="8" t="s">
        <v>661</v>
      </c>
      <c r="E99" s="168" t="n">
        <v>-200</v>
      </c>
    </row>
    <row r="100" customFormat="false" ht="12.75" hidden="false" customHeight="false" outlineLevel="0" collapsed="false">
      <c r="A100" s="170" t="n">
        <v>45219</v>
      </c>
      <c r="B100" s="8" t="s">
        <v>661</v>
      </c>
      <c r="E100" s="168" t="n">
        <v>-165</v>
      </c>
    </row>
    <row r="101" customFormat="false" ht="12.75" hidden="false" customHeight="false" outlineLevel="0" collapsed="false">
      <c r="A101" s="170" t="n">
        <v>45219</v>
      </c>
      <c r="B101" s="8" t="s">
        <v>968</v>
      </c>
      <c r="E101" s="168" t="n">
        <v>-93.36</v>
      </c>
    </row>
    <row r="102" customFormat="false" ht="12.75" hidden="false" customHeight="false" outlineLevel="0" collapsed="false">
      <c r="A102" s="170" t="n">
        <v>45220</v>
      </c>
      <c r="B102" s="8" t="s">
        <v>661</v>
      </c>
      <c r="E102" s="168" t="n">
        <v>-165</v>
      </c>
    </row>
    <row r="103" customFormat="false" ht="12.75" hidden="false" customHeight="false" outlineLevel="0" collapsed="false">
      <c r="A103" s="170" t="n">
        <v>45220</v>
      </c>
      <c r="B103" s="8" t="s">
        <v>970</v>
      </c>
      <c r="E103" s="168" t="n">
        <v>-80</v>
      </c>
    </row>
    <row r="104" customFormat="false" ht="12.75" hidden="false" customHeight="false" outlineLevel="0" collapsed="false">
      <c r="A104" s="170" t="n">
        <v>45221</v>
      </c>
      <c r="B104" s="8" t="s">
        <v>971</v>
      </c>
      <c r="E104" s="168" t="n">
        <v>-500</v>
      </c>
    </row>
    <row r="105" customFormat="false" ht="13.8" hidden="false" customHeight="false" outlineLevel="0" collapsed="false">
      <c r="D105" s="107" t="s">
        <v>84</v>
      </c>
    </row>
    <row r="107" customFormat="false" ht="12.75" hidden="false" customHeight="false" outlineLevel="0" collapsed="false">
      <c r="B107" s="0" t="s">
        <v>972</v>
      </c>
      <c r="E107" s="168" t="n">
        <v>3707.01</v>
      </c>
    </row>
    <row r="108" customFormat="false" ht="12.75" hidden="false" customHeight="false" outlineLevel="0" collapsed="false">
      <c r="B108" s="0" t="s">
        <v>973</v>
      </c>
      <c r="E108" s="168" t="n">
        <v>540</v>
      </c>
    </row>
    <row r="109" customFormat="false" ht="12.75" hidden="false" customHeight="false" outlineLevel="0" collapsed="false">
      <c r="E109" s="64" t="n">
        <f aca="false">SUM(E107:E108)</f>
        <v>4247.01</v>
      </c>
    </row>
    <row r="111" customFormat="false" ht="12.75" hidden="false" customHeight="false" outlineLevel="0" collapsed="false">
      <c r="A111" s="117" t="s">
        <v>974</v>
      </c>
      <c r="B111" s="106" t="s">
        <v>139</v>
      </c>
      <c r="C111" s="105" t="n">
        <v>2023</v>
      </c>
      <c r="D111" s="163"/>
      <c r="E111" s="164" t="n">
        <f aca="false">SUM(E112:E122)</f>
        <v>709393.085</v>
      </c>
    </row>
    <row r="112" customFormat="false" ht="12.75" hidden="false" customHeight="false" outlineLevel="0" collapsed="false">
      <c r="A112" s="165" t="n">
        <v>45260</v>
      </c>
      <c r="B112" s="8" t="s">
        <v>77</v>
      </c>
      <c r="C112" s="2"/>
      <c r="D112" s="2"/>
      <c r="E112" s="17" t="n">
        <v>64000</v>
      </c>
    </row>
    <row r="113" customFormat="false" ht="12.75" hidden="false" customHeight="false" outlineLevel="0" collapsed="false">
      <c r="A113" s="165" t="n">
        <f aca="false">A112</f>
        <v>45260</v>
      </c>
      <c r="B113" s="8" t="s">
        <v>975</v>
      </c>
      <c r="C113" s="2" t="n">
        <v>145000</v>
      </c>
      <c r="D113" s="2"/>
      <c r="E113" s="17" t="n">
        <v>218088</v>
      </c>
    </row>
    <row r="114" customFormat="false" ht="12.75" hidden="false" customHeight="false" outlineLevel="0" collapsed="false">
      <c r="A114" s="165" t="n">
        <f aca="false">A113</f>
        <v>45260</v>
      </c>
      <c r="B114" s="8" t="s">
        <v>309</v>
      </c>
      <c r="C114" s="2"/>
      <c r="D114" s="2"/>
      <c r="E114" s="17" t="n">
        <v>37657.35</v>
      </c>
    </row>
    <row r="115" customFormat="false" ht="12.75" hidden="false" customHeight="false" outlineLevel="0" collapsed="false">
      <c r="A115" s="165" t="n">
        <f aca="false">A114</f>
        <v>45260</v>
      </c>
      <c r="B115" s="8" t="s">
        <v>310</v>
      </c>
      <c r="C115" s="2"/>
      <c r="D115" s="2"/>
      <c r="E115" s="17" t="n">
        <v>64.31</v>
      </c>
    </row>
    <row r="116" customFormat="false" ht="12.75" hidden="false" customHeight="false" outlineLevel="0" collapsed="false">
      <c r="A116" s="165" t="n">
        <v>45260</v>
      </c>
      <c r="B116" s="8" t="s">
        <v>311</v>
      </c>
      <c r="C116" s="2"/>
      <c r="D116" s="2"/>
      <c r="E116" s="17" t="n">
        <v>3242.78</v>
      </c>
    </row>
    <row r="117" customFormat="false" ht="12.75" hidden="false" customHeight="false" outlineLevel="0" collapsed="false">
      <c r="A117" s="165" t="n">
        <v>45260</v>
      </c>
      <c r="B117" s="8" t="s">
        <v>143</v>
      </c>
      <c r="C117" s="2"/>
      <c r="D117" s="2"/>
      <c r="E117" s="17" t="n">
        <v>1000</v>
      </c>
    </row>
    <row r="118" customFormat="false" ht="12.75" hidden="false" customHeight="false" outlineLevel="0" collapsed="false">
      <c r="A118" s="165" t="n">
        <f aca="false">A115</f>
        <v>45260</v>
      </c>
      <c r="B118" s="8" t="s">
        <v>319</v>
      </c>
      <c r="C118" s="2" t="n">
        <v>1851.05</v>
      </c>
      <c r="D118" s="2" t="n">
        <v>161</v>
      </c>
      <c r="E118" s="17" t="n">
        <f aca="false">D118*C118</f>
        <v>298019.05</v>
      </c>
    </row>
    <row r="119" customFormat="false" ht="12.75" hidden="false" customHeight="false" outlineLevel="0" collapsed="false">
      <c r="A119" s="165" t="n">
        <f aca="false">A118</f>
        <v>45260</v>
      </c>
      <c r="B119" s="8" t="s">
        <v>976</v>
      </c>
      <c r="C119" s="167" t="n">
        <v>28.1987</v>
      </c>
      <c r="D119" s="2" t="n">
        <v>850</v>
      </c>
      <c r="E119" s="17" t="n">
        <f aca="false">D119*C119</f>
        <v>23968.895</v>
      </c>
    </row>
    <row r="120" customFormat="false" ht="12.75" hidden="false" customHeight="false" outlineLevel="0" collapsed="false">
      <c r="A120" s="165" t="n">
        <f aca="false">A119</f>
        <v>45260</v>
      </c>
      <c r="B120" s="8" t="s">
        <v>977</v>
      </c>
      <c r="C120" s="167" t="n">
        <v>31.027</v>
      </c>
      <c r="D120" s="2" t="n">
        <v>100</v>
      </c>
      <c r="E120" s="17" t="n">
        <f aca="false">D120*C120</f>
        <v>3102.7</v>
      </c>
    </row>
    <row r="121" customFormat="false" ht="12.75" hidden="false" customHeight="false" outlineLevel="0" collapsed="false">
      <c r="A121" s="165" t="n">
        <f aca="false">A120</f>
        <v>45260</v>
      </c>
      <c r="B121" s="8" t="s">
        <v>155</v>
      </c>
      <c r="C121" s="2"/>
      <c r="D121" s="2"/>
      <c r="E121" s="17" t="n">
        <v>60000</v>
      </c>
    </row>
    <row r="122" customFormat="false" ht="12.75" hidden="false" customHeight="false" outlineLevel="0" collapsed="false">
      <c r="A122" s="165" t="n">
        <f aca="false">A121</f>
        <v>45260</v>
      </c>
      <c r="B122" s="8" t="s">
        <v>156</v>
      </c>
      <c r="C122" s="2"/>
      <c r="D122" s="2"/>
      <c r="E122" s="17" t="n">
        <v>250</v>
      </c>
    </row>
    <row r="123" customFormat="false" ht="12.75" hidden="false" customHeight="false" outlineLevel="0" collapsed="false">
      <c r="C123" s="3" t="str">
        <f aca="false">A111</f>
        <v>KASIM</v>
      </c>
      <c r="D123" s="18" t="s">
        <v>159</v>
      </c>
      <c r="E123" s="168" t="n">
        <f aca="false">H33</f>
        <v>-64817.05</v>
      </c>
    </row>
    <row r="124" customFormat="false" ht="12.75" hidden="false" customHeight="false" outlineLevel="0" collapsed="false">
      <c r="D124" s="3"/>
    </row>
    <row r="125" customFormat="false" ht="12.75" hidden="false" customHeight="false" outlineLevel="0" collapsed="false">
      <c r="D125" s="18" t="s">
        <v>158</v>
      </c>
      <c r="E125" s="9" t="n">
        <f aca="false">SUM(E112:E122)</f>
        <v>709393.085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false"/>
  </sheetPr>
  <dimension ref="A1:I124"/>
  <sheetViews>
    <sheetView showFormulas="false" showGridLines="true" showRowColHeaders="true" showZeros="true" rightToLeft="false" tabSelected="false" showOutlineSymbols="true" defaultGridColor="true" view="normal" topLeftCell="A4" colorId="64" zoomScale="170" zoomScaleNormal="170" zoomScalePageLayoutView="100" workbookViewId="0">
      <selection pane="topLeft" activeCell="A4" activeCellId="0" sqref="A4"/>
    </sheetView>
  </sheetViews>
  <sheetFormatPr defaultColWidth="12.2929687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3"/>
    <col collapsed="false" customWidth="true" hidden="false" outlineLevel="0" max="4" min="4" style="0" width="10.57"/>
    <col collapsed="false" customWidth="true" hidden="false" outlineLevel="0" max="5" min="5" style="0" width="12.14"/>
    <col collapsed="false" customWidth="true" hidden="false" outlineLevel="0" max="6" min="6" style="0" width="9.43"/>
    <col collapsed="false" customWidth="true" hidden="false" outlineLevel="0" max="8" min="7" style="0" width="11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E1" s="194"/>
      <c r="F1" s="194" t="s">
        <v>28</v>
      </c>
      <c r="G1" s="194" t="s">
        <v>29</v>
      </c>
      <c r="H1" s="194" t="s">
        <v>3</v>
      </c>
    </row>
    <row r="2" customFormat="false" ht="12.75" hidden="false" customHeight="false" outlineLevel="0" collapsed="false">
      <c r="A2" s="3" t="s">
        <v>978</v>
      </c>
      <c r="C2" s="81" t="s">
        <v>67</v>
      </c>
      <c r="D2" s="311" t="n">
        <f aca="false">SUM(D4:D32)</f>
        <v>32800</v>
      </c>
      <c r="E2" s="311" t="n">
        <f aca="false">SUM(E4:E32)</f>
        <v>-44478.17</v>
      </c>
      <c r="F2" s="311" t="n">
        <f aca="false">SUM(F4:F32)</f>
        <v>23200</v>
      </c>
      <c r="G2" s="311" t="n">
        <f aca="false">SUM(G4:G32)</f>
        <v>-43968.17</v>
      </c>
      <c r="H2" s="311" t="n">
        <f aca="false">F2+G2</f>
        <v>-20768.17</v>
      </c>
    </row>
    <row r="3" customFormat="false" ht="12.75" hidden="false" customHeight="false" outlineLevel="0" collapsed="false">
      <c r="B3" s="18"/>
      <c r="H3" s="64"/>
    </row>
    <row r="4" customFormat="false" ht="12.75" hidden="false" customHeight="false" outlineLevel="0" collapsed="false">
      <c r="A4" s="165" t="n">
        <v>45201</v>
      </c>
      <c r="B4" s="103" t="s">
        <v>80</v>
      </c>
      <c r="C4" s="103"/>
      <c r="D4" s="103"/>
      <c r="E4" s="64" t="n">
        <v>-400</v>
      </c>
      <c r="G4" s="64" t="n">
        <v>-327</v>
      </c>
      <c r="H4" s="64" t="n">
        <f aca="false">H3+F4+G4</f>
        <v>-327</v>
      </c>
    </row>
    <row r="5" customFormat="false" ht="12.75" hidden="false" customHeight="false" outlineLevel="0" collapsed="false">
      <c r="A5" s="165" t="n">
        <v>45201</v>
      </c>
      <c r="B5" s="103" t="s">
        <v>81</v>
      </c>
      <c r="C5" s="103"/>
      <c r="D5" s="103"/>
      <c r="E5" s="64" t="n">
        <v>-500</v>
      </c>
      <c r="G5" s="64" t="n">
        <v>-593</v>
      </c>
      <c r="H5" s="64" t="n">
        <f aca="false">H4+F5+G5</f>
        <v>-920</v>
      </c>
    </row>
    <row r="6" customFormat="false" ht="12.75" hidden="false" customHeight="false" outlineLevel="0" collapsed="false">
      <c r="A6" s="165" t="n">
        <v>45201</v>
      </c>
      <c r="B6" s="103" t="s">
        <v>979</v>
      </c>
      <c r="C6" s="103"/>
      <c r="D6" s="103"/>
      <c r="E6" s="64" t="n">
        <v>-137.2</v>
      </c>
      <c r="G6" s="64" t="n">
        <v>-137.2</v>
      </c>
      <c r="H6" s="64" t="n">
        <f aca="false">H5+F6+G6</f>
        <v>-1057.2</v>
      </c>
    </row>
    <row r="7" customFormat="false" ht="12.75" hidden="false" customHeight="false" outlineLevel="0" collapsed="false">
      <c r="A7" s="165" t="n">
        <v>45201</v>
      </c>
      <c r="B7" s="103" t="s">
        <v>980</v>
      </c>
      <c r="C7" s="103"/>
      <c r="D7" s="103"/>
      <c r="E7" s="64" t="n">
        <v>-1180</v>
      </c>
      <c r="G7" s="64" t="n">
        <v>-1180</v>
      </c>
      <c r="H7" s="64" t="n">
        <f aca="false">H6+F7+G7</f>
        <v>-2237.2</v>
      </c>
    </row>
    <row r="8" customFormat="false" ht="12.75" hidden="false" customHeight="false" outlineLevel="0" collapsed="false">
      <c r="A8" s="165" t="n">
        <v>45201</v>
      </c>
      <c r="B8" s="103" t="s">
        <v>981</v>
      </c>
      <c r="C8" s="103"/>
      <c r="D8" s="103"/>
      <c r="E8" s="64" t="n">
        <v>-250</v>
      </c>
      <c r="G8" s="64" t="n">
        <v>-250</v>
      </c>
      <c r="H8" s="64" t="n">
        <f aca="false">H7+F8+G8</f>
        <v>-2487.2</v>
      </c>
    </row>
    <row r="9" customFormat="false" ht="12.75" hidden="false" customHeight="false" outlineLevel="0" collapsed="false">
      <c r="B9" s="183" t="s">
        <v>72</v>
      </c>
      <c r="D9" s="64"/>
      <c r="E9" s="64" t="n">
        <f aca="false">D45*-1</f>
        <v>-33.73</v>
      </c>
      <c r="F9" s="64"/>
      <c r="G9" s="64" t="n">
        <f aca="false">E9</f>
        <v>-33.73</v>
      </c>
      <c r="H9" s="64" t="n">
        <f aca="false">H8+F9+G9</f>
        <v>-2520.93</v>
      </c>
    </row>
    <row r="10" customFormat="false" ht="12.75" hidden="false" customHeight="false" outlineLevel="0" collapsed="false">
      <c r="B10" s="183" t="s">
        <v>68</v>
      </c>
      <c r="E10" s="64" t="n">
        <f aca="false">E51</f>
        <v>-6481.61</v>
      </c>
      <c r="F10" s="64"/>
      <c r="G10" s="64" t="n">
        <v>-6481.61</v>
      </c>
      <c r="H10" s="64" t="n">
        <f aca="false">H9+F10+G10</f>
        <v>-9002.54</v>
      </c>
    </row>
    <row r="11" customFormat="false" ht="12.75" hidden="false" customHeight="false" outlineLevel="0" collapsed="false">
      <c r="B11" s="183" t="s">
        <v>69</v>
      </c>
      <c r="E11" s="64" t="n">
        <f aca="false">E68</f>
        <v>-16000.55</v>
      </c>
      <c r="G11" s="64" t="n">
        <v>-16000.55</v>
      </c>
      <c r="H11" s="64" t="n">
        <f aca="false">H10+F11+G11</f>
        <v>-25003.09</v>
      </c>
    </row>
    <row r="12" customFormat="false" ht="12.75" hidden="false" customHeight="false" outlineLevel="0" collapsed="false">
      <c r="A12" s="165" t="n">
        <v>44933</v>
      </c>
      <c r="B12" s="103" t="s">
        <v>982</v>
      </c>
      <c r="C12" s="103"/>
      <c r="D12" s="103"/>
      <c r="E12" s="64" t="n">
        <v>-5375</v>
      </c>
      <c r="G12" s="64" t="n">
        <v>-5375</v>
      </c>
      <c r="H12" s="64" t="n">
        <f aca="false">H11+F12+G12</f>
        <v>-30378.09</v>
      </c>
    </row>
    <row r="13" customFormat="false" ht="12.75" hidden="false" customHeight="false" outlineLevel="0" collapsed="false">
      <c r="B13" s="103" t="s">
        <v>983</v>
      </c>
      <c r="C13" s="103"/>
      <c r="D13" s="103"/>
      <c r="E13" s="64" t="n">
        <v>-2125</v>
      </c>
      <c r="G13" s="64" t="n">
        <v>-2125</v>
      </c>
      <c r="H13" s="64" t="n">
        <f aca="false">H12+F13+G13</f>
        <v>-32503.09</v>
      </c>
    </row>
    <row r="14" customFormat="false" ht="12.75" hidden="false" customHeight="false" outlineLevel="0" collapsed="false">
      <c r="B14" s="103" t="s">
        <v>984</v>
      </c>
      <c r="C14" s="103"/>
      <c r="D14" s="103"/>
      <c r="E14" s="64" t="n">
        <v>-945.08</v>
      </c>
      <c r="F14" s="168"/>
      <c r="G14" s="64" t="n">
        <v>-945.08</v>
      </c>
      <c r="H14" s="64" t="n">
        <f aca="false">H13+F14+G14</f>
        <v>-33448.17</v>
      </c>
    </row>
    <row r="15" customFormat="false" ht="12.75" hidden="false" customHeight="false" outlineLevel="0" collapsed="false">
      <c r="B15" s="103" t="s">
        <v>75</v>
      </c>
      <c r="C15" s="103" t="s">
        <v>332</v>
      </c>
      <c r="D15" s="103"/>
      <c r="E15" s="64" t="n">
        <v>-150</v>
      </c>
      <c r="F15" s="168"/>
      <c r="G15" s="64"/>
      <c r="H15" s="64" t="n">
        <f aca="false">H14+F15+G15</f>
        <v>-33448.17</v>
      </c>
    </row>
    <row r="16" customFormat="false" ht="12.75" hidden="false" customHeight="false" outlineLevel="0" collapsed="false">
      <c r="B16" s="108" t="s">
        <v>73</v>
      </c>
      <c r="C16" s="108" t="s">
        <v>332</v>
      </c>
      <c r="D16" s="108"/>
      <c r="E16" s="64" t="n">
        <v>-300</v>
      </c>
      <c r="F16" s="168"/>
      <c r="G16" s="64"/>
      <c r="H16" s="64" t="n">
        <f aca="false">H15+F16+G16</f>
        <v>-33448.17</v>
      </c>
    </row>
    <row r="17" customFormat="false" ht="12.75" hidden="false" customHeight="false" outlineLevel="0" collapsed="false">
      <c r="B17" s="108" t="s">
        <v>74</v>
      </c>
      <c r="C17" s="108" t="s">
        <v>332</v>
      </c>
      <c r="D17" s="108"/>
      <c r="E17" s="64" t="n">
        <v>-100</v>
      </c>
      <c r="F17" s="168"/>
      <c r="G17" s="64"/>
      <c r="H17" s="64" t="n">
        <f aca="false">H16+F17+G17</f>
        <v>-33448.17</v>
      </c>
    </row>
    <row r="18" customFormat="false" ht="12.75" hidden="false" customHeight="false" outlineLevel="0" collapsed="false">
      <c r="B18" s="0" t="s">
        <v>77</v>
      </c>
      <c r="E18" s="64" t="n">
        <v>-3500</v>
      </c>
      <c r="F18" s="64"/>
      <c r="G18" s="64" t="n">
        <v>-3510</v>
      </c>
      <c r="H18" s="64" t="n">
        <f aca="false">H17+F18+G18</f>
        <v>-36958.17</v>
      </c>
    </row>
    <row r="19" customFormat="false" ht="12.75" hidden="false" customHeight="false" outlineLevel="0" collapsed="false">
      <c r="B19" s="0" t="s">
        <v>985</v>
      </c>
      <c r="E19" s="64"/>
      <c r="F19" s="64"/>
      <c r="G19" s="64"/>
      <c r="H19" s="64" t="n">
        <f aca="false">H18+F19+G19</f>
        <v>-36958.17</v>
      </c>
    </row>
    <row r="20" customFormat="false" ht="12.75" hidden="false" customHeight="false" outlineLevel="0" collapsed="false">
      <c r="B20" s="0" t="s">
        <v>78</v>
      </c>
      <c r="E20" s="64" t="n">
        <v>-3500</v>
      </c>
      <c r="F20" s="64"/>
      <c r="G20" s="64" t="n">
        <v>-3510</v>
      </c>
      <c r="H20" s="64" t="n">
        <f aca="false">H19+F20+G20</f>
        <v>-40468.17</v>
      </c>
    </row>
    <row r="21" customFormat="false" ht="12.75" hidden="false" customHeight="false" outlineLevel="0" collapsed="false">
      <c r="B21" s="0" t="s">
        <v>79</v>
      </c>
      <c r="E21" s="64" t="n">
        <v>-3500</v>
      </c>
      <c r="F21" s="64"/>
      <c r="G21" s="64" t="n">
        <v>-3500</v>
      </c>
      <c r="H21" s="64" t="n">
        <f aca="false">H20+F21+G21</f>
        <v>-43968.17</v>
      </c>
    </row>
    <row r="22" customFormat="false" ht="12.75" hidden="false" customHeight="false" outlineLevel="0" collapsed="false">
      <c r="E22" s="168"/>
      <c r="F22" s="64"/>
      <c r="G22" s="64"/>
      <c r="H22" s="64" t="n">
        <f aca="false">H21+F22+G22</f>
        <v>-43968.17</v>
      </c>
    </row>
    <row r="23" customFormat="false" ht="12.75" hidden="false" customHeight="false" outlineLevel="0" collapsed="false">
      <c r="B23" s="0" t="s">
        <v>76</v>
      </c>
      <c r="D23" s="191" t="n">
        <v>7500</v>
      </c>
      <c r="F23" s="64" t="n">
        <v>7500</v>
      </c>
      <c r="G23" s="64"/>
      <c r="H23" s="64" t="n">
        <f aca="false">H22+F23+G23</f>
        <v>-36468.17</v>
      </c>
    </row>
    <row r="24" customFormat="false" ht="12.75" hidden="false" customHeight="false" outlineLevel="0" collapsed="false">
      <c r="A24" s="165" t="n">
        <v>45232</v>
      </c>
      <c r="B24" s="8" t="s">
        <v>986</v>
      </c>
      <c r="C24" s="8" t="s">
        <v>950</v>
      </c>
      <c r="D24" s="191" t="n">
        <v>2800</v>
      </c>
      <c r="F24" s="64" t="n">
        <v>2800</v>
      </c>
      <c r="G24" s="64"/>
      <c r="H24" s="64" t="n">
        <f aca="false">H23+F24+G24</f>
        <v>-33668.17</v>
      </c>
    </row>
    <row r="25" customFormat="false" ht="12.75" hidden="false" customHeight="false" outlineLevel="0" collapsed="false">
      <c r="B25" s="0" t="s">
        <v>987</v>
      </c>
      <c r="D25" s="191" t="n">
        <v>6500</v>
      </c>
      <c r="F25" s="64" t="n">
        <v>6500</v>
      </c>
      <c r="G25" s="64"/>
      <c r="H25" s="64" t="n">
        <f aca="false">H24+F25+G25</f>
        <v>-27168.17</v>
      </c>
    </row>
    <row r="26" customFormat="false" ht="12.75" hidden="false" customHeight="false" outlineLevel="0" collapsed="false">
      <c r="A26" s="165" t="n">
        <v>45236</v>
      </c>
      <c r="B26" s="8" t="s">
        <v>988</v>
      </c>
      <c r="D26" s="191" t="n">
        <v>6000</v>
      </c>
      <c r="F26" s="64" t="n">
        <v>6000</v>
      </c>
      <c r="H26" s="64" t="n">
        <f aca="false">H25+F26+G26</f>
        <v>-21168.17</v>
      </c>
    </row>
    <row r="27" customFormat="false" ht="12.75" hidden="false" customHeight="false" outlineLevel="0" collapsed="false">
      <c r="A27" s="165" t="n">
        <v>45229</v>
      </c>
      <c r="B27" s="8" t="s">
        <v>955</v>
      </c>
      <c r="D27" s="191" t="n">
        <v>10000</v>
      </c>
      <c r="F27" s="64"/>
      <c r="G27" s="64"/>
      <c r="H27" s="64" t="n">
        <f aca="false">H26+F27+G27</f>
        <v>-21168.17</v>
      </c>
    </row>
    <row r="28" customFormat="false" ht="12.75" hidden="false" customHeight="false" outlineLevel="0" collapsed="false">
      <c r="A28" s="165"/>
      <c r="B28" s="8" t="s">
        <v>989</v>
      </c>
      <c r="D28" s="104"/>
      <c r="F28" s="64"/>
      <c r="G28" s="64"/>
      <c r="H28" s="64" t="n">
        <f aca="false">H27+F28+G28</f>
        <v>-21168.17</v>
      </c>
    </row>
    <row r="29" customFormat="false" ht="12.75" hidden="false" customHeight="false" outlineLevel="0" collapsed="false">
      <c r="A29" s="165" t="n">
        <v>45227</v>
      </c>
      <c r="B29" s="8" t="s">
        <v>990</v>
      </c>
      <c r="D29" s="104"/>
      <c r="F29" s="64" t="n">
        <v>400</v>
      </c>
      <c r="H29" s="64" t="n">
        <f aca="false">H28+F29+G29</f>
        <v>-20768.17</v>
      </c>
    </row>
    <row r="30" customFormat="false" ht="12.75" hidden="false" customHeight="false" outlineLevel="0" collapsed="false">
      <c r="D30" s="64"/>
      <c r="F30" s="64"/>
      <c r="G30" s="64"/>
      <c r="H30" s="64"/>
    </row>
    <row r="31" customFormat="false" ht="15" hidden="false" customHeight="false" outlineLevel="0" collapsed="false">
      <c r="B31" s="184"/>
      <c r="F31" s="64"/>
      <c r="G31" s="64"/>
      <c r="H31" s="64"/>
    </row>
    <row r="32" customFormat="false" ht="12.75" hidden="false" customHeight="false" outlineLevel="0" collapsed="false">
      <c r="E32" s="64"/>
      <c r="G32" s="64"/>
      <c r="H32" s="64"/>
    </row>
    <row r="33" customFormat="false" ht="12.75" hidden="false" customHeight="false" outlineLevel="0" collapsed="false">
      <c r="B33" s="0" t="s">
        <v>334</v>
      </c>
      <c r="E33" s="64"/>
      <c r="G33" s="64"/>
      <c r="H33" s="64"/>
    </row>
    <row r="34" customFormat="false" ht="12.75" hidden="false" customHeight="false" outlineLevel="0" collapsed="false">
      <c r="A34" s="105" t="s">
        <v>335</v>
      </c>
      <c r="B34" s="105"/>
      <c r="C34" s="105"/>
      <c r="D34" s="105"/>
      <c r="E34" s="163"/>
      <c r="G34" s="64"/>
      <c r="H34" s="64"/>
    </row>
    <row r="35" customFormat="false" ht="12.75" hidden="false" customHeight="false" outlineLevel="0" collapsed="false">
      <c r="A35" s="317"/>
      <c r="B35" s="317"/>
      <c r="C35" s="317"/>
      <c r="D35" s="317"/>
      <c r="E35" s="318"/>
      <c r="H35" s="64"/>
    </row>
    <row r="36" customFormat="false" ht="12.75" hidden="false" customHeight="false" outlineLevel="0" collapsed="false">
      <c r="A36" s="317"/>
      <c r="B36" s="317"/>
      <c r="C36" s="319"/>
      <c r="D36" s="317"/>
      <c r="E36" s="317"/>
      <c r="H36" s="64"/>
    </row>
    <row r="37" customFormat="false" ht="12.75" hidden="false" customHeight="false" outlineLevel="0" collapsed="false">
      <c r="A37" s="317"/>
      <c r="B37" s="317"/>
      <c r="C37" s="319"/>
      <c r="D37" s="317"/>
      <c r="E37" s="317"/>
      <c r="H37" s="64"/>
    </row>
    <row r="38" customFormat="false" ht="12.75" hidden="false" customHeight="false" outlineLevel="0" collapsed="false">
      <c r="C38" s="176"/>
      <c r="H38" s="64"/>
    </row>
    <row r="39" customFormat="false" ht="12.75" hidden="false" customHeight="false" outlineLevel="0" collapsed="false">
      <c r="A39" s="320" t="n">
        <v>44929</v>
      </c>
      <c r="B39" s="178" t="s">
        <v>336</v>
      </c>
      <c r="C39" s="105"/>
      <c r="D39" s="206" t="n">
        <f aca="false">SUM(D40:D47)</f>
        <v>3425.38</v>
      </c>
      <c r="E39" s="206" t="n">
        <f aca="false">SUM(E40:E47)</f>
        <v>3422.73</v>
      </c>
      <c r="H39" s="64"/>
    </row>
    <row r="40" customFormat="false" ht="12.75" hidden="false" customHeight="false" outlineLevel="0" collapsed="false">
      <c r="B40" s="0" t="s">
        <v>930</v>
      </c>
      <c r="D40" s="0" t="n">
        <v>578.66</v>
      </c>
      <c r="E40" s="64" t="n">
        <v>578</v>
      </c>
      <c r="F40" s="64"/>
      <c r="G40" s="64"/>
    </row>
    <row r="41" customFormat="false" ht="12.75" hidden="false" customHeight="false" outlineLevel="0" collapsed="false">
      <c r="B41" s="0" t="s">
        <v>338</v>
      </c>
      <c r="D41" s="0" t="n">
        <v>1237.75</v>
      </c>
      <c r="E41" s="64" t="n">
        <v>1237</v>
      </c>
      <c r="F41" s="64"/>
      <c r="G41" s="64"/>
    </row>
    <row r="42" customFormat="false" ht="12.75" hidden="false" customHeight="false" outlineLevel="0" collapsed="false">
      <c r="B42" s="0" t="s">
        <v>339</v>
      </c>
      <c r="D42" s="0" t="n">
        <v>155.32</v>
      </c>
      <c r="E42" s="0" t="n">
        <v>155</v>
      </c>
      <c r="F42" s="64"/>
      <c r="G42" s="64"/>
    </row>
    <row r="43" customFormat="false" ht="12.75" hidden="false" customHeight="false" outlineLevel="0" collapsed="false">
      <c r="B43" s="0" t="s">
        <v>340</v>
      </c>
      <c r="D43" s="0" t="n">
        <v>1102.24</v>
      </c>
      <c r="E43" s="0" t="n">
        <v>1102</v>
      </c>
      <c r="F43" s="64"/>
      <c r="G43" s="64"/>
    </row>
    <row r="44" customFormat="false" ht="12.75" hidden="false" customHeight="false" outlineLevel="0" collapsed="false">
      <c r="B44" s="0" t="s">
        <v>341</v>
      </c>
      <c r="D44" s="0" t="n">
        <v>317.68</v>
      </c>
      <c r="E44" s="0" t="n">
        <v>317</v>
      </c>
      <c r="F44" s="64"/>
      <c r="G44" s="64"/>
    </row>
    <row r="45" customFormat="false" ht="12.75" hidden="false" customHeight="false" outlineLevel="0" collapsed="false">
      <c r="B45" s="0" t="s">
        <v>342</v>
      </c>
      <c r="C45" s="108"/>
      <c r="D45" s="108" t="n">
        <v>33.73</v>
      </c>
      <c r="E45" s="0" t="n">
        <v>33.73</v>
      </c>
      <c r="F45" s="64"/>
      <c r="G45" s="64"/>
    </row>
    <row r="46" customFormat="false" ht="12.75" hidden="false" customHeight="false" outlineLevel="0" collapsed="false">
      <c r="C46" s="108"/>
      <c r="E46" s="108"/>
      <c r="F46" s="64"/>
      <c r="G46" s="64"/>
    </row>
    <row r="47" customFormat="false" ht="12.75" hidden="false" customHeight="false" outlineLevel="0" collapsed="false">
      <c r="C47" s="108"/>
      <c r="D47" s="108"/>
      <c r="E47" s="168"/>
      <c r="F47" s="64"/>
      <c r="G47" s="64"/>
    </row>
    <row r="49" customFormat="false" ht="12.75" hidden="false" customHeight="false" outlineLevel="0" collapsed="false">
      <c r="B49" s="17"/>
    </row>
    <row r="50" customFormat="false" ht="12.75" hidden="false" customHeight="false" outlineLevel="0" collapsed="false">
      <c r="B50" s="104"/>
    </row>
    <row r="51" customFormat="false" ht="12.75" hidden="false" customHeight="false" outlineLevel="0" collapsed="false">
      <c r="A51" s="105"/>
      <c r="B51" s="106" t="s">
        <v>83</v>
      </c>
      <c r="C51" s="105"/>
      <c r="D51" s="163"/>
      <c r="E51" s="164" t="n">
        <f aca="false">SUM(E52:E65)</f>
        <v>-6481.61</v>
      </c>
    </row>
    <row r="52" customFormat="false" ht="12.75" hidden="false" customHeight="false" outlineLevel="0" collapsed="false">
      <c r="A52" s="165" t="n">
        <v>44995</v>
      </c>
      <c r="B52" s="8" t="s">
        <v>781</v>
      </c>
      <c r="C52" s="0" t="n">
        <v>613.91</v>
      </c>
      <c r="D52" s="36" t="s">
        <v>991</v>
      </c>
      <c r="E52" s="168" t="n">
        <v>-61.39</v>
      </c>
      <c r="G52" s="64"/>
      <c r="H52" s="64"/>
    </row>
    <row r="53" customFormat="false" ht="12.75" hidden="false" customHeight="false" outlineLevel="0" collapsed="false">
      <c r="A53" s="165" t="n">
        <v>45043</v>
      </c>
      <c r="B53" s="108" t="s">
        <v>959</v>
      </c>
      <c r="C53" s="108" t="n">
        <v>3299</v>
      </c>
      <c r="D53" s="36" t="s">
        <v>480</v>
      </c>
      <c r="E53" s="168" t="n">
        <v>-549.83</v>
      </c>
      <c r="F53" s="64"/>
      <c r="G53" s="64"/>
      <c r="H53" s="64"/>
    </row>
    <row r="54" customFormat="false" ht="12.75" hidden="false" customHeight="false" outlineLevel="0" collapsed="false">
      <c r="A54" s="165" t="n">
        <v>45043</v>
      </c>
      <c r="B54" s="108" t="s">
        <v>733</v>
      </c>
      <c r="C54" s="108" t="n">
        <v>10764.57</v>
      </c>
      <c r="D54" s="36" t="s">
        <v>735</v>
      </c>
      <c r="E54" s="168" t="n">
        <v>-1196.06</v>
      </c>
      <c r="F54" s="64"/>
      <c r="G54" s="64"/>
      <c r="H54" s="64"/>
    </row>
    <row r="55" customFormat="false" ht="12.75" hidden="false" customHeight="false" outlineLevel="0" collapsed="false">
      <c r="A55" s="165" t="n">
        <v>45044</v>
      </c>
      <c r="B55" s="8" t="s">
        <v>961</v>
      </c>
      <c r="C55" s="108" t="n">
        <v>3123.29</v>
      </c>
      <c r="D55" s="209" t="s">
        <v>480</v>
      </c>
      <c r="E55" s="168" t="n">
        <v>-520.55</v>
      </c>
      <c r="F55" s="64"/>
      <c r="G55" s="64"/>
      <c r="H55" s="64"/>
    </row>
    <row r="56" customFormat="false" ht="12.75" hidden="false" customHeight="false" outlineLevel="0" collapsed="false">
      <c r="A56" s="165" t="n">
        <v>45078</v>
      </c>
      <c r="B56" s="108" t="s">
        <v>934</v>
      </c>
      <c r="D56" s="209" t="s">
        <v>523</v>
      </c>
      <c r="E56" s="168" t="n">
        <v>-666.67</v>
      </c>
      <c r="F56" s="64"/>
      <c r="G56" s="64"/>
      <c r="H56" s="64"/>
    </row>
    <row r="57" customFormat="false" ht="12.75" hidden="false" customHeight="false" outlineLevel="0" collapsed="false">
      <c r="A57" s="165" t="n">
        <v>45168</v>
      </c>
      <c r="B57" s="108" t="s">
        <v>493</v>
      </c>
      <c r="D57" s="209"/>
      <c r="E57" s="168" t="n">
        <v>-250</v>
      </c>
      <c r="F57" s="64"/>
      <c r="G57" s="64"/>
      <c r="H57" s="64"/>
    </row>
    <row r="58" customFormat="false" ht="12.75" hidden="false" customHeight="false" outlineLevel="0" collapsed="false">
      <c r="A58" s="165" t="n">
        <v>45077</v>
      </c>
      <c r="B58" s="108" t="s">
        <v>992</v>
      </c>
      <c r="C58" s="108" t="n">
        <v>148.6</v>
      </c>
      <c r="D58" s="209" t="s">
        <v>993</v>
      </c>
      <c r="E58" s="168" t="n">
        <v>-37.15</v>
      </c>
      <c r="F58" s="64"/>
      <c r="G58" s="64"/>
      <c r="H58" s="64"/>
    </row>
    <row r="59" customFormat="false" ht="12.75" hidden="false" customHeight="false" outlineLevel="0" collapsed="false">
      <c r="A59" s="165" t="n">
        <v>45077</v>
      </c>
      <c r="B59" s="108" t="s">
        <v>994</v>
      </c>
      <c r="C59" s="108" t="n">
        <v>244.8</v>
      </c>
      <c r="D59" s="209" t="s">
        <v>993</v>
      </c>
      <c r="E59" s="168" t="n">
        <v>-61.2</v>
      </c>
      <c r="F59" s="64"/>
      <c r="G59" s="64"/>
      <c r="H59" s="64"/>
    </row>
    <row r="60" customFormat="false" ht="12.75" hidden="false" customHeight="false" outlineLevel="0" collapsed="false">
      <c r="A60" s="165" t="n">
        <v>45077</v>
      </c>
      <c r="B60" s="108" t="s">
        <v>995</v>
      </c>
      <c r="C60" s="108" t="n">
        <v>1204.5</v>
      </c>
      <c r="D60" s="209" t="s">
        <v>993</v>
      </c>
      <c r="E60" s="168" t="n">
        <v>-301.13</v>
      </c>
      <c r="F60" s="64"/>
      <c r="G60" s="64"/>
      <c r="H60" s="64"/>
    </row>
    <row r="61" customFormat="false" ht="12.75" hidden="false" customHeight="false" outlineLevel="0" collapsed="false">
      <c r="A61" s="165" t="n">
        <v>45077</v>
      </c>
      <c r="B61" s="8" t="s">
        <v>996</v>
      </c>
      <c r="C61" s="108" t="n">
        <v>532.6</v>
      </c>
      <c r="D61" s="209" t="s">
        <v>993</v>
      </c>
      <c r="E61" s="168" t="n">
        <v>-133.15</v>
      </c>
      <c r="F61" s="64"/>
      <c r="G61" s="64"/>
      <c r="H61" s="64"/>
    </row>
    <row r="62" customFormat="false" ht="12.75" hidden="false" customHeight="false" outlineLevel="0" collapsed="false">
      <c r="A62" s="165" t="n">
        <v>45173</v>
      </c>
      <c r="B62" s="108" t="s">
        <v>997</v>
      </c>
      <c r="C62" s="108" t="n">
        <v>7338.29</v>
      </c>
      <c r="D62" s="108"/>
      <c r="E62" s="168"/>
      <c r="F62" s="64"/>
      <c r="G62" s="64"/>
      <c r="H62" s="64"/>
    </row>
    <row r="63" customFormat="false" ht="12.75" hidden="false" customHeight="false" outlineLevel="0" collapsed="false">
      <c r="A63" s="165" t="n">
        <v>45187</v>
      </c>
      <c r="B63" s="108" t="s">
        <v>570</v>
      </c>
      <c r="C63" s="108" t="n">
        <v>7648.33</v>
      </c>
      <c r="D63" s="209" t="s">
        <v>998</v>
      </c>
      <c r="E63" s="168" t="n">
        <v>-849.81</v>
      </c>
      <c r="F63" s="64"/>
    </row>
    <row r="64" customFormat="false" ht="12.75" hidden="false" customHeight="false" outlineLevel="0" collapsed="false">
      <c r="A64" s="165" t="n">
        <v>45187</v>
      </c>
      <c r="B64" s="108" t="s">
        <v>999</v>
      </c>
      <c r="C64" s="108" t="n">
        <v>11128</v>
      </c>
      <c r="D64" s="209" t="s">
        <v>654</v>
      </c>
      <c r="E64" s="168" t="n">
        <v>-1854.67</v>
      </c>
      <c r="F64" s="64"/>
    </row>
    <row r="66" customFormat="false" ht="13.8" hidden="false" customHeight="false" outlineLevel="0" collapsed="false">
      <c r="D66" s="107" t="s">
        <v>84</v>
      </c>
    </row>
    <row r="68" customFormat="false" ht="12.75" hidden="false" customHeight="false" outlineLevel="0" collapsed="false">
      <c r="A68" s="105"/>
      <c r="B68" s="106" t="s">
        <v>85</v>
      </c>
      <c r="C68" s="105"/>
      <c r="D68" s="105"/>
      <c r="E68" s="164" t="n">
        <f aca="false">SUM(E69:E104)</f>
        <v>-16000.55</v>
      </c>
    </row>
    <row r="69" customFormat="false" ht="12.75" hidden="false" customHeight="false" outlineLevel="0" collapsed="false">
      <c r="A69" s="165" t="n">
        <v>45026</v>
      </c>
      <c r="B69" s="8" t="s">
        <v>962</v>
      </c>
      <c r="C69" s="0" t="n">
        <v>1140.99</v>
      </c>
      <c r="D69" s="8" t="s">
        <v>694</v>
      </c>
      <c r="E69" s="168" t="n">
        <v>-190.17</v>
      </c>
      <c r="F69" s="64"/>
      <c r="G69" s="64"/>
      <c r="H69" s="64"/>
    </row>
    <row r="70" customFormat="false" ht="12.75" hidden="false" customHeight="false" outlineLevel="0" collapsed="false">
      <c r="A70" s="165" t="n">
        <v>45141</v>
      </c>
      <c r="B70" s="8" t="s">
        <v>963</v>
      </c>
      <c r="D70" s="36" t="s">
        <v>1000</v>
      </c>
      <c r="E70" s="168" t="n">
        <v>-181.83</v>
      </c>
      <c r="F70" s="64"/>
      <c r="G70" s="64"/>
      <c r="H70" s="64"/>
    </row>
    <row r="71" customFormat="false" ht="12.75" hidden="false" customHeight="false" outlineLevel="0" collapsed="false">
      <c r="A71" s="165" t="n">
        <v>45187</v>
      </c>
      <c r="B71" s="108" t="s">
        <v>1001</v>
      </c>
      <c r="C71" s="108"/>
      <c r="D71" s="8" t="s">
        <v>965</v>
      </c>
      <c r="E71" s="168" t="n">
        <v>-3974.44</v>
      </c>
      <c r="G71" s="64"/>
      <c r="H71" s="64"/>
      <c r="I71" s="64"/>
    </row>
    <row r="72" customFormat="false" ht="12.75" hidden="false" customHeight="false" outlineLevel="0" collapsed="false">
      <c r="A72" s="165" t="n">
        <v>45187</v>
      </c>
      <c r="B72" s="108" t="s">
        <v>1002</v>
      </c>
      <c r="C72" s="108"/>
      <c r="D72" s="108"/>
      <c r="E72" s="168" t="n">
        <v>-573.18</v>
      </c>
      <c r="F72" s="64"/>
      <c r="G72" s="64"/>
      <c r="H72" s="64"/>
    </row>
    <row r="73" customFormat="false" ht="12.75" hidden="false" customHeight="false" outlineLevel="0" collapsed="false">
      <c r="A73" s="165" t="n">
        <v>45163</v>
      </c>
      <c r="B73" s="108"/>
      <c r="C73" s="108"/>
      <c r="D73" s="108"/>
      <c r="E73" s="168" t="n">
        <v>-525</v>
      </c>
      <c r="F73" s="64"/>
      <c r="G73" s="64"/>
    </row>
    <row r="74" customFormat="false" ht="12.75" hidden="false" customHeight="false" outlineLevel="0" collapsed="false">
      <c r="A74" s="165" t="n">
        <v>45163</v>
      </c>
      <c r="B74" s="108"/>
      <c r="C74" s="108"/>
      <c r="D74" s="108"/>
      <c r="E74" s="168" t="n">
        <v>-200</v>
      </c>
      <c r="F74" s="64"/>
    </row>
    <row r="75" customFormat="false" ht="12.75" hidden="false" customHeight="false" outlineLevel="0" collapsed="false">
      <c r="A75" s="165" t="n">
        <v>45164</v>
      </c>
      <c r="B75" s="108"/>
      <c r="C75" s="108"/>
      <c r="D75" s="108"/>
      <c r="E75" s="168" t="n">
        <v>-200</v>
      </c>
      <c r="F75" s="64"/>
    </row>
    <row r="76" customFormat="false" ht="12.75" hidden="false" customHeight="false" outlineLevel="0" collapsed="false">
      <c r="A76" s="165" t="n">
        <v>45165</v>
      </c>
      <c r="B76" s="108" t="s">
        <v>1003</v>
      </c>
      <c r="C76" s="108"/>
      <c r="D76" s="108"/>
      <c r="E76" s="168" t="n">
        <v>-200</v>
      </c>
      <c r="F76" s="64"/>
    </row>
    <row r="77" customFormat="false" ht="12.75" hidden="false" customHeight="false" outlineLevel="0" collapsed="false">
      <c r="A77" s="165" t="n">
        <v>45165</v>
      </c>
      <c r="B77" s="108" t="s">
        <v>1004</v>
      </c>
      <c r="C77" s="108"/>
      <c r="D77" s="108"/>
      <c r="E77" s="168" t="n">
        <v>-300</v>
      </c>
      <c r="F77" s="64"/>
    </row>
    <row r="78" customFormat="false" ht="12.75" hidden="false" customHeight="false" outlineLevel="0" collapsed="false">
      <c r="A78" s="165" t="n">
        <v>45167</v>
      </c>
      <c r="B78" s="108" t="s">
        <v>1005</v>
      </c>
      <c r="C78" s="108"/>
      <c r="D78" s="108"/>
      <c r="E78" s="168" t="n">
        <v>-70</v>
      </c>
      <c r="F78" s="64"/>
      <c r="G78" s="64"/>
      <c r="H78" s="64"/>
    </row>
    <row r="79" customFormat="false" ht="12.75" hidden="false" customHeight="false" outlineLevel="0" collapsed="false">
      <c r="A79" s="165" t="n">
        <v>45169</v>
      </c>
      <c r="B79" s="108" t="s">
        <v>1006</v>
      </c>
      <c r="C79" s="108"/>
      <c r="D79" s="108"/>
      <c r="E79" s="168" t="n">
        <v>-300</v>
      </c>
      <c r="F79" s="64"/>
      <c r="G79" s="64"/>
      <c r="H79" s="64"/>
    </row>
    <row r="80" customFormat="false" ht="12.75" hidden="false" customHeight="false" outlineLevel="0" collapsed="false">
      <c r="A80" s="165" t="n">
        <v>45169</v>
      </c>
      <c r="B80" s="108"/>
      <c r="C80" s="108"/>
      <c r="D80" s="108"/>
      <c r="E80" s="168" t="n">
        <v>-200</v>
      </c>
      <c r="F80" s="64"/>
      <c r="G80" s="64"/>
      <c r="H80" s="64"/>
    </row>
    <row r="81" customFormat="false" ht="12.75" hidden="false" customHeight="false" outlineLevel="0" collapsed="false">
      <c r="A81" s="165" t="n">
        <v>45170</v>
      </c>
      <c r="B81" s="108" t="s">
        <v>132</v>
      </c>
      <c r="C81" s="108" t="n">
        <v>-3842.65</v>
      </c>
      <c r="D81" s="108"/>
      <c r="E81" s="168"/>
      <c r="F81" s="64"/>
      <c r="G81" s="64"/>
      <c r="H81" s="64"/>
    </row>
    <row r="82" customFormat="false" ht="12.75" hidden="false" customHeight="false" outlineLevel="0" collapsed="false">
      <c r="A82" s="165" t="n">
        <v>45170</v>
      </c>
      <c r="B82" s="108"/>
      <c r="C82" s="108"/>
      <c r="D82" s="108"/>
      <c r="E82" s="168" t="n">
        <v>-200</v>
      </c>
      <c r="F82" s="64"/>
      <c r="G82" s="64"/>
      <c r="H82" s="64"/>
    </row>
    <row r="83" customFormat="false" ht="12.75" hidden="false" customHeight="false" outlineLevel="0" collapsed="false">
      <c r="A83" s="165" t="n">
        <v>45171</v>
      </c>
      <c r="B83" s="108"/>
      <c r="C83" s="108"/>
      <c r="D83" s="108"/>
      <c r="E83" s="168" t="n">
        <v>-180</v>
      </c>
      <c r="F83" s="64"/>
      <c r="G83" s="64"/>
      <c r="H83" s="64"/>
    </row>
    <row r="84" customFormat="false" ht="12.75" hidden="false" customHeight="false" outlineLevel="0" collapsed="false">
      <c r="A84" s="165" t="n">
        <v>45172</v>
      </c>
      <c r="B84" s="108" t="s">
        <v>418</v>
      </c>
      <c r="C84" s="108"/>
      <c r="D84" s="108"/>
      <c r="E84" s="168" t="n">
        <v>-339.4</v>
      </c>
      <c r="F84" s="64"/>
      <c r="G84" s="64"/>
      <c r="H84" s="64"/>
    </row>
    <row r="85" customFormat="false" ht="12.75" hidden="false" customHeight="false" outlineLevel="0" collapsed="false">
      <c r="A85" s="165" t="n">
        <v>45174</v>
      </c>
      <c r="B85" s="108"/>
      <c r="C85" s="108"/>
      <c r="D85" s="108"/>
      <c r="E85" s="168" t="n">
        <v>-250</v>
      </c>
      <c r="F85" s="64"/>
      <c r="G85" s="64"/>
      <c r="H85" s="64"/>
    </row>
    <row r="86" customFormat="false" ht="12.75" hidden="false" customHeight="false" outlineLevel="0" collapsed="false">
      <c r="A86" s="165" t="n">
        <v>45175</v>
      </c>
      <c r="B86" s="109"/>
      <c r="E86" s="168" t="n">
        <v>-200</v>
      </c>
    </row>
    <row r="87" customFormat="false" ht="12.75" hidden="false" customHeight="false" outlineLevel="0" collapsed="false">
      <c r="A87" s="165" t="n">
        <v>45177</v>
      </c>
      <c r="E87" s="168" t="n">
        <v>-200</v>
      </c>
    </row>
    <row r="88" customFormat="false" ht="12.75" hidden="false" customHeight="false" outlineLevel="0" collapsed="false">
      <c r="A88" s="165" t="n">
        <v>45179</v>
      </c>
      <c r="B88" s="8" t="s">
        <v>414</v>
      </c>
      <c r="E88" s="168" t="n">
        <v>-529.98</v>
      </c>
    </row>
    <row r="89" customFormat="false" ht="12.75" hidden="false" customHeight="false" outlineLevel="0" collapsed="false">
      <c r="A89" s="165" t="n">
        <v>45179</v>
      </c>
      <c r="B89" s="8" t="s">
        <v>414</v>
      </c>
      <c r="E89" s="168" t="n">
        <v>-2351.95</v>
      </c>
    </row>
    <row r="90" customFormat="false" ht="12.75" hidden="false" customHeight="false" outlineLevel="0" collapsed="false">
      <c r="A90" s="165" t="n">
        <v>45180</v>
      </c>
      <c r="B90" s="8" t="s">
        <v>1007</v>
      </c>
      <c r="E90" s="168" t="n">
        <v>-200</v>
      </c>
    </row>
    <row r="91" customFormat="false" ht="12.75" hidden="false" customHeight="false" outlineLevel="0" collapsed="false">
      <c r="A91" s="165" t="n">
        <v>45181</v>
      </c>
      <c r="E91" s="168" t="n">
        <v>-165</v>
      </c>
    </row>
    <row r="92" customFormat="false" ht="12.75" hidden="false" customHeight="false" outlineLevel="0" collapsed="false">
      <c r="A92" s="165" t="n">
        <v>45182</v>
      </c>
      <c r="B92" s="8" t="s">
        <v>1007</v>
      </c>
      <c r="D92" s="36"/>
      <c r="E92" s="168" t="n">
        <v>-200</v>
      </c>
    </row>
    <row r="93" customFormat="false" ht="12.75" hidden="false" customHeight="false" outlineLevel="0" collapsed="false">
      <c r="A93" s="165" t="n">
        <v>45183</v>
      </c>
      <c r="D93" s="36"/>
      <c r="E93" s="168" t="n">
        <v>-200</v>
      </c>
    </row>
    <row r="94" customFormat="false" ht="12.75" hidden="false" customHeight="false" outlineLevel="0" collapsed="false">
      <c r="A94" s="165" t="n">
        <v>45184</v>
      </c>
      <c r="B94" s="8" t="s">
        <v>1008</v>
      </c>
      <c r="E94" s="168" t="n">
        <v>-578</v>
      </c>
    </row>
    <row r="95" customFormat="false" ht="12.75" hidden="false" customHeight="false" outlineLevel="0" collapsed="false">
      <c r="A95" s="165" t="n">
        <v>45184</v>
      </c>
      <c r="B95" s="8" t="s">
        <v>1009</v>
      </c>
      <c r="E95" s="168" t="n">
        <v>-1000</v>
      </c>
    </row>
    <row r="96" customFormat="false" ht="12.75" hidden="false" customHeight="false" outlineLevel="0" collapsed="false">
      <c r="A96" s="165" t="n">
        <v>45184</v>
      </c>
      <c r="E96" s="168" t="n">
        <v>-250</v>
      </c>
    </row>
    <row r="97" customFormat="false" ht="12.75" hidden="false" customHeight="false" outlineLevel="0" collapsed="false">
      <c r="A97" s="165" t="n">
        <v>45185</v>
      </c>
      <c r="E97" s="168" t="n">
        <v>-200</v>
      </c>
    </row>
    <row r="98" customFormat="false" ht="12.75" hidden="false" customHeight="false" outlineLevel="0" collapsed="false">
      <c r="A98" s="165" t="n">
        <v>45187</v>
      </c>
      <c r="E98" s="168" t="n">
        <v>-160</v>
      </c>
    </row>
    <row r="99" customFormat="false" ht="12.75" hidden="false" customHeight="false" outlineLevel="0" collapsed="false">
      <c r="A99" s="165" t="n">
        <v>45188</v>
      </c>
      <c r="E99" s="168" t="n">
        <v>-250</v>
      </c>
    </row>
    <row r="100" customFormat="false" ht="12.75" hidden="false" customHeight="false" outlineLevel="0" collapsed="false">
      <c r="A100" s="165" t="n">
        <v>45189</v>
      </c>
      <c r="E100" s="168" t="n">
        <v>-160</v>
      </c>
    </row>
    <row r="101" customFormat="false" ht="12.75" hidden="false" customHeight="false" outlineLevel="0" collapsed="false">
      <c r="A101" s="165" t="n">
        <v>45191</v>
      </c>
      <c r="B101" s="8" t="s">
        <v>1010</v>
      </c>
      <c r="E101" s="168" t="n">
        <v>-230</v>
      </c>
    </row>
    <row r="102" customFormat="false" ht="12.75" hidden="false" customHeight="false" outlineLevel="0" collapsed="false">
      <c r="A102" s="165" t="n">
        <v>45191</v>
      </c>
      <c r="B102" s="8" t="s">
        <v>1011</v>
      </c>
      <c r="E102" s="168" t="n">
        <v>-382</v>
      </c>
    </row>
    <row r="103" customFormat="false" ht="12.75" hidden="false" customHeight="false" outlineLevel="0" collapsed="false">
      <c r="A103" s="165" t="n">
        <v>45191</v>
      </c>
      <c r="B103" s="8" t="s">
        <v>1012</v>
      </c>
      <c r="E103" s="168" t="n">
        <v>-699.6</v>
      </c>
    </row>
    <row r="104" customFormat="false" ht="12.75" hidden="false" customHeight="false" outlineLevel="0" collapsed="false">
      <c r="A104" s="165" t="n">
        <v>45192</v>
      </c>
      <c r="B104" s="8" t="s">
        <v>137</v>
      </c>
      <c r="E104" s="168" t="n">
        <v>-160</v>
      </c>
    </row>
    <row r="106" customFormat="false" ht="13.8" hidden="false" customHeight="false" outlineLevel="0" collapsed="false">
      <c r="D106" s="107" t="s">
        <v>84</v>
      </c>
    </row>
    <row r="111" customFormat="false" ht="12.75" hidden="false" customHeight="false" outlineLevel="0" collapsed="false">
      <c r="A111" s="117" t="s">
        <v>1013</v>
      </c>
      <c r="B111" s="106" t="s">
        <v>139</v>
      </c>
      <c r="C111" s="105" t="n">
        <v>2023</v>
      </c>
      <c r="D111" s="163"/>
      <c r="E111" s="164" t="n">
        <f aca="false">SUM(E112:E121)</f>
        <v>610649.73</v>
      </c>
    </row>
    <row r="112" customFormat="false" ht="12.75" hidden="false" customHeight="false" outlineLevel="0" collapsed="false">
      <c r="A112" s="165" t="n">
        <v>45230</v>
      </c>
      <c r="B112" s="8" t="s">
        <v>77</v>
      </c>
      <c r="C112" s="2"/>
      <c r="D112" s="2"/>
      <c r="E112" s="17" t="n">
        <v>64000</v>
      </c>
    </row>
    <row r="113" customFormat="false" ht="12.75" hidden="false" customHeight="false" outlineLevel="0" collapsed="false">
      <c r="A113" s="165" t="n">
        <v>45230</v>
      </c>
      <c r="B113" s="8" t="s">
        <v>1014</v>
      </c>
      <c r="C113" s="2"/>
      <c r="D113" s="2"/>
      <c r="E113" s="17" t="n">
        <v>73088</v>
      </c>
    </row>
    <row r="114" customFormat="false" ht="12.75" hidden="false" customHeight="false" outlineLevel="0" collapsed="false">
      <c r="A114" s="165" t="n">
        <v>45230</v>
      </c>
      <c r="B114" s="8" t="s">
        <v>309</v>
      </c>
      <c r="C114" s="2"/>
      <c r="D114" s="2"/>
      <c r="E114" s="17" t="n">
        <v>20950.34</v>
      </c>
    </row>
    <row r="115" customFormat="false" ht="12.75" hidden="false" customHeight="false" outlineLevel="0" collapsed="false">
      <c r="A115" s="165" t="n">
        <v>45230</v>
      </c>
      <c r="B115" s="8" t="s">
        <v>310</v>
      </c>
      <c r="C115" s="2"/>
      <c r="D115" s="2"/>
      <c r="E115" s="17" t="n">
        <v>73011.39</v>
      </c>
    </row>
    <row r="116" customFormat="false" ht="12.75" hidden="false" customHeight="false" outlineLevel="0" collapsed="false">
      <c r="A116" s="165" t="n">
        <v>45230</v>
      </c>
      <c r="B116" s="8" t="s">
        <v>1015</v>
      </c>
      <c r="C116" s="2" t="n">
        <v>1800</v>
      </c>
      <c r="D116" s="2" t="n">
        <v>111</v>
      </c>
      <c r="E116" s="17" t="n">
        <f aca="false">D116*C116</f>
        <v>199800</v>
      </c>
    </row>
    <row r="117" customFormat="false" ht="12.75" hidden="false" customHeight="false" outlineLevel="0" collapsed="false">
      <c r="B117" s="0" t="s">
        <v>1016</v>
      </c>
      <c r="C117" s="2" t="n">
        <v>1800</v>
      </c>
      <c r="D117" s="2" t="n">
        <v>50</v>
      </c>
      <c r="E117" s="17" t="n">
        <f aca="false">D117*C117</f>
        <v>90000</v>
      </c>
    </row>
    <row r="118" customFormat="false" ht="12.75" hidden="false" customHeight="false" outlineLevel="0" collapsed="false">
      <c r="A118" s="165" t="n">
        <v>45230</v>
      </c>
      <c r="B118" s="8" t="s">
        <v>1017</v>
      </c>
      <c r="C118" s="167" t="n">
        <v>28</v>
      </c>
      <c r="D118" s="2" t="n">
        <v>850</v>
      </c>
      <c r="E118" s="17" t="n">
        <f aca="false">D118*C118</f>
        <v>23800</v>
      </c>
    </row>
    <row r="119" customFormat="false" ht="12.75" hidden="false" customHeight="false" outlineLevel="0" collapsed="false">
      <c r="A119" s="165" t="n">
        <v>45230</v>
      </c>
      <c r="B119" s="8" t="s">
        <v>1018</v>
      </c>
      <c r="C119" s="167" t="n">
        <v>30</v>
      </c>
      <c r="D119" s="2" t="n">
        <v>100</v>
      </c>
      <c r="E119" s="17" t="n">
        <f aca="false">D119*C119</f>
        <v>3000</v>
      </c>
    </row>
    <row r="120" customFormat="false" ht="12.75" hidden="false" customHeight="false" outlineLevel="0" collapsed="false">
      <c r="A120" s="165" t="n">
        <v>45230</v>
      </c>
      <c r="B120" s="8" t="s">
        <v>155</v>
      </c>
      <c r="C120" s="2"/>
      <c r="D120" s="2"/>
      <c r="E120" s="17" t="n">
        <v>60000</v>
      </c>
    </row>
    <row r="121" customFormat="false" ht="12.75" hidden="false" customHeight="false" outlineLevel="0" collapsed="false">
      <c r="A121" s="165" t="n">
        <v>45230</v>
      </c>
      <c r="B121" s="8" t="s">
        <v>156</v>
      </c>
      <c r="C121" s="2"/>
      <c r="D121" s="2"/>
      <c r="E121" s="17" t="n">
        <v>3000</v>
      </c>
    </row>
    <row r="122" customFormat="false" ht="12.75" hidden="false" customHeight="false" outlineLevel="0" collapsed="false">
      <c r="C122" s="3" t="s">
        <v>1013</v>
      </c>
      <c r="D122" s="18" t="s">
        <v>159</v>
      </c>
      <c r="E122" s="168" t="n">
        <f aca="false">H41</f>
        <v>0</v>
      </c>
    </row>
    <row r="123" customFormat="false" ht="12.75" hidden="false" customHeight="false" outlineLevel="0" collapsed="false">
      <c r="D123" s="3"/>
    </row>
    <row r="124" customFormat="false" ht="12.75" hidden="false" customHeight="false" outlineLevel="0" collapsed="false">
      <c r="D124" s="18" t="s">
        <v>158</v>
      </c>
      <c r="E124" s="9" t="n">
        <f aca="false">SUM(E112:E121)</f>
        <v>610649.73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4" colorId="64" zoomScale="170" zoomScaleNormal="170" zoomScalePageLayoutView="100" workbookViewId="0">
      <selection pane="topLeft" activeCell="B9" activeCellId="0" sqref="B9"/>
    </sheetView>
  </sheetViews>
  <sheetFormatPr defaultColWidth="12.2929687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3"/>
    <col collapsed="false" customWidth="true" hidden="false" outlineLevel="0" max="4" min="4" style="0" width="11.71"/>
    <col collapsed="false" customWidth="true" hidden="false" outlineLevel="0" max="5" min="5" style="0" width="10.86"/>
    <col collapsed="false" customWidth="true" hidden="false" outlineLevel="0" max="6" min="6" style="0" width="10.57"/>
    <col collapsed="false" customWidth="true" hidden="false" outlineLevel="0" max="7" min="7" style="0" width="9.86"/>
    <col collapsed="false" customWidth="true" hidden="false" outlineLevel="0" max="8" min="8" style="0" width="11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E1" s="194"/>
      <c r="F1" s="194" t="s">
        <v>28</v>
      </c>
      <c r="G1" s="194" t="s">
        <v>29</v>
      </c>
      <c r="H1" s="194" t="s">
        <v>3</v>
      </c>
    </row>
    <row r="2" customFormat="false" ht="12.75" hidden="false" customHeight="false" outlineLevel="0" collapsed="false">
      <c r="A2" s="3" t="s">
        <v>1019</v>
      </c>
      <c r="C2" s="81" t="s">
        <v>67</v>
      </c>
      <c r="D2" s="311" t="n">
        <f aca="false">SUM(D4:D38)</f>
        <v>133300</v>
      </c>
      <c r="E2" s="311" t="n">
        <f aca="false">SUM(E4:E37)</f>
        <v>-31871.02</v>
      </c>
      <c r="F2" s="311" t="n">
        <f aca="false">SUM(F4:F44)</f>
        <v>257800</v>
      </c>
      <c r="G2" s="311" t="n">
        <f aca="false">SUM(G4:G44)</f>
        <v>-34914.91</v>
      </c>
      <c r="H2" s="311" t="n">
        <f aca="false">F2+G2</f>
        <v>222885.09</v>
      </c>
    </row>
    <row r="3" customFormat="false" ht="12.75" hidden="false" customHeight="false" outlineLevel="0" collapsed="false">
      <c r="B3" s="18"/>
      <c r="H3" s="64"/>
    </row>
    <row r="4" customFormat="false" ht="12.75" hidden="false" customHeight="false" outlineLevel="0" collapsed="false">
      <c r="B4" s="103" t="s">
        <v>80</v>
      </c>
      <c r="C4" s="103"/>
      <c r="D4" s="103"/>
      <c r="E4" s="64" t="n">
        <v>-400</v>
      </c>
      <c r="G4" s="64" t="n">
        <v>-317</v>
      </c>
      <c r="H4" s="64" t="n">
        <f aca="false">H3+F4+G4</f>
        <v>-317</v>
      </c>
    </row>
    <row r="5" customFormat="false" ht="12.75" hidden="false" customHeight="false" outlineLevel="0" collapsed="false">
      <c r="B5" s="103" t="s">
        <v>81</v>
      </c>
      <c r="C5" s="103"/>
      <c r="D5" s="103"/>
      <c r="E5" s="64" t="n">
        <v>-500</v>
      </c>
      <c r="G5" s="64" t="n">
        <v>-559</v>
      </c>
      <c r="H5" s="64" t="n">
        <f aca="false">H4+F5+G5</f>
        <v>-876</v>
      </c>
    </row>
    <row r="6" customFormat="false" ht="12.75" hidden="false" customHeight="false" outlineLevel="0" collapsed="false">
      <c r="B6" s="103" t="s">
        <v>1020</v>
      </c>
      <c r="C6" s="103"/>
      <c r="D6" s="103"/>
      <c r="E6" s="64" t="n">
        <v>-250</v>
      </c>
      <c r="G6" s="64" t="n">
        <v>-250</v>
      </c>
      <c r="H6" s="64" t="n">
        <f aca="false">H5+F6+G6</f>
        <v>-1126</v>
      </c>
    </row>
    <row r="7" customFormat="false" ht="12.75" hidden="false" customHeight="false" outlineLevel="0" collapsed="false">
      <c r="B7" s="183" t="s">
        <v>72</v>
      </c>
      <c r="D7" s="64"/>
      <c r="E7" s="64" t="n">
        <f aca="false">D56*-1</f>
        <v>-44.99</v>
      </c>
      <c r="F7" s="64"/>
      <c r="G7" s="64" t="n">
        <f aca="false">E56*-1</f>
        <v>-44.99</v>
      </c>
      <c r="H7" s="64" t="n">
        <f aca="false">H6+F7+G7</f>
        <v>-1170.99</v>
      </c>
    </row>
    <row r="8" customFormat="false" ht="12.75" hidden="false" customHeight="false" outlineLevel="0" collapsed="false">
      <c r="B8" s="183" t="s">
        <v>68</v>
      </c>
      <c r="E8" s="64" t="n">
        <f aca="false">E62</f>
        <v>-7338.29</v>
      </c>
      <c r="F8" s="64"/>
      <c r="G8" s="64" t="n">
        <v>-7338.29</v>
      </c>
      <c r="H8" s="64" t="n">
        <f aca="false">H7+F8+G8</f>
        <v>-8509.28</v>
      </c>
    </row>
    <row r="9" customFormat="false" ht="12.75" hidden="false" customHeight="false" outlineLevel="0" collapsed="false">
      <c r="A9" s="170" t="n">
        <v>45173</v>
      </c>
      <c r="B9" s="183" t="s">
        <v>69</v>
      </c>
      <c r="E9" s="64" t="n">
        <f aca="false">E87</f>
        <v>-3842.66</v>
      </c>
      <c r="G9" s="64" t="n">
        <v>-3842.65</v>
      </c>
      <c r="H9" s="64" t="n">
        <f aca="false">H8+F9+G9</f>
        <v>-12351.93</v>
      </c>
    </row>
    <row r="10" customFormat="false" ht="12.75" hidden="false" customHeight="false" outlineLevel="0" collapsed="false">
      <c r="A10" s="102" t="n">
        <v>45173</v>
      </c>
      <c r="B10" s="103" t="s">
        <v>1021</v>
      </c>
      <c r="C10" s="103"/>
      <c r="D10" s="103"/>
      <c r="E10" s="64" t="n">
        <v>-5375</v>
      </c>
      <c r="G10" s="64" t="n">
        <v>-5375</v>
      </c>
      <c r="H10" s="64" t="n">
        <f aca="false">H9+F10+G10</f>
        <v>-17726.93</v>
      </c>
    </row>
    <row r="11" customFormat="false" ht="12.75" hidden="false" customHeight="false" outlineLevel="0" collapsed="false">
      <c r="A11" s="102"/>
      <c r="B11" s="103" t="s">
        <v>1021</v>
      </c>
      <c r="C11" s="103"/>
      <c r="D11" s="103"/>
      <c r="E11" s="64" t="n">
        <v>-2125</v>
      </c>
      <c r="G11" s="64" t="n">
        <v>-2125</v>
      </c>
      <c r="H11" s="64" t="n">
        <f aca="false">H10+F11+G11</f>
        <v>-19851.93</v>
      </c>
    </row>
    <row r="12" customFormat="false" ht="12.75" hidden="false" customHeight="false" outlineLevel="0" collapsed="false">
      <c r="B12" s="103" t="s">
        <v>1022</v>
      </c>
      <c r="C12" s="103"/>
      <c r="D12" s="103"/>
      <c r="E12" s="64" t="n">
        <v>-945.08</v>
      </c>
      <c r="F12" s="168"/>
      <c r="G12" s="64" t="n">
        <v>-945.08</v>
      </c>
      <c r="H12" s="64" t="n">
        <f aca="false">H11+F12+G12</f>
        <v>-20797.01</v>
      </c>
    </row>
    <row r="13" customFormat="false" ht="12.75" hidden="false" customHeight="false" outlineLevel="0" collapsed="false">
      <c r="B13" s="103" t="s">
        <v>75</v>
      </c>
      <c r="C13" s="103" t="s">
        <v>332</v>
      </c>
      <c r="D13" s="103"/>
      <c r="E13" s="64" t="n">
        <v>-150</v>
      </c>
      <c r="F13" s="168"/>
      <c r="G13" s="64"/>
      <c r="H13" s="64" t="n">
        <f aca="false">H12+F13+G13</f>
        <v>-20797.01</v>
      </c>
    </row>
    <row r="14" customFormat="false" ht="12.75" hidden="false" customHeight="false" outlineLevel="0" collapsed="false">
      <c r="B14" s="108" t="s">
        <v>73</v>
      </c>
      <c r="C14" s="108" t="s">
        <v>332</v>
      </c>
      <c r="D14" s="108"/>
      <c r="E14" s="64" t="n">
        <v>-300</v>
      </c>
      <c r="F14" s="168"/>
      <c r="G14" s="64"/>
      <c r="H14" s="64" t="n">
        <f aca="false">H13+F14+G14</f>
        <v>-20797.01</v>
      </c>
    </row>
    <row r="15" customFormat="false" ht="12.75" hidden="false" customHeight="false" outlineLevel="0" collapsed="false">
      <c r="B15" s="108" t="s">
        <v>74</v>
      </c>
      <c r="C15" s="108" t="s">
        <v>332</v>
      </c>
      <c r="D15" s="108"/>
      <c r="E15" s="64" t="n">
        <v>-100</v>
      </c>
      <c r="F15" s="168"/>
      <c r="G15" s="64"/>
      <c r="H15" s="64" t="n">
        <f aca="false">H14+F15+G15</f>
        <v>-20797.01</v>
      </c>
    </row>
    <row r="16" customFormat="false" ht="12.75" hidden="false" customHeight="false" outlineLevel="0" collapsed="false">
      <c r="B16" s="0" t="s">
        <v>77</v>
      </c>
      <c r="E16" s="64" t="n">
        <v>-3500</v>
      </c>
      <c r="F16" s="64"/>
      <c r="G16" s="64" t="n">
        <v>-3509</v>
      </c>
      <c r="H16" s="64" t="n">
        <f aca="false">H15+F16+G16</f>
        <v>-24306.01</v>
      </c>
    </row>
    <row r="17" customFormat="false" ht="12.75" hidden="false" customHeight="false" outlineLevel="0" collapsed="false">
      <c r="B17" s="0" t="s">
        <v>77</v>
      </c>
      <c r="E17" s="64"/>
      <c r="F17" s="64"/>
      <c r="G17" s="64" t="n">
        <v>-3509</v>
      </c>
      <c r="H17" s="64" t="n">
        <f aca="false">H16+F17+G17</f>
        <v>-27815.01</v>
      </c>
    </row>
    <row r="18" customFormat="false" ht="12.75" hidden="false" customHeight="false" outlineLevel="0" collapsed="false">
      <c r="B18" s="0" t="s">
        <v>78</v>
      </c>
      <c r="E18" s="64" t="n">
        <v>-3500</v>
      </c>
      <c r="F18" s="64"/>
      <c r="G18" s="64" t="n">
        <v>-3509</v>
      </c>
      <c r="H18" s="64" t="n">
        <f aca="false">H17+F18+G18</f>
        <v>-31324.01</v>
      </c>
    </row>
    <row r="19" customFormat="false" ht="12.75" hidden="false" customHeight="false" outlineLevel="0" collapsed="false">
      <c r="B19" s="0" t="s">
        <v>79</v>
      </c>
      <c r="E19" s="64" t="n">
        <v>-3500</v>
      </c>
      <c r="F19" s="64"/>
      <c r="G19" s="64" t="n">
        <v>-3500</v>
      </c>
      <c r="H19" s="64" t="n">
        <f aca="false">H18+F19+G19</f>
        <v>-34824.01</v>
      </c>
    </row>
    <row r="20" customFormat="false" ht="12.75" hidden="false" customHeight="false" outlineLevel="0" collapsed="false">
      <c r="E20" s="168"/>
      <c r="F20" s="64"/>
      <c r="G20" s="64"/>
      <c r="H20" s="64" t="n">
        <f aca="false">H19+F20+G20</f>
        <v>-34824.01</v>
      </c>
    </row>
    <row r="21" customFormat="false" ht="12.75" hidden="false" customHeight="false" outlineLevel="0" collapsed="false">
      <c r="B21" s="0" t="s">
        <v>76</v>
      </c>
      <c r="D21" s="191" t="n">
        <v>7500</v>
      </c>
      <c r="F21" s="64" t="n">
        <v>7500</v>
      </c>
      <c r="G21" s="64"/>
      <c r="H21" s="64" t="n">
        <f aca="false">H20+F21+G21</f>
        <v>-27324.01</v>
      </c>
    </row>
    <row r="22" customFormat="false" ht="12.75" hidden="false" customHeight="false" outlineLevel="0" collapsed="false">
      <c r="A22" s="102" t="n">
        <v>45202</v>
      </c>
      <c r="B22" s="8" t="s">
        <v>681</v>
      </c>
      <c r="D22" s="191" t="n">
        <v>2800</v>
      </c>
      <c r="F22" s="64" t="n">
        <v>2800</v>
      </c>
      <c r="G22" s="64"/>
      <c r="H22" s="64" t="n">
        <f aca="false">H21+F22+G22</f>
        <v>-24524.01</v>
      </c>
    </row>
    <row r="23" customFormat="false" ht="12.75" hidden="false" customHeight="false" outlineLevel="0" collapsed="false">
      <c r="A23" s="102" t="n">
        <v>45204</v>
      </c>
      <c r="B23" s="8" t="s">
        <v>1023</v>
      </c>
      <c r="D23" s="191" t="n">
        <v>6500</v>
      </c>
      <c r="F23" s="64" t="n">
        <v>6500</v>
      </c>
      <c r="G23" s="64"/>
      <c r="H23" s="64" t="n">
        <f aca="false">H22+F23+G23</f>
        <v>-18024.01</v>
      </c>
    </row>
    <row r="24" customFormat="false" ht="12.75" hidden="false" customHeight="false" outlineLevel="0" collapsed="false">
      <c r="A24" s="102" t="n">
        <v>45170</v>
      </c>
      <c r="B24" s="8" t="s">
        <v>1024</v>
      </c>
      <c r="D24" s="191" t="n">
        <v>37500</v>
      </c>
      <c r="F24" s="64"/>
      <c r="G24" s="64"/>
      <c r="H24" s="64" t="n">
        <f aca="false">H23+F24+G24</f>
        <v>-18024.01</v>
      </c>
    </row>
    <row r="25" customFormat="false" ht="12.75" hidden="false" customHeight="false" outlineLevel="0" collapsed="false">
      <c r="A25" s="102" t="n">
        <v>45199</v>
      </c>
      <c r="B25" s="8" t="s">
        <v>447</v>
      </c>
      <c r="D25" s="191" t="n">
        <v>70000</v>
      </c>
      <c r="G25" s="64"/>
      <c r="H25" s="64" t="n">
        <f aca="false">H24+F25+G25</f>
        <v>-18024.01</v>
      </c>
    </row>
    <row r="26" customFormat="false" ht="12.75" hidden="false" customHeight="false" outlineLevel="0" collapsed="false">
      <c r="A26" s="102"/>
      <c r="B26" s="8" t="s">
        <v>1025</v>
      </c>
      <c r="D26" s="104"/>
      <c r="G26" s="64"/>
      <c r="H26" s="64" t="n">
        <f aca="false">H25+F26+G26</f>
        <v>-18024.01</v>
      </c>
    </row>
    <row r="27" customFormat="false" ht="12.75" hidden="false" customHeight="false" outlineLevel="0" collapsed="false">
      <c r="A27" s="102"/>
      <c r="B27" s="8" t="s">
        <v>1026</v>
      </c>
      <c r="D27" s="104"/>
      <c r="F27" s="64" t="n">
        <v>83000</v>
      </c>
      <c r="G27" s="64"/>
      <c r="H27" s="64" t="n">
        <f aca="false">H26+F27+G27</f>
        <v>64975.99</v>
      </c>
    </row>
    <row r="28" customFormat="false" ht="12.75" hidden="false" customHeight="false" outlineLevel="0" collapsed="false">
      <c r="A28" s="102"/>
      <c r="B28" s="8" t="s">
        <v>1027</v>
      </c>
      <c r="D28" s="191" t="n">
        <v>3000</v>
      </c>
      <c r="F28" s="0" t="n">
        <v>3000</v>
      </c>
      <c r="G28" s="64"/>
      <c r="H28" s="64" t="n">
        <f aca="false">H27+F28+G28</f>
        <v>67975.99</v>
      </c>
    </row>
    <row r="29" customFormat="false" ht="12.75" hidden="false" customHeight="false" outlineLevel="0" collapsed="false">
      <c r="A29" s="102"/>
      <c r="B29" s="8" t="s">
        <v>1028</v>
      </c>
      <c r="G29" s="64"/>
      <c r="H29" s="64" t="n">
        <f aca="false">H28+F29+G29</f>
        <v>67975.99</v>
      </c>
    </row>
    <row r="30" customFormat="false" ht="12.75" hidden="false" customHeight="false" outlineLevel="0" collapsed="false">
      <c r="A30" s="170" t="n">
        <v>45171</v>
      </c>
      <c r="B30" s="8" t="s">
        <v>1029</v>
      </c>
      <c r="D30" s="104"/>
      <c r="F30" s="64" t="n">
        <v>65000</v>
      </c>
      <c r="G30" s="64"/>
      <c r="H30" s="64" t="n">
        <f aca="false">H29+F30+G30</f>
        <v>132975.99</v>
      </c>
    </row>
    <row r="31" customFormat="false" ht="12.75" hidden="false" customHeight="false" outlineLevel="0" collapsed="false">
      <c r="A31" s="102" t="n">
        <v>45199</v>
      </c>
      <c r="B31" s="8" t="s">
        <v>1030</v>
      </c>
      <c r="D31" s="191" t="n">
        <v>6000</v>
      </c>
      <c r="F31" s="0" t="n">
        <v>6000</v>
      </c>
      <c r="G31" s="64"/>
      <c r="H31" s="64" t="n">
        <f aca="false">H30+F31+G31</f>
        <v>138975.99</v>
      </c>
    </row>
    <row r="32" customFormat="false" ht="12.75" hidden="false" customHeight="false" outlineLevel="0" collapsed="false">
      <c r="A32" s="102"/>
      <c r="B32" s="8" t="s">
        <v>1031</v>
      </c>
      <c r="D32" s="104"/>
      <c r="G32" s="64"/>
      <c r="H32" s="64" t="n">
        <f aca="false">H31+F32+G32</f>
        <v>138975.99</v>
      </c>
    </row>
    <row r="33" customFormat="false" ht="12.75" hidden="false" customHeight="false" outlineLevel="0" collapsed="false">
      <c r="A33" s="102"/>
      <c r="B33" s="8" t="s">
        <v>1032</v>
      </c>
      <c r="D33" s="104"/>
      <c r="G33" s="64"/>
      <c r="H33" s="64" t="n">
        <f aca="false">H32+F33+G33</f>
        <v>138975.99</v>
      </c>
    </row>
    <row r="34" customFormat="false" ht="12.75" hidden="false" customHeight="false" outlineLevel="0" collapsed="false">
      <c r="A34" s="102"/>
      <c r="B34" s="8" t="s">
        <v>1033</v>
      </c>
      <c r="D34" s="104"/>
      <c r="G34" s="64"/>
      <c r="H34" s="64" t="n">
        <f aca="false">H33+F34+G34</f>
        <v>138975.99</v>
      </c>
    </row>
    <row r="35" customFormat="false" ht="12.75" hidden="false" customHeight="false" outlineLevel="0" collapsed="false">
      <c r="A35" s="102"/>
      <c r="B35" s="8" t="s">
        <v>731</v>
      </c>
      <c r="D35" s="104"/>
      <c r="G35" s="64"/>
      <c r="H35" s="64" t="n">
        <f aca="false">H34+F35+G35</f>
        <v>138975.99</v>
      </c>
    </row>
    <row r="36" customFormat="false" ht="12.75" hidden="false" customHeight="false" outlineLevel="0" collapsed="false">
      <c r="A36" s="170" t="n">
        <v>45173</v>
      </c>
      <c r="B36" s="8" t="s">
        <v>1034</v>
      </c>
      <c r="D36" s="64"/>
      <c r="F36" s="64"/>
      <c r="G36" s="64" t="n">
        <v>-90.9</v>
      </c>
      <c r="H36" s="64" t="n">
        <f aca="false">H35+F36+G36</f>
        <v>138885.09</v>
      </c>
    </row>
    <row r="37" customFormat="false" ht="12.75" hidden="false" customHeight="false" outlineLevel="0" collapsed="false">
      <c r="A37" s="102" t="n">
        <v>45196</v>
      </c>
      <c r="B37" s="8" t="s">
        <v>1035</v>
      </c>
      <c r="F37" s="64" t="n">
        <v>74000</v>
      </c>
      <c r="G37" s="64"/>
      <c r="H37" s="64" t="n">
        <f aca="false">H36+F37+G37</f>
        <v>212885.09</v>
      </c>
    </row>
    <row r="38" customFormat="false" ht="12.75" hidden="false" customHeight="false" outlineLevel="0" collapsed="false">
      <c r="A38" s="102" t="n">
        <v>45196</v>
      </c>
      <c r="B38" s="8" t="s">
        <v>1036</v>
      </c>
      <c r="E38" s="64"/>
      <c r="F38" s="0" t="n">
        <v>10000</v>
      </c>
      <c r="G38" s="64"/>
      <c r="H38" s="64" t="n">
        <f aca="false">H37+F38+G38</f>
        <v>222885.09</v>
      </c>
    </row>
    <row r="39" customFormat="false" ht="12.75" hidden="false" customHeight="false" outlineLevel="0" collapsed="false">
      <c r="A39" s="102"/>
      <c r="E39" s="64"/>
      <c r="G39" s="64"/>
      <c r="H39" s="64" t="n">
        <f aca="false">H38+F39+G39</f>
        <v>222885.09</v>
      </c>
    </row>
    <row r="40" customFormat="false" ht="12.75" hidden="false" customHeight="false" outlineLevel="0" collapsed="false">
      <c r="A40" s="102"/>
      <c r="E40" s="64"/>
      <c r="G40" s="64"/>
      <c r="H40" s="168" t="n">
        <f aca="false">H39+F40+G40</f>
        <v>222885.09</v>
      </c>
    </row>
    <row r="41" customFormat="false" ht="12.75" hidden="false" customHeight="false" outlineLevel="0" collapsed="false">
      <c r="A41" s="102"/>
      <c r="E41" s="64"/>
      <c r="G41" s="64"/>
      <c r="H41" s="64"/>
    </row>
    <row r="42" customFormat="false" ht="12.75" hidden="false" customHeight="false" outlineLevel="0" collapsed="false">
      <c r="A42" s="102"/>
      <c r="E42" s="64"/>
      <c r="G42" s="64"/>
      <c r="H42" s="64"/>
    </row>
    <row r="43" customFormat="false" ht="12.75" hidden="false" customHeight="false" outlineLevel="0" collapsed="false">
      <c r="A43" s="102"/>
      <c r="E43" s="64"/>
      <c r="G43" s="64"/>
      <c r="H43" s="64"/>
    </row>
    <row r="44" customFormat="false" ht="12.75" hidden="false" customHeight="false" outlineLevel="0" collapsed="false">
      <c r="B44" s="0" t="s">
        <v>334</v>
      </c>
      <c r="E44" s="64"/>
      <c r="G44" s="64"/>
      <c r="H44" s="64"/>
    </row>
    <row r="45" customFormat="false" ht="12.75" hidden="false" customHeight="false" outlineLevel="0" collapsed="false">
      <c r="A45" s="105" t="s">
        <v>335</v>
      </c>
      <c r="B45" s="105"/>
      <c r="C45" s="105"/>
      <c r="D45" s="105"/>
      <c r="E45" s="163"/>
      <c r="G45" s="64"/>
      <c r="H45" s="64"/>
    </row>
    <row r="46" customFormat="false" ht="12.75" hidden="false" customHeight="false" outlineLevel="0" collapsed="false">
      <c r="A46" s="322"/>
      <c r="B46" s="317"/>
      <c r="C46" s="317"/>
      <c r="D46" s="317"/>
      <c r="E46" s="318"/>
      <c r="H46" s="64"/>
    </row>
    <row r="47" customFormat="false" ht="12.75" hidden="false" customHeight="false" outlineLevel="0" collapsed="false">
      <c r="A47" s="322"/>
      <c r="B47" s="317"/>
      <c r="C47" s="319"/>
      <c r="D47" s="317"/>
      <c r="E47" s="317"/>
      <c r="H47" s="64"/>
    </row>
    <row r="48" customFormat="false" ht="12.75" hidden="false" customHeight="false" outlineLevel="0" collapsed="false">
      <c r="A48" s="322"/>
      <c r="B48" s="317"/>
      <c r="C48" s="319"/>
      <c r="D48" s="317"/>
      <c r="E48" s="317"/>
      <c r="H48" s="64"/>
    </row>
    <row r="49" customFormat="false" ht="12.75" hidden="false" customHeight="false" outlineLevel="0" collapsed="false">
      <c r="A49" s="102"/>
      <c r="C49" s="176"/>
      <c r="H49" s="64"/>
    </row>
    <row r="50" customFormat="false" ht="12.75" hidden="false" customHeight="false" outlineLevel="0" collapsed="false">
      <c r="A50" s="177" t="n">
        <v>44929</v>
      </c>
      <c r="B50" s="178" t="s">
        <v>336</v>
      </c>
      <c r="C50" s="105"/>
      <c r="D50" s="206" t="n">
        <f aca="false">SUM(D51:D58)</f>
        <v>3502.01</v>
      </c>
      <c r="E50" s="206" t="n">
        <f aca="false">SUM(E51:E58)</f>
        <v>3502.01</v>
      </c>
      <c r="H50" s="64"/>
    </row>
    <row r="51" customFormat="false" ht="12.75" hidden="false" customHeight="false" outlineLevel="0" collapsed="false">
      <c r="B51" s="0" t="s">
        <v>930</v>
      </c>
      <c r="D51" s="0" t="n">
        <v>673.8</v>
      </c>
      <c r="E51" s="64" t="n">
        <v>673.8</v>
      </c>
      <c r="F51" s="64"/>
      <c r="G51" s="64"/>
    </row>
    <row r="52" customFormat="false" ht="12.75" hidden="false" customHeight="false" outlineLevel="0" collapsed="false">
      <c r="B52" s="0" t="s">
        <v>338</v>
      </c>
      <c r="D52" s="0" t="n">
        <v>1165.77</v>
      </c>
      <c r="E52" s="64" t="n">
        <v>1165.77</v>
      </c>
      <c r="F52" s="64"/>
      <c r="G52" s="64"/>
    </row>
    <row r="53" customFormat="false" ht="12.75" hidden="false" customHeight="false" outlineLevel="0" collapsed="false">
      <c r="B53" s="0" t="s">
        <v>339</v>
      </c>
      <c r="D53" s="0" t="n">
        <v>106.22</v>
      </c>
      <c r="E53" s="0" t="n">
        <v>106.22</v>
      </c>
      <c r="F53" s="64"/>
      <c r="G53" s="64"/>
    </row>
    <row r="54" customFormat="false" ht="12.75" hidden="false" customHeight="false" outlineLevel="0" collapsed="false">
      <c r="B54" s="0" t="s">
        <v>340</v>
      </c>
      <c r="D54" s="0" t="n">
        <v>1157.58</v>
      </c>
      <c r="E54" s="0" t="n">
        <v>1157.58</v>
      </c>
      <c r="F54" s="64"/>
      <c r="G54" s="64"/>
    </row>
    <row r="55" customFormat="false" ht="12.75" hidden="false" customHeight="false" outlineLevel="0" collapsed="false">
      <c r="B55" s="0" t="s">
        <v>341</v>
      </c>
      <c r="D55" s="0" t="n">
        <v>353.65</v>
      </c>
      <c r="E55" s="0" t="n">
        <v>353.65</v>
      </c>
      <c r="F55" s="64"/>
      <c r="G55" s="64"/>
    </row>
    <row r="56" customFormat="false" ht="12.75" hidden="false" customHeight="false" outlineLevel="0" collapsed="false">
      <c r="B56" s="0" t="s">
        <v>342</v>
      </c>
      <c r="D56" s="108" t="n">
        <v>44.99</v>
      </c>
      <c r="E56" s="0" t="n">
        <v>44.99</v>
      </c>
      <c r="F56" s="64"/>
      <c r="G56" s="64"/>
    </row>
    <row r="57" customFormat="false" ht="12.75" hidden="false" customHeight="false" outlineLevel="0" collapsed="false">
      <c r="C57" s="108"/>
      <c r="E57" s="108"/>
      <c r="F57" s="64"/>
      <c r="G57" s="64"/>
    </row>
    <row r="58" customFormat="false" ht="12.75" hidden="false" customHeight="false" outlineLevel="0" collapsed="false">
      <c r="C58" s="108"/>
      <c r="D58" s="108"/>
      <c r="E58" s="168"/>
      <c r="F58" s="64"/>
      <c r="G58" s="64"/>
    </row>
    <row r="60" customFormat="false" ht="12.75" hidden="false" customHeight="false" outlineLevel="0" collapsed="false">
      <c r="B60" s="17"/>
    </row>
    <row r="61" customFormat="false" ht="12.75" hidden="false" customHeight="false" outlineLevel="0" collapsed="false">
      <c r="B61" s="104"/>
    </row>
    <row r="62" customFormat="false" ht="12.75" hidden="false" customHeight="false" outlineLevel="0" collapsed="false">
      <c r="A62" s="105"/>
      <c r="B62" s="106" t="s">
        <v>83</v>
      </c>
      <c r="C62" s="105"/>
      <c r="D62" s="163"/>
      <c r="E62" s="206" t="n">
        <f aca="false">SUM(E63:E84)</f>
        <v>-7338.29</v>
      </c>
    </row>
    <row r="63" customFormat="false" ht="12.75" hidden="false" customHeight="false" outlineLevel="0" collapsed="false">
      <c r="A63" s="102"/>
      <c r="C63" s="108"/>
      <c r="D63" s="108"/>
      <c r="E63" s="168"/>
      <c r="G63" s="64"/>
      <c r="H63" s="64"/>
    </row>
    <row r="64" customFormat="false" ht="12.75" hidden="false" customHeight="false" outlineLevel="0" collapsed="false">
      <c r="A64" s="102" t="n">
        <v>44995</v>
      </c>
      <c r="B64" s="8" t="s">
        <v>781</v>
      </c>
      <c r="C64" s="0" t="n">
        <v>613.91</v>
      </c>
      <c r="D64" s="36" t="s">
        <v>1037</v>
      </c>
      <c r="E64" s="168" t="n">
        <v>-61.39</v>
      </c>
      <c r="F64" s="64"/>
      <c r="G64" s="64"/>
      <c r="H64" s="64"/>
    </row>
    <row r="65" customFormat="false" ht="12.75" hidden="false" customHeight="false" outlineLevel="0" collapsed="false">
      <c r="A65" s="102" t="n">
        <v>44995</v>
      </c>
      <c r="B65" s="8" t="s">
        <v>1038</v>
      </c>
      <c r="C65" s="0" t="n">
        <v>2258.94</v>
      </c>
      <c r="D65" s="36" t="s">
        <v>449</v>
      </c>
      <c r="E65" s="168" t="n">
        <v>-376.49</v>
      </c>
      <c r="F65" s="64"/>
      <c r="G65" s="64"/>
      <c r="H65" s="64"/>
    </row>
    <row r="66" customFormat="false" ht="12.75" hidden="false" customHeight="false" outlineLevel="0" collapsed="false">
      <c r="A66" s="102" t="n">
        <v>45043</v>
      </c>
      <c r="B66" s="108" t="s">
        <v>959</v>
      </c>
      <c r="C66" s="108" t="n">
        <v>3299</v>
      </c>
      <c r="D66" s="36" t="s">
        <v>523</v>
      </c>
      <c r="E66" s="168" t="n">
        <v>-549.83</v>
      </c>
      <c r="F66" s="64"/>
      <c r="G66" s="64"/>
      <c r="H66" s="64"/>
    </row>
    <row r="67" customFormat="false" ht="12.75" hidden="false" customHeight="false" outlineLevel="0" collapsed="false">
      <c r="A67" s="102" t="n">
        <v>45043</v>
      </c>
      <c r="B67" s="108" t="s">
        <v>733</v>
      </c>
      <c r="C67" s="108" t="n">
        <v>10764.57</v>
      </c>
      <c r="D67" s="36" t="s">
        <v>780</v>
      </c>
      <c r="E67" s="168" t="n">
        <v>-1196.06</v>
      </c>
      <c r="F67" s="64"/>
      <c r="G67" s="64"/>
      <c r="H67" s="64"/>
    </row>
    <row r="68" customFormat="false" ht="12.75" hidden="false" customHeight="false" outlineLevel="0" collapsed="false">
      <c r="A68" s="102" t="n">
        <v>45044</v>
      </c>
      <c r="B68" s="8" t="s">
        <v>961</v>
      </c>
      <c r="C68" s="108" t="n">
        <v>3123.29</v>
      </c>
      <c r="D68" s="209" t="s">
        <v>523</v>
      </c>
      <c r="E68" s="168" t="n">
        <v>-520.55</v>
      </c>
      <c r="F68" s="64"/>
      <c r="G68" s="64"/>
      <c r="H68" s="64"/>
    </row>
    <row r="69" customFormat="false" ht="12.75" hidden="false" customHeight="false" outlineLevel="0" collapsed="false">
      <c r="A69" s="102" t="n">
        <v>45078</v>
      </c>
      <c r="B69" s="108" t="s">
        <v>934</v>
      </c>
      <c r="D69" s="209" t="s">
        <v>936</v>
      </c>
      <c r="E69" s="168" t="n">
        <v>-666.67</v>
      </c>
      <c r="F69" s="64"/>
      <c r="G69" s="64"/>
      <c r="H69" s="64"/>
    </row>
    <row r="70" customFormat="false" ht="12.75" hidden="false" customHeight="false" outlineLevel="0" collapsed="false">
      <c r="A70" s="102" t="n">
        <v>45077</v>
      </c>
      <c r="B70" s="108" t="s">
        <v>992</v>
      </c>
      <c r="C70" s="108" t="n">
        <v>148.6</v>
      </c>
      <c r="D70" s="209" t="s">
        <v>1039</v>
      </c>
      <c r="E70" s="168" t="n">
        <v>-37.15</v>
      </c>
      <c r="F70" s="64"/>
      <c r="G70" s="64"/>
      <c r="H70" s="64"/>
    </row>
    <row r="71" customFormat="false" ht="12.75" hidden="false" customHeight="false" outlineLevel="0" collapsed="false">
      <c r="A71" s="102" t="n">
        <v>45077</v>
      </c>
      <c r="B71" s="108" t="s">
        <v>994</v>
      </c>
      <c r="C71" s="108" t="n">
        <v>244.8</v>
      </c>
      <c r="D71" s="209" t="s">
        <v>1039</v>
      </c>
      <c r="E71" s="168" t="n">
        <v>-61.2</v>
      </c>
      <c r="F71" s="64"/>
      <c r="G71" s="64"/>
      <c r="H71" s="64"/>
    </row>
    <row r="72" customFormat="false" ht="12.75" hidden="false" customHeight="false" outlineLevel="0" collapsed="false">
      <c r="A72" s="102" t="n">
        <v>45077</v>
      </c>
      <c r="B72" s="108" t="s">
        <v>995</v>
      </c>
      <c r="C72" s="108" t="n">
        <v>1204.5</v>
      </c>
      <c r="D72" s="209" t="s">
        <v>1039</v>
      </c>
      <c r="E72" s="168" t="n">
        <v>-301.13</v>
      </c>
      <c r="F72" s="64"/>
      <c r="G72" s="64"/>
      <c r="H72" s="64"/>
    </row>
    <row r="73" customFormat="false" ht="12.75" hidden="false" customHeight="false" outlineLevel="0" collapsed="false">
      <c r="A73" s="102" t="n">
        <v>45077</v>
      </c>
      <c r="B73" s="8" t="s">
        <v>996</v>
      </c>
      <c r="C73" s="108" t="n">
        <v>532.6</v>
      </c>
      <c r="D73" s="209" t="s">
        <v>1039</v>
      </c>
      <c r="E73" s="168" t="n">
        <v>-133.15</v>
      </c>
      <c r="F73" s="64"/>
    </row>
    <row r="74" customFormat="false" ht="12.75" hidden="false" customHeight="false" outlineLevel="0" collapsed="false">
      <c r="A74" s="102" t="n">
        <v>45139</v>
      </c>
      <c r="B74" s="108" t="s">
        <v>1040</v>
      </c>
      <c r="E74" s="168" t="n">
        <v>-260.02</v>
      </c>
    </row>
    <row r="75" customFormat="false" ht="12.75" hidden="false" customHeight="false" outlineLevel="0" collapsed="false">
      <c r="A75" s="170" t="n">
        <v>45139</v>
      </c>
      <c r="B75" s="108" t="s">
        <v>455</v>
      </c>
      <c r="E75" s="168" t="n">
        <v>-116.6</v>
      </c>
    </row>
    <row r="76" customFormat="false" ht="12.75" hidden="false" customHeight="false" outlineLevel="0" collapsed="false">
      <c r="A76" s="170" t="n">
        <v>45139</v>
      </c>
      <c r="B76" s="108" t="s">
        <v>455</v>
      </c>
      <c r="E76" s="168" t="n">
        <v>-23.75</v>
      </c>
    </row>
    <row r="77" customFormat="false" ht="12.75" hidden="false" customHeight="false" outlineLevel="0" collapsed="false">
      <c r="A77" s="170" t="n">
        <v>45140</v>
      </c>
      <c r="B77" s="108" t="s">
        <v>1041</v>
      </c>
      <c r="E77" s="168" t="n">
        <v>-600</v>
      </c>
    </row>
    <row r="78" customFormat="false" ht="12.75" hidden="false" customHeight="false" outlineLevel="0" collapsed="false">
      <c r="A78" s="170" t="n">
        <v>45147</v>
      </c>
      <c r="B78" s="108" t="n">
        <v>2240</v>
      </c>
      <c r="E78" s="168" t="n">
        <v>-165.4</v>
      </c>
    </row>
    <row r="79" customFormat="false" ht="12.75" hidden="false" customHeight="false" outlineLevel="0" collapsed="false">
      <c r="A79" s="170" t="n">
        <v>45148</v>
      </c>
      <c r="B79" s="108" t="s">
        <v>1042</v>
      </c>
      <c r="E79" s="168" t="n">
        <v>-71</v>
      </c>
    </row>
    <row r="80" customFormat="false" ht="12.75" hidden="false" customHeight="false" outlineLevel="0" collapsed="false">
      <c r="A80" s="170" t="n">
        <v>45153</v>
      </c>
      <c r="B80" s="108" t="s">
        <v>1043</v>
      </c>
      <c r="E80" s="168" t="n">
        <v>-1806</v>
      </c>
    </row>
    <row r="81" customFormat="false" ht="12.75" hidden="false" customHeight="false" outlineLevel="0" collapsed="false">
      <c r="A81" s="170" t="n">
        <v>45158</v>
      </c>
      <c r="B81" s="108" t="s">
        <v>1044</v>
      </c>
      <c r="E81" s="168" t="n">
        <v>-160.9</v>
      </c>
    </row>
    <row r="82" customFormat="false" ht="12.75" hidden="false" customHeight="false" outlineLevel="0" collapsed="false">
      <c r="A82" s="170" t="n">
        <v>45160</v>
      </c>
      <c r="B82" s="108" t="s">
        <v>1045</v>
      </c>
      <c r="D82" s="36"/>
      <c r="E82" s="168" t="n">
        <v>-231</v>
      </c>
    </row>
    <row r="83" customFormat="false" ht="13.8" hidden="false" customHeight="false" outlineLevel="0" collapsed="false">
      <c r="A83" s="170"/>
      <c r="B83" s="108"/>
      <c r="D83" s="107" t="s">
        <v>84</v>
      </c>
      <c r="E83" s="168"/>
    </row>
    <row r="84" customFormat="false" ht="12.75" hidden="false" customHeight="false" outlineLevel="0" collapsed="false">
      <c r="A84" s="170"/>
      <c r="B84" s="108"/>
      <c r="D84" s="36"/>
      <c r="E84" s="168"/>
    </row>
    <row r="85" customFormat="false" ht="12.75" hidden="false" customHeight="false" outlineLevel="0" collapsed="false">
      <c r="A85" s="170"/>
      <c r="B85" s="108"/>
      <c r="D85" s="36"/>
      <c r="E85" s="168"/>
    </row>
    <row r="87" customFormat="false" ht="12.75" hidden="false" customHeight="false" outlineLevel="0" collapsed="false">
      <c r="A87" s="105"/>
      <c r="B87" s="106" t="s">
        <v>85</v>
      </c>
      <c r="C87" s="105"/>
      <c r="D87" s="105"/>
      <c r="E87" s="164" t="n">
        <f aca="false">SUM(E88:E108)</f>
        <v>-3842.66</v>
      </c>
    </row>
    <row r="88" customFormat="false" ht="12.75" hidden="false" customHeight="false" outlineLevel="0" collapsed="false">
      <c r="A88" s="102" t="n">
        <v>45026</v>
      </c>
      <c r="B88" s="8" t="s">
        <v>962</v>
      </c>
      <c r="C88" s="0" t="n">
        <v>1140.99</v>
      </c>
      <c r="D88" s="8" t="s">
        <v>737</v>
      </c>
      <c r="E88" s="0" t="n">
        <v>-190.17</v>
      </c>
      <c r="F88" s="64"/>
      <c r="G88" s="64"/>
      <c r="H88" s="64"/>
    </row>
    <row r="89" customFormat="false" ht="12.75" hidden="false" customHeight="false" outlineLevel="0" collapsed="false">
      <c r="A89" s="102" t="n">
        <v>45133</v>
      </c>
      <c r="B89" s="108" t="s">
        <v>1046</v>
      </c>
      <c r="C89" s="108"/>
      <c r="D89" s="108"/>
      <c r="E89" s="168" t="n">
        <v>-245</v>
      </c>
      <c r="F89" s="64"/>
      <c r="G89" s="64"/>
      <c r="H89" s="64"/>
    </row>
    <row r="90" customFormat="false" ht="12.75" hidden="false" customHeight="false" outlineLevel="0" collapsed="false">
      <c r="A90" s="102" t="n">
        <v>45134</v>
      </c>
      <c r="B90" s="108" t="s">
        <v>661</v>
      </c>
      <c r="C90" s="108"/>
      <c r="D90" s="108"/>
      <c r="E90" s="168" t="n">
        <v>-150</v>
      </c>
      <c r="F90" s="64"/>
      <c r="G90" s="64"/>
      <c r="H90" s="64"/>
    </row>
    <row r="91" customFormat="false" ht="12.75" hidden="false" customHeight="false" outlineLevel="0" collapsed="false">
      <c r="A91" s="102" t="n">
        <v>45135</v>
      </c>
      <c r="B91" s="108" t="s">
        <v>1047</v>
      </c>
      <c r="C91" s="108"/>
      <c r="D91" s="108"/>
      <c r="E91" s="168" t="n">
        <v>-555.87</v>
      </c>
      <c r="F91" s="64"/>
      <c r="G91" s="64"/>
      <c r="H91" s="64"/>
    </row>
    <row r="92" customFormat="false" ht="12.75" hidden="false" customHeight="false" outlineLevel="0" collapsed="false">
      <c r="A92" s="102" t="n">
        <v>45135</v>
      </c>
      <c r="B92" s="108" t="s">
        <v>1048</v>
      </c>
      <c r="C92" s="108"/>
      <c r="D92" s="108"/>
      <c r="E92" s="168" t="n">
        <v>-328</v>
      </c>
      <c r="F92" s="64"/>
      <c r="G92" s="64"/>
      <c r="H92" s="64"/>
    </row>
    <row r="93" customFormat="false" ht="12.75" hidden="false" customHeight="false" outlineLevel="0" collapsed="false">
      <c r="A93" s="102" t="n">
        <v>45136</v>
      </c>
      <c r="B93" s="109" t="s">
        <v>130</v>
      </c>
      <c r="E93" s="168" t="n">
        <v>-42.15</v>
      </c>
      <c r="F93" s="64"/>
    </row>
    <row r="94" customFormat="false" ht="12.75" hidden="false" customHeight="false" outlineLevel="0" collapsed="false">
      <c r="A94" s="102" t="n">
        <v>45136</v>
      </c>
      <c r="B94" s="8" t="s">
        <v>1049</v>
      </c>
      <c r="E94" s="0" t="n">
        <v>-400</v>
      </c>
      <c r="F94" s="64"/>
    </row>
    <row r="95" customFormat="false" ht="12.75" hidden="false" customHeight="false" outlineLevel="0" collapsed="false">
      <c r="A95" s="102" t="n">
        <v>45136</v>
      </c>
      <c r="B95" s="8" t="s">
        <v>1050</v>
      </c>
      <c r="E95" s="0" t="n">
        <v>-266</v>
      </c>
      <c r="F95" s="64"/>
    </row>
    <row r="96" customFormat="false" ht="12.75" hidden="false" customHeight="false" outlineLevel="0" collapsed="false">
      <c r="A96" s="102" t="n">
        <v>45199</v>
      </c>
      <c r="B96" s="8" t="s">
        <v>1051</v>
      </c>
      <c r="E96" s="0" t="n">
        <v>-489.97</v>
      </c>
      <c r="F96" s="64"/>
    </row>
    <row r="97" customFormat="false" ht="12.75" hidden="false" customHeight="false" outlineLevel="0" collapsed="false">
      <c r="A97" s="102" t="n">
        <v>45139</v>
      </c>
      <c r="B97" s="8" t="s">
        <v>132</v>
      </c>
      <c r="C97" s="0" t="n">
        <v>6556.63</v>
      </c>
    </row>
    <row r="98" customFormat="false" ht="12.75" hidden="false" customHeight="false" outlineLevel="0" collapsed="false">
      <c r="E98" s="0" t="n">
        <v>-156.48</v>
      </c>
    </row>
    <row r="99" customFormat="false" ht="12.75" hidden="false" customHeight="false" outlineLevel="0" collapsed="false">
      <c r="A99" s="170" t="n">
        <v>45141</v>
      </c>
      <c r="B99" s="8" t="s">
        <v>963</v>
      </c>
      <c r="D99" s="36" t="s">
        <v>1052</v>
      </c>
      <c r="E99" s="0" t="n">
        <v>-181.83</v>
      </c>
    </row>
    <row r="100" customFormat="false" ht="12.75" hidden="false" customHeight="false" outlineLevel="0" collapsed="false">
      <c r="A100" s="170" t="n">
        <v>45141</v>
      </c>
      <c r="B100" s="8" t="s">
        <v>137</v>
      </c>
      <c r="D100" s="36"/>
      <c r="E100" s="0" t="n">
        <v>-150</v>
      </c>
    </row>
    <row r="101" customFormat="false" ht="12.75" hidden="false" customHeight="false" outlineLevel="0" collapsed="false">
      <c r="A101" s="170" t="n">
        <v>45143</v>
      </c>
      <c r="B101" s="8" t="s">
        <v>137</v>
      </c>
      <c r="E101" s="0" t="n">
        <v>-150</v>
      </c>
    </row>
    <row r="102" customFormat="false" ht="12.75" hidden="false" customHeight="false" outlineLevel="0" collapsed="false">
      <c r="A102" s="170" t="n">
        <v>45143</v>
      </c>
      <c r="B102" s="8" t="s">
        <v>130</v>
      </c>
      <c r="E102" s="0" t="n">
        <v>-337.19</v>
      </c>
    </row>
    <row r="103" customFormat="false" ht="12.75" hidden="false" customHeight="false" outlineLevel="0" collapsed="false">
      <c r="A103" s="170" t="n">
        <v>45161</v>
      </c>
      <c r="B103" s="8" t="s">
        <v>137</v>
      </c>
      <c r="E103" s="0" t="n">
        <v>-200</v>
      </c>
    </row>
    <row r="104" customFormat="false" ht="13.8" hidden="false" customHeight="false" outlineLevel="0" collapsed="false">
      <c r="D104" s="107" t="s">
        <v>84</v>
      </c>
    </row>
    <row r="111" customFormat="false" ht="12.75" hidden="false" customHeight="false" outlineLevel="0" collapsed="false">
      <c r="A111" s="117" t="s">
        <v>1053</v>
      </c>
      <c r="B111" s="106" t="s">
        <v>139</v>
      </c>
      <c r="C111" s="105" t="n">
        <v>2023</v>
      </c>
      <c r="D111" s="163"/>
      <c r="E111" s="164" t="n">
        <f aca="false">SUM(E112:E120)</f>
        <v>604370.1</v>
      </c>
    </row>
    <row r="112" customFormat="false" ht="12.75" hidden="false" customHeight="false" outlineLevel="0" collapsed="false">
      <c r="A112" s="102" t="n">
        <v>45169</v>
      </c>
      <c r="B112" s="8" t="s">
        <v>77</v>
      </c>
      <c r="C112" s="2"/>
      <c r="D112" s="2"/>
      <c r="E112" s="17" t="n">
        <v>64000</v>
      </c>
      <c r="F112" s="0" t="n">
        <v>0</v>
      </c>
    </row>
    <row r="113" customFormat="false" ht="12.75" hidden="false" customHeight="false" outlineLevel="0" collapsed="false">
      <c r="A113" s="102" t="n">
        <v>45169</v>
      </c>
      <c r="B113" s="8" t="s">
        <v>1054</v>
      </c>
      <c r="C113" s="2"/>
      <c r="D113" s="2"/>
      <c r="E113" s="17" t="n">
        <v>63088</v>
      </c>
      <c r="F113" s="0" t="n">
        <v>0</v>
      </c>
    </row>
    <row r="114" customFormat="false" ht="12.75" hidden="false" customHeight="false" outlineLevel="0" collapsed="false">
      <c r="A114" s="102" t="n">
        <v>45169</v>
      </c>
      <c r="B114" s="8" t="s">
        <v>309</v>
      </c>
      <c r="C114" s="2"/>
      <c r="D114" s="2"/>
      <c r="E114" s="17" t="n">
        <v>126493.51</v>
      </c>
      <c r="F114" s="0" t="n">
        <v>0</v>
      </c>
    </row>
    <row r="115" customFormat="false" ht="12.75" hidden="false" customHeight="false" outlineLevel="0" collapsed="false">
      <c r="A115" s="102" t="n">
        <v>45169</v>
      </c>
      <c r="B115" s="8" t="s">
        <v>310</v>
      </c>
      <c r="C115" s="2"/>
      <c r="D115" s="2"/>
      <c r="E115" s="17" t="n">
        <v>359.59</v>
      </c>
      <c r="F115" s="0" t="n">
        <v>0</v>
      </c>
    </row>
    <row r="116" customFormat="false" ht="12.75" hidden="false" customHeight="false" outlineLevel="0" collapsed="false">
      <c r="A116" s="102" t="n">
        <v>45169</v>
      </c>
      <c r="B116" s="8" t="s">
        <v>1015</v>
      </c>
      <c r="C116" s="2" t="n">
        <v>1573</v>
      </c>
      <c r="D116" s="2" t="n">
        <v>111</v>
      </c>
      <c r="E116" s="17" t="n">
        <f aca="false">D116*C116</f>
        <v>174603</v>
      </c>
      <c r="F116" s="0" t="n">
        <v>0</v>
      </c>
    </row>
    <row r="117" customFormat="false" ht="12.75" hidden="false" customHeight="false" outlineLevel="0" collapsed="false">
      <c r="A117" s="102" t="n">
        <v>45169</v>
      </c>
      <c r="B117" s="8" t="s">
        <v>1017</v>
      </c>
      <c r="C117" s="167" t="n">
        <v>26.76</v>
      </c>
      <c r="D117" s="2" t="n">
        <v>850</v>
      </c>
      <c r="E117" s="17" t="n">
        <f aca="false">D117*C117</f>
        <v>22746</v>
      </c>
      <c r="F117" s="0" t="n">
        <v>0</v>
      </c>
    </row>
    <row r="118" customFormat="false" ht="12.75" hidden="false" customHeight="false" outlineLevel="0" collapsed="false">
      <c r="A118" s="102" t="n">
        <v>45169</v>
      </c>
      <c r="B118" s="8" t="s">
        <v>1018</v>
      </c>
      <c r="C118" s="167" t="n">
        <v>28.3</v>
      </c>
      <c r="D118" s="2" t="n">
        <v>100</v>
      </c>
      <c r="E118" s="17" t="n">
        <f aca="false">D118*C118</f>
        <v>2830</v>
      </c>
      <c r="F118" s="0" t="n">
        <v>0</v>
      </c>
    </row>
    <row r="119" customFormat="false" ht="12.75" hidden="false" customHeight="false" outlineLevel="0" collapsed="false">
      <c r="A119" s="102" t="n">
        <v>45192</v>
      </c>
      <c r="B119" s="8" t="s">
        <v>155</v>
      </c>
      <c r="C119" s="2"/>
      <c r="D119" s="2"/>
      <c r="E119" s="17" t="n">
        <v>146650</v>
      </c>
      <c r="F119" s="0" t="n">
        <v>0</v>
      </c>
    </row>
    <row r="120" customFormat="false" ht="12.75" hidden="false" customHeight="false" outlineLevel="0" collapsed="false">
      <c r="A120" s="102" t="n">
        <v>45192</v>
      </c>
      <c r="B120" s="8" t="s">
        <v>156</v>
      </c>
      <c r="C120" s="2"/>
      <c r="D120" s="2"/>
      <c r="E120" s="17" t="n">
        <v>3600</v>
      </c>
    </row>
    <row r="121" customFormat="false" ht="12.75" hidden="false" customHeight="false" outlineLevel="0" collapsed="false">
      <c r="C121" s="3" t="str">
        <f aca="false">A111</f>
        <v>EYLÜL</v>
      </c>
      <c r="D121" s="18" t="s">
        <v>159</v>
      </c>
      <c r="E121" s="168" t="n">
        <f aca="false">H40</f>
        <v>222885.09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18" t="s">
        <v>158</v>
      </c>
      <c r="E123" s="9" t="n">
        <f aca="false">SUM(E112:E120)</f>
        <v>604370.1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" colorId="64" zoomScale="170" zoomScaleNormal="170" zoomScalePageLayoutView="100" workbookViewId="0">
      <selection pane="topLeft" activeCell="A1" activeCellId="0" sqref="A1"/>
    </sheetView>
  </sheetViews>
  <sheetFormatPr defaultColWidth="12.2929687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3"/>
    <col collapsed="false" customWidth="true" hidden="false" outlineLevel="0" max="4" min="4" style="0" width="11.71"/>
    <col collapsed="false" customWidth="true" hidden="false" outlineLevel="0" max="5" min="5" style="0" width="10.86"/>
    <col collapsed="false" customWidth="true" hidden="false" outlineLevel="0" max="6" min="6" style="0" width="9.43"/>
    <col collapsed="false" customWidth="true" hidden="false" outlineLevel="0" max="8" min="7" style="0" width="10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E1" s="194"/>
      <c r="F1" s="194" t="s">
        <v>28</v>
      </c>
      <c r="G1" s="194" t="s">
        <v>29</v>
      </c>
      <c r="H1" s="194" t="s">
        <v>3</v>
      </c>
    </row>
    <row r="2" customFormat="false" ht="12.75" hidden="false" customHeight="false" outlineLevel="0" collapsed="false">
      <c r="A2" s="3" t="s">
        <v>1055</v>
      </c>
      <c r="C2" s="81" t="s">
        <v>67</v>
      </c>
      <c r="D2" s="311" t="n">
        <f aca="false">SUM(D4:D30)</f>
        <v>87911</v>
      </c>
      <c r="E2" s="311" t="n">
        <f aca="false">SUM(E4:E29)</f>
        <v>-32079.01</v>
      </c>
      <c r="F2" s="311" t="n">
        <f aca="false">SUM(F4:F31)</f>
        <v>16800</v>
      </c>
      <c r="G2" s="311" t="n">
        <f aca="false">SUM(G4:G31)</f>
        <v>-37135.35</v>
      </c>
      <c r="H2" s="311" t="n">
        <f aca="false">F2+G2</f>
        <v>-20335.35</v>
      </c>
    </row>
    <row r="3" customFormat="false" ht="12.75" hidden="false" customHeight="false" outlineLevel="0" collapsed="false">
      <c r="B3" s="18"/>
      <c r="H3" s="64"/>
    </row>
    <row r="4" customFormat="false" ht="12.75" hidden="false" customHeight="false" outlineLevel="0" collapsed="false">
      <c r="A4" s="170" t="n">
        <v>45141</v>
      </c>
      <c r="B4" s="103" t="s">
        <v>80</v>
      </c>
      <c r="C4" s="103"/>
      <c r="D4" s="103"/>
      <c r="E4" s="64" t="n">
        <v>-400</v>
      </c>
      <c r="G4" s="64" t="n">
        <v>-311</v>
      </c>
      <c r="H4" s="64" t="n">
        <f aca="false">H3+F4+G4</f>
        <v>-311</v>
      </c>
    </row>
    <row r="5" customFormat="false" ht="12.75" hidden="false" customHeight="false" outlineLevel="0" collapsed="false">
      <c r="A5" s="170" t="n">
        <v>45141</v>
      </c>
      <c r="B5" s="103" t="s">
        <v>81</v>
      </c>
      <c r="C5" s="103"/>
      <c r="D5" s="103"/>
      <c r="E5" s="64" t="n">
        <v>-500</v>
      </c>
      <c r="G5" s="64" t="n">
        <v>-520</v>
      </c>
      <c r="H5" s="64" t="n">
        <f aca="false">H4+F5+G5</f>
        <v>-831</v>
      </c>
    </row>
    <row r="6" customFormat="false" ht="12.75" hidden="false" customHeight="false" outlineLevel="0" collapsed="false">
      <c r="B6" s="103" t="s">
        <v>1056</v>
      </c>
      <c r="C6" s="103"/>
      <c r="D6" s="103"/>
      <c r="E6" s="64" t="n">
        <v>-250</v>
      </c>
      <c r="G6" s="64" t="n">
        <v>-250</v>
      </c>
      <c r="H6" s="64" t="n">
        <f aca="false">H5+F6+G6</f>
        <v>-1081</v>
      </c>
    </row>
    <row r="7" customFormat="false" ht="12.75" hidden="false" customHeight="false" outlineLevel="0" collapsed="false">
      <c r="B7" s="183" t="s">
        <v>72</v>
      </c>
      <c r="D7" s="64" t="n">
        <f aca="false">D37</f>
        <v>0</v>
      </c>
      <c r="E7" s="2"/>
      <c r="F7" s="64" t="n">
        <f aca="false">E37</f>
        <v>0</v>
      </c>
      <c r="G7" s="64"/>
      <c r="H7" s="64" t="n">
        <f aca="false">H6+F7+G7</f>
        <v>-1081</v>
      </c>
    </row>
    <row r="8" customFormat="false" ht="12.75" hidden="false" customHeight="false" outlineLevel="0" collapsed="false">
      <c r="B8" s="183" t="s">
        <v>68</v>
      </c>
      <c r="E8" s="64" t="n">
        <f aca="false">E49</f>
        <v>-5147.64</v>
      </c>
      <c r="F8" s="64"/>
      <c r="G8" s="64" t="n">
        <v>-5147.64</v>
      </c>
      <c r="H8" s="64" t="n">
        <f aca="false">H7+F8+G8</f>
        <v>-6228.64</v>
      </c>
    </row>
    <row r="9" customFormat="false" ht="12.75" hidden="false" customHeight="false" outlineLevel="0" collapsed="false">
      <c r="B9" s="183" t="s">
        <v>69</v>
      </c>
      <c r="E9" s="64" t="n">
        <f aca="false">E67</f>
        <v>-6556.63</v>
      </c>
      <c r="G9" s="64" t="n">
        <v>-6556.63</v>
      </c>
      <c r="H9" s="64" t="n">
        <f aca="false">H8+F9+G9</f>
        <v>-12785.27</v>
      </c>
    </row>
    <row r="10" customFormat="false" ht="12.75" hidden="false" customHeight="false" outlineLevel="0" collapsed="false">
      <c r="A10" s="102" t="n">
        <v>45139</v>
      </c>
      <c r="B10" s="103" t="s">
        <v>1057</v>
      </c>
      <c r="C10" s="103"/>
      <c r="D10" s="103"/>
      <c r="E10" s="64" t="n">
        <v>-5375</v>
      </c>
      <c r="G10" s="64" t="n">
        <v>-5375</v>
      </c>
      <c r="H10" s="64" t="n">
        <f aca="false">H9+F10+G10</f>
        <v>-18160.27</v>
      </c>
    </row>
    <row r="11" customFormat="false" ht="12.75" hidden="false" customHeight="false" outlineLevel="0" collapsed="false">
      <c r="A11" s="102" t="n">
        <v>45139</v>
      </c>
      <c r="B11" s="103" t="s">
        <v>1057</v>
      </c>
      <c r="C11" s="103"/>
      <c r="D11" s="103"/>
      <c r="E11" s="64" t="n">
        <v>-2125</v>
      </c>
      <c r="G11" s="64" t="n">
        <v>-2125</v>
      </c>
      <c r="H11" s="64" t="n">
        <f aca="false">H10+F11+G11</f>
        <v>-20285.27</v>
      </c>
    </row>
    <row r="12" customFormat="false" ht="12.75" hidden="false" customHeight="false" outlineLevel="0" collapsed="false">
      <c r="B12" s="103" t="s">
        <v>1058</v>
      </c>
      <c r="C12" s="103"/>
      <c r="D12" s="103"/>
      <c r="E12" s="64" t="n">
        <v>-674.74</v>
      </c>
      <c r="F12" s="168"/>
      <c r="G12" s="64" t="n">
        <v>-945.08</v>
      </c>
      <c r="H12" s="64" t="n">
        <f aca="false">H11+F12+G12</f>
        <v>-21230.35</v>
      </c>
    </row>
    <row r="13" customFormat="false" ht="12.75" hidden="false" customHeight="false" outlineLevel="0" collapsed="false">
      <c r="B13" s="103" t="s">
        <v>75</v>
      </c>
      <c r="C13" s="103" t="s">
        <v>332</v>
      </c>
      <c r="D13" s="103"/>
      <c r="E13" s="64" t="n">
        <v>-150</v>
      </c>
      <c r="F13" s="168"/>
      <c r="G13" s="64" t="n">
        <v>0</v>
      </c>
      <c r="H13" s="64" t="n">
        <f aca="false">H12+F13+G13</f>
        <v>-21230.35</v>
      </c>
    </row>
    <row r="14" customFormat="false" ht="12.75" hidden="false" customHeight="false" outlineLevel="0" collapsed="false">
      <c r="B14" s="108" t="s">
        <v>73</v>
      </c>
      <c r="C14" s="108" t="s">
        <v>332</v>
      </c>
      <c r="D14" s="108"/>
      <c r="E14" s="64" t="n">
        <v>-300</v>
      </c>
      <c r="F14" s="168"/>
      <c r="G14" s="64" t="n">
        <v>0</v>
      </c>
      <c r="H14" s="64" t="n">
        <f aca="false">H13+F14+G14</f>
        <v>-21230.35</v>
      </c>
    </row>
    <row r="15" customFormat="false" ht="12.75" hidden="false" customHeight="false" outlineLevel="0" collapsed="false">
      <c r="B15" s="108" t="s">
        <v>74</v>
      </c>
      <c r="C15" s="108" t="s">
        <v>332</v>
      </c>
      <c r="D15" s="108"/>
      <c r="E15" s="64" t="n">
        <v>-100</v>
      </c>
      <c r="F15" s="168"/>
      <c r="G15" s="64" t="n">
        <v>0</v>
      </c>
      <c r="H15" s="64" t="n">
        <f aca="false">H14+F15+G15</f>
        <v>-21230.35</v>
      </c>
    </row>
    <row r="16" customFormat="false" ht="12.75" hidden="false" customHeight="false" outlineLevel="0" collapsed="false">
      <c r="A16" s="170" t="n">
        <v>45152</v>
      </c>
      <c r="B16" s="103" t="s">
        <v>465</v>
      </c>
      <c r="G16" s="64" t="n">
        <v>-139</v>
      </c>
      <c r="H16" s="64" t="n">
        <f aca="false">H15+F16+G16</f>
        <v>-21369.35</v>
      </c>
    </row>
    <row r="17" customFormat="false" ht="12.75" hidden="false" customHeight="false" outlineLevel="0" collapsed="false">
      <c r="H17" s="64" t="n">
        <f aca="false">H16+F17+G17</f>
        <v>-21369.35</v>
      </c>
    </row>
    <row r="18" customFormat="false" ht="12.75" hidden="false" customHeight="false" outlineLevel="0" collapsed="false">
      <c r="B18" s="0" t="s">
        <v>77</v>
      </c>
      <c r="E18" s="64" t="n">
        <v>-3500</v>
      </c>
      <c r="F18" s="64"/>
      <c r="G18" s="64" t="n">
        <v>-3508</v>
      </c>
      <c r="H18" s="64" t="n">
        <f aca="false">H17+F18+G18</f>
        <v>-24877.35</v>
      </c>
    </row>
    <row r="19" customFormat="false" ht="12.75" hidden="false" customHeight="false" outlineLevel="0" collapsed="false">
      <c r="B19" s="0" t="s">
        <v>78</v>
      </c>
      <c r="E19" s="64" t="n">
        <v>-3500</v>
      </c>
      <c r="F19" s="64"/>
      <c r="G19" s="64" t="n">
        <v>-3508</v>
      </c>
      <c r="H19" s="64" t="n">
        <f aca="false">H18+F19+G19</f>
        <v>-28385.35</v>
      </c>
    </row>
    <row r="20" customFormat="false" ht="12.75" hidden="false" customHeight="false" outlineLevel="0" collapsed="false">
      <c r="B20" s="0" t="s">
        <v>79</v>
      </c>
      <c r="E20" s="64" t="n">
        <v>-3500</v>
      </c>
      <c r="F20" s="64"/>
      <c r="G20" s="64" t="n">
        <v>-3500</v>
      </c>
      <c r="H20" s="64" t="n">
        <f aca="false">H19+F20+G20</f>
        <v>-31885.35</v>
      </c>
    </row>
    <row r="21" customFormat="false" ht="12.75" hidden="false" customHeight="false" outlineLevel="0" collapsed="false">
      <c r="B21" s="0" t="s">
        <v>2</v>
      </c>
      <c r="D21" s="0" t="n">
        <v>1111</v>
      </c>
      <c r="E21" s="168"/>
      <c r="F21" s="64"/>
      <c r="G21" s="64"/>
      <c r="H21" s="64" t="n">
        <f aca="false">H20+F21+G21</f>
        <v>-31885.35</v>
      </c>
    </row>
    <row r="22" customFormat="false" ht="12.75" hidden="false" customHeight="false" outlineLevel="0" collapsed="false">
      <c r="B22" s="0" t="s">
        <v>76</v>
      </c>
      <c r="D22" s="191" t="n">
        <v>7500</v>
      </c>
      <c r="F22" s="64" t="n">
        <v>7500</v>
      </c>
      <c r="G22" s="64"/>
      <c r="H22" s="64" t="n">
        <f aca="false">H21+F22+G22</f>
        <v>-24385.35</v>
      </c>
    </row>
    <row r="23" customFormat="false" ht="12.75" hidden="false" customHeight="false" outlineLevel="0" collapsed="false">
      <c r="B23" s="0" t="s">
        <v>681</v>
      </c>
      <c r="D23" s="191" t="n">
        <v>2800</v>
      </c>
      <c r="F23" s="64" t="n">
        <v>2800</v>
      </c>
      <c r="G23" s="64"/>
      <c r="H23" s="64" t="n">
        <f aca="false">H22+F23+G23</f>
        <v>-21585.35</v>
      </c>
    </row>
    <row r="24" customFormat="false" ht="12.75" hidden="false" customHeight="false" outlineLevel="0" collapsed="false">
      <c r="B24" s="0" t="s">
        <v>1059</v>
      </c>
      <c r="D24" s="191" t="n">
        <v>6500</v>
      </c>
      <c r="F24" s="64" t="n">
        <v>6500</v>
      </c>
      <c r="G24" s="64"/>
      <c r="H24" s="64" t="n">
        <f aca="false">H23+F24+G24</f>
        <v>-15085.35</v>
      </c>
    </row>
    <row r="25" customFormat="false" ht="12.75" hidden="false" customHeight="false" outlineLevel="0" collapsed="false">
      <c r="A25" s="102" t="n">
        <v>45167</v>
      </c>
      <c r="B25" s="8" t="s">
        <v>1060</v>
      </c>
      <c r="D25" s="104"/>
      <c r="F25" s="64"/>
      <c r="G25" s="64"/>
      <c r="H25" s="64" t="n">
        <f aca="false">H24+F25+G25</f>
        <v>-15085.35</v>
      </c>
    </row>
    <row r="26" customFormat="false" ht="12.75" hidden="false" customHeight="false" outlineLevel="0" collapsed="false">
      <c r="B26" s="0" t="s">
        <v>1061</v>
      </c>
      <c r="D26" s="104"/>
      <c r="F26" s="64"/>
      <c r="G26" s="64"/>
      <c r="H26" s="64" t="n">
        <f aca="false">H25+F26+G26</f>
        <v>-15085.35</v>
      </c>
    </row>
    <row r="27" customFormat="false" ht="12.75" hidden="false" customHeight="false" outlineLevel="0" collapsed="false">
      <c r="A27" s="102"/>
      <c r="B27" s="8" t="s">
        <v>1062</v>
      </c>
      <c r="D27" s="191" t="n">
        <v>70000</v>
      </c>
      <c r="G27" s="64"/>
      <c r="H27" s="64" t="n">
        <f aca="false">H26+F27+G27</f>
        <v>-15085.35</v>
      </c>
    </row>
    <row r="28" customFormat="false" ht="12.75" hidden="false" customHeight="false" outlineLevel="0" collapsed="false">
      <c r="B28" s="0" t="s">
        <v>1063</v>
      </c>
      <c r="D28" s="104"/>
      <c r="F28" s="64"/>
      <c r="G28" s="64" t="n">
        <v>-5250</v>
      </c>
      <c r="H28" s="64" t="n">
        <f aca="false">H27+F28+G28</f>
        <v>-20335.35</v>
      </c>
    </row>
    <row r="29" customFormat="false" ht="15" hidden="false" customHeight="false" outlineLevel="0" collapsed="false">
      <c r="B29" s="184"/>
      <c r="F29" s="64"/>
      <c r="G29" s="64"/>
      <c r="H29" s="64"/>
    </row>
    <row r="30" customFormat="false" ht="12.75" hidden="false" customHeight="false" outlineLevel="0" collapsed="false">
      <c r="E30" s="64"/>
      <c r="G30" s="64"/>
      <c r="H30" s="64"/>
    </row>
    <row r="31" customFormat="false" ht="12.75" hidden="false" customHeight="false" outlineLevel="0" collapsed="false">
      <c r="B31" s="0" t="s">
        <v>334</v>
      </c>
      <c r="E31" s="64"/>
      <c r="G31" s="64"/>
      <c r="H31" s="64"/>
    </row>
    <row r="32" customFormat="false" ht="12.75" hidden="false" customHeight="false" outlineLevel="0" collapsed="false">
      <c r="A32" s="105" t="s">
        <v>335</v>
      </c>
      <c r="B32" s="105"/>
      <c r="C32" s="105"/>
      <c r="D32" s="105"/>
      <c r="E32" s="163"/>
      <c r="G32" s="64"/>
      <c r="H32" s="64"/>
    </row>
    <row r="33" customFormat="false" ht="12.75" hidden="false" customHeight="false" outlineLevel="0" collapsed="false">
      <c r="A33" s="322"/>
      <c r="B33" s="317"/>
      <c r="C33" s="317"/>
      <c r="D33" s="317"/>
      <c r="E33" s="318"/>
      <c r="H33" s="64"/>
    </row>
    <row r="34" customFormat="false" ht="12.75" hidden="false" customHeight="false" outlineLevel="0" collapsed="false">
      <c r="A34" s="322"/>
      <c r="B34" s="317"/>
      <c r="C34" s="319"/>
      <c r="D34" s="317"/>
      <c r="E34" s="317"/>
      <c r="H34" s="64"/>
    </row>
    <row r="35" customFormat="false" ht="12.75" hidden="false" customHeight="false" outlineLevel="0" collapsed="false">
      <c r="A35" s="322"/>
      <c r="B35" s="317"/>
      <c r="C35" s="319"/>
      <c r="D35" s="317"/>
      <c r="E35" s="317"/>
      <c r="H35" s="64"/>
    </row>
    <row r="36" customFormat="false" ht="12.75" hidden="false" customHeight="false" outlineLevel="0" collapsed="false">
      <c r="A36" s="102"/>
      <c r="C36" s="176"/>
      <c r="H36" s="64"/>
    </row>
    <row r="37" customFormat="false" ht="12.75" hidden="false" customHeight="false" outlineLevel="0" collapsed="false">
      <c r="A37" s="177" t="n">
        <v>44929</v>
      </c>
      <c r="B37" s="178" t="s">
        <v>336</v>
      </c>
      <c r="C37" s="105"/>
      <c r="D37" s="206" t="n">
        <f aca="false">SUM(D38:D45)</f>
        <v>0</v>
      </c>
      <c r="E37" s="206" t="n">
        <f aca="false">SUM(E38:E45)</f>
        <v>0</v>
      </c>
      <c r="H37" s="64"/>
    </row>
    <row r="38" customFormat="false" ht="12.75" hidden="false" customHeight="false" outlineLevel="0" collapsed="false">
      <c r="B38" s="0" t="s">
        <v>930</v>
      </c>
      <c r="E38" s="64"/>
      <c r="F38" s="64"/>
      <c r="G38" s="64"/>
    </row>
    <row r="39" customFormat="false" ht="12.75" hidden="false" customHeight="false" outlineLevel="0" collapsed="false">
      <c r="B39" s="0" t="s">
        <v>338</v>
      </c>
      <c r="E39" s="64"/>
      <c r="F39" s="64"/>
      <c r="G39" s="64"/>
    </row>
    <row r="40" customFormat="false" ht="12.75" hidden="false" customHeight="false" outlineLevel="0" collapsed="false">
      <c r="B40" s="0" t="s">
        <v>339</v>
      </c>
      <c r="F40" s="64"/>
      <c r="G40" s="64"/>
    </row>
    <row r="41" customFormat="false" ht="12.75" hidden="false" customHeight="false" outlineLevel="0" collapsed="false">
      <c r="B41" s="0" t="s">
        <v>340</v>
      </c>
      <c r="F41" s="64"/>
      <c r="G41" s="64"/>
    </row>
    <row r="42" customFormat="false" ht="12.75" hidden="false" customHeight="false" outlineLevel="0" collapsed="false">
      <c r="B42" s="0" t="s">
        <v>341</v>
      </c>
      <c r="F42" s="64"/>
      <c r="G42" s="64"/>
    </row>
    <row r="43" customFormat="false" ht="12.75" hidden="false" customHeight="false" outlineLevel="0" collapsed="false">
      <c r="B43" s="0" t="s">
        <v>342</v>
      </c>
      <c r="C43" s="108"/>
      <c r="D43" s="108"/>
      <c r="F43" s="64"/>
      <c r="G43" s="64"/>
    </row>
    <row r="44" customFormat="false" ht="12.75" hidden="false" customHeight="false" outlineLevel="0" collapsed="false">
      <c r="C44" s="108"/>
      <c r="E44" s="108"/>
      <c r="F44" s="64"/>
      <c r="G44" s="64"/>
    </row>
    <row r="45" customFormat="false" ht="12.75" hidden="false" customHeight="false" outlineLevel="0" collapsed="false">
      <c r="C45" s="108"/>
      <c r="D45" s="108"/>
      <c r="E45" s="168"/>
      <c r="F45" s="64"/>
      <c r="G45" s="64"/>
    </row>
    <row r="47" customFormat="false" ht="12.75" hidden="false" customHeight="false" outlineLevel="0" collapsed="false">
      <c r="B47" s="17"/>
    </row>
    <row r="48" customFormat="false" ht="12.75" hidden="false" customHeight="false" outlineLevel="0" collapsed="false">
      <c r="B48" s="104"/>
    </row>
    <row r="49" customFormat="false" ht="12.75" hidden="false" customHeight="false" outlineLevel="0" collapsed="false">
      <c r="A49" s="105"/>
      <c r="B49" s="106" t="s">
        <v>83</v>
      </c>
      <c r="C49" s="105"/>
      <c r="D49" s="163"/>
      <c r="E49" s="164" t="n">
        <f aca="false">SUM(E50:E64)</f>
        <v>-5147.64</v>
      </c>
    </row>
    <row r="50" customFormat="false" ht="12.75" hidden="false" customHeight="false" outlineLevel="0" collapsed="false">
      <c r="A50" s="102" t="n">
        <v>44873</v>
      </c>
      <c r="B50" s="8" t="s">
        <v>1064</v>
      </c>
      <c r="C50" s="108"/>
      <c r="D50" s="108" t="s">
        <v>734</v>
      </c>
      <c r="E50" s="168" t="n">
        <v>-1111.12</v>
      </c>
      <c r="G50" s="64"/>
      <c r="H50" s="64"/>
    </row>
    <row r="51" customFormat="false" ht="12.75" hidden="false" customHeight="false" outlineLevel="0" collapsed="false">
      <c r="A51" s="102" t="n">
        <v>44995</v>
      </c>
      <c r="B51" s="8" t="s">
        <v>781</v>
      </c>
      <c r="C51" s="0" t="n">
        <v>613.91</v>
      </c>
      <c r="D51" s="36" t="s">
        <v>1065</v>
      </c>
      <c r="E51" s="168" t="n">
        <v>-61.39</v>
      </c>
      <c r="F51" s="64"/>
      <c r="G51" s="64"/>
      <c r="H51" s="64"/>
    </row>
    <row r="52" customFormat="false" ht="12.75" hidden="false" customHeight="false" outlineLevel="0" collapsed="false">
      <c r="A52" s="102" t="n">
        <v>44995</v>
      </c>
      <c r="B52" s="8" t="s">
        <v>1038</v>
      </c>
      <c r="C52" s="0" t="n">
        <v>2258.94</v>
      </c>
      <c r="D52" s="36" t="s">
        <v>480</v>
      </c>
      <c r="E52" s="168" t="n">
        <v>-376.49</v>
      </c>
      <c r="F52" s="64"/>
      <c r="G52" s="64"/>
      <c r="H52" s="64"/>
    </row>
    <row r="53" customFormat="false" ht="12.75" hidden="false" customHeight="false" outlineLevel="0" collapsed="false">
      <c r="A53" s="102" t="n">
        <v>45043</v>
      </c>
      <c r="B53" s="108" t="s">
        <v>959</v>
      </c>
      <c r="C53" s="108" t="n">
        <v>3299</v>
      </c>
      <c r="D53" s="36" t="s">
        <v>936</v>
      </c>
      <c r="E53" s="168" t="n">
        <v>-549.83</v>
      </c>
      <c r="F53" s="64"/>
      <c r="G53" s="64"/>
      <c r="H53" s="64"/>
    </row>
    <row r="54" customFormat="false" ht="12.75" hidden="false" customHeight="false" outlineLevel="0" collapsed="false">
      <c r="A54" s="102" t="n">
        <v>45043</v>
      </c>
      <c r="B54" s="108" t="s">
        <v>733</v>
      </c>
      <c r="C54" s="108" t="n">
        <v>10764.57</v>
      </c>
      <c r="D54" s="36" t="s">
        <v>935</v>
      </c>
      <c r="E54" s="168" t="n">
        <v>-1196.06</v>
      </c>
      <c r="F54" s="64"/>
      <c r="G54" s="64"/>
      <c r="H54" s="64"/>
    </row>
    <row r="55" customFormat="false" ht="12.75" hidden="false" customHeight="false" outlineLevel="0" collapsed="false">
      <c r="A55" s="102" t="n">
        <v>45044</v>
      </c>
      <c r="B55" s="8" t="s">
        <v>961</v>
      </c>
      <c r="C55" s="108" t="n">
        <v>3123.29</v>
      </c>
      <c r="D55" s="209" t="s">
        <v>936</v>
      </c>
      <c r="E55" s="168" t="n">
        <v>-520.55</v>
      </c>
      <c r="F55" s="64"/>
      <c r="G55" s="64"/>
      <c r="H55" s="64"/>
    </row>
    <row r="56" customFormat="false" ht="12.75" hidden="false" customHeight="false" outlineLevel="0" collapsed="false">
      <c r="A56" s="102" t="n">
        <v>45078</v>
      </c>
      <c r="B56" s="108" t="s">
        <v>934</v>
      </c>
      <c r="D56" s="209" t="s">
        <v>615</v>
      </c>
      <c r="E56" s="168" t="n">
        <v>-666.67</v>
      </c>
      <c r="F56" s="64"/>
      <c r="G56" s="64"/>
      <c r="H56" s="64"/>
    </row>
    <row r="57" customFormat="false" ht="12.75" hidden="false" customHeight="false" outlineLevel="0" collapsed="false">
      <c r="A57" s="102" t="n">
        <v>45077</v>
      </c>
      <c r="B57" s="108" t="s">
        <v>992</v>
      </c>
      <c r="C57" s="108" t="n">
        <v>148.6</v>
      </c>
      <c r="D57" s="209" t="s">
        <v>1066</v>
      </c>
      <c r="E57" s="168" t="n">
        <v>-37.15</v>
      </c>
      <c r="F57" s="64"/>
      <c r="G57" s="64"/>
      <c r="H57" s="64"/>
    </row>
    <row r="58" customFormat="false" ht="12.75" hidden="false" customHeight="false" outlineLevel="0" collapsed="false">
      <c r="A58" s="102" t="n">
        <v>45077</v>
      </c>
      <c r="B58" s="108" t="s">
        <v>994</v>
      </c>
      <c r="C58" s="108" t="n">
        <v>244.8</v>
      </c>
      <c r="D58" s="209" t="s">
        <v>1066</v>
      </c>
      <c r="E58" s="168" t="n">
        <v>-61.2</v>
      </c>
      <c r="F58" s="64"/>
      <c r="G58" s="64"/>
      <c r="H58" s="64"/>
    </row>
    <row r="59" customFormat="false" ht="12.75" hidden="false" customHeight="false" outlineLevel="0" collapsed="false">
      <c r="A59" s="102" t="n">
        <v>45077</v>
      </c>
      <c r="B59" s="108" t="s">
        <v>995</v>
      </c>
      <c r="C59" s="108" t="n">
        <v>1204.5</v>
      </c>
      <c r="D59" s="209" t="s">
        <v>1066</v>
      </c>
      <c r="E59" s="168" t="n">
        <v>-301.13</v>
      </c>
      <c r="F59" s="64"/>
      <c r="G59" s="64"/>
      <c r="H59" s="64"/>
    </row>
    <row r="60" customFormat="false" ht="12.75" hidden="false" customHeight="false" outlineLevel="0" collapsed="false">
      <c r="A60" s="102" t="n">
        <v>45077</v>
      </c>
      <c r="B60" s="8" t="s">
        <v>996</v>
      </c>
      <c r="C60" s="108" t="n">
        <v>532.6</v>
      </c>
      <c r="D60" s="209" t="s">
        <v>1066</v>
      </c>
      <c r="E60" s="168" t="n">
        <v>-133.15</v>
      </c>
      <c r="F60" s="64"/>
      <c r="G60" s="64"/>
      <c r="H60" s="64"/>
    </row>
    <row r="61" customFormat="false" ht="12.75" hidden="false" customHeight="false" outlineLevel="0" collapsed="false">
      <c r="A61" s="102"/>
      <c r="C61" s="108"/>
      <c r="D61" s="108"/>
      <c r="E61" s="168"/>
      <c r="F61" s="64"/>
      <c r="G61" s="64"/>
      <c r="H61" s="64"/>
    </row>
    <row r="62" customFormat="false" ht="12.75" hidden="false" customHeight="false" outlineLevel="0" collapsed="false">
      <c r="A62" s="102" t="n">
        <v>45112</v>
      </c>
      <c r="B62" s="8" t="s">
        <v>1067</v>
      </c>
      <c r="E62" s="168" t="n">
        <v>-132.9</v>
      </c>
    </row>
    <row r="63" customFormat="false" ht="12.75" hidden="false" customHeight="false" outlineLevel="0" collapsed="false">
      <c r="A63" s="102"/>
      <c r="D63" s="3" t="s">
        <v>84</v>
      </c>
      <c r="E63" s="168"/>
    </row>
    <row r="65" customFormat="false" ht="12.75" hidden="false" customHeight="false" outlineLevel="0" collapsed="false">
      <c r="D65" s="36"/>
    </row>
    <row r="67" customFormat="false" ht="12.75" hidden="false" customHeight="false" outlineLevel="0" collapsed="false">
      <c r="A67" s="105"/>
      <c r="B67" s="106" t="s">
        <v>85</v>
      </c>
      <c r="C67" s="105"/>
      <c r="D67" s="105"/>
      <c r="E67" s="164" t="n">
        <f aca="false">SUM(E68:E91)</f>
        <v>-6556.63</v>
      </c>
    </row>
    <row r="68" customFormat="false" ht="12.75" hidden="false" customHeight="false" outlineLevel="0" collapsed="false">
      <c r="A68" s="102" t="n">
        <v>45026</v>
      </c>
      <c r="B68" s="8" t="s">
        <v>962</v>
      </c>
      <c r="C68" s="0" t="n">
        <v>1140.99</v>
      </c>
      <c r="D68" s="8" t="s">
        <v>1068</v>
      </c>
      <c r="E68" s="0" t="n">
        <v>-190.17</v>
      </c>
      <c r="F68" s="64"/>
      <c r="G68" s="64"/>
      <c r="H68" s="64"/>
    </row>
    <row r="69" customFormat="false" ht="12.75" hidden="false" customHeight="false" outlineLevel="0" collapsed="false">
      <c r="A69" s="102" t="n">
        <v>45105</v>
      </c>
      <c r="B69" s="323" t="s">
        <v>1069</v>
      </c>
      <c r="C69" s="108"/>
      <c r="D69" s="108"/>
      <c r="E69" s="168" t="n">
        <v>-27.99</v>
      </c>
      <c r="F69" s="64"/>
      <c r="G69" s="64"/>
      <c r="H69" s="64"/>
    </row>
    <row r="70" customFormat="false" ht="12.75" hidden="false" customHeight="false" outlineLevel="0" collapsed="false">
      <c r="A70" s="102" t="n">
        <v>45107</v>
      </c>
      <c r="B70" s="323" t="s">
        <v>1070</v>
      </c>
      <c r="C70" s="108"/>
      <c r="D70" s="108"/>
      <c r="E70" s="168" t="n">
        <v>-900</v>
      </c>
      <c r="F70" s="64"/>
      <c r="G70" s="64"/>
      <c r="H70" s="64"/>
    </row>
    <row r="71" customFormat="false" ht="12.75" hidden="false" customHeight="false" outlineLevel="0" collapsed="false">
      <c r="A71" s="102" t="n">
        <v>45108</v>
      </c>
      <c r="B71" s="323" t="s">
        <v>1071</v>
      </c>
      <c r="C71" s="108"/>
      <c r="D71" s="108"/>
      <c r="E71" s="168" t="n">
        <v>-207.59</v>
      </c>
      <c r="F71" s="64"/>
      <c r="G71" s="64"/>
      <c r="H71" s="64"/>
    </row>
    <row r="72" customFormat="false" ht="12.75" hidden="false" customHeight="false" outlineLevel="0" collapsed="false">
      <c r="A72" s="102" t="n">
        <v>45111</v>
      </c>
      <c r="B72" s="108" t="s">
        <v>1072</v>
      </c>
      <c r="C72" s="108" t="n">
        <v>3730.59</v>
      </c>
      <c r="D72" s="108"/>
      <c r="E72" s="168"/>
      <c r="F72" s="64"/>
      <c r="G72" s="64"/>
      <c r="H72" s="64"/>
    </row>
    <row r="73" customFormat="false" ht="12.75" hidden="false" customHeight="false" outlineLevel="0" collapsed="false">
      <c r="A73" s="102" t="n">
        <v>45113</v>
      </c>
      <c r="B73" s="109" t="s">
        <v>132</v>
      </c>
      <c r="C73" s="69" t="n">
        <v>5595.88</v>
      </c>
      <c r="E73" s="168"/>
    </row>
    <row r="74" customFormat="false" ht="12.75" hidden="false" customHeight="false" outlineLevel="0" collapsed="false">
      <c r="C74" s="3" t="n">
        <f aca="false">SUM(C72:C73)</f>
        <v>9326.47</v>
      </c>
    </row>
    <row r="75" customFormat="false" ht="12.75" hidden="false" customHeight="false" outlineLevel="0" collapsed="false">
      <c r="A75" s="102" t="n">
        <v>45115</v>
      </c>
      <c r="B75" s="8" t="s">
        <v>135</v>
      </c>
      <c r="E75" s="0" t="n">
        <v>-1356.36</v>
      </c>
    </row>
    <row r="76" customFormat="false" ht="12.75" hidden="false" customHeight="false" outlineLevel="0" collapsed="false">
      <c r="A76" s="102" t="n">
        <v>45115</v>
      </c>
      <c r="B76" s="8" t="s">
        <v>135</v>
      </c>
      <c r="E76" s="0" t="n">
        <v>-1120</v>
      </c>
    </row>
    <row r="77" customFormat="false" ht="12.75" hidden="false" customHeight="false" outlineLevel="0" collapsed="false">
      <c r="B77" s="0" t="s">
        <v>1073</v>
      </c>
    </row>
    <row r="78" customFormat="false" ht="12.75" hidden="false" customHeight="false" outlineLevel="0" collapsed="false">
      <c r="A78" s="102" t="n">
        <v>45116</v>
      </c>
      <c r="B78" s="8" t="s">
        <v>1074</v>
      </c>
      <c r="E78" s="0" t="n">
        <v>-437</v>
      </c>
    </row>
    <row r="79" customFormat="false" ht="12.75" hidden="false" customHeight="false" outlineLevel="0" collapsed="false">
      <c r="A79" s="102" t="n">
        <v>45116</v>
      </c>
      <c r="B79" s="8" t="s">
        <v>135</v>
      </c>
      <c r="D79" s="36"/>
      <c r="E79" s="0" t="n">
        <v>-863</v>
      </c>
    </row>
    <row r="80" customFormat="false" ht="12.75" hidden="false" customHeight="false" outlineLevel="0" collapsed="false">
      <c r="A80" s="102" t="n">
        <v>45119</v>
      </c>
      <c r="B80" s="8" t="s">
        <v>418</v>
      </c>
      <c r="D80" s="36"/>
      <c r="E80" s="0" t="n">
        <v>-146.89</v>
      </c>
    </row>
    <row r="81" customFormat="false" ht="12.75" hidden="false" customHeight="false" outlineLevel="0" collapsed="false">
      <c r="A81" s="102" t="n">
        <v>45119</v>
      </c>
      <c r="B81" s="8" t="s">
        <v>661</v>
      </c>
      <c r="E81" s="0" t="n">
        <v>-150</v>
      </c>
    </row>
    <row r="82" customFormat="false" ht="12.75" hidden="false" customHeight="false" outlineLevel="0" collapsed="false">
      <c r="A82" s="102" t="n">
        <v>45120</v>
      </c>
      <c r="B82" s="8" t="s">
        <v>661</v>
      </c>
      <c r="E82" s="0" t="n">
        <v>-150</v>
      </c>
    </row>
    <row r="83" customFormat="false" ht="12.75" hidden="false" customHeight="false" outlineLevel="0" collapsed="false">
      <c r="A83" s="102" t="n">
        <v>45121</v>
      </c>
      <c r="B83" s="8" t="s">
        <v>661</v>
      </c>
      <c r="E83" s="0" t="n">
        <v>-150</v>
      </c>
    </row>
    <row r="84" customFormat="false" ht="12.75" hidden="false" customHeight="false" outlineLevel="0" collapsed="false">
      <c r="A84" s="102" t="n">
        <v>45124</v>
      </c>
      <c r="B84" s="8" t="s">
        <v>661</v>
      </c>
      <c r="E84" s="0" t="n">
        <v>-150</v>
      </c>
    </row>
    <row r="85" customFormat="false" ht="12.75" hidden="false" customHeight="false" outlineLevel="0" collapsed="false">
      <c r="A85" s="102" t="n">
        <v>45125</v>
      </c>
      <c r="B85" s="8" t="s">
        <v>661</v>
      </c>
      <c r="E85" s="0" t="n">
        <v>-160</v>
      </c>
    </row>
    <row r="86" customFormat="false" ht="12.75" hidden="false" customHeight="false" outlineLevel="0" collapsed="false">
      <c r="A86" s="102" t="n">
        <v>45129</v>
      </c>
      <c r="B86" s="8" t="s">
        <v>418</v>
      </c>
      <c r="E86" s="0" t="n">
        <v>-20.06</v>
      </c>
    </row>
    <row r="87" customFormat="false" ht="12.75" hidden="false" customHeight="false" outlineLevel="0" collapsed="false">
      <c r="A87" s="102" t="n">
        <v>45130</v>
      </c>
      <c r="B87" s="8" t="s">
        <v>1075</v>
      </c>
      <c r="E87" s="0" t="n">
        <v>-275.54</v>
      </c>
    </row>
    <row r="88" customFormat="false" ht="12.75" hidden="false" customHeight="false" outlineLevel="0" collapsed="false">
      <c r="A88" s="102" t="n">
        <v>45130</v>
      </c>
      <c r="B88" s="8" t="s">
        <v>969</v>
      </c>
      <c r="E88" s="0" t="n">
        <v>-212.45</v>
      </c>
    </row>
    <row r="89" customFormat="false" ht="12.75" hidden="false" customHeight="false" outlineLevel="0" collapsed="false">
      <c r="A89" s="102" t="n">
        <v>45131</v>
      </c>
      <c r="B89" s="8" t="s">
        <v>552</v>
      </c>
      <c r="E89" s="0" t="n">
        <v>-4.57</v>
      </c>
    </row>
    <row r="90" customFormat="false" ht="12.75" hidden="false" customHeight="false" outlineLevel="0" collapsed="false">
      <c r="A90" s="102" t="n">
        <v>45131</v>
      </c>
      <c r="B90" s="8" t="s">
        <v>1076</v>
      </c>
      <c r="E90" s="0" t="n">
        <v>-4.57</v>
      </c>
    </row>
    <row r="91" customFormat="false" ht="12.75" hidden="false" customHeight="false" outlineLevel="0" collapsed="false">
      <c r="A91" s="102" t="n">
        <v>45131</v>
      </c>
      <c r="B91" s="8" t="s">
        <v>554</v>
      </c>
      <c r="E91" s="0" t="n">
        <v>-30.44</v>
      </c>
    </row>
    <row r="92" customFormat="false" ht="12.75" hidden="false" customHeight="false" outlineLevel="0" collapsed="false">
      <c r="D92" s="3" t="s">
        <v>84</v>
      </c>
    </row>
    <row r="111" customFormat="false" ht="12.75" hidden="false" customHeight="false" outlineLevel="0" collapsed="false">
      <c r="A111" s="117" t="s">
        <v>1077</v>
      </c>
      <c r="B111" s="106" t="s">
        <v>139</v>
      </c>
      <c r="C111" s="105" t="n">
        <v>2023</v>
      </c>
      <c r="D111" s="163"/>
      <c r="E111" s="164" t="n">
        <f aca="false">SUM(E112:E120)</f>
        <v>399800.57</v>
      </c>
    </row>
    <row r="112" customFormat="false" ht="12.75" hidden="false" customHeight="false" outlineLevel="0" collapsed="false">
      <c r="A112" s="102" t="n">
        <v>45169</v>
      </c>
      <c r="B112" s="8" t="s">
        <v>77</v>
      </c>
      <c r="C112" s="2"/>
      <c r="D112" s="2"/>
      <c r="E112" s="17" t="n">
        <v>64000</v>
      </c>
    </row>
    <row r="113" customFormat="false" ht="12.75" hidden="false" customHeight="false" outlineLevel="0" collapsed="false">
      <c r="A113" s="102" t="n">
        <v>45169</v>
      </c>
      <c r="B113" s="8" t="s">
        <v>1078</v>
      </c>
      <c r="C113" s="2"/>
      <c r="D113" s="2"/>
      <c r="E113" s="17" t="n">
        <v>53088</v>
      </c>
    </row>
    <row r="114" customFormat="false" ht="12.75" hidden="false" customHeight="false" outlineLevel="0" collapsed="false">
      <c r="A114" s="102" t="n">
        <v>45169</v>
      </c>
      <c r="B114" s="8" t="s">
        <v>309</v>
      </c>
      <c r="C114" s="2"/>
      <c r="D114" s="2"/>
      <c r="E114" s="17" t="n">
        <v>28245.88</v>
      </c>
    </row>
    <row r="115" customFormat="false" ht="12.75" hidden="false" customHeight="false" outlineLevel="0" collapsed="false">
      <c r="A115" s="102" t="n">
        <v>45169</v>
      </c>
      <c r="B115" s="8" t="s">
        <v>310</v>
      </c>
      <c r="C115" s="2"/>
      <c r="D115" s="2"/>
      <c r="E115" s="17" t="n">
        <v>450.49</v>
      </c>
    </row>
    <row r="116" customFormat="false" ht="12.75" hidden="false" customHeight="false" outlineLevel="0" collapsed="false">
      <c r="A116" s="102" t="n">
        <v>45169</v>
      </c>
      <c r="B116" s="8" t="s">
        <v>1015</v>
      </c>
      <c r="C116" s="2" t="n">
        <v>1600</v>
      </c>
      <c r="D116" s="2" t="n">
        <v>111</v>
      </c>
      <c r="E116" s="17" t="n">
        <f aca="false">D116*C116</f>
        <v>177600</v>
      </c>
    </row>
    <row r="117" customFormat="false" ht="12.75" hidden="false" customHeight="false" outlineLevel="0" collapsed="false">
      <c r="A117" s="102" t="n">
        <v>45169</v>
      </c>
      <c r="B117" s="8" t="s">
        <v>1079</v>
      </c>
      <c r="C117" s="167" t="n">
        <v>26.308</v>
      </c>
      <c r="D117" s="2" t="n">
        <v>850</v>
      </c>
      <c r="E117" s="17" t="n">
        <f aca="false">D117*C117</f>
        <v>22361.8</v>
      </c>
    </row>
    <row r="118" customFormat="false" ht="12.75" hidden="false" customHeight="false" outlineLevel="0" collapsed="false">
      <c r="A118" s="102" t="n">
        <v>45169</v>
      </c>
      <c r="B118" s="8" t="s">
        <v>1080</v>
      </c>
      <c r="C118" s="167" t="n">
        <v>28.544</v>
      </c>
      <c r="D118" s="2" t="n">
        <v>100</v>
      </c>
      <c r="E118" s="17" t="n">
        <f aca="false">D118*C118</f>
        <v>2854.4</v>
      </c>
    </row>
    <row r="119" customFormat="false" ht="12.75" hidden="false" customHeight="false" outlineLevel="0" collapsed="false">
      <c r="A119" s="102" t="n">
        <v>45169</v>
      </c>
      <c r="B119" s="8" t="s">
        <v>155</v>
      </c>
      <c r="C119" s="2"/>
      <c r="D119" s="2"/>
      <c r="E119" s="17" t="n">
        <v>50850</v>
      </c>
    </row>
    <row r="120" customFormat="false" ht="12.75" hidden="false" customHeight="false" outlineLevel="0" collapsed="false">
      <c r="A120" s="102"/>
      <c r="B120" s="8" t="s">
        <v>156</v>
      </c>
      <c r="C120" s="2"/>
      <c r="D120" s="2"/>
      <c r="E120" s="17" t="n">
        <v>350</v>
      </c>
    </row>
    <row r="121" customFormat="false" ht="12.75" hidden="false" customHeight="false" outlineLevel="0" collapsed="false">
      <c r="C121" s="3" t="str">
        <f aca="false">A111</f>
        <v>AĞUSTOS</v>
      </c>
      <c r="D121" s="18" t="s">
        <v>159</v>
      </c>
      <c r="E121" s="64" t="n">
        <f aca="false">H13</f>
        <v>-21230.35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18" t="s">
        <v>158</v>
      </c>
      <c r="E123" s="8" t="n">
        <f aca="false">SUM(E112:E122)</f>
        <v>378570.22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95511"/>
    <pageSetUpPr fitToPage="false"/>
  </sheetPr>
  <dimension ref="A1:I123"/>
  <sheetViews>
    <sheetView showFormulas="false" showGridLines="true" showRowColHeaders="true" showZeros="true" rightToLeft="false" tabSelected="false" showOutlineSymbols="true" defaultGridColor="true" view="normal" topLeftCell="A1" colorId="64" zoomScale="170" zoomScaleNormal="170" zoomScalePageLayoutView="100" workbookViewId="0">
      <selection pane="topLeft" activeCell="A1" activeCellId="0" sqref="A1"/>
    </sheetView>
  </sheetViews>
  <sheetFormatPr defaultColWidth="12.2929687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3"/>
    <col collapsed="false" customWidth="true" hidden="false" outlineLevel="0" max="4" min="4" style="0" width="10.14"/>
    <col collapsed="false" customWidth="true" hidden="false" outlineLevel="0" max="5" min="5" style="0" width="10.86"/>
    <col collapsed="false" customWidth="true" hidden="false" outlineLevel="0" max="6" min="6" style="0" width="9.43"/>
    <col collapsed="false" customWidth="true" hidden="false" outlineLevel="0" max="8" min="7" style="0" width="10.14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E1" s="194"/>
      <c r="F1" s="194" t="s">
        <v>28</v>
      </c>
      <c r="G1" s="194" t="s">
        <v>29</v>
      </c>
      <c r="H1" s="194" t="s">
        <v>3</v>
      </c>
    </row>
    <row r="2" customFormat="false" ht="12.75" hidden="false" customHeight="false" outlineLevel="0" collapsed="false">
      <c r="A2" s="3" t="s">
        <v>1081</v>
      </c>
      <c r="C2" s="81" t="s">
        <v>67</v>
      </c>
      <c r="D2" s="311" t="n">
        <f aca="false">SUM(D4:D34)</f>
        <v>67911</v>
      </c>
      <c r="E2" s="311" t="n">
        <f aca="false">SUM(E4:E33)</f>
        <v>-35277.64</v>
      </c>
      <c r="F2" s="311" t="n">
        <f aca="false">SUM(F4:F35)</f>
        <v>70250</v>
      </c>
      <c r="G2" s="311" t="n">
        <f aca="false">SUM(G4:G35)</f>
        <v>-42110.31</v>
      </c>
      <c r="H2" s="311" t="n">
        <f aca="false">F2+G2</f>
        <v>28139.69</v>
      </c>
    </row>
    <row r="3" customFormat="false" ht="12.75" hidden="false" customHeight="false" outlineLevel="0" collapsed="false">
      <c r="B3" s="18"/>
      <c r="H3" s="64"/>
    </row>
    <row r="4" customFormat="false" ht="12.75" hidden="false" customHeight="false" outlineLevel="0" collapsed="false">
      <c r="B4" s="103" t="s">
        <v>80</v>
      </c>
      <c r="C4" s="103"/>
      <c r="D4" s="103"/>
      <c r="E4" s="64" t="n">
        <v>-400</v>
      </c>
      <c r="G4" s="64" t="n">
        <v>-400</v>
      </c>
      <c r="H4" s="64" t="n">
        <f aca="false">H3+F4+G4</f>
        <v>-400</v>
      </c>
    </row>
    <row r="5" customFormat="false" ht="12.75" hidden="false" customHeight="false" outlineLevel="0" collapsed="false">
      <c r="B5" s="103" t="s">
        <v>81</v>
      </c>
      <c r="C5" s="103"/>
      <c r="D5" s="103"/>
      <c r="E5" s="64" t="n">
        <v>-500</v>
      </c>
      <c r="G5" s="64" t="n">
        <v>-198</v>
      </c>
      <c r="H5" s="64" t="n">
        <f aca="false">H4+F5+G5</f>
        <v>-598</v>
      </c>
    </row>
    <row r="6" customFormat="false" ht="12.75" hidden="false" customHeight="false" outlineLevel="0" collapsed="false">
      <c r="B6" s="103" t="s">
        <v>1082</v>
      </c>
      <c r="C6" s="103"/>
      <c r="D6" s="103"/>
      <c r="E6" s="64" t="n">
        <v>-250</v>
      </c>
      <c r="G6" s="64" t="n">
        <v>-254</v>
      </c>
      <c r="H6" s="64" t="n">
        <f aca="false">H5+F6+G6</f>
        <v>-852</v>
      </c>
    </row>
    <row r="7" customFormat="false" ht="12.75" hidden="false" customHeight="false" outlineLevel="0" collapsed="false">
      <c r="A7" s="170" t="n">
        <v>45112</v>
      </c>
      <c r="B7" s="103" t="s">
        <v>1083</v>
      </c>
      <c r="C7" s="103"/>
      <c r="D7" s="103"/>
      <c r="E7" s="168"/>
      <c r="G7" s="64" t="n">
        <v>-3500</v>
      </c>
      <c r="H7" s="64" t="n">
        <f aca="false">H6+F7+G7</f>
        <v>-4352</v>
      </c>
    </row>
    <row r="8" customFormat="false" ht="12.75" hidden="false" customHeight="false" outlineLevel="0" collapsed="false">
      <c r="A8" s="170" t="n">
        <v>45112</v>
      </c>
      <c r="B8" s="103" t="s">
        <v>1084</v>
      </c>
      <c r="C8" s="103"/>
      <c r="D8" s="103"/>
      <c r="E8" s="168"/>
      <c r="G8" s="64" t="n">
        <v>-3500</v>
      </c>
      <c r="H8" s="64" t="n">
        <f aca="false">H7+F8+G8</f>
        <v>-7852</v>
      </c>
    </row>
    <row r="9" customFormat="false" ht="12.75" hidden="false" customHeight="false" outlineLevel="0" collapsed="false">
      <c r="B9" s="183" t="s">
        <v>72</v>
      </c>
      <c r="E9" s="64" t="n">
        <f aca="false">D47*-1</f>
        <v>-32.7</v>
      </c>
      <c r="G9" s="64" t="n">
        <f aca="false">E9</f>
        <v>-32.7</v>
      </c>
      <c r="H9" s="64" t="n">
        <f aca="false">H8+F9+G9</f>
        <v>-7884.7</v>
      </c>
    </row>
    <row r="10" customFormat="false" ht="12.75" hidden="false" customHeight="false" outlineLevel="0" collapsed="false">
      <c r="A10" s="170" t="n">
        <v>45112</v>
      </c>
      <c r="B10" s="183" t="s">
        <v>68</v>
      </c>
      <c r="E10" s="64" t="n">
        <f aca="false">E53</f>
        <v>-6143.73</v>
      </c>
      <c r="F10" s="64"/>
      <c r="G10" s="64" t="n">
        <v>-6143.73</v>
      </c>
      <c r="H10" s="64" t="n">
        <f aca="false">H9+F10+G10</f>
        <v>-14028.43</v>
      </c>
    </row>
    <row r="11" customFormat="false" ht="12.75" hidden="false" customHeight="false" outlineLevel="0" collapsed="false">
      <c r="A11" s="170" t="n">
        <v>45111</v>
      </c>
      <c r="B11" s="183" t="s">
        <v>69</v>
      </c>
      <c r="E11" s="64" t="n">
        <f aca="false">E69</f>
        <v>-9326.47</v>
      </c>
      <c r="H11" s="64" t="n">
        <f aca="false">H10+F11+G11</f>
        <v>-14028.43</v>
      </c>
    </row>
    <row r="12" customFormat="false" ht="12.75" hidden="false" customHeight="false" outlineLevel="0" collapsed="false">
      <c r="A12" s="170" t="n">
        <v>45111</v>
      </c>
      <c r="B12" s="183" t="s">
        <v>1085</v>
      </c>
      <c r="E12" s="64"/>
      <c r="G12" s="64" t="n">
        <v>-3730.59</v>
      </c>
      <c r="H12" s="64" t="n">
        <f aca="false">H11+F12+G12</f>
        <v>-17759.02</v>
      </c>
    </row>
    <row r="13" customFormat="false" ht="12.75" hidden="false" customHeight="false" outlineLevel="0" collapsed="false">
      <c r="A13" s="170" t="n">
        <v>45113</v>
      </c>
      <c r="B13" s="324" t="s">
        <v>1086</v>
      </c>
      <c r="E13" s="64"/>
      <c r="G13" s="64" t="n">
        <v>-5595.88</v>
      </c>
      <c r="H13" s="64" t="n">
        <f aca="false">H12+F13+G13</f>
        <v>-23354.9</v>
      </c>
      <c r="I13" s="287"/>
    </row>
    <row r="14" customFormat="false" ht="12.75" hidden="false" customHeight="false" outlineLevel="0" collapsed="false">
      <c r="A14" s="102" t="n">
        <v>45113</v>
      </c>
      <c r="B14" s="103" t="s">
        <v>1087</v>
      </c>
      <c r="C14" s="103" t="s">
        <v>395</v>
      </c>
      <c r="D14" s="103"/>
      <c r="E14" s="64" t="n">
        <v>-5375</v>
      </c>
      <c r="G14" s="64" t="n">
        <v>-5375</v>
      </c>
      <c r="H14" s="64" t="n">
        <f aca="false">H13+F14+G14</f>
        <v>-28729.9</v>
      </c>
    </row>
    <row r="15" customFormat="false" ht="12.75" hidden="false" customHeight="false" outlineLevel="0" collapsed="false">
      <c r="A15" s="102" t="n">
        <v>45113</v>
      </c>
      <c r="B15" s="103" t="s">
        <v>1087</v>
      </c>
      <c r="C15" s="103"/>
      <c r="D15" s="103"/>
      <c r="E15" s="64" t="n">
        <v>-2125</v>
      </c>
      <c r="G15" s="64" t="n">
        <v>-2125</v>
      </c>
      <c r="H15" s="64" t="n">
        <f aca="false">H14+F15+G15</f>
        <v>-30854.9</v>
      </c>
    </row>
    <row r="16" customFormat="false" ht="12.75" hidden="false" customHeight="false" outlineLevel="0" collapsed="false">
      <c r="A16" s="170" t="n">
        <v>45112</v>
      </c>
      <c r="B16" s="103" t="s">
        <v>1088</v>
      </c>
      <c r="C16" s="103"/>
      <c r="D16" s="103"/>
      <c r="E16" s="64" t="n">
        <v>-674.74</v>
      </c>
      <c r="F16" s="168"/>
      <c r="G16" s="64" t="n">
        <v>-955.41</v>
      </c>
      <c r="H16" s="64" t="n">
        <f aca="false">H15+F16+G16</f>
        <v>-31810.31</v>
      </c>
    </row>
    <row r="17" customFormat="false" ht="12.75" hidden="false" customHeight="false" outlineLevel="0" collapsed="false">
      <c r="B17" s="103" t="s">
        <v>75</v>
      </c>
      <c r="C17" s="103" t="s">
        <v>332</v>
      </c>
      <c r="D17" s="103"/>
      <c r="E17" s="64" t="n">
        <v>-150</v>
      </c>
      <c r="F17" s="168"/>
      <c r="G17" s="64" t="n">
        <v>0</v>
      </c>
      <c r="H17" s="64" t="n">
        <f aca="false">H16+F17+G17</f>
        <v>-31810.31</v>
      </c>
    </row>
    <row r="18" customFormat="false" ht="12.75" hidden="false" customHeight="false" outlineLevel="0" collapsed="false">
      <c r="B18" s="108" t="s">
        <v>73</v>
      </c>
      <c r="C18" s="108"/>
      <c r="D18" s="108"/>
      <c r="E18" s="64" t="n">
        <v>-300</v>
      </c>
      <c r="F18" s="168"/>
      <c r="G18" s="64" t="n">
        <v>0</v>
      </c>
      <c r="H18" s="64" t="n">
        <f aca="false">H17+F18+G18</f>
        <v>-31810.31</v>
      </c>
    </row>
    <row r="19" customFormat="false" ht="12.75" hidden="false" customHeight="false" outlineLevel="0" collapsed="false">
      <c r="B19" s="108" t="s">
        <v>74</v>
      </c>
      <c r="C19" s="108"/>
      <c r="D19" s="108"/>
      <c r="E19" s="64" t="n">
        <v>-100</v>
      </c>
      <c r="F19" s="168"/>
      <c r="G19" s="64" t="n">
        <v>0</v>
      </c>
      <c r="H19" s="64" t="n">
        <f aca="false">H18+F19+G19</f>
        <v>-31810.31</v>
      </c>
    </row>
    <row r="20" customFormat="false" ht="12.75" hidden="false" customHeight="false" outlineLevel="0" collapsed="false">
      <c r="B20" s="0" t="s">
        <v>77</v>
      </c>
      <c r="E20" s="64" t="n">
        <v>-3300</v>
      </c>
      <c r="F20" s="64"/>
      <c r="G20" s="64" t="n">
        <v>-3500</v>
      </c>
      <c r="H20" s="64" t="n">
        <f aca="false">H19+F20+G20</f>
        <v>-35310.31</v>
      </c>
    </row>
    <row r="21" customFormat="false" ht="12.75" hidden="false" customHeight="false" outlineLevel="0" collapsed="false">
      <c r="B21" s="0" t="s">
        <v>78</v>
      </c>
      <c r="E21" s="64" t="n">
        <v>-3300</v>
      </c>
      <c r="F21" s="64"/>
      <c r="G21" s="64" t="n">
        <v>-3500</v>
      </c>
      <c r="H21" s="64" t="n">
        <f aca="false">H20+F21+G21</f>
        <v>-38810.31</v>
      </c>
    </row>
    <row r="22" customFormat="false" ht="12.75" hidden="false" customHeight="false" outlineLevel="0" collapsed="false">
      <c r="B22" s="0" t="s">
        <v>79</v>
      </c>
      <c r="E22" s="64" t="n">
        <v>-3300</v>
      </c>
      <c r="F22" s="64"/>
      <c r="G22" s="64" t="n">
        <v>-3300</v>
      </c>
      <c r="H22" s="64" t="n">
        <f aca="false">H21+F22+G22</f>
        <v>-42110.31</v>
      </c>
    </row>
    <row r="23" customFormat="false" ht="12.75" hidden="false" customHeight="false" outlineLevel="0" collapsed="false">
      <c r="A23" s="102" t="n">
        <v>45122</v>
      </c>
      <c r="B23" s="8" t="s">
        <v>1089</v>
      </c>
      <c r="D23" s="2" t="n">
        <v>50000</v>
      </c>
      <c r="E23" s="168"/>
      <c r="F23" s="64" t="n">
        <v>50000</v>
      </c>
      <c r="G23" s="64"/>
      <c r="H23" s="64" t="n">
        <f aca="false">H22+F23+G23</f>
        <v>7889.69</v>
      </c>
    </row>
    <row r="24" customFormat="false" ht="12.75" hidden="false" customHeight="false" outlineLevel="0" collapsed="false">
      <c r="B24" s="0" t="s">
        <v>2</v>
      </c>
      <c r="D24" s="2" t="n">
        <v>1111</v>
      </c>
      <c r="E24" s="168"/>
      <c r="F24" s="64"/>
      <c r="G24" s="64"/>
      <c r="H24" s="64" t="n">
        <f aca="false">H23+F24+G24</f>
        <v>7889.69</v>
      </c>
    </row>
    <row r="25" customFormat="false" ht="12.75" hidden="false" customHeight="false" outlineLevel="0" collapsed="false">
      <c r="A25" s="102" t="n">
        <v>45119</v>
      </c>
      <c r="B25" s="8" t="s">
        <v>1090</v>
      </c>
      <c r="D25" s="17"/>
      <c r="E25" s="168"/>
      <c r="F25" s="64" t="n">
        <v>3450</v>
      </c>
      <c r="G25" s="64"/>
      <c r="H25" s="64" t="n">
        <f aca="false">H24+F25+G25</f>
        <v>11339.69</v>
      </c>
    </row>
    <row r="26" customFormat="false" ht="12.75" hidden="false" customHeight="false" outlineLevel="0" collapsed="false">
      <c r="B26" s="0" t="s">
        <v>76</v>
      </c>
      <c r="D26" s="191" t="n">
        <v>7500</v>
      </c>
      <c r="F26" s="64" t="n">
        <v>7500</v>
      </c>
      <c r="G26" s="64"/>
      <c r="H26" s="64" t="n">
        <f aca="false">H25+F26+G26</f>
        <v>18839.69</v>
      </c>
    </row>
    <row r="27" customFormat="false" ht="12.75" hidden="false" customHeight="false" outlineLevel="0" collapsed="false">
      <c r="B27" s="0" t="s">
        <v>1091</v>
      </c>
      <c r="D27" s="191" t="n">
        <v>2800</v>
      </c>
      <c r="F27" s="64" t="n">
        <v>2800</v>
      </c>
      <c r="G27" s="64"/>
      <c r="H27" s="64" t="n">
        <f aca="false">H26+F27+G27</f>
        <v>21639.69</v>
      </c>
    </row>
    <row r="28" customFormat="false" ht="12.75" hidden="false" customHeight="false" outlineLevel="0" collapsed="false">
      <c r="B28" s="0" t="s">
        <v>1092</v>
      </c>
      <c r="D28" s="191" t="n">
        <v>6500</v>
      </c>
      <c r="F28" s="64" t="n">
        <v>6500</v>
      </c>
      <c r="G28" s="64"/>
      <c r="H28" s="64" t="n">
        <f aca="false">H27+F28+G28</f>
        <v>28139.69</v>
      </c>
    </row>
    <row r="29" customFormat="false" ht="12.75" hidden="false" customHeight="false" outlineLevel="0" collapsed="false">
      <c r="D29" s="104"/>
      <c r="H29" s="64" t="n">
        <f aca="false">H28+F29+G29</f>
        <v>28139.69</v>
      </c>
    </row>
    <row r="30" customFormat="false" ht="12.75" hidden="false" customHeight="false" outlineLevel="0" collapsed="false">
      <c r="D30" s="104"/>
      <c r="F30" s="64"/>
      <c r="G30" s="64"/>
      <c r="H30" s="64" t="n">
        <f aca="false">H29+F30+G30</f>
        <v>28139.69</v>
      </c>
    </row>
    <row r="31" customFormat="false" ht="12.75" hidden="false" customHeight="false" outlineLevel="0" collapsed="false">
      <c r="A31" s="102"/>
      <c r="D31" s="104"/>
      <c r="H31" s="64"/>
    </row>
    <row r="32" customFormat="false" ht="12.75" hidden="false" customHeight="false" outlineLevel="0" collapsed="false">
      <c r="D32" s="64"/>
      <c r="F32" s="64"/>
      <c r="G32" s="64"/>
      <c r="H32" s="64"/>
    </row>
    <row r="33" customFormat="false" ht="15" hidden="false" customHeight="false" outlineLevel="0" collapsed="false">
      <c r="B33" s="184"/>
      <c r="F33" s="64"/>
      <c r="G33" s="64"/>
      <c r="H33" s="64"/>
    </row>
    <row r="34" customFormat="false" ht="12.75" hidden="false" customHeight="false" outlineLevel="0" collapsed="false">
      <c r="E34" s="64"/>
      <c r="G34" s="64"/>
      <c r="H34" s="64"/>
    </row>
    <row r="35" customFormat="false" ht="12.75" hidden="false" customHeight="false" outlineLevel="0" collapsed="false">
      <c r="B35" s="0" t="s">
        <v>334</v>
      </c>
      <c r="E35" s="64"/>
      <c r="G35" s="64"/>
      <c r="H35" s="64"/>
    </row>
    <row r="36" customFormat="false" ht="12.75" hidden="false" customHeight="false" outlineLevel="0" collapsed="false">
      <c r="A36" s="105" t="s">
        <v>335</v>
      </c>
      <c r="B36" s="105"/>
      <c r="C36" s="105"/>
      <c r="D36" s="105"/>
      <c r="E36" s="163"/>
      <c r="G36" s="64"/>
      <c r="H36" s="64"/>
    </row>
    <row r="37" customFormat="false" ht="12.75" hidden="false" customHeight="false" outlineLevel="0" collapsed="false">
      <c r="A37" s="322"/>
      <c r="B37" s="317"/>
      <c r="C37" s="317"/>
      <c r="D37" s="317"/>
      <c r="E37" s="318"/>
      <c r="H37" s="64"/>
    </row>
    <row r="38" customFormat="false" ht="12.75" hidden="false" customHeight="false" outlineLevel="0" collapsed="false">
      <c r="A38" s="322"/>
      <c r="B38" s="317"/>
      <c r="C38" s="319"/>
      <c r="D38" s="317"/>
      <c r="E38" s="317"/>
      <c r="H38" s="64"/>
    </row>
    <row r="39" customFormat="false" ht="12.75" hidden="false" customHeight="false" outlineLevel="0" collapsed="false">
      <c r="A39" s="322"/>
      <c r="B39" s="317"/>
      <c r="C39" s="319"/>
      <c r="D39" s="317"/>
      <c r="E39" s="317"/>
      <c r="H39" s="64"/>
    </row>
    <row r="40" customFormat="false" ht="12.75" hidden="false" customHeight="false" outlineLevel="0" collapsed="false">
      <c r="A40" s="102"/>
      <c r="C40" s="176"/>
      <c r="H40" s="64"/>
    </row>
    <row r="41" customFormat="false" ht="12.75" hidden="false" customHeight="false" outlineLevel="0" collapsed="false">
      <c r="A41" s="177" t="n">
        <v>44929</v>
      </c>
      <c r="B41" s="178" t="s">
        <v>336</v>
      </c>
      <c r="C41" s="105"/>
      <c r="D41" s="206" t="n">
        <f aca="false">SUM(D42:D49)</f>
        <v>3120.43</v>
      </c>
      <c r="E41" s="206" t="n">
        <f aca="false">SUM(E42:E49)</f>
        <v>1344.7</v>
      </c>
      <c r="H41" s="64"/>
    </row>
    <row r="42" customFormat="false" ht="12.75" hidden="false" customHeight="false" outlineLevel="0" collapsed="false">
      <c r="B42" s="0" t="s">
        <v>930</v>
      </c>
      <c r="D42" s="0" t="n">
        <v>547.27</v>
      </c>
      <c r="E42" s="64"/>
      <c r="F42" s="64"/>
      <c r="G42" s="64"/>
    </row>
    <row r="43" customFormat="false" ht="12.75" hidden="false" customHeight="false" outlineLevel="0" collapsed="false">
      <c r="B43" s="0" t="s">
        <v>338</v>
      </c>
      <c r="D43" s="0" t="n">
        <v>990.96</v>
      </c>
      <c r="E43" s="64" t="n">
        <v>990</v>
      </c>
      <c r="F43" s="64"/>
      <c r="G43" s="64"/>
    </row>
    <row r="44" customFormat="false" ht="12.75" hidden="false" customHeight="false" outlineLevel="0" collapsed="false">
      <c r="B44" s="0" t="s">
        <v>339</v>
      </c>
      <c r="D44" s="0" t="n">
        <v>112.16</v>
      </c>
      <c r="F44" s="64"/>
      <c r="G44" s="64"/>
    </row>
    <row r="45" customFormat="false" ht="12.75" hidden="false" customHeight="false" outlineLevel="0" collapsed="false">
      <c r="B45" s="0" t="s">
        <v>340</v>
      </c>
      <c r="D45" s="0" t="n">
        <v>1115.05</v>
      </c>
      <c r="F45" s="64"/>
      <c r="G45" s="64"/>
    </row>
    <row r="46" customFormat="false" ht="12.75" hidden="false" customHeight="false" outlineLevel="0" collapsed="false">
      <c r="B46" s="0" t="s">
        <v>341</v>
      </c>
      <c r="D46" s="0" t="n">
        <v>322.29</v>
      </c>
      <c r="E46" s="0" t="n">
        <v>322</v>
      </c>
      <c r="F46" s="64"/>
      <c r="G46" s="64"/>
    </row>
    <row r="47" customFormat="false" ht="12.75" hidden="false" customHeight="false" outlineLevel="0" collapsed="false">
      <c r="B47" s="0" t="s">
        <v>342</v>
      </c>
      <c r="C47" s="108"/>
      <c r="D47" s="108" t="n">
        <v>32.7</v>
      </c>
      <c r="E47" s="0" t="n">
        <v>32.7</v>
      </c>
      <c r="F47" s="64"/>
      <c r="G47" s="64"/>
    </row>
    <row r="48" customFormat="false" ht="12.75" hidden="false" customHeight="false" outlineLevel="0" collapsed="false">
      <c r="C48" s="108"/>
      <c r="E48" s="108"/>
      <c r="F48" s="64"/>
      <c r="G48" s="64"/>
    </row>
    <row r="49" customFormat="false" ht="12.75" hidden="false" customHeight="false" outlineLevel="0" collapsed="false">
      <c r="C49" s="108"/>
      <c r="D49" s="108"/>
      <c r="E49" s="168"/>
      <c r="F49" s="64"/>
      <c r="G49" s="64"/>
    </row>
    <row r="51" customFormat="false" ht="12.75" hidden="false" customHeight="false" outlineLevel="0" collapsed="false">
      <c r="B51" s="17"/>
    </row>
    <row r="52" customFormat="false" ht="12.75" hidden="false" customHeight="false" outlineLevel="0" collapsed="false">
      <c r="B52" s="104"/>
    </row>
    <row r="53" customFormat="false" ht="12.75" hidden="false" customHeight="false" outlineLevel="0" collapsed="false">
      <c r="A53" s="105"/>
      <c r="B53" s="106" t="s">
        <v>83</v>
      </c>
      <c r="C53" s="105"/>
      <c r="D53" s="163"/>
      <c r="E53" s="164" t="n">
        <f aca="false">SUM(E54:E66)</f>
        <v>-6143.73</v>
      </c>
    </row>
    <row r="54" customFormat="false" ht="12.75" hidden="false" customHeight="false" outlineLevel="0" collapsed="false">
      <c r="A54" s="102" t="n">
        <v>44873</v>
      </c>
      <c r="B54" s="8" t="s">
        <v>1064</v>
      </c>
      <c r="C54" s="108"/>
      <c r="D54" s="108" t="s">
        <v>372</v>
      </c>
      <c r="E54" s="168" t="n">
        <v>-1111.11</v>
      </c>
      <c r="G54" s="64"/>
      <c r="H54" s="64"/>
    </row>
    <row r="55" customFormat="false" ht="12.75" hidden="false" customHeight="false" outlineLevel="0" collapsed="false">
      <c r="A55" s="102" t="n">
        <v>44995</v>
      </c>
      <c r="B55" s="8" t="s">
        <v>781</v>
      </c>
      <c r="C55" s="0" t="n">
        <v>613.91</v>
      </c>
      <c r="D55" s="36" t="s">
        <v>1093</v>
      </c>
      <c r="E55" s="168" t="n">
        <v>-61.39</v>
      </c>
      <c r="F55" s="64"/>
      <c r="G55" s="64"/>
      <c r="H55" s="64"/>
    </row>
    <row r="56" customFormat="false" ht="12.75" hidden="false" customHeight="false" outlineLevel="0" collapsed="false">
      <c r="A56" s="102" t="n">
        <v>44995</v>
      </c>
      <c r="B56" s="8" t="s">
        <v>1038</v>
      </c>
      <c r="C56" s="0" t="n">
        <v>2258.94</v>
      </c>
      <c r="D56" s="36" t="s">
        <v>523</v>
      </c>
      <c r="E56" s="168" t="n">
        <v>-376.49</v>
      </c>
      <c r="F56" s="64"/>
      <c r="G56" s="64"/>
      <c r="H56" s="64"/>
    </row>
    <row r="57" customFormat="false" ht="12.75" hidden="false" customHeight="false" outlineLevel="0" collapsed="false">
      <c r="A57" s="102" t="n">
        <v>45043</v>
      </c>
      <c r="B57" s="108" t="s">
        <v>959</v>
      </c>
      <c r="C57" s="108" t="n">
        <v>3299</v>
      </c>
      <c r="D57" s="36" t="s">
        <v>615</v>
      </c>
      <c r="E57" s="168" t="n">
        <v>-549.83</v>
      </c>
      <c r="F57" s="64"/>
      <c r="G57" s="64"/>
      <c r="H57" s="64"/>
    </row>
    <row r="58" customFormat="false" ht="12.75" hidden="false" customHeight="false" outlineLevel="0" collapsed="false">
      <c r="A58" s="102" t="n">
        <v>45043</v>
      </c>
      <c r="B58" s="108" t="s">
        <v>733</v>
      </c>
      <c r="C58" s="108" t="n">
        <v>10764.57</v>
      </c>
      <c r="D58" s="36" t="s">
        <v>617</v>
      </c>
      <c r="E58" s="168" t="n">
        <v>-1196.06</v>
      </c>
      <c r="F58" s="64"/>
      <c r="G58" s="64"/>
      <c r="H58" s="64"/>
    </row>
    <row r="59" customFormat="false" ht="12.75" hidden="false" customHeight="false" outlineLevel="0" collapsed="false">
      <c r="A59" s="102" t="n">
        <v>45044</v>
      </c>
      <c r="B59" s="8" t="s">
        <v>961</v>
      </c>
      <c r="C59" s="108" t="n">
        <v>3123.29</v>
      </c>
      <c r="D59" s="209" t="s">
        <v>615</v>
      </c>
      <c r="E59" s="168" t="n">
        <v>-520.55</v>
      </c>
      <c r="F59" s="64"/>
      <c r="G59" s="64"/>
      <c r="H59" s="64"/>
    </row>
    <row r="60" customFormat="false" ht="12.75" hidden="false" customHeight="false" outlineLevel="0" collapsed="false">
      <c r="A60" s="102" t="n">
        <v>45077</v>
      </c>
      <c r="B60" s="108" t="s">
        <v>992</v>
      </c>
      <c r="C60" s="108" t="n">
        <v>148.6</v>
      </c>
      <c r="D60" s="209" t="s">
        <v>1094</v>
      </c>
      <c r="E60" s="168" t="n">
        <v>-37.15</v>
      </c>
      <c r="F60" s="64"/>
      <c r="G60" s="64"/>
      <c r="H60" s="64"/>
    </row>
    <row r="61" customFormat="false" ht="12.75" hidden="false" customHeight="false" outlineLevel="0" collapsed="false">
      <c r="A61" s="102" t="n">
        <v>45077</v>
      </c>
      <c r="B61" s="108" t="s">
        <v>994</v>
      </c>
      <c r="C61" s="108" t="n">
        <v>244.8</v>
      </c>
      <c r="D61" s="209" t="s">
        <v>1094</v>
      </c>
      <c r="E61" s="168" t="n">
        <v>-61.2</v>
      </c>
      <c r="F61" s="64"/>
      <c r="G61" s="64"/>
      <c r="H61" s="64"/>
    </row>
    <row r="62" customFormat="false" ht="12.75" hidden="false" customHeight="false" outlineLevel="0" collapsed="false">
      <c r="A62" s="102" t="n">
        <v>45077</v>
      </c>
      <c r="B62" s="108" t="s">
        <v>995</v>
      </c>
      <c r="C62" s="108" t="n">
        <v>1204.5</v>
      </c>
      <c r="D62" s="209" t="s">
        <v>1094</v>
      </c>
      <c r="E62" s="168" t="n">
        <v>-301.13</v>
      </c>
      <c r="F62" s="64"/>
      <c r="G62" s="64"/>
      <c r="H62" s="64"/>
    </row>
    <row r="63" customFormat="false" ht="12.75" hidden="false" customHeight="false" outlineLevel="0" collapsed="false">
      <c r="A63" s="102" t="n">
        <v>45077</v>
      </c>
      <c r="B63" s="8" t="s">
        <v>996</v>
      </c>
      <c r="C63" s="108" t="n">
        <v>532.6</v>
      </c>
      <c r="D63" s="209" t="s">
        <v>1094</v>
      </c>
      <c r="E63" s="168" t="n">
        <v>-133.15</v>
      </c>
      <c r="F63" s="64"/>
      <c r="G63" s="64"/>
      <c r="H63" s="64"/>
    </row>
    <row r="64" customFormat="false" ht="12.75" hidden="false" customHeight="false" outlineLevel="0" collapsed="false">
      <c r="A64" s="102" t="n">
        <v>45078</v>
      </c>
      <c r="B64" s="108" t="s">
        <v>934</v>
      </c>
      <c r="D64" s="209" t="s">
        <v>654</v>
      </c>
      <c r="E64" s="168" t="n">
        <v>-666.67</v>
      </c>
      <c r="F64" s="64"/>
    </row>
    <row r="65" customFormat="false" ht="12.75" hidden="false" customHeight="false" outlineLevel="0" collapsed="false">
      <c r="A65" s="102" t="n">
        <v>45091</v>
      </c>
      <c r="B65" s="108" t="s">
        <v>1095</v>
      </c>
      <c r="E65" s="168" t="n">
        <v>-1129</v>
      </c>
      <c r="F65" s="64"/>
    </row>
    <row r="66" customFormat="false" ht="12.75" hidden="false" customHeight="false" outlineLevel="0" collapsed="false">
      <c r="A66" s="102"/>
      <c r="B66" s="108"/>
      <c r="D66" s="3" t="s">
        <v>84</v>
      </c>
      <c r="E66" s="168"/>
      <c r="F66" s="64"/>
    </row>
    <row r="67" customFormat="false" ht="12.75" hidden="false" customHeight="false" outlineLevel="0" collapsed="false">
      <c r="D67" s="36"/>
    </row>
    <row r="69" customFormat="false" ht="12.75" hidden="false" customHeight="false" outlineLevel="0" collapsed="false">
      <c r="A69" s="105"/>
      <c r="B69" s="106" t="s">
        <v>85</v>
      </c>
      <c r="C69" s="105"/>
      <c r="D69" s="105"/>
      <c r="E69" s="164" t="n">
        <f aca="false">SUM(E70:E97)</f>
        <v>-9326.47</v>
      </c>
    </row>
    <row r="70" customFormat="false" ht="12.75" hidden="false" customHeight="false" outlineLevel="0" collapsed="false">
      <c r="A70" s="102" t="n">
        <v>45026</v>
      </c>
      <c r="B70" s="8" t="s">
        <v>962</v>
      </c>
      <c r="C70" s="0" t="n">
        <v>1140.99</v>
      </c>
      <c r="D70" s="8" t="s">
        <v>938</v>
      </c>
      <c r="E70" s="0" t="n">
        <v>-190.17</v>
      </c>
      <c r="F70" s="64"/>
      <c r="G70" s="64"/>
      <c r="H70" s="64"/>
    </row>
    <row r="71" customFormat="false" ht="12.75" hidden="false" customHeight="false" outlineLevel="0" collapsed="false">
      <c r="A71" s="102" t="n">
        <v>45070</v>
      </c>
      <c r="B71" s="108" t="s">
        <v>1096</v>
      </c>
      <c r="C71" s="108"/>
      <c r="D71" s="108"/>
      <c r="E71" s="168" t="n">
        <v>-350</v>
      </c>
      <c r="F71" s="64"/>
      <c r="G71" s="64"/>
      <c r="H71" s="64"/>
    </row>
    <row r="72" customFormat="false" ht="12.75" hidden="false" customHeight="false" outlineLevel="0" collapsed="false">
      <c r="A72" s="102" t="n">
        <v>45070</v>
      </c>
      <c r="B72" s="108" t="s">
        <v>1097</v>
      </c>
      <c r="C72" s="108"/>
      <c r="D72" s="108"/>
      <c r="E72" s="168" t="n">
        <v>-63.15</v>
      </c>
      <c r="F72" s="64"/>
      <c r="G72" s="64"/>
      <c r="H72" s="64"/>
    </row>
    <row r="73" customFormat="false" ht="12.75" hidden="false" customHeight="false" outlineLevel="0" collapsed="false">
      <c r="A73" s="102" t="n">
        <v>45072</v>
      </c>
      <c r="B73" s="108" t="s">
        <v>1098</v>
      </c>
      <c r="C73" s="108"/>
      <c r="D73" s="108"/>
      <c r="E73" s="168" t="n">
        <v>-200</v>
      </c>
      <c r="F73" s="64"/>
      <c r="G73" s="64"/>
      <c r="H73" s="64"/>
    </row>
    <row r="74" customFormat="false" ht="12.75" hidden="false" customHeight="false" outlineLevel="0" collapsed="false">
      <c r="A74" s="102" t="n">
        <v>45075</v>
      </c>
      <c r="B74" s="108" t="s">
        <v>1098</v>
      </c>
      <c r="C74" s="108"/>
      <c r="D74" s="108"/>
      <c r="E74" s="168" t="n">
        <v>-150</v>
      </c>
      <c r="F74" s="64"/>
      <c r="G74" s="64"/>
      <c r="H74" s="64"/>
    </row>
    <row r="75" customFormat="false" ht="12.75" hidden="false" customHeight="false" outlineLevel="0" collapsed="false">
      <c r="A75" s="102" t="n">
        <v>45077</v>
      </c>
      <c r="B75" s="109" t="s">
        <v>1098</v>
      </c>
      <c r="E75" s="168" t="n">
        <v>-225</v>
      </c>
    </row>
    <row r="76" customFormat="false" ht="12.75" hidden="false" customHeight="false" outlineLevel="0" collapsed="false">
      <c r="B76" s="108" t="s">
        <v>278</v>
      </c>
      <c r="C76" s="0" t="n">
        <v>-1207</v>
      </c>
    </row>
    <row r="77" customFormat="false" ht="12.75" hidden="false" customHeight="false" outlineLevel="0" collapsed="false">
      <c r="A77" s="170" t="n">
        <v>45080</v>
      </c>
      <c r="B77" s="108" t="s">
        <v>1098</v>
      </c>
      <c r="E77" s="168" t="n">
        <v>-180</v>
      </c>
    </row>
    <row r="78" customFormat="false" ht="12.75" hidden="false" customHeight="false" outlineLevel="0" collapsed="false">
      <c r="A78" s="170" t="n">
        <v>45080</v>
      </c>
      <c r="B78" s="108" t="s">
        <v>1099</v>
      </c>
      <c r="E78" s="168" t="n">
        <v>-850</v>
      </c>
    </row>
    <row r="79" customFormat="false" ht="12.75" hidden="false" customHeight="false" outlineLevel="0" collapsed="false">
      <c r="A79" s="170" t="n">
        <v>45082</v>
      </c>
      <c r="B79" s="108" t="s">
        <v>1100</v>
      </c>
      <c r="E79" s="168" t="n">
        <v>-112.11</v>
      </c>
    </row>
    <row r="80" customFormat="false" ht="12.75" hidden="false" customHeight="false" outlineLevel="0" collapsed="false">
      <c r="A80" s="170" t="n">
        <v>45082</v>
      </c>
      <c r="B80" s="108" t="s">
        <v>1098</v>
      </c>
      <c r="E80" s="168" t="n">
        <v>-150</v>
      </c>
    </row>
    <row r="81" customFormat="false" ht="12.75" hidden="false" customHeight="false" outlineLevel="0" collapsed="false">
      <c r="A81" s="170" t="n">
        <v>45084</v>
      </c>
      <c r="B81" s="108" t="s">
        <v>1098</v>
      </c>
      <c r="D81" s="36"/>
      <c r="E81" s="168" t="n">
        <v>-250</v>
      </c>
    </row>
    <row r="82" customFormat="false" ht="12.75" hidden="false" customHeight="false" outlineLevel="0" collapsed="false">
      <c r="A82" s="170" t="n">
        <v>45085</v>
      </c>
      <c r="B82" s="108" t="s">
        <v>1098</v>
      </c>
      <c r="D82" s="36"/>
      <c r="E82" s="168" t="n">
        <v>-250</v>
      </c>
    </row>
    <row r="83" customFormat="false" ht="12.75" hidden="false" customHeight="false" outlineLevel="0" collapsed="false">
      <c r="A83" s="170" t="n">
        <v>45086</v>
      </c>
      <c r="B83" s="8" t="s">
        <v>1101</v>
      </c>
      <c r="E83" s="168" t="n">
        <v>-1420</v>
      </c>
    </row>
    <row r="84" customFormat="false" ht="12.75" hidden="false" customHeight="false" outlineLevel="0" collapsed="false">
      <c r="A84" s="170" t="n">
        <v>45087</v>
      </c>
      <c r="B84" s="8" t="s">
        <v>1102</v>
      </c>
      <c r="E84" s="168" t="n">
        <v>-242.56</v>
      </c>
    </row>
    <row r="85" customFormat="false" ht="12.75" hidden="false" customHeight="false" outlineLevel="0" collapsed="false">
      <c r="A85" s="170" t="n">
        <v>45089</v>
      </c>
      <c r="B85" s="8" t="s">
        <v>1103</v>
      </c>
      <c r="E85" s="168" t="n">
        <v>-167.19</v>
      </c>
    </row>
    <row r="86" customFormat="false" ht="12.75" hidden="false" customHeight="false" outlineLevel="0" collapsed="false">
      <c r="A86" s="170" t="n">
        <v>45091</v>
      </c>
      <c r="B86" s="8" t="s">
        <v>1098</v>
      </c>
      <c r="E86" s="168" t="n">
        <v>-200</v>
      </c>
    </row>
    <row r="87" customFormat="false" ht="12.75" hidden="false" customHeight="false" outlineLevel="0" collapsed="false">
      <c r="A87" s="170" t="n">
        <v>45091</v>
      </c>
      <c r="B87" s="8" t="s">
        <v>1100</v>
      </c>
      <c r="E87" s="168" t="n">
        <v>-61.41</v>
      </c>
    </row>
    <row r="88" customFormat="false" ht="12.75" hidden="false" customHeight="false" outlineLevel="0" collapsed="false">
      <c r="A88" s="170" t="n">
        <v>45092</v>
      </c>
      <c r="B88" s="8" t="s">
        <v>1098</v>
      </c>
      <c r="E88" s="168" t="n">
        <v>-200</v>
      </c>
    </row>
    <row r="89" customFormat="false" ht="12.75" hidden="false" customHeight="false" outlineLevel="0" collapsed="false">
      <c r="A89" s="102" t="n">
        <v>45095</v>
      </c>
      <c r="B89" s="8" t="s">
        <v>1104</v>
      </c>
      <c r="E89" s="168" t="n">
        <v>-257</v>
      </c>
    </row>
    <row r="90" customFormat="false" ht="12.75" hidden="false" customHeight="false" outlineLevel="0" collapsed="false">
      <c r="A90" s="102" t="n">
        <v>45096</v>
      </c>
      <c r="B90" s="8" t="s">
        <v>661</v>
      </c>
      <c r="E90" s="168" t="n">
        <v>-250</v>
      </c>
    </row>
    <row r="91" customFormat="false" ht="12.75" hidden="false" customHeight="false" outlineLevel="0" collapsed="false">
      <c r="A91" s="102" t="n">
        <v>45097</v>
      </c>
      <c r="B91" s="8" t="s">
        <v>1105</v>
      </c>
      <c r="E91" s="168" t="n">
        <v>-110</v>
      </c>
    </row>
    <row r="92" customFormat="false" ht="12.75" hidden="false" customHeight="false" outlineLevel="0" collapsed="false">
      <c r="A92" s="102" t="n">
        <v>45098</v>
      </c>
      <c r="B92" s="8" t="s">
        <v>1106</v>
      </c>
      <c r="E92" s="168" t="n">
        <v>-405</v>
      </c>
    </row>
    <row r="93" customFormat="false" ht="12.75" hidden="false" customHeight="false" outlineLevel="0" collapsed="false">
      <c r="A93" s="102" t="n">
        <v>45099</v>
      </c>
      <c r="B93" s="8" t="s">
        <v>1107</v>
      </c>
      <c r="E93" s="168" t="n">
        <v>-820</v>
      </c>
    </row>
    <row r="94" customFormat="false" ht="12.75" hidden="false" customHeight="false" outlineLevel="0" collapsed="false">
      <c r="A94" s="102" t="n">
        <v>45099</v>
      </c>
      <c r="B94" s="8" t="s">
        <v>1108</v>
      </c>
      <c r="E94" s="168" t="n">
        <v>-599</v>
      </c>
    </row>
    <row r="95" customFormat="false" ht="12.75" hidden="false" customHeight="false" outlineLevel="0" collapsed="false">
      <c r="A95" s="102" t="n">
        <v>45099</v>
      </c>
      <c r="B95" s="8" t="s">
        <v>1109</v>
      </c>
      <c r="E95" s="168" t="n">
        <v>-8</v>
      </c>
    </row>
    <row r="96" customFormat="false" ht="12.75" hidden="false" customHeight="false" outlineLevel="0" collapsed="false">
      <c r="A96" s="102" t="n">
        <v>45099</v>
      </c>
      <c r="B96" s="8" t="s">
        <v>1109</v>
      </c>
      <c r="E96" s="168" t="n">
        <v>-1197.38</v>
      </c>
    </row>
    <row r="97" customFormat="false" ht="12.75" hidden="false" customHeight="false" outlineLevel="0" collapsed="false">
      <c r="A97" s="102" t="n">
        <v>45100</v>
      </c>
      <c r="B97" s="8" t="s">
        <v>1110</v>
      </c>
      <c r="E97" s="168" t="n">
        <v>-418.5</v>
      </c>
    </row>
    <row r="98" customFormat="false" ht="12.75" hidden="false" customHeight="false" outlineLevel="0" collapsed="false">
      <c r="D98" s="3" t="s">
        <v>84</v>
      </c>
    </row>
    <row r="110" customFormat="false" ht="12.75" hidden="false" customHeight="false" outlineLevel="0" collapsed="false">
      <c r="D110" s="36"/>
    </row>
    <row r="111" customFormat="false" ht="12.75" hidden="false" customHeight="false" outlineLevel="0" collapsed="false">
      <c r="A111" s="117" t="s">
        <v>1111</v>
      </c>
      <c r="B111" s="106" t="s">
        <v>139</v>
      </c>
      <c r="C111" s="105" t="n">
        <v>2023</v>
      </c>
      <c r="D111" s="163"/>
      <c r="E111" s="164" t="n">
        <f aca="false">SUM(E112:E120)</f>
        <v>433286.59</v>
      </c>
    </row>
    <row r="112" customFormat="false" ht="12.75" hidden="false" customHeight="false" outlineLevel="0" collapsed="false">
      <c r="A112" s="102" t="n">
        <v>45077</v>
      </c>
      <c r="B112" s="8" t="s">
        <v>77</v>
      </c>
      <c r="C112" s="2"/>
      <c r="D112" s="2"/>
      <c r="E112" s="17" t="n">
        <v>64000</v>
      </c>
    </row>
    <row r="113" customFormat="false" ht="12.75" hidden="false" customHeight="false" outlineLevel="0" collapsed="false">
      <c r="A113" s="102" t="n">
        <v>45077</v>
      </c>
      <c r="B113" s="8" t="s">
        <v>1078</v>
      </c>
      <c r="C113" s="2"/>
      <c r="D113" s="2"/>
      <c r="E113" s="17" t="n">
        <v>53088</v>
      </c>
    </row>
    <row r="114" customFormat="false" ht="12.75" hidden="false" customHeight="false" outlineLevel="0" collapsed="false">
      <c r="A114" s="102" t="n">
        <v>45077</v>
      </c>
      <c r="B114" s="8" t="s">
        <v>309</v>
      </c>
      <c r="C114" s="2"/>
      <c r="D114" s="2"/>
      <c r="E114" s="17" t="n">
        <v>12372.88</v>
      </c>
    </row>
    <row r="115" customFormat="false" ht="12.75" hidden="false" customHeight="false" outlineLevel="0" collapsed="false">
      <c r="A115" s="102" t="n">
        <v>45077</v>
      </c>
      <c r="B115" s="8" t="s">
        <v>310</v>
      </c>
      <c r="C115" s="2"/>
      <c r="D115" s="2"/>
      <c r="E115" s="17" t="n">
        <v>26868.21</v>
      </c>
    </row>
    <row r="116" customFormat="false" ht="12.75" hidden="false" customHeight="false" outlineLevel="0" collapsed="false">
      <c r="A116" s="102" t="n">
        <v>45077</v>
      </c>
      <c r="B116" s="8" t="s">
        <v>1015</v>
      </c>
      <c r="C116" s="2" t="n">
        <v>1647</v>
      </c>
      <c r="D116" s="2" t="n">
        <v>111</v>
      </c>
      <c r="E116" s="17" t="n">
        <f aca="false">D116*C116</f>
        <v>182817</v>
      </c>
    </row>
    <row r="117" customFormat="false" ht="12.75" hidden="false" customHeight="false" outlineLevel="0" collapsed="false">
      <c r="A117" s="102" t="n">
        <v>45077</v>
      </c>
      <c r="B117" s="8" t="s">
        <v>1112</v>
      </c>
      <c r="C117" s="2" t="n">
        <v>26.73</v>
      </c>
      <c r="D117" s="2" t="n">
        <v>850</v>
      </c>
      <c r="E117" s="17" t="n">
        <f aca="false">D117*C117</f>
        <v>22720.5</v>
      </c>
    </row>
    <row r="118" customFormat="false" ht="12.75" hidden="false" customHeight="false" outlineLevel="0" collapsed="false">
      <c r="A118" s="102" t="n">
        <v>45077</v>
      </c>
      <c r="B118" s="8" t="s">
        <v>1113</v>
      </c>
      <c r="C118" s="2" t="n">
        <v>29.2</v>
      </c>
      <c r="D118" s="2" t="n">
        <v>100</v>
      </c>
      <c r="E118" s="17" t="n">
        <f aca="false">D118*C118</f>
        <v>2920</v>
      </c>
    </row>
    <row r="119" customFormat="false" ht="12.75" hidden="false" customHeight="false" outlineLevel="0" collapsed="false">
      <c r="A119" s="102" t="n">
        <v>45077</v>
      </c>
      <c r="B119" s="8" t="s">
        <v>155</v>
      </c>
      <c r="C119" s="2"/>
      <c r="D119" s="2"/>
      <c r="E119" s="17" t="n">
        <v>67500</v>
      </c>
    </row>
    <row r="120" customFormat="false" ht="12.75" hidden="false" customHeight="false" outlineLevel="0" collapsed="false">
      <c r="A120" s="102"/>
      <c r="B120" s="8" t="s">
        <v>156</v>
      </c>
      <c r="C120" s="2"/>
      <c r="D120" s="2"/>
      <c r="E120" s="17" t="n">
        <v>1000</v>
      </c>
    </row>
    <row r="121" customFormat="false" ht="12.75" hidden="false" customHeight="false" outlineLevel="0" collapsed="false">
      <c r="C121" s="3" t="str">
        <f aca="false">A111</f>
        <v>TEMMUZ</v>
      </c>
      <c r="D121" s="18" t="s">
        <v>159</v>
      </c>
      <c r="E121" s="64" t="n">
        <f aca="false">H13</f>
        <v>-23354.9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18" t="s">
        <v>158</v>
      </c>
      <c r="E123" s="8" t="n">
        <f aca="false">SUM(E112:E122)</f>
        <v>409931.69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7" colorId="64" zoomScale="170" zoomScaleNormal="170" zoomScalePageLayoutView="100" workbookViewId="0">
      <selection pane="topLeft" activeCell="A7" activeCellId="0" sqref="A7"/>
    </sheetView>
  </sheetViews>
  <sheetFormatPr defaultColWidth="12.2929687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3"/>
    <col collapsed="false" customWidth="true" hidden="false" outlineLevel="0" max="4" min="4" style="0" width="10.29"/>
    <col collapsed="false" customWidth="true" hidden="false" outlineLevel="0" max="5" min="5" style="0" width="10.86"/>
    <col collapsed="false" customWidth="true" hidden="false" outlineLevel="0" max="6" min="6" style="0" width="9.43"/>
    <col collapsed="false" customWidth="true" hidden="false" outlineLevel="0" max="8" min="7" style="0" width="10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E1" s="194"/>
      <c r="F1" s="194" t="s">
        <v>28</v>
      </c>
      <c r="G1" s="194" t="s">
        <v>29</v>
      </c>
      <c r="H1" s="194" t="s">
        <v>3</v>
      </c>
    </row>
    <row r="2" customFormat="false" ht="12.75" hidden="false" customHeight="false" outlineLevel="0" collapsed="false">
      <c r="A2" s="3" t="s">
        <v>1114</v>
      </c>
      <c r="C2" s="81" t="s">
        <v>67</v>
      </c>
      <c r="D2" s="311" t="n">
        <f aca="false">SUM(D4:D30)</f>
        <v>28744</v>
      </c>
      <c r="E2" s="311" t="n">
        <f aca="false">SUM(E4:E29)</f>
        <v>-26572.63</v>
      </c>
      <c r="F2" s="311" t="n">
        <f aca="false">SUM(F4:F31)</f>
        <v>33133</v>
      </c>
      <c r="G2" s="311" t="n">
        <f aca="false">SUM(G4:G31)</f>
        <v>-28830.22</v>
      </c>
      <c r="H2" s="311" t="n">
        <f aca="false">F2+G2</f>
        <v>4302.78</v>
      </c>
    </row>
    <row r="3" customFormat="false" ht="12.75" hidden="false" customHeight="false" outlineLevel="0" collapsed="false">
      <c r="B3" s="18"/>
      <c r="H3" s="64"/>
    </row>
    <row r="4" customFormat="false" ht="12.75" hidden="false" customHeight="false" outlineLevel="0" collapsed="false">
      <c r="B4" s="103" t="s">
        <v>80</v>
      </c>
      <c r="C4" s="103"/>
      <c r="D4" s="103"/>
      <c r="E4" s="64" t="n">
        <v>-400</v>
      </c>
      <c r="G4" s="64" t="n">
        <v>-204</v>
      </c>
      <c r="H4" s="64" t="n">
        <f aca="false">H3+F4+G4</f>
        <v>-204</v>
      </c>
    </row>
    <row r="5" customFormat="false" ht="12.75" hidden="false" customHeight="false" outlineLevel="0" collapsed="false">
      <c r="B5" s="103" t="s">
        <v>81</v>
      </c>
      <c r="C5" s="103"/>
      <c r="D5" s="103"/>
      <c r="E5" s="64" t="n">
        <v>-500</v>
      </c>
      <c r="G5" s="64" t="n">
        <v>-411</v>
      </c>
      <c r="H5" s="64" t="n">
        <f aca="false">H4+F5+G5</f>
        <v>-615</v>
      </c>
    </row>
    <row r="6" customFormat="false" ht="12.75" hidden="false" customHeight="false" outlineLevel="0" collapsed="false">
      <c r="A6" s="170" t="n">
        <v>45082</v>
      </c>
      <c r="B6" s="103" t="s">
        <v>1115</v>
      </c>
      <c r="C6" s="103"/>
      <c r="D6" s="103"/>
      <c r="E6" s="64" t="n">
        <v>-250</v>
      </c>
      <c r="G6" s="64" t="n">
        <v>-250</v>
      </c>
      <c r="H6" s="64" t="n">
        <f aca="false">H5+F6+G6</f>
        <v>-865</v>
      </c>
    </row>
    <row r="7" customFormat="false" ht="12.75" hidden="false" customHeight="false" outlineLevel="0" collapsed="false">
      <c r="B7" s="183" t="s">
        <v>72</v>
      </c>
      <c r="C7" s="103"/>
      <c r="D7" s="64"/>
      <c r="E7" s="64" t="n">
        <v>-44</v>
      </c>
      <c r="F7" s="64"/>
      <c r="G7" s="64" t="n">
        <v>-44</v>
      </c>
      <c r="H7" s="64" t="n">
        <f aca="false">H6+F7+G7</f>
        <v>-909</v>
      </c>
    </row>
    <row r="8" customFormat="false" ht="12.75" hidden="false" customHeight="false" outlineLevel="0" collapsed="false">
      <c r="A8" s="170" t="n">
        <v>45082</v>
      </c>
      <c r="B8" s="183" t="s">
        <v>68</v>
      </c>
      <c r="C8" s="103"/>
      <c r="E8" s="64" t="n">
        <f aca="false">E49</f>
        <v>-4946.47</v>
      </c>
      <c r="F8" s="64"/>
      <c r="G8" s="64" t="n">
        <v>-4946.47</v>
      </c>
      <c r="H8" s="64" t="n">
        <f aca="false">H7+F8+G8</f>
        <v>-5855.47</v>
      </c>
    </row>
    <row r="9" customFormat="false" ht="12.75" hidden="false" customHeight="false" outlineLevel="0" collapsed="false">
      <c r="A9" s="170" t="n">
        <v>45082</v>
      </c>
      <c r="B9" s="183" t="s">
        <v>69</v>
      </c>
      <c r="C9" s="103"/>
      <c r="E9" s="64" t="n">
        <f aca="false">E84</f>
        <v>-1207.42</v>
      </c>
      <c r="G9" s="64" t="n">
        <v>-1207.42</v>
      </c>
      <c r="H9" s="64" t="n">
        <f aca="false">H8+F9+G9</f>
        <v>-7062.89</v>
      </c>
    </row>
    <row r="10" customFormat="false" ht="12.75" hidden="false" customHeight="false" outlineLevel="0" collapsed="false">
      <c r="A10" s="102" t="n">
        <v>45084</v>
      </c>
      <c r="B10" s="103" t="s">
        <v>565</v>
      </c>
      <c r="D10" s="103"/>
      <c r="E10" s="64" t="n">
        <v>-5375</v>
      </c>
      <c r="G10" s="64" t="n">
        <v>-5375</v>
      </c>
      <c r="H10" s="64" t="n">
        <f aca="false">H9+F10+G10</f>
        <v>-12437.89</v>
      </c>
    </row>
    <row r="11" customFormat="false" ht="12.75" hidden="false" customHeight="false" outlineLevel="0" collapsed="false">
      <c r="A11" s="102"/>
      <c r="B11" s="103" t="s">
        <v>1116</v>
      </c>
      <c r="C11" s="103"/>
      <c r="D11" s="103"/>
      <c r="E11" s="64" t="n">
        <v>-2125</v>
      </c>
      <c r="G11" s="64" t="n">
        <v>-2125</v>
      </c>
      <c r="H11" s="64" t="n">
        <f aca="false">H10+F11+G11</f>
        <v>-14562.89</v>
      </c>
    </row>
    <row r="12" customFormat="false" ht="12.75" hidden="false" customHeight="false" outlineLevel="0" collapsed="false">
      <c r="A12" s="102"/>
      <c r="B12" s="103" t="s">
        <v>1117</v>
      </c>
      <c r="C12" s="103"/>
      <c r="D12" s="103"/>
      <c r="E12" s="168"/>
      <c r="G12" s="64" t="n">
        <v>-16.06</v>
      </c>
      <c r="H12" s="64" t="n">
        <f aca="false">H11+F12+G12</f>
        <v>-14578.95</v>
      </c>
    </row>
    <row r="13" customFormat="false" ht="12.75" hidden="false" customHeight="false" outlineLevel="0" collapsed="false">
      <c r="A13" s="170" t="n">
        <v>45078</v>
      </c>
      <c r="B13" s="103" t="s">
        <v>563</v>
      </c>
      <c r="C13" s="103"/>
      <c r="D13" s="103"/>
      <c r="E13" s="64" t="n">
        <v>-674.74</v>
      </c>
      <c r="F13" s="168"/>
      <c r="G13" s="64" t="n">
        <v>-670.27</v>
      </c>
      <c r="H13" s="64" t="n">
        <f aca="false">H12+F13+G13</f>
        <v>-15249.22</v>
      </c>
    </row>
    <row r="14" customFormat="false" ht="12.75" hidden="false" customHeight="false" outlineLevel="0" collapsed="false">
      <c r="B14" s="103" t="s">
        <v>75</v>
      </c>
      <c r="C14" s="103" t="s">
        <v>332</v>
      </c>
      <c r="D14" s="103"/>
      <c r="E14" s="64" t="n">
        <v>-150</v>
      </c>
      <c r="F14" s="168"/>
      <c r="G14" s="64"/>
      <c r="H14" s="64" t="n">
        <f aca="false">H13+F14+G14</f>
        <v>-15249.22</v>
      </c>
    </row>
    <row r="15" customFormat="false" ht="12.75" hidden="false" customHeight="false" outlineLevel="0" collapsed="false">
      <c r="B15" s="108" t="s">
        <v>73</v>
      </c>
      <c r="C15" s="108"/>
      <c r="D15" s="108"/>
      <c r="E15" s="64" t="n">
        <v>-1000</v>
      </c>
      <c r="F15" s="168"/>
      <c r="G15" s="64" t="n">
        <v>-104</v>
      </c>
      <c r="H15" s="64" t="n">
        <f aca="false">H14+F15+G15</f>
        <v>-15353.22</v>
      </c>
    </row>
    <row r="16" customFormat="false" ht="12.75" hidden="false" customHeight="false" outlineLevel="0" collapsed="false">
      <c r="B16" s="108" t="s">
        <v>74</v>
      </c>
      <c r="C16" s="108"/>
      <c r="D16" s="108"/>
      <c r="E16" s="64" t="n">
        <v>-150</v>
      </c>
      <c r="F16" s="168"/>
      <c r="G16" s="64" t="n">
        <v>-127</v>
      </c>
      <c r="H16" s="64" t="n">
        <f aca="false">H15+F16+G16</f>
        <v>-15480.22</v>
      </c>
    </row>
    <row r="17" customFormat="false" ht="12.75" hidden="false" customHeight="false" outlineLevel="0" collapsed="false">
      <c r="B17" s="0" t="s">
        <v>77</v>
      </c>
      <c r="E17" s="64" t="n">
        <v>-3500</v>
      </c>
      <c r="F17" s="168"/>
      <c r="G17" s="64" t="n">
        <v>-3500</v>
      </c>
      <c r="H17" s="64" t="n">
        <f aca="false">H16+F17+G17</f>
        <v>-18980.22</v>
      </c>
    </row>
    <row r="18" customFormat="false" ht="12.75" hidden="false" customHeight="false" outlineLevel="0" collapsed="false">
      <c r="B18" s="0" t="s">
        <v>78</v>
      </c>
      <c r="E18" s="64" t="n">
        <v>-3500</v>
      </c>
      <c r="F18" s="168"/>
      <c r="G18" s="64" t="n">
        <v>-3500</v>
      </c>
      <c r="H18" s="64" t="n">
        <f aca="false">H17+F18+G18</f>
        <v>-22480.22</v>
      </c>
    </row>
    <row r="19" customFormat="false" ht="12.75" hidden="false" customHeight="false" outlineLevel="0" collapsed="false">
      <c r="B19" s="0" t="s">
        <v>79</v>
      </c>
      <c r="E19" s="64" t="n">
        <v>-2750</v>
      </c>
      <c r="F19" s="168"/>
      <c r="G19" s="64" t="n">
        <v>-2750</v>
      </c>
      <c r="H19" s="64" t="n">
        <f aca="false">H18+F19+G19</f>
        <v>-25230.22</v>
      </c>
    </row>
    <row r="20" customFormat="false" ht="12.75" hidden="false" customHeight="false" outlineLevel="0" collapsed="false">
      <c r="B20" s="0" t="s">
        <v>2</v>
      </c>
      <c r="D20" s="0" t="n">
        <v>1111</v>
      </c>
      <c r="E20" s="168"/>
      <c r="F20" s="64"/>
      <c r="G20" s="64"/>
      <c r="H20" s="64" t="n">
        <f aca="false">H19+F20+G20</f>
        <v>-25230.22</v>
      </c>
    </row>
    <row r="21" customFormat="false" ht="12.75" hidden="false" customHeight="false" outlineLevel="0" collapsed="false">
      <c r="B21" s="0" t="s">
        <v>76</v>
      </c>
      <c r="D21" s="191" t="n">
        <v>7500</v>
      </c>
      <c r="F21" s="64" t="n">
        <v>7500</v>
      </c>
      <c r="G21" s="64"/>
      <c r="H21" s="64" t="n">
        <f aca="false">H20+F21+G21</f>
        <v>-17730.22</v>
      </c>
    </row>
    <row r="22" customFormat="false" ht="12.75" hidden="false" customHeight="false" outlineLevel="0" collapsed="false">
      <c r="B22" s="0" t="s">
        <v>1118</v>
      </c>
      <c r="D22" s="104"/>
      <c r="F22" s="64" t="n">
        <v>2000</v>
      </c>
      <c r="G22" s="64"/>
      <c r="H22" s="64" t="n">
        <f aca="false">H21+F22+G22</f>
        <v>-15730.22</v>
      </c>
    </row>
    <row r="23" customFormat="false" ht="12.75" hidden="false" customHeight="false" outlineLevel="0" collapsed="false">
      <c r="A23" s="170" t="n">
        <v>45119</v>
      </c>
      <c r="B23" s="8" t="s">
        <v>681</v>
      </c>
      <c r="D23" s="191" t="n">
        <v>2800</v>
      </c>
      <c r="F23" s="64" t="n">
        <v>2800</v>
      </c>
      <c r="G23" s="64"/>
      <c r="H23" s="64" t="n">
        <f aca="false">H22+F23+G23</f>
        <v>-12930.22</v>
      </c>
    </row>
    <row r="24" customFormat="false" ht="12.75" hidden="false" customHeight="false" outlineLevel="0" collapsed="false">
      <c r="B24" s="0" t="s">
        <v>1119</v>
      </c>
      <c r="D24" s="191" t="n">
        <v>6500</v>
      </c>
      <c r="F24" s="64" t="n">
        <v>6500</v>
      </c>
      <c r="G24" s="64"/>
      <c r="H24" s="64" t="n">
        <f aca="false">H23+F24+G24</f>
        <v>-6430.22</v>
      </c>
    </row>
    <row r="25" customFormat="false" ht="12.75" hidden="false" customHeight="false" outlineLevel="0" collapsed="false">
      <c r="A25" s="102" t="n">
        <v>45107</v>
      </c>
      <c r="B25" s="8" t="s">
        <v>1120</v>
      </c>
      <c r="D25" s="191" t="n">
        <v>10833</v>
      </c>
      <c r="F25" s="0" t="n">
        <v>10833</v>
      </c>
      <c r="H25" s="64" t="n">
        <f aca="false">H24+F25+G25</f>
        <v>4402.78</v>
      </c>
    </row>
    <row r="26" customFormat="false" ht="12.75" hidden="false" customHeight="false" outlineLevel="0" collapsed="false">
      <c r="A26" s="170" t="n">
        <v>45080</v>
      </c>
      <c r="B26" s="8" t="s">
        <v>1121</v>
      </c>
      <c r="D26" s="104"/>
      <c r="F26" s="64"/>
      <c r="G26" s="64"/>
      <c r="H26" s="64" t="n">
        <f aca="false">H25+F26+G26</f>
        <v>4402.78</v>
      </c>
    </row>
    <row r="27" customFormat="false" ht="12.75" hidden="false" customHeight="false" outlineLevel="0" collapsed="false">
      <c r="A27" s="102"/>
      <c r="B27" s="8" t="s">
        <v>1122</v>
      </c>
      <c r="D27" s="104"/>
      <c r="G27" s="0" t="n">
        <v>-100</v>
      </c>
      <c r="H27" s="64" t="n">
        <f aca="false">H26+F27+G27</f>
        <v>4302.78</v>
      </c>
    </row>
    <row r="28" customFormat="false" ht="12.75" hidden="false" customHeight="false" outlineLevel="0" collapsed="false">
      <c r="A28" s="170" t="n">
        <v>45092</v>
      </c>
      <c r="B28" s="8" t="s">
        <v>1123</v>
      </c>
      <c r="D28" s="64"/>
      <c r="F28" s="64" t="n">
        <v>3500</v>
      </c>
      <c r="G28" s="64"/>
      <c r="H28" s="64" t="n">
        <f aca="false">H27+F28+G28</f>
        <v>7802.78</v>
      </c>
    </row>
    <row r="29" customFormat="false" ht="15" hidden="false" customHeight="false" outlineLevel="0" collapsed="false">
      <c r="A29" s="170" t="n">
        <v>45092</v>
      </c>
      <c r="B29" s="325" t="s">
        <v>1124</v>
      </c>
      <c r="F29" s="64"/>
      <c r="G29" s="64" t="n">
        <v>-3500</v>
      </c>
      <c r="H29" s="64" t="n">
        <f aca="false">H28+F29+G29</f>
        <v>4302.78</v>
      </c>
    </row>
    <row r="30" customFormat="false" ht="12.75" hidden="false" customHeight="false" outlineLevel="0" collapsed="false">
      <c r="E30" s="64"/>
      <c r="G30" s="64"/>
      <c r="H30" s="64"/>
    </row>
    <row r="31" customFormat="false" ht="12.75" hidden="false" customHeight="false" outlineLevel="0" collapsed="false">
      <c r="B31" s="0" t="s">
        <v>334</v>
      </c>
      <c r="E31" s="64"/>
      <c r="G31" s="64"/>
      <c r="H31" s="64"/>
    </row>
    <row r="32" customFormat="false" ht="12.75" hidden="false" customHeight="false" outlineLevel="0" collapsed="false">
      <c r="A32" s="105" t="s">
        <v>335</v>
      </c>
      <c r="B32" s="105"/>
      <c r="C32" s="105"/>
      <c r="D32" s="105"/>
      <c r="E32" s="163"/>
      <c r="G32" s="64"/>
      <c r="H32" s="64"/>
    </row>
    <row r="33" customFormat="false" ht="12.75" hidden="false" customHeight="false" outlineLevel="0" collapsed="false">
      <c r="A33" s="322"/>
      <c r="B33" s="317"/>
      <c r="C33" s="317"/>
      <c r="D33" s="317"/>
      <c r="E33" s="318"/>
      <c r="H33" s="64"/>
    </row>
    <row r="34" customFormat="false" ht="12.75" hidden="false" customHeight="false" outlineLevel="0" collapsed="false">
      <c r="A34" s="322"/>
      <c r="B34" s="317"/>
      <c r="C34" s="319"/>
      <c r="D34" s="317"/>
      <c r="E34" s="317"/>
      <c r="H34" s="64"/>
    </row>
    <row r="35" customFormat="false" ht="12.75" hidden="false" customHeight="false" outlineLevel="0" collapsed="false">
      <c r="A35" s="322"/>
      <c r="B35" s="317"/>
      <c r="C35" s="319"/>
      <c r="D35" s="317"/>
      <c r="E35" s="317"/>
      <c r="H35" s="64"/>
    </row>
    <row r="36" customFormat="false" ht="12.75" hidden="false" customHeight="false" outlineLevel="0" collapsed="false">
      <c r="A36" s="102"/>
      <c r="C36" s="176"/>
      <c r="H36" s="64"/>
    </row>
    <row r="37" customFormat="false" ht="12.75" hidden="false" customHeight="false" outlineLevel="0" collapsed="false">
      <c r="A37" s="177" t="n">
        <v>44929</v>
      </c>
      <c r="B37" s="178" t="s">
        <v>336</v>
      </c>
      <c r="C37" s="105"/>
      <c r="D37" s="206" t="n">
        <f aca="false">SUM(D38:D45)</f>
        <v>3377.9</v>
      </c>
      <c r="E37" s="206" t="n">
        <f aca="false">SUM(E38:E45)</f>
        <v>3379.06</v>
      </c>
      <c r="H37" s="64"/>
    </row>
    <row r="38" customFormat="false" ht="12.75" hidden="false" customHeight="false" outlineLevel="0" collapsed="false">
      <c r="A38" s="0" t="n">
        <v>20</v>
      </c>
      <c r="B38" s="0" t="s">
        <v>930</v>
      </c>
      <c r="D38" s="0" t="n">
        <v>557.09</v>
      </c>
      <c r="E38" s="64" t="n">
        <v>557</v>
      </c>
      <c r="F38" s="64"/>
      <c r="G38" s="64"/>
    </row>
    <row r="39" customFormat="false" ht="12.75" hidden="false" customHeight="false" outlineLevel="0" collapsed="false">
      <c r="A39" s="0" t="n">
        <v>50</v>
      </c>
      <c r="B39" s="0" t="s">
        <v>338</v>
      </c>
      <c r="D39" s="0" t="n">
        <v>927.27</v>
      </c>
      <c r="E39" s="64" t="n">
        <v>927</v>
      </c>
      <c r="F39" s="64"/>
      <c r="G39" s="64"/>
    </row>
    <row r="40" customFormat="false" ht="12.75" hidden="false" customHeight="false" outlineLevel="0" collapsed="false">
      <c r="A40" s="0" t="n">
        <v>10</v>
      </c>
      <c r="B40" s="0" t="s">
        <v>339</v>
      </c>
      <c r="D40" s="0" t="n">
        <v>129.21</v>
      </c>
      <c r="E40" s="0" t="n">
        <v>130</v>
      </c>
      <c r="F40" s="64"/>
      <c r="G40" s="64"/>
    </row>
    <row r="41" customFormat="false" ht="12.75" hidden="false" customHeight="false" outlineLevel="0" collapsed="false">
      <c r="A41" s="0" t="n">
        <v>20</v>
      </c>
      <c r="B41" s="0" t="s">
        <v>340</v>
      </c>
      <c r="D41" s="0" t="n">
        <v>1380.9</v>
      </c>
      <c r="E41" s="0" t="n">
        <v>1381</v>
      </c>
      <c r="F41" s="64"/>
      <c r="G41" s="64"/>
    </row>
    <row r="42" customFormat="false" ht="12.75" hidden="false" customHeight="false" outlineLevel="0" collapsed="false">
      <c r="A42" s="0" t="n">
        <v>30</v>
      </c>
      <c r="B42" s="0" t="s">
        <v>341</v>
      </c>
      <c r="D42" s="0" t="n">
        <v>339.37</v>
      </c>
      <c r="E42" s="0" t="n">
        <v>340</v>
      </c>
      <c r="F42" s="64"/>
      <c r="G42" s="64"/>
    </row>
    <row r="43" customFormat="false" ht="12.75" hidden="false" customHeight="false" outlineLevel="0" collapsed="false">
      <c r="A43" s="0" t="n">
        <v>10</v>
      </c>
      <c r="B43" s="0" t="s">
        <v>342</v>
      </c>
      <c r="C43" s="108"/>
      <c r="D43" s="108" t="n">
        <v>44.06</v>
      </c>
      <c r="E43" s="0" t="n">
        <v>44.06</v>
      </c>
      <c r="F43" s="64"/>
      <c r="G43" s="64"/>
    </row>
    <row r="44" customFormat="false" ht="12.75" hidden="false" customHeight="false" outlineLevel="0" collapsed="false">
      <c r="C44" s="108"/>
      <c r="E44" s="108"/>
      <c r="F44" s="64"/>
      <c r="G44" s="64"/>
    </row>
    <row r="45" customFormat="false" ht="12.75" hidden="false" customHeight="false" outlineLevel="0" collapsed="false">
      <c r="C45" s="108"/>
      <c r="D45" s="108"/>
      <c r="E45" s="168"/>
      <c r="F45" s="64"/>
      <c r="G45" s="64"/>
    </row>
    <row r="47" customFormat="false" ht="12.75" hidden="false" customHeight="false" outlineLevel="0" collapsed="false">
      <c r="B47" s="17"/>
    </row>
    <row r="48" customFormat="false" ht="12.75" hidden="false" customHeight="false" outlineLevel="0" collapsed="false">
      <c r="B48" s="104"/>
    </row>
    <row r="49" customFormat="false" ht="12.75" hidden="false" customHeight="false" outlineLevel="0" collapsed="false">
      <c r="A49" s="105"/>
      <c r="B49" s="106" t="s">
        <v>83</v>
      </c>
      <c r="C49" s="105"/>
      <c r="D49" s="163"/>
      <c r="E49" s="206" t="n">
        <f aca="false">SUM(E50:E69)</f>
        <v>-4946.47</v>
      </c>
    </row>
    <row r="50" customFormat="false" ht="12.75" hidden="false" customHeight="false" outlineLevel="0" collapsed="false">
      <c r="A50" s="102" t="n">
        <v>44873</v>
      </c>
      <c r="B50" s="8" t="s">
        <v>1064</v>
      </c>
      <c r="C50" s="108"/>
      <c r="D50" s="108" t="s">
        <v>404</v>
      </c>
      <c r="E50" s="168" t="n">
        <v>-1111.11</v>
      </c>
      <c r="F50" s="0" t="n">
        <v>3</v>
      </c>
      <c r="G50" s="64"/>
      <c r="H50" s="64"/>
    </row>
    <row r="51" customFormat="false" ht="12.75" hidden="false" customHeight="false" outlineLevel="0" collapsed="false">
      <c r="A51" s="102" t="n">
        <v>44982</v>
      </c>
      <c r="B51" s="8" t="s">
        <v>1125</v>
      </c>
      <c r="C51" s="0" t="n">
        <v>659.93</v>
      </c>
      <c r="D51" s="36" t="s">
        <v>993</v>
      </c>
      <c r="E51" s="168" t="n">
        <v>-164.98</v>
      </c>
      <c r="F51" s="64"/>
      <c r="G51" s="64"/>
      <c r="H51" s="64"/>
    </row>
    <row r="52" customFormat="false" ht="12.75" hidden="false" customHeight="false" outlineLevel="0" collapsed="false">
      <c r="A52" s="102" t="n">
        <v>44995</v>
      </c>
      <c r="B52" s="8" t="s">
        <v>781</v>
      </c>
      <c r="C52" s="0" t="n">
        <v>613.91</v>
      </c>
      <c r="D52" s="36" t="s">
        <v>1126</v>
      </c>
      <c r="E52" s="168" t="n">
        <v>-61.39</v>
      </c>
      <c r="F52" s="64" t="n">
        <v>3</v>
      </c>
      <c r="G52" s="64"/>
      <c r="H52" s="64"/>
    </row>
    <row r="53" customFormat="false" ht="12.75" hidden="false" customHeight="false" outlineLevel="0" collapsed="false">
      <c r="A53" s="102" t="n">
        <v>44995</v>
      </c>
      <c r="B53" s="8" t="s">
        <v>1127</v>
      </c>
      <c r="C53" s="0" t="n">
        <v>720.19</v>
      </c>
      <c r="D53" s="326" t="s">
        <v>1128</v>
      </c>
      <c r="E53" s="168" t="n">
        <v>-240.06</v>
      </c>
      <c r="F53" s="64"/>
      <c r="G53" s="64"/>
      <c r="H53" s="64"/>
    </row>
    <row r="54" customFormat="false" ht="12.75" hidden="false" customHeight="false" outlineLevel="0" collapsed="false">
      <c r="A54" s="102" t="n">
        <v>44995</v>
      </c>
      <c r="B54" s="8" t="s">
        <v>1038</v>
      </c>
      <c r="C54" s="0" t="n">
        <v>2258.94</v>
      </c>
      <c r="D54" s="36" t="s">
        <v>1129</v>
      </c>
      <c r="E54" s="168" t="n">
        <v>-376.49</v>
      </c>
      <c r="F54" s="64" t="n">
        <v>3</v>
      </c>
      <c r="G54" s="64"/>
      <c r="H54" s="64"/>
    </row>
    <row r="55" customFormat="false" ht="12.75" hidden="false" customHeight="false" outlineLevel="0" collapsed="false">
      <c r="A55" s="102"/>
      <c r="D55" s="36"/>
      <c r="E55" s="168"/>
      <c r="F55" s="64"/>
      <c r="G55" s="64"/>
      <c r="H55" s="64"/>
    </row>
    <row r="56" customFormat="false" ht="12.75" hidden="false" customHeight="false" outlineLevel="0" collapsed="false">
      <c r="A56" s="102"/>
      <c r="D56" s="36"/>
      <c r="E56" s="168"/>
      <c r="F56" s="64"/>
      <c r="G56" s="64"/>
      <c r="H56" s="64"/>
    </row>
    <row r="57" customFormat="false" ht="12.75" hidden="false" customHeight="false" outlineLevel="0" collapsed="false">
      <c r="A57" s="102" t="n">
        <v>45043</v>
      </c>
      <c r="B57" s="108" t="s">
        <v>733</v>
      </c>
      <c r="C57" s="108" t="n">
        <v>10764.57</v>
      </c>
      <c r="D57" s="36" t="s">
        <v>998</v>
      </c>
      <c r="E57" s="168" t="n">
        <v>-1196.06</v>
      </c>
      <c r="F57" s="64" t="n">
        <v>3</v>
      </c>
      <c r="G57" s="64"/>
      <c r="H57" s="64"/>
    </row>
    <row r="58" customFormat="false" ht="12.75" hidden="false" customHeight="false" outlineLevel="0" collapsed="false">
      <c r="A58" s="102" t="n">
        <v>45043</v>
      </c>
      <c r="B58" s="108" t="s">
        <v>959</v>
      </c>
      <c r="C58" s="108" t="n">
        <v>3299</v>
      </c>
      <c r="D58" s="36" t="s">
        <v>654</v>
      </c>
      <c r="E58" s="168" t="n">
        <v>-549.83</v>
      </c>
      <c r="F58" s="64" t="n">
        <v>3</v>
      </c>
      <c r="G58" s="64"/>
      <c r="H58" s="64"/>
    </row>
    <row r="59" customFormat="false" ht="12.75" hidden="false" customHeight="false" outlineLevel="0" collapsed="false">
      <c r="F59" s="64"/>
      <c r="G59" s="64"/>
      <c r="H59" s="64"/>
    </row>
    <row r="60" customFormat="false" ht="12.75" hidden="false" customHeight="false" outlineLevel="0" collapsed="false">
      <c r="A60" s="102" t="n">
        <v>45044</v>
      </c>
      <c r="B60" s="8" t="s">
        <v>961</v>
      </c>
      <c r="C60" s="108" t="n">
        <v>3123.29</v>
      </c>
      <c r="D60" s="209" t="s">
        <v>654</v>
      </c>
      <c r="E60" s="168" t="n">
        <v>-520.55</v>
      </c>
      <c r="F60" s="64" t="n">
        <v>3</v>
      </c>
      <c r="G60" s="64"/>
      <c r="H60" s="64"/>
    </row>
    <row r="61" customFormat="false" ht="12.75" hidden="false" customHeight="false" outlineLevel="0" collapsed="false">
      <c r="A61" s="102"/>
      <c r="C61" s="108"/>
      <c r="D61" s="209"/>
      <c r="E61" s="168"/>
      <c r="F61" s="64"/>
      <c r="G61" s="64"/>
      <c r="H61" s="64"/>
    </row>
    <row r="62" customFormat="false" ht="12.75" hidden="false" customHeight="false" outlineLevel="0" collapsed="false">
      <c r="A62" s="102" t="n">
        <v>45043</v>
      </c>
      <c r="B62" s="108" t="s">
        <v>1130</v>
      </c>
      <c r="C62" s="108" t="n">
        <v>-476.91</v>
      </c>
      <c r="D62" s="209"/>
      <c r="E62" s="168"/>
      <c r="F62" s="64"/>
      <c r="G62" s="64"/>
      <c r="H62" s="64"/>
    </row>
    <row r="63" customFormat="false" ht="12.75" hidden="false" customHeight="false" outlineLevel="0" collapsed="false">
      <c r="A63" s="102" t="n">
        <v>45043</v>
      </c>
      <c r="B63" s="8" t="s">
        <v>1131</v>
      </c>
      <c r="E63" s="168" t="n">
        <v>-496</v>
      </c>
    </row>
    <row r="64" customFormat="false" ht="12.75" hidden="false" customHeight="false" outlineLevel="0" collapsed="false">
      <c r="A64" s="102" t="n">
        <v>45043</v>
      </c>
      <c r="B64" s="108" t="s">
        <v>1132</v>
      </c>
      <c r="C64" s="108"/>
      <c r="D64" s="108"/>
      <c r="E64" s="168" t="n">
        <v>-120</v>
      </c>
    </row>
    <row r="65" customFormat="false" ht="12.75" hidden="false" customHeight="false" outlineLevel="0" collapsed="false">
      <c r="A65" s="102" t="n">
        <v>45044</v>
      </c>
      <c r="B65" s="8" t="s">
        <v>1133</v>
      </c>
      <c r="E65" s="168" t="n">
        <v>-321</v>
      </c>
      <c r="F65" s="64"/>
    </row>
    <row r="66" customFormat="false" ht="12.75" hidden="false" customHeight="false" outlineLevel="0" collapsed="false">
      <c r="A66" s="102" t="n">
        <v>45044</v>
      </c>
      <c r="B66" s="8" t="s">
        <v>1134</v>
      </c>
      <c r="E66" s="168" t="n">
        <v>110.52</v>
      </c>
      <c r="F66" s="64"/>
    </row>
    <row r="67" customFormat="false" ht="12.75" hidden="false" customHeight="false" outlineLevel="0" collapsed="false">
      <c r="A67" s="102"/>
      <c r="E67" s="168" t="n">
        <v>100.48</v>
      </c>
      <c r="F67" s="64"/>
    </row>
    <row r="68" customFormat="false" ht="12.75" hidden="false" customHeight="false" outlineLevel="0" collapsed="false">
      <c r="A68" s="102" t="n">
        <v>45051</v>
      </c>
      <c r="B68" s="8" t="s">
        <v>1135</v>
      </c>
      <c r="C68" s="0" t="n">
        <v>150</v>
      </c>
      <c r="D68" s="165" t="n">
        <v>45107</v>
      </c>
      <c r="E68" s="168"/>
    </row>
    <row r="69" customFormat="false" ht="12.75" hidden="false" customHeight="false" outlineLevel="0" collapsed="false">
      <c r="A69" s="102" t="n">
        <v>45062</v>
      </c>
      <c r="B69" s="8" t="s">
        <v>1135</v>
      </c>
      <c r="C69" s="0" t="n">
        <v>225</v>
      </c>
      <c r="E69" s="168"/>
    </row>
    <row r="70" customFormat="false" ht="12.75" hidden="false" customHeight="false" outlineLevel="0" collapsed="false">
      <c r="A70" s="102" t="n">
        <v>45062</v>
      </c>
      <c r="B70" s="8" t="s">
        <v>1135</v>
      </c>
      <c r="C70" s="0" t="n">
        <v>500</v>
      </c>
      <c r="E70" s="168"/>
    </row>
    <row r="71" customFormat="false" ht="12.75" hidden="false" customHeight="false" outlineLevel="0" collapsed="false">
      <c r="A71" s="102" t="n">
        <v>45066</v>
      </c>
      <c r="B71" s="8" t="s">
        <v>1136</v>
      </c>
      <c r="C71" s="0" t="n">
        <v>-187.19</v>
      </c>
      <c r="E71" s="168"/>
    </row>
    <row r="72" customFormat="false" ht="12.75" hidden="false" customHeight="false" outlineLevel="0" collapsed="false">
      <c r="A72" s="102"/>
      <c r="E72" s="168"/>
    </row>
    <row r="73" customFormat="false" ht="12.75" hidden="false" customHeight="false" outlineLevel="0" collapsed="false">
      <c r="A73" s="102"/>
      <c r="E73" s="168"/>
    </row>
    <row r="74" customFormat="false" ht="12.75" hidden="false" customHeight="false" outlineLevel="0" collapsed="false">
      <c r="A74" s="102"/>
      <c r="E74" s="168"/>
    </row>
    <row r="75" customFormat="false" ht="12.75" hidden="false" customHeight="false" outlineLevel="0" collapsed="false">
      <c r="A75" s="102"/>
      <c r="E75" s="168" t="s">
        <v>84</v>
      </c>
    </row>
    <row r="76" customFormat="false" ht="12.75" hidden="false" customHeight="false" outlineLevel="0" collapsed="false">
      <c r="A76" s="102"/>
      <c r="E76" s="168"/>
    </row>
    <row r="77" customFormat="false" ht="12.75" hidden="false" customHeight="false" outlineLevel="0" collapsed="false">
      <c r="A77" s="102"/>
      <c r="E77" s="168"/>
    </row>
    <row r="78" customFormat="false" ht="12.75" hidden="false" customHeight="false" outlineLevel="0" collapsed="false">
      <c r="A78" s="102"/>
      <c r="E78" s="168"/>
    </row>
    <row r="79" customFormat="false" ht="12.75" hidden="false" customHeight="false" outlineLevel="0" collapsed="false">
      <c r="A79" s="102"/>
      <c r="E79" s="168"/>
    </row>
    <row r="80" customFormat="false" ht="12.75" hidden="false" customHeight="false" outlineLevel="0" collapsed="false">
      <c r="A80" s="102"/>
      <c r="E80" s="168"/>
    </row>
    <row r="81" customFormat="false" ht="12.75" hidden="false" customHeight="false" outlineLevel="0" collapsed="false">
      <c r="A81" s="102"/>
      <c r="E81" s="168"/>
    </row>
    <row r="82" customFormat="false" ht="12.75" hidden="false" customHeight="false" outlineLevel="0" collapsed="false">
      <c r="D82" s="36"/>
    </row>
    <row r="84" customFormat="false" ht="12.75" hidden="false" customHeight="false" outlineLevel="0" collapsed="false">
      <c r="A84" s="105"/>
      <c r="B84" s="106" t="s">
        <v>85</v>
      </c>
      <c r="C84" s="105"/>
      <c r="D84" s="105"/>
      <c r="E84" s="164" t="n">
        <f aca="false">SUM(E85:E96)</f>
        <v>-1207.42</v>
      </c>
    </row>
    <row r="85" customFormat="false" ht="12.75" hidden="false" customHeight="false" outlineLevel="0" collapsed="false">
      <c r="A85" s="102" t="n">
        <v>45044</v>
      </c>
      <c r="B85" s="108" t="s">
        <v>1137</v>
      </c>
      <c r="C85" s="108"/>
      <c r="D85" s="108"/>
      <c r="E85" s="168" t="n">
        <v>-140</v>
      </c>
      <c r="F85" s="64" t="s">
        <v>1138</v>
      </c>
      <c r="G85" s="64"/>
      <c r="H85" s="64"/>
    </row>
    <row r="86" customFormat="false" ht="12.75" hidden="false" customHeight="false" outlineLevel="0" collapsed="false">
      <c r="A86" s="102" t="n">
        <v>45044</v>
      </c>
      <c r="B86" s="108" t="s">
        <v>1139</v>
      </c>
      <c r="C86" s="108"/>
      <c r="D86" s="108"/>
      <c r="E86" s="168" t="n">
        <v>-35.78</v>
      </c>
      <c r="F86" s="64" t="s">
        <v>1138</v>
      </c>
      <c r="G86" s="64"/>
      <c r="H86" s="64"/>
    </row>
    <row r="87" customFormat="false" ht="12.75" hidden="false" customHeight="false" outlineLevel="0" collapsed="false">
      <c r="A87" s="102" t="n">
        <v>45045</v>
      </c>
      <c r="B87" s="108" t="s">
        <v>278</v>
      </c>
      <c r="C87" s="108" t="n">
        <v>-221.54</v>
      </c>
      <c r="D87" s="108"/>
      <c r="E87" s="168"/>
      <c r="F87" s="64" t="s">
        <v>1138</v>
      </c>
      <c r="G87" s="64"/>
      <c r="H87" s="64"/>
    </row>
    <row r="88" customFormat="false" ht="12.75" hidden="false" customHeight="false" outlineLevel="0" collapsed="false">
      <c r="A88" s="102" t="n">
        <v>45023</v>
      </c>
      <c r="B88" s="108" t="s">
        <v>130</v>
      </c>
      <c r="C88" s="108"/>
      <c r="D88" s="108"/>
      <c r="E88" s="168" t="n">
        <v>-39.95</v>
      </c>
      <c r="F88" s="64" t="s">
        <v>1138</v>
      </c>
      <c r="G88" s="64"/>
      <c r="H88" s="64"/>
    </row>
    <row r="89" customFormat="false" ht="12.75" hidden="false" customHeight="false" outlineLevel="0" collapsed="false">
      <c r="A89" s="102" t="n">
        <v>45023</v>
      </c>
      <c r="B89" s="108" t="s">
        <v>130</v>
      </c>
      <c r="C89" s="108"/>
      <c r="D89" s="108"/>
      <c r="E89" s="168" t="n">
        <v>-154.45</v>
      </c>
      <c r="F89" s="64" t="s">
        <v>1138</v>
      </c>
      <c r="G89" s="64"/>
      <c r="H89" s="64"/>
    </row>
    <row r="90" customFormat="false" ht="12.75" hidden="false" customHeight="false" outlineLevel="0" collapsed="false">
      <c r="A90" s="102" t="n">
        <v>45023</v>
      </c>
      <c r="B90" s="109" t="s">
        <v>130</v>
      </c>
      <c r="E90" s="168" t="n">
        <v>-260</v>
      </c>
      <c r="F90" s="64" t="s">
        <v>1138</v>
      </c>
    </row>
    <row r="91" customFormat="false" ht="12.75" hidden="false" customHeight="false" outlineLevel="0" collapsed="false">
      <c r="A91" s="102" t="n">
        <v>45026</v>
      </c>
      <c r="B91" s="8" t="s">
        <v>1140</v>
      </c>
      <c r="E91" s="168" t="n">
        <v>-140</v>
      </c>
      <c r="F91" s="64" t="s">
        <v>1138</v>
      </c>
    </row>
    <row r="92" customFormat="false" ht="12.75" hidden="false" customHeight="false" outlineLevel="0" collapsed="false">
      <c r="A92" s="102" t="n">
        <v>45026</v>
      </c>
      <c r="B92" s="8" t="s">
        <v>1139</v>
      </c>
      <c r="E92" s="168" t="n">
        <v>-57.07</v>
      </c>
      <c r="F92" s="64" t="s">
        <v>1138</v>
      </c>
    </row>
    <row r="93" customFormat="false" ht="12.75" hidden="false" customHeight="false" outlineLevel="0" collapsed="false">
      <c r="A93" s="102" t="n">
        <v>45026</v>
      </c>
      <c r="B93" s="8" t="s">
        <v>962</v>
      </c>
      <c r="C93" s="0" t="n">
        <v>1140.99</v>
      </c>
      <c r="D93" s="8" t="s">
        <v>965</v>
      </c>
      <c r="E93" s="168" t="n">
        <v>-190.17</v>
      </c>
      <c r="F93" s="8" t="s">
        <v>1138</v>
      </c>
    </row>
    <row r="94" customFormat="false" ht="12.75" hidden="false" customHeight="false" outlineLevel="0" collapsed="false">
      <c r="A94" s="102" t="n">
        <v>45061</v>
      </c>
      <c r="B94" s="8" t="s">
        <v>1141</v>
      </c>
      <c r="E94" s="168" t="n">
        <v>-190</v>
      </c>
      <c r="F94" s="64" t="s">
        <v>1138</v>
      </c>
    </row>
    <row r="95" customFormat="false" ht="12.75" hidden="false" customHeight="false" outlineLevel="0" collapsed="false">
      <c r="E95" s="0" t="s">
        <v>84</v>
      </c>
    </row>
    <row r="96" customFormat="false" ht="12.75" hidden="false" customHeight="false" outlineLevel="0" collapsed="false">
      <c r="D96" s="36"/>
    </row>
    <row r="97" customFormat="false" ht="12.75" hidden="false" customHeight="false" outlineLevel="0" collapsed="false">
      <c r="D97" s="36"/>
    </row>
    <row r="111" customFormat="false" ht="12.75" hidden="false" customHeight="false" outlineLevel="0" collapsed="false">
      <c r="A111" s="117" t="s">
        <v>1142</v>
      </c>
      <c r="B111" s="106" t="s">
        <v>1143</v>
      </c>
      <c r="C111" s="105"/>
      <c r="D111" s="163"/>
      <c r="E111" s="164" t="n">
        <f aca="false">SUM(E112:E120)</f>
        <v>377425.43</v>
      </c>
    </row>
    <row r="112" customFormat="false" ht="12.75" hidden="false" customHeight="false" outlineLevel="0" collapsed="false">
      <c r="A112" s="102" t="n">
        <v>45077</v>
      </c>
      <c r="B112" s="8" t="s">
        <v>77</v>
      </c>
      <c r="C112" s="2"/>
      <c r="D112" s="2"/>
      <c r="E112" s="17" t="n">
        <v>64000</v>
      </c>
    </row>
    <row r="113" customFormat="false" ht="12.75" hidden="false" customHeight="false" outlineLevel="0" collapsed="false">
      <c r="A113" s="102" t="n">
        <v>45077</v>
      </c>
      <c r="B113" s="8" t="s">
        <v>1078</v>
      </c>
      <c r="C113" s="2" t="n">
        <v>1380</v>
      </c>
      <c r="D113" s="2"/>
      <c r="E113" s="17" t="n">
        <v>53088</v>
      </c>
    </row>
    <row r="114" customFormat="false" ht="12.75" hidden="false" customHeight="false" outlineLevel="0" collapsed="false">
      <c r="A114" s="102" t="n">
        <v>45077</v>
      </c>
      <c r="B114" s="8" t="s">
        <v>309</v>
      </c>
      <c r="C114" s="2"/>
      <c r="D114" s="2"/>
      <c r="E114" s="17" t="n">
        <v>28049.84</v>
      </c>
    </row>
    <row r="115" customFormat="false" ht="12.75" hidden="false" customHeight="false" outlineLevel="0" collapsed="false">
      <c r="A115" s="102" t="n">
        <v>45077</v>
      </c>
      <c r="B115" s="8" t="s">
        <v>310</v>
      </c>
      <c r="C115" s="2"/>
      <c r="D115" s="2"/>
      <c r="E115" s="17" t="n">
        <v>6000.59</v>
      </c>
    </row>
    <row r="116" customFormat="false" ht="12.75" hidden="false" customHeight="false" outlineLevel="0" collapsed="false">
      <c r="A116" s="102" t="n">
        <v>45077</v>
      </c>
      <c r="B116" s="8" t="s">
        <v>1015</v>
      </c>
      <c r="C116" s="2" t="n">
        <v>1438</v>
      </c>
      <c r="D116" s="2" t="n">
        <v>111</v>
      </c>
      <c r="E116" s="17" t="n">
        <f aca="false">D116*C116</f>
        <v>159618</v>
      </c>
    </row>
    <row r="117" customFormat="false" ht="12.75" hidden="false" customHeight="false" outlineLevel="0" collapsed="false">
      <c r="A117" s="102" t="n">
        <v>45077</v>
      </c>
      <c r="B117" s="8" t="s">
        <v>1112</v>
      </c>
      <c r="C117" s="2" t="n">
        <v>23.34</v>
      </c>
      <c r="D117" s="2" t="n">
        <v>850</v>
      </c>
      <c r="E117" s="17" t="n">
        <f aca="false">D117*C117</f>
        <v>19839</v>
      </c>
    </row>
    <row r="118" customFormat="false" ht="12.75" hidden="false" customHeight="false" outlineLevel="0" collapsed="false">
      <c r="A118" s="102" t="n">
        <v>45077</v>
      </c>
      <c r="B118" s="8" t="s">
        <v>1113</v>
      </c>
      <c r="C118" s="2" t="n">
        <v>25.3</v>
      </c>
      <c r="D118" s="2" t="n">
        <v>100</v>
      </c>
      <c r="E118" s="17" t="n">
        <f aca="false">D118*C118</f>
        <v>2530</v>
      </c>
    </row>
    <row r="119" customFormat="false" ht="12.75" hidden="false" customHeight="false" outlineLevel="0" collapsed="false">
      <c r="A119" s="102" t="n">
        <v>45077</v>
      </c>
      <c r="B119" s="8" t="s">
        <v>155</v>
      </c>
      <c r="C119" s="2"/>
      <c r="D119" s="2"/>
      <c r="E119" s="17" t="n">
        <v>42600</v>
      </c>
    </row>
    <row r="120" customFormat="false" ht="12.75" hidden="false" customHeight="false" outlineLevel="0" collapsed="false">
      <c r="A120" s="102"/>
      <c r="B120" s="8" t="s">
        <v>156</v>
      </c>
      <c r="C120" s="2"/>
      <c r="D120" s="2"/>
      <c r="E120" s="17" t="n">
        <v>1700</v>
      </c>
    </row>
    <row r="121" customFormat="false" ht="12.75" hidden="false" customHeight="false" outlineLevel="0" collapsed="false">
      <c r="D121" s="18" t="s">
        <v>1144</v>
      </c>
      <c r="E121" s="64" t="n">
        <f aca="false">H8</f>
        <v>-5855.47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18" t="s">
        <v>158</v>
      </c>
      <c r="E123" s="8" t="n">
        <f aca="false">SUM(E112:E122)</f>
        <v>371569.96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false"/>
  </sheetPr>
  <dimension ref="A1:H145"/>
  <sheetViews>
    <sheetView showFormulas="false" showGridLines="true" showRowColHeaders="true" showZeros="true" rightToLeft="false" tabSelected="false" showOutlineSymbols="true" defaultGridColor="true" view="normal" topLeftCell="A10" colorId="64" zoomScale="170" zoomScaleNormal="170" zoomScalePageLayoutView="100" workbookViewId="0">
      <selection pane="topLeft" activeCell="A10" activeCellId="0" sqref="A10"/>
    </sheetView>
  </sheetViews>
  <sheetFormatPr defaultColWidth="12.2929687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7.86"/>
    <col collapsed="false" customWidth="true" hidden="false" outlineLevel="0" max="3" min="3" style="0" width="9.43"/>
    <col collapsed="false" customWidth="true" hidden="false" outlineLevel="0" max="4" min="4" style="0" width="10.14"/>
    <col collapsed="false" customWidth="true" hidden="false" outlineLevel="0" max="5" min="5" style="0" width="10.86"/>
    <col collapsed="false" customWidth="true" hidden="false" outlineLevel="0" max="6" min="6" style="0" width="9.14"/>
    <col collapsed="false" customWidth="true" hidden="false" outlineLevel="0" max="8" min="7" style="0" width="10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E1" s="194"/>
      <c r="F1" s="194" t="s">
        <v>28</v>
      </c>
      <c r="G1" s="194" t="s">
        <v>29</v>
      </c>
      <c r="H1" s="194" t="s">
        <v>3</v>
      </c>
    </row>
    <row r="2" customFormat="false" ht="12.75" hidden="false" customHeight="false" outlineLevel="0" collapsed="false">
      <c r="A2" s="3" t="s">
        <v>1145</v>
      </c>
      <c r="C2" s="81" t="s">
        <v>67</v>
      </c>
      <c r="D2" s="311" t="n">
        <f aca="false">SUM(D4:D40)</f>
        <v>17911</v>
      </c>
      <c r="E2" s="311" t="n">
        <f aca="false">SUM(E4:E39)</f>
        <v>-20977.52</v>
      </c>
      <c r="F2" s="311" t="n">
        <f aca="false">SUM(F4:F41)</f>
        <v>19800</v>
      </c>
      <c r="G2" s="311" t="n">
        <f aca="false">SUM(G4:G41)</f>
        <v>-25248.52</v>
      </c>
      <c r="H2" s="311" t="n">
        <f aca="false">F2+G2</f>
        <v>-5448.52</v>
      </c>
    </row>
    <row r="3" customFormat="false" ht="12.75" hidden="false" customHeight="false" outlineLevel="0" collapsed="false">
      <c r="B3" s="18"/>
      <c r="H3" s="64"/>
    </row>
    <row r="4" customFormat="false" ht="12.75" hidden="false" customHeight="false" outlineLevel="0" collapsed="false">
      <c r="B4" s="103" t="s">
        <v>80</v>
      </c>
      <c r="C4" s="103"/>
      <c r="D4" s="103"/>
      <c r="E4" s="64" t="n">
        <v>-400</v>
      </c>
      <c r="G4" s="64" t="n">
        <v>-267</v>
      </c>
      <c r="H4" s="64" t="n">
        <f aca="false">H3+F4+G4</f>
        <v>-267</v>
      </c>
    </row>
    <row r="5" customFormat="false" ht="12.75" hidden="false" customHeight="false" outlineLevel="0" collapsed="false">
      <c r="B5" s="103" t="s">
        <v>81</v>
      </c>
      <c r="C5" s="103"/>
      <c r="D5" s="103"/>
      <c r="E5" s="64" t="n">
        <v>-500</v>
      </c>
      <c r="G5" s="64" t="n">
        <v>-504</v>
      </c>
      <c r="H5" s="64" t="n">
        <f aca="false">H4+F5+G5</f>
        <v>-771</v>
      </c>
    </row>
    <row r="6" customFormat="false" ht="12.75" hidden="false" customHeight="false" outlineLevel="0" collapsed="false">
      <c r="B6" s="183" t="s">
        <v>72</v>
      </c>
      <c r="D6" s="64"/>
      <c r="E6" s="64" t="n">
        <f aca="false">D53*-1</f>
        <v>-110</v>
      </c>
      <c r="F6" s="64"/>
      <c r="G6" s="64" t="n">
        <v>-110</v>
      </c>
      <c r="H6" s="64" t="n">
        <f aca="false">H5+F6+G6</f>
        <v>-881</v>
      </c>
    </row>
    <row r="7" customFormat="false" ht="12.75" hidden="false" customHeight="false" outlineLevel="0" collapsed="false">
      <c r="B7" s="183" t="s">
        <v>68</v>
      </c>
      <c r="E7" s="64" t="n">
        <f aca="false">E59</f>
        <v>-4975.71</v>
      </c>
      <c r="F7" s="64"/>
      <c r="G7" s="64" t="n">
        <v>-4975.71</v>
      </c>
      <c r="H7" s="64" t="n">
        <f aca="false">H6+F7+G7</f>
        <v>-5856.71</v>
      </c>
    </row>
    <row r="8" customFormat="false" ht="12.75" hidden="false" customHeight="false" outlineLevel="0" collapsed="false">
      <c r="B8" s="183" t="s">
        <v>69</v>
      </c>
      <c r="E8" s="64" t="n">
        <f aca="false">E80</f>
        <v>-221.54</v>
      </c>
      <c r="G8" s="64" t="n">
        <v>-221.54</v>
      </c>
      <c r="H8" s="64" t="n">
        <f aca="false">H7+F8+G8</f>
        <v>-6078.25</v>
      </c>
    </row>
    <row r="9" customFormat="false" ht="12.75" hidden="false" customHeight="false" outlineLevel="0" collapsed="false">
      <c r="A9" s="102" t="n">
        <v>45051</v>
      </c>
      <c r="B9" s="103" t="s">
        <v>1146</v>
      </c>
      <c r="C9" s="103"/>
      <c r="D9" s="103"/>
      <c r="E9" s="64" t="n">
        <v>-250</v>
      </c>
      <c r="G9" s="64" t="n">
        <v>-250</v>
      </c>
      <c r="H9" s="64" t="n">
        <f aca="false">H8+F9+G9</f>
        <v>-6328.25</v>
      </c>
    </row>
    <row r="10" customFormat="false" ht="12.75" hidden="false" customHeight="false" outlineLevel="0" collapsed="false">
      <c r="A10" s="102" t="n">
        <v>44933</v>
      </c>
      <c r="B10" s="103" t="s">
        <v>613</v>
      </c>
      <c r="C10" s="103"/>
      <c r="D10" s="103"/>
      <c r="E10" s="64" t="n">
        <v>-4300</v>
      </c>
      <c r="G10" s="64" t="n">
        <v>-4300</v>
      </c>
      <c r="H10" s="64" t="n">
        <f aca="false">H9+F10+G10</f>
        <v>-10628.25</v>
      </c>
    </row>
    <row r="11" customFormat="false" ht="12.75" hidden="false" customHeight="false" outlineLevel="0" collapsed="false">
      <c r="B11" s="103" t="s">
        <v>612</v>
      </c>
      <c r="C11" s="103"/>
      <c r="D11" s="103"/>
      <c r="E11" s="64" t="n">
        <v>-670.27</v>
      </c>
      <c r="F11" s="168"/>
      <c r="G11" s="64" t="n">
        <v>-670.27</v>
      </c>
      <c r="H11" s="64" t="n">
        <f aca="false">H10+F11+G11</f>
        <v>-11298.52</v>
      </c>
    </row>
    <row r="12" customFormat="false" ht="12.75" hidden="false" customHeight="false" outlineLevel="0" collapsed="false">
      <c r="B12" s="103" t="s">
        <v>1147</v>
      </c>
      <c r="C12" s="103" t="s">
        <v>332</v>
      </c>
      <c r="D12" s="103"/>
      <c r="E12" s="64" t="n">
        <v>-150</v>
      </c>
      <c r="F12" s="168"/>
      <c r="G12" s="64" t="n">
        <v>0</v>
      </c>
      <c r="H12" s="64" t="n">
        <f aca="false">H11+F12+G12</f>
        <v>-11298.52</v>
      </c>
    </row>
    <row r="13" customFormat="false" ht="12.75" hidden="false" customHeight="false" outlineLevel="0" collapsed="false">
      <c r="B13" s="108" t="s">
        <v>73</v>
      </c>
      <c r="C13" s="108" t="s">
        <v>332</v>
      </c>
      <c r="D13" s="108"/>
      <c r="E13" s="64" t="n">
        <v>-1000</v>
      </c>
      <c r="F13" s="168"/>
      <c r="G13" s="64" t="n">
        <v>0</v>
      </c>
      <c r="H13" s="64" t="n">
        <f aca="false">H12+F13+G13</f>
        <v>-11298.52</v>
      </c>
    </row>
    <row r="14" customFormat="false" ht="12.75" hidden="false" customHeight="false" outlineLevel="0" collapsed="false">
      <c r="B14" s="108" t="s">
        <v>74</v>
      </c>
      <c r="C14" s="108" t="s">
        <v>332</v>
      </c>
      <c r="D14" s="108"/>
      <c r="E14" s="64" t="n">
        <v>-150</v>
      </c>
      <c r="F14" s="168"/>
      <c r="G14" s="64" t="n">
        <v>0</v>
      </c>
      <c r="H14" s="64" t="n">
        <f aca="false">H13+F14+G14</f>
        <v>-11298.52</v>
      </c>
    </row>
    <row r="15" customFormat="false" ht="12.75" hidden="false" customHeight="false" outlineLevel="0" collapsed="false">
      <c r="B15" s="0" t="s">
        <v>77</v>
      </c>
      <c r="E15" s="64" t="n">
        <v>-2750</v>
      </c>
      <c r="F15" s="64"/>
      <c r="G15" s="64" t="n">
        <v>-3500</v>
      </c>
      <c r="H15" s="64" t="n">
        <f aca="false">H14+F15+G15</f>
        <v>-14798.52</v>
      </c>
    </row>
    <row r="16" customFormat="false" ht="12.75" hidden="false" customHeight="false" outlineLevel="0" collapsed="false">
      <c r="B16" s="0" t="s">
        <v>78</v>
      </c>
      <c r="E16" s="64" t="n">
        <v>-2750</v>
      </c>
      <c r="F16" s="64"/>
      <c r="G16" s="64" t="n">
        <v>-3500</v>
      </c>
      <c r="H16" s="64" t="n">
        <f aca="false">H15+F16+G16</f>
        <v>-18298.52</v>
      </c>
    </row>
    <row r="17" customFormat="false" ht="12.75" hidden="false" customHeight="false" outlineLevel="0" collapsed="false">
      <c r="B17" s="0" t="s">
        <v>79</v>
      </c>
      <c r="E17" s="64" t="n">
        <v>-2750</v>
      </c>
      <c r="F17" s="64"/>
      <c r="G17" s="64" t="n">
        <v>-3500</v>
      </c>
      <c r="H17" s="64" t="n">
        <f aca="false">H16+F17+G17</f>
        <v>-21798.52</v>
      </c>
    </row>
    <row r="18" customFormat="false" ht="12.75" hidden="false" customHeight="false" outlineLevel="0" collapsed="false">
      <c r="B18" s="0" t="s">
        <v>2</v>
      </c>
      <c r="D18" s="0" t="n">
        <v>1111</v>
      </c>
      <c r="E18" s="64"/>
      <c r="F18" s="64"/>
      <c r="G18" s="64"/>
      <c r="H18" s="64" t="n">
        <f aca="false">H17+F18+G18</f>
        <v>-21798.52</v>
      </c>
    </row>
    <row r="19" customFormat="false" ht="12.75" hidden="false" customHeight="false" outlineLevel="0" collapsed="false">
      <c r="B19" s="0" t="s">
        <v>76</v>
      </c>
      <c r="D19" s="104" t="n">
        <v>7500</v>
      </c>
      <c r="F19" s="64" t="n">
        <v>7500</v>
      </c>
      <c r="G19" s="64"/>
      <c r="H19" s="64" t="n">
        <f aca="false">H18+F19+G19</f>
        <v>-14298.52</v>
      </c>
    </row>
    <row r="20" customFormat="false" ht="12.75" hidden="false" customHeight="false" outlineLevel="0" collapsed="false">
      <c r="A20" s="170" t="n">
        <v>45070</v>
      </c>
      <c r="B20" s="8" t="s">
        <v>681</v>
      </c>
      <c r="D20" s="104" t="n">
        <v>2800</v>
      </c>
      <c r="F20" s="64" t="n">
        <v>2800</v>
      </c>
      <c r="G20" s="64"/>
      <c r="H20" s="64" t="n">
        <f aca="false">H19+F20+G20</f>
        <v>-11498.52</v>
      </c>
    </row>
    <row r="21" customFormat="false" ht="12.75" hidden="false" customHeight="false" outlineLevel="0" collapsed="false">
      <c r="A21" s="170" t="n">
        <v>45080</v>
      </c>
      <c r="B21" s="8" t="s">
        <v>1148</v>
      </c>
      <c r="D21" s="104" t="n">
        <v>6500</v>
      </c>
      <c r="F21" s="64" t="n">
        <v>6500</v>
      </c>
      <c r="G21" s="64"/>
      <c r="H21" s="64" t="n">
        <f aca="false">H20+F21+G21</f>
        <v>-4998.52</v>
      </c>
    </row>
    <row r="22" customFormat="false" ht="12.75" hidden="false" customHeight="false" outlineLevel="0" collapsed="false">
      <c r="A22" s="102" t="n">
        <v>45061</v>
      </c>
      <c r="B22" s="8" t="s">
        <v>1149</v>
      </c>
      <c r="D22" s="104"/>
      <c r="F22" s="0" t="n">
        <v>3000</v>
      </c>
      <c r="H22" s="64" t="n">
        <f aca="false">H21+F22+G22</f>
        <v>-1998.52</v>
      </c>
    </row>
    <row r="23" customFormat="false" ht="12.75" hidden="false" customHeight="false" outlineLevel="0" collapsed="false">
      <c r="A23" s="102" t="n">
        <v>45031</v>
      </c>
      <c r="B23" s="8" t="s">
        <v>1124</v>
      </c>
      <c r="D23" s="104"/>
      <c r="F23" s="64"/>
      <c r="G23" s="64" t="n">
        <v>-3450</v>
      </c>
      <c r="H23" s="64" t="n">
        <f aca="false">H22+F23+G23</f>
        <v>-5448.52</v>
      </c>
    </row>
    <row r="24" customFormat="false" ht="12.75" hidden="false" customHeight="false" outlineLevel="0" collapsed="false">
      <c r="A24" s="102"/>
      <c r="D24" s="104"/>
      <c r="F24" s="64"/>
      <c r="G24" s="64"/>
      <c r="H24" s="64"/>
    </row>
    <row r="25" customFormat="false" ht="12.75" hidden="false" customHeight="false" outlineLevel="0" collapsed="false">
      <c r="A25" s="102"/>
      <c r="D25" s="104"/>
      <c r="F25" s="64"/>
      <c r="G25" s="64"/>
      <c r="H25" s="64"/>
    </row>
    <row r="26" customFormat="false" ht="12.75" hidden="false" customHeight="false" outlineLevel="0" collapsed="false">
      <c r="A26" s="102"/>
      <c r="D26" s="104"/>
      <c r="F26" s="64"/>
      <c r="G26" s="64"/>
      <c r="H26" s="64"/>
    </row>
    <row r="27" customFormat="false" ht="12.75" hidden="false" customHeight="false" outlineLevel="0" collapsed="false">
      <c r="A27" s="102"/>
      <c r="D27" s="104"/>
      <c r="H27" s="64"/>
    </row>
    <row r="28" customFormat="false" ht="12.75" hidden="false" customHeight="false" outlineLevel="0" collapsed="false">
      <c r="A28" s="102"/>
      <c r="B28" s="103" t="s">
        <v>1150</v>
      </c>
      <c r="C28" s="103"/>
      <c r="D28" s="103"/>
      <c r="E28" s="168"/>
      <c r="H28" s="64"/>
    </row>
    <row r="29" customFormat="false" ht="12.75" hidden="false" customHeight="false" outlineLevel="0" collapsed="false">
      <c r="A29" s="102"/>
      <c r="B29" s="103" t="s">
        <v>1151</v>
      </c>
      <c r="C29" s="103"/>
      <c r="D29" s="103"/>
      <c r="E29" s="168"/>
      <c r="H29" s="64"/>
    </row>
    <row r="30" customFormat="false" ht="12.75" hidden="false" customHeight="false" outlineLevel="0" collapsed="false">
      <c r="A30" s="102"/>
      <c r="B30" s="103" t="s">
        <v>1152</v>
      </c>
      <c r="C30" s="103"/>
      <c r="D30" s="103"/>
      <c r="E30" s="168"/>
      <c r="H30" s="64"/>
    </row>
    <row r="31" customFormat="false" ht="12.75" hidden="false" customHeight="false" outlineLevel="0" collapsed="false">
      <c r="A31" s="102"/>
      <c r="B31" s="103" t="s">
        <v>121</v>
      </c>
      <c r="C31" s="103"/>
      <c r="D31" s="103"/>
      <c r="E31" s="168"/>
      <c r="H31" s="64"/>
    </row>
    <row r="32" customFormat="false" ht="12.75" hidden="false" customHeight="false" outlineLevel="0" collapsed="false">
      <c r="A32" s="102"/>
      <c r="B32" s="103" t="s">
        <v>1153</v>
      </c>
      <c r="C32" s="103" t="s">
        <v>1154</v>
      </c>
      <c r="D32" s="103"/>
      <c r="E32" s="168"/>
      <c r="H32" s="64"/>
    </row>
    <row r="33" customFormat="false" ht="12.75" hidden="false" customHeight="false" outlineLevel="0" collapsed="false">
      <c r="A33" s="102"/>
      <c r="B33" s="8" t="s">
        <v>1155</v>
      </c>
      <c r="C33" s="103"/>
      <c r="D33" s="103"/>
      <c r="E33" s="168"/>
      <c r="H33" s="64"/>
    </row>
    <row r="34" customFormat="false" ht="12.75" hidden="false" customHeight="false" outlineLevel="0" collapsed="false">
      <c r="A34" s="102"/>
      <c r="B34" s="8" t="s">
        <v>1156</v>
      </c>
      <c r="C34" s="103"/>
      <c r="D34" s="103"/>
      <c r="E34" s="168"/>
      <c r="H34" s="64"/>
    </row>
    <row r="35" customFormat="false" ht="12.75" hidden="false" customHeight="false" outlineLevel="0" collapsed="false">
      <c r="A35" s="102"/>
      <c r="B35" s="103" t="s">
        <v>1157</v>
      </c>
      <c r="C35" s="103"/>
      <c r="D35" s="103"/>
      <c r="E35" s="168"/>
      <c r="H35" s="64"/>
    </row>
    <row r="36" customFormat="false" ht="12.75" hidden="false" customHeight="false" outlineLevel="0" collapsed="false">
      <c r="A36" s="102"/>
      <c r="B36" s="103" t="s">
        <v>1158</v>
      </c>
      <c r="C36" s="103"/>
      <c r="D36" s="103"/>
      <c r="E36" s="168"/>
      <c r="H36" s="64"/>
    </row>
    <row r="37" customFormat="false" ht="12.75" hidden="false" customHeight="false" outlineLevel="0" collapsed="false">
      <c r="A37" s="102"/>
      <c r="B37" s="103"/>
      <c r="C37" s="103"/>
      <c r="D37" s="103"/>
      <c r="E37" s="168"/>
      <c r="H37" s="64"/>
    </row>
    <row r="38" customFormat="false" ht="12.75" hidden="false" customHeight="false" outlineLevel="0" collapsed="false">
      <c r="D38" s="64"/>
      <c r="F38" s="64"/>
      <c r="G38" s="64"/>
      <c r="H38" s="64"/>
    </row>
    <row r="39" customFormat="false" ht="15" hidden="false" customHeight="false" outlineLevel="0" collapsed="false">
      <c r="B39" s="184"/>
      <c r="F39" s="64"/>
      <c r="G39" s="64"/>
      <c r="H39" s="64"/>
    </row>
    <row r="40" customFormat="false" ht="12.75" hidden="false" customHeight="false" outlineLevel="0" collapsed="false">
      <c r="E40" s="64"/>
      <c r="G40" s="64"/>
      <c r="H40" s="64"/>
    </row>
    <row r="41" customFormat="false" ht="12.75" hidden="false" customHeight="false" outlineLevel="0" collapsed="false">
      <c r="B41" s="0" t="s">
        <v>334</v>
      </c>
      <c r="E41" s="64"/>
      <c r="G41" s="64"/>
      <c r="H41" s="64"/>
    </row>
    <row r="42" customFormat="false" ht="12.75" hidden="false" customHeight="false" outlineLevel="0" collapsed="false">
      <c r="A42" s="105" t="s">
        <v>335</v>
      </c>
      <c r="B42" s="105"/>
      <c r="C42" s="105"/>
      <c r="D42" s="105"/>
      <c r="E42" s="163"/>
      <c r="G42" s="64"/>
      <c r="H42" s="64"/>
    </row>
    <row r="43" customFormat="false" ht="12.75" hidden="false" customHeight="false" outlineLevel="0" collapsed="false">
      <c r="A43" s="322"/>
      <c r="B43" s="317"/>
      <c r="C43" s="317"/>
      <c r="D43" s="317"/>
      <c r="E43" s="318"/>
      <c r="H43" s="64"/>
    </row>
    <row r="44" customFormat="false" ht="12.75" hidden="false" customHeight="false" outlineLevel="0" collapsed="false">
      <c r="A44" s="322"/>
      <c r="B44" s="317"/>
      <c r="C44" s="319"/>
      <c r="D44" s="317"/>
      <c r="E44" s="317"/>
      <c r="H44" s="64"/>
    </row>
    <row r="45" customFormat="false" ht="12.75" hidden="false" customHeight="false" outlineLevel="0" collapsed="false">
      <c r="A45" s="322"/>
      <c r="B45" s="317"/>
      <c r="C45" s="319"/>
      <c r="D45" s="317"/>
      <c r="E45" s="317"/>
      <c r="H45" s="64"/>
    </row>
    <row r="46" customFormat="false" ht="12.75" hidden="false" customHeight="false" outlineLevel="0" collapsed="false">
      <c r="A46" s="102"/>
      <c r="C46" s="176"/>
      <c r="H46" s="64"/>
    </row>
    <row r="47" customFormat="false" ht="12.75" hidden="false" customHeight="false" outlineLevel="0" collapsed="false">
      <c r="A47" s="177" t="n">
        <v>44929</v>
      </c>
      <c r="B47" s="178" t="s">
        <v>336</v>
      </c>
      <c r="C47" s="105"/>
      <c r="D47" s="206" t="n">
        <f aca="false">SUM(D48:D55)</f>
        <v>2838.01</v>
      </c>
      <c r="E47" s="206" t="n">
        <f aca="false">SUM(E48:E55)</f>
        <v>2839.5</v>
      </c>
      <c r="H47" s="64"/>
    </row>
    <row r="48" customFormat="false" ht="12.75" hidden="false" customHeight="false" outlineLevel="0" collapsed="false">
      <c r="B48" s="0" t="s">
        <v>930</v>
      </c>
      <c r="D48" s="0" t="n">
        <v>509.04</v>
      </c>
      <c r="E48" s="64" t="n">
        <v>510</v>
      </c>
      <c r="F48" s="64"/>
      <c r="G48" s="64"/>
    </row>
    <row r="49" customFormat="false" ht="12.75" hidden="false" customHeight="false" outlineLevel="0" collapsed="false">
      <c r="B49" s="0" t="s">
        <v>338</v>
      </c>
      <c r="D49" s="0" t="n">
        <v>938.46</v>
      </c>
      <c r="E49" s="64" t="n">
        <v>938.5</v>
      </c>
      <c r="F49" s="64"/>
      <c r="G49" s="64"/>
    </row>
    <row r="50" customFormat="false" ht="12.75" hidden="false" customHeight="false" outlineLevel="0" collapsed="false">
      <c r="B50" s="0" t="s">
        <v>339</v>
      </c>
      <c r="D50" s="0" t="n">
        <v>126.34</v>
      </c>
      <c r="E50" s="0" t="n">
        <v>126</v>
      </c>
      <c r="F50" s="64"/>
      <c r="G50" s="64"/>
    </row>
    <row r="51" customFormat="false" ht="12.75" hidden="false" customHeight="false" outlineLevel="0" collapsed="false">
      <c r="B51" s="0" t="s">
        <v>340</v>
      </c>
      <c r="D51" s="0" t="n">
        <v>934.05</v>
      </c>
      <c r="E51" s="0" t="n">
        <v>935</v>
      </c>
      <c r="F51" s="64"/>
      <c r="G51" s="64"/>
    </row>
    <row r="52" customFormat="false" ht="12.75" hidden="false" customHeight="false" outlineLevel="0" collapsed="false">
      <c r="B52" s="0" t="s">
        <v>341</v>
      </c>
      <c r="D52" s="0" t="n">
        <v>220.12</v>
      </c>
      <c r="E52" s="0" t="n">
        <v>220</v>
      </c>
      <c r="F52" s="64"/>
      <c r="G52" s="64"/>
    </row>
    <row r="53" customFormat="false" ht="12.75" hidden="false" customHeight="false" outlineLevel="0" collapsed="false">
      <c r="B53" s="0" t="s">
        <v>342</v>
      </c>
      <c r="C53" s="108"/>
      <c r="D53" s="108" t="n">
        <v>110</v>
      </c>
      <c r="E53" s="0" t="n">
        <v>110</v>
      </c>
      <c r="F53" s="64"/>
      <c r="G53" s="64"/>
    </row>
    <row r="54" customFormat="false" ht="12.75" hidden="false" customHeight="false" outlineLevel="0" collapsed="false">
      <c r="C54" s="108"/>
      <c r="E54" s="108"/>
      <c r="F54" s="64"/>
      <c r="G54" s="64"/>
    </row>
    <row r="55" customFormat="false" ht="12.75" hidden="false" customHeight="false" outlineLevel="0" collapsed="false">
      <c r="C55" s="108"/>
      <c r="D55" s="108"/>
      <c r="E55" s="168"/>
      <c r="F55" s="64"/>
      <c r="G55" s="64"/>
    </row>
    <row r="57" customFormat="false" ht="12.75" hidden="false" customHeight="false" outlineLevel="0" collapsed="false">
      <c r="B57" s="17"/>
    </row>
    <row r="58" customFormat="false" ht="12.75" hidden="false" customHeight="false" outlineLevel="0" collapsed="false">
      <c r="B58" s="104"/>
    </row>
    <row r="59" customFormat="false" ht="12.75" hidden="false" customHeight="false" outlineLevel="0" collapsed="false">
      <c r="A59" s="105"/>
      <c r="B59" s="106" t="s">
        <v>83</v>
      </c>
      <c r="C59" s="105"/>
      <c r="D59" s="163"/>
      <c r="E59" s="164" t="n">
        <f aca="false">SUM(E60:E77)</f>
        <v>-4975.71</v>
      </c>
    </row>
    <row r="60" customFormat="false" ht="12.75" hidden="false" customHeight="false" outlineLevel="0" collapsed="false">
      <c r="A60" s="102" t="n">
        <v>44873</v>
      </c>
      <c r="B60" s="8" t="s">
        <v>1064</v>
      </c>
      <c r="C60" s="108"/>
      <c r="D60" s="108" t="s">
        <v>684</v>
      </c>
      <c r="E60" s="168" t="n">
        <v>-1111.11</v>
      </c>
      <c r="G60" s="64"/>
      <c r="H60" s="64"/>
    </row>
    <row r="61" customFormat="false" ht="12.75" hidden="false" customHeight="false" outlineLevel="0" collapsed="false">
      <c r="A61" s="102" t="n">
        <v>45016</v>
      </c>
      <c r="B61" s="8" t="s">
        <v>827</v>
      </c>
      <c r="C61" s="0" t="n">
        <v>437.97</v>
      </c>
      <c r="D61" s="36" t="s">
        <v>1128</v>
      </c>
      <c r="E61" s="168" t="n">
        <v>-145.99</v>
      </c>
      <c r="F61" s="64"/>
      <c r="G61" s="64"/>
      <c r="H61" s="64"/>
    </row>
    <row r="62" customFormat="false" ht="12.75" hidden="false" customHeight="false" outlineLevel="0" collapsed="false">
      <c r="A62" s="102" t="n">
        <v>45016</v>
      </c>
      <c r="B62" s="8" t="s">
        <v>828</v>
      </c>
      <c r="C62" s="0" t="n">
        <v>404.23</v>
      </c>
      <c r="D62" s="36" t="s">
        <v>1128</v>
      </c>
      <c r="E62" s="168" t="n">
        <v>-134.75</v>
      </c>
      <c r="F62" s="64"/>
      <c r="G62" s="64"/>
      <c r="H62" s="64"/>
    </row>
    <row r="63" customFormat="false" ht="12.75" hidden="false" customHeight="false" outlineLevel="0" collapsed="false">
      <c r="A63" s="102" t="n">
        <v>45016</v>
      </c>
      <c r="B63" s="8" t="s">
        <v>829</v>
      </c>
      <c r="C63" s="0" t="n">
        <v>1135</v>
      </c>
      <c r="D63" s="36" t="s">
        <v>1128</v>
      </c>
      <c r="E63" s="168" t="n">
        <v>-378.34</v>
      </c>
      <c r="F63" s="64"/>
      <c r="G63" s="64"/>
      <c r="H63" s="64"/>
    </row>
    <row r="64" customFormat="false" ht="12.75" hidden="false" customHeight="false" outlineLevel="0" collapsed="false">
      <c r="A64" s="102" t="n">
        <v>44982</v>
      </c>
      <c r="B64" s="8" t="s">
        <v>1125</v>
      </c>
      <c r="C64" s="0" t="n">
        <v>659.93</v>
      </c>
      <c r="D64" s="36" t="s">
        <v>1039</v>
      </c>
      <c r="E64" s="168" t="n">
        <v>-164.98</v>
      </c>
      <c r="F64" s="64"/>
      <c r="G64" s="64"/>
      <c r="H64" s="64"/>
    </row>
    <row r="65" customFormat="false" ht="12.75" hidden="false" customHeight="false" outlineLevel="0" collapsed="false">
      <c r="A65" s="102" t="n">
        <v>44995</v>
      </c>
      <c r="B65" s="8" t="s">
        <v>1127</v>
      </c>
      <c r="C65" s="0" t="n">
        <v>720.19</v>
      </c>
      <c r="D65" s="326" t="s">
        <v>1159</v>
      </c>
      <c r="E65" s="168" t="n">
        <v>-240.06</v>
      </c>
      <c r="F65" s="64"/>
      <c r="G65" s="64"/>
      <c r="H65" s="64"/>
    </row>
    <row r="66" customFormat="false" ht="12.75" hidden="false" customHeight="false" outlineLevel="0" collapsed="false">
      <c r="A66" s="102" t="n">
        <v>44995</v>
      </c>
      <c r="B66" s="8" t="s">
        <v>781</v>
      </c>
      <c r="C66" s="0" t="n">
        <v>613.91</v>
      </c>
      <c r="D66" s="36" t="s">
        <v>1160</v>
      </c>
      <c r="E66" s="168" t="n">
        <v>-61.39</v>
      </c>
      <c r="F66" s="64"/>
      <c r="G66" s="64"/>
      <c r="H66" s="64"/>
    </row>
    <row r="67" customFormat="false" ht="12.75" hidden="false" customHeight="false" outlineLevel="0" collapsed="false">
      <c r="A67" s="102" t="n">
        <v>44995</v>
      </c>
      <c r="B67" s="8" t="s">
        <v>1038</v>
      </c>
      <c r="C67" s="0" t="n">
        <v>2258.94</v>
      </c>
      <c r="D67" s="36" t="s">
        <v>615</v>
      </c>
      <c r="E67" s="168" t="n">
        <v>-376.49</v>
      </c>
      <c r="F67" s="64"/>
      <c r="G67" s="64"/>
      <c r="H67" s="64"/>
    </row>
    <row r="68" customFormat="false" ht="12.75" hidden="false" customHeight="false" outlineLevel="0" collapsed="false">
      <c r="A68" s="102" t="n">
        <v>45013</v>
      </c>
      <c r="B68" s="108" t="s">
        <v>1161</v>
      </c>
      <c r="C68" s="108"/>
      <c r="D68" s="108"/>
      <c r="E68" s="168" t="n">
        <v>-800</v>
      </c>
      <c r="F68" s="64"/>
      <c r="G68" s="64"/>
      <c r="H68" s="64"/>
    </row>
    <row r="69" customFormat="false" ht="12.75" hidden="false" customHeight="false" outlineLevel="0" collapsed="false">
      <c r="A69" s="102" t="n">
        <v>45013</v>
      </c>
      <c r="B69" s="8" t="s">
        <v>1162</v>
      </c>
      <c r="C69" s="108"/>
      <c r="D69" s="108"/>
      <c r="E69" s="168" t="n">
        <v>-294.9</v>
      </c>
      <c r="F69" s="64"/>
      <c r="G69" s="64"/>
      <c r="H69" s="64"/>
    </row>
    <row r="70" customFormat="false" ht="12.75" hidden="false" customHeight="false" outlineLevel="0" collapsed="false">
      <c r="A70" s="102" t="n">
        <v>45015</v>
      </c>
      <c r="B70" s="8" t="s">
        <v>1163</v>
      </c>
      <c r="E70" s="168" t="n">
        <v>-291.8</v>
      </c>
    </row>
    <row r="71" customFormat="false" ht="12.75" hidden="false" customHeight="false" outlineLevel="0" collapsed="false">
      <c r="A71" s="102" t="n">
        <v>45025</v>
      </c>
      <c r="E71" s="168" t="n">
        <v>-77.52</v>
      </c>
    </row>
    <row r="72" customFormat="false" ht="12.75" hidden="false" customHeight="false" outlineLevel="0" collapsed="false">
      <c r="A72" s="102" t="n">
        <v>45025</v>
      </c>
      <c r="B72" s="8" t="s">
        <v>423</v>
      </c>
      <c r="E72" s="168" t="n">
        <v>-158.64</v>
      </c>
    </row>
    <row r="73" customFormat="false" ht="12.75" hidden="false" customHeight="false" outlineLevel="0" collapsed="false">
      <c r="A73" s="102" t="n">
        <v>45037</v>
      </c>
      <c r="B73" s="8" t="s">
        <v>1067</v>
      </c>
      <c r="D73" s="36"/>
      <c r="E73" s="168" t="n">
        <v>-100</v>
      </c>
    </row>
    <row r="74" customFormat="false" ht="12.75" hidden="false" customHeight="false" outlineLevel="0" collapsed="false">
      <c r="A74" s="102" t="n">
        <v>45037</v>
      </c>
      <c r="B74" s="8" t="s">
        <v>1067</v>
      </c>
      <c r="E74" s="168" t="n">
        <v>-15</v>
      </c>
    </row>
    <row r="75" customFormat="false" ht="12.75" hidden="false" customHeight="false" outlineLevel="0" collapsed="false">
      <c r="A75" s="102" t="n">
        <v>45039</v>
      </c>
      <c r="B75" s="8" t="s">
        <v>1164</v>
      </c>
      <c r="E75" s="168" t="n">
        <v>-430</v>
      </c>
    </row>
    <row r="76" customFormat="false" ht="12.75" hidden="false" customHeight="false" outlineLevel="0" collapsed="false">
      <c r="A76" s="102" t="n">
        <v>45040</v>
      </c>
      <c r="B76" s="8" t="s">
        <v>1165</v>
      </c>
      <c r="E76" s="168" t="n">
        <v>-69.74</v>
      </c>
    </row>
    <row r="77" customFormat="false" ht="12.75" hidden="false" customHeight="false" outlineLevel="0" collapsed="false">
      <c r="A77" s="102" t="n">
        <v>45040</v>
      </c>
      <c r="B77" s="8" t="s">
        <v>1166</v>
      </c>
      <c r="E77" s="168" t="n">
        <v>-125</v>
      </c>
    </row>
    <row r="78" customFormat="false" ht="12.75" hidden="false" customHeight="false" outlineLevel="0" collapsed="false">
      <c r="A78" s="102"/>
      <c r="E78" s="168" t="s">
        <v>1167</v>
      </c>
    </row>
    <row r="80" customFormat="false" ht="12.75" hidden="false" customHeight="false" outlineLevel="0" collapsed="false">
      <c r="A80" s="105"/>
      <c r="B80" s="106" t="s">
        <v>85</v>
      </c>
      <c r="C80" s="105"/>
      <c r="D80" s="105"/>
      <c r="E80" s="206" t="n">
        <f aca="false">SUM(E81:E106)</f>
        <v>-221.54</v>
      </c>
    </row>
    <row r="81" customFormat="false" ht="12.75" hidden="false" customHeight="false" outlineLevel="0" collapsed="false">
      <c r="A81" s="102" t="n">
        <v>45013</v>
      </c>
      <c r="B81" s="108" t="s">
        <v>1168</v>
      </c>
      <c r="C81" s="108"/>
      <c r="D81" s="108"/>
      <c r="E81" s="168" t="n">
        <v>-221.54</v>
      </c>
      <c r="F81" s="64"/>
      <c r="G81" s="64"/>
      <c r="H81" s="64"/>
    </row>
    <row r="82" customFormat="false" ht="12.75" hidden="false" customHeight="false" outlineLevel="0" collapsed="false">
      <c r="A82" s="102"/>
      <c r="B82" s="108"/>
      <c r="C82" s="108"/>
      <c r="D82" s="108"/>
      <c r="E82" s="168" t="s">
        <v>1167</v>
      </c>
      <c r="F82" s="64"/>
      <c r="G82" s="64"/>
      <c r="H82" s="64"/>
    </row>
    <row r="83" customFormat="false" ht="12.75" hidden="false" customHeight="false" outlineLevel="0" collapsed="false">
      <c r="A83" s="102"/>
      <c r="B83" s="108"/>
      <c r="C83" s="108"/>
      <c r="D83" s="108"/>
      <c r="E83" s="168"/>
      <c r="F83" s="64"/>
      <c r="G83" s="64"/>
      <c r="H83" s="64"/>
    </row>
    <row r="84" customFormat="false" ht="12.75" hidden="false" customHeight="false" outlineLevel="0" collapsed="false">
      <c r="A84" s="102"/>
      <c r="B84" s="108"/>
      <c r="C84" s="108"/>
      <c r="D84" s="108"/>
      <c r="E84" s="168"/>
      <c r="F84" s="64"/>
      <c r="G84" s="64"/>
      <c r="H84" s="64"/>
    </row>
    <row r="85" customFormat="false" ht="12.75" hidden="false" customHeight="false" outlineLevel="0" collapsed="false">
      <c r="A85" s="102"/>
      <c r="B85" s="108"/>
      <c r="C85" s="108"/>
      <c r="D85" s="108"/>
      <c r="E85" s="168"/>
      <c r="F85" s="64"/>
      <c r="G85" s="64"/>
      <c r="H85" s="64"/>
    </row>
    <row r="86" customFormat="false" ht="12.75" hidden="false" customHeight="false" outlineLevel="0" collapsed="false">
      <c r="A86" s="102"/>
      <c r="B86" s="108"/>
      <c r="C86" s="108"/>
      <c r="D86" s="108"/>
      <c r="E86" s="168"/>
      <c r="F86" s="64"/>
      <c r="G86" s="64"/>
      <c r="H86" s="64"/>
    </row>
    <row r="87" customFormat="false" ht="12.75" hidden="false" customHeight="false" outlineLevel="0" collapsed="false">
      <c r="A87" s="102"/>
      <c r="B87" s="108"/>
      <c r="C87" s="108"/>
      <c r="D87" s="108"/>
      <c r="E87" s="168"/>
      <c r="F87" s="64"/>
      <c r="G87" s="64"/>
      <c r="H87" s="64"/>
    </row>
    <row r="88" customFormat="false" ht="12.75" hidden="false" customHeight="false" outlineLevel="0" collapsed="false">
      <c r="A88" s="102"/>
      <c r="B88" s="108"/>
      <c r="C88" s="108"/>
      <c r="D88" s="108"/>
      <c r="E88" s="168"/>
      <c r="F88" s="64"/>
      <c r="G88" s="64"/>
      <c r="H88" s="64"/>
    </row>
    <row r="89" customFormat="false" ht="12.75" hidden="false" customHeight="false" outlineLevel="0" collapsed="false">
      <c r="A89" s="102"/>
      <c r="B89" s="108"/>
      <c r="C89" s="108"/>
      <c r="D89" s="108"/>
      <c r="E89" s="168"/>
      <c r="F89" s="64"/>
      <c r="G89" s="64"/>
      <c r="H89" s="64"/>
    </row>
    <row r="90" customFormat="false" ht="12.75" hidden="false" customHeight="false" outlineLevel="0" collapsed="false">
      <c r="A90" s="102"/>
      <c r="B90" s="108"/>
      <c r="C90" s="108"/>
      <c r="D90" s="108"/>
      <c r="E90" s="168"/>
      <c r="F90" s="64"/>
      <c r="G90" s="64"/>
      <c r="H90" s="64"/>
    </row>
    <row r="91" customFormat="false" ht="12.75" hidden="false" customHeight="false" outlineLevel="0" collapsed="false">
      <c r="A91" s="102"/>
      <c r="B91" s="108"/>
      <c r="C91" s="108"/>
      <c r="D91" s="108"/>
      <c r="E91" s="168"/>
      <c r="F91" s="64"/>
      <c r="G91" s="64"/>
      <c r="H91" s="64"/>
    </row>
    <row r="92" customFormat="false" ht="12.75" hidden="false" customHeight="false" outlineLevel="0" collapsed="false">
      <c r="A92" s="102"/>
      <c r="B92" s="108"/>
      <c r="C92" s="108"/>
      <c r="D92" s="108"/>
      <c r="E92" s="168"/>
      <c r="F92" s="64"/>
      <c r="G92" s="64"/>
      <c r="H92" s="64"/>
    </row>
    <row r="93" customFormat="false" ht="12.75" hidden="false" customHeight="false" outlineLevel="0" collapsed="false">
      <c r="A93" s="102"/>
      <c r="B93" s="108"/>
      <c r="C93" s="108"/>
      <c r="D93" s="108"/>
      <c r="E93" s="168"/>
      <c r="F93" s="64"/>
      <c r="G93" s="64"/>
      <c r="H93" s="64"/>
    </row>
    <row r="94" customFormat="false" ht="12.75" hidden="false" customHeight="false" outlineLevel="0" collapsed="false">
      <c r="A94" s="102"/>
      <c r="B94" s="108"/>
      <c r="C94" s="108"/>
      <c r="D94" s="108"/>
      <c r="E94" s="168"/>
      <c r="F94" s="64"/>
      <c r="G94" s="64"/>
      <c r="H94" s="64"/>
    </row>
    <row r="95" customFormat="false" ht="12.75" hidden="false" customHeight="false" outlineLevel="0" collapsed="false">
      <c r="A95" s="102"/>
      <c r="B95" s="108"/>
      <c r="C95" s="108"/>
      <c r="D95" s="108"/>
      <c r="E95" s="168"/>
      <c r="F95" s="64"/>
      <c r="G95" s="64"/>
      <c r="H95" s="64"/>
    </row>
    <row r="96" customFormat="false" ht="12.75" hidden="false" customHeight="false" outlineLevel="0" collapsed="false">
      <c r="A96" s="102"/>
      <c r="B96" s="108"/>
      <c r="C96" s="108"/>
      <c r="D96" s="108"/>
      <c r="E96" s="168"/>
      <c r="F96" s="64"/>
      <c r="G96" s="64"/>
      <c r="H96" s="64"/>
    </row>
    <row r="97" customFormat="false" ht="12.75" hidden="false" customHeight="false" outlineLevel="0" collapsed="false">
      <c r="A97" s="102"/>
      <c r="B97" s="108"/>
      <c r="C97" s="108"/>
      <c r="D97" s="108"/>
      <c r="E97" s="168"/>
      <c r="F97" s="64"/>
      <c r="G97" s="64"/>
      <c r="H97" s="64"/>
    </row>
    <row r="98" customFormat="false" ht="12.75" hidden="false" customHeight="false" outlineLevel="0" collapsed="false">
      <c r="A98" s="102"/>
      <c r="B98" s="108"/>
      <c r="C98" s="108"/>
      <c r="D98" s="108"/>
      <c r="E98" s="168"/>
      <c r="F98" s="64"/>
      <c r="G98" s="64"/>
      <c r="H98" s="64"/>
    </row>
    <row r="99" customFormat="false" ht="12.75" hidden="false" customHeight="false" outlineLevel="0" collapsed="false">
      <c r="A99" s="102"/>
      <c r="B99" s="108"/>
      <c r="C99" s="108"/>
      <c r="D99" s="108"/>
      <c r="E99" s="168"/>
      <c r="F99" s="64"/>
      <c r="G99" s="64"/>
      <c r="H99" s="64"/>
    </row>
    <row r="100" customFormat="false" ht="12.75" hidden="false" customHeight="false" outlineLevel="0" collapsed="false">
      <c r="A100" s="102"/>
      <c r="B100" s="108"/>
      <c r="C100" s="108"/>
      <c r="D100" s="108"/>
      <c r="E100" s="168"/>
      <c r="F100" s="64"/>
      <c r="G100" s="64"/>
      <c r="H100" s="64"/>
    </row>
    <row r="101" customFormat="false" ht="12.75" hidden="false" customHeight="false" outlineLevel="0" collapsed="false">
      <c r="A101" s="102"/>
      <c r="B101" s="108"/>
      <c r="C101" s="108"/>
      <c r="D101" s="108"/>
      <c r="E101" s="168"/>
      <c r="F101" s="64"/>
      <c r="G101" s="64"/>
      <c r="H101" s="64"/>
    </row>
    <row r="102" customFormat="false" ht="12.75" hidden="false" customHeight="false" outlineLevel="0" collapsed="false">
      <c r="A102" s="102"/>
      <c r="B102" s="108"/>
      <c r="C102" s="108"/>
      <c r="D102" s="108"/>
      <c r="E102" s="168"/>
      <c r="F102" s="64"/>
      <c r="G102" s="64"/>
      <c r="H102" s="64"/>
    </row>
    <row r="103" customFormat="false" ht="12.75" hidden="false" customHeight="false" outlineLevel="0" collapsed="false">
      <c r="A103" s="102"/>
      <c r="B103" s="108"/>
      <c r="C103" s="108"/>
      <c r="D103" s="108"/>
      <c r="E103" s="168"/>
      <c r="F103" s="64"/>
      <c r="G103" s="64"/>
      <c r="H103" s="64"/>
    </row>
    <row r="104" customFormat="false" ht="12.75" hidden="false" customHeight="false" outlineLevel="0" collapsed="false">
      <c r="A104" s="102"/>
      <c r="B104" s="108"/>
      <c r="C104" s="108"/>
      <c r="D104" s="108"/>
      <c r="E104" s="168"/>
      <c r="F104" s="64"/>
      <c r="G104" s="64"/>
      <c r="H104" s="64"/>
    </row>
    <row r="105" customFormat="false" ht="12.75" hidden="false" customHeight="false" outlineLevel="0" collapsed="false">
      <c r="A105" s="102"/>
      <c r="B105" s="108"/>
      <c r="C105" s="108"/>
      <c r="D105" s="108"/>
      <c r="E105" s="168"/>
      <c r="F105" s="64"/>
      <c r="G105" s="64"/>
      <c r="H105" s="64"/>
    </row>
    <row r="106" customFormat="false" ht="12.75" hidden="false" customHeight="false" outlineLevel="0" collapsed="false">
      <c r="A106" s="102"/>
      <c r="B106" s="108"/>
      <c r="C106" s="108"/>
      <c r="D106" s="108"/>
      <c r="E106" s="168"/>
      <c r="F106" s="64"/>
      <c r="G106" s="64"/>
      <c r="H106" s="64"/>
    </row>
    <row r="107" customFormat="false" ht="12.75" hidden="false" customHeight="false" outlineLevel="0" collapsed="false">
      <c r="A107" s="102"/>
      <c r="B107" s="108"/>
      <c r="C107" s="108"/>
      <c r="D107" s="108"/>
      <c r="E107" s="168"/>
      <c r="F107" s="64"/>
      <c r="G107" s="64"/>
      <c r="H107" s="64"/>
    </row>
    <row r="108" customFormat="false" ht="12.75" hidden="false" customHeight="false" outlineLevel="0" collapsed="false">
      <c r="A108" s="102"/>
      <c r="B108" s="109"/>
      <c r="E108" s="168"/>
    </row>
    <row r="111" customFormat="false" ht="12.75" hidden="false" customHeight="false" outlineLevel="0" collapsed="false">
      <c r="A111" s="117" t="s">
        <v>1169</v>
      </c>
      <c r="B111" s="106" t="s">
        <v>1143</v>
      </c>
      <c r="C111" s="105"/>
      <c r="D111" s="163"/>
      <c r="E111" s="164" t="n">
        <f aca="false">SUM(E112:E120)</f>
        <v>358028.34</v>
      </c>
    </row>
    <row r="112" customFormat="false" ht="12.75" hidden="false" customHeight="false" outlineLevel="0" collapsed="false">
      <c r="A112" s="102" t="n">
        <v>45077</v>
      </c>
      <c r="B112" s="8" t="s">
        <v>77</v>
      </c>
      <c r="C112" s="2"/>
      <c r="D112" s="2"/>
      <c r="E112" s="17" t="n">
        <v>64000</v>
      </c>
    </row>
    <row r="113" customFormat="false" ht="12.75" hidden="false" customHeight="false" outlineLevel="0" collapsed="false">
      <c r="A113" s="102" t="n">
        <v>45077</v>
      </c>
      <c r="B113" s="8" t="s">
        <v>1078</v>
      </c>
      <c r="C113" s="2"/>
      <c r="D113" s="2"/>
      <c r="E113" s="17" t="n">
        <v>53088</v>
      </c>
    </row>
    <row r="114" customFormat="false" ht="12.75" hidden="false" customHeight="false" outlineLevel="0" collapsed="false">
      <c r="A114" s="102" t="n">
        <v>45077</v>
      </c>
      <c r="B114" s="8" t="s">
        <v>309</v>
      </c>
      <c r="C114" s="2"/>
      <c r="D114" s="2"/>
      <c r="E114" s="17" t="n">
        <v>28049.84</v>
      </c>
    </row>
    <row r="115" customFormat="false" ht="12.75" hidden="false" customHeight="false" outlineLevel="0" collapsed="false">
      <c r="A115" s="102" t="n">
        <v>45077</v>
      </c>
      <c r="B115" s="8" t="s">
        <v>310</v>
      </c>
      <c r="C115" s="2"/>
      <c r="D115" s="2"/>
      <c r="E115" s="17" t="n">
        <v>6000.59</v>
      </c>
    </row>
    <row r="116" customFormat="false" ht="12.75" hidden="false" customHeight="false" outlineLevel="0" collapsed="false">
      <c r="A116" s="102" t="n">
        <v>45077</v>
      </c>
      <c r="B116" s="8" t="s">
        <v>1015</v>
      </c>
      <c r="C116" s="2" t="n">
        <v>1288.25</v>
      </c>
      <c r="D116" s="2" t="n">
        <v>111</v>
      </c>
      <c r="E116" s="17" t="n">
        <f aca="false">D116*C116</f>
        <v>142995.75</v>
      </c>
    </row>
    <row r="117" customFormat="false" ht="12.75" hidden="false" customHeight="false" outlineLevel="0" collapsed="false">
      <c r="A117" s="102" t="n">
        <v>45077</v>
      </c>
      <c r="B117" s="8" t="s">
        <v>1112</v>
      </c>
      <c r="C117" s="2" t="n">
        <v>20.4752</v>
      </c>
      <c r="D117" s="2" t="n">
        <v>850</v>
      </c>
      <c r="E117" s="17" t="n">
        <f aca="false">D117*C117</f>
        <v>17403.92</v>
      </c>
    </row>
    <row r="118" customFormat="false" ht="12.75" hidden="false" customHeight="false" outlineLevel="0" collapsed="false">
      <c r="A118" s="102" t="n">
        <v>45077</v>
      </c>
      <c r="B118" s="8" t="s">
        <v>1113</v>
      </c>
      <c r="C118" s="2" t="n">
        <v>21.9024</v>
      </c>
      <c r="D118" s="2" t="n">
        <v>100</v>
      </c>
      <c r="E118" s="17" t="n">
        <f aca="false">D118*C118</f>
        <v>2190.24</v>
      </c>
    </row>
    <row r="119" customFormat="false" ht="12.75" hidden="false" customHeight="false" outlineLevel="0" collapsed="false">
      <c r="A119" s="102" t="n">
        <v>45077</v>
      </c>
      <c r="B119" s="8" t="s">
        <v>155</v>
      </c>
      <c r="C119" s="2"/>
      <c r="D119" s="2"/>
      <c r="E119" s="17" t="n">
        <v>42600</v>
      </c>
    </row>
    <row r="120" customFormat="false" ht="12.75" hidden="false" customHeight="false" outlineLevel="0" collapsed="false">
      <c r="A120" s="102"/>
      <c r="B120" s="8" t="s">
        <v>156</v>
      </c>
      <c r="C120" s="2"/>
      <c r="D120" s="2"/>
      <c r="E120" s="17" t="n">
        <v>1700</v>
      </c>
    </row>
    <row r="121" customFormat="false" ht="12.75" hidden="false" customHeight="false" outlineLevel="0" collapsed="false">
      <c r="D121" s="18" t="s">
        <v>1144</v>
      </c>
      <c r="E121" s="64" t="n">
        <f aca="false">H3</f>
        <v>0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18" t="s">
        <v>158</v>
      </c>
      <c r="E123" s="8" t="n">
        <f aca="false">SUM(E112:E122)</f>
        <v>358028.34</v>
      </c>
    </row>
    <row r="133" customFormat="false" ht="12.75" hidden="false" customHeight="false" outlineLevel="0" collapsed="false">
      <c r="A133" s="105"/>
      <c r="B133" s="106"/>
      <c r="C133" s="105"/>
      <c r="D133" s="163"/>
      <c r="E133" s="164"/>
    </row>
    <row r="134" customFormat="false" ht="12.75" hidden="false" customHeight="false" outlineLevel="0" collapsed="false">
      <c r="A134" s="102"/>
      <c r="C134" s="2"/>
      <c r="D134" s="2"/>
      <c r="E134" s="17"/>
    </row>
    <row r="135" customFormat="false" ht="12.75" hidden="false" customHeight="false" outlineLevel="0" collapsed="false">
      <c r="A135" s="102"/>
      <c r="C135" s="2"/>
      <c r="D135" s="2"/>
      <c r="E135" s="17"/>
    </row>
    <row r="136" customFormat="false" ht="12.75" hidden="false" customHeight="false" outlineLevel="0" collapsed="false">
      <c r="A136" s="102"/>
      <c r="C136" s="2"/>
      <c r="D136" s="2"/>
      <c r="E136" s="17"/>
    </row>
    <row r="137" customFormat="false" ht="12.75" hidden="false" customHeight="false" outlineLevel="0" collapsed="false">
      <c r="A137" s="102"/>
      <c r="C137" s="2"/>
      <c r="D137" s="2"/>
      <c r="E137" s="17"/>
    </row>
    <row r="138" customFormat="false" ht="12.75" hidden="false" customHeight="false" outlineLevel="0" collapsed="false">
      <c r="A138" s="102"/>
      <c r="C138" s="2"/>
      <c r="D138" s="2"/>
      <c r="E138" s="17"/>
    </row>
    <row r="139" customFormat="false" ht="12.75" hidden="false" customHeight="false" outlineLevel="0" collapsed="false">
      <c r="A139" s="102"/>
      <c r="C139" s="2"/>
      <c r="D139" s="2"/>
      <c r="E139" s="17"/>
    </row>
    <row r="140" customFormat="false" ht="12.75" hidden="false" customHeight="false" outlineLevel="0" collapsed="false">
      <c r="A140" s="102"/>
      <c r="C140" s="2"/>
      <c r="D140" s="2"/>
      <c r="E140" s="17"/>
    </row>
    <row r="141" customFormat="false" ht="12.75" hidden="false" customHeight="false" outlineLevel="0" collapsed="false">
      <c r="A141" s="102"/>
      <c r="C141" s="2"/>
      <c r="D141" s="2"/>
      <c r="E141" s="17"/>
    </row>
    <row r="142" customFormat="false" ht="12.75" hidden="false" customHeight="false" outlineLevel="0" collapsed="false">
      <c r="A142" s="102"/>
      <c r="C142" s="2"/>
      <c r="D142" s="2"/>
      <c r="E142" s="17"/>
    </row>
    <row r="143" customFormat="false" ht="12.75" hidden="false" customHeight="false" outlineLevel="0" collapsed="false">
      <c r="D143" s="18"/>
      <c r="E143" s="64"/>
    </row>
    <row r="144" customFormat="false" ht="12.75" hidden="false" customHeight="false" outlineLevel="0" collapsed="false">
      <c r="D144" s="3"/>
    </row>
    <row r="145" customFormat="false" ht="12.75" hidden="false" customHeight="false" outlineLevel="0" collapsed="false">
      <c r="D145" s="18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8" colorId="64" zoomScale="170" zoomScaleNormal="170" zoomScalePageLayoutView="100" workbookViewId="0">
      <selection pane="topLeft" activeCell="A8" activeCellId="0" sqref="A8"/>
    </sheetView>
  </sheetViews>
  <sheetFormatPr defaultColWidth="12.29296875" defaultRowHeight="12.7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9.43"/>
    <col collapsed="false" customWidth="true" hidden="false" outlineLevel="0" max="4" min="4" style="0" width="10.14"/>
    <col collapsed="false" customWidth="true" hidden="false" outlineLevel="0" max="5" min="5" style="0" width="10.86"/>
    <col collapsed="false" customWidth="true" hidden="false" outlineLevel="0" max="6" min="6" style="0" width="9.43"/>
    <col collapsed="false" customWidth="true" hidden="false" outlineLevel="0" max="7" min="7" style="0" width="11.14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E1" s="194"/>
      <c r="F1" s="194" t="s">
        <v>28</v>
      </c>
      <c r="G1" s="194" t="s">
        <v>29</v>
      </c>
      <c r="H1" s="194" t="s">
        <v>3</v>
      </c>
    </row>
    <row r="2" customFormat="false" ht="12.75" hidden="false" customHeight="false" outlineLevel="0" collapsed="false">
      <c r="A2" s="3" t="s">
        <v>1170</v>
      </c>
      <c r="C2" s="81" t="s">
        <v>67</v>
      </c>
      <c r="D2" s="311" t="n">
        <f aca="false">SUM(D4:D35)</f>
        <v>20911</v>
      </c>
      <c r="E2" s="311" t="n">
        <f aca="false">SUM(E4:E26)</f>
        <v>-54277.093</v>
      </c>
      <c r="F2" s="311" t="n">
        <f aca="false">SUM(F4:F36)</f>
        <v>72630</v>
      </c>
      <c r="G2" s="311" t="n">
        <f aca="false">SUM(G4:G36)</f>
        <v>-58332.79</v>
      </c>
      <c r="H2" s="311" t="n">
        <f aca="false">F2+G2</f>
        <v>14297.21</v>
      </c>
    </row>
    <row r="3" customFormat="false" ht="12.75" hidden="false" customHeight="false" outlineLevel="0" collapsed="false">
      <c r="B3" s="18"/>
      <c r="H3" s="64"/>
    </row>
    <row r="4" customFormat="false" ht="12.75" hidden="false" customHeight="false" outlineLevel="0" collapsed="false">
      <c r="B4" s="103" t="s">
        <v>80</v>
      </c>
      <c r="C4" s="103"/>
      <c r="D4" s="103"/>
      <c r="E4" s="64" t="n">
        <v>-400</v>
      </c>
      <c r="G4" s="64" t="n">
        <v>-207</v>
      </c>
      <c r="H4" s="64" t="n">
        <f aca="false">H3+F4+G4</f>
        <v>-207</v>
      </c>
    </row>
    <row r="5" customFormat="false" ht="12.75" hidden="false" customHeight="false" outlineLevel="0" collapsed="false">
      <c r="B5" s="103" t="s">
        <v>81</v>
      </c>
      <c r="C5" s="103"/>
      <c r="D5" s="103"/>
      <c r="E5" s="64" t="n">
        <v>-500</v>
      </c>
      <c r="G5" s="64" t="n">
        <v>-456</v>
      </c>
      <c r="H5" s="64" t="n">
        <f aca="false">H4+F5+G5</f>
        <v>-663</v>
      </c>
    </row>
    <row r="6" customFormat="false" ht="12.75" hidden="false" customHeight="false" outlineLevel="0" collapsed="false">
      <c r="A6" s="102" t="n">
        <v>45019</v>
      </c>
      <c r="B6" s="103" t="s">
        <v>642</v>
      </c>
      <c r="C6" s="103"/>
      <c r="D6" s="103"/>
      <c r="E6" s="64" t="n">
        <v>-4300</v>
      </c>
      <c r="G6" s="64" t="n">
        <v>-4300</v>
      </c>
      <c r="H6" s="64" t="n">
        <f aca="false">H5+F6+G6</f>
        <v>-4963</v>
      </c>
    </row>
    <row r="7" customFormat="false" ht="12.75" hidden="false" customHeight="false" outlineLevel="0" collapsed="false">
      <c r="A7" s="102" t="n">
        <v>45019</v>
      </c>
      <c r="B7" s="103" t="s">
        <v>636</v>
      </c>
      <c r="C7" s="103"/>
      <c r="D7" s="103"/>
      <c r="E7" s="64" t="n">
        <v>-674.74</v>
      </c>
      <c r="F7" s="168"/>
      <c r="G7" s="64" t="n">
        <v>-670.27</v>
      </c>
      <c r="H7" s="64" t="n">
        <f aca="false">H6+F7+G7</f>
        <v>-5633.27</v>
      </c>
    </row>
    <row r="8" customFormat="false" ht="12.75" hidden="false" customHeight="false" outlineLevel="0" collapsed="false">
      <c r="A8" s="102" t="s">
        <v>1171</v>
      </c>
      <c r="B8" s="103" t="s">
        <v>75</v>
      </c>
      <c r="C8" s="103"/>
      <c r="D8" s="103"/>
      <c r="E8" s="64" t="n">
        <v>-150</v>
      </c>
      <c r="F8" s="168"/>
      <c r="G8" s="64" t="n">
        <v>-139.9</v>
      </c>
      <c r="H8" s="64" t="n">
        <f aca="false">H7+F8+G8</f>
        <v>-5773.17</v>
      </c>
    </row>
    <row r="9" customFormat="false" ht="12.75" hidden="false" customHeight="false" outlineLevel="0" collapsed="false">
      <c r="B9" s="108" t="s">
        <v>73</v>
      </c>
      <c r="C9" s="108"/>
      <c r="D9" s="108"/>
      <c r="E9" s="64" t="n">
        <v>-1000</v>
      </c>
      <c r="F9" s="64"/>
      <c r="G9" s="64" t="n">
        <v>-1148</v>
      </c>
      <c r="H9" s="64" t="n">
        <f aca="false">H8+F9+G9</f>
        <v>-6921.17</v>
      </c>
    </row>
    <row r="10" customFormat="false" ht="12.75" hidden="false" customHeight="false" outlineLevel="0" collapsed="false">
      <c r="B10" s="108" t="s">
        <v>74</v>
      </c>
      <c r="C10" s="108"/>
      <c r="D10" s="108"/>
      <c r="E10" s="64" t="n">
        <v>-150</v>
      </c>
      <c r="F10" s="64"/>
      <c r="G10" s="64" t="n">
        <v>-93.5</v>
      </c>
      <c r="H10" s="64" t="n">
        <f aca="false">H9+F10+G10</f>
        <v>-7014.67</v>
      </c>
    </row>
    <row r="11" customFormat="false" ht="12.75" hidden="false" customHeight="false" outlineLevel="0" collapsed="false">
      <c r="B11" s="183" t="s">
        <v>72</v>
      </c>
      <c r="D11" s="64"/>
      <c r="E11" s="64" t="n">
        <f aca="false">D48*-1</f>
        <v>-107.14</v>
      </c>
      <c r="F11" s="64"/>
      <c r="G11" s="64" t="n">
        <v>-107.14</v>
      </c>
      <c r="H11" s="64" t="n">
        <f aca="false">H10+F11+G11</f>
        <v>-7121.81</v>
      </c>
    </row>
    <row r="12" customFormat="false" ht="12.75" hidden="false" customHeight="false" outlineLevel="0" collapsed="false">
      <c r="B12" s="183" t="s">
        <v>68</v>
      </c>
      <c r="E12" s="64" t="n">
        <f aca="false">E54</f>
        <v>-5461.223</v>
      </c>
      <c r="F12" s="64"/>
      <c r="G12" s="64" t="n">
        <v>-5461.22</v>
      </c>
      <c r="H12" s="64" t="n">
        <f aca="false">H11+F12+G12</f>
        <v>-12583.03</v>
      </c>
    </row>
    <row r="13" customFormat="false" ht="12.75" hidden="false" customHeight="false" outlineLevel="0" collapsed="false">
      <c r="B13" s="183" t="s">
        <v>69</v>
      </c>
      <c r="E13" s="64" t="n">
        <f aca="false">E78</f>
        <v>-31033.99</v>
      </c>
      <c r="F13" s="64"/>
      <c r="G13" s="64" t="n">
        <v>-31033.99</v>
      </c>
      <c r="H13" s="64" t="n">
        <f aca="false">H12+F13+G13</f>
        <v>-43617.02</v>
      </c>
    </row>
    <row r="14" customFormat="false" ht="12.75" hidden="false" customHeight="false" outlineLevel="0" collapsed="false">
      <c r="B14" s="0" t="s">
        <v>77</v>
      </c>
      <c r="E14" s="64" t="n">
        <v>-3500</v>
      </c>
      <c r="F14" s="64"/>
      <c r="G14" s="64" t="n">
        <v>-3500</v>
      </c>
      <c r="H14" s="64" t="n">
        <f aca="false">H13+F14+G14</f>
        <v>-47117.02</v>
      </c>
    </row>
    <row r="15" customFormat="false" ht="12.75" hidden="false" customHeight="false" outlineLevel="0" collapsed="false">
      <c r="B15" s="0" t="s">
        <v>1084</v>
      </c>
      <c r="E15" s="64"/>
      <c r="F15" s="64"/>
      <c r="G15" s="64" t="n">
        <v>-1000</v>
      </c>
      <c r="H15" s="64" t="n">
        <f aca="false">H14+F15+G15</f>
        <v>-48117.02</v>
      </c>
    </row>
    <row r="16" customFormat="false" ht="12.75" hidden="false" customHeight="false" outlineLevel="0" collapsed="false">
      <c r="B16" s="0" t="s">
        <v>78</v>
      </c>
      <c r="E16" s="64" t="n">
        <v>-3500</v>
      </c>
      <c r="F16" s="64"/>
      <c r="G16" s="64" t="n">
        <v>-3500</v>
      </c>
      <c r="H16" s="64" t="n">
        <f aca="false">H15+F16+G16</f>
        <v>-51617.02</v>
      </c>
    </row>
    <row r="17" customFormat="false" ht="12.75" hidden="false" customHeight="false" outlineLevel="0" collapsed="false">
      <c r="B17" s="0" t="s">
        <v>1083</v>
      </c>
      <c r="E17" s="64"/>
      <c r="F17" s="64"/>
      <c r="G17" s="64" t="n">
        <v>-1000</v>
      </c>
      <c r="H17" s="64" t="n">
        <f aca="false">H16+F17+G17</f>
        <v>-52617.02</v>
      </c>
    </row>
    <row r="18" customFormat="false" ht="12.75" hidden="false" customHeight="false" outlineLevel="0" collapsed="false">
      <c r="B18" s="0" t="s">
        <v>79</v>
      </c>
      <c r="E18" s="64" t="n">
        <v>-3500</v>
      </c>
      <c r="F18" s="64"/>
      <c r="G18" s="64" t="n">
        <v>-3500</v>
      </c>
      <c r="H18" s="64" t="n">
        <f aca="false">H17+F18+G18</f>
        <v>-56117.02</v>
      </c>
    </row>
    <row r="19" customFormat="false" ht="12.75" hidden="false" customHeight="false" outlineLevel="0" collapsed="false">
      <c r="B19" s="0" t="s">
        <v>2</v>
      </c>
      <c r="D19" s="0" t="n">
        <v>1111</v>
      </c>
      <c r="E19" s="64"/>
      <c r="F19" s="64" t="n">
        <v>6000</v>
      </c>
      <c r="G19" s="64"/>
      <c r="H19" s="64" t="n">
        <f aca="false">H18+F19+G19</f>
        <v>-50117.02</v>
      </c>
    </row>
    <row r="20" customFormat="false" ht="12.75" hidden="false" customHeight="false" outlineLevel="0" collapsed="false">
      <c r="B20" s="0" t="s">
        <v>76</v>
      </c>
      <c r="D20" s="191" t="n">
        <v>7500</v>
      </c>
      <c r="F20" s="168" t="n">
        <v>7500</v>
      </c>
      <c r="G20" s="64"/>
      <c r="H20" s="64" t="n">
        <f aca="false">H19+F20+G20</f>
        <v>-42617.02</v>
      </c>
    </row>
    <row r="21" customFormat="false" ht="12.75" hidden="false" customHeight="false" outlineLevel="0" collapsed="false">
      <c r="B21" s="0" t="s">
        <v>1172</v>
      </c>
      <c r="D21" s="191" t="n">
        <v>2000</v>
      </c>
      <c r="F21" s="168" t="n">
        <v>2000</v>
      </c>
      <c r="G21" s="64"/>
      <c r="H21" s="64" t="n">
        <f aca="false">H20+F21+G21</f>
        <v>-40617.02</v>
      </c>
    </row>
    <row r="22" customFormat="false" ht="12.75" hidden="false" customHeight="false" outlineLevel="0" collapsed="false">
      <c r="B22" s="0" t="s">
        <v>681</v>
      </c>
      <c r="D22" s="191" t="n">
        <v>2800</v>
      </c>
      <c r="F22" s="64" t="n">
        <v>2800</v>
      </c>
      <c r="G22" s="64"/>
      <c r="H22" s="64" t="n">
        <f aca="false">H21+F22+G22</f>
        <v>-37817.02</v>
      </c>
    </row>
    <row r="23" customFormat="false" ht="12.75" hidden="false" customHeight="false" outlineLevel="0" collapsed="false">
      <c r="B23" s="0" t="s">
        <v>1173</v>
      </c>
      <c r="D23" s="191" t="n">
        <v>6500</v>
      </c>
      <c r="F23" s="64" t="n">
        <v>6500</v>
      </c>
      <c r="G23" s="64"/>
      <c r="H23" s="64" t="n">
        <f aca="false">H22+F23+G23</f>
        <v>-31317.02</v>
      </c>
    </row>
    <row r="24" customFormat="false" ht="12.75" hidden="false" customHeight="false" outlineLevel="0" collapsed="false">
      <c r="B24" s="0" t="s">
        <v>1174</v>
      </c>
      <c r="D24" s="327" t="n">
        <v>1000</v>
      </c>
      <c r="H24" s="64" t="n">
        <f aca="false">H23+F24+G24</f>
        <v>-31317.02</v>
      </c>
    </row>
    <row r="25" customFormat="false" ht="12.75" hidden="false" customHeight="false" outlineLevel="0" collapsed="false">
      <c r="A25" s="102" t="n">
        <v>45028</v>
      </c>
      <c r="B25" s="8" t="s">
        <v>1175</v>
      </c>
      <c r="D25" s="104"/>
      <c r="F25" s="64" t="n">
        <v>13000</v>
      </c>
      <c r="G25" s="64"/>
      <c r="H25" s="64" t="n">
        <f aca="false">H24+F25+G25</f>
        <v>-18317.02</v>
      </c>
    </row>
    <row r="26" customFormat="false" ht="12.75" hidden="false" customHeight="false" outlineLevel="0" collapsed="false">
      <c r="A26" s="102"/>
      <c r="B26" s="8" t="s">
        <v>1176</v>
      </c>
      <c r="D26" s="104"/>
      <c r="H26" s="64" t="n">
        <f aca="false">H25+F26+G26</f>
        <v>-18317.02</v>
      </c>
    </row>
    <row r="27" customFormat="false" ht="12.75" hidden="false" customHeight="false" outlineLevel="0" collapsed="false">
      <c r="A27" s="102" t="n">
        <v>45042</v>
      </c>
      <c r="B27" s="8" t="s">
        <v>1177</v>
      </c>
      <c r="F27" s="64" t="n">
        <v>28080</v>
      </c>
      <c r="G27" s="64"/>
      <c r="H27" s="64" t="n">
        <f aca="false">H26+F27+G27</f>
        <v>9762.98</v>
      </c>
    </row>
    <row r="28" customFormat="false" ht="12.75" hidden="false" customHeight="false" outlineLevel="0" collapsed="false">
      <c r="A28" s="102" t="n">
        <v>45042</v>
      </c>
      <c r="B28" s="8" t="s">
        <v>1178</v>
      </c>
      <c r="F28" s="64"/>
      <c r="G28" s="64" t="n">
        <v>-600</v>
      </c>
      <c r="H28" s="64" t="n">
        <f aca="false">H27+F28+G28</f>
        <v>9162.98</v>
      </c>
    </row>
    <row r="29" customFormat="false" ht="12.75" hidden="false" customHeight="false" outlineLevel="0" collapsed="false">
      <c r="A29" s="102" t="n">
        <v>45042</v>
      </c>
      <c r="B29" s="8" t="s">
        <v>1179</v>
      </c>
      <c r="F29" s="64"/>
      <c r="G29" s="64" t="n">
        <v>-1615.77</v>
      </c>
      <c r="H29" s="64" t="n">
        <f aca="false">H28+F29+G29</f>
        <v>7547.21</v>
      </c>
    </row>
    <row r="30" customFormat="false" ht="12.75" hidden="false" customHeight="false" outlineLevel="0" collapsed="false">
      <c r="A30" s="102" t="n">
        <v>45042</v>
      </c>
      <c r="B30" s="8" t="s">
        <v>1180</v>
      </c>
      <c r="F30" s="168" t="n">
        <v>6750</v>
      </c>
      <c r="G30" s="64"/>
      <c r="H30" s="168" t="n">
        <f aca="false">H29+F30+G30</f>
        <v>14297.21</v>
      </c>
    </row>
    <row r="31" customFormat="false" ht="12.75" hidden="false" customHeight="false" outlineLevel="0" collapsed="false">
      <c r="F31" s="64"/>
      <c r="G31" s="64"/>
      <c r="H31" s="64"/>
    </row>
    <row r="32" customFormat="false" ht="12.75" hidden="false" customHeight="false" outlineLevel="0" collapsed="false">
      <c r="F32" s="64"/>
      <c r="G32" s="64"/>
      <c r="H32" s="64"/>
    </row>
    <row r="33" customFormat="false" ht="12.75" hidden="false" customHeight="false" outlineLevel="0" collapsed="false">
      <c r="F33" s="64"/>
      <c r="G33" s="64"/>
      <c r="H33" s="64"/>
    </row>
    <row r="34" customFormat="false" ht="12.75" hidden="false" customHeight="false" outlineLevel="0" collapsed="false">
      <c r="F34" s="64"/>
      <c r="G34" s="64"/>
      <c r="H34" s="64"/>
    </row>
    <row r="35" customFormat="false" ht="12.75" hidden="false" customHeight="false" outlineLevel="0" collapsed="false">
      <c r="E35" s="64"/>
      <c r="G35" s="64"/>
      <c r="H35" s="64"/>
    </row>
    <row r="36" customFormat="false" ht="12.75" hidden="false" customHeight="false" outlineLevel="0" collapsed="false">
      <c r="B36" s="0" t="s">
        <v>334</v>
      </c>
      <c r="E36" s="64"/>
      <c r="G36" s="64"/>
      <c r="H36" s="64"/>
    </row>
    <row r="37" customFormat="false" ht="12.75" hidden="false" customHeight="false" outlineLevel="0" collapsed="false">
      <c r="A37" s="105" t="s">
        <v>335</v>
      </c>
      <c r="B37" s="105"/>
      <c r="C37" s="105"/>
      <c r="D37" s="105"/>
      <c r="E37" s="163"/>
      <c r="G37" s="64"/>
      <c r="H37" s="64"/>
    </row>
    <row r="38" customFormat="false" ht="12.75" hidden="false" customHeight="false" outlineLevel="0" collapsed="false">
      <c r="A38" s="322"/>
      <c r="B38" s="317"/>
      <c r="C38" s="317"/>
      <c r="D38" s="317"/>
      <c r="E38" s="318"/>
      <c r="H38" s="64"/>
    </row>
    <row r="39" customFormat="false" ht="12.75" hidden="false" customHeight="false" outlineLevel="0" collapsed="false">
      <c r="A39" s="322"/>
      <c r="B39" s="317"/>
      <c r="C39" s="319"/>
      <c r="D39" s="317"/>
      <c r="E39" s="317"/>
      <c r="H39" s="64"/>
    </row>
    <row r="40" customFormat="false" ht="12.75" hidden="false" customHeight="false" outlineLevel="0" collapsed="false">
      <c r="A40" s="322"/>
      <c r="B40" s="317"/>
      <c r="C40" s="319"/>
      <c r="D40" s="317"/>
      <c r="E40" s="317"/>
      <c r="H40" s="64"/>
    </row>
    <row r="41" customFormat="false" ht="12.75" hidden="false" customHeight="false" outlineLevel="0" collapsed="false">
      <c r="A41" s="102"/>
      <c r="C41" s="176"/>
      <c r="H41" s="64"/>
    </row>
    <row r="42" customFormat="false" ht="12.75" hidden="false" customHeight="false" outlineLevel="0" collapsed="false">
      <c r="A42" s="177" t="n">
        <v>44929</v>
      </c>
      <c r="B42" s="178" t="s">
        <v>336</v>
      </c>
      <c r="C42" s="105"/>
      <c r="D42" s="206" t="n">
        <f aca="false">SUM(D43:D50)</f>
        <v>4161.94</v>
      </c>
      <c r="E42" s="206" t="n">
        <f aca="false">SUM(E43:E50)</f>
        <v>4162</v>
      </c>
      <c r="H42" s="64"/>
    </row>
    <row r="43" customFormat="false" ht="12.75" hidden="false" customHeight="false" outlineLevel="0" collapsed="false">
      <c r="B43" s="0" t="s">
        <v>930</v>
      </c>
      <c r="D43" s="0" t="n">
        <v>835.27</v>
      </c>
      <c r="E43" s="64" t="n">
        <v>835</v>
      </c>
      <c r="F43" s="64"/>
      <c r="G43" s="64"/>
    </row>
    <row r="44" customFormat="false" ht="12.75" hidden="false" customHeight="false" outlineLevel="0" collapsed="false">
      <c r="B44" s="0" t="s">
        <v>338</v>
      </c>
      <c r="D44" s="0" t="n">
        <v>1240.45</v>
      </c>
      <c r="E44" s="64" t="n">
        <v>1240</v>
      </c>
      <c r="F44" s="64"/>
      <c r="G44" s="64"/>
    </row>
    <row r="45" customFormat="false" ht="12.75" hidden="false" customHeight="false" outlineLevel="0" collapsed="false">
      <c r="B45" s="0" t="s">
        <v>339</v>
      </c>
      <c r="D45" s="0" t="n">
        <v>195.7</v>
      </c>
      <c r="E45" s="0" t="n">
        <v>195</v>
      </c>
      <c r="F45" s="64"/>
      <c r="G45" s="64"/>
    </row>
    <row r="46" customFormat="false" ht="12.75" hidden="false" customHeight="false" outlineLevel="0" collapsed="false">
      <c r="B46" s="0" t="s">
        <v>340</v>
      </c>
      <c r="D46" s="0" t="n">
        <v>1448.09</v>
      </c>
      <c r="E46" s="0" t="n">
        <v>1450</v>
      </c>
      <c r="F46" s="64"/>
      <c r="G46" s="64"/>
    </row>
    <row r="47" customFormat="false" ht="12.75" hidden="false" customHeight="false" outlineLevel="0" collapsed="false">
      <c r="B47" s="0" t="s">
        <v>341</v>
      </c>
      <c r="D47" s="0" t="n">
        <v>335.29</v>
      </c>
      <c r="E47" s="0" t="n">
        <v>335</v>
      </c>
      <c r="F47" s="64"/>
      <c r="G47" s="64"/>
    </row>
    <row r="48" customFormat="false" ht="12.75" hidden="false" customHeight="false" outlineLevel="0" collapsed="false">
      <c r="B48" s="0" t="s">
        <v>342</v>
      </c>
      <c r="C48" s="108"/>
      <c r="D48" s="108" t="n">
        <v>107.14</v>
      </c>
      <c r="E48" s="0" t="n">
        <v>107</v>
      </c>
      <c r="F48" s="64"/>
      <c r="G48" s="64"/>
    </row>
    <row r="49" customFormat="false" ht="12.75" hidden="false" customHeight="false" outlineLevel="0" collapsed="false">
      <c r="C49" s="108"/>
      <c r="E49" s="108"/>
      <c r="F49" s="64"/>
      <c r="G49" s="64"/>
    </row>
    <row r="50" customFormat="false" ht="12.75" hidden="false" customHeight="false" outlineLevel="0" collapsed="false">
      <c r="C50" s="108"/>
      <c r="D50" s="108"/>
      <c r="E50" s="168"/>
      <c r="F50" s="64"/>
      <c r="G50" s="64"/>
    </row>
    <row r="52" customFormat="false" ht="12.75" hidden="false" customHeight="false" outlineLevel="0" collapsed="false">
      <c r="B52" s="17"/>
    </row>
    <row r="53" customFormat="false" ht="12.75" hidden="false" customHeight="false" outlineLevel="0" collapsed="false">
      <c r="B53" s="104"/>
    </row>
    <row r="54" customFormat="false" ht="12.75" hidden="false" customHeight="false" outlineLevel="0" collapsed="false">
      <c r="A54" s="105"/>
      <c r="B54" s="106" t="s">
        <v>83</v>
      </c>
      <c r="C54" s="105"/>
      <c r="D54" s="163"/>
      <c r="E54" s="164" t="n">
        <f aca="false">SUM(E55:E75)</f>
        <v>-5461.223</v>
      </c>
    </row>
    <row r="55" customFormat="false" ht="12.75" hidden="false" customHeight="false" outlineLevel="0" collapsed="false">
      <c r="A55" s="102" t="n">
        <v>44873</v>
      </c>
      <c r="B55" s="8" t="s">
        <v>1181</v>
      </c>
      <c r="C55" s="108"/>
      <c r="D55" s="108" t="s">
        <v>735</v>
      </c>
      <c r="E55" s="168" t="n">
        <v>-1111.11</v>
      </c>
      <c r="F55" s="64"/>
      <c r="G55" s="64"/>
      <c r="H55" s="64"/>
    </row>
    <row r="56" customFormat="false" ht="12.75" hidden="false" customHeight="false" outlineLevel="0" collapsed="false">
      <c r="A56" s="102" t="n">
        <v>44920</v>
      </c>
      <c r="B56" s="108" t="s">
        <v>1182</v>
      </c>
      <c r="C56" s="108"/>
      <c r="D56" s="108" t="s">
        <v>993</v>
      </c>
      <c r="E56" s="168" t="n">
        <v>-397.47</v>
      </c>
      <c r="F56" s="64"/>
      <c r="G56" s="64"/>
      <c r="H56" s="64"/>
    </row>
    <row r="57" customFormat="false" ht="12.75" hidden="false" customHeight="false" outlineLevel="0" collapsed="false">
      <c r="A57" s="102" t="n">
        <v>44920</v>
      </c>
      <c r="B57" s="108" t="s">
        <v>1183</v>
      </c>
      <c r="C57" s="108"/>
      <c r="D57" s="108" t="s">
        <v>993</v>
      </c>
      <c r="E57" s="168" t="n">
        <v>-80.92</v>
      </c>
      <c r="F57" s="64"/>
      <c r="G57" s="64"/>
      <c r="H57" s="64"/>
    </row>
    <row r="58" customFormat="false" ht="12.75" hidden="false" customHeight="false" outlineLevel="0" collapsed="false">
      <c r="A58" s="102" t="n">
        <v>44920</v>
      </c>
      <c r="B58" s="108" t="s">
        <v>1184</v>
      </c>
      <c r="C58" s="108"/>
      <c r="D58" s="108" t="s">
        <v>993</v>
      </c>
      <c r="E58" s="168" t="n">
        <v>-127.05</v>
      </c>
      <c r="F58" s="64"/>
      <c r="G58" s="64"/>
      <c r="H58" s="64"/>
    </row>
    <row r="59" customFormat="false" ht="12.75" hidden="false" customHeight="false" outlineLevel="0" collapsed="false">
      <c r="A59" s="102" t="n">
        <v>44920</v>
      </c>
      <c r="B59" s="108" t="s">
        <v>1185</v>
      </c>
      <c r="C59" s="108"/>
      <c r="D59" s="108" t="s">
        <v>993</v>
      </c>
      <c r="E59" s="168" t="n">
        <v>-49.323</v>
      </c>
      <c r="F59" s="64"/>
      <c r="G59" s="64"/>
      <c r="H59" s="64"/>
    </row>
    <row r="60" customFormat="false" ht="12.75" hidden="false" customHeight="false" outlineLevel="0" collapsed="false">
      <c r="A60" s="102" t="n">
        <v>44985</v>
      </c>
      <c r="B60" s="8" t="s">
        <v>827</v>
      </c>
      <c r="C60" s="0" t="n">
        <v>437.97</v>
      </c>
      <c r="D60" s="36" t="s">
        <v>1159</v>
      </c>
      <c r="E60" s="168" t="n">
        <v>-145.99</v>
      </c>
      <c r="F60" s="64"/>
      <c r="G60" s="64"/>
      <c r="H60" s="64"/>
    </row>
    <row r="61" customFormat="false" ht="12.75" hidden="false" customHeight="false" outlineLevel="0" collapsed="false">
      <c r="A61" s="102" t="n">
        <v>44985</v>
      </c>
      <c r="B61" s="8" t="s">
        <v>828</v>
      </c>
      <c r="C61" s="0" t="n">
        <v>404.23</v>
      </c>
      <c r="D61" s="36" t="s">
        <v>1159</v>
      </c>
      <c r="E61" s="168" t="n">
        <v>-134.74</v>
      </c>
      <c r="F61" s="64"/>
    </row>
    <row r="62" customFormat="false" ht="12.75" hidden="false" customHeight="false" outlineLevel="0" collapsed="false">
      <c r="A62" s="102" t="n">
        <v>44985</v>
      </c>
      <c r="B62" s="8" t="s">
        <v>829</v>
      </c>
      <c r="C62" s="0" t="n">
        <v>1135</v>
      </c>
      <c r="D62" s="36" t="s">
        <v>1159</v>
      </c>
      <c r="E62" s="168" t="n">
        <v>-378.33</v>
      </c>
      <c r="F62" s="64"/>
    </row>
    <row r="63" customFormat="false" ht="12.75" hidden="false" customHeight="false" outlineLevel="0" collapsed="false">
      <c r="A63" s="102" t="n">
        <v>44982</v>
      </c>
      <c r="B63" s="8" t="s">
        <v>1186</v>
      </c>
      <c r="C63" s="0" t="n">
        <v>659.93</v>
      </c>
      <c r="D63" s="36" t="s">
        <v>1066</v>
      </c>
      <c r="E63" s="168" t="n">
        <v>-164.98</v>
      </c>
      <c r="F63" s="64"/>
    </row>
    <row r="64" customFormat="false" ht="12.75" hidden="false" customHeight="false" outlineLevel="0" collapsed="false">
      <c r="A64" s="102" t="n">
        <v>44995</v>
      </c>
      <c r="B64" s="8" t="s">
        <v>1127</v>
      </c>
      <c r="C64" s="0" t="n">
        <v>720.19</v>
      </c>
      <c r="D64" s="326" t="s">
        <v>1187</v>
      </c>
      <c r="E64" s="168" t="n">
        <v>-240.06</v>
      </c>
      <c r="F64" s="64"/>
    </row>
    <row r="65" customFormat="false" ht="12.75" hidden="false" customHeight="false" outlineLevel="0" collapsed="false">
      <c r="A65" s="102" t="n">
        <v>44995</v>
      </c>
      <c r="B65" s="8" t="s">
        <v>781</v>
      </c>
      <c r="C65" s="0" t="n">
        <v>613.91</v>
      </c>
      <c r="D65" s="36" t="s">
        <v>1188</v>
      </c>
      <c r="E65" s="168" t="n">
        <v>-61.39</v>
      </c>
      <c r="F65" s="64"/>
    </row>
    <row r="66" customFormat="false" ht="12.75" hidden="false" customHeight="false" outlineLevel="0" collapsed="false">
      <c r="A66" s="102" t="n">
        <v>44995</v>
      </c>
      <c r="B66" s="8" t="s">
        <v>1038</v>
      </c>
      <c r="C66" s="0" t="n">
        <v>2258.94</v>
      </c>
      <c r="D66" s="36" t="s">
        <v>654</v>
      </c>
      <c r="E66" s="168" t="n">
        <v>-376.49</v>
      </c>
      <c r="F66" s="64"/>
    </row>
    <row r="67" customFormat="false" ht="12.75" hidden="false" customHeight="false" outlineLevel="0" collapsed="false">
      <c r="A67" s="102" t="n">
        <v>44985</v>
      </c>
      <c r="B67" s="8" t="s">
        <v>1189</v>
      </c>
      <c r="D67" s="36"/>
      <c r="E67" s="168" t="n">
        <v>-161.31</v>
      </c>
      <c r="F67" s="64"/>
    </row>
    <row r="68" customFormat="false" ht="12.75" hidden="false" customHeight="false" outlineLevel="0" collapsed="false">
      <c r="A68" s="102" t="n">
        <v>44986</v>
      </c>
      <c r="B68" s="8" t="s">
        <v>1189</v>
      </c>
      <c r="D68" s="36"/>
      <c r="E68" s="168" t="n">
        <v>-137.93</v>
      </c>
      <c r="F68" s="64"/>
    </row>
    <row r="69" customFormat="false" ht="12.75" hidden="false" customHeight="false" outlineLevel="0" collapsed="false">
      <c r="A69" s="102" t="n">
        <v>44987</v>
      </c>
      <c r="B69" s="8" t="s">
        <v>1189</v>
      </c>
      <c r="D69" s="36"/>
      <c r="E69" s="168" t="n">
        <v>-121.99</v>
      </c>
      <c r="F69" s="64"/>
    </row>
    <row r="70" customFormat="false" ht="12.75" hidden="false" customHeight="false" outlineLevel="0" collapsed="false">
      <c r="A70" s="102" t="n">
        <v>45004</v>
      </c>
      <c r="B70" s="8" t="s">
        <v>1190</v>
      </c>
      <c r="D70" s="36"/>
      <c r="E70" s="168" t="n">
        <v>-94.85</v>
      </c>
      <c r="F70" s="64"/>
    </row>
    <row r="71" customFormat="false" ht="12.75" hidden="false" customHeight="false" outlineLevel="0" collapsed="false">
      <c r="A71" s="102" t="n">
        <v>45005</v>
      </c>
      <c r="B71" s="8" t="s">
        <v>1191</v>
      </c>
      <c r="D71" s="36"/>
      <c r="E71" s="168" t="n">
        <v>-456.1</v>
      </c>
      <c r="F71" s="64"/>
    </row>
    <row r="72" customFormat="false" ht="12.75" hidden="false" customHeight="false" outlineLevel="0" collapsed="false">
      <c r="A72" s="102" t="n">
        <v>45005</v>
      </c>
      <c r="B72" s="8" t="s">
        <v>1192</v>
      </c>
      <c r="E72" s="168" t="n">
        <v>-110</v>
      </c>
    </row>
    <row r="73" customFormat="false" ht="12.75" hidden="false" customHeight="false" outlineLevel="0" collapsed="false">
      <c r="A73" s="102" t="n">
        <v>45007</v>
      </c>
      <c r="B73" s="8" t="s">
        <v>1193</v>
      </c>
      <c r="D73" s="36"/>
      <c r="E73" s="168" t="n">
        <v>-554.11</v>
      </c>
    </row>
    <row r="74" customFormat="false" ht="12.75" hidden="false" customHeight="false" outlineLevel="0" collapsed="false">
      <c r="A74" s="102" t="n">
        <v>45010</v>
      </c>
      <c r="B74" s="8" t="s">
        <v>1194</v>
      </c>
      <c r="D74" s="36"/>
      <c r="E74" s="168" t="n">
        <v>-530.55</v>
      </c>
    </row>
    <row r="75" customFormat="false" ht="12.75" hidden="false" customHeight="false" outlineLevel="0" collapsed="false">
      <c r="A75" s="102" t="n">
        <v>45010</v>
      </c>
      <c r="B75" s="8" t="s">
        <v>1195</v>
      </c>
      <c r="D75" s="36"/>
      <c r="E75" s="168" t="n">
        <v>-26.53</v>
      </c>
    </row>
    <row r="76" customFormat="false" ht="12.75" hidden="false" customHeight="false" outlineLevel="0" collapsed="false">
      <c r="A76" s="102"/>
      <c r="D76" s="36"/>
      <c r="E76" s="168" t="s">
        <v>1167</v>
      </c>
    </row>
    <row r="78" customFormat="false" ht="12.75" hidden="false" customHeight="false" outlineLevel="0" collapsed="false">
      <c r="A78" s="105"/>
      <c r="B78" s="106" t="s">
        <v>85</v>
      </c>
      <c r="C78" s="105"/>
      <c r="D78" s="105"/>
      <c r="E78" s="164" t="n">
        <f aca="false">SUM(E79:E83)</f>
        <v>-31033.99</v>
      </c>
    </row>
    <row r="79" customFormat="false" ht="12.75" hidden="false" customHeight="false" outlineLevel="0" collapsed="false">
      <c r="A79" s="102" t="n">
        <v>44984</v>
      </c>
      <c r="B79" s="108" t="s">
        <v>373</v>
      </c>
      <c r="C79" s="108"/>
      <c r="D79" s="108"/>
      <c r="E79" s="168" t="n">
        <v>-30374</v>
      </c>
      <c r="F79" s="64"/>
      <c r="G79" s="64"/>
      <c r="H79" s="64"/>
    </row>
    <row r="80" customFormat="false" ht="12.75" hidden="false" customHeight="false" outlineLevel="0" collapsed="false">
      <c r="A80" s="102" t="n">
        <v>44993</v>
      </c>
      <c r="B80" s="108" t="s">
        <v>661</v>
      </c>
      <c r="C80" s="108"/>
      <c r="D80" s="108"/>
      <c r="E80" s="168" t="n">
        <v>-160</v>
      </c>
      <c r="F80" s="64"/>
      <c r="G80" s="64"/>
      <c r="H80" s="64"/>
    </row>
    <row r="81" customFormat="false" ht="12.75" hidden="false" customHeight="false" outlineLevel="0" collapsed="false">
      <c r="A81" s="102" t="n">
        <v>44994</v>
      </c>
      <c r="B81" s="108" t="s">
        <v>660</v>
      </c>
      <c r="C81" s="108"/>
      <c r="D81" s="108"/>
      <c r="E81" s="168" t="n">
        <v>-160.04</v>
      </c>
      <c r="F81" s="64"/>
      <c r="G81" s="64"/>
      <c r="H81" s="64"/>
    </row>
    <row r="82" customFormat="false" ht="12.75" hidden="false" customHeight="false" outlineLevel="0" collapsed="false">
      <c r="A82" s="102" t="n">
        <v>44995</v>
      </c>
      <c r="B82" s="108" t="s">
        <v>661</v>
      </c>
      <c r="C82" s="108"/>
      <c r="D82" s="108"/>
      <c r="E82" s="168" t="n">
        <v>-110</v>
      </c>
      <c r="F82" s="64"/>
      <c r="G82" s="64"/>
      <c r="H82" s="64"/>
    </row>
    <row r="83" customFormat="false" ht="12.75" hidden="false" customHeight="false" outlineLevel="0" collapsed="false">
      <c r="A83" s="102" t="n">
        <v>45000</v>
      </c>
      <c r="B83" s="108" t="s">
        <v>1196</v>
      </c>
      <c r="C83" s="108"/>
      <c r="D83" s="108"/>
      <c r="E83" s="168" t="n">
        <v>-229.95</v>
      </c>
      <c r="F83" s="64"/>
      <c r="G83" s="64"/>
      <c r="H83" s="64"/>
    </row>
    <row r="84" customFormat="false" ht="12.75" hidden="false" customHeight="false" outlineLevel="0" collapsed="false">
      <c r="A84" s="102"/>
      <c r="B84" s="109"/>
      <c r="E84" s="168" t="s">
        <v>1167</v>
      </c>
    </row>
    <row r="85" customFormat="false" ht="12.75" hidden="false" customHeight="false" outlineLevel="0" collapsed="false">
      <c r="A85" s="102"/>
      <c r="B85" s="109"/>
      <c r="E85" s="168"/>
    </row>
    <row r="86" customFormat="false" ht="12.75" hidden="false" customHeight="false" outlineLevel="0" collapsed="false">
      <c r="A86" s="102"/>
      <c r="B86" s="109"/>
      <c r="E86" s="168"/>
    </row>
    <row r="87" customFormat="false" ht="12.75" hidden="false" customHeight="false" outlineLevel="0" collapsed="false">
      <c r="A87" s="102"/>
      <c r="B87" s="109"/>
      <c r="E87" s="168"/>
    </row>
    <row r="88" customFormat="false" ht="12.75" hidden="false" customHeight="false" outlineLevel="0" collapsed="false">
      <c r="A88" s="102"/>
      <c r="B88" s="109"/>
      <c r="E88" s="168"/>
    </row>
    <row r="89" customFormat="false" ht="12.75" hidden="false" customHeight="false" outlineLevel="0" collapsed="false">
      <c r="A89" s="102"/>
      <c r="B89" s="109"/>
      <c r="E89" s="168"/>
    </row>
    <row r="90" customFormat="false" ht="12.75" hidden="false" customHeight="false" outlineLevel="0" collapsed="false">
      <c r="A90" s="102"/>
      <c r="B90" s="109"/>
      <c r="E90" s="168"/>
    </row>
    <row r="91" customFormat="false" ht="12.75" hidden="false" customHeight="false" outlineLevel="0" collapsed="false">
      <c r="A91" s="102"/>
      <c r="B91" s="109"/>
      <c r="E91" s="168"/>
    </row>
    <row r="92" customFormat="false" ht="12.75" hidden="false" customHeight="false" outlineLevel="0" collapsed="false">
      <c r="A92" s="102"/>
      <c r="B92" s="109"/>
      <c r="E92" s="168"/>
    </row>
    <row r="93" customFormat="false" ht="12.75" hidden="false" customHeight="false" outlineLevel="0" collapsed="false">
      <c r="A93" s="102"/>
      <c r="B93" s="109"/>
      <c r="E93" s="168"/>
    </row>
    <row r="94" customFormat="false" ht="12.75" hidden="false" customHeight="false" outlineLevel="0" collapsed="false">
      <c r="A94" s="102"/>
      <c r="B94" s="109"/>
      <c r="E94" s="168"/>
    </row>
    <row r="95" customFormat="false" ht="12.75" hidden="false" customHeight="false" outlineLevel="0" collapsed="false">
      <c r="A95" s="102"/>
      <c r="B95" s="109"/>
      <c r="E95" s="168"/>
    </row>
    <row r="96" customFormat="false" ht="12.75" hidden="false" customHeight="false" outlineLevel="0" collapsed="false">
      <c r="A96" s="102"/>
      <c r="B96" s="109"/>
      <c r="E96" s="168"/>
    </row>
    <row r="97" customFormat="false" ht="12.75" hidden="false" customHeight="false" outlineLevel="0" collapsed="false">
      <c r="A97" s="102"/>
      <c r="B97" s="109"/>
      <c r="E97" s="168"/>
    </row>
    <row r="98" customFormat="false" ht="12.75" hidden="false" customHeight="false" outlineLevel="0" collapsed="false">
      <c r="A98" s="102"/>
      <c r="B98" s="109"/>
      <c r="E98" s="168"/>
    </row>
    <row r="99" customFormat="false" ht="12.75" hidden="false" customHeight="false" outlineLevel="0" collapsed="false">
      <c r="A99" s="102"/>
      <c r="B99" s="109"/>
      <c r="E99" s="168"/>
    </row>
    <row r="100" customFormat="false" ht="12.75" hidden="false" customHeight="false" outlineLevel="0" collapsed="false">
      <c r="A100" s="102"/>
      <c r="B100" s="109"/>
      <c r="E100" s="168"/>
    </row>
    <row r="101" customFormat="false" ht="12.75" hidden="false" customHeight="false" outlineLevel="0" collapsed="false">
      <c r="A101" s="102"/>
      <c r="B101" s="109"/>
      <c r="E101" s="168"/>
    </row>
    <row r="102" customFormat="false" ht="12.75" hidden="false" customHeight="false" outlineLevel="0" collapsed="false">
      <c r="A102" s="102"/>
      <c r="B102" s="109"/>
      <c r="E102" s="168"/>
    </row>
    <row r="103" customFormat="false" ht="12.75" hidden="false" customHeight="false" outlineLevel="0" collapsed="false">
      <c r="A103" s="102"/>
      <c r="B103" s="109"/>
      <c r="E103" s="168"/>
    </row>
    <row r="104" customFormat="false" ht="12.75" hidden="false" customHeight="false" outlineLevel="0" collapsed="false">
      <c r="A104" s="102"/>
      <c r="B104" s="109"/>
      <c r="E104" s="168"/>
    </row>
    <row r="105" customFormat="false" ht="12.75" hidden="false" customHeight="false" outlineLevel="0" collapsed="false">
      <c r="A105" s="102"/>
      <c r="B105" s="109"/>
      <c r="E105" s="168"/>
    </row>
    <row r="106" customFormat="false" ht="12.75" hidden="false" customHeight="false" outlineLevel="0" collapsed="false">
      <c r="A106" s="102"/>
      <c r="B106" s="109"/>
      <c r="E106" s="168"/>
    </row>
    <row r="107" customFormat="false" ht="12.75" hidden="false" customHeight="false" outlineLevel="0" collapsed="false">
      <c r="A107" s="102"/>
      <c r="B107" s="109"/>
      <c r="E107" s="168"/>
    </row>
    <row r="111" customFormat="false" ht="12.75" hidden="false" customHeight="false" outlineLevel="0" collapsed="false">
      <c r="A111" s="105"/>
      <c r="B111" s="106" t="s">
        <v>1197</v>
      </c>
      <c r="C111" s="105"/>
      <c r="D111" s="163"/>
      <c r="E111" s="164" t="n">
        <f aca="false">SUM(E112:E120)</f>
        <v>367483.41</v>
      </c>
    </row>
    <row r="112" customFormat="false" ht="12.75" hidden="false" customHeight="false" outlineLevel="0" collapsed="false">
      <c r="A112" s="102" t="n">
        <v>45016</v>
      </c>
      <c r="B112" s="8" t="s">
        <v>77</v>
      </c>
      <c r="C112" s="2"/>
      <c r="D112" s="2"/>
      <c r="E112" s="17" t="n">
        <v>64000</v>
      </c>
    </row>
    <row r="113" customFormat="false" ht="12.75" hidden="false" customHeight="false" outlineLevel="0" collapsed="false">
      <c r="A113" s="102" t="n">
        <v>45016</v>
      </c>
      <c r="B113" s="8" t="s">
        <v>1078</v>
      </c>
      <c r="C113" s="2"/>
      <c r="D113" s="2"/>
      <c r="E113" s="17" t="n">
        <v>53088</v>
      </c>
    </row>
    <row r="114" customFormat="false" ht="12.75" hidden="false" customHeight="false" outlineLevel="0" collapsed="false">
      <c r="A114" s="102" t="n">
        <v>45016</v>
      </c>
      <c r="B114" s="8" t="s">
        <v>309</v>
      </c>
      <c r="C114" s="2"/>
      <c r="D114" s="2"/>
      <c r="E114" s="17" t="n">
        <v>44063.82</v>
      </c>
    </row>
    <row r="115" customFormat="false" ht="12.75" hidden="false" customHeight="false" outlineLevel="0" collapsed="false">
      <c r="A115" s="102" t="n">
        <v>45016</v>
      </c>
      <c r="B115" s="8" t="s">
        <v>310</v>
      </c>
      <c r="C115" s="2"/>
      <c r="D115" s="2"/>
      <c r="E115" s="17" t="n">
        <v>6000.59</v>
      </c>
    </row>
    <row r="116" customFormat="false" ht="12.75" hidden="false" customHeight="false" outlineLevel="0" collapsed="false">
      <c r="A116" s="102" t="n">
        <v>45016</v>
      </c>
      <c r="B116" s="8" t="s">
        <v>1015</v>
      </c>
      <c r="C116" s="2" t="n">
        <v>1265</v>
      </c>
      <c r="D116" s="2" t="n">
        <v>111</v>
      </c>
      <c r="E116" s="17" t="n">
        <f aca="false">D116*C116</f>
        <v>140415</v>
      </c>
    </row>
    <row r="117" customFormat="false" ht="12.75" hidden="false" customHeight="false" outlineLevel="0" collapsed="false">
      <c r="A117" s="102" t="n">
        <v>45016</v>
      </c>
      <c r="B117" s="8" t="s">
        <v>1112</v>
      </c>
      <c r="C117" s="2" t="n">
        <v>19.5</v>
      </c>
      <c r="D117" s="2" t="n">
        <v>850</v>
      </c>
      <c r="E117" s="17" t="n">
        <f aca="false">D117*C117</f>
        <v>16575</v>
      </c>
    </row>
    <row r="118" customFormat="false" ht="12.75" hidden="false" customHeight="false" outlineLevel="0" collapsed="false">
      <c r="A118" s="102" t="n">
        <v>45016</v>
      </c>
      <c r="B118" s="8" t="s">
        <v>1113</v>
      </c>
      <c r="C118" s="2" t="n">
        <v>21.41</v>
      </c>
      <c r="D118" s="2" t="n">
        <v>100</v>
      </c>
      <c r="E118" s="17" t="n">
        <f aca="false">D118*C118</f>
        <v>2141</v>
      </c>
    </row>
    <row r="119" customFormat="false" ht="12.75" hidden="false" customHeight="false" outlineLevel="0" collapsed="false">
      <c r="A119" s="102" t="n">
        <v>45016</v>
      </c>
      <c r="B119" s="8" t="s">
        <v>155</v>
      </c>
      <c r="C119" s="2"/>
      <c r="D119" s="2"/>
      <c r="E119" s="17" t="n">
        <v>40000</v>
      </c>
    </row>
    <row r="120" customFormat="false" ht="12.75" hidden="false" customHeight="false" outlineLevel="0" collapsed="false">
      <c r="A120" s="102"/>
      <c r="B120" s="8" t="s">
        <v>156</v>
      </c>
      <c r="C120" s="2"/>
      <c r="D120" s="2"/>
      <c r="E120" s="17" t="n">
        <v>1200</v>
      </c>
    </row>
    <row r="121" customFormat="false" ht="12.75" hidden="false" customHeight="false" outlineLevel="0" collapsed="false">
      <c r="D121" s="18" t="s">
        <v>1198</v>
      </c>
      <c r="E121" s="64" t="n">
        <f aca="false">H2</f>
        <v>14297.21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18" t="s">
        <v>158</v>
      </c>
      <c r="E123" s="8" t="n">
        <f aca="false">SUM(E112:E122)</f>
        <v>381780.62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8" colorId="64" zoomScale="170" zoomScaleNormal="170" zoomScalePageLayoutView="100" workbookViewId="0">
      <selection pane="topLeft" activeCell="A18" activeCellId="0" sqref="A18"/>
    </sheetView>
  </sheetViews>
  <sheetFormatPr defaultColWidth="12.29296875" defaultRowHeight="12.75" zeroHeight="false" outlineLevelRow="0" outlineLevelCol="0"/>
  <cols>
    <col collapsed="false" customWidth="true" hidden="false" outlineLevel="0" max="1" min="1" style="0" width="10.57"/>
    <col collapsed="false" customWidth="true" hidden="false" outlineLevel="0" max="2" min="2" style="0" width="37.86"/>
    <col collapsed="false" customWidth="true" hidden="false" outlineLevel="0" max="3" min="3" style="0" width="9.43"/>
    <col collapsed="false" customWidth="true" hidden="false" outlineLevel="0" max="4" min="4" style="0" width="11.57"/>
    <col collapsed="false" customWidth="true" hidden="false" outlineLevel="0" max="5" min="5" style="0" width="11.43"/>
    <col collapsed="false" customWidth="true" hidden="false" outlineLevel="0" max="6" min="6" style="0" width="10.57"/>
    <col collapsed="false" customWidth="true" hidden="false" outlineLevel="0" max="8" min="7" style="0" width="12.57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E1" s="194"/>
      <c r="F1" s="194" t="s">
        <v>28</v>
      </c>
      <c r="G1" s="194" t="s">
        <v>29</v>
      </c>
      <c r="H1" s="194" t="s">
        <v>3</v>
      </c>
    </row>
    <row r="2" customFormat="false" ht="12.75" hidden="false" customHeight="false" outlineLevel="0" collapsed="false">
      <c r="A2" s="3" t="s">
        <v>1199</v>
      </c>
      <c r="C2" s="81" t="s">
        <v>67</v>
      </c>
      <c r="D2" s="311" t="n">
        <f aca="false">SUM(D5:D36)</f>
        <v>88189</v>
      </c>
      <c r="E2" s="311" t="n">
        <f aca="false">SUM(E5:E35)</f>
        <v>-24634.69</v>
      </c>
      <c r="F2" s="311" t="n">
        <f aca="false">SUM(F4:F36)</f>
        <v>23139.34</v>
      </c>
      <c r="G2" s="311" t="n">
        <f aca="false">SUM(G5:G40)</f>
        <v>-33283.54</v>
      </c>
      <c r="H2" s="311" t="n">
        <f aca="false">F2+G2</f>
        <v>-10144.2</v>
      </c>
    </row>
    <row r="3" customFormat="false" ht="12.75" hidden="false" customHeight="false" outlineLevel="0" collapsed="false">
      <c r="B3" s="18"/>
      <c r="G3" s="64"/>
      <c r="H3" s="64" t="n">
        <f aca="false">F3+G3</f>
        <v>0</v>
      </c>
    </row>
    <row r="4" customFormat="false" ht="12.75" hidden="false" customHeight="false" outlineLevel="0" collapsed="false">
      <c r="A4" s="102" t="n">
        <v>44986</v>
      </c>
      <c r="B4" s="18" t="s">
        <v>1200</v>
      </c>
      <c r="F4" s="0" t="n">
        <v>5000</v>
      </c>
      <c r="G4" s="64"/>
      <c r="H4" s="64" t="n">
        <f aca="false">H3+F4+G4</f>
        <v>5000</v>
      </c>
    </row>
    <row r="5" customFormat="false" ht="12.75" hidden="false" customHeight="false" outlineLevel="0" collapsed="false">
      <c r="A5" s="102" t="n">
        <v>44991</v>
      </c>
      <c r="B5" s="103" t="s">
        <v>80</v>
      </c>
      <c r="C5" s="103"/>
      <c r="D5" s="103"/>
      <c r="E5" s="64" t="n">
        <v>-400</v>
      </c>
      <c r="G5" s="64" t="n">
        <v>-224</v>
      </c>
      <c r="H5" s="64" t="n">
        <f aca="false">H4+F5+G5</f>
        <v>4776</v>
      </c>
    </row>
    <row r="6" customFormat="false" ht="12.75" hidden="false" customHeight="false" outlineLevel="0" collapsed="false">
      <c r="A6" s="102" t="n">
        <v>44991</v>
      </c>
      <c r="B6" s="103" t="s">
        <v>81</v>
      </c>
      <c r="C6" s="103"/>
      <c r="D6" s="103"/>
      <c r="E6" s="64" t="n">
        <v>-500</v>
      </c>
      <c r="G6" s="64" t="n">
        <v>-461</v>
      </c>
      <c r="H6" s="64" t="n">
        <f aca="false">H5+F6+G6</f>
        <v>4315</v>
      </c>
    </row>
    <row r="7" customFormat="false" ht="12.75" hidden="false" customHeight="false" outlineLevel="0" collapsed="false">
      <c r="A7" s="102" t="n">
        <v>44999</v>
      </c>
      <c r="B7" s="103" t="s">
        <v>678</v>
      </c>
      <c r="C7" s="103"/>
      <c r="D7" s="103"/>
      <c r="E7" s="64" t="n">
        <v>-4300</v>
      </c>
      <c r="G7" s="64" t="n">
        <v>-4300</v>
      </c>
      <c r="H7" s="64" t="n">
        <f aca="false">H6+F7+G7</f>
        <v>15</v>
      </c>
    </row>
    <row r="8" customFormat="false" ht="12.75" hidden="false" customHeight="false" outlineLevel="0" collapsed="false">
      <c r="A8" s="102" t="n">
        <v>44987</v>
      </c>
      <c r="B8" s="103" t="s">
        <v>675</v>
      </c>
      <c r="C8" s="103"/>
      <c r="D8" s="103"/>
      <c r="E8" s="64" t="n">
        <v>-674.74</v>
      </c>
      <c r="F8" s="64"/>
      <c r="G8" s="64" t="n">
        <v>-672.15</v>
      </c>
      <c r="H8" s="64" t="n">
        <f aca="false">H7+F8+G8</f>
        <v>-657.15</v>
      </c>
    </row>
    <row r="9" customFormat="false" ht="12.75" hidden="false" customHeight="false" outlineLevel="0" collapsed="false">
      <c r="A9" s="102" t="n">
        <v>44987</v>
      </c>
      <c r="B9" s="103" t="s">
        <v>75</v>
      </c>
      <c r="C9" s="103"/>
      <c r="D9" s="103"/>
      <c r="E9" s="64" t="n">
        <v>-150</v>
      </c>
      <c r="F9" s="64"/>
      <c r="G9" s="64" t="n">
        <v>-187.46</v>
      </c>
      <c r="H9" s="64" t="n">
        <f aca="false">H8+F9+G9</f>
        <v>-844.61</v>
      </c>
    </row>
    <row r="10" customFormat="false" ht="12.75" hidden="false" customHeight="false" outlineLevel="0" collapsed="false">
      <c r="B10" s="108" t="s">
        <v>73</v>
      </c>
      <c r="C10" s="108"/>
      <c r="D10" s="108"/>
      <c r="E10" s="64" t="n">
        <v>-1000</v>
      </c>
      <c r="F10" s="168"/>
      <c r="G10" s="64" t="n">
        <v>-1464.5</v>
      </c>
      <c r="H10" s="64" t="n">
        <f aca="false">H9+F10+G10</f>
        <v>-2309.11</v>
      </c>
    </row>
    <row r="11" customFormat="false" ht="12.75" hidden="false" customHeight="false" outlineLevel="0" collapsed="false">
      <c r="B11" s="108" t="s">
        <v>74</v>
      </c>
      <c r="C11" s="108"/>
      <c r="D11" s="108"/>
      <c r="E11" s="64" t="n">
        <v>-150</v>
      </c>
      <c r="F11" s="168"/>
      <c r="G11" s="64" t="n">
        <v>-64.5</v>
      </c>
      <c r="H11" s="64" t="n">
        <f aca="false">H10+F11+G11</f>
        <v>-2373.61</v>
      </c>
    </row>
    <row r="12" customFormat="false" ht="12.75" hidden="false" customHeight="false" outlineLevel="0" collapsed="false">
      <c r="B12" s="183" t="s">
        <v>72</v>
      </c>
      <c r="E12" s="64" t="n">
        <f aca="false">D53*-1</f>
        <v>-64.93</v>
      </c>
      <c r="F12" s="64"/>
      <c r="G12" s="64" t="n">
        <v>-64.93</v>
      </c>
      <c r="H12" s="64" t="n">
        <f aca="false">H11+F12+G12</f>
        <v>-2438.54</v>
      </c>
    </row>
    <row r="13" customFormat="false" ht="12.75" hidden="false" customHeight="false" outlineLevel="0" collapsed="false">
      <c r="B13" s="183" t="s">
        <v>68</v>
      </c>
      <c r="E13" s="64" t="n">
        <f aca="false">E58</f>
        <v>-7675.4</v>
      </c>
      <c r="F13" s="64"/>
      <c r="G13" s="64" t="n">
        <v>-7675.38</v>
      </c>
      <c r="H13" s="64" t="n">
        <f aca="false">H12+F13+G13</f>
        <v>-10113.92</v>
      </c>
    </row>
    <row r="14" customFormat="false" ht="12.75" hidden="false" customHeight="false" outlineLevel="0" collapsed="false">
      <c r="B14" s="183" t="s">
        <v>69</v>
      </c>
      <c r="E14" s="64" t="n">
        <f aca="false">E95</f>
        <v>-1174.72</v>
      </c>
      <c r="G14" s="64" t="n">
        <v>-1174.72</v>
      </c>
      <c r="H14" s="64" t="n">
        <f aca="false">H13+F14+G14</f>
        <v>-11288.64</v>
      </c>
    </row>
    <row r="15" customFormat="false" ht="12.75" hidden="false" customHeight="false" outlineLevel="0" collapsed="false">
      <c r="B15" s="0" t="s">
        <v>77</v>
      </c>
      <c r="E15" s="64" t="n">
        <v>-2750</v>
      </c>
      <c r="F15" s="64"/>
      <c r="G15" s="64" t="n">
        <v>-2750</v>
      </c>
      <c r="H15" s="64" t="n">
        <f aca="false">H14+F15+G15</f>
        <v>-14038.64</v>
      </c>
    </row>
    <row r="16" customFormat="false" ht="12.75" hidden="false" customHeight="false" outlineLevel="0" collapsed="false">
      <c r="B16" s="0" t="s">
        <v>1201</v>
      </c>
      <c r="E16" s="64" t="n">
        <v>-2750</v>
      </c>
      <c r="F16" s="64"/>
      <c r="G16" s="64" t="n">
        <v>-1621</v>
      </c>
      <c r="H16" s="64" t="n">
        <f aca="false">H15+F16+G16</f>
        <v>-15659.64</v>
      </c>
    </row>
    <row r="17" customFormat="false" ht="12.75" hidden="false" customHeight="false" outlineLevel="0" collapsed="false">
      <c r="B17" s="0" t="s">
        <v>79</v>
      </c>
      <c r="E17" s="64" t="n">
        <v>-2750</v>
      </c>
      <c r="F17" s="64"/>
      <c r="G17" s="64" t="n">
        <v>-2750</v>
      </c>
      <c r="H17" s="64" t="n">
        <f aca="false">H16+F17+G17</f>
        <v>-18409.64</v>
      </c>
    </row>
    <row r="18" customFormat="false" ht="12.75" hidden="false" customHeight="false" outlineLevel="0" collapsed="false">
      <c r="B18" s="0" t="s">
        <v>1202</v>
      </c>
      <c r="D18" s="2" t="n">
        <v>1111</v>
      </c>
      <c r="E18" s="168"/>
      <c r="F18" s="64"/>
      <c r="G18" s="64"/>
      <c r="H18" s="64" t="n">
        <f aca="false">H17+F18+G18</f>
        <v>-18409.64</v>
      </c>
    </row>
    <row r="19" customFormat="false" ht="12.75" hidden="false" customHeight="false" outlineLevel="0" collapsed="false">
      <c r="B19" s="0" t="s">
        <v>1203</v>
      </c>
      <c r="D19" s="2" t="n">
        <v>2428</v>
      </c>
      <c r="E19" s="168"/>
      <c r="F19" s="64"/>
      <c r="G19" s="64"/>
      <c r="H19" s="64" t="n">
        <f aca="false">H18+F19+G19</f>
        <v>-18409.64</v>
      </c>
    </row>
    <row r="20" customFormat="false" ht="12.75" hidden="false" customHeight="false" outlineLevel="0" collapsed="false">
      <c r="B20" s="0" t="s">
        <v>76</v>
      </c>
      <c r="D20" s="191" t="n">
        <v>5500</v>
      </c>
      <c r="F20" s="64" t="n">
        <v>5589.34</v>
      </c>
      <c r="G20" s="64"/>
      <c r="H20" s="64" t="n">
        <f aca="false">H19+F20+G20</f>
        <v>-12820.3</v>
      </c>
    </row>
    <row r="21" customFormat="false" ht="12.75" hidden="false" customHeight="false" outlineLevel="0" collapsed="false">
      <c r="B21" s="0" t="s">
        <v>681</v>
      </c>
      <c r="D21" s="191" t="n">
        <v>1650</v>
      </c>
      <c r="F21" s="64" t="n">
        <v>1650</v>
      </c>
      <c r="G21" s="64"/>
      <c r="H21" s="64" t="n">
        <f aca="false">H20+F21+G21</f>
        <v>-11170.3</v>
      </c>
    </row>
    <row r="22" customFormat="false" ht="12.75" hidden="false" customHeight="false" outlineLevel="0" collapsed="false">
      <c r="A22" s="102" t="n">
        <v>45016</v>
      </c>
      <c r="B22" s="8" t="s">
        <v>1204</v>
      </c>
      <c r="D22" s="191" t="n">
        <v>6500</v>
      </c>
      <c r="F22" s="64" t="n">
        <v>6500</v>
      </c>
      <c r="G22" s="64"/>
      <c r="H22" s="64" t="n">
        <f aca="false">H21+F22+G22</f>
        <v>-4670.3</v>
      </c>
    </row>
    <row r="23" customFormat="false" ht="12.75" hidden="false" customHeight="false" outlineLevel="0" collapsed="false">
      <c r="B23" s="0" t="s">
        <v>1205</v>
      </c>
      <c r="D23" s="104"/>
      <c r="F23" s="64" t="n">
        <v>4000</v>
      </c>
      <c r="G23" s="64"/>
      <c r="H23" s="64" t="n">
        <f aca="false">H22+F23+G23</f>
        <v>-670.299999999999</v>
      </c>
    </row>
    <row r="24" customFormat="false" ht="12.75" hidden="false" customHeight="false" outlineLevel="0" collapsed="false">
      <c r="B24" s="0" t="s">
        <v>1206</v>
      </c>
      <c r="D24" s="104"/>
      <c r="F24" s="64" t="n">
        <v>400</v>
      </c>
      <c r="G24" s="64"/>
      <c r="H24" s="64" t="n">
        <f aca="false">H23+F24+G24</f>
        <v>-270.299999999999</v>
      </c>
    </row>
    <row r="25" customFormat="false" ht="12.75" hidden="false" customHeight="false" outlineLevel="0" collapsed="false">
      <c r="B25" s="0" t="s">
        <v>1207</v>
      </c>
      <c r="D25" s="104"/>
      <c r="F25" s="64"/>
      <c r="G25" s="64"/>
      <c r="H25" s="64" t="n">
        <f aca="false">H24+F25+G25</f>
        <v>-270.299999999999</v>
      </c>
    </row>
    <row r="26" customFormat="false" ht="12.75" hidden="false" customHeight="false" outlineLevel="0" collapsed="false">
      <c r="B26" s="0" t="s">
        <v>1208</v>
      </c>
      <c r="D26" s="104"/>
      <c r="F26" s="64"/>
      <c r="G26" s="64"/>
      <c r="H26" s="64" t="n">
        <f aca="false">H25+F26+G26</f>
        <v>-270.299999999999</v>
      </c>
    </row>
    <row r="27" customFormat="false" ht="12.75" hidden="false" customHeight="false" outlineLevel="0" collapsed="false">
      <c r="B27" s="0" t="s">
        <v>1209</v>
      </c>
      <c r="D27" s="327" t="n">
        <v>1000</v>
      </c>
      <c r="G27" s="64"/>
      <c r="H27" s="64" t="n">
        <f aca="false">H26+F27+G27</f>
        <v>-270.299999999999</v>
      </c>
    </row>
    <row r="28" customFormat="false" ht="12.75" hidden="false" customHeight="false" outlineLevel="0" collapsed="false">
      <c r="A28" s="102" t="n">
        <v>45002</v>
      </c>
      <c r="B28" s="8" t="s">
        <v>661</v>
      </c>
      <c r="D28" s="191"/>
      <c r="G28" s="64" t="n">
        <v>-200</v>
      </c>
      <c r="H28" s="64" t="n">
        <f aca="false">H27+F28+G28</f>
        <v>-470.299999999999</v>
      </c>
    </row>
    <row r="29" customFormat="false" ht="12.75" hidden="false" customHeight="false" outlineLevel="0" collapsed="false">
      <c r="A29" s="102" t="n">
        <v>45000</v>
      </c>
      <c r="B29" s="8" t="s">
        <v>1210</v>
      </c>
      <c r="D29" s="191"/>
      <c r="G29" s="64" t="n">
        <v>-3450</v>
      </c>
      <c r="H29" s="64" t="n">
        <f aca="false">H28+F29+G29</f>
        <v>-3920.3</v>
      </c>
    </row>
    <row r="30" customFormat="false" ht="12.75" hidden="false" customHeight="false" outlineLevel="0" collapsed="false">
      <c r="A30" s="102"/>
      <c r="D30" s="104"/>
      <c r="E30" s="168"/>
      <c r="G30" s="64"/>
      <c r="H30" s="64" t="n">
        <f aca="false">H29+F30+G30</f>
        <v>-3920.3</v>
      </c>
    </row>
    <row r="31" customFormat="false" ht="12.75" hidden="false" customHeight="false" outlineLevel="0" collapsed="false">
      <c r="A31" s="102" t="n">
        <v>45016</v>
      </c>
      <c r="B31" s="8" t="s">
        <v>1211</v>
      </c>
      <c r="D31" s="104"/>
      <c r="E31" s="64" t="n">
        <v>-294.9</v>
      </c>
      <c r="G31" s="64" t="n">
        <v>-294.9</v>
      </c>
      <c r="H31" s="64" t="n">
        <f aca="false">H30+F31+G31</f>
        <v>-4215.2</v>
      </c>
    </row>
    <row r="32" customFormat="false" ht="12.75" hidden="false" customHeight="false" outlineLevel="0" collapsed="false">
      <c r="A32" s="102" t="n">
        <v>45015</v>
      </c>
      <c r="B32" s="8" t="s">
        <v>775</v>
      </c>
      <c r="D32" s="104" t="n">
        <v>70000</v>
      </c>
      <c r="F32" s="64"/>
      <c r="G32" s="64"/>
      <c r="H32" s="64" t="n">
        <f aca="false">H31+F32+G32</f>
        <v>-4215.2</v>
      </c>
    </row>
    <row r="33" customFormat="false" ht="12.75" hidden="false" customHeight="false" outlineLevel="0" collapsed="false">
      <c r="A33" s="102"/>
      <c r="D33" s="104"/>
      <c r="G33" s="64"/>
      <c r="H33" s="64" t="n">
        <f aca="false">H32+F33+G33</f>
        <v>-4215.2</v>
      </c>
    </row>
    <row r="34" customFormat="false" ht="12.75" hidden="false" customHeight="false" outlineLevel="0" collapsed="false">
      <c r="D34" s="64"/>
      <c r="F34" s="64"/>
      <c r="G34" s="64"/>
      <c r="H34" s="64" t="n">
        <f aca="false">H33+F34+G34</f>
        <v>-4215.2</v>
      </c>
    </row>
    <row r="35" customFormat="false" ht="12.75" hidden="false" customHeight="false" outlineLevel="0" collapsed="false">
      <c r="A35" s="102" t="n">
        <v>44998</v>
      </c>
      <c r="B35" s="8" t="s">
        <v>1212</v>
      </c>
      <c r="D35" s="8" t="s">
        <v>395</v>
      </c>
      <c r="E35" s="168"/>
      <c r="F35" s="64"/>
      <c r="G35" s="64"/>
      <c r="H35" s="64" t="n">
        <f aca="false">H34+F35+G35</f>
        <v>-4215.2</v>
      </c>
    </row>
    <row r="36" customFormat="false" ht="12.75" hidden="false" customHeight="false" outlineLevel="0" collapsed="false">
      <c r="A36" s="102" t="n">
        <v>44998</v>
      </c>
      <c r="B36" s="8" t="s">
        <v>1213</v>
      </c>
      <c r="D36" s="8" t="s">
        <v>395</v>
      </c>
      <c r="E36" s="168"/>
      <c r="F36" s="64"/>
      <c r="G36" s="64"/>
      <c r="H36" s="64" t="n">
        <f aca="false">H35+F36+G36</f>
        <v>-4215.2</v>
      </c>
    </row>
    <row r="37" customFormat="false" ht="12.75" hidden="false" customHeight="false" outlineLevel="0" collapsed="false">
      <c r="A37" s="102" t="n">
        <v>44998</v>
      </c>
      <c r="B37" s="8" t="s">
        <v>1214</v>
      </c>
      <c r="E37" s="168"/>
      <c r="F37" s="64"/>
      <c r="G37" s="64" t="n">
        <v>-4800</v>
      </c>
      <c r="H37" s="64" t="n">
        <f aca="false">H36+F37+G37</f>
        <v>-9015.2</v>
      </c>
    </row>
    <row r="38" customFormat="false" ht="12.75" hidden="false" customHeight="false" outlineLevel="0" collapsed="false">
      <c r="A38" s="102" t="n">
        <v>44998</v>
      </c>
      <c r="B38" s="8" t="s">
        <v>1215</v>
      </c>
      <c r="E38" s="168"/>
      <c r="F38" s="64" t="n">
        <v>1129</v>
      </c>
      <c r="G38" s="64" t="n">
        <v>-1129</v>
      </c>
      <c r="H38" s="64" t="n">
        <f aca="false">H37+F38+G38</f>
        <v>-9015.2</v>
      </c>
    </row>
    <row r="39" customFormat="false" ht="12.75" hidden="false" customHeight="false" outlineLevel="0" collapsed="false">
      <c r="A39" s="102"/>
      <c r="E39" s="168"/>
      <c r="F39" s="64" t="s">
        <v>1216</v>
      </c>
      <c r="G39" s="64"/>
      <c r="H39" s="64"/>
    </row>
    <row r="40" customFormat="false" ht="12.75" hidden="false" customHeight="false" outlineLevel="0" collapsed="false">
      <c r="B40" s="0" t="s">
        <v>334</v>
      </c>
      <c r="E40" s="64"/>
      <c r="G40" s="64"/>
      <c r="H40" s="64"/>
    </row>
    <row r="41" customFormat="false" ht="12.75" hidden="false" customHeight="false" outlineLevel="0" collapsed="false">
      <c r="A41" s="105" t="s">
        <v>335</v>
      </c>
      <c r="B41" s="105"/>
      <c r="C41" s="105"/>
      <c r="D41" s="105"/>
      <c r="E41" s="163"/>
      <c r="G41" s="64"/>
      <c r="H41" s="64"/>
    </row>
    <row r="42" customFormat="false" ht="12.75" hidden="false" customHeight="false" outlineLevel="0" collapsed="false">
      <c r="A42" s="102"/>
      <c r="E42" s="64"/>
      <c r="G42" s="64"/>
      <c r="H42" s="64"/>
    </row>
    <row r="43" customFormat="false" ht="12.75" hidden="false" customHeight="false" outlineLevel="0" collapsed="false">
      <c r="A43" s="102"/>
      <c r="C43" s="176"/>
      <c r="G43" s="64"/>
      <c r="H43" s="64"/>
    </row>
    <row r="44" customFormat="false" ht="12.75" hidden="false" customHeight="false" outlineLevel="0" collapsed="false">
      <c r="A44" s="102"/>
      <c r="C44" s="176"/>
      <c r="G44" s="64"/>
      <c r="H44" s="64"/>
    </row>
    <row r="45" customFormat="false" ht="12.75" hidden="false" customHeight="false" outlineLevel="0" collapsed="false">
      <c r="A45" s="102"/>
      <c r="C45" s="176"/>
      <c r="G45" s="64"/>
      <c r="H45" s="64"/>
    </row>
    <row r="46" customFormat="false" ht="12.75" hidden="false" customHeight="false" outlineLevel="0" collapsed="false">
      <c r="A46" s="177" t="n">
        <v>44929</v>
      </c>
      <c r="B46" s="178" t="s">
        <v>336</v>
      </c>
      <c r="C46" s="105"/>
      <c r="D46" s="206" t="n">
        <f aca="false">SUM(D47:D54)</f>
        <v>3899.07</v>
      </c>
      <c r="E46" s="206" t="n">
        <f aca="false">SUM(E47:E54)</f>
        <v>3699.07</v>
      </c>
      <c r="G46" s="64"/>
      <c r="H46" s="64"/>
    </row>
    <row r="47" customFormat="false" ht="12.75" hidden="false" customHeight="false" outlineLevel="0" collapsed="false">
      <c r="B47" s="0" t="s">
        <v>1217</v>
      </c>
      <c r="D47" s="0" t="n">
        <v>933.16</v>
      </c>
      <c r="E47" s="64" t="n">
        <v>933.16</v>
      </c>
      <c r="F47" s="64"/>
      <c r="G47" s="64"/>
    </row>
    <row r="48" customFormat="false" ht="12.75" hidden="false" customHeight="false" outlineLevel="0" collapsed="false">
      <c r="B48" s="0" t="s">
        <v>338</v>
      </c>
      <c r="D48" s="0" t="n">
        <v>996.81</v>
      </c>
      <c r="E48" s="64" t="n">
        <v>996.81</v>
      </c>
      <c r="F48" s="64"/>
      <c r="G48" s="64"/>
    </row>
    <row r="49" customFormat="false" ht="12.75" hidden="false" customHeight="false" outlineLevel="0" collapsed="false">
      <c r="B49" s="0" t="s">
        <v>339</v>
      </c>
      <c r="D49" s="0" t="n">
        <v>233.14</v>
      </c>
      <c r="E49" s="0" t="n">
        <v>233.14</v>
      </c>
      <c r="F49" s="64"/>
      <c r="G49" s="64"/>
    </row>
    <row r="50" customFormat="false" ht="12.75" hidden="false" customHeight="false" outlineLevel="0" collapsed="false">
      <c r="B50" s="0" t="s">
        <v>1218</v>
      </c>
      <c r="D50" s="0" t="n">
        <v>200</v>
      </c>
      <c r="F50" s="64"/>
      <c r="G50" s="64"/>
    </row>
    <row r="51" customFormat="false" ht="12.75" hidden="false" customHeight="false" outlineLevel="0" collapsed="false">
      <c r="B51" s="0" t="s">
        <v>1219</v>
      </c>
      <c r="D51" s="0" t="n">
        <v>1128.63</v>
      </c>
      <c r="E51" s="0" t="n">
        <v>1128.63</v>
      </c>
      <c r="F51" s="64"/>
      <c r="G51" s="64"/>
    </row>
    <row r="52" customFormat="false" ht="12.75" hidden="false" customHeight="false" outlineLevel="0" collapsed="false">
      <c r="B52" s="0" t="s">
        <v>341</v>
      </c>
      <c r="C52" s="108"/>
      <c r="D52" s="108" t="n">
        <v>342.4</v>
      </c>
      <c r="E52" s="0" t="n">
        <v>342.4</v>
      </c>
      <c r="F52" s="64"/>
      <c r="G52" s="64"/>
    </row>
    <row r="53" customFormat="false" ht="12.75" hidden="false" customHeight="false" outlineLevel="0" collapsed="false">
      <c r="B53" s="0" t="s">
        <v>342</v>
      </c>
      <c r="C53" s="108"/>
      <c r="D53" s="0" t="n">
        <v>64.93</v>
      </c>
      <c r="E53" s="108" t="n">
        <v>64.93</v>
      </c>
      <c r="F53" s="64"/>
      <c r="G53" s="64"/>
    </row>
    <row r="54" customFormat="false" ht="12.75" hidden="false" customHeight="false" outlineLevel="0" collapsed="false">
      <c r="C54" s="108"/>
      <c r="D54" s="108"/>
      <c r="E54" s="168"/>
      <c r="F54" s="64"/>
      <c r="G54" s="64"/>
    </row>
    <row r="55" customFormat="false" ht="12.75" hidden="false" customHeight="false" outlineLevel="0" collapsed="false">
      <c r="G55" s="64"/>
    </row>
    <row r="56" customFormat="false" ht="12.75" hidden="false" customHeight="false" outlineLevel="0" collapsed="false">
      <c r="B56" s="17"/>
      <c r="G56" s="64"/>
    </row>
    <row r="57" customFormat="false" ht="12.75" hidden="false" customHeight="false" outlineLevel="0" collapsed="false">
      <c r="B57" s="104"/>
      <c r="G57" s="64"/>
    </row>
    <row r="58" customFormat="false" ht="12.75" hidden="false" customHeight="false" outlineLevel="0" collapsed="false">
      <c r="A58" s="105"/>
      <c r="B58" s="106" t="s">
        <v>83</v>
      </c>
      <c r="C58" s="105"/>
      <c r="D58" s="163"/>
      <c r="E58" s="321" t="n">
        <f aca="false">SUM(E59:E92)</f>
        <v>-7675.4</v>
      </c>
      <c r="G58" s="64"/>
    </row>
    <row r="59" customFormat="false" ht="12.75" hidden="false" customHeight="false" outlineLevel="0" collapsed="false">
      <c r="G59" s="64"/>
      <c r="H59" s="64"/>
    </row>
    <row r="60" customFormat="false" ht="12.75" hidden="false" customHeight="false" outlineLevel="0" collapsed="false">
      <c r="A60" s="102" t="n">
        <v>44866</v>
      </c>
      <c r="B60" s="108" t="s">
        <v>1220</v>
      </c>
      <c r="C60" s="108"/>
      <c r="D60" s="108" t="s">
        <v>449</v>
      </c>
      <c r="E60" s="168" t="n">
        <v>-208.17</v>
      </c>
      <c r="F60" s="64"/>
      <c r="G60" s="64"/>
      <c r="H60" s="64"/>
    </row>
    <row r="61" customFormat="false" ht="12.75" hidden="false" customHeight="false" outlineLevel="0" collapsed="false">
      <c r="A61" s="102" t="n">
        <v>44871</v>
      </c>
      <c r="B61" s="108" t="s">
        <v>1221</v>
      </c>
      <c r="C61" s="108"/>
      <c r="D61" s="108" t="s">
        <v>449</v>
      </c>
      <c r="E61" s="168" t="n">
        <v>-151.65</v>
      </c>
      <c r="F61" s="64"/>
      <c r="G61" s="64"/>
      <c r="H61" s="64"/>
    </row>
    <row r="62" customFormat="false" ht="12.75" hidden="false" customHeight="false" outlineLevel="0" collapsed="false">
      <c r="A62" s="102" t="n">
        <v>44873</v>
      </c>
      <c r="B62" s="8" t="s">
        <v>1222</v>
      </c>
      <c r="C62" s="108"/>
      <c r="D62" s="108" t="s">
        <v>780</v>
      </c>
      <c r="E62" s="168" t="n">
        <v>-1111.11</v>
      </c>
      <c r="F62" s="64"/>
      <c r="G62" s="64"/>
      <c r="H62" s="64"/>
    </row>
    <row r="63" customFormat="false" ht="12.75" hidden="false" customHeight="false" outlineLevel="0" collapsed="false">
      <c r="A63" s="102" t="n">
        <v>44920</v>
      </c>
      <c r="B63" s="108" t="s">
        <v>1182</v>
      </c>
      <c r="C63" s="108"/>
      <c r="D63" s="108" t="s">
        <v>1039</v>
      </c>
      <c r="E63" s="168" t="n">
        <v>-397.46</v>
      </c>
      <c r="F63" s="64"/>
      <c r="G63" s="64"/>
      <c r="H63" s="64"/>
    </row>
    <row r="64" customFormat="false" ht="12.75" hidden="false" customHeight="false" outlineLevel="0" collapsed="false">
      <c r="A64" s="102" t="n">
        <v>44920</v>
      </c>
      <c r="B64" s="108" t="s">
        <v>1183</v>
      </c>
      <c r="C64" s="108"/>
      <c r="D64" s="108" t="s">
        <v>1039</v>
      </c>
      <c r="E64" s="168" t="n">
        <v>-80.91</v>
      </c>
      <c r="F64" s="64"/>
      <c r="G64" s="64"/>
      <c r="H64" s="64"/>
    </row>
    <row r="65" customFormat="false" ht="12.75" hidden="false" customHeight="false" outlineLevel="0" collapsed="false">
      <c r="A65" s="102" t="n">
        <v>44920</v>
      </c>
      <c r="B65" s="108" t="s">
        <v>1184</v>
      </c>
      <c r="C65" s="108"/>
      <c r="D65" s="108" t="s">
        <v>1039</v>
      </c>
      <c r="E65" s="168" t="n">
        <v>-127.05</v>
      </c>
      <c r="F65" s="64"/>
      <c r="G65" s="64"/>
      <c r="H65" s="64"/>
    </row>
    <row r="66" customFormat="false" ht="12.75" hidden="false" customHeight="false" outlineLevel="0" collapsed="false">
      <c r="A66" s="102" t="n">
        <v>44920</v>
      </c>
      <c r="B66" s="108" t="s">
        <v>1185</v>
      </c>
      <c r="C66" s="108"/>
      <c r="D66" s="108" t="s">
        <v>1039</v>
      </c>
      <c r="E66" s="168" t="n">
        <v>-49.31</v>
      </c>
      <c r="F66" s="64"/>
      <c r="G66" s="64"/>
      <c r="H66" s="64"/>
    </row>
    <row r="67" customFormat="false" ht="12.75" hidden="false" customHeight="false" outlineLevel="0" collapsed="false">
      <c r="A67" s="102" t="n">
        <v>44952</v>
      </c>
      <c r="B67" s="8" t="s">
        <v>1223</v>
      </c>
      <c r="E67" s="168" t="n">
        <v>-167.74</v>
      </c>
      <c r="F67" s="64"/>
      <c r="G67" s="64"/>
      <c r="H67" s="64"/>
    </row>
    <row r="68" customFormat="false" ht="12.75" hidden="false" customHeight="false" outlineLevel="0" collapsed="false">
      <c r="A68" s="102" t="n">
        <v>44953</v>
      </c>
      <c r="B68" s="8" t="s">
        <v>1224</v>
      </c>
      <c r="E68" s="168" t="n">
        <v>-169.33</v>
      </c>
      <c r="F68" s="64"/>
      <c r="G68" s="64"/>
      <c r="H68" s="64"/>
    </row>
    <row r="69" customFormat="false" ht="12.75" hidden="false" customHeight="false" outlineLevel="0" collapsed="false">
      <c r="A69" s="102" t="n">
        <v>44954</v>
      </c>
      <c r="B69" s="8" t="s">
        <v>1225</v>
      </c>
      <c r="D69" s="36"/>
      <c r="E69" s="168" t="n">
        <v>-150.32</v>
      </c>
      <c r="F69" s="64"/>
      <c r="G69" s="64"/>
      <c r="H69" s="64"/>
    </row>
    <row r="70" customFormat="false" ht="12.75" hidden="false" customHeight="false" outlineLevel="0" collapsed="false">
      <c r="A70" s="102" t="n">
        <v>44956</v>
      </c>
      <c r="B70" s="8" t="s">
        <v>1226</v>
      </c>
      <c r="D70" s="36"/>
      <c r="E70" s="168" t="n">
        <v>-171.76</v>
      </c>
      <c r="F70" s="64"/>
      <c r="G70" s="64"/>
      <c r="H70" s="64"/>
    </row>
    <row r="71" customFormat="false" ht="12.75" hidden="false" customHeight="false" outlineLevel="0" collapsed="false">
      <c r="A71" s="102" t="n">
        <v>44957</v>
      </c>
      <c r="B71" s="8" t="s">
        <v>1227</v>
      </c>
      <c r="D71" s="36"/>
      <c r="E71" s="168" t="n">
        <v>-119.42</v>
      </c>
      <c r="F71" s="64"/>
      <c r="G71" s="64"/>
      <c r="H71" s="64"/>
    </row>
    <row r="72" customFormat="false" ht="12.75" hidden="false" customHeight="false" outlineLevel="0" collapsed="false">
      <c r="A72" s="102" t="n">
        <v>44957</v>
      </c>
      <c r="B72" s="8" t="s">
        <v>826</v>
      </c>
      <c r="D72" s="36"/>
      <c r="E72" s="168" t="n">
        <v>-225.4</v>
      </c>
      <c r="F72" s="64"/>
      <c r="G72" s="64"/>
      <c r="H72" s="64"/>
    </row>
    <row r="73" customFormat="false" ht="12.75" hidden="false" customHeight="false" outlineLevel="0" collapsed="false">
      <c r="A73" s="102" t="n">
        <v>44957</v>
      </c>
      <c r="B73" s="8" t="s">
        <v>826</v>
      </c>
      <c r="D73" s="36"/>
      <c r="E73" s="168" t="n">
        <v>-225.4</v>
      </c>
      <c r="F73" s="64"/>
      <c r="G73" s="64"/>
      <c r="H73" s="64"/>
    </row>
    <row r="74" customFormat="false" ht="12.75" hidden="false" customHeight="false" outlineLevel="0" collapsed="false">
      <c r="A74" s="102" t="n">
        <v>44957</v>
      </c>
      <c r="B74" s="8" t="s">
        <v>827</v>
      </c>
      <c r="C74" s="0" t="n">
        <v>437.97</v>
      </c>
      <c r="D74" s="36" t="s">
        <v>1187</v>
      </c>
      <c r="E74" s="168" t="n">
        <v>-145.99</v>
      </c>
      <c r="F74" s="64"/>
      <c r="G74" s="64"/>
      <c r="H74" s="64"/>
    </row>
    <row r="75" customFormat="false" ht="12.75" hidden="false" customHeight="false" outlineLevel="0" collapsed="false">
      <c r="A75" s="102" t="n">
        <v>44957</v>
      </c>
      <c r="B75" s="8" t="s">
        <v>828</v>
      </c>
      <c r="C75" s="0" t="n">
        <v>404.23</v>
      </c>
      <c r="D75" s="36" t="s">
        <v>1187</v>
      </c>
      <c r="E75" s="168" t="n">
        <v>-134.74</v>
      </c>
      <c r="F75" s="64"/>
      <c r="G75" s="64"/>
      <c r="H75" s="64"/>
    </row>
    <row r="76" customFormat="false" ht="12.75" hidden="false" customHeight="false" outlineLevel="0" collapsed="false">
      <c r="A76" s="102" t="n">
        <v>44957</v>
      </c>
      <c r="B76" s="8" t="s">
        <v>829</v>
      </c>
      <c r="C76" s="0" t="n">
        <v>1135</v>
      </c>
      <c r="D76" s="36" t="s">
        <v>1187</v>
      </c>
      <c r="E76" s="168" t="n">
        <v>-378.33</v>
      </c>
      <c r="F76" s="64"/>
      <c r="G76" s="64"/>
      <c r="H76" s="64"/>
    </row>
    <row r="77" customFormat="false" ht="12.75" hidden="false" customHeight="false" outlineLevel="0" collapsed="false">
      <c r="A77" s="102" t="n">
        <v>44958</v>
      </c>
      <c r="B77" s="8" t="s">
        <v>1228</v>
      </c>
      <c r="E77" s="168" t="n">
        <v>-880.22</v>
      </c>
      <c r="G77" s="64"/>
    </row>
    <row r="78" customFormat="false" ht="12.75" hidden="false" customHeight="false" outlineLevel="0" collapsed="false">
      <c r="A78" s="102" t="n">
        <v>44958</v>
      </c>
      <c r="B78" s="8" t="s">
        <v>1229</v>
      </c>
      <c r="E78" s="168" t="n">
        <v>-218.24</v>
      </c>
      <c r="G78" s="64"/>
    </row>
    <row r="79" customFormat="false" ht="12.75" hidden="false" customHeight="false" outlineLevel="0" collapsed="false">
      <c r="A79" s="102" t="n">
        <v>44960</v>
      </c>
      <c r="B79" s="8" t="s">
        <v>1230</v>
      </c>
      <c r="E79" s="168" t="n">
        <v>-120.45</v>
      </c>
      <c r="G79" s="64"/>
    </row>
    <row r="80" customFormat="false" ht="12.75" hidden="false" customHeight="false" outlineLevel="0" collapsed="false">
      <c r="A80" s="102" t="n">
        <v>44963</v>
      </c>
      <c r="B80" s="8" t="s">
        <v>1231</v>
      </c>
      <c r="D80" s="36"/>
      <c r="E80" s="168" t="n">
        <v>-130.56</v>
      </c>
      <c r="G80" s="64"/>
    </row>
    <row r="81" customFormat="false" ht="12.75" hidden="false" customHeight="false" outlineLevel="0" collapsed="false">
      <c r="A81" s="102" t="n">
        <v>44969</v>
      </c>
      <c r="B81" s="8" t="s">
        <v>1232</v>
      </c>
      <c r="D81" s="36"/>
      <c r="E81" s="168" t="n">
        <v>-51.99</v>
      </c>
      <c r="G81" s="64"/>
    </row>
    <row r="82" customFormat="false" ht="12.75" hidden="false" customHeight="false" outlineLevel="0" collapsed="false">
      <c r="A82" s="102" t="n">
        <v>44970</v>
      </c>
      <c r="B82" s="8" t="s">
        <v>534</v>
      </c>
      <c r="D82" s="36"/>
      <c r="E82" s="168" t="n">
        <v>-379</v>
      </c>
      <c r="G82" s="64"/>
    </row>
    <row r="83" customFormat="false" ht="12.75" hidden="false" customHeight="false" outlineLevel="0" collapsed="false">
      <c r="A83" s="102" t="n">
        <v>44970</v>
      </c>
      <c r="B83" s="8" t="s">
        <v>534</v>
      </c>
      <c r="D83" s="36"/>
      <c r="E83" s="168" t="n">
        <v>-510</v>
      </c>
      <c r="G83" s="64"/>
    </row>
    <row r="84" customFormat="false" ht="12.75" hidden="false" customHeight="false" outlineLevel="0" collapsed="false">
      <c r="A84" s="102" t="n">
        <v>44971</v>
      </c>
      <c r="B84" s="8" t="s">
        <v>1232</v>
      </c>
      <c r="D84" s="36"/>
      <c r="E84" s="168" t="n">
        <v>-51.99</v>
      </c>
      <c r="G84" s="64"/>
    </row>
    <row r="85" customFormat="false" ht="12.75" hidden="false" customHeight="false" outlineLevel="0" collapsed="false">
      <c r="A85" s="102" t="n">
        <v>44972</v>
      </c>
      <c r="B85" s="8" t="s">
        <v>1233</v>
      </c>
      <c r="D85" s="36"/>
      <c r="E85" s="168" t="n">
        <v>-54.77</v>
      </c>
      <c r="G85" s="64"/>
    </row>
    <row r="86" customFormat="false" ht="12.75" hidden="false" customHeight="false" outlineLevel="0" collapsed="false">
      <c r="A86" s="102" t="n">
        <v>44972</v>
      </c>
      <c r="B86" s="8" t="s">
        <v>1234</v>
      </c>
      <c r="D86" s="36"/>
      <c r="E86" s="168" t="n">
        <v>-459</v>
      </c>
      <c r="G86" s="64"/>
    </row>
    <row r="87" customFormat="false" ht="12.75" hidden="false" customHeight="false" outlineLevel="0" collapsed="false">
      <c r="A87" s="102" t="n">
        <v>44972</v>
      </c>
      <c r="B87" s="8" t="s">
        <v>1235</v>
      </c>
      <c r="D87" s="36"/>
      <c r="E87" s="168" t="n">
        <v>-211</v>
      </c>
      <c r="G87" s="64"/>
    </row>
    <row r="88" customFormat="false" ht="12.75" hidden="false" customHeight="false" outlineLevel="0" collapsed="false">
      <c r="A88" s="102" t="n">
        <v>44977</v>
      </c>
      <c r="B88" s="8" t="s">
        <v>1236</v>
      </c>
      <c r="D88" s="36"/>
      <c r="E88" s="168" t="n">
        <v>-100</v>
      </c>
      <c r="G88" s="64"/>
    </row>
    <row r="89" customFormat="false" ht="12.75" hidden="false" customHeight="false" outlineLevel="0" collapsed="false">
      <c r="A89" s="102" t="n">
        <v>44977</v>
      </c>
      <c r="B89" s="8" t="s">
        <v>1236</v>
      </c>
      <c r="D89" s="36"/>
      <c r="E89" s="168" t="n">
        <v>-10</v>
      </c>
      <c r="G89" s="64"/>
    </row>
    <row r="90" customFormat="false" ht="12.75" hidden="false" customHeight="false" outlineLevel="0" collapsed="false">
      <c r="A90" s="102" t="n">
        <v>44981</v>
      </c>
      <c r="B90" s="8" t="s">
        <v>137</v>
      </c>
      <c r="D90" s="36"/>
      <c r="E90" s="168" t="n">
        <v>-132.77</v>
      </c>
      <c r="G90" s="64"/>
    </row>
    <row r="91" customFormat="false" ht="12.75" hidden="false" customHeight="false" outlineLevel="0" collapsed="false">
      <c r="A91" s="102" t="n">
        <v>44982</v>
      </c>
      <c r="B91" s="8" t="s">
        <v>137</v>
      </c>
      <c r="D91" s="36"/>
      <c r="E91" s="168" t="n">
        <v>-186.34</v>
      </c>
      <c r="G91" s="64"/>
    </row>
    <row r="92" customFormat="false" ht="12.75" hidden="false" customHeight="false" outlineLevel="0" collapsed="false">
      <c r="A92" s="102" t="n">
        <v>44982</v>
      </c>
      <c r="B92" s="8" t="s">
        <v>1125</v>
      </c>
      <c r="C92" s="0" t="n">
        <v>659.93</v>
      </c>
      <c r="D92" s="36" t="s">
        <v>1094</v>
      </c>
      <c r="E92" s="168" t="n">
        <v>-164.98</v>
      </c>
      <c r="G92" s="64"/>
    </row>
    <row r="93" customFormat="false" ht="12.75" hidden="false" customHeight="false" outlineLevel="0" collapsed="false">
      <c r="A93" s="328" t="n">
        <v>44982</v>
      </c>
      <c r="D93" s="36"/>
      <c r="E93" s="329" t="s">
        <v>1167</v>
      </c>
      <c r="G93" s="64"/>
    </row>
    <row r="94" customFormat="false" ht="12.75" hidden="false" customHeight="false" outlineLevel="0" collapsed="false">
      <c r="G94" s="64"/>
    </row>
    <row r="95" customFormat="false" ht="12.75" hidden="false" customHeight="false" outlineLevel="0" collapsed="false">
      <c r="A95" s="105"/>
      <c r="B95" s="106" t="s">
        <v>85</v>
      </c>
      <c r="C95" s="105"/>
      <c r="D95" s="105"/>
      <c r="E95" s="164" t="n">
        <f aca="false">SUM(E96:E109)</f>
        <v>-1174.72</v>
      </c>
      <c r="G95" s="64"/>
    </row>
    <row r="96" customFormat="false" ht="12.75" hidden="false" customHeight="false" outlineLevel="0" collapsed="false">
      <c r="A96" s="102" t="n">
        <v>44965</v>
      </c>
      <c r="B96" s="108" t="s">
        <v>1237</v>
      </c>
      <c r="C96" s="108"/>
      <c r="D96" s="108"/>
      <c r="E96" s="168" t="n">
        <v>-122.33</v>
      </c>
      <c r="F96" s="64"/>
      <c r="G96" s="64"/>
      <c r="H96" s="64"/>
    </row>
    <row r="97" customFormat="false" ht="12.75" hidden="false" customHeight="false" outlineLevel="0" collapsed="false">
      <c r="A97" s="102" t="n">
        <v>44965</v>
      </c>
      <c r="B97" s="108" t="s">
        <v>1238</v>
      </c>
      <c r="C97" s="108"/>
      <c r="D97" s="108"/>
      <c r="E97" s="168" t="n">
        <v>-713.25</v>
      </c>
      <c r="F97" s="64"/>
      <c r="G97" s="64"/>
      <c r="H97" s="64"/>
    </row>
    <row r="98" customFormat="false" ht="12.75" hidden="false" customHeight="false" outlineLevel="0" collapsed="false">
      <c r="A98" s="102" t="n">
        <v>44974</v>
      </c>
      <c r="B98" s="108" t="s">
        <v>1165</v>
      </c>
      <c r="C98" s="108"/>
      <c r="D98" s="108"/>
      <c r="E98" s="168" t="n">
        <v>-41.98</v>
      </c>
      <c r="F98" s="64"/>
      <c r="G98" s="64"/>
      <c r="H98" s="64"/>
    </row>
    <row r="99" customFormat="false" ht="12.75" hidden="false" customHeight="false" outlineLevel="0" collapsed="false">
      <c r="A99" s="102" t="n">
        <v>44979</v>
      </c>
      <c r="B99" s="108" t="s">
        <v>1165</v>
      </c>
      <c r="C99" s="108"/>
      <c r="D99" s="108"/>
      <c r="E99" s="168" t="n">
        <v>-130.93</v>
      </c>
      <c r="F99" s="64"/>
      <c r="G99" s="64"/>
      <c r="H99" s="64"/>
    </row>
    <row r="100" customFormat="false" ht="12.75" hidden="false" customHeight="false" outlineLevel="0" collapsed="false">
      <c r="A100" s="102" t="n">
        <v>44980</v>
      </c>
      <c r="B100" s="108" t="s">
        <v>1165</v>
      </c>
      <c r="C100" s="108"/>
      <c r="D100" s="108"/>
      <c r="E100" s="168" t="n">
        <v>-166.23</v>
      </c>
      <c r="F100" s="64"/>
      <c r="G100" s="64"/>
      <c r="H100" s="64"/>
    </row>
    <row r="101" customFormat="false" ht="12.75" hidden="false" customHeight="false" outlineLevel="0" collapsed="false">
      <c r="A101" s="328" t="n">
        <v>44981</v>
      </c>
      <c r="C101" s="108"/>
      <c r="D101" s="108"/>
      <c r="E101" s="329" t="s">
        <v>1167</v>
      </c>
      <c r="F101" s="64"/>
      <c r="G101" s="64"/>
      <c r="H101" s="64"/>
    </row>
    <row r="102" customFormat="false" ht="12.75" hidden="false" customHeight="false" outlineLevel="0" collapsed="false">
      <c r="A102" s="102"/>
      <c r="B102" s="109"/>
      <c r="E102" s="168"/>
    </row>
    <row r="103" customFormat="false" ht="12.75" hidden="false" customHeight="false" outlineLevel="0" collapsed="false">
      <c r="A103" s="102"/>
      <c r="B103" s="109"/>
      <c r="E103" s="168"/>
    </row>
    <row r="104" customFormat="false" ht="12.75" hidden="false" customHeight="false" outlineLevel="0" collapsed="false">
      <c r="A104" s="102"/>
      <c r="B104" s="109"/>
      <c r="E104" s="168"/>
    </row>
    <row r="105" customFormat="false" ht="12.75" hidden="false" customHeight="false" outlineLevel="0" collapsed="false">
      <c r="A105" s="102"/>
      <c r="B105" s="109"/>
      <c r="E105" s="168"/>
    </row>
    <row r="106" customFormat="false" ht="12.75" hidden="false" customHeight="false" outlineLevel="0" collapsed="false">
      <c r="A106" s="102"/>
      <c r="B106" s="109"/>
      <c r="E106" s="168"/>
    </row>
    <row r="107" customFormat="false" ht="12.75" hidden="false" customHeight="false" outlineLevel="0" collapsed="false">
      <c r="A107" s="102"/>
      <c r="B107" s="109"/>
      <c r="E107" s="168"/>
    </row>
    <row r="111" customFormat="false" ht="12.75" hidden="false" customHeight="false" outlineLevel="0" collapsed="false">
      <c r="A111" s="105"/>
      <c r="B111" s="106" t="s">
        <v>1239</v>
      </c>
      <c r="C111" s="105"/>
      <c r="D111" s="163"/>
      <c r="E111" s="164" t="n">
        <f aca="false">SUM(E112:E120)</f>
        <v>310932.3</v>
      </c>
    </row>
    <row r="112" customFormat="false" ht="12.75" hidden="false" customHeight="false" outlineLevel="0" collapsed="false">
      <c r="A112" s="102" t="n">
        <v>45016</v>
      </c>
      <c r="B112" s="8" t="s">
        <v>77</v>
      </c>
      <c r="C112" s="2"/>
      <c r="D112" s="2"/>
      <c r="E112" s="17" t="n">
        <v>64000</v>
      </c>
    </row>
    <row r="113" customFormat="false" ht="12.75" hidden="false" customHeight="false" outlineLevel="0" collapsed="false">
      <c r="A113" s="102" t="n">
        <v>45016</v>
      </c>
      <c r="B113" s="8" t="s">
        <v>1240</v>
      </c>
      <c r="C113" s="2"/>
      <c r="D113" s="2"/>
      <c r="E113" s="17" t="n">
        <v>53088</v>
      </c>
    </row>
    <row r="114" customFormat="false" ht="12.75" hidden="false" customHeight="false" outlineLevel="0" collapsed="false">
      <c r="A114" s="102" t="n">
        <v>45016</v>
      </c>
      <c r="B114" s="8" t="s">
        <v>309</v>
      </c>
      <c r="C114" s="2"/>
      <c r="D114" s="2"/>
      <c r="E114" s="17" t="n">
        <v>17383.58</v>
      </c>
    </row>
    <row r="115" customFormat="false" ht="12.75" hidden="false" customHeight="false" outlineLevel="0" collapsed="false">
      <c r="A115" s="102" t="n">
        <v>45016</v>
      </c>
      <c r="B115" s="8" t="s">
        <v>310</v>
      </c>
      <c r="C115" s="2"/>
      <c r="D115" s="2"/>
      <c r="E115" s="17" t="n">
        <v>0.59</v>
      </c>
    </row>
    <row r="116" customFormat="false" ht="12.75" hidden="false" customHeight="false" outlineLevel="0" collapsed="false">
      <c r="A116" s="102" t="n">
        <v>45016</v>
      </c>
      <c r="B116" s="8" t="s">
        <v>1015</v>
      </c>
      <c r="C116" s="2" t="n">
        <v>1179.83</v>
      </c>
      <c r="D116" s="2" t="n">
        <v>111</v>
      </c>
      <c r="E116" s="17" t="n">
        <f aca="false">D116*C116</f>
        <v>130961.13</v>
      </c>
    </row>
    <row r="117" customFormat="false" ht="12.75" hidden="false" customHeight="false" outlineLevel="0" collapsed="false">
      <c r="A117" s="102" t="n">
        <v>45016</v>
      </c>
      <c r="B117" s="8" t="s">
        <v>1112</v>
      </c>
      <c r="C117" s="2" t="n">
        <v>18.78</v>
      </c>
      <c r="D117" s="2" t="n">
        <v>850</v>
      </c>
      <c r="E117" s="17" t="n">
        <f aca="false">D117*C117</f>
        <v>15963</v>
      </c>
    </row>
    <row r="118" customFormat="false" ht="12.75" hidden="false" customHeight="false" outlineLevel="0" collapsed="false">
      <c r="A118" s="102" t="n">
        <v>45016</v>
      </c>
      <c r="B118" s="8" t="s">
        <v>1113</v>
      </c>
      <c r="C118" s="2" t="n">
        <v>20.36</v>
      </c>
      <c r="D118" s="2" t="n">
        <v>100</v>
      </c>
      <c r="E118" s="17" t="n">
        <f aca="false">D118*C118</f>
        <v>2036</v>
      </c>
    </row>
    <row r="119" customFormat="false" ht="12.75" hidden="false" customHeight="false" outlineLevel="0" collapsed="false">
      <c r="A119" s="102" t="n">
        <v>45016</v>
      </c>
      <c r="B119" s="8" t="s">
        <v>155</v>
      </c>
      <c r="C119" s="2"/>
      <c r="D119" s="2"/>
      <c r="E119" s="17" t="n">
        <v>26300</v>
      </c>
    </row>
    <row r="120" customFormat="false" ht="12.75" hidden="false" customHeight="false" outlineLevel="0" collapsed="false">
      <c r="A120" s="102"/>
      <c r="B120" s="8" t="s">
        <v>156</v>
      </c>
      <c r="C120" s="2"/>
      <c r="D120" s="2"/>
      <c r="E120" s="17" t="n">
        <v>1200</v>
      </c>
    </row>
    <row r="121" customFormat="false" ht="12.75" hidden="false" customHeight="false" outlineLevel="0" collapsed="false">
      <c r="D121" s="18" t="s">
        <v>1241</v>
      </c>
      <c r="E121" s="64" t="n">
        <f aca="false">H2</f>
        <v>-10144.2</v>
      </c>
    </row>
    <row r="122" customFormat="false" ht="12.75" hidden="false" customHeight="false" outlineLevel="0" collapsed="false">
      <c r="D122" s="3"/>
    </row>
    <row r="123" customFormat="false" ht="12.75" hidden="false" customHeight="false" outlineLevel="0" collapsed="false">
      <c r="D123" s="18" t="s">
        <v>158</v>
      </c>
      <c r="E123" s="8" t="n">
        <f aca="false">SUM(E112:E122)</f>
        <v>300788.1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95511"/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8" colorId="64" zoomScale="170" zoomScaleNormal="170" zoomScalePageLayoutView="100" workbookViewId="0">
      <selection pane="topLeft" activeCell="B11" activeCellId="0" sqref="B11"/>
    </sheetView>
  </sheetViews>
  <sheetFormatPr defaultColWidth="12.29296875" defaultRowHeight="12.75" zeroHeight="false" outlineLevelRow="0" outlineLevelCol="0"/>
  <cols>
    <col collapsed="false" customWidth="true" hidden="false" outlineLevel="0" max="1" min="1" style="0" width="11.57"/>
    <col collapsed="false" customWidth="true" hidden="false" outlineLevel="0" max="2" min="2" style="0" width="33.86"/>
    <col collapsed="false" customWidth="true" hidden="false" outlineLevel="0" max="3" min="3" style="0" width="7"/>
    <col collapsed="false" customWidth="false" hidden="false" outlineLevel="0" max="5" min="5" style="168" width="12.29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F1" s="194" t="s">
        <v>28</v>
      </c>
      <c r="G1" s="194" t="s">
        <v>29</v>
      </c>
      <c r="H1" s="194" t="s">
        <v>3</v>
      </c>
    </row>
    <row r="2" customFormat="false" ht="12.75" hidden="false" customHeight="false" outlineLevel="0" collapsed="false">
      <c r="A2" s="3" t="s">
        <v>1081</v>
      </c>
      <c r="C2" s="81" t="s">
        <v>67</v>
      </c>
      <c r="D2" s="311" t="n">
        <f aca="false">SUM(D4:D43)</f>
        <v>15761</v>
      </c>
      <c r="E2" s="168" t="n">
        <f aca="false">SUM(E4:E38)</f>
        <v>-56286.92</v>
      </c>
      <c r="F2" s="311" t="n">
        <f aca="false">SUM(F4:F43)</f>
        <v>26990.01</v>
      </c>
      <c r="G2" s="311" t="n">
        <f aca="false">SUM(G4:G43)</f>
        <v>-77441.49</v>
      </c>
      <c r="H2" s="311" t="n">
        <f aca="false">F2+G2</f>
        <v>-50451.48</v>
      </c>
    </row>
    <row r="3" customFormat="false" ht="12.75" hidden="false" customHeight="false" outlineLevel="0" collapsed="false">
      <c r="B3" s="18"/>
      <c r="H3" s="64"/>
    </row>
    <row r="4" customFormat="false" ht="12.75" hidden="false" customHeight="false" outlineLevel="0" collapsed="false">
      <c r="A4" s="102" t="n">
        <v>44959</v>
      </c>
      <c r="B4" s="103" t="s">
        <v>80</v>
      </c>
      <c r="C4" s="103"/>
      <c r="D4" s="103"/>
      <c r="E4" s="64" t="n">
        <v>-400</v>
      </c>
      <c r="G4" s="64" t="n">
        <v>-264</v>
      </c>
      <c r="H4" s="64" t="n">
        <f aca="false">H3+F4+G4</f>
        <v>-264</v>
      </c>
    </row>
    <row r="5" customFormat="false" ht="12.75" hidden="false" customHeight="false" outlineLevel="0" collapsed="false">
      <c r="A5" s="102" t="n">
        <v>44959</v>
      </c>
      <c r="B5" s="103" t="s">
        <v>81</v>
      </c>
      <c r="C5" s="103"/>
      <c r="D5" s="103"/>
      <c r="E5" s="64" t="n">
        <v>-500</v>
      </c>
      <c r="G5" s="64" t="n">
        <v>-531</v>
      </c>
      <c r="H5" s="64" t="n">
        <f aca="false">H4+F5+G5</f>
        <v>-795</v>
      </c>
    </row>
    <row r="6" customFormat="false" ht="12.75" hidden="false" customHeight="false" outlineLevel="0" collapsed="false">
      <c r="A6" s="102" t="n">
        <v>44960</v>
      </c>
      <c r="B6" s="183" t="s">
        <v>69</v>
      </c>
      <c r="E6" s="64" t="n">
        <f aca="false">E87</f>
        <v>-3076.29</v>
      </c>
      <c r="G6" s="64" t="n">
        <v>-3076.29</v>
      </c>
      <c r="H6" s="64" t="n">
        <f aca="false">H5+F6+G6</f>
        <v>-3871.29</v>
      </c>
    </row>
    <row r="7" customFormat="false" ht="12.75" hidden="false" customHeight="false" outlineLevel="0" collapsed="false">
      <c r="A7" s="102" t="n">
        <v>44962</v>
      </c>
      <c r="B7" s="330" t="s">
        <v>1242</v>
      </c>
      <c r="C7" s="330"/>
      <c r="D7" s="331"/>
      <c r="E7" s="332"/>
      <c r="F7" s="333" t="n">
        <v>6920</v>
      </c>
      <c r="G7" s="64"/>
      <c r="H7" s="64" t="n">
        <f aca="false">H6+F7+G7</f>
        <v>3048.71</v>
      </c>
    </row>
    <row r="8" customFormat="false" ht="12.75" hidden="false" customHeight="false" outlineLevel="0" collapsed="false">
      <c r="A8" s="102" t="n">
        <v>44963</v>
      </c>
      <c r="B8" s="330" t="s">
        <v>1243</v>
      </c>
      <c r="C8" s="330" t="s">
        <v>395</v>
      </c>
      <c r="D8" s="331"/>
      <c r="E8" s="332"/>
      <c r="F8" s="333" t="n">
        <v>6000</v>
      </c>
      <c r="G8" s="64"/>
      <c r="H8" s="64" t="n">
        <f aca="false">H7+F8+G8</f>
        <v>9048.71</v>
      </c>
    </row>
    <row r="9" customFormat="false" ht="12.75" hidden="false" customHeight="false" outlineLevel="0" collapsed="false">
      <c r="A9" s="102" t="n">
        <v>44963</v>
      </c>
      <c r="B9" s="183" t="s">
        <v>68</v>
      </c>
      <c r="E9" s="64" t="n">
        <f aca="false">E62</f>
        <v>-4657.2</v>
      </c>
      <c r="F9" s="64"/>
      <c r="G9" s="64" t="n">
        <v>-4657.21</v>
      </c>
      <c r="H9" s="64" t="n">
        <f aca="false">H8+F9+G9</f>
        <v>4391.5</v>
      </c>
    </row>
    <row r="10" customFormat="false" ht="12.75" hidden="false" customHeight="false" outlineLevel="0" collapsed="false">
      <c r="A10" s="102" t="n">
        <v>44963</v>
      </c>
      <c r="B10" s="8" t="s">
        <v>1244</v>
      </c>
      <c r="F10" s="64"/>
      <c r="G10" s="64" t="n">
        <v>-5000</v>
      </c>
      <c r="H10" s="64" t="n">
        <f aca="false">H9+F10+G10</f>
        <v>-608.500000000001</v>
      </c>
    </row>
    <row r="11" customFormat="false" ht="12.75" hidden="false" customHeight="false" outlineLevel="0" collapsed="false">
      <c r="A11" s="102" t="n">
        <v>44964</v>
      </c>
      <c r="B11" s="103" t="s">
        <v>725</v>
      </c>
      <c r="C11" s="103"/>
      <c r="D11" s="103"/>
      <c r="E11" s="64" t="n">
        <v>-4300</v>
      </c>
      <c r="G11" s="64" t="n">
        <v>-4300</v>
      </c>
      <c r="H11" s="64" t="n">
        <f aca="false">H10+F11+G11</f>
        <v>-4908.5</v>
      </c>
    </row>
    <row r="12" customFormat="false" ht="12.75" hidden="false" customHeight="false" outlineLevel="0" collapsed="false">
      <c r="A12" s="102" t="n">
        <v>44964</v>
      </c>
      <c r="B12" s="103" t="s">
        <v>70</v>
      </c>
      <c r="C12" s="103"/>
      <c r="D12" s="103"/>
      <c r="E12" s="64" t="n">
        <v>-674.74</v>
      </c>
      <c r="F12" s="64"/>
      <c r="G12" s="64" t="n">
        <v>-670.27</v>
      </c>
      <c r="H12" s="64" t="n">
        <f aca="false">H11+F12+G12</f>
        <v>-5578.77</v>
      </c>
    </row>
    <row r="13" customFormat="false" ht="12.75" hidden="false" customHeight="false" outlineLevel="0" collapsed="false">
      <c r="A13" s="102" t="n">
        <v>44964</v>
      </c>
      <c r="B13" s="103" t="s">
        <v>75</v>
      </c>
      <c r="C13" s="103"/>
      <c r="D13" s="103"/>
      <c r="E13" s="64" t="n">
        <v>-150</v>
      </c>
      <c r="F13" s="64"/>
      <c r="G13" s="64" t="n">
        <v>-102.03</v>
      </c>
      <c r="H13" s="64" t="n">
        <f aca="false">H12+F13+G13</f>
        <v>-5680.8</v>
      </c>
    </row>
    <row r="14" customFormat="false" ht="12.75" hidden="false" customHeight="false" outlineLevel="0" collapsed="false">
      <c r="A14" s="102" t="n">
        <v>44964</v>
      </c>
      <c r="B14" s="8" t="s">
        <v>1245</v>
      </c>
      <c r="D14" s="104"/>
      <c r="E14" s="64" t="n">
        <v>-2667</v>
      </c>
      <c r="G14" s="64" t="n">
        <v>-3000</v>
      </c>
      <c r="H14" s="64" t="n">
        <f aca="false">H13+F14+G14</f>
        <v>-8680.8</v>
      </c>
    </row>
    <row r="15" customFormat="false" ht="12.75" hidden="false" customHeight="false" outlineLevel="0" collapsed="false">
      <c r="A15" s="102"/>
      <c r="B15" s="183" t="s">
        <v>72</v>
      </c>
      <c r="E15" s="64" t="n">
        <f aca="false">D58*-1</f>
        <v>-87.69</v>
      </c>
      <c r="G15" s="64" t="n">
        <f aca="false">D58*-1</f>
        <v>-87.69</v>
      </c>
      <c r="H15" s="64" t="n">
        <f aca="false">H14+F15+G15</f>
        <v>-8768.49</v>
      </c>
    </row>
    <row r="16" customFormat="false" ht="12.75" hidden="false" customHeight="false" outlineLevel="0" collapsed="false">
      <c r="A16" s="102" t="n">
        <v>44971</v>
      </c>
      <c r="B16" s="183" t="s">
        <v>1246</v>
      </c>
      <c r="E16" s="64"/>
      <c r="G16" s="64" t="n">
        <v>-204</v>
      </c>
      <c r="H16" s="64" t="n">
        <f aca="false">H15+F16+G16</f>
        <v>-8972.49</v>
      </c>
    </row>
    <row r="17" customFormat="false" ht="12.75" hidden="false" customHeight="false" outlineLevel="0" collapsed="false">
      <c r="A17" s="102"/>
      <c r="B17" s="103" t="s">
        <v>1247</v>
      </c>
      <c r="E17" s="64"/>
      <c r="G17" s="64" t="n">
        <v>-95</v>
      </c>
      <c r="H17" s="64" t="n">
        <f aca="false">H16+F17+G17</f>
        <v>-9067.49</v>
      </c>
    </row>
    <row r="18" customFormat="false" ht="12.75" hidden="false" customHeight="false" outlineLevel="0" collapsed="false">
      <c r="A18" s="102" t="n">
        <v>44977</v>
      </c>
      <c r="B18" s="108" t="s">
        <v>73</v>
      </c>
      <c r="D18" s="108"/>
      <c r="E18" s="64" t="n">
        <v>-1000</v>
      </c>
      <c r="F18" s="168"/>
      <c r="G18" s="64" t="n">
        <v>-1872.5</v>
      </c>
      <c r="H18" s="64" t="n">
        <f aca="false">H17+F18+G18</f>
        <v>-10939.99</v>
      </c>
    </row>
    <row r="19" customFormat="false" ht="12.75" hidden="false" customHeight="false" outlineLevel="0" collapsed="false">
      <c r="A19" s="102" t="n">
        <v>44977</v>
      </c>
      <c r="B19" s="108" t="s">
        <v>74</v>
      </c>
      <c r="C19" s="108"/>
      <c r="D19" s="108"/>
      <c r="E19" s="64" t="n">
        <v>-150</v>
      </c>
      <c r="F19" s="168"/>
      <c r="G19" s="64" t="n">
        <v>-99.5</v>
      </c>
      <c r="H19" s="64" t="n">
        <f aca="false">H18+F19+G19</f>
        <v>-11039.49</v>
      </c>
    </row>
    <row r="20" customFormat="false" ht="12.75" hidden="false" customHeight="false" outlineLevel="0" collapsed="false">
      <c r="B20" s="108"/>
      <c r="C20" s="108"/>
      <c r="D20" s="108"/>
      <c r="F20" s="168"/>
      <c r="G20" s="64"/>
      <c r="H20" s="64" t="n">
        <f aca="false">H19+F20+G20</f>
        <v>-11039.49</v>
      </c>
    </row>
    <row r="21" customFormat="false" ht="12.75" hidden="false" customHeight="false" outlineLevel="0" collapsed="false">
      <c r="A21" s="102" t="n">
        <v>44974</v>
      </c>
      <c r="B21" s="8" t="s">
        <v>1248</v>
      </c>
      <c r="D21" s="191" t="n">
        <v>5500</v>
      </c>
      <c r="E21" s="64"/>
      <c r="F21" s="64" t="n">
        <v>5570.01</v>
      </c>
      <c r="G21" s="64"/>
      <c r="H21" s="64" t="n">
        <f aca="false">H20+F21+G21</f>
        <v>-5469.48</v>
      </c>
    </row>
    <row r="22" customFormat="false" ht="12.75" hidden="false" customHeight="false" outlineLevel="0" collapsed="false">
      <c r="B22" s="108"/>
      <c r="C22" s="108"/>
      <c r="D22" s="108"/>
      <c r="F22" s="168"/>
      <c r="G22" s="168"/>
      <c r="H22" s="64" t="n">
        <f aca="false">H21+F22+G22</f>
        <v>-5469.48</v>
      </c>
    </row>
    <row r="23" customFormat="false" ht="12.75" hidden="false" customHeight="false" outlineLevel="0" collapsed="false">
      <c r="B23" s="0" t="s">
        <v>77</v>
      </c>
      <c r="E23" s="64" t="n">
        <v>-2750</v>
      </c>
      <c r="F23" s="64"/>
      <c r="G23" s="64" t="n">
        <v>-2702</v>
      </c>
      <c r="H23" s="64" t="n">
        <f aca="false">H22+F23+G23</f>
        <v>-8171.48</v>
      </c>
    </row>
    <row r="24" customFormat="false" ht="12.75" hidden="false" customHeight="false" outlineLevel="0" collapsed="false">
      <c r="A24" s="102" t="n">
        <v>44984</v>
      </c>
      <c r="B24" s="8" t="s">
        <v>1249</v>
      </c>
      <c r="E24" s="64" t="n">
        <v>-30374</v>
      </c>
      <c r="F24" s="64"/>
      <c r="G24" s="64"/>
      <c r="H24" s="64" t="n">
        <f aca="false">H23+F24+G24</f>
        <v>-8171.48</v>
      </c>
    </row>
    <row r="25" customFormat="false" ht="12.75" hidden="false" customHeight="false" outlineLevel="0" collapsed="false">
      <c r="B25" s="0" t="s">
        <v>78</v>
      </c>
      <c r="E25" s="64" t="n">
        <v>-2750</v>
      </c>
      <c r="F25" s="64"/>
      <c r="G25" s="64" t="n">
        <v>-2702</v>
      </c>
      <c r="H25" s="64" t="n">
        <f aca="false">H24+F25+G25</f>
        <v>-10873.48</v>
      </c>
    </row>
    <row r="26" customFormat="false" ht="12.75" hidden="false" customHeight="false" outlineLevel="0" collapsed="false">
      <c r="B26" s="0" t="s">
        <v>79</v>
      </c>
      <c r="E26" s="64" t="n">
        <v>-2750</v>
      </c>
      <c r="F26" s="64"/>
      <c r="G26" s="64" t="n">
        <v>-2750</v>
      </c>
      <c r="H26" s="64" t="n">
        <f aca="false">H25+F26+G26</f>
        <v>-13623.48</v>
      </c>
    </row>
    <row r="27" customFormat="false" ht="12.75" hidden="false" customHeight="false" outlineLevel="0" collapsed="false">
      <c r="B27" s="0" t="s">
        <v>1250</v>
      </c>
      <c r="F27" s="64"/>
      <c r="G27" s="64" t="n">
        <v>-5040</v>
      </c>
      <c r="H27" s="64" t="n">
        <f aca="false">H26+F27+G27</f>
        <v>-18663.48</v>
      </c>
    </row>
    <row r="28" customFormat="false" ht="12.75" hidden="false" customHeight="false" outlineLevel="0" collapsed="false">
      <c r="B28" s="0" t="s">
        <v>1202</v>
      </c>
      <c r="D28" s="2" t="n">
        <v>1111</v>
      </c>
      <c r="F28" s="64"/>
      <c r="G28" s="64"/>
      <c r="H28" s="64" t="n">
        <f aca="false">H27+F28+G28</f>
        <v>-18663.48</v>
      </c>
    </row>
    <row r="29" customFormat="false" ht="12.75" hidden="false" customHeight="false" outlineLevel="0" collapsed="false">
      <c r="A29" s="102" t="n">
        <v>44981</v>
      </c>
      <c r="B29" s="8" t="s">
        <v>1251</v>
      </c>
      <c r="F29" s="64" t="n">
        <v>2000</v>
      </c>
      <c r="G29" s="64"/>
      <c r="H29" s="64" t="n">
        <f aca="false">H28+F29+G29</f>
        <v>-16663.48</v>
      </c>
    </row>
    <row r="30" customFormat="false" ht="12.75" hidden="false" customHeight="false" outlineLevel="0" collapsed="false">
      <c r="B30" s="0" t="s">
        <v>1252</v>
      </c>
      <c r="D30" s="191" t="n">
        <v>1650</v>
      </c>
      <c r="F30" s="64"/>
      <c r="G30" s="64"/>
      <c r="H30" s="64" t="n">
        <f aca="false">H29+F30+G30</f>
        <v>-16663.48</v>
      </c>
    </row>
    <row r="31" customFormat="false" ht="12.75" hidden="false" customHeight="false" outlineLevel="0" collapsed="false">
      <c r="A31" s="102" t="n">
        <v>44987</v>
      </c>
      <c r="B31" s="8" t="s">
        <v>1253</v>
      </c>
      <c r="D31" s="191" t="n">
        <v>6500</v>
      </c>
      <c r="F31" s="64" t="n">
        <v>6500</v>
      </c>
      <c r="G31" s="64"/>
      <c r="H31" s="64" t="n">
        <f aca="false">H30+F31+G31</f>
        <v>-10163.48</v>
      </c>
    </row>
    <row r="32" customFormat="false" ht="12.75" hidden="false" customHeight="false" outlineLevel="0" collapsed="false">
      <c r="B32" s="0" t="s">
        <v>1254</v>
      </c>
      <c r="D32" s="334" t="n">
        <v>1000</v>
      </c>
      <c r="H32" s="64" t="n">
        <f aca="false">H31+F32+G32</f>
        <v>-10163.48</v>
      </c>
    </row>
    <row r="33" customFormat="false" ht="12.75" hidden="false" customHeight="false" outlineLevel="0" collapsed="false">
      <c r="B33" s="25" t="s">
        <v>1255</v>
      </c>
      <c r="D33" s="104"/>
      <c r="G33" s="64"/>
      <c r="H33" s="64" t="n">
        <f aca="false">H32+F33+G33</f>
        <v>-10163.48</v>
      </c>
    </row>
    <row r="34" customFormat="false" ht="12.75" hidden="false" customHeight="false" outlineLevel="0" collapsed="false">
      <c r="A34" s="102"/>
      <c r="B34" s="317" t="s">
        <v>1256</v>
      </c>
      <c r="C34" s="108"/>
      <c r="D34" s="108"/>
      <c r="H34" s="64" t="n">
        <f aca="false">H33+F34+G34</f>
        <v>-10163.48</v>
      </c>
    </row>
    <row r="35" customFormat="false" ht="12.75" hidden="false" customHeight="false" outlineLevel="0" collapsed="false">
      <c r="H35" s="64" t="n">
        <f aca="false">H34+F35+G35</f>
        <v>-10163.48</v>
      </c>
    </row>
    <row r="36" customFormat="false" ht="12.75" hidden="false" customHeight="false" outlineLevel="0" collapsed="false">
      <c r="H36" s="64" t="n">
        <f aca="false">H35+F36+G36</f>
        <v>-10163.48</v>
      </c>
    </row>
    <row r="37" customFormat="false" ht="12.75" hidden="false" customHeight="false" outlineLevel="0" collapsed="false">
      <c r="H37" s="64" t="n">
        <f aca="false">H36+F37+G37</f>
        <v>-10163.48</v>
      </c>
    </row>
    <row r="38" customFormat="false" ht="12.75" hidden="false" customHeight="false" outlineLevel="0" collapsed="false">
      <c r="A38" s="102" t="n">
        <v>44962</v>
      </c>
      <c r="B38" s="8" t="s">
        <v>1257</v>
      </c>
      <c r="C38" s="8" t="s">
        <v>395</v>
      </c>
      <c r="D38" s="104"/>
      <c r="G38" s="64" t="n">
        <v>-1368</v>
      </c>
      <c r="H38" s="64" t="n">
        <f aca="false">H37+F38+G38</f>
        <v>-11531.48</v>
      </c>
    </row>
    <row r="39" customFormat="false" ht="12.75" hidden="false" customHeight="false" outlineLevel="0" collapsed="false">
      <c r="A39" s="102" t="n">
        <v>44962</v>
      </c>
      <c r="B39" s="8" t="s">
        <v>1258</v>
      </c>
      <c r="C39" s="8" t="s">
        <v>395</v>
      </c>
      <c r="D39" s="64"/>
      <c r="F39" s="64"/>
      <c r="G39" s="64" t="n">
        <v>-6920</v>
      </c>
      <c r="H39" s="64" t="n">
        <f aca="false">H38+F39+G39</f>
        <v>-18451.48</v>
      </c>
    </row>
    <row r="40" customFormat="false" ht="12.75" hidden="false" customHeight="false" outlineLevel="0" collapsed="false">
      <c r="A40" s="102"/>
      <c r="D40" s="64"/>
      <c r="F40" s="64"/>
      <c r="G40" s="64"/>
      <c r="H40" s="64" t="n">
        <f aca="false">H39+F40+G40</f>
        <v>-18451.48</v>
      </c>
    </row>
    <row r="41" customFormat="false" ht="12.75" hidden="false" customHeight="false" outlineLevel="0" collapsed="false">
      <c r="A41" s="102" t="n">
        <v>44974</v>
      </c>
      <c r="B41" s="8" t="s">
        <v>1259</v>
      </c>
      <c r="D41" s="64"/>
      <c r="F41" s="64"/>
      <c r="G41" s="64" t="n">
        <v>-32000</v>
      </c>
      <c r="H41" s="64" t="n">
        <f aca="false">H40+F41+G41</f>
        <v>-50451.48</v>
      </c>
    </row>
    <row r="42" customFormat="false" ht="12.75" hidden="false" customHeight="false" outlineLevel="0" collapsed="false">
      <c r="H42" s="64"/>
    </row>
    <row r="43" customFormat="false" ht="12.75" hidden="false" customHeight="false" outlineLevel="0" collapsed="false">
      <c r="G43" s="64"/>
      <c r="H43" s="64"/>
    </row>
    <row r="44" customFormat="false" ht="12.75" hidden="false" customHeight="false" outlineLevel="0" collapsed="false">
      <c r="B44" s="0" t="s">
        <v>334</v>
      </c>
      <c r="G44" s="64"/>
      <c r="H44" s="64"/>
    </row>
    <row r="45" customFormat="false" ht="12.75" hidden="false" customHeight="false" outlineLevel="0" collapsed="false">
      <c r="A45" s="105" t="s">
        <v>335</v>
      </c>
      <c r="B45" s="105"/>
      <c r="C45" s="105"/>
      <c r="D45" s="105"/>
      <c r="G45" s="64"/>
      <c r="H45" s="64"/>
    </row>
    <row r="46" customFormat="false" ht="12.75" hidden="false" customHeight="false" outlineLevel="0" collapsed="false">
      <c r="A46" s="322" t="n">
        <v>44650</v>
      </c>
      <c r="B46" s="317" t="s">
        <v>1260</v>
      </c>
      <c r="C46" s="317"/>
      <c r="D46" s="317" t="s">
        <v>1261</v>
      </c>
      <c r="H46" s="64"/>
    </row>
    <row r="47" customFormat="false" ht="12.75" hidden="false" customHeight="false" outlineLevel="0" collapsed="false">
      <c r="A47" s="322" t="n">
        <v>44844</v>
      </c>
      <c r="B47" s="317" t="s">
        <v>1262</v>
      </c>
      <c r="C47" s="319"/>
      <c r="D47" s="317" t="s">
        <v>1263</v>
      </c>
      <c r="H47" s="64"/>
    </row>
    <row r="48" customFormat="false" ht="12.75" hidden="false" customHeight="false" outlineLevel="0" collapsed="false">
      <c r="A48" s="322"/>
      <c r="B48" s="317" t="s">
        <v>1264</v>
      </c>
      <c r="C48" s="319"/>
      <c r="D48" s="317"/>
      <c r="E48" s="168" t="n">
        <v>300</v>
      </c>
      <c r="H48" s="64"/>
    </row>
    <row r="49" customFormat="false" ht="12.75" hidden="false" customHeight="false" outlineLevel="0" collapsed="false">
      <c r="A49" s="102"/>
      <c r="C49" s="176"/>
      <c r="H49" s="64"/>
    </row>
    <row r="50" customFormat="false" ht="12.75" hidden="false" customHeight="false" outlineLevel="0" collapsed="false">
      <c r="A50" s="177" t="n">
        <v>44929</v>
      </c>
      <c r="B50" s="178" t="s">
        <v>336</v>
      </c>
      <c r="C50" s="105"/>
      <c r="D50" s="206" t="n">
        <f aca="false">SUM(D51:D58)</f>
        <v>4615.69</v>
      </c>
      <c r="E50" s="168" t="n">
        <f aca="false">SUM(E51:E58)</f>
        <v>4215.69</v>
      </c>
      <c r="H50" s="64"/>
    </row>
    <row r="51" customFormat="false" ht="12.75" hidden="false" customHeight="false" outlineLevel="0" collapsed="false">
      <c r="B51" s="0" t="s">
        <v>1217</v>
      </c>
      <c r="D51" s="0" t="n">
        <v>1245.19</v>
      </c>
      <c r="E51" s="168" t="n">
        <v>1245</v>
      </c>
      <c r="F51" s="64"/>
      <c r="G51" s="64"/>
    </row>
    <row r="52" customFormat="false" ht="12.75" hidden="false" customHeight="false" outlineLevel="0" collapsed="false">
      <c r="B52" s="0" t="s">
        <v>338</v>
      </c>
      <c r="D52" s="0" t="n">
        <v>914.78</v>
      </c>
      <c r="E52" s="168" t="n">
        <v>915</v>
      </c>
      <c r="F52" s="64"/>
      <c r="G52" s="64"/>
    </row>
    <row r="53" customFormat="false" ht="12.75" hidden="false" customHeight="false" outlineLevel="0" collapsed="false">
      <c r="B53" s="0" t="s">
        <v>339</v>
      </c>
      <c r="D53" s="0" t="n">
        <v>295.54</v>
      </c>
      <c r="E53" s="168" t="n">
        <v>295</v>
      </c>
      <c r="F53" s="64"/>
      <c r="G53" s="64"/>
    </row>
    <row r="54" customFormat="false" ht="12.75" hidden="false" customHeight="false" outlineLevel="0" collapsed="false">
      <c r="B54" s="0" t="s">
        <v>1265</v>
      </c>
      <c r="D54" s="0" t="n">
        <v>200</v>
      </c>
      <c r="F54" s="64"/>
      <c r="G54" s="64"/>
    </row>
    <row r="55" customFormat="false" ht="12.75" hidden="false" customHeight="false" outlineLevel="0" collapsed="false">
      <c r="B55" s="0" t="s">
        <v>1266</v>
      </c>
      <c r="D55" s="0" t="n">
        <v>1367.33</v>
      </c>
      <c r="E55" s="168" t="n">
        <v>1368</v>
      </c>
      <c r="F55" s="64"/>
      <c r="G55" s="64"/>
    </row>
    <row r="56" customFormat="false" ht="12.75" hidden="false" customHeight="false" outlineLevel="0" collapsed="false">
      <c r="B56" s="0" t="s">
        <v>341</v>
      </c>
      <c r="C56" s="108"/>
      <c r="D56" s="0" t="n">
        <v>305.16</v>
      </c>
      <c r="E56" s="168" t="n">
        <v>305</v>
      </c>
      <c r="F56" s="64"/>
      <c r="G56" s="64"/>
    </row>
    <row r="57" customFormat="false" ht="12.75" hidden="false" customHeight="false" outlineLevel="0" collapsed="false">
      <c r="B57" s="0" t="s">
        <v>1267</v>
      </c>
      <c r="C57" s="108"/>
      <c r="D57" s="335" t="n">
        <v>200</v>
      </c>
      <c r="F57" s="64"/>
      <c r="G57" s="64"/>
    </row>
    <row r="58" customFormat="false" ht="12.75" hidden="false" customHeight="false" outlineLevel="0" collapsed="false">
      <c r="B58" s="0" t="s">
        <v>233</v>
      </c>
      <c r="C58" s="108"/>
      <c r="D58" s="108" t="n">
        <v>87.69</v>
      </c>
      <c r="E58" s="168" t="n">
        <v>87.69</v>
      </c>
      <c r="F58" s="64"/>
      <c r="G58" s="64"/>
    </row>
    <row r="60" customFormat="false" ht="12.75" hidden="false" customHeight="false" outlineLevel="0" collapsed="false">
      <c r="B60" s="17"/>
    </row>
    <row r="61" customFormat="false" ht="12.75" hidden="false" customHeight="false" outlineLevel="0" collapsed="false">
      <c r="B61" s="104"/>
    </row>
    <row r="62" customFormat="false" ht="12.75" hidden="false" customHeight="false" outlineLevel="0" collapsed="false">
      <c r="A62" s="105"/>
      <c r="B62" s="106" t="s">
        <v>83</v>
      </c>
      <c r="C62" s="105"/>
      <c r="D62" s="163"/>
      <c r="E62" s="336" t="n">
        <f aca="false">SUM(E63:E85)</f>
        <v>-4657.2</v>
      </c>
    </row>
    <row r="63" customFormat="false" ht="12.75" hidden="false" customHeight="false" outlineLevel="0" collapsed="false">
      <c r="G63" s="64"/>
      <c r="H63" s="64"/>
    </row>
    <row r="64" customFormat="false" ht="12.75" hidden="false" customHeight="false" outlineLevel="0" collapsed="false">
      <c r="A64" s="102" t="n">
        <v>44866</v>
      </c>
      <c r="B64" s="108" t="s">
        <v>1220</v>
      </c>
      <c r="C64" s="108"/>
      <c r="D64" s="108" t="s">
        <v>480</v>
      </c>
      <c r="E64" s="168" t="n">
        <v>-208.17</v>
      </c>
      <c r="F64" s="64"/>
      <c r="G64" s="64"/>
      <c r="H64" s="64"/>
    </row>
    <row r="65" customFormat="false" ht="12.75" hidden="false" customHeight="false" outlineLevel="0" collapsed="false">
      <c r="A65" s="102" t="n">
        <v>44871</v>
      </c>
      <c r="B65" s="108" t="s">
        <v>1221</v>
      </c>
      <c r="C65" s="108"/>
      <c r="D65" s="108" t="s">
        <v>480</v>
      </c>
      <c r="E65" s="168" t="n">
        <v>-151.65</v>
      </c>
      <c r="F65" s="64"/>
      <c r="G65" s="64"/>
      <c r="H65" s="64"/>
    </row>
    <row r="66" customFormat="false" ht="12.75" hidden="false" customHeight="false" outlineLevel="0" collapsed="false">
      <c r="A66" s="102" t="n">
        <v>44873</v>
      </c>
      <c r="B66" s="8" t="s">
        <v>1268</v>
      </c>
      <c r="C66" s="108"/>
      <c r="D66" s="108" t="s">
        <v>935</v>
      </c>
      <c r="E66" s="168" t="n">
        <v>-1111.11</v>
      </c>
      <c r="F66" s="64"/>
      <c r="G66" s="64"/>
      <c r="H66" s="64"/>
    </row>
    <row r="67" customFormat="false" ht="12.75" hidden="false" customHeight="false" outlineLevel="0" collapsed="false">
      <c r="A67" s="102" t="n">
        <v>44887</v>
      </c>
      <c r="B67" s="108" t="s">
        <v>1269</v>
      </c>
      <c r="C67" s="108"/>
      <c r="D67" s="103" t="s">
        <v>1128</v>
      </c>
      <c r="E67" s="168" t="n">
        <v>-678.58</v>
      </c>
      <c r="F67" s="64"/>
      <c r="G67" s="64"/>
      <c r="H67" s="64"/>
    </row>
    <row r="68" customFormat="false" ht="12.75" hidden="false" customHeight="false" outlineLevel="0" collapsed="false">
      <c r="A68" s="102" t="n">
        <v>44920</v>
      </c>
      <c r="B68" s="108" t="s">
        <v>1182</v>
      </c>
      <c r="C68" s="108"/>
      <c r="D68" s="108" t="s">
        <v>1066</v>
      </c>
      <c r="E68" s="168" t="n">
        <v>-397.46</v>
      </c>
      <c r="F68" s="64"/>
      <c r="G68" s="64"/>
      <c r="H68" s="64"/>
    </row>
    <row r="69" customFormat="false" ht="12.75" hidden="false" customHeight="false" outlineLevel="0" collapsed="false">
      <c r="A69" s="102" t="n">
        <v>44920</v>
      </c>
      <c r="B69" s="108" t="s">
        <v>1183</v>
      </c>
      <c r="C69" s="108"/>
      <c r="D69" s="108" t="s">
        <v>1066</v>
      </c>
      <c r="E69" s="168" t="n">
        <v>-80.91</v>
      </c>
      <c r="F69" s="64"/>
      <c r="G69" s="64"/>
      <c r="H69" s="64"/>
    </row>
    <row r="70" customFormat="false" ht="12.75" hidden="false" customHeight="false" outlineLevel="0" collapsed="false">
      <c r="A70" s="102" t="n">
        <v>44920</v>
      </c>
      <c r="B70" s="108" t="s">
        <v>1184</v>
      </c>
      <c r="C70" s="108"/>
      <c r="D70" s="108" t="s">
        <v>1066</v>
      </c>
      <c r="E70" s="168" t="n">
        <v>-127.05</v>
      </c>
      <c r="F70" s="64"/>
      <c r="G70" s="64"/>
      <c r="H70" s="64"/>
    </row>
    <row r="71" customFormat="false" ht="12.75" hidden="false" customHeight="false" outlineLevel="0" collapsed="false">
      <c r="A71" s="102" t="n">
        <v>44920</v>
      </c>
      <c r="B71" s="108" t="s">
        <v>1185</v>
      </c>
      <c r="C71" s="108"/>
      <c r="D71" s="108" t="s">
        <v>1066</v>
      </c>
      <c r="E71" s="168" t="n">
        <v>-49.31</v>
      </c>
      <c r="F71" s="64"/>
      <c r="G71" s="64"/>
      <c r="H71" s="64"/>
    </row>
    <row r="72" customFormat="false" ht="12.75" hidden="false" customHeight="false" outlineLevel="0" collapsed="false">
      <c r="A72" s="102" t="n">
        <v>44924</v>
      </c>
      <c r="B72" s="8" t="s">
        <v>753</v>
      </c>
      <c r="C72" s="108"/>
      <c r="D72" s="108"/>
      <c r="E72" s="168" t="n">
        <v>-76.3</v>
      </c>
      <c r="F72" s="64"/>
      <c r="G72" s="64"/>
      <c r="H72" s="64"/>
    </row>
    <row r="73" customFormat="false" ht="12.75" hidden="false" customHeight="false" outlineLevel="0" collapsed="false">
      <c r="A73" s="102" t="n">
        <v>44925</v>
      </c>
      <c r="B73" s="8" t="s">
        <v>1270</v>
      </c>
      <c r="D73" s="8" t="s">
        <v>1271</v>
      </c>
    </row>
    <row r="74" customFormat="false" ht="12.75" hidden="false" customHeight="false" outlineLevel="0" collapsed="false">
      <c r="A74" s="102" t="n">
        <v>44925</v>
      </c>
      <c r="B74" s="8" t="s">
        <v>1272</v>
      </c>
      <c r="E74" s="168" t="n">
        <v>-47.8</v>
      </c>
    </row>
    <row r="75" customFormat="false" ht="12.75" hidden="false" customHeight="false" outlineLevel="0" collapsed="false">
      <c r="A75" s="102" t="n">
        <v>44934</v>
      </c>
      <c r="B75" s="8" t="s">
        <v>1273</v>
      </c>
      <c r="E75" s="168" t="n">
        <v>-556.07</v>
      </c>
    </row>
    <row r="76" customFormat="false" ht="12.75" hidden="false" customHeight="false" outlineLevel="0" collapsed="false">
      <c r="A76" s="102" t="n">
        <v>44936</v>
      </c>
      <c r="B76" s="8" t="s">
        <v>1274</v>
      </c>
      <c r="E76" s="168" t="n">
        <v>-79.34</v>
      </c>
    </row>
    <row r="77" customFormat="false" ht="12.75" hidden="false" customHeight="false" outlineLevel="0" collapsed="false">
      <c r="A77" s="102" t="n">
        <v>44937</v>
      </c>
      <c r="B77" s="8" t="s">
        <v>1224</v>
      </c>
      <c r="E77" s="168" t="n">
        <v>-123.45</v>
      </c>
    </row>
    <row r="78" customFormat="false" ht="12.75" hidden="false" customHeight="false" outlineLevel="0" collapsed="false">
      <c r="A78" s="102" t="n">
        <v>44938</v>
      </c>
      <c r="B78" s="8" t="s">
        <v>1225</v>
      </c>
      <c r="E78" s="168" t="n">
        <v>-113.57</v>
      </c>
    </row>
    <row r="79" customFormat="false" ht="12.75" hidden="false" customHeight="false" outlineLevel="0" collapsed="false">
      <c r="A79" s="102" t="n">
        <v>44939</v>
      </c>
      <c r="B79" s="8" t="s">
        <v>1226</v>
      </c>
      <c r="E79" s="168" t="n">
        <v>-118.62</v>
      </c>
    </row>
    <row r="80" customFormat="false" ht="12.75" hidden="false" customHeight="false" outlineLevel="0" collapsed="false">
      <c r="A80" s="102" t="n">
        <v>44940</v>
      </c>
      <c r="B80" s="8" t="s">
        <v>1227</v>
      </c>
      <c r="E80" s="168" t="n">
        <v>-123.85</v>
      </c>
    </row>
    <row r="81" customFormat="false" ht="12.75" hidden="false" customHeight="false" outlineLevel="0" collapsed="false">
      <c r="A81" s="102" t="n">
        <v>44942</v>
      </c>
      <c r="B81" s="8" t="s">
        <v>1230</v>
      </c>
      <c r="E81" s="168" t="n">
        <v>-177.33</v>
      </c>
    </row>
    <row r="82" customFormat="false" ht="12.75" hidden="false" customHeight="false" outlineLevel="0" collapsed="false">
      <c r="A82" s="102" t="n">
        <v>44947</v>
      </c>
      <c r="B82" s="8" t="s">
        <v>1067</v>
      </c>
      <c r="E82" s="168" t="n">
        <v>-100</v>
      </c>
    </row>
    <row r="83" customFormat="false" ht="12.75" hidden="false" customHeight="false" outlineLevel="0" collapsed="false">
      <c r="A83" s="102" t="n">
        <v>44949</v>
      </c>
      <c r="B83" s="8" t="s">
        <v>1231</v>
      </c>
      <c r="E83" s="168" t="n">
        <v>-111.1</v>
      </c>
    </row>
    <row r="84" customFormat="false" ht="12.75" hidden="false" customHeight="false" outlineLevel="0" collapsed="false">
      <c r="A84" s="102" t="n">
        <v>44950</v>
      </c>
      <c r="B84" s="8" t="s">
        <v>1275</v>
      </c>
      <c r="E84" s="168" t="n">
        <v>-99.87</v>
      </c>
    </row>
    <row r="85" customFormat="false" ht="12.75" hidden="false" customHeight="false" outlineLevel="0" collapsed="false">
      <c r="A85" s="102" t="n">
        <v>44951</v>
      </c>
      <c r="B85" s="8" t="s">
        <v>1276</v>
      </c>
      <c r="E85" s="168" t="n">
        <v>-125.66</v>
      </c>
    </row>
    <row r="87" customFormat="false" ht="12.75" hidden="false" customHeight="false" outlineLevel="0" collapsed="false">
      <c r="A87" s="105"/>
      <c r="B87" s="106" t="s">
        <v>85</v>
      </c>
      <c r="C87" s="105"/>
      <c r="D87" s="105"/>
      <c r="E87" s="336" t="n">
        <f aca="false">SUM(E88:E103)</f>
        <v>-3076.29</v>
      </c>
    </row>
    <row r="88" customFormat="false" ht="12.75" hidden="false" customHeight="false" outlineLevel="0" collapsed="false">
      <c r="A88" s="102" t="n">
        <v>44919</v>
      </c>
      <c r="B88" s="108" t="s">
        <v>1277</v>
      </c>
      <c r="C88" s="108"/>
      <c r="D88" s="108"/>
      <c r="E88" s="168" t="n">
        <v>-136.19</v>
      </c>
      <c r="F88" s="64"/>
      <c r="G88" s="64"/>
      <c r="H88" s="64"/>
    </row>
    <row r="89" customFormat="false" ht="12.75" hidden="false" customHeight="false" outlineLevel="0" collapsed="false">
      <c r="A89" s="102" t="n">
        <v>44921</v>
      </c>
      <c r="B89" s="108" t="s">
        <v>1278</v>
      </c>
      <c r="C89" s="108"/>
      <c r="D89" s="108"/>
      <c r="E89" s="168" t="n">
        <v>-193.47</v>
      </c>
      <c r="F89" s="64"/>
      <c r="G89" s="64"/>
      <c r="H89" s="64"/>
    </row>
    <row r="90" customFormat="false" ht="12.75" hidden="false" customHeight="false" outlineLevel="0" collapsed="false">
      <c r="A90" s="102" t="n">
        <v>44922</v>
      </c>
      <c r="B90" s="108" t="s">
        <v>1279</v>
      </c>
      <c r="C90" s="108"/>
      <c r="D90" s="108"/>
      <c r="E90" s="168" t="n">
        <v>-600</v>
      </c>
      <c r="F90" s="64"/>
      <c r="G90" s="64"/>
      <c r="H90" s="64"/>
    </row>
    <row r="91" customFormat="false" ht="12.75" hidden="false" customHeight="false" outlineLevel="0" collapsed="false">
      <c r="A91" s="102" t="n">
        <v>44922</v>
      </c>
      <c r="B91" s="108" t="s">
        <v>1280</v>
      </c>
      <c r="C91" s="108"/>
      <c r="D91" s="108"/>
      <c r="E91" s="168" t="n">
        <v>-206.27</v>
      </c>
      <c r="F91" s="64"/>
      <c r="G91" s="64"/>
      <c r="H91" s="64"/>
    </row>
    <row r="92" customFormat="false" ht="12.75" hidden="false" customHeight="false" outlineLevel="0" collapsed="false">
      <c r="A92" s="102" t="n">
        <v>44923</v>
      </c>
      <c r="B92" s="108" t="s">
        <v>1281</v>
      </c>
      <c r="C92" s="108"/>
      <c r="D92" s="108"/>
      <c r="E92" s="168" t="n">
        <v>-146.44</v>
      </c>
      <c r="F92" s="64"/>
      <c r="G92" s="64"/>
      <c r="H92" s="64"/>
    </row>
    <row r="93" customFormat="false" ht="12.75" hidden="false" customHeight="false" outlineLevel="0" collapsed="false">
      <c r="A93" s="102" t="n">
        <v>44927</v>
      </c>
      <c r="B93" s="108" t="s">
        <v>550</v>
      </c>
      <c r="C93" s="108"/>
      <c r="D93" s="108"/>
      <c r="E93" s="168" t="n">
        <v>-340</v>
      </c>
      <c r="F93" s="64"/>
      <c r="G93" s="64"/>
      <c r="H93" s="64"/>
    </row>
    <row r="94" customFormat="false" ht="12.75" hidden="false" customHeight="false" outlineLevel="0" collapsed="false">
      <c r="A94" s="102" t="n">
        <v>44928</v>
      </c>
      <c r="B94" s="109" t="s">
        <v>1282</v>
      </c>
      <c r="E94" s="168" t="n">
        <v>-164.8</v>
      </c>
    </row>
    <row r="95" customFormat="false" ht="12.75" hidden="false" customHeight="false" outlineLevel="0" collapsed="false">
      <c r="A95" s="102" t="n">
        <v>44930</v>
      </c>
      <c r="B95" s="109" t="s">
        <v>1283</v>
      </c>
      <c r="E95" s="168" t="n">
        <v>-139.33</v>
      </c>
    </row>
    <row r="96" customFormat="false" ht="12.75" hidden="false" customHeight="false" outlineLevel="0" collapsed="false">
      <c r="A96" s="102" t="n">
        <v>44931</v>
      </c>
      <c r="B96" s="109" t="s">
        <v>1284</v>
      </c>
      <c r="E96" s="168" t="n">
        <v>-143.2</v>
      </c>
    </row>
    <row r="97" customFormat="false" ht="12.75" hidden="false" customHeight="false" outlineLevel="0" collapsed="false">
      <c r="A97" s="102" t="n">
        <v>44934</v>
      </c>
      <c r="B97" s="8" t="s">
        <v>1285</v>
      </c>
      <c r="E97" s="168" t="n">
        <v>-297.38</v>
      </c>
    </row>
    <row r="98" customFormat="false" ht="12.75" hidden="false" customHeight="false" outlineLevel="0" collapsed="false">
      <c r="A98" s="102" t="n">
        <v>44944</v>
      </c>
      <c r="B98" s="8" t="s">
        <v>1286</v>
      </c>
      <c r="E98" s="168" t="n">
        <v>-286.03</v>
      </c>
    </row>
    <row r="99" customFormat="false" ht="12.75" hidden="false" customHeight="false" outlineLevel="0" collapsed="false">
      <c r="A99" s="102" t="n">
        <v>44944</v>
      </c>
      <c r="B99" s="8" t="s">
        <v>1286</v>
      </c>
      <c r="E99" s="168" t="n">
        <v>-423.18</v>
      </c>
    </row>
    <row r="100" customFormat="false" ht="12.75" hidden="false" customHeight="false" outlineLevel="0" collapsed="false">
      <c r="A100" s="102" t="n">
        <v>44950</v>
      </c>
      <c r="B100" s="8" t="s">
        <v>1287</v>
      </c>
      <c r="D100" s="36"/>
      <c r="E100" s="168" t="n">
        <v>-31.35</v>
      </c>
    </row>
    <row r="101" customFormat="false" ht="12.75" hidden="false" customHeight="false" outlineLevel="0" collapsed="false">
      <c r="B101" s="0" t="s">
        <v>1288</v>
      </c>
      <c r="D101" s="36"/>
      <c r="E101" s="168" t="n">
        <v>31.35</v>
      </c>
    </row>
    <row r="109" customFormat="false" ht="12.75" hidden="false" customHeight="false" outlineLevel="0" collapsed="false">
      <c r="A109" s="102"/>
      <c r="D109" s="64"/>
      <c r="F109" s="64"/>
      <c r="G109" s="64"/>
    </row>
    <row r="111" customFormat="false" ht="12.75" hidden="false" customHeight="false" outlineLevel="0" collapsed="false">
      <c r="A111" s="105"/>
      <c r="B111" s="106" t="s">
        <v>1289</v>
      </c>
      <c r="C111" s="105"/>
      <c r="D111" s="163"/>
      <c r="E111" s="164" t="n">
        <f aca="false">SUM(E112:E119)</f>
        <v>335748</v>
      </c>
    </row>
    <row r="112" customFormat="false" ht="12.75" hidden="false" customHeight="false" outlineLevel="0" collapsed="false">
      <c r="A112" s="102" t="n">
        <v>45291</v>
      </c>
      <c r="B112" s="8" t="s">
        <v>77</v>
      </c>
      <c r="E112" s="168" t="n">
        <v>64000</v>
      </c>
    </row>
    <row r="113" customFormat="false" ht="12.75" hidden="false" customHeight="false" outlineLevel="0" collapsed="false">
      <c r="A113" s="102" t="n">
        <v>45291</v>
      </c>
      <c r="B113" s="8" t="s">
        <v>78</v>
      </c>
      <c r="E113" s="168" t="n">
        <v>48288</v>
      </c>
    </row>
    <row r="114" customFormat="false" ht="12.75" hidden="false" customHeight="false" outlineLevel="0" collapsed="false">
      <c r="A114" s="102" t="n">
        <v>45291</v>
      </c>
      <c r="B114" s="8" t="s">
        <v>309</v>
      </c>
      <c r="E114" s="168" t="n">
        <v>44567</v>
      </c>
    </row>
    <row r="115" customFormat="false" ht="12.75" hidden="false" customHeight="false" outlineLevel="0" collapsed="false">
      <c r="A115" s="102" t="n">
        <v>45291</v>
      </c>
      <c r="B115" s="8" t="s">
        <v>310</v>
      </c>
      <c r="E115" s="168" t="n">
        <v>5590</v>
      </c>
    </row>
    <row r="116" customFormat="false" ht="12.75" hidden="false" customHeight="false" outlineLevel="0" collapsed="false">
      <c r="A116" s="102" t="n">
        <v>45291</v>
      </c>
      <c r="B116" s="8" t="s">
        <v>815</v>
      </c>
      <c r="C116" s="0" t="n">
        <v>1093</v>
      </c>
      <c r="D116" s="0" t="n">
        <v>111</v>
      </c>
      <c r="E116" s="168" t="n">
        <f aca="false">D116*C116</f>
        <v>121323</v>
      </c>
    </row>
    <row r="117" customFormat="false" ht="12.75" hidden="false" customHeight="false" outlineLevel="0" collapsed="false">
      <c r="A117" s="102" t="n">
        <v>45291</v>
      </c>
      <c r="B117" s="8" t="s">
        <v>816</v>
      </c>
      <c r="C117" s="0" t="n">
        <v>18.8</v>
      </c>
      <c r="D117" s="0" t="n">
        <v>850</v>
      </c>
      <c r="E117" s="168" t="n">
        <f aca="false">D117*C117</f>
        <v>15980</v>
      </c>
    </row>
    <row r="118" customFormat="false" ht="12.75" hidden="false" customHeight="false" outlineLevel="0" collapsed="false">
      <c r="A118" s="102" t="n">
        <v>45291</v>
      </c>
      <c r="B118" s="8" t="s">
        <v>817</v>
      </c>
      <c r="C118" s="0" t="n">
        <v>20</v>
      </c>
      <c r="D118" s="0" t="n">
        <v>100</v>
      </c>
      <c r="E118" s="168" t="n">
        <f aca="false">D118*C118</f>
        <v>2000</v>
      </c>
    </row>
    <row r="119" customFormat="false" ht="12.75" hidden="false" customHeight="false" outlineLevel="0" collapsed="false">
      <c r="A119" s="102" t="n">
        <v>45291</v>
      </c>
      <c r="B119" s="8" t="s">
        <v>818</v>
      </c>
      <c r="E119" s="168" t="n">
        <v>34000</v>
      </c>
    </row>
    <row r="120" customFormat="false" ht="12.75" hidden="false" customHeight="false" outlineLevel="0" collapsed="false">
      <c r="A120" s="102"/>
    </row>
    <row r="121" customFormat="false" ht="12.75" hidden="false" customHeight="false" outlineLevel="0" collapsed="false">
      <c r="D121" s="0" t="s">
        <v>1290</v>
      </c>
      <c r="E121" s="64" t="n">
        <f aca="false">H2</f>
        <v>-50451.48</v>
      </c>
    </row>
    <row r="123" customFormat="false" ht="12.75" hidden="false" customHeight="false" outlineLevel="0" collapsed="false">
      <c r="D123" s="18" t="s">
        <v>158</v>
      </c>
      <c r="E123" s="168" t="n">
        <f aca="false">SUM(E112:E122)</f>
        <v>285296.52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95511"/>
    <pageSetUpPr fitToPage="false"/>
  </sheetPr>
  <dimension ref="A1:H122"/>
  <sheetViews>
    <sheetView showFormulas="false" showGridLines="true" showRowColHeaders="true" showZeros="true" rightToLeft="false" tabSelected="false" showOutlineSymbols="true" defaultGridColor="true" view="normal" topLeftCell="A1" colorId="64" zoomScale="170" zoomScaleNormal="170" zoomScalePageLayoutView="100" workbookViewId="0">
      <selection pane="topLeft" activeCell="A1" activeCellId="0" sqref="A1"/>
    </sheetView>
  </sheetViews>
  <sheetFormatPr defaultColWidth="12.29296875" defaultRowHeight="12.75" zeroHeight="false" outlineLevelRow="0" outlineLevelCol="0"/>
  <cols>
    <col collapsed="false" customWidth="true" hidden="false" outlineLevel="0" max="2" min="2" style="0" width="35.86"/>
    <col collapsed="false" customWidth="true" hidden="false" outlineLevel="0" max="3" min="3" style="0" width="5.14"/>
    <col collapsed="false" customWidth="true" hidden="false" outlineLevel="0" max="4" min="4" style="0" width="11.57"/>
    <col collapsed="false" customWidth="true" hidden="false" outlineLevel="0" max="1024" min="1024" style="0" width="9.14"/>
  </cols>
  <sheetData>
    <row r="1" customFormat="false" ht="12.75" hidden="false" customHeight="false" outlineLevel="0" collapsed="false">
      <c r="E1" s="194"/>
      <c r="F1" s="194" t="s">
        <v>28</v>
      </c>
      <c r="G1" s="194" t="s">
        <v>29</v>
      </c>
      <c r="H1" s="194" t="s">
        <v>3</v>
      </c>
    </row>
    <row r="2" customFormat="false" ht="12.75" hidden="false" customHeight="false" outlineLevel="0" collapsed="false">
      <c r="A2" s="3" t="s">
        <v>1291</v>
      </c>
      <c r="C2" s="81" t="s">
        <v>67</v>
      </c>
      <c r="D2" s="311" t="n">
        <f aca="false">SUM(D4:D27)</f>
        <v>13261</v>
      </c>
      <c r="E2" s="311" t="n">
        <f aca="false">SUM(E5:E27)</f>
        <v>-22808.31</v>
      </c>
      <c r="F2" s="311" t="n">
        <f aca="false">SUM(F4:F28)</f>
        <v>8049.2</v>
      </c>
      <c r="G2" s="311" t="n">
        <f aca="false">SUM(G4:G28)</f>
        <v>-23047.62</v>
      </c>
      <c r="H2" s="311" t="n">
        <f aca="false">F2+G2</f>
        <v>-14998.42</v>
      </c>
    </row>
    <row r="3" customFormat="false" ht="12.75" hidden="false" customHeight="false" outlineLevel="0" collapsed="false">
      <c r="B3" s="18"/>
      <c r="H3" s="64"/>
    </row>
    <row r="4" customFormat="false" ht="12.75" hidden="false" customHeight="false" outlineLevel="0" collapsed="false">
      <c r="B4" s="18"/>
      <c r="H4" s="64"/>
    </row>
    <row r="5" customFormat="false" ht="12.75" hidden="false" customHeight="false" outlineLevel="0" collapsed="false">
      <c r="A5" s="102" t="n">
        <v>44928</v>
      </c>
      <c r="B5" s="103" t="s">
        <v>80</v>
      </c>
      <c r="C5" s="103"/>
      <c r="D5" s="103"/>
      <c r="E5" s="64" t="n">
        <v>-400</v>
      </c>
      <c r="G5" s="64" t="n">
        <v>-230</v>
      </c>
      <c r="H5" s="64" t="n">
        <f aca="false">H4+F5+G5</f>
        <v>-230</v>
      </c>
    </row>
    <row r="6" customFormat="false" ht="12.75" hidden="false" customHeight="false" outlineLevel="0" collapsed="false">
      <c r="A6" s="102" t="n">
        <v>44928</v>
      </c>
      <c r="B6" s="103" t="s">
        <v>81</v>
      </c>
      <c r="C6" s="103"/>
      <c r="D6" s="103"/>
      <c r="E6" s="64" t="n">
        <v>-500</v>
      </c>
      <c r="G6" s="64" t="n">
        <v>-523</v>
      </c>
      <c r="H6" s="64" t="n">
        <f aca="false">H5+F6+G6</f>
        <v>-753</v>
      </c>
    </row>
    <row r="7" customFormat="false" ht="12.75" hidden="false" customHeight="false" outlineLevel="0" collapsed="false">
      <c r="A7" s="102" t="n">
        <v>44933</v>
      </c>
      <c r="B7" s="103" t="s">
        <v>763</v>
      </c>
      <c r="C7" s="103"/>
      <c r="D7" s="103"/>
      <c r="E7" s="64" t="n">
        <v>-4300</v>
      </c>
      <c r="G7" s="64" t="n">
        <v>-4300</v>
      </c>
      <c r="H7" s="64" t="n">
        <f aca="false">H6+F7+G7</f>
        <v>-5053</v>
      </c>
    </row>
    <row r="8" customFormat="false" ht="12.75" hidden="false" customHeight="false" outlineLevel="0" collapsed="false">
      <c r="A8" s="102" t="n">
        <v>44568</v>
      </c>
      <c r="B8" s="103" t="s">
        <v>764</v>
      </c>
      <c r="C8" s="103"/>
      <c r="D8" s="103"/>
      <c r="E8" s="64" t="n">
        <v>-674.74</v>
      </c>
      <c r="F8" s="168"/>
      <c r="G8" s="64" t="n">
        <v>-674.74</v>
      </c>
      <c r="H8" s="64" t="n">
        <f aca="false">H7+F8+G8</f>
        <v>-5727.74</v>
      </c>
    </row>
    <row r="9" customFormat="false" ht="12.75" hidden="false" customHeight="false" outlineLevel="0" collapsed="false">
      <c r="A9" s="102" t="n">
        <v>44568</v>
      </c>
      <c r="B9" s="103" t="s">
        <v>75</v>
      </c>
      <c r="C9" s="103"/>
      <c r="D9" s="103"/>
      <c r="E9" s="64" t="n">
        <v>-150</v>
      </c>
      <c r="F9" s="168"/>
      <c r="G9" s="64" t="n">
        <v>-153.05</v>
      </c>
      <c r="H9" s="64" t="n">
        <f aca="false">H8+F9+G9</f>
        <v>-5880.79</v>
      </c>
    </row>
    <row r="10" customFormat="false" ht="12.75" hidden="false" customHeight="false" outlineLevel="0" collapsed="false">
      <c r="A10" s="102" t="n">
        <v>44942</v>
      </c>
      <c r="B10" s="108" t="s">
        <v>74</v>
      </c>
      <c r="C10" s="108"/>
      <c r="D10" s="108"/>
      <c r="E10" s="64" t="n">
        <v>-100</v>
      </c>
      <c r="F10" s="168"/>
      <c r="G10" s="64" t="n">
        <v>-87</v>
      </c>
      <c r="H10" s="64" t="n">
        <f aca="false">H9+F10+G10</f>
        <v>-5967.79</v>
      </c>
    </row>
    <row r="11" customFormat="false" ht="12.75" hidden="false" customHeight="false" outlineLevel="0" collapsed="false">
      <c r="A11" s="102" t="n">
        <v>44942</v>
      </c>
      <c r="B11" s="108" t="s">
        <v>73</v>
      </c>
      <c r="C11" s="108"/>
      <c r="D11" s="108"/>
      <c r="E11" s="64" t="n">
        <v>-1000</v>
      </c>
      <c r="F11" s="168"/>
      <c r="G11" s="64" t="n">
        <v>-1560</v>
      </c>
      <c r="H11" s="64" t="n">
        <f aca="false">H10+F11+G11</f>
        <v>-7527.79</v>
      </c>
    </row>
    <row r="12" customFormat="false" ht="12.75" hidden="false" customHeight="false" outlineLevel="0" collapsed="false">
      <c r="B12" s="183" t="s">
        <v>72</v>
      </c>
      <c r="D12" s="64"/>
      <c r="E12" s="64" t="n">
        <v>-200</v>
      </c>
      <c r="G12" s="64" t="n">
        <v>-183.26</v>
      </c>
      <c r="H12" s="64" t="n">
        <f aca="false">H11+F12+G12</f>
        <v>-7711.05</v>
      </c>
    </row>
    <row r="13" customFormat="false" ht="12.75" hidden="false" customHeight="false" outlineLevel="0" collapsed="false">
      <c r="B13" s="183" t="s">
        <v>68</v>
      </c>
      <c r="E13" s="64" t="n">
        <f aca="false">E48</f>
        <v>-7233.57</v>
      </c>
      <c r="F13" s="64"/>
      <c r="G13" s="64" t="n">
        <v>-7233.57</v>
      </c>
      <c r="H13" s="64" t="n">
        <f aca="false">H12+F13+G13</f>
        <v>-14944.62</v>
      </c>
    </row>
    <row r="14" customFormat="false" ht="12.75" hidden="false" customHeight="false" outlineLevel="0" collapsed="false">
      <c r="B14" s="183" t="s">
        <v>1292</v>
      </c>
      <c r="E14" s="2"/>
      <c r="H14" s="64" t="n">
        <f aca="false">H13+F14+G14</f>
        <v>-14944.62</v>
      </c>
    </row>
    <row r="15" customFormat="false" ht="12.75" hidden="false" customHeight="false" outlineLevel="0" collapsed="false">
      <c r="B15" s="0" t="s">
        <v>77</v>
      </c>
      <c r="E15" s="64" t="n">
        <v>-2750</v>
      </c>
      <c r="F15" s="64"/>
      <c r="G15" s="64" t="n">
        <v>-2701</v>
      </c>
      <c r="H15" s="64" t="n">
        <f aca="false">H14+F15+G15</f>
        <v>-17645.62</v>
      </c>
    </row>
    <row r="16" customFormat="false" ht="12.75" hidden="false" customHeight="false" outlineLevel="0" collapsed="false">
      <c r="B16" s="0" t="s">
        <v>78</v>
      </c>
      <c r="E16" s="64" t="n">
        <v>-2750</v>
      </c>
      <c r="F16" s="64"/>
      <c r="G16" s="64" t="n">
        <v>-2701</v>
      </c>
      <c r="H16" s="64" t="n">
        <f aca="false">H15+F16+G16</f>
        <v>-20346.62</v>
      </c>
    </row>
    <row r="17" customFormat="false" ht="12.75" hidden="false" customHeight="false" outlineLevel="0" collapsed="false">
      <c r="B17" s="0" t="s">
        <v>79</v>
      </c>
      <c r="E17" s="64" t="n">
        <v>-2750</v>
      </c>
      <c r="F17" s="64"/>
      <c r="G17" s="64" t="n">
        <v>-2701</v>
      </c>
      <c r="H17" s="64" t="n">
        <f aca="false">H16+F17+G17</f>
        <v>-23047.62</v>
      </c>
    </row>
    <row r="18" customFormat="false" ht="12.75" hidden="false" customHeight="false" outlineLevel="0" collapsed="false">
      <c r="B18" s="0" t="s">
        <v>1293</v>
      </c>
      <c r="D18" s="0" t="n">
        <v>1111</v>
      </c>
      <c r="E18" s="168"/>
      <c r="F18" s="64"/>
      <c r="G18" s="64"/>
      <c r="H18" s="64" t="n">
        <f aca="false">H17+F18+G18</f>
        <v>-23047.62</v>
      </c>
    </row>
    <row r="19" customFormat="false" ht="12.75" hidden="false" customHeight="false" outlineLevel="0" collapsed="false">
      <c r="A19" s="102" t="n">
        <v>44944</v>
      </c>
      <c r="B19" s="8" t="s">
        <v>825</v>
      </c>
      <c r="E19" s="168"/>
      <c r="F19" s="64" t="n">
        <v>1500</v>
      </c>
      <c r="G19" s="64"/>
      <c r="H19" s="64" t="n">
        <f aca="false">H18+F19+G19</f>
        <v>-21547.62</v>
      </c>
    </row>
    <row r="20" customFormat="false" ht="12.75" hidden="false" customHeight="false" outlineLevel="0" collapsed="false">
      <c r="B20" s="0" t="s">
        <v>76</v>
      </c>
      <c r="D20" s="191" t="n">
        <v>5500</v>
      </c>
      <c r="F20" s="64" t="n">
        <v>5549.2</v>
      </c>
      <c r="G20" s="64"/>
      <c r="H20" s="64" t="n">
        <f aca="false">H19+F20+G20</f>
        <v>-15998.42</v>
      </c>
    </row>
    <row r="21" customFormat="false" ht="12.75" hidden="false" customHeight="false" outlineLevel="0" collapsed="false">
      <c r="B21" s="0" t="s">
        <v>1252</v>
      </c>
      <c r="D21" s="191" t="n">
        <v>1650</v>
      </c>
      <c r="F21" s="64"/>
      <c r="G21" s="64"/>
      <c r="H21" s="64" t="n">
        <f aca="false">H20+F21+G21</f>
        <v>-15998.42</v>
      </c>
    </row>
    <row r="22" customFormat="false" ht="12.75" hidden="false" customHeight="false" outlineLevel="0" collapsed="false">
      <c r="A22" s="0" t="s">
        <v>880</v>
      </c>
      <c r="B22" s="0" t="s">
        <v>1243</v>
      </c>
      <c r="D22" s="191" t="n">
        <v>3000</v>
      </c>
      <c r="F22" s="64"/>
      <c r="G22" s="64"/>
      <c r="H22" s="64" t="n">
        <f aca="false">H21+F22+G22</f>
        <v>-15998.42</v>
      </c>
    </row>
    <row r="23" customFormat="false" ht="12.75" hidden="false" customHeight="false" outlineLevel="0" collapsed="false">
      <c r="A23" s="0" t="s">
        <v>880</v>
      </c>
      <c r="B23" s="0" t="s">
        <v>1294</v>
      </c>
      <c r="D23" s="334" t="n">
        <v>1000</v>
      </c>
      <c r="H23" s="64" t="n">
        <f aca="false">H22+F23+G23</f>
        <v>-15998.42</v>
      </c>
    </row>
    <row r="24" customFormat="false" ht="12.75" hidden="false" customHeight="false" outlineLevel="0" collapsed="false">
      <c r="A24" s="102" t="n">
        <v>44928</v>
      </c>
      <c r="B24" s="317" t="s">
        <v>1295</v>
      </c>
      <c r="C24" s="317"/>
      <c r="D24" s="337" t="n">
        <v>1000</v>
      </c>
      <c r="F24" s="64" t="n">
        <v>1000</v>
      </c>
      <c r="G24" s="64"/>
      <c r="H24" s="64" t="n">
        <f aca="false">H23+F24+G24</f>
        <v>-14998.42</v>
      </c>
    </row>
    <row r="25" customFormat="false" ht="12.75" hidden="false" customHeight="false" outlineLevel="0" collapsed="false">
      <c r="A25" s="102"/>
      <c r="D25" s="104"/>
      <c r="H25" s="64"/>
    </row>
    <row r="26" customFormat="false" ht="12.75" hidden="false" customHeight="false" outlineLevel="0" collapsed="false">
      <c r="D26" s="64"/>
      <c r="F26" s="64"/>
      <c r="G26" s="64"/>
      <c r="H26" s="64"/>
    </row>
    <row r="27" customFormat="false" ht="15" hidden="false" customHeight="false" outlineLevel="0" collapsed="false">
      <c r="B27" s="184"/>
      <c r="F27" s="64"/>
      <c r="G27" s="64"/>
      <c r="H27" s="64"/>
    </row>
    <row r="28" customFormat="false" ht="12.75" hidden="false" customHeight="false" outlineLevel="0" collapsed="false">
      <c r="E28" s="64"/>
      <c r="G28" s="64"/>
      <c r="H28" s="64"/>
    </row>
    <row r="29" customFormat="false" ht="12.75" hidden="false" customHeight="false" outlineLevel="0" collapsed="false">
      <c r="B29" s="0" t="s">
        <v>334</v>
      </c>
      <c r="E29" s="64"/>
      <c r="G29" s="64"/>
      <c r="H29" s="64"/>
    </row>
    <row r="30" customFormat="false" ht="12.75" hidden="false" customHeight="false" outlineLevel="0" collapsed="false">
      <c r="A30" s="105" t="s">
        <v>335</v>
      </c>
      <c r="B30" s="105"/>
      <c r="C30" s="105"/>
      <c r="D30" s="105"/>
      <c r="E30" s="163"/>
      <c r="G30" s="64"/>
      <c r="H30" s="64"/>
    </row>
    <row r="31" customFormat="false" ht="12.75" hidden="false" customHeight="false" outlineLevel="0" collapsed="false">
      <c r="A31" s="322" t="n">
        <v>44650</v>
      </c>
      <c r="B31" s="317" t="s">
        <v>1260</v>
      </c>
      <c r="C31" s="317"/>
      <c r="D31" s="317" t="s">
        <v>1296</v>
      </c>
      <c r="E31" s="318"/>
      <c r="H31" s="64"/>
    </row>
    <row r="32" customFormat="false" ht="12.75" hidden="false" customHeight="false" outlineLevel="0" collapsed="false">
      <c r="A32" s="322" t="n">
        <v>44844</v>
      </c>
      <c r="B32" s="317" t="s">
        <v>1262</v>
      </c>
      <c r="C32" s="319"/>
      <c r="D32" s="317" t="s">
        <v>1263</v>
      </c>
      <c r="E32" s="317"/>
      <c r="H32" s="64"/>
    </row>
    <row r="33" customFormat="false" ht="12.75" hidden="false" customHeight="false" outlineLevel="0" collapsed="false">
      <c r="A33" s="322"/>
      <c r="B33" s="317" t="s">
        <v>1297</v>
      </c>
      <c r="C33" s="319"/>
      <c r="D33" s="317"/>
      <c r="E33" s="317" t="n">
        <v>100</v>
      </c>
      <c r="H33" s="64"/>
    </row>
    <row r="34" customFormat="false" ht="12.75" hidden="false" customHeight="false" outlineLevel="0" collapsed="false">
      <c r="A34" s="102"/>
      <c r="C34" s="176"/>
      <c r="H34" s="64"/>
    </row>
    <row r="35" customFormat="false" ht="12.75" hidden="false" customHeight="false" outlineLevel="0" collapsed="false">
      <c r="A35" s="177" t="n">
        <v>44929</v>
      </c>
      <c r="B35" s="178" t="s">
        <v>336</v>
      </c>
      <c r="C35" s="105"/>
      <c r="D35" s="206" t="n">
        <f aca="false">SUM(D36:D43)</f>
        <v>6130.21</v>
      </c>
      <c r="E35" s="206" t="n">
        <f aca="false">SUM(E36:E43)</f>
        <v>5930.26</v>
      </c>
      <c r="H35" s="64"/>
    </row>
    <row r="36" customFormat="false" ht="12.75" hidden="false" customHeight="false" outlineLevel="0" collapsed="false">
      <c r="A36" s="102"/>
      <c r="B36" s="108" t="s">
        <v>337</v>
      </c>
      <c r="D36" s="2" t="n">
        <v>1221.74</v>
      </c>
      <c r="E36" s="64" t="n">
        <v>1222</v>
      </c>
      <c r="H36" s="64"/>
    </row>
    <row r="37" customFormat="false" ht="12.75" hidden="false" customHeight="false" outlineLevel="0" collapsed="false">
      <c r="B37" s="0" t="s">
        <v>338</v>
      </c>
      <c r="D37" s="2" t="n">
        <v>1264.87</v>
      </c>
      <c r="E37" s="64" t="n">
        <v>1265</v>
      </c>
      <c r="F37" s="64"/>
      <c r="G37" s="64"/>
    </row>
    <row r="38" customFormat="false" ht="12.75" hidden="false" customHeight="false" outlineLevel="0" collapsed="false">
      <c r="B38" s="0" t="s">
        <v>339</v>
      </c>
      <c r="D38" s="2" t="n">
        <v>366.02</v>
      </c>
      <c r="E38" s="64" t="n">
        <v>366</v>
      </c>
      <c r="F38" s="64"/>
      <c r="G38" s="64"/>
    </row>
    <row r="39" customFormat="false" ht="12.75" hidden="false" customHeight="false" outlineLevel="0" collapsed="false">
      <c r="B39" s="0" t="s">
        <v>1298</v>
      </c>
      <c r="D39" s="17" t="n">
        <v>200</v>
      </c>
      <c r="F39" s="64"/>
      <c r="G39" s="64"/>
    </row>
    <row r="40" customFormat="false" ht="12.75" hidden="false" customHeight="false" outlineLevel="0" collapsed="false">
      <c r="B40" s="0" t="s">
        <v>1299</v>
      </c>
      <c r="D40" s="2" t="n">
        <v>1479.95</v>
      </c>
      <c r="E40" s="0" t="n">
        <v>1480</v>
      </c>
      <c r="F40" s="64"/>
      <c r="G40" s="64"/>
    </row>
    <row r="41" customFormat="false" ht="12.75" hidden="false" customHeight="false" outlineLevel="0" collapsed="false">
      <c r="B41" s="0" t="s">
        <v>1300</v>
      </c>
      <c r="D41" s="2" t="n">
        <v>1214.37</v>
      </c>
      <c r="E41" s="0" t="n">
        <v>1214</v>
      </c>
      <c r="F41" s="64"/>
      <c r="G41" s="64"/>
    </row>
    <row r="42" customFormat="false" ht="12.75" hidden="false" customHeight="false" outlineLevel="0" collapsed="false">
      <c r="A42" s="102" t="n">
        <v>44928</v>
      </c>
      <c r="B42" s="8" t="s">
        <v>1301</v>
      </c>
      <c r="C42" s="108"/>
      <c r="D42" s="338" t="n">
        <v>200</v>
      </c>
      <c r="E42" s="0" t="n">
        <v>200</v>
      </c>
      <c r="F42" s="64"/>
      <c r="G42" s="64"/>
    </row>
    <row r="43" customFormat="false" ht="12.75" hidden="false" customHeight="false" outlineLevel="0" collapsed="false">
      <c r="B43" s="0" t="s">
        <v>342</v>
      </c>
      <c r="C43" s="108"/>
      <c r="D43" s="2" t="n">
        <v>183.26</v>
      </c>
      <c r="E43" s="108" t="n">
        <v>183.26</v>
      </c>
      <c r="F43" s="64"/>
      <c r="G43" s="64"/>
    </row>
    <row r="44" customFormat="false" ht="12.75" hidden="false" customHeight="false" outlineLevel="0" collapsed="false">
      <c r="C44" s="108"/>
      <c r="D44" s="108"/>
      <c r="E44" s="168"/>
      <c r="F44" s="64"/>
      <c r="G44" s="64"/>
    </row>
    <row r="46" customFormat="false" ht="12.75" hidden="false" customHeight="false" outlineLevel="0" collapsed="false">
      <c r="B46" s="17"/>
    </row>
    <row r="47" customFormat="false" ht="12.75" hidden="false" customHeight="false" outlineLevel="0" collapsed="false">
      <c r="B47" s="104"/>
    </row>
    <row r="48" customFormat="false" ht="12.75" hidden="false" customHeight="false" outlineLevel="0" collapsed="false">
      <c r="A48" s="105"/>
      <c r="B48" s="106" t="s">
        <v>83</v>
      </c>
      <c r="C48" s="105"/>
      <c r="D48" s="163"/>
      <c r="E48" s="164" t="n">
        <f aca="false">SUM(E49:E82)</f>
        <v>-7233.57</v>
      </c>
    </row>
    <row r="49" customFormat="false" ht="12.75" hidden="false" customHeight="false" outlineLevel="0" collapsed="false">
      <c r="G49" s="64"/>
      <c r="H49" s="64"/>
    </row>
    <row r="50" customFormat="false" ht="12.75" hidden="false" customHeight="false" outlineLevel="0" collapsed="false">
      <c r="A50" s="102" t="n">
        <v>44866</v>
      </c>
      <c r="B50" s="108" t="s">
        <v>1302</v>
      </c>
      <c r="C50" s="108"/>
      <c r="D50" s="108" t="s">
        <v>523</v>
      </c>
      <c r="E50" s="64" t="n">
        <v>-208.17</v>
      </c>
      <c r="F50" s="64"/>
      <c r="G50" s="64"/>
      <c r="H50" s="64"/>
    </row>
    <row r="51" customFormat="false" ht="12.75" hidden="false" customHeight="false" outlineLevel="0" collapsed="false">
      <c r="A51" s="102" t="n">
        <v>44871</v>
      </c>
      <c r="B51" s="108" t="s">
        <v>1303</v>
      </c>
      <c r="C51" s="108"/>
      <c r="D51" s="108" t="s">
        <v>523</v>
      </c>
      <c r="E51" s="64" t="n">
        <v>-151.65</v>
      </c>
      <c r="F51" s="64"/>
      <c r="G51" s="64"/>
      <c r="H51" s="64"/>
    </row>
    <row r="52" customFormat="false" ht="12.75" hidden="false" customHeight="false" outlineLevel="0" collapsed="false">
      <c r="A52" s="102" t="n">
        <v>44873</v>
      </c>
      <c r="B52" s="8" t="s">
        <v>1304</v>
      </c>
      <c r="C52" s="108"/>
      <c r="D52" s="108" t="s">
        <v>617</v>
      </c>
      <c r="E52" s="64" t="n">
        <v>-1111.11</v>
      </c>
      <c r="F52" s="64"/>
      <c r="G52" s="64"/>
      <c r="H52" s="64"/>
    </row>
    <row r="53" customFormat="false" ht="12.75" hidden="false" customHeight="false" outlineLevel="0" collapsed="false">
      <c r="A53" s="102" t="n">
        <v>44887</v>
      </c>
      <c r="B53" s="108" t="s">
        <v>1305</v>
      </c>
      <c r="C53" s="108"/>
      <c r="D53" s="103" t="s">
        <v>1159</v>
      </c>
      <c r="E53" s="64" t="n">
        <v>-678.58</v>
      </c>
      <c r="F53" s="64"/>
      <c r="G53" s="64"/>
      <c r="H53" s="64"/>
    </row>
    <row r="54" customFormat="false" ht="12.75" hidden="false" customHeight="false" outlineLevel="0" collapsed="false">
      <c r="A54" s="102" t="n">
        <v>44920</v>
      </c>
      <c r="B54" s="108" t="s">
        <v>1182</v>
      </c>
      <c r="C54" s="108"/>
      <c r="D54" s="108" t="s">
        <v>1094</v>
      </c>
      <c r="E54" s="64" t="n">
        <v>-397.46</v>
      </c>
      <c r="F54" s="64"/>
      <c r="G54" s="64"/>
      <c r="H54" s="64"/>
    </row>
    <row r="55" customFormat="false" ht="12.75" hidden="false" customHeight="false" outlineLevel="0" collapsed="false">
      <c r="A55" s="102" t="n">
        <v>44920</v>
      </c>
      <c r="B55" s="108" t="s">
        <v>1183</v>
      </c>
      <c r="C55" s="108"/>
      <c r="D55" s="108" t="s">
        <v>1094</v>
      </c>
      <c r="E55" s="64" t="n">
        <v>-80.91</v>
      </c>
      <c r="F55" s="64"/>
      <c r="G55" s="64"/>
      <c r="H55" s="64"/>
    </row>
    <row r="56" customFormat="false" ht="12.75" hidden="false" customHeight="false" outlineLevel="0" collapsed="false">
      <c r="A56" s="102" t="n">
        <v>44920</v>
      </c>
      <c r="B56" s="108" t="s">
        <v>1184</v>
      </c>
      <c r="C56" s="108"/>
      <c r="D56" s="108" t="s">
        <v>1094</v>
      </c>
      <c r="E56" s="64" t="n">
        <v>-127.05</v>
      </c>
      <c r="F56" s="64"/>
      <c r="G56" s="64"/>
      <c r="H56" s="64"/>
    </row>
    <row r="57" customFormat="false" ht="12.75" hidden="false" customHeight="false" outlineLevel="0" collapsed="false">
      <c r="A57" s="102" t="n">
        <v>44920</v>
      </c>
      <c r="B57" s="108" t="s">
        <v>1185</v>
      </c>
      <c r="C57" s="108"/>
      <c r="D57" s="108" t="s">
        <v>1094</v>
      </c>
      <c r="E57" s="64" t="n">
        <v>-49.31</v>
      </c>
      <c r="F57" s="64"/>
      <c r="G57" s="64"/>
      <c r="H57" s="64"/>
    </row>
    <row r="58" customFormat="false" ht="12.75" hidden="false" customHeight="false" outlineLevel="0" collapsed="false">
      <c r="A58" s="102" t="n">
        <v>44894</v>
      </c>
      <c r="B58" s="3" t="s">
        <v>1306</v>
      </c>
      <c r="E58" s="64" t="n">
        <v>-182.4</v>
      </c>
      <c r="F58" s="64"/>
      <c r="G58" s="64"/>
      <c r="H58" s="64"/>
    </row>
    <row r="59" customFormat="false" ht="12.75" hidden="false" customHeight="false" outlineLevel="0" collapsed="false">
      <c r="A59" s="102"/>
      <c r="B59" s="8" t="s">
        <v>1307</v>
      </c>
      <c r="E59" s="64" t="n">
        <v>-74.9</v>
      </c>
      <c r="F59" s="64"/>
      <c r="G59" s="64"/>
      <c r="H59" s="64"/>
    </row>
    <row r="60" customFormat="false" ht="12.75" hidden="false" customHeight="false" outlineLevel="0" collapsed="false">
      <c r="A60" s="102" t="n">
        <v>44895</v>
      </c>
      <c r="B60" s="3" t="s">
        <v>1308</v>
      </c>
      <c r="E60" s="64" t="n">
        <v>-137.89</v>
      </c>
      <c r="F60" s="64"/>
      <c r="G60" s="64"/>
      <c r="H60" s="64"/>
    </row>
    <row r="61" customFormat="false" ht="12.75" hidden="false" customHeight="false" outlineLevel="0" collapsed="false">
      <c r="A61" s="102" t="n">
        <v>44897</v>
      </c>
      <c r="B61" s="108" t="s">
        <v>1309</v>
      </c>
      <c r="C61" s="108"/>
      <c r="D61" s="108"/>
      <c r="E61" s="64" t="n">
        <v>-200</v>
      </c>
      <c r="F61" s="64"/>
      <c r="G61" s="64"/>
      <c r="H61" s="64"/>
    </row>
    <row r="62" customFormat="false" ht="12.75" hidden="false" customHeight="false" outlineLevel="0" collapsed="false">
      <c r="A62" s="102" t="n">
        <v>44900</v>
      </c>
      <c r="B62" s="108" t="s">
        <v>418</v>
      </c>
      <c r="C62" s="108"/>
      <c r="D62" s="108"/>
      <c r="E62" s="64" t="n">
        <v>-142.64</v>
      </c>
      <c r="F62" s="64"/>
      <c r="G62" s="64"/>
      <c r="H62" s="64"/>
    </row>
    <row r="63" customFormat="false" ht="12.75" hidden="false" customHeight="false" outlineLevel="0" collapsed="false">
      <c r="A63" s="102" t="n">
        <v>44900</v>
      </c>
      <c r="B63" s="109" t="s">
        <v>1310</v>
      </c>
      <c r="C63" s="108"/>
      <c r="D63" s="108"/>
      <c r="E63" s="64" t="n">
        <v>-148.47</v>
      </c>
      <c r="F63" s="64"/>
      <c r="G63" s="64"/>
      <c r="H63" s="64"/>
    </row>
    <row r="64" customFormat="false" ht="12.75" hidden="false" customHeight="false" outlineLevel="0" collapsed="false">
      <c r="A64" s="102" t="n">
        <v>44901</v>
      </c>
      <c r="B64" s="109" t="s">
        <v>1311</v>
      </c>
      <c r="C64" s="108"/>
      <c r="D64" s="108"/>
      <c r="E64" s="64" t="n">
        <v>-142.77</v>
      </c>
      <c r="F64" s="64"/>
      <c r="G64" s="64"/>
      <c r="H64" s="64"/>
    </row>
    <row r="65" customFormat="false" ht="12.75" hidden="false" customHeight="false" outlineLevel="0" collapsed="false">
      <c r="A65" s="102" t="n">
        <v>44901</v>
      </c>
      <c r="B65" s="108" t="s">
        <v>1312</v>
      </c>
      <c r="C65" s="108"/>
      <c r="D65" s="108"/>
      <c r="E65" s="64" t="n">
        <v>-334.55</v>
      </c>
      <c r="F65" s="64"/>
      <c r="G65" s="64"/>
      <c r="H65" s="64"/>
    </row>
    <row r="66" customFormat="false" ht="12.75" hidden="false" customHeight="false" outlineLevel="0" collapsed="false">
      <c r="A66" s="102" t="n">
        <v>44901</v>
      </c>
      <c r="B66" s="108" t="s">
        <v>1313</v>
      </c>
      <c r="C66" s="108"/>
      <c r="D66" s="108"/>
      <c r="E66" s="64" t="n">
        <v>-148.75</v>
      </c>
      <c r="F66" s="64"/>
      <c r="G66" s="64"/>
      <c r="H66" s="64"/>
    </row>
    <row r="67" customFormat="false" ht="12.75" hidden="false" customHeight="false" outlineLevel="0" collapsed="false">
      <c r="A67" s="102" t="n">
        <v>44901</v>
      </c>
      <c r="B67" s="108" t="s">
        <v>1314</v>
      </c>
      <c r="C67" s="108"/>
      <c r="D67" s="108"/>
      <c r="E67" s="64" t="n">
        <v>-200</v>
      </c>
      <c r="F67" s="64"/>
      <c r="G67" s="64"/>
      <c r="H67" s="64"/>
    </row>
    <row r="68" customFormat="false" ht="12.75" hidden="false" customHeight="false" outlineLevel="0" collapsed="false">
      <c r="A68" s="102" t="n">
        <v>44903</v>
      </c>
      <c r="B68" s="108" t="s">
        <v>1315</v>
      </c>
      <c r="C68" s="108"/>
      <c r="D68" s="108"/>
      <c r="E68" s="64" t="n">
        <v>-223.23</v>
      </c>
      <c r="F68" s="64"/>
      <c r="G68" s="64"/>
      <c r="H68" s="64"/>
    </row>
    <row r="69" customFormat="false" ht="12.75" hidden="false" customHeight="false" outlineLevel="0" collapsed="false">
      <c r="A69" s="102" t="n">
        <v>44904</v>
      </c>
      <c r="B69" s="109" t="s">
        <v>1316</v>
      </c>
      <c r="C69" s="108"/>
      <c r="D69" s="108"/>
      <c r="E69" s="64" t="n">
        <v>-218.37</v>
      </c>
      <c r="F69" s="64"/>
      <c r="G69" s="64"/>
      <c r="H69" s="64"/>
    </row>
    <row r="70" customFormat="false" ht="12.75" hidden="false" customHeight="false" outlineLevel="0" collapsed="false">
      <c r="A70" s="102" t="n">
        <v>44905</v>
      </c>
      <c r="B70" s="109" t="s">
        <v>1317</v>
      </c>
      <c r="C70" s="108"/>
      <c r="D70" s="108"/>
      <c r="E70" s="64" t="n">
        <v>-209.35</v>
      </c>
      <c r="F70" s="64"/>
      <c r="G70" s="64"/>
      <c r="H70" s="64"/>
    </row>
    <row r="71" customFormat="false" ht="12.75" hidden="false" customHeight="false" outlineLevel="0" collapsed="false">
      <c r="A71" s="102" t="n">
        <v>44907</v>
      </c>
      <c r="B71" s="109" t="s">
        <v>1318</v>
      </c>
      <c r="E71" s="64" t="n">
        <v>-202.93</v>
      </c>
      <c r="F71" s="64"/>
      <c r="G71" s="64"/>
      <c r="H71" s="64"/>
    </row>
    <row r="72" customFormat="false" ht="12.75" hidden="false" customHeight="false" outlineLevel="0" collapsed="false">
      <c r="A72" s="102" t="n">
        <v>44909</v>
      </c>
      <c r="B72" s="109" t="s">
        <v>1319</v>
      </c>
      <c r="C72" s="108"/>
      <c r="D72" s="108"/>
      <c r="E72" s="64" t="n">
        <v>-167.75</v>
      </c>
      <c r="F72" s="64"/>
      <c r="G72" s="64"/>
      <c r="H72" s="64"/>
    </row>
    <row r="73" customFormat="false" ht="12.75" hidden="false" customHeight="false" outlineLevel="0" collapsed="false">
      <c r="A73" s="102" t="n">
        <v>44912</v>
      </c>
      <c r="B73" s="3" t="s">
        <v>1320</v>
      </c>
      <c r="E73" s="64" t="n">
        <v>-221.18</v>
      </c>
      <c r="F73" s="64"/>
      <c r="G73" s="64"/>
      <c r="H73" s="64"/>
    </row>
    <row r="74" customFormat="false" ht="12.75" hidden="false" customHeight="false" outlineLevel="0" collapsed="false">
      <c r="A74" s="102" t="n">
        <v>44913</v>
      </c>
      <c r="B74" s="108" t="s">
        <v>135</v>
      </c>
      <c r="C74" s="108"/>
      <c r="D74" s="108"/>
      <c r="E74" s="64" t="n">
        <v>-200</v>
      </c>
      <c r="F74" s="64"/>
      <c r="G74" s="64"/>
      <c r="H74" s="64"/>
    </row>
    <row r="75" customFormat="false" ht="12.75" hidden="false" customHeight="false" outlineLevel="0" collapsed="false">
      <c r="A75" s="102" t="n">
        <v>44913</v>
      </c>
      <c r="B75" s="108" t="s">
        <v>1321</v>
      </c>
      <c r="C75" s="108"/>
      <c r="D75" s="108"/>
      <c r="E75" s="64" t="n">
        <v>-268.73</v>
      </c>
      <c r="F75" s="64"/>
      <c r="G75" s="64"/>
      <c r="H75" s="64"/>
    </row>
    <row r="76" customFormat="false" ht="12.75" hidden="false" customHeight="false" outlineLevel="0" collapsed="false">
      <c r="A76" s="102" t="n">
        <v>44913</v>
      </c>
      <c r="B76" s="108" t="s">
        <v>1322</v>
      </c>
      <c r="C76" s="108"/>
      <c r="D76" s="108"/>
      <c r="E76" s="64" t="n">
        <v>-140.9</v>
      </c>
      <c r="F76" s="64"/>
      <c r="G76" s="64"/>
      <c r="H76" s="64"/>
    </row>
    <row r="77" customFormat="false" ht="12.75" hidden="false" customHeight="false" outlineLevel="0" collapsed="false">
      <c r="A77" s="102" t="n">
        <v>44914</v>
      </c>
      <c r="B77" s="3" t="s">
        <v>1323</v>
      </c>
      <c r="C77" s="108"/>
      <c r="D77" s="108"/>
      <c r="E77" s="64" t="n">
        <v>-138.4</v>
      </c>
      <c r="F77" s="64"/>
      <c r="G77" s="64"/>
      <c r="H77" s="64"/>
    </row>
    <row r="78" customFormat="false" ht="12.75" hidden="false" customHeight="false" outlineLevel="0" collapsed="false">
      <c r="A78" s="102" t="n">
        <v>44915</v>
      </c>
      <c r="B78" s="3" t="s">
        <v>1324</v>
      </c>
      <c r="C78" s="108"/>
      <c r="D78" s="108"/>
      <c r="E78" s="64" t="n">
        <v>-277.5</v>
      </c>
      <c r="F78" s="64"/>
      <c r="G78" s="64"/>
      <c r="H78" s="64"/>
    </row>
    <row r="79" customFormat="false" ht="12.75" hidden="false" customHeight="false" outlineLevel="0" collapsed="false">
      <c r="A79" s="102" t="n">
        <v>44916</v>
      </c>
      <c r="B79" s="3" t="s">
        <v>1325</v>
      </c>
      <c r="C79" s="108"/>
      <c r="D79" s="108"/>
      <c r="E79" s="64" t="n">
        <v>-166.62</v>
      </c>
      <c r="F79" s="64"/>
      <c r="G79" s="64"/>
      <c r="H79" s="64"/>
    </row>
    <row r="80" customFormat="false" ht="12.75" hidden="false" customHeight="false" outlineLevel="0" collapsed="false">
      <c r="A80" s="102" t="n">
        <v>44917</v>
      </c>
      <c r="B80" s="108" t="s">
        <v>400</v>
      </c>
      <c r="C80" s="108"/>
      <c r="D80" s="108"/>
      <c r="E80" s="64" t="n">
        <v>-90</v>
      </c>
      <c r="F80" s="64"/>
      <c r="G80" s="64"/>
      <c r="H80" s="64"/>
    </row>
    <row r="81" customFormat="false" ht="12.75" hidden="false" customHeight="false" outlineLevel="0" collapsed="false">
      <c r="A81" s="102" t="n">
        <v>44918</v>
      </c>
      <c r="B81" s="3" t="s">
        <v>1326</v>
      </c>
      <c r="C81" s="108"/>
      <c r="D81" s="108"/>
      <c r="E81" s="64" t="n">
        <v>-192</v>
      </c>
      <c r="F81" s="64"/>
      <c r="G81" s="64"/>
      <c r="H81" s="64"/>
    </row>
    <row r="82" customFormat="false" ht="12.75" hidden="false" customHeight="false" outlineLevel="0" collapsed="false">
      <c r="A82" s="102"/>
      <c r="B82" s="3"/>
      <c r="C82" s="108"/>
      <c r="D82" s="108"/>
      <c r="E82" s="168"/>
      <c r="F82" s="64"/>
      <c r="G82" s="64"/>
      <c r="H82" s="64"/>
    </row>
    <row r="83" customFormat="false" ht="12.75" hidden="false" customHeight="false" outlineLevel="0" collapsed="false">
      <c r="A83" s="102"/>
      <c r="B83" s="3"/>
      <c r="C83" s="108"/>
      <c r="D83" s="108"/>
      <c r="E83" s="168"/>
      <c r="F83" s="64"/>
      <c r="G83" s="64"/>
      <c r="H83" s="64"/>
    </row>
    <row r="84" customFormat="false" ht="12.75" hidden="false" customHeight="false" outlineLevel="0" collapsed="false">
      <c r="A84" s="102"/>
      <c r="B84" s="3"/>
      <c r="C84" s="108"/>
      <c r="D84" s="108"/>
      <c r="E84" s="168"/>
      <c r="F84" s="64"/>
      <c r="G84" s="64"/>
      <c r="H84" s="64"/>
    </row>
    <row r="85" customFormat="false" ht="12.75" hidden="false" customHeight="false" outlineLevel="0" collapsed="false">
      <c r="A85" s="102"/>
      <c r="B85" s="3"/>
      <c r="C85" s="108"/>
      <c r="D85" s="108"/>
      <c r="E85" s="168"/>
      <c r="F85" s="64"/>
      <c r="G85" s="64"/>
      <c r="H85" s="64"/>
    </row>
    <row r="86" customFormat="false" ht="12.75" hidden="false" customHeight="false" outlineLevel="0" collapsed="false">
      <c r="A86" s="102"/>
      <c r="B86" s="3"/>
      <c r="C86" s="108"/>
      <c r="D86" s="108"/>
      <c r="E86" s="168"/>
      <c r="F86" s="64"/>
      <c r="G86" s="64"/>
      <c r="H86" s="64"/>
    </row>
    <row r="87" customFormat="false" ht="12.75" hidden="false" customHeight="false" outlineLevel="0" collapsed="false">
      <c r="A87" s="102"/>
      <c r="B87" s="3"/>
      <c r="C87" s="108"/>
      <c r="D87" s="108"/>
      <c r="E87" s="168"/>
      <c r="F87" s="64"/>
      <c r="G87" s="64"/>
      <c r="H87" s="64"/>
    </row>
    <row r="88" customFormat="false" ht="12.75" hidden="false" customHeight="false" outlineLevel="0" collapsed="false">
      <c r="A88" s="102"/>
      <c r="B88" s="3"/>
      <c r="C88" s="108"/>
      <c r="D88" s="108"/>
      <c r="E88" s="168"/>
      <c r="F88" s="64"/>
      <c r="G88" s="64"/>
      <c r="H88" s="64"/>
    </row>
    <row r="89" customFormat="false" ht="12.75" hidden="false" customHeight="false" outlineLevel="0" collapsed="false">
      <c r="A89" s="102"/>
      <c r="B89" s="3"/>
      <c r="C89" s="108"/>
      <c r="D89" s="108"/>
      <c r="E89" s="168"/>
      <c r="F89" s="64"/>
      <c r="G89" s="64"/>
      <c r="H89" s="64"/>
    </row>
    <row r="90" customFormat="false" ht="12.75" hidden="false" customHeight="false" outlineLevel="0" collapsed="false">
      <c r="A90" s="102"/>
      <c r="B90" s="3"/>
      <c r="C90" s="108"/>
      <c r="D90" s="108"/>
      <c r="E90" s="168"/>
      <c r="F90" s="64"/>
      <c r="G90" s="64"/>
      <c r="H90" s="64"/>
    </row>
    <row r="91" customFormat="false" ht="12.75" hidden="false" customHeight="false" outlineLevel="0" collapsed="false">
      <c r="A91" s="102"/>
      <c r="B91" s="3"/>
      <c r="C91" s="108"/>
      <c r="D91" s="108"/>
      <c r="E91" s="168"/>
      <c r="F91" s="64"/>
      <c r="G91" s="64"/>
      <c r="H91" s="64"/>
    </row>
    <row r="92" customFormat="false" ht="12.75" hidden="false" customHeight="false" outlineLevel="0" collapsed="false">
      <c r="A92" s="102"/>
      <c r="B92" s="3"/>
      <c r="C92" s="108"/>
      <c r="D92" s="108"/>
      <c r="E92" s="168"/>
      <c r="F92" s="64"/>
      <c r="G92" s="64"/>
      <c r="H92" s="64"/>
    </row>
    <row r="93" customFormat="false" ht="12.75" hidden="false" customHeight="false" outlineLevel="0" collapsed="false">
      <c r="A93" s="102"/>
      <c r="B93" s="3"/>
      <c r="C93" s="108"/>
      <c r="D93" s="108"/>
      <c r="E93" s="168"/>
      <c r="F93" s="64"/>
      <c r="G93" s="64"/>
      <c r="H93" s="64"/>
    </row>
    <row r="94" customFormat="false" ht="12.75" hidden="false" customHeight="false" outlineLevel="0" collapsed="false">
      <c r="A94" s="102"/>
      <c r="B94" s="3"/>
      <c r="C94" s="108"/>
      <c r="D94" s="108"/>
      <c r="E94" s="168"/>
      <c r="F94" s="64"/>
      <c r="G94" s="64"/>
      <c r="H94" s="64"/>
    </row>
    <row r="95" customFormat="false" ht="12.75" hidden="false" customHeight="false" outlineLevel="0" collapsed="false">
      <c r="A95" s="102"/>
      <c r="B95" s="3"/>
      <c r="C95" s="108"/>
      <c r="D95" s="108"/>
      <c r="E95" s="168"/>
      <c r="F95" s="64"/>
      <c r="G95" s="64"/>
      <c r="H95" s="64"/>
    </row>
    <row r="96" customFormat="false" ht="12.75" hidden="false" customHeight="false" outlineLevel="0" collapsed="false">
      <c r="A96" s="102"/>
      <c r="B96" s="3"/>
      <c r="C96" s="108"/>
      <c r="D96" s="108"/>
      <c r="E96" s="168"/>
      <c r="F96" s="64"/>
      <c r="G96" s="64"/>
      <c r="H96" s="64"/>
    </row>
    <row r="97" customFormat="false" ht="12.75" hidden="false" customHeight="false" outlineLevel="0" collapsed="false">
      <c r="A97" s="102"/>
      <c r="B97" s="3"/>
      <c r="C97" s="108"/>
      <c r="D97" s="108"/>
      <c r="E97" s="168"/>
      <c r="F97" s="64"/>
      <c r="G97" s="64"/>
      <c r="H97" s="64"/>
    </row>
    <row r="98" customFormat="false" ht="12.75" hidden="false" customHeight="false" outlineLevel="0" collapsed="false">
      <c r="A98" s="102"/>
      <c r="B98" s="3"/>
      <c r="C98" s="108"/>
      <c r="D98" s="108"/>
      <c r="E98" s="168"/>
      <c r="F98" s="64"/>
      <c r="G98" s="64"/>
      <c r="H98" s="64"/>
    </row>
    <row r="99" customFormat="false" ht="12.75" hidden="false" customHeight="false" outlineLevel="0" collapsed="false">
      <c r="A99" s="102"/>
      <c r="B99" s="3"/>
      <c r="C99" s="108"/>
      <c r="D99" s="108"/>
      <c r="E99" s="168"/>
      <c r="F99" s="64"/>
      <c r="G99" s="64"/>
      <c r="H99" s="64"/>
    </row>
    <row r="100" customFormat="false" ht="12.75" hidden="false" customHeight="false" outlineLevel="0" collapsed="false">
      <c r="A100" s="102"/>
      <c r="B100" s="3"/>
      <c r="C100" s="108"/>
      <c r="D100" s="108"/>
      <c r="E100" s="168"/>
      <c r="F100" s="64"/>
      <c r="G100" s="64"/>
      <c r="H100" s="64"/>
    </row>
    <row r="101" customFormat="false" ht="12.75" hidden="false" customHeight="false" outlineLevel="0" collapsed="false">
      <c r="A101" s="102"/>
      <c r="B101" s="3"/>
      <c r="C101" s="108"/>
      <c r="D101" s="108"/>
      <c r="E101" s="168"/>
      <c r="F101" s="64"/>
      <c r="G101" s="64"/>
      <c r="H101" s="64"/>
    </row>
    <row r="102" customFormat="false" ht="12.75" hidden="false" customHeight="false" outlineLevel="0" collapsed="false">
      <c r="A102" s="102"/>
      <c r="B102" s="3"/>
      <c r="C102" s="108"/>
      <c r="D102" s="108"/>
      <c r="E102" s="168"/>
      <c r="F102" s="64"/>
      <c r="G102" s="64"/>
      <c r="H102" s="64"/>
    </row>
    <row r="103" customFormat="false" ht="12.75" hidden="false" customHeight="false" outlineLevel="0" collapsed="false">
      <c r="A103" s="102"/>
      <c r="B103" s="3"/>
      <c r="C103" s="108"/>
      <c r="D103" s="108"/>
      <c r="E103" s="168"/>
      <c r="F103" s="64"/>
      <c r="G103" s="64"/>
      <c r="H103" s="64"/>
    </row>
    <row r="104" customFormat="false" ht="12.75" hidden="false" customHeight="false" outlineLevel="0" collapsed="false">
      <c r="A104" s="102"/>
      <c r="B104" s="3"/>
      <c r="C104" s="108"/>
      <c r="D104" s="108"/>
      <c r="E104" s="168"/>
      <c r="F104" s="64"/>
      <c r="G104" s="64"/>
      <c r="H104" s="64"/>
    </row>
    <row r="105" customFormat="false" ht="12.75" hidden="false" customHeight="false" outlineLevel="0" collapsed="false">
      <c r="A105" s="102"/>
      <c r="B105" s="3"/>
      <c r="C105" s="108"/>
      <c r="D105" s="108"/>
      <c r="E105" s="168"/>
      <c r="F105" s="64"/>
      <c r="G105" s="64"/>
      <c r="H105" s="64"/>
    </row>
    <row r="106" customFormat="false" ht="12.75" hidden="false" customHeight="false" outlineLevel="0" collapsed="false">
      <c r="A106" s="102"/>
      <c r="B106" s="3"/>
      <c r="C106" s="108"/>
      <c r="D106" s="108"/>
      <c r="E106" s="168"/>
      <c r="F106" s="64"/>
      <c r="G106" s="64"/>
      <c r="H106" s="64"/>
    </row>
    <row r="107" customFormat="false" ht="12.75" hidden="false" customHeight="false" outlineLevel="0" collapsed="false">
      <c r="A107" s="102"/>
      <c r="B107" s="3"/>
      <c r="C107" s="108"/>
      <c r="D107" s="108"/>
      <c r="E107" s="168"/>
      <c r="F107" s="64"/>
      <c r="G107" s="64"/>
      <c r="H107" s="64"/>
    </row>
    <row r="108" customFormat="false" ht="12.75" hidden="false" customHeight="false" outlineLevel="0" collapsed="false">
      <c r="A108" s="102"/>
      <c r="B108" s="3"/>
      <c r="C108" s="108"/>
      <c r="D108" s="108"/>
      <c r="E108" s="168"/>
      <c r="F108" s="64"/>
      <c r="G108" s="64"/>
      <c r="H108" s="64"/>
    </row>
    <row r="109" customFormat="false" ht="12.75" hidden="false" customHeight="false" outlineLevel="0" collapsed="false">
      <c r="A109" s="102"/>
      <c r="B109" s="3"/>
      <c r="C109" s="108"/>
      <c r="D109" s="108"/>
      <c r="E109" s="168"/>
      <c r="F109" s="64"/>
      <c r="G109" s="64"/>
      <c r="H109" s="64"/>
    </row>
    <row r="111" customFormat="false" ht="12.75" hidden="false" customHeight="false" outlineLevel="0" collapsed="false">
      <c r="A111" s="105"/>
      <c r="B111" s="106" t="s">
        <v>1327</v>
      </c>
      <c r="C111" s="105"/>
      <c r="D111" s="163"/>
      <c r="E111" s="164" t="n">
        <f aca="false">SUM(E112:E119)</f>
        <v>356022.27</v>
      </c>
    </row>
    <row r="112" customFormat="false" ht="12.75" hidden="false" customHeight="false" outlineLevel="0" collapsed="false">
      <c r="A112" s="102" t="n">
        <v>45291</v>
      </c>
      <c r="B112" s="8" t="s">
        <v>77</v>
      </c>
      <c r="E112" s="0" t="n">
        <v>32000</v>
      </c>
    </row>
    <row r="113" customFormat="false" ht="12.75" hidden="false" customHeight="false" outlineLevel="0" collapsed="false">
      <c r="A113" s="102" t="n">
        <v>45291</v>
      </c>
      <c r="B113" s="8" t="s">
        <v>78</v>
      </c>
      <c r="E113" s="0" t="n">
        <v>40000</v>
      </c>
    </row>
    <row r="114" customFormat="false" ht="12.75" hidden="false" customHeight="false" outlineLevel="0" collapsed="false">
      <c r="A114" s="102" t="n">
        <v>45291</v>
      </c>
      <c r="B114" s="8" t="s">
        <v>309</v>
      </c>
      <c r="E114" s="0" t="n">
        <v>40162.18</v>
      </c>
    </row>
    <row r="115" customFormat="false" ht="12.75" hidden="false" customHeight="false" outlineLevel="0" collapsed="false">
      <c r="A115" s="102" t="n">
        <v>45291</v>
      </c>
      <c r="B115" s="8" t="s">
        <v>310</v>
      </c>
      <c r="E115" s="0" t="n">
        <v>44912.09</v>
      </c>
    </row>
    <row r="116" customFormat="false" ht="12.75" hidden="false" customHeight="false" outlineLevel="0" collapsed="false">
      <c r="A116" s="102" t="n">
        <v>45291</v>
      </c>
      <c r="B116" s="8" t="s">
        <v>815</v>
      </c>
      <c r="C116" s="0" t="n">
        <v>1093</v>
      </c>
      <c r="D116" s="0" t="n">
        <v>111</v>
      </c>
      <c r="E116" s="8" t="n">
        <f aca="false">D116*C116</f>
        <v>121323</v>
      </c>
    </row>
    <row r="117" customFormat="false" ht="12.75" hidden="false" customHeight="false" outlineLevel="0" collapsed="false">
      <c r="A117" s="102" t="n">
        <v>45291</v>
      </c>
      <c r="B117" s="8" t="s">
        <v>816</v>
      </c>
      <c r="C117" s="0" t="n">
        <v>18.5</v>
      </c>
      <c r="D117" s="0" t="n">
        <v>850</v>
      </c>
      <c r="E117" s="8" t="n">
        <f aca="false">D117*C117</f>
        <v>15725</v>
      </c>
    </row>
    <row r="118" customFormat="false" ht="12.75" hidden="false" customHeight="false" outlineLevel="0" collapsed="false">
      <c r="A118" s="102" t="n">
        <v>45291</v>
      </c>
      <c r="B118" s="8" t="s">
        <v>817</v>
      </c>
      <c r="C118" s="0" t="n">
        <v>19</v>
      </c>
      <c r="D118" s="0" t="n">
        <v>100</v>
      </c>
      <c r="E118" s="8" t="n">
        <f aca="false">D118*C118</f>
        <v>1900</v>
      </c>
    </row>
    <row r="119" customFormat="false" ht="12.75" hidden="false" customHeight="false" outlineLevel="0" collapsed="false">
      <c r="A119" s="102" t="n">
        <v>45291</v>
      </c>
      <c r="B119" s="8" t="s">
        <v>818</v>
      </c>
      <c r="E119" s="0" t="n">
        <v>60000</v>
      </c>
    </row>
    <row r="120" customFormat="false" ht="12.75" hidden="false" customHeight="false" outlineLevel="0" collapsed="false">
      <c r="B120" s="0" t="s">
        <v>1328</v>
      </c>
      <c r="E120" s="64" t="n">
        <f aca="false">H2</f>
        <v>-14998.42</v>
      </c>
    </row>
    <row r="122" customFormat="false" ht="12.75" hidden="false" customHeight="false" outlineLevel="0" collapsed="false">
      <c r="D122" s="18" t="s">
        <v>158</v>
      </c>
      <c r="E122" s="8" t="n">
        <f aca="false">SUM(E112:E121)</f>
        <v>341023.85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"/>
  <sheetViews>
    <sheetView showFormulas="false" showGridLines="true" showRowColHeaders="true" showZeros="true" rightToLeft="false" tabSelected="false" showOutlineSymbols="true" defaultGridColor="true" view="normal" topLeftCell="A1" colorId="64" zoomScale="170" zoomScaleNormal="170" zoomScalePageLayoutView="100" workbookViewId="0">
      <selection pane="topLeft" activeCell="E1" activeCellId="0" sqref="E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8.29"/>
    <col collapsed="false" customWidth="true" hidden="false" outlineLevel="0" max="2" min="2" style="0" width="10.71"/>
    <col collapsed="false" customWidth="true" hidden="false" outlineLevel="0" max="3" min="3" style="0" width="11.14"/>
    <col collapsed="false" customWidth="true" hidden="false" outlineLevel="0" max="5" min="4" style="0" width="13.57"/>
    <col collapsed="false" customWidth="true" hidden="false" outlineLevel="0" max="6" min="6" style="0" width="15.57"/>
    <col collapsed="false" customWidth="true" hidden="false" outlineLevel="0" max="7" min="7" style="0" width="15.43"/>
    <col collapsed="false" customWidth="true" hidden="false" outlineLevel="0" max="8" min="8" style="0" width="0.86"/>
    <col collapsed="false" customWidth="true" hidden="false" outlineLevel="0" max="9" min="9" style="0" width="5.43"/>
    <col collapsed="false" customWidth="true" hidden="false" outlineLevel="0" max="10" min="10" style="0" width="5.86"/>
    <col collapsed="false" customWidth="true" hidden="false" outlineLevel="0" max="11" min="11" style="2" width="6.43"/>
    <col collapsed="false" customWidth="true" hidden="false" outlineLevel="0" max="12" min="12" style="2" width="6.86"/>
    <col collapsed="false" customWidth="true" hidden="false" outlineLevel="0" max="13" min="13" style="2" width="5.86"/>
    <col collapsed="false" customWidth="true" hidden="false" outlineLevel="0" max="14" min="14" style="0" width="6.57"/>
    <col collapsed="false" customWidth="true" hidden="false" outlineLevel="0" max="15" min="15" style="0" width="9.14"/>
  </cols>
  <sheetData>
    <row r="1" customFormat="false" ht="15" hidden="false" customHeight="false" outlineLevel="0" collapsed="false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9" t="n">
        <v>0.23471</v>
      </c>
      <c r="L1" s="339" t="n">
        <f aca="false">1-K1</f>
        <v>0.76529</v>
      </c>
      <c r="M1" s="340"/>
      <c r="N1" s="26" t="s">
        <v>26</v>
      </c>
    </row>
    <row r="2" customFormat="false" ht="15" hidden="false" customHeight="false" outlineLevel="0" collapsed="false">
      <c r="A2" s="19" t="n">
        <v>-2022</v>
      </c>
      <c r="B2" s="23" t="s">
        <v>28</v>
      </c>
      <c r="C2" s="29" t="s">
        <v>29</v>
      </c>
      <c r="D2" s="22" t="s">
        <v>30</v>
      </c>
      <c r="E2" s="23" t="s">
        <v>28</v>
      </c>
      <c r="F2" s="29" t="s">
        <v>29</v>
      </c>
      <c r="G2" s="22" t="s">
        <v>3</v>
      </c>
      <c r="H2" s="24"/>
      <c r="I2" s="25"/>
      <c r="J2" s="26" t="s">
        <v>31</v>
      </c>
      <c r="K2" s="340" t="s">
        <v>807</v>
      </c>
      <c r="L2" s="340" t="s">
        <v>808</v>
      </c>
      <c r="M2" s="340" t="s">
        <v>32</v>
      </c>
      <c r="N2" s="26" t="s">
        <v>1329</v>
      </c>
    </row>
    <row r="3" customFormat="false" ht="12.75" hidden="false" customHeight="false" outlineLevel="0" collapsed="false">
      <c r="A3" s="0" t="s">
        <v>33</v>
      </c>
      <c r="B3" s="218" t="n">
        <f aca="false">22_1!D2</f>
        <v>7333.3</v>
      </c>
      <c r="C3" s="219" t="n">
        <f aca="false">22_1!E2</f>
        <v>-6834.05</v>
      </c>
      <c r="D3" s="220" t="n">
        <f aca="false">B3+C3</f>
        <v>499.25</v>
      </c>
      <c r="E3" s="218" t="n">
        <f aca="false">22_1!F2</f>
        <v>46462.64</v>
      </c>
      <c r="F3" s="219" t="n">
        <f aca="false">22_1!G2</f>
        <v>-6834.05</v>
      </c>
      <c r="G3" s="221" t="n">
        <f aca="false">E3+F3</f>
        <v>39628.59</v>
      </c>
      <c r="H3" s="35"/>
      <c r="I3" s="36" t="s">
        <v>34</v>
      </c>
      <c r="J3" s="0" t="n">
        <v>36</v>
      </c>
      <c r="M3" s="2" t="n">
        <v>36</v>
      </c>
    </row>
    <row r="4" customFormat="false" ht="12.75" hidden="false" customHeight="false" outlineLevel="0" collapsed="false">
      <c r="A4" s="0" t="s">
        <v>35</v>
      </c>
      <c r="B4" s="218" t="n">
        <f aca="false">22_2!D2</f>
        <v>10567.09</v>
      </c>
      <c r="C4" s="219" t="n">
        <f aca="false">22_2!E2</f>
        <v>-21938.15</v>
      </c>
      <c r="D4" s="220" t="n">
        <f aca="false">B4+C4+D3</f>
        <v>-10871.81</v>
      </c>
      <c r="E4" s="218" t="n">
        <f aca="false">22_2!F2</f>
        <v>11567.09</v>
      </c>
      <c r="F4" s="219" t="n">
        <f aca="false">22_2!G2</f>
        <v>-21938.15</v>
      </c>
      <c r="G4" s="221" t="n">
        <f aca="false">E4+F4+G3</f>
        <v>29257.53</v>
      </c>
      <c r="H4" s="35"/>
      <c r="I4" s="36" t="s">
        <v>38</v>
      </c>
      <c r="J4" s="0" t="n">
        <v>19.8</v>
      </c>
      <c r="M4" s="2" t="n">
        <v>19.8</v>
      </c>
    </row>
    <row r="5" customFormat="false" ht="12.75" hidden="false" customHeight="false" outlineLevel="0" collapsed="false">
      <c r="A5" s="0" t="s">
        <v>37</v>
      </c>
      <c r="B5" s="218" t="n">
        <f aca="false">'03'!D2</f>
        <v>36859.61</v>
      </c>
      <c r="C5" s="219" t="n">
        <f aca="false">'03'!E2</f>
        <v>-30109.3</v>
      </c>
      <c r="D5" s="220" t="n">
        <f aca="false">B5+C5+D4</f>
        <v>-4121.5</v>
      </c>
      <c r="E5" s="218" t="n">
        <f aca="false">'03'!F2</f>
        <v>35859.61</v>
      </c>
      <c r="F5" s="219" t="n">
        <f aca="false">'03'!G2</f>
        <v>-30109.3</v>
      </c>
      <c r="G5" s="221" t="n">
        <f aca="false">E5+F5+G4</f>
        <v>35007.84</v>
      </c>
      <c r="H5" s="35"/>
      <c r="I5" s="36" t="s">
        <v>76</v>
      </c>
      <c r="N5" s="2" t="n">
        <v>46.1</v>
      </c>
    </row>
    <row r="6" customFormat="false" ht="12.75" hidden="false" customHeight="false" outlineLevel="0" collapsed="false">
      <c r="A6" s="0" t="s">
        <v>39</v>
      </c>
      <c r="B6" s="218" t="n">
        <f aca="false">'04'!D2</f>
        <v>15937.59</v>
      </c>
      <c r="C6" s="219" t="n">
        <f aca="false">'04'!E2</f>
        <v>-11790.68</v>
      </c>
      <c r="D6" s="220" t="n">
        <f aca="false">B6+C6+D5</f>
        <v>25.409999999998</v>
      </c>
      <c r="E6" s="218" t="n">
        <f aca="false">'04'!F2</f>
        <v>17940.28</v>
      </c>
      <c r="F6" s="219" t="n">
        <f aca="false">'04'!G2</f>
        <v>-11140.68</v>
      </c>
      <c r="G6" s="221" t="n">
        <f aca="false">E6+F6+G5</f>
        <v>41807.44</v>
      </c>
      <c r="H6" s="35"/>
      <c r="I6" s="36" t="s">
        <v>48</v>
      </c>
      <c r="J6" s="0" t="n">
        <v>60</v>
      </c>
      <c r="M6" s="2" t="n">
        <v>6.5</v>
      </c>
    </row>
    <row r="7" customFormat="false" ht="12.75" hidden="false" customHeight="false" outlineLevel="0" collapsed="false">
      <c r="A7" s="0" t="s">
        <v>41</v>
      </c>
      <c r="B7" s="218" t="n">
        <f aca="false">'05'!D2</f>
        <v>11328.34</v>
      </c>
      <c r="C7" s="219" t="n">
        <f aca="false">'05'!E2</f>
        <v>-7712.66</v>
      </c>
      <c r="D7" s="220" t="n">
        <f aca="false">B7+C7+D6</f>
        <v>3641.09</v>
      </c>
      <c r="E7" s="218" t="n">
        <f aca="false">'05'!F2</f>
        <v>9522.37</v>
      </c>
      <c r="F7" s="219" t="n">
        <f aca="false">'05'!G2</f>
        <v>-7722.66</v>
      </c>
      <c r="G7" s="221" t="n">
        <f aca="false">E7+F7+G6</f>
        <v>43607.15</v>
      </c>
      <c r="H7" s="35"/>
      <c r="I7" s="36" t="s">
        <v>1330</v>
      </c>
      <c r="J7" s="0" t="n">
        <v>95</v>
      </c>
      <c r="M7" s="2" t="n">
        <v>23.75</v>
      </c>
    </row>
    <row r="8" customFormat="false" ht="12.75" hidden="false" customHeight="false" outlineLevel="0" collapsed="false">
      <c r="A8" s="0" t="s">
        <v>1331</v>
      </c>
      <c r="B8" s="218" t="n">
        <f aca="false">'06'!D2</f>
        <v>17837.05</v>
      </c>
      <c r="C8" s="219" t="n">
        <f aca="false">'06'!E2</f>
        <v>-28058.1</v>
      </c>
      <c r="D8" s="220" t="n">
        <f aca="false">B8+C8+D7</f>
        <v>-6579.96</v>
      </c>
      <c r="E8" s="218" t="n">
        <f aca="false">'06'!F2</f>
        <v>16654.19</v>
      </c>
      <c r="F8" s="219" t="n">
        <f aca="false">'06'!G2</f>
        <v>-28058.1</v>
      </c>
      <c r="G8" s="221" t="n">
        <f aca="false">E8+F8+G7</f>
        <v>32203.24</v>
      </c>
      <c r="H8" s="35"/>
    </row>
    <row r="9" customFormat="false" ht="12.75" hidden="false" customHeight="false" outlineLevel="0" collapsed="false">
      <c r="A9" s="0" t="s">
        <v>1332</v>
      </c>
      <c r="B9" s="218" t="n">
        <f aca="false">'07'!D2</f>
        <v>27131.07</v>
      </c>
      <c r="C9" s="219" t="n">
        <f aca="false">'07'!E2</f>
        <v>-17400.82</v>
      </c>
      <c r="D9" s="220" t="n">
        <f aca="false">B9+C9+D8</f>
        <v>3150.29</v>
      </c>
      <c r="E9" s="218" t="n">
        <f aca="false">'07'!F2</f>
        <v>16133.3</v>
      </c>
      <c r="F9" s="219" t="n">
        <f aca="false">'07'!G2</f>
        <v>-20600.82</v>
      </c>
      <c r="G9" s="221" t="n">
        <f aca="false">E9+F9+G8</f>
        <v>27735.72</v>
      </c>
      <c r="H9" s="35"/>
      <c r="I9" s="36" t="s">
        <v>52</v>
      </c>
      <c r="J9" s="0" t="n">
        <v>42</v>
      </c>
      <c r="K9" s="2" t="n">
        <f aca="false">J9*$K$1</f>
        <v>9.85782</v>
      </c>
      <c r="L9" s="2" t="n">
        <f aca="false">J9-K9</f>
        <v>32.14218</v>
      </c>
    </row>
    <row r="10" customFormat="false" ht="12.75" hidden="false" customHeight="false" outlineLevel="0" collapsed="false">
      <c r="A10" s="0" t="s">
        <v>1333</v>
      </c>
      <c r="B10" s="218" t="n">
        <f aca="false">'08'!D2</f>
        <v>34617.91</v>
      </c>
      <c r="C10" s="219" t="n">
        <f aca="false">'08'!E2</f>
        <v>-11695.35</v>
      </c>
      <c r="D10" s="220" t="n">
        <f aca="false">B10+C10+D9</f>
        <v>26072.85</v>
      </c>
      <c r="E10" s="218" t="n">
        <f aca="false">'08'!F2</f>
        <v>102061.66</v>
      </c>
      <c r="F10" s="219" t="n">
        <f aca="false">'08'!G2</f>
        <v>-33894.33</v>
      </c>
      <c r="G10" s="221" t="n">
        <f aca="false">E10+F10+G9</f>
        <v>95903.05</v>
      </c>
      <c r="H10" s="35"/>
      <c r="I10" s="36" t="s">
        <v>56</v>
      </c>
      <c r="J10" s="0" t="n">
        <v>84</v>
      </c>
      <c r="K10" s="2" t="n">
        <f aca="false">J10*$K$1</f>
        <v>19.71564</v>
      </c>
      <c r="L10" s="2" t="n">
        <f aca="false">J10-K10</f>
        <v>64.28436</v>
      </c>
    </row>
    <row r="11" customFormat="false" ht="12.75" hidden="false" customHeight="false" outlineLevel="0" collapsed="false">
      <c r="A11" s="0" t="s">
        <v>49</v>
      </c>
      <c r="B11" s="218" t="n">
        <f aca="false">'09'!D2</f>
        <v>66162.31</v>
      </c>
      <c r="C11" s="219" t="n">
        <f aca="false">'09'!E2</f>
        <v>-61978.72</v>
      </c>
      <c r="D11" s="220" t="n">
        <f aca="false">B11+C11+D10</f>
        <v>30256.44</v>
      </c>
      <c r="E11" s="218" t="n">
        <f aca="false">'09'!F2</f>
        <v>9260.5</v>
      </c>
      <c r="F11" s="219" t="n">
        <f aca="false">'09'!G2</f>
        <v>-25729.24</v>
      </c>
      <c r="G11" s="221" t="n">
        <f aca="false">E11+F11+G10</f>
        <v>79434.31</v>
      </c>
      <c r="H11" s="35"/>
      <c r="I11" s="36" t="s">
        <v>54</v>
      </c>
      <c r="J11" s="0" t="n">
        <v>84</v>
      </c>
      <c r="K11" s="2" t="n">
        <f aca="false">J11*$K$1</f>
        <v>19.71564</v>
      </c>
      <c r="L11" s="2" t="n">
        <f aca="false">J11-K11</f>
        <v>64.28436</v>
      </c>
    </row>
    <row r="12" customFormat="false" ht="12.75" hidden="false" customHeight="false" outlineLevel="0" collapsed="false">
      <c r="A12" s="0" t="s">
        <v>51</v>
      </c>
      <c r="B12" s="218" t="n">
        <f aca="false">'10'!D2</f>
        <v>23872.2</v>
      </c>
      <c r="C12" s="219" t="n">
        <f aca="false">'10'!E2</f>
        <v>-33587.82</v>
      </c>
      <c r="D12" s="220" t="n">
        <f aca="false">B12+C12+D11</f>
        <v>20540.82</v>
      </c>
      <c r="E12" s="218" t="n">
        <f aca="false">'10'!F2</f>
        <v>79418.41</v>
      </c>
      <c r="F12" s="219" t="n">
        <f aca="false">'10'!G2</f>
        <v>-90424.32</v>
      </c>
      <c r="G12" s="221" t="n">
        <f aca="false">E12+F12+G11</f>
        <v>68428.4</v>
      </c>
      <c r="H12" s="35"/>
      <c r="I12" s="36" t="s">
        <v>46</v>
      </c>
      <c r="J12" s="0" t="n">
        <v>45</v>
      </c>
      <c r="K12" s="2" t="n">
        <f aca="false">J12*$K$1</f>
        <v>10.56195</v>
      </c>
      <c r="L12" s="2" t="n">
        <f aca="false">J12-K12</f>
        <v>34.43805</v>
      </c>
      <c r="N12" s="341" t="n">
        <f aca="false">L15+M15+N15</f>
        <v>400.76679</v>
      </c>
    </row>
    <row r="13" customFormat="false" ht="12.75" hidden="false" customHeight="false" outlineLevel="0" collapsed="false">
      <c r="A13" s="0" t="s">
        <v>53</v>
      </c>
      <c r="B13" s="218" t="n">
        <f aca="false">'11'!D2</f>
        <v>179191.62</v>
      </c>
      <c r="C13" s="219" t="n">
        <f aca="false">'11'!E2</f>
        <v>-14175.82</v>
      </c>
      <c r="D13" s="220" t="n">
        <f aca="false">B13+C13+D12</f>
        <v>185556.62</v>
      </c>
      <c r="E13" s="218" t="n">
        <f aca="false">'11'!F2</f>
        <v>178439.6</v>
      </c>
      <c r="F13" s="219" t="n">
        <f aca="false">'11'!G2</f>
        <v>-18452.8</v>
      </c>
      <c r="G13" s="221" t="n">
        <f aca="false">E13+F13+G12</f>
        <v>228415.2</v>
      </c>
      <c r="H13" s="35"/>
      <c r="I13" s="36" t="s">
        <v>36</v>
      </c>
      <c r="J13" s="0" t="n">
        <v>48</v>
      </c>
      <c r="K13" s="2" t="n">
        <f aca="false">J13*$K$1</f>
        <v>11.26608</v>
      </c>
      <c r="L13" s="2" t="n">
        <f aca="false">J13-K13</f>
        <v>36.73392</v>
      </c>
      <c r="N13" s="342" t="n">
        <f aca="false">N12/12</f>
        <v>33.3972325</v>
      </c>
    </row>
    <row r="14" customFormat="false" ht="12.75" hidden="false" customHeight="false" outlineLevel="0" collapsed="false">
      <c r="A14" s="0" t="s">
        <v>55</v>
      </c>
      <c r="B14" s="218" t="n">
        <f aca="false">22_12!D2</f>
        <v>15475.96</v>
      </c>
      <c r="C14" s="219" t="n">
        <f aca="false">22_12!E2</f>
        <v>-16961.34</v>
      </c>
      <c r="D14" s="220" t="n">
        <f aca="false">B14+C14+D13</f>
        <v>184071.24</v>
      </c>
      <c r="E14" s="218" t="n">
        <f aca="false">22_12!F2</f>
        <v>22052.39</v>
      </c>
      <c r="F14" s="219" t="n">
        <f aca="false">22_12!G2</f>
        <v>-21692.25</v>
      </c>
      <c r="G14" s="221" t="n">
        <f aca="false">E14+F14+G13</f>
        <v>228775.34</v>
      </c>
      <c r="H14" s="35"/>
      <c r="I14" s="36" t="s">
        <v>50</v>
      </c>
      <c r="J14" s="0" t="n">
        <v>48</v>
      </c>
      <c r="K14" s="2" t="n">
        <f aca="false">J14*$K$1</f>
        <v>11.26608</v>
      </c>
      <c r="L14" s="2" t="n">
        <f aca="false">J14-K14</f>
        <v>36.73392</v>
      </c>
    </row>
    <row r="15" customFormat="false" ht="12.75" hidden="false" customHeight="false" outlineLevel="0" collapsed="false">
      <c r="A15" s="47" t="s">
        <v>67</v>
      </c>
      <c r="B15" s="224" t="n">
        <f aca="false">SUM(B3:B14)</f>
        <v>446314.05</v>
      </c>
      <c r="C15" s="225" t="n">
        <f aca="false">SUM(C3:C14)</f>
        <v>-262242.81</v>
      </c>
      <c r="D15" s="343" t="n">
        <f aca="false">B15+C15</f>
        <v>184071.24</v>
      </c>
      <c r="E15" s="224" t="n">
        <f aca="false">SUM(E3:E14)</f>
        <v>545372.04</v>
      </c>
      <c r="F15" s="225" t="n">
        <f aca="false">SUM(F3:F14)</f>
        <v>-316596.7</v>
      </c>
      <c r="G15" s="343" t="n">
        <f aca="false">E15+F15</f>
        <v>228775.34</v>
      </c>
      <c r="H15" s="35"/>
      <c r="I15" s="227"/>
      <c r="J15" s="227" t="n">
        <f aca="false">SUM(J9:J14)</f>
        <v>351</v>
      </c>
      <c r="K15" s="344" t="n">
        <f aca="false">SUM(K9:K14)</f>
        <v>82.38321</v>
      </c>
      <c r="L15" s="344" t="n">
        <f aca="false">SUM(L9:L14)</f>
        <v>268.61679</v>
      </c>
      <c r="M15" s="344" t="n">
        <f aca="false">SUM(M3:M14)</f>
        <v>86.05</v>
      </c>
      <c r="N15" s="344" t="n">
        <f aca="false">SUM(N3:N7)</f>
        <v>46.1</v>
      </c>
    </row>
    <row r="16" customFormat="false" ht="12.75" hidden="false" customHeight="false" outlineLevel="0" collapsed="false">
      <c r="A16" s="345" t="n">
        <v>12</v>
      </c>
      <c r="B16" s="346" t="n">
        <f aca="false">B15/A16</f>
        <v>37192.8375</v>
      </c>
      <c r="C16" s="347" t="n">
        <f aca="false">C15/A16</f>
        <v>-21853.5675</v>
      </c>
      <c r="D16" s="347"/>
      <c r="E16" s="347" t="n">
        <f aca="false">E15/A16</f>
        <v>45447.67</v>
      </c>
      <c r="F16" s="347" t="n">
        <f aca="false">F15/A16</f>
        <v>-26383.0583333333</v>
      </c>
      <c r="G16" s="347" t="n">
        <f aca="false">G15/A16</f>
        <v>19064.6116666667</v>
      </c>
      <c r="H16" s="57"/>
      <c r="I16" s="229"/>
      <c r="J16" s="347" t="n">
        <f aca="false">J15/12</f>
        <v>29.25</v>
      </c>
      <c r="K16" s="347" t="n">
        <f aca="false">K15/12</f>
        <v>6.8652675</v>
      </c>
      <c r="L16" s="347" t="n">
        <f aca="false">L15/12</f>
        <v>22.3847325</v>
      </c>
      <c r="M16" s="347" t="n">
        <f aca="false">M15/12</f>
        <v>7.17083333333333</v>
      </c>
      <c r="N16" s="347" t="n">
        <f aca="false">N15/12</f>
        <v>3.84166666666667</v>
      </c>
    </row>
    <row r="17" customFormat="false" ht="12.75" hidden="false" customHeight="false" outlineLevel="0" collapsed="false">
      <c r="C17" s="2"/>
      <c r="D17" s="2"/>
      <c r="G17" s="64"/>
      <c r="H17" s="64"/>
      <c r="I17" s="36"/>
    </row>
    <row r="18" customFormat="false" ht="12.75" hidden="false" customHeight="false" outlineLevel="0" collapsed="false">
      <c r="J18" s="36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6"/>
  <sheetViews>
    <sheetView showFormulas="false" showGridLines="true" showRowColHeaders="true" showZeros="true" rightToLeft="false" tabSelected="false" showOutlineSymbols="true" defaultGridColor="true" view="normal" topLeftCell="A10" colorId="64" zoomScale="170" zoomScaleNormal="170" zoomScalePageLayoutView="100" workbookViewId="0">
      <selection pane="topLeft" activeCell="A39" activeCellId="0" sqref="A39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9"/>
    <col collapsed="false" customWidth="true" hidden="false" outlineLevel="0" max="2" min="2" style="0" width="36.43"/>
    <col collapsed="false" customWidth="true" hidden="false" outlineLevel="0" max="3" min="3" style="0" width="3.29"/>
    <col collapsed="false" customWidth="true" hidden="false" outlineLevel="0" max="6" min="4" style="0" width="12.29"/>
    <col collapsed="false" customWidth="true" hidden="false" outlineLevel="0" max="7" min="7" style="2" width="12.29"/>
    <col collapsed="false" customWidth="true" hidden="false" outlineLevel="0" max="8" min="8" style="0" width="12.29"/>
    <col collapsed="false" customWidth="true" hidden="false" outlineLevel="0" max="9" min="9" style="0" width="9.14"/>
  </cols>
  <sheetData>
    <row r="1" customFormat="false" ht="12.75" hidden="false" customHeight="false" outlineLevel="0" collapsed="false">
      <c r="E1" s="194"/>
      <c r="F1" s="194" t="s">
        <v>28</v>
      </c>
      <c r="G1" s="348" t="s">
        <v>29</v>
      </c>
      <c r="H1" s="194" t="s">
        <v>3</v>
      </c>
    </row>
    <row r="2" customFormat="false" ht="12.75" hidden="false" customHeight="false" outlineLevel="0" collapsed="false">
      <c r="A2" s="3" t="s">
        <v>1334</v>
      </c>
      <c r="C2" s="81" t="s">
        <v>67</v>
      </c>
      <c r="D2" s="311" t="n">
        <f aca="false">SUM(D11:D62)</f>
        <v>15475.96</v>
      </c>
      <c r="E2" s="311" t="n">
        <f aca="false">SUM(E11:E94)</f>
        <v>-16961.34</v>
      </c>
      <c r="F2" s="311" t="n">
        <f aca="false">SUM(F11:F92)</f>
        <v>22052.39</v>
      </c>
      <c r="G2" s="349" t="n">
        <f aca="false">SUM(G11:G92)</f>
        <v>-21692.25</v>
      </c>
      <c r="H2" s="311" t="n">
        <f aca="false">F2+G2</f>
        <v>360.139999999999</v>
      </c>
    </row>
    <row r="3" customFormat="false" ht="12.75" hidden="false" customHeight="false" outlineLevel="0" collapsed="false">
      <c r="B3" s="18"/>
      <c r="H3" s="64"/>
    </row>
    <row r="4" customFormat="false" ht="12.75" hidden="false" customHeight="false" outlineLevel="0" collapsed="false">
      <c r="B4" s="18"/>
      <c r="H4" s="64" t="n">
        <f aca="false">H3+F11+G11</f>
        <v>680</v>
      </c>
    </row>
    <row r="5" customFormat="false" ht="12.75" hidden="false" customHeight="false" outlineLevel="0" collapsed="false">
      <c r="A5" s="102" t="n">
        <v>44897</v>
      </c>
      <c r="B5" s="103" t="s">
        <v>1335</v>
      </c>
      <c r="C5" s="103"/>
      <c r="D5" s="103"/>
      <c r="E5" s="64" t="n">
        <v>-200</v>
      </c>
      <c r="G5" s="2" t="n">
        <v>-214</v>
      </c>
      <c r="H5" s="64" t="n">
        <f aca="false">H4+F5+G5</f>
        <v>466</v>
      </c>
    </row>
    <row r="6" customFormat="false" ht="12.75" hidden="false" customHeight="false" outlineLevel="0" collapsed="false">
      <c r="A6" s="102" t="n">
        <v>44897</v>
      </c>
      <c r="B6" s="103" t="s">
        <v>1336</v>
      </c>
      <c r="C6" s="103"/>
      <c r="D6" s="103"/>
      <c r="E6" s="64" t="n">
        <v>-400</v>
      </c>
      <c r="G6" s="2" t="n">
        <v>-491</v>
      </c>
      <c r="H6" s="64" t="n">
        <f aca="false">H5+F6+G6</f>
        <v>-25</v>
      </c>
    </row>
    <row r="7" customFormat="false" ht="12.75" hidden="false" customHeight="false" outlineLevel="0" collapsed="false">
      <c r="B7" s="108"/>
      <c r="C7" s="108"/>
      <c r="D7" s="108"/>
      <c r="E7" s="64"/>
      <c r="H7" s="64" t="n">
        <f aca="false">H6+F7+G7</f>
        <v>-25</v>
      </c>
    </row>
    <row r="8" customFormat="false" ht="12.75" hidden="false" customHeight="false" outlineLevel="0" collapsed="false">
      <c r="A8" s="102" t="n">
        <v>44902</v>
      </c>
      <c r="B8" s="103" t="s">
        <v>1337</v>
      </c>
      <c r="C8" s="103"/>
      <c r="D8" s="103"/>
      <c r="E8" s="64" t="n">
        <v>-4300</v>
      </c>
      <c r="G8" s="2" t="n">
        <v>-4300</v>
      </c>
      <c r="H8" s="64" t="n">
        <f aca="false">H7+F8+G8</f>
        <v>-4325</v>
      </c>
    </row>
    <row r="9" customFormat="false" ht="12.75" hidden="false" customHeight="false" outlineLevel="0" collapsed="false">
      <c r="A9" s="102" t="n">
        <v>44902</v>
      </c>
      <c r="B9" s="103" t="s">
        <v>1338</v>
      </c>
      <c r="C9" s="103"/>
      <c r="D9" s="103"/>
      <c r="E9" s="64" t="n">
        <v>-496.5</v>
      </c>
      <c r="G9" s="2" t="n">
        <v>-496.5</v>
      </c>
      <c r="H9" s="64" t="n">
        <f aca="false">H8+F9+G9</f>
        <v>-4821.5</v>
      </c>
    </row>
    <row r="10" customFormat="false" ht="12.75" hidden="false" customHeight="false" outlineLevel="0" collapsed="false">
      <c r="B10" s="18"/>
      <c r="H10" s="64" t="n">
        <f aca="false">H9+F10+G10</f>
        <v>-4821.5</v>
      </c>
    </row>
    <row r="11" customFormat="false" ht="12.75" hidden="false" customHeight="false" outlineLevel="0" collapsed="false">
      <c r="B11" s="36" t="s">
        <v>1339</v>
      </c>
      <c r="D11" s="0" t="n">
        <v>693.79</v>
      </c>
      <c r="F11" s="64" t="n">
        <v>680</v>
      </c>
      <c r="H11" s="64" t="n">
        <f aca="false">H10+F11+G11</f>
        <v>-4141.5</v>
      </c>
    </row>
    <row r="12" customFormat="false" ht="12.75" hidden="false" customHeight="false" outlineLevel="0" collapsed="false">
      <c r="B12" s="36" t="s">
        <v>338</v>
      </c>
      <c r="D12" s="0" t="n">
        <v>1399.75</v>
      </c>
      <c r="E12" s="64"/>
      <c r="F12" s="64" t="n">
        <v>1400</v>
      </c>
      <c r="H12" s="64" t="n">
        <f aca="false">H11+F12+G12</f>
        <v>-2741.5</v>
      </c>
    </row>
    <row r="13" customFormat="false" ht="12.75" hidden="false" customHeight="false" outlineLevel="0" collapsed="false">
      <c r="B13" s="36" t="s">
        <v>339</v>
      </c>
      <c r="D13" s="0" t="n">
        <v>295.51</v>
      </c>
      <c r="E13" s="64"/>
      <c r="F13" s="64" t="n">
        <v>295</v>
      </c>
      <c r="H13" s="64" t="n">
        <f aca="false">H12+F13+G13</f>
        <v>-2446.5</v>
      </c>
    </row>
    <row r="14" customFormat="false" ht="12.75" hidden="false" customHeight="false" outlineLevel="0" collapsed="false">
      <c r="B14" s="36" t="s">
        <v>1340</v>
      </c>
      <c r="D14" s="0" t="n">
        <v>200</v>
      </c>
      <c r="E14" s="64"/>
      <c r="F14" s="332" t="n">
        <v>100</v>
      </c>
      <c r="H14" s="64" t="n">
        <f aca="false">H13+F14+G14</f>
        <v>-2346.5</v>
      </c>
    </row>
    <row r="15" customFormat="false" ht="12.75" hidden="false" customHeight="false" outlineLevel="0" collapsed="false">
      <c r="B15" s="36" t="s">
        <v>340</v>
      </c>
      <c r="D15" s="0" t="n">
        <v>1681.84</v>
      </c>
      <c r="E15" s="64"/>
      <c r="F15" s="64" t="n">
        <v>1680</v>
      </c>
      <c r="H15" s="64" t="n">
        <f aca="false">H14+F15+G15</f>
        <v>-666.5</v>
      </c>
    </row>
    <row r="16" customFormat="false" ht="12.75" hidden="false" customHeight="false" outlineLevel="0" collapsed="false">
      <c r="B16" s="36" t="s">
        <v>341</v>
      </c>
      <c r="D16" s="0" t="n">
        <v>1087.68</v>
      </c>
      <c r="F16" s="64" t="n">
        <v>1080</v>
      </c>
      <c r="H16" s="64" t="n">
        <f aca="false">H15+F16+G16</f>
        <v>413.5</v>
      </c>
    </row>
    <row r="17" customFormat="false" ht="12.75" hidden="false" customHeight="false" outlineLevel="0" collapsed="false">
      <c r="B17" s="36" t="s">
        <v>1341</v>
      </c>
      <c r="C17" s="108"/>
      <c r="D17" s="108" t="n">
        <v>200</v>
      </c>
      <c r="E17" s="64"/>
      <c r="F17" s="64" t="n">
        <v>200</v>
      </c>
      <c r="H17" s="64" t="n">
        <f aca="false">H16+F17+G17</f>
        <v>613.5</v>
      </c>
    </row>
    <row r="18" customFormat="false" ht="12.75" hidden="false" customHeight="false" outlineLevel="0" collapsed="false">
      <c r="B18" s="36" t="s">
        <v>342</v>
      </c>
      <c r="C18" s="108"/>
      <c r="D18" s="108" t="n">
        <v>217.89</v>
      </c>
      <c r="E18" s="64"/>
      <c r="F18" s="64" t="n">
        <v>217.89</v>
      </c>
      <c r="H18" s="64" t="n">
        <f aca="false">H17+F18+G18</f>
        <v>831.39</v>
      </c>
    </row>
    <row r="19" customFormat="false" ht="12.75" hidden="false" customHeight="false" outlineLevel="0" collapsed="false">
      <c r="B19" s="108" t="s">
        <v>1342</v>
      </c>
      <c r="C19" s="108"/>
      <c r="D19" s="108"/>
      <c r="E19" s="64" t="n">
        <v>-4516</v>
      </c>
      <c r="F19" s="64"/>
      <c r="G19" s="2" t="n">
        <v>-4516</v>
      </c>
      <c r="H19" s="64" t="n">
        <f aca="false">H18+F19+G19</f>
        <v>-3684.61</v>
      </c>
    </row>
    <row r="20" customFormat="false" ht="12.75" hidden="false" customHeight="false" outlineLevel="0" collapsed="false">
      <c r="B20" s="108"/>
      <c r="C20" s="108"/>
      <c r="D20" s="108"/>
      <c r="E20" s="168"/>
      <c r="F20" s="64"/>
      <c r="H20" s="64" t="n">
        <f aca="false">H19+F20+G20</f>
        <v>-3684.61</v>
      </c>
    </row>
    <row r="21" customFormat="false" ht="12.75" hidden="false" customHeight="false" outlineLevel="0" collapsed="false">
      <c r="A21" s="102" t="n">
        <v>44866</v>
      </c>
      <c r="B21" s="108" t="s">
        <v>1343</v>
      </c>
      <c r="C21" s="108"/>
      <c r="D21" s="108"/>
      <c r="E21" s="64" t="n">
        <v>-208.17</v>
      </c>
      <c r="F21" s="64"/>
      <c r="H21" s="64" t="n">
        <f aca="false">H20+F21+G21</f>
        <v>-3684.61</v>
      </c>
    </row>
    <row r="22" customFormat="false" ht="12.75" hidden="false" customHeight="false" outlineLevel="0" collapsed="false">
      <c r="A22" s="102" t="n">
        <v>44871</v>
      </c>
      <c r="B22" s="108" t="s">
        <v>1344</v>
      </c>
      <c r="C22" s="108"/>
      <c r="D22" s="108"/>
      <c r="E22" s="64" t="n">
        <v>-151.65</v>
      </c>
      <c r="F22" s="64"/>
      <c r="H22" s="64" t="n">
        <f aca="false">H21+F22+G22</f>
        <v>-3684.61</v>
      </c>
    </row>
    <row r="23" customFormat="false" ht="12.75" hidden="false" customHeight="false" outlineLevel="0" collapsed="false">
      <c r="A23" s="102" t="n">
        <v>44860</v>
      </c>
      <c r="B23" s="8" t="s">
        <v>1345</v>
      </c>
      <c r="E23" s="64" t="n">
        <v>-40</v>
      </c>
      <c r="F23" s="64"/>
      <c r="H23" s="64" t="n">
        <f aca="false">H22+F23+G23</f>
        <v>-3684.61</v>
      </c>
    </row>
    <row r="24" customFormat="false" ht="12.75" hidden="false" customHeight="false" outlineLevel="0" collapsed="false">
      <c r="A24" s="102" t="n">
        <v>44868</v>
      </c>
      <c r="B24" s="109" t="s">
        <v>1346</v>
      </c>
      <c r="C24" s="108"/>
      <c r="D24" s="108"/>
      <c r="E24" s="64" t="n">
        <v>-173.67</v>
      </c>
      <c r="F24" s="64"/>
      <c r="H24" s="64" t="n">
        <f aca="false">H23+F24+G24</f>
        <v>-3684.61</v>
      </c>
    </row>
    <row r="25" customFormat="false" ht="12.75" hidden="false" customHeight="false" outlineLevel="0" collapsed="false">
      <c r="A25" s="102" t="n">
        <v>44870</v>
      </c>
      <c r="B25" s="108" t="s">
        <v>1347</v>
      </c>
      <c r="C25" s="108"/>
      <c r="D25" s="108"/>
      <c r="E25" s="64" t="n">
        <v>-398.07</v>
      </c>
      <c r="F25" s="64"/>
      <c r="H25" s="64" t="n">
        <f aca="false">H24+F25+G25</f>
        <v>-3684.61</v>
      </c>
    </row>
    <row r="26" customFormat="false" ht="12.75" hidden="false" customHeight="false" outlineLevel="0" collapsed="false">
      <c r="A26" s="102" t="n">
        <v>44873</v>
      </c>
      <c r="B26" s="8" t="s">
        <v>1348</v>
      </c>
      <c r="C26" s="108"/>
      <c r="D26" s="108"/>
      <c r="E26" s="64" t="n">
        <v>-1111.11</v>
      </c>
      <c r="F26" s="64"/>
      <c r="H26" s="64" t="n">
        <f aca="false">H25+F26+G26</f>
        <v>-3684.61</v>
      </c>
    </row>
    <row r="27" customFormat="false" ht="12.75" hidden="false" customHeight="false" outlineLevel="0" collapsed="false">
      <c r="A27" s="102" t="n">
        <v>44888</v>
      </c>
      <c r="B27" s="8" t="s">
        <v>1349</v>
      </c>
      <c r="C27" s="108"/>
      <c r="D27" s="108"/>
      <c r="E27" s="64"/>
      <c r="F27" s="333" t="n">
        <v>1150</v>
      </c>
      <c r="H27" s="64" t="n">
        <f aca="false">H26+F27+G27</f>
        <v>-2534.61</v>
      </c>
    </row>
    <row r="28" customFormat="false" ht="12.75" hidden="false" customHeight="false" outlineLevel="0" collapsed="false">
      <c r="A28" s="102" t="n">
        <v>44875</v>
      </c>
      <c r="B28" s="108" t="s">
        <v>1350</v>
      </c>
      <c r="C28" s="108"/>
      <c r="D28" s="108"/>
      <c r="E28" s="64" t="n">
        <v>-279.99</v>
      </c>
      <c r="F28" s="64"/>
      <c r="H28" s="64" t="n">
        <f aca="false">H27+F28+G28</f>
        <v>-2534.61</v>
      </c>
    </row>
    <row r="29" customFormat="false" ht="12.75" hidden="false" customHeight="false" outlineLevel="0" collapsed="false">
      <c r="A29" s="102" t="n">
        <v>44875</v>
      </c>
      <c r="B29" s="108" t="s">
        <v>1351</v>
      </c>
      <c r="C29" s="108"/>
      <c r="D29" s="108"/>
      <c r="E29" s="64" t="n">
        <v>-89</v>
      </c>
      <c r="F29" s="64"/>
      <c r="H29" s="64" t="n">
        <f aca="false">H28+F29+G29</f>
        <v>-2534.61</v>
      </c>
    </row>
    <row r="30" customFormat="false" ht="12.75" hidden="false" customHeight="false" outlineLevel="0" collapsed="false">
      <c r="A30" s="102" t="n">
        <v>44875</v>
      </c>
      <c r="B30" s="108" t="s">
        <v>1352</v>
      </c>
      <c r="C30" s="108"/>
      <c r="D30" s="108"/>
      <c r="E30" s="64" t="n">
        <v>-189.9</v>
      </c>
      <c r="F30" s="64"/>
      <c r="H30" s="64" t="n">
        <f aca="false">H29+F30+G30</f>
        <v>-2534.61</v>
      </c>
    </row>
    <row r="31" customFormat="false" ht="12.75" hidden="false" customHeight="false" outlineLevel="0" collapsed="false">
      <c r="A31" s="102" t="n">
        <v>44875</v>
      </c>
      <c r="B31" s="108" t="s">
        <v>1353</v>
      </c>
      <c r="C31" s="108"/>
      <c r="D31" s="108"/>
      <c r="E31" s="64" t="n">
        <v>-2146.5</v>
      </c>
      <c r="F31" s="64"/>
      <c r="H31" s="64" t="n">
        <f aca="false">H30+F31+G31</f>
        <v>-2534.61</v>
      </c>
    </row>
    <row r="32" customFormat="false" ht="12.75" hidden="false" customHeight="false" outlineLevel="0" collapsed="false">
      <c r="A32" s="102" t="n">
        <v>44875</v>
      </c>
      <c r="B32" s="108" t="s">
        <v>1353</v>
      </c>
      <c r="C32" s="108"/>
      <c r="D32" s="108"/>
      <c r="E32" s="64" t="n">
        <v>-275</v>
      </c>
      <c r="F32" s="64"/>
      <c r="H32" s="64" t="n">
        <f aca="false">H31+F32+G32</f>
        <v>-2534.61</v>
      </c>
    </row>
    <row r="33" customFormat="false" ht="12.75" hidden="false" customHeight="false" outlineLevel="0" collapsed="false">
      <c r="A33" s="102" t="n">
        <v>44877</v>
      </c>
      <c r="B33" s="109" t="s">
        <v>1354</v>
      </c>
      <c r="C33" s="108"/>
      <c r="D33" s="108"/>
      <c r="E33" s="64" t="n">
        <v>-189.66</v>
      </c>
      <c r="F33" s="64"/>
      <c r="H33" s="64" t="n">
        <f aca="false">H32+F33+G33</f>
        <v>-2534.61</v>
      </c>
    </row>
    <row r="34" customFormat="false" ht="12.75" hidden="false" customHeight="false" outlineLevel="0" collapsed="false">
      <c r="A34" s="102" t="n">
        <v>44879</v>
      </c>
      <c r="B34" s="108" t="s">
        <v>1355</v>
      </c>
      <c r="C34" s="108"/>
      <c r="D34" s="108"/>
      <c r="E34" s="64" t="n">
        <v>-1720</v>
      </c>
      <c r="F34" s="64"/>
      <c r="H34" s="64" t="n">
        <f aca="false">H33+F34+G34</f>
        <v>-2534.61</v>
      </c>
    </row>
    <row r="35" customFormat="false" ht="12.75" hidden="false" customHeight="false" outlineLevel="0" collapsed="false">
      <c r="A35" s="102" t="n">
        <v>44882</v>
      </c>
      <c r="B35" s="109" t="s">
        <v>1356</v>
      </c>
      <c r="C35" s="108"/>
      <c r="D35" s="108"/>
      <c r="E35" s="64" t="n">
        <f aca="false">-204.04</f>
        <v>-204.04</v>
      </c>
      <c r="F35" s="64"/>
      <c r="H35" s="64" t="n">
        <f aca="false">H34+F35+G35</f>
        <v>-2534.61</v>
      </c>
    </row>
    <row r="36" customFormat="false" ht="12.75" hidden="false" customHeight="false" outlineLevel="0" collapsed="false">
      <c r="A36" s="102" t="n">
        <v>44887</v>
      </c>
      <c r="B36" s="108" t="s">
        <v>1357</v>
      </c>
      <c r="C36" s="108"/>
      <c r="D36" s="108"/>
      <c r="E36" s="64" t="n">
        <v>-90</v>
      </c>
      <c r="F36" s="64"/>
      <c r="H36" s="64" t="n">
        <f aca="false">H35+F36+G36</f>
        <v>-2534.61</v>
      </c>
    </row>
    <row r="37" customFormat="false" ht="12.75" hidden="false" customHeight="false" outlineLevel="0" collapsed="false">
      <c r="A37" s="102" t="n">
        <v>44887</v>
      </c>
      <c r="B37" s="108" t="s">
        <v>1358</v>
      </c>
      <c r="C37" s="108"/>
      <c r="D37" s="108"/>
      <c r="E37" s="64" t="n">
        <v>-678.58</v>
      </c>
      <c r="F37" s="64"/>
      <c r="H37" s="64" t="n">
        <f aca="false">H36+F37+G37</f>
        <v>-2534.61</v>
      </c>
    </row>
    <row r="38" customFormat="false" ht="12.75" hidden="false" customHeight="false" outlineLevel="0" collapsed="false">
      <c r="A38" s="102" t="n">
        <v>44900</v>
      </c>
      <c r="B38" s="108" t="s">
        <v>1359</v>
      </c>
      <c r="C38" s="108"/>
      <c r="D38" s="108"/>
      <c r="E38" s="168"/>
      <c r="F38" s="64"/>
      <c r="G38" s="2" t="n">
        <v>-7945.34</v>
      </c>
      <c r="H38" s="64" t="n">
        <f aca="false">H37+F38+G38</f>
        <v>-10479.95</v>
      </c>
    </row>
    <row r="39" customFormat="false" ht="12.75" hidden="false" customHeight="false" outlineLevel="0" collapsed="false">
      <c r="A39" s="102"/>
      <c r="B39" s="108"/>
      <c r="C39" s="108"/>
      <c r="D39" s="108"/>
      <c r="E39" s="168"/>
      <c r="F39" s="64"/>
      <c r="H39" s="64" t="n">
        <f aca="false">H38+F39+G39</f>
        <v>-10479.95</v>
      </c>
    </row>
    <row r="40" customFormat="false" ht="12.75" hidden="false" customHeight="false" outlineLevel="0" collapsed="false">
      <c r="A40" s="102" t="n">
        <v>44907</v>
      </c>
      <c r="B40" s="108" t="s">
        <v>1360</v>
      </c>
      <c r="C40" s="108"/>
      <c r="D40" s="108"/>
      <c r="E40" s="168"/>
      <c r="F40" s="64"/>
      <c r="G40" s="2" t="n">
        <v>-1000</v>
      </c>
      <c r="H40" s="64" t="n">
        <f aca="false">H39+F40+G40</f>
        <v>-11479.95</v>
      </c>
    </row>
    <row r="41" customFormat="false" ht="12.75" hidden="false" customHeight="false" outlineLevel="0" collapsed="false">
      <c r="A41" s="102" t="n">
        <v>44911</v>
      </c>
      <c r="B41" s="108" t="s">
        <v>1361</v>
      </c>
      <c r="C41" s="108"/>
      <c r="D41" s="64" t="n">
        <v>-200</v>
      </c>
      <c r="E41" s="168"/>
      <c r="F41" s="64"/>
      <c r="G41" s="2" t="n">
        <v>-1012.5</v>
      </c>
      <c r="H41" s="64" t="n">
        <f aca="false">H40+F41+G41</f>
        <v>-12492.45</v>
      </c>
    </row>
    <row r="42" customFormat="false" ht="12.75" hidden="false" customHeight="false" outlineLevel="0" collapsed="false">
      <c r="A42" s="102" t="n">
        <v>44911</v>
      </c>
      <c r="B42" s="108" t="s">
        <v>1362</v>
      </c>
      <c r="C42" s="108"/>
      <c r="D42" s="64" t="n">
        <v>-50</v>
      </c>
      <c r="E42" s="168"/>
      <c r="F42" s="64"/>
      <c r="G42" s="2" t="n">
        <v>-96.5</v>
      </c>
      <c r="H42" s="64" t="n">
        <f aca="false">H41+F42+G42</f>
        <v>-12588.95</v>
      </c>
    </row>
    <row r="43" customFormat="false" ht="12.75" hidden="false" customHeight="false" outlineLevel="0" collapsed="false">
      <c r="A43" s="102" t="n">
        <v>44911</v>
      </c>
      <c r="B43" s="108" t="s">
        <v>1363</v>
      </c>
      <c r="C43" s="108"/>
      <c r="D43" s="108"/>
      <c r="E43" s="168"/>
      <c r="F43" s="64"/>
      <c r="G43" s="2" t="n">
        <v>-123</v>
      </c>
      <c r="H43" s="64" t="n">
        <f aca="false">H42+F43+G43</f>
        <v>-12711.95</v>
      </c>
    </row>
    <row r="44" customFormat="false" ht="12.75" hidden="false" customHeight="false" outlineLevel="0" collapsed="false">
      <c r="A44" s="102" t="n">
        <v>44914</v>
      </c>
      <c r="B44" s="108" t="s">
        <v>1364</v>
      </c>
      <c r="C44" s="108"/>
      <c r="D44" s="108"/>
      <c r="E44" s="168"/>
      <c r="F44" s="333" t="n">
        <v>2500</v>
      </c>
      <c r="H44" s="64" t="n">
        <f aca="false">H43+F44+G44</f>
        <v>-10211.95</v>
      </c>
    </row>
    <row r="45" customFormat="false" ht="12.75" hidden="false" customHeight="false" outlineLevel="0" collapsed="false">
      <c r="A45" s="102"/>
      <c r="B45" s="108"/>
      <c r="C45" s="108"/>
      <c r="D45" s="108"/>
      <c r="E45" s="168"/>
      <c r="F45" s="64"/>
      <c r="H45" s="64" t="n">
        <f aca="false">H44+F45+G45</f>
        <v>-10211.95</v>
      </c>
    </row>
    <row r="46" customFormat="false" ht="12.75" hidden="false" customHeight="false" outlineLevel="0" collapsed="false">
      <c r="A46" s="102" t="n">
        <v>44908</v>
      </c>
      <c r="B46" s="109" t="s">
        <v>1365</v>
      </c>
      <c r="C46" s="108" t="s">
        <v>1366</v>
      </c>
      <c r="D46" s="108"/>
      <c r="E46" s="168"/>
      <c r="F46" s="64"/>
      <c r="G46" s="2" t="n">
        <v>-140</v>
      </c>
      <c r="H46" s="64" t="n">
        <f aca="false">H45+F46+G46</f>
        <v>-10351.95</v>
      </c>
    </row>
    <row r="47" customFormat="false" ht="12.75" hidden="false" customHeight="false" outlineLevel="0" collapsed="false">
      <c r="A47" s="102" t="n">
        <v>44910</v>
      </c>
      <c r="B47" s="109" t="s">
        <v>1367</v>
      </c>
      <c r="C47" s="108" t="s">
        <v>1366</v>
      </c>
      <c r="D47" s="108"/>
      <c r="E47" s="168"/>
      <c r="F47" s="64"/>
      <c r="G47" s="2" t="n">
        <v>-170</v>
      </c>
      <c r="H47" s="64" t="n">
        <f aca="false">H46+F47+G47</f>
        <v>-10521.95</v>
      </c>
    </row>
    <row r="48" customFormat="false" ht="12.75" hidden="false" customHeight="false" outlineLevel="0" collapsed="false">
      <c r="A48" s="102" t="n">
        <v>44921</v>
      </c>
      <c r="B48" s="108" t="s">
        <v>1368</v>
      </c>
      <c r="C48" s="108" t="s">
        <v>1369</v>
      </c>
      <c r="D48" s="108"/>
      <c r="E48" s="168"/>
      <c r="F48" s="64"/>
      <c r="G48" s="2" t="n">
        <v>-114.91</v>
      </c>
      <c r="H48" s="64" t="n">
        <f aca="false">H47+F48+G48</f>
        <v>-10636.86</v>
      </c>
    </row>
    <row r="49" customFormat="false" ht="12.75" hidden="false" customHeight="false" outlineLevel="0" collapsed="false">
      <c r="A49" s="102"/>
      <c r="B49" s="109"/>
      <c r="C49" s="108"/>
      <c r="D49" s="108"/>
      <c r="E49" s="168"/>
      <c r="F49" s="64"/>
      <c r="H49" s="64" t="n">
        <f aca="false">H48+F49+G49</f>
        <v>-10636.86</v>
      </c>
    </row>
    <row r="50" customFormat="false" ht="12.75" hidden="false" customHeight="false" outlineLevel="0" collapsed="false">
      <c r="A50" s="102" t="n">
        <v>44925</v>
      </c>
      <c r="B50" s="109" t="s">
        <v>1370</v>
      </c>
      <c r="C50" s="108"/>
      <c r="D50" s="108"/>
      <c r="E50" s="168"/>
      <c r="F50" s="64"/>
      <c r="G50" s="2" t="n">
        <v>-350</v>
      </c>
      <c r="H50" s="64" t="n">
        <f aca="false">H49+F50+G50</f>
        <v>-10986.86</v>
      </c>
    </row>
    <row r="51" customFormat="false" ht="12.75" hidden="false" customHeight="false" outlineLevel="0" collapsed="false">
      <c r="B51" s="0" t="s">
        <v>77</v>
      </c>
      <c r="E51" s="168" t="n">
        <v>-1500</v>
      </c>
      <c r="F51" s="64"/>
      <c r="G51" s="2" t="n">
        <v>-2112</v>
      </c>
      <c r="H51" s="64" t="n">
        <f aca="false">H50+F51+G51</f>
        <v>-13098.86</v>
      </c>
    </row>
    <row r="52" customFormat="false" ht="12.75" hidden="false" customHeight="false" outlineLevel="0" collapsed="false">
      <c r="B52" s="0" t="s">
        <v>78</v>
      </c>
      <c r="E52" s="168" t="n">
        <v>-1500</v>
      </c>
      <c r="F52" s="64"/>
      <c r="G52" s="2" t="n">
        <v>-2112</v>
      </c>
      <c r="H52" s="64" t="n">
        <f aca="false">H51+F52+G52</f>
        <v>-15210.86</v>
      </c>
    </row>
    <row r="53" customFormat="false" ht="12.75" hidden="false" customHeight="false" outlineLevel="0" collapsed="false">
      <c r="B53" s="0" t="s">
        <v>79</v>
      </c>
      <c r="E53" s="168" t="n">
        <v>-1500</v>
      </c>
      <c r="F53" s="64"/>
      <c r="G53" s="2" t="n">
        <v>-1500</v>
      </c>
      <c r="H53" s="64" t="n">
        <f aca="false">H52+F53+G53</f>
        <v>-16710.86</v>
      </c>
    </row>
    <row r="54" customFormat="false" ht="12.75" hidden="false" customHeight="false" outlineLevel="0" collapsed="false">
      <c r="B54" s="108"/>
      <c r="C54" s="108"/>
      <c r="D54" s="108"/>
      <c r="E54" s="64"/>
      <c r="F54" s="64"/>
      <c r="H54" s="64" t="n">
        <f aca="false">H53+F54+G54</f>
        <v>-16710.86</v>
      </c>
    </row>
    <row r="55" customFormat="false" ht="12.75" hidden="false" customHeight="false" outlineLevel="0" collapsed="false">
      <c r="B55" s="0" t="s">
        <v>76</v>
      </c>
      <c r="D55" s="191" t="n">
        <v>4299.5</v>
      </c>
      <c r="F55" s="64" t="n">
        <v>4299.5</v>
      </c>
      <c r="H55" s="64" t="n">
        <f aca="false">H54+F55+G55</f>
        <v>-12411.36</v>
      </c>
    </row>
    <row r="56" customFormat="false" ht="12.75" hidden="false" customHeight="false" outlineLevel="0" collapsed="false">
      <c r="A56" s="102" t="n">
        <v>44912</v>
      </c>
      <c r="B56" s="8" t="s">
        <v>681</v>
      </c>
      <c r="D56" s="191" t="n">
        <v>1650</v>
      </c>
      <c r="F56" s="64" t="n">
        <v>1650</v>
      </c>
      <c r="H56" s="64" t="n">
        <f aca="false">H55+F56+G56</f>
        <v>-10761.36</v>
      </c>
    </row>
    <row r="57" customFormat="false" ht="12.75" hidden="false" customHeight="false" outlineLevel="0" collapsed="false">
      <c r="A57" s="102"/>
      <c r="B57" s="8" t="s">
        <v>1371</v>
      </c>
      <c r="D57" s="191" t="n">
        <v>3000</v>
      </c>
      <c r="F57" s="64" t="n">
        <v>3000</v>
      </c>
      <c r="H57" s="64" t="n">
        <f aca="false">H56+F57+G57</f>
        <v>-7761.36</v>
      </c>
    </row>
    <row r="58" customFormat="false" ht="12.75" hidden="false" customHeight="false" outlineLevel="0" collapsed="false">
      <c r="B58" s="0" t="s">
        <v>1372</v>
      </c>
      <c r="D58" s="104" t="n">
        <v>1000</v>
      </c>
      <c r="H58" s="64" t="n">
        <f aca="false">H57+F58+G58</f>
        <v>-7761.36</v>
      </c>
    </row>
    <row r="59" customFormat="false" ht="12.75" hidden="false" customHeight="false" outlineLevel="0" collapsed="false">
      <c r="D59" s="104"/>
      <c r="F59" s="64"/>
      <c r="H59" s="64" t="n">
        <f aca="false">H58+F59+G59</f>
        <v>-7761.36</v>
      </c>
    </row>
    <row r="60" customFormat="false" ht="12.75" hidden="false" customHeight="false" outlineLevel="0" collapsed="false">
      <c r="A60" s="102" t="n">
        <v>44921</v>
      </c>
      <c r="B60" s="8" t="s">
        <v>1373</v>
      </c>
      <c r="D60" s="104"/>
      <c r="F60" s="2" t="n">
        <v>3300</v>
      </c>
      <c r="H60" s="64" t="n">
        <f aca="false">H59+F60+G60</f>
        <v>-4461.36</v>
      </c>
    </row>
    <row r="61" customFormat="false" ht="12.75" hidden="false" customHeight="false" outlineLevel="0" collapsed="false">
      <c r="A61" s="102" t="n">
        <v>44922</v>
      </c>
      <c r="B61" s="8" t="s">
        <v>1374</v>
      </c>
      <c r="D61" s="64"/>
      <c r="F61" s="64" t="n">
        <v>500</v>
      </c>
      <c r="H61" s="64" t="n">
        <f aca="false">H60+F61+G61</f>
        <v>-3961.36</v>
      </c>
    </row>
    <row r="62" customFormat="false" ht="12.75" hidden="false" customHeight="false" outlineLevel="0" collapsed="false">
      <c r="A62" s="102" t="n">
        <v>44922</v>
      </c>
      <c r="B62" s="108" t="s">
        <v>1375</v>
      </c>
      <c r="C62" s="108"/>
      <c r="D62" s="108"/>
      <c r="E62" s="168"/>
      <c r="F62" s="64"/>
      <c r="G62" s="64" t="n">
        <v>-500</v>
      </c>
      <c r="H62" s="64" t="n">
        <f aca="false">H61+F62+G62</f>
        <v>-4461.36</v>
      </c>
    </row>
    <row r="63" customFormat="false" ht="12.75" hidden="false" customHeight="false" outlineLevel="0" collapsed="false">
      <c r="E63" s="64"/>
      <c r="H63" s="64" t="n">
        <f aca="false">H62+F63+G63</f>
        <v>-4461.36</v>
      </c>
    </row>
    <row r="64" customFormat="false" ht="12.75" hidden="false" customHeight="false" outlineLevel="0" collapsed="false">
      <c r="B64" s="0" t="s">
        <v>1376</v>
      </c>
      <c r="E64" s="64"/>
      <c r="H64" s="64" t="n">
        <f aca="false">H63+F64+G64</f>
        <v>-4461.36</v>
      </c>
    </row>
    <row r="65" customFormat="false" ht="12.75" hidden="false" customHeight="false" outlineLevel="0" collapsed="false">
      <c r="E65" s="64"/>
      <c r="H65" s="64" t="n">
        <f aca="false">H64+F65+G65</f>
        <v>-4461.36</v>
      </c>
    </row>
    <row r="66" customFormat="false" ht="12.75" hidden="false" customHeight="false" outlineLevel="0" collapsed="false">
      <c r="E66" s="64"/>
      <c r="H66" s="64"/>
    </row>
    <row r="67" customFormat="false" ht="12.75" hidden="false" customHeight="false" outlineLevel="0" collapsed="false">
      <c r="H67" s="64"/>
    </row>
    <row r="68" customFormat="false" ht="12.75" hidden="false" customHeight="false" outlineLevel="0" collapsed="false">
      <c r="A68" s="282"/>
      <c r="B68" s="282"/>
      <c r="C68" s="282"/>
      <c r="D68" s="282"/>
      <c r="E68" s="64"/>
      <c r="H68" s="64"/>
    </row>
    <row r="69" customFormat="false" ht="12.75" hidden="false" customHeight="false" outlineLevel="0" collapsed="false">
      <c r="A69" s="350" t="n">
        <v>44871</v>
      </c>
      <c r="B69" s="282" t="s">
        <v>1377</v>
      </c>
      <c r="C69" s="282"/>
      <c r="D69" s="331" t="n">
        <v>200</v>
      </c>
      <c r="E69" s="64" t="s">
        <v>1378</v>
      </c>
      <c r="H69" s="64"/>
    </row>
    <row r="70" customFormat="false" ht="12.75" hidden="false" customHeight="false" outlineLevel="0" collapsed="false">
      <c r="A70" s="350" t="n">
        <v>44839</v>
      </c>
      <c r="B70" s="282" t="s">
        <v>1379</v>
      </c>
      <c r="C70" s="282"/>
      <c r="D70" s="331" t="n">
        <v>200</v>
      </c>
      <c r="E70" s="64" t="s">
        <v>1378</v>
      </c>
      <c r="H70" s="64"/>
    </row>
    <row r="71" customFormat="false" ht="12.75" hidden="false" customHeight="false" outlineLevel="0" collapsed="false">
      <c r="A71" s="350"/>
      <c r="B71" s="282"/>
      <c r="C71" s="282"/>
      <c r="D71" s="351"/>
      <c r="E71" s="64"/>
      <c r="H71" s="64"/>
    </row>
    <row r="72" customFormat="false" ht="12.75" hidden="false" customHeight="false" outlineLevel="0" collapsed="false">
      <c r="A72" s="350" t="n">
        <v>44650</v>
      </c>
      <c r="B72" s="282" t="s">
        <v>1260</v>
      </c>
      <c r="C72" s="282" t="n">
        <v>3</v>
      </c>
      <c r="D72" s="8" t="s">
        <v>1380</v>
      </c>
      <c r="E72" s="64"/>
    </row>
    <row r="73" customFormat="false" ht="12.75" hidden="false" customHeight="false" outlineLevel="0" collapsed="false">
      <c r="A73" s="350" t="n">
        <v>44844</v>
      </c>
      <c r="B73" s="282" t="s">
        <v>1262</v>
      </c>
      <c r="C73" s="176"/>
      <c r="D73" s="8" t="s">
        <v>1263</v>
      </c>
    </row>
    <row r="74" customFormat="false" ht="12.75" hidden="false" customHeight="false" outlineLevel="0" collapsed="false">
      <c r="D74" s="64"/>
    </row>
    <row r="76" customFormat="false" ht="12.75" hidden="false" customHeight="false" outlineLevel="0" collapsed="false">
      <c r="D76" s="64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A39"/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31" colorId="64" zoomScale="170" zoomScaleNormal="170" zoomScalePageLayoutView="100" workbookViewId="0">
      <selection pane="topLeft" activeCell="A27" activeCellId="0" sqref="A27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9"/>
    <col collapsed="false" customWidth="true" hidden="false" outlineLevel="0" max="2" min="2" style="0" width="36.43"/>
    <col collapsed="false" customWidth="true" hidden="false" outlineLevel="0" max="3" min="3" style="0" width="3.14"/>
    <col collapsed="false" customWidth="true" hidden="false" outlineLevel="0" max="8" min="4" style="0" width="12.29"/>
    <col collapsed="false" customWidth="true" hidden="false" outlineLevel="0" max="9" min="9" style="0" width="9.14"/>
  </cols>
  <sheetData>
    <row r="1" customFormat="false" ht="12.75" hidden="false" customHeight="false" outlineLevel="0" collapsed="false">
      <c r="B1" s="42" t="n">
        <v>5</v>
      </c>
      <c r="E1" s="194"/>
      <c r="F1" s="194" t="s">
        <v>28</v>
      </c>
      <c r="G1" s="194" t="s">
        <v>29</v>
      </c>
      <c r="H1" s="194" t="s">
        <v>3</v>
      </c>
    </row>
    <row r="2" customFormat="false" ht="12.75" hidden="false" customHeight="false" outlineLevel="0" collapsed="false">
      <c r="A2" s="3" t="s">
        <v>1381</v>
      </c>
      <c r="C2" s="81" t="s">
        <v>67</v>
      </c>
      <c r="D2" s="311" t="n">
        <f aca="false">SUM(D4:D52)</f>
        <v>179191.62</v>
      </c>
      <c r="E2" s="311" t="n">
        <f aca="false">SUM(E4:E73)</f>
        <v>-14175.82</v>
      </c>
      <c r="F2" s="311" t="n">
        <f aca="false">SUM(F4:F71)</f>
        <v>178439.6</v>
      </c>
      <c r="G2" s="311" t="n">
        <f aca="false">SUM(G4:G71)</f>
        <v>-18452.8</v>
      </c>
      <c r="H2" s="311" t="n">
        <f aca="false">F2+G2</f>
        <v>159986.8</v>
      </c>
    </row>
    <row r="3" customFormat="false" ht="12.75" hidden="false" customHeight="false" outlineLevel="0" collapsed="false">
      <c r="B3" s="18"/>
      <c r="D3" s="191"/>
      <c r="E3" s="191"/>
      <c r="F3" s="191"/>
      <c r="G3" s="191"/>
      <c r="H3" s="64"/>
    </row>
    <row r="4" customFormat="false" ht="12.75" hidden="false" customHeight="false" outlineLevel="0" collapsed="false">
      <c r="D4" s="191"/>
      <c r="E4" s="191"/>
      <c r="F4" s="104"/>
      <c r="G4" s="191"/>
      <c r="H4" s="64" t="n">
        <f aca="false">H3+F4+G4</f>
        <v>0</v>
      </c>
    </row>
    <row r="5" customFormat="false" ht="12.75" hidden="false" customHeight="false" outlineLevel="0" collapsed="false">
      <c r="A5" s="102" t="n">
        <v>44874</v>
      </c>
      <c r="B5" s="8" t="s">
        <v>338</v>
      </c>
      <c r="D5" s="191" t="n">
        <v>1221.41</v>
      </c>
      <c r="E5" s="191"/>
      <c r="F5" s="191" t="n">
        <v>1220</v>
      </c>
      <c r="G5" s="191"/>
      <c r="H5" s="64" t="n">
        <f aca="false">H4+F5+G5</f>
        <v>1220</v>
      </c>
    </row>
    <row r="6" customFormat="false" ht="12.75" hidden="false" customHeight="false" outlineLevel="0" collapsed="false">
      <c r="A6" s="102" t="n">
        <v>44874</v>
      </c>
      <c r="B6" s="8" t="s">
        <v>339</v>
      </c>
      <c r="D6" s="191" t="n">
        <v>98.9</v>
      </c>
      <c r="E6" s="191"/>
      <c r="F6" s="191" t="n">
        <v>98</v>
      </c>
      <c r="G6" s="191"/>
      <c r="H6" s="64" t="n">
        <f aca="false">H5+F6+G6</f>
        <v>1318</v>
      </c>
    </row>
    <row r="7" customFormat="false" ht="12.75" hidden="false" customHeight="false" outlineLevel="0" collapsed="false">
      <c r="A7" s="102" t="n">
        <v>44871</v>
      </c>
      <c r="B7" s="8" t="s">
        <v>1377</v>
      </c>
      <c r="D7" s="104" t="n">
        <v>200</v>
      </c>
      <c r="E7" s="191"/>
      <c r="F7" s="191"/>
      <c r="G7" s="191"/>
      <c r="H7" s="64" t="n">
        <f aca="false">H6+F7+G7</f>
        <v>1318</v>
      </c>
    </row>
    <row r="8" customFormat="false" ht="12.75" hidden="false" customHeight="false" outlineLevel="0" collapsed="false">
      <c r="A8" s="102" t="n">
        <v>44874</v>
      </c>
      <c r="B8" s="8" t="s">
        <v>340</v>
      </c>
      <c r="D8" s="191" t="n">
        <v>1182.16</v>
      </c>
      <c r="E8" s="191"/>
      <c r="F8" s="191" t="n">
        <v>1182.15</v>
      </c>
      <c r="G8" s="191"/>
      <c r="H8" s="64" t="n">
        <f aca="false">H7+F8+G8</f>
        <v>2500.15</v>
      </c>
    </row>
    <row r="9" customFormat="false" ht="12.75" hidden="false" customHeight="false" outlineLevel="0" collapsed="false">
      <c r="A9" s="102" t="n">
        <v>44874</v>
      </c>
      <c r="B9" s="8" t="s">
        <v>341</v>
      </c>
      <c r="D9" s="191" t="n">
        <v>289.7</v>
      </c>
      <c r="E9" s="191"/>
      <c r="F9" s="191" t="n">
        <v>290</v>
      </c>
      <c r="G9" s="191"/>
      <c r="H9" s="64" t="n">
        <f aca="false">H8+F9+G9</f>
        <v>2790.15</v>
      </c>
    </row>
    <row r="10" customFormat="false" ht="12.75" hidden="false" customHeight="false" outlineLevel="0" collapsed="false">
      <c r="A10" s="102" t="n">
        <v>44874</v>
      </c>
      <c r="B10" s="8" t="s">
        <v>1382</v>
      </c>
      <c r="D10" s="191" t="n">
        <v>200</v>
      </c>
      <c r="E10" s="191"/>
      <c r="F10" s="191" t="n">
        <v>200</v>
      </c>
      <c r="G10" s="191"/>
      <c r="H10" s="64" t="n">
        <f aca="false">H9+F10+G10</f>
        <v>2990.15</v>
      </c>
    </row>
    <row r="11" customFormat="false" ht="12.75" hidden="false" customHeight="false" outlineLevel="0" collapsed="false">
      <c r="A11" s="102" t="n">
        <v>44874</v>
      </c>
      <c r="B11" s="8" t="s">
        <v>342</v>
      </c>
      <c r="D11" s="191" t="n">
        <v>49.95</v>
      </c>
      <c r="E11" s="191"/>
      <c r="F11" s="191" t="n">
        <v>49.95</v>
      </c>
      <c r="G11" s="191"/>
      <c r="H11" s="64" t="n">
        <f aca="false">H10+F11+G11</f>
        <v>3040.1</v>
      </c>
    </row>
    <row r="12" customFormat="false" ht="12.75" hidden="false" customHeight="false" outlineLevel="0" collapsed="false">
      <c r="A12" s="102" t="n">
        <v>44875</v>
      </c>
      <c r="B12" s="108" t="s">
        <v>1342</v>
      </c>
      <c r="C12" s="108"/>
      <c r="D12" s="352"/>
      <c r="E12" s="191" t="n">
        <v>-1500</v>
      </c>
      <c r="F12" s="191"/>
      <c r="G12" s="191" t="n">
        <v>-2334</v>
      </c>
      <c r="H12" s="64" t="n">
        <f aca="false">H11+F12+G12</f>
        <v>706.1</v>
      </c>
    </row>
    <row r="13" customFormat="false" ht="12.75" hidden="false" customHeight="false" outlineLevel="0" collapsed="false">
      <c r="A13" s="102" t="n">
        <v>44872</v>
      </c>
      <c r="B13" s="8" t="s">
        <v>1383</v>
      </c>
      <c r="D13" s="191"/>
      <c r="E13" s="191"/>
      <c r="F13" s="191" t="n">
        <v>200</v>
      </c>
      <c r="G13" s="191"/>
      <c r="H13" s="64" t="n">
        <f aca="false">H12+F13+G13</f>
        <v>906.1</v>
      </c>
    </row>
    <row r="14" customFormat="false" ht="12.75" hidden="false" customHeight="false" outlineLevel="0" collapsed="false">
      <c r="D14" s="191"/>
      <c r="E14" s="191"/>
      <c r="F14" s="191"/>
      <c r="G14" s="191"/>
      <c r="H14" s="64" t="n">
        <f aca="false">H13+F14+G14</f>
        <v>906.1</v>
      </c>
    </row>
    <row r="15" customFormat="false" ht="12.75" hidden="false" customHeight="false" outlineLevel="0" collapsed="false">
      <c r="A15" s="102" t="n">
        <v>44868</v>
      </c>
      <c r="B15" s="103" t="s">
        <v>1335</v>
      </c>
      <c r="C15" s="103"/>
      <c r="D15" s="352"/>
      <c r="E15" s="191" t="n">
        <v>-200</v>
      </c>
      <c r="F15" s="191"/>
      <c r="G15" s="191" t="n">
        <v>-255</v>
      </c>
      <c r="H15" s="64" t="n">
        <f aca="false">H14+F15+G15</f>
        <v>651.1</v>
      </c>
    </row>
    <row r="16" customFormat="false" ht="12.75" hidden="false" customHeight="false" outlineLevel="0" collapsed="false">
      <c r="A16" s="102" t="n">
        <v>44868</v>
      </c>
      <c r="B16" s="103" t="s">
        <v>1336</v>
      </c>
      <c r="C16" s="103"/>
      <c r="D16" s="352"/>
      <c r="E16" s="191" t="n">
        <v>-400</v>
      </c>
      <c r="F16" s="191"/>
      <c r="G16" s="191" t="n">
        <v>-536</v>
      </c>
      <c r="H16" s="64" t="n">
        <f aca="false">H15+F16+G16</f>
        <v>115.1</v>
      </c>
    </row>
    <row r="17" customFormat="false" ht="12.75" hidden="false" customHeight="false" outlineLevel="0" collapsed="false">
      <c r="B17" s="103"/>
      <c r="C17" s="103"/>
      <c r="D17" s="352"/>
      <c r="E17" s="104"/>
      <c r="F17" s="191"/>
      <c r="G17" s="191"/>
      <c r="H17" s="64" t="n">
        <f aca="false">H16+F17+G17</f>
        <v>115.1</v>
      </c>
    </row>
    <row r="18" customFormat="false" ht="12.75" hidden="false" customHeight="false" outlineLevel="0" collapsed="false">
      <c r="A18" s="102" t="n">
        <v>44873</v>
      </c>
      <c r="B18" s="103" t="s">
        <v>1384</v>
      </c>
      <c r="C18" s="103"/>
      <c r="D18" s="352"/>
      <c r="E18" s="104"/>
      <c r="F18" s="191"/>
      <c r="G18" s="191" t="n">
        <v>-1250</v>
      </c>
      <c r="H18" s="64" t="n">
        <f aca="false">H17+F18+G18</f>
        <v>-1134.9</v>
      </c>
    </row>
    <row r="19" customFormat="false" ht="12.75" hidden="false" customHeight="false" outlineLevel="0" collapsed="false">
      <c r="B19" s="108" t="s">
        <v>1385</v>
      </c>
      <c r="C19" s="108"/>
      <c r="D19" s="352"/>
      <c r="E19" s="104"/>
      <c r="F19" s="353" t="n">
        <v>1250</v>
      </c>
      <c r="G19" s="191"/>
      <c r="H19" s="64" t="n">
        <f aca="false">H18+F19+G19</f>
        <v>115.1</v>
      </c>
    </row>
    <row r="20" customFormat="false" ht="12.75" hidden="false" customHeight="false" outlineLevel="0" collapsed="false">
      <c r="A20" s="102" t="n">
        <v>44872</v>
      </c>
      <c r="B20" s="103" t="s">
        <v>1386</v>
      </c>
      <c r="C20" s="103"/>
      <c r="D20" s="352"/>
      <c r="E20" s="191" t="n">
        <v>-4300</v>
      </c>
      <c r="F20" s="104"/>
      <c r="G20" s="191" t="n">
        <v>-4150</v>
      </c>
      <c r="H20" s="64" t="n">
        <f aca="false">H19+F20+G20</f>
        <v>-4034.9</v>
      </c>
    </row>
    <row r="21" customFormat="false" ht="12.75" hidden="false" customHeight="false" outlineLevel="0" collapsed="false">
      <c r="A21" s="102" t="n">
        <v>44872</v>
      </c>
      <c r="B21" s="103" t="s">
        <v>1387</v>
      </c>
      <c r="C21" s="103"/>
      <c r="D21" s="352"/>
      <c r="E21" s="191" t="n">
        <v>-496.5</v>
      </c>
      <c r="F21" s="104"/>
      <c r="G21" s="191" t="n">
        <v>-496.5</v>
      </c>
      <c r="H21" s="64" t="n">
        <f aca="false">H20+F21+G21</f>
        <v>-4531.4</v>
      </c>
    </row>
    <row r="22" customFormat="false" ht="12.75" hidden="false" customHeight="false" outlineLevel="0" collapsed="false">
      <c r="B22" s="108"/>
      <c r="C22" s="108"/>
      <c r="D22" s="352"/>
      <c r="E22" s="104"/>
      <c r="F22" s="191"/>
      <c r="G22" s="191"/>
      <c r="H22" s="64" t="n">
        <f aca="false">H21+F22+G22</f>
        <v>-4531.4</v>
      </c>
    </row>
    <row r="23" customFormat="false" ht="12.75" hidden="false" customHeight="false" outlineLevel="0" collapsed="false">
      <c r="A23" s="102" t="n">
        <v>44830</v>
      </c>
      <c r="B23" s="108" t="s">
        <v>1388</v>
      </c>
      <c r="C23" s="108"/>
      <c r="D23" s="352"/>
      <c r="E23" s="191" t="n">
        <v>-112.67</v>
      </c>
      <c r="F23" s="191"/>
      <c r="G23" s="191"/>
      <c r="H23" s="64" t="n">
        <f aca="false">H22+F23+G23</f>
        <v>-4531.4</v>
      </c>
    </row>
    <row r="24" customFormat="false" ht="12.75" hidden="false" customHeight="false" outlineLevel="0" collapsed="false">
      <c r="A24" s="102" t="n">
        <v>44835</v>
      </c>
      <c r="B24" s="108" t="s">
        <v>1389</v>
      </c>
      <c r="C24" s="108"/>
      <c r="D24" s="352"/>
      <c r="E24" s="191" t="n">
        <v>-754.45</v>
      </c>
      <c r="F24" s="191"/>
      <c r="G24" s="191"/>
      <c r="H24" s="64" t="n">
        <f aca="false">H23+F24+G24</f>
        <v>-4531.4</v>
      </c>
    </row>
    <row r="25" customFormat="false" ht="12.75" hidden="false" customHeight="false" outlineLevel="0" collapsed="false">
      <c r="A25" s="102" t="n">
        <v>44835</v>
      </c>
      <c r="B25" s="108" t="s">
        <v>1390</v>
      </c>
      <c r="C25" s="108"/>
      <c r="D25" s="352"/>
      <c r="E25" s="191" t="n">
        <v>-208.17</v>
      </c>
      <c r="F25" s="191"/>
      <c r="G25" s="191"/>
      <c r="H25" s="64" t="n">
        <f aca="false">H24+F25+G25</f>
        <v>-4531.4</v>
      </c>
    </row>
    <row r="26" customFormat="false" ht="12.75" hidden="false" customHeight="false" outlineLevel="0" collapsed="false">
      <c r="A26" s="102" t="n">
        <v>44840</v>
      </c>
      <c r="B26" s="108" t="s">
        <v>1391</v>
      </c>
      <c r="C26" s="108"/>
      <c r="D26" s="352"/>
      <c r="E26" s="191" t="n">
        <v>-151.65</v>
      </c>
      <c r="F26" s="191"/>
      <c r="G26" s="191"/>
      <c r="H26" s="64" t="n">
        <f aca="false">H25+F26+G26</f>
        <v>-4531.4</v>
      </c>
    </row>
    <row r="27" customFormat="false" ht="12.75" hidden="false" customHeight="false" outlineLevel="0" collapsed="false">
      <c r="A27" s="102" t="n">
        <v>44833</v>
      </c>
      <c r="B27" s="8" t="s">
        <v>1392</v>
      </c>
      <c r="D27" s="191"/>
      <c r="E27" s="191" t="n">
        <v>-721.38</v>
      </c>
      <c r="F27" s="191"/>
      <c r="G27" s="191"/>
      <c r="H27" s="64" t="n">
        <f aca="false">H26+F27+G27</f>
        <v>-4531.4</v>
      </c>
    </row>
    <row r="28" customFormat="false" ht="12.75" hidden="false" customHeight="false" outlineLevel="0" collapsed="false">
      <c r="A28" s="102" t="n">
        <v>44850</v>
      </c>
      <c r="B28" s="108" t="s">
        <v>1393</v>
      </c>
      <c r="C28" s="108"/>
      <c r="D28" s="352"/>
      <c r="E28" s="191" t="n">
        <v>-500</v>
      </c>
      <c r="F28" s="191"/>
      <c r="G28" s="191"/>
      <c r="H28" s="64" t="n">
        <f aca="false">H27+F28+G28</f>
        <v>-4531.4</v>
      </c>
    </row>
    <row r="29" customFormat="false" ht="12.75" hidden="false" customHeight="false" outlineLevel="0" collapsed="false">
      <c r="A29" s="102" t="n">
        <v>44857</v>
      </c>
      <c r="B29" s="108" t="s">
        <v>1236</v>
      </c>
      <c r="C29" s="108"/>
      <c r="D29" s="352"/>
      <c r="E29" s="191" t="n">
        <v>-80</v>
      </c>
      <c r="F29" s="191"/>
      <c r="G29" s="191"/>
      <c r="H29" s="64" t="n">
        <f aca="false">H28+F29+G29</f>
        <v>-4531.4</v>
      </c>
    </row>
    <row r="30" customFormat="false" ht="12.75" hidden="false" customHeight="false" outlineLevel="0" collapsed="false">
      <c r="A30" s="102" t="n">
        <v>44869</v>
      </c>
      <c r="B30" s="108" t="s">
        <v>1394</v>
      </c>
      <c r="C30" s="108"/>
      <c r="D30" s="352"/>
      <c r="E30" s="104"/>
      <c r="F30" s="191"/>
      <c r="G30" s="191" t="n">
        <v>-2528.3</v>
      </c>
      <c r="H30" s="64" t="n">
        <f aca="false">H29+F30+G30</f>
        <v>-7059.7</v>
      </c>
    </row>
    <row r="31" customFormat="false" ht="12.75" hidden="false" customHeight="false" outlineLevel="0" collapsed="false">
      <c r="B31" s="108"/>
      <c r="C31" s="108"/>
      <c r="D31" s="352"/>
      <c r="E31" s="104"/>
      <c r="F31" s="191"/>
      <c r="G31" s="191"/>
      <c r="H31" s="64" t="n">
        <f aca="false">H30+F31+G31</f>
        <v>-7059.7</v>
      </c>
    </row>
    <row r="32" customFormat="false" ht="12.75" hidden="false" customHeight="false" outlineLevel="0" collapsed="false">
      <c r="B32" s="108" t="s">
        <v>1395</v>
      </c>
      <c r="C32" s="108"/>
      <c r="D32" s="352"/>
      <c r="E32" s="191" t="n">
        <v>-200</v>
      </c>
      <c r="F32" s="191"/>
      <c r="G32" s="191" t="n">
        <v>-569</v>
      </c>
      <c r="H32" s="64" t="n">
        <f aca="false">H31+F32+G32</f>
        <v>-7628.7</v>
      </c>
    </row>
    <row r="33" customFormat="false" ht="12.75" hidden="false" customHeight="false" outlineLevel="0" collapsed="false">
      <c r="B33" s="108" t="s">
        <v>1396</v>
      </c>
      <c r="C33" s="108"/>
      <c r="D33" s="352"/>
      <c r="E33" s="191" t="n">
        <v>-51</v>
      </c>
      <c r="F33" s="191"/>
      <c r="G33" s="191" t="n">
        <v>-51</v>
      </c>
      <c r="H33" s="64" t="n">
        <f aca="false">H32+F33+G33</f>
        <v>-7679.7</v>
      </c>
    </row>
    <row r="34" customFormat="false" ht="12.75" hidden="false" customHeight="false" outlineLevel="0" collapsed="false">
      <c r="B34" s="108"/>
      <c r="C34" s="108"/>
      <c r="D34" s="352"/>
      <c r="E34" s="191"/>
      <c r="F34" s="191"/>
      <c r="G34" s="191"/>
      <c r="H34" s="64" t="n">
        <f aca="false">H33+F34+G34</f>
        <v>-7679.7</v>
      </c>
    </row>
    <row r="35" customFormat="false" ht="12.75" hidden="false" customHeight="false" outlineLevel="0" collapsed="false">
      <c r="A35" s="102" t="n">
        <v>44890</v>
      </c>
      <c r="B35" s="109" t="s">
        <v>1397</v>
      </c>
      <c r="C35" s="108"/>
      <c r="D35" s="352"/>
      <c r="E35" s="191"/>
      <c r="F35" s="191"/>
      <c r="G35" s="191" t="n">
        <v>-175</v>
      </c>
      <c r="H35" s="64" t="n">
        <f aca="false">H34+F35+G35</f>
        <v>-7854.7</v>
      </c>
    </row>
    <row r="36" customFormat="false" ht="12.75" hidden="false" customHeight="false" outlineLevel="0" collapsed="false">
      <c r="A36" s="102" t="n">
        <v>44891</v>
      </c>
      <c r="B36" s="109" t="s">
        <v>1398</v>
      </c>
      <c r="C36" s="108"/>
      <c r="D36" s="352"/>
      <c r="E36" s="191"/>
      <c r="F36" s="191"/>
      <c r="G36" s="191" t="n">
        <v>-204</v>
      </c>
      <c r="H36" s="64" t="n">
        <f aca="false">H35+F36+G36</f>
        <v>-8058.7</v>
      </c>
    </row>
    <row r="37" customFormat="false" ht="12.75" hidden="false" customHeight="false" outlineLevel="0" collapsed="false">
      <c r="A37" s="102" t="n">
        <v>44894</v>
      </c>
      <c r="B37" s="109" t="s">
        <v>1399</v>
      </c>
      <c r="C37" s="108"/>
      <c r="D37" s="352"/>
      <c r="E37" s="191"/>
      <c r="F37" s="191"/>
      <c r="G37" s="191" t="n">
        <v>-182</v>
      </c>
      <c r="H37" s="64" t="n">
        <f aca="false">H36+F37+G37</f>
        <v>-8240.7</v>
      </c>
    </row>
    <row r="38" customFormat="false" ht="12.75" hidden="false" customHeight="false" outlineLevel="0" collapsed="false">
      <c r="B38" s="108"/>
      <c r="C38" s="108"/>
      <c r="D38" s="352"/>
      <c r="E38" s="104"/>
      <c r="F38" s="191"/>
      <c r="G38" s="191"/>
      <c r="H38" s="64" t="n">
        <f aca="false">H37+F38+G38</f>
        <v>-8240.7</v>
      </c>
    </row>
    <row r="39" customFormat="false" ht="12.75" hidden="false" customHeight="false" outlineLevel="0" collapsed="false">
      <c r="B39" s="0" t="s">
        <v>77</v>
      </c>
      <c r="D39" s="191"/>
      <c r="E39" s="104" t="n">
        <v>-1500</v>
      </c>
      <c r="F39" s="191"/>
      <c r="G39" s="191" t="n">
        <v>-2111</v>
      </c>
      <c r="H39" s="64" t="n">
        <f aca="false">H38+F39+G39</f>
        <v>-10351.7</v>
      </c>
    </row>
    <row r="40" customFormat="false" ht="12.75" hidden="false" customHeight="false" outlineLevel="0" collapsed="false">
      <c r="B40" s="0" t="s">
        <v>78</v>
      </c>
      <c r="D40" s="191"/>
      <c r="E40" s="104" t="n">
        <v>-1500</v>
      </c>
      <c r="F40" s="191"/>
      <c r="G40" s="191" t="n">
        <v>-2111</v>
      </c>
      <c r="H40" s="64" t="n">
        <f aca="false">H39+F40+G40</f>
        <v>-12462.7</v>
      </c>
    </row>
    <row r="41" customFormat="false" ht="12.75" hidden="false" customHeight="false" outlineLevel="0" collapsed="false">
      <c r="B41" s="0" t="s">
        <v>79</v>
      </c>
      <c r="D41" s="191"/>
      <c r="E41" s="104" t="n">
        <v>-1500</v>
      </c>
      <c r="F41" s="191"/>
      <c r="G41" s="191" t="n">
        <v>-1500</v>
      </c>
      <c r="H41" s="64" t="n">
        <f aca="false">H40+F41+G41</f>
        <v>-13962.7</v>
      </c>
    </row>
    <row r="42" customFormat="false" ht="12.75" hidden="false" customHeight="false" outlineLevel="0" collapsed="false">
      <c r="D42" s="191"/>
      <c r="E42" s="191"/>
      <c r="F42" s="191"/>
      <c r="G42" s="191"/>
      <c r="H42" s="64" t="n">
        <f aca="false">H41+F42+G42</f>
        <v>-13962.7</v>
      </c>
    </row>
    <row r="43" customFormat="false" ht="12.75" hidden="false" customHeight="false" outlineLevel="0" collapsed="false">
      <c r="B43" s="0" t="s">
        <v>76</v>
      </c>
      <c r="D43" s="191" t="n">
        <v>4299.5</v>
      </c>
      <c r="E43" s="191"/>
      <c r="F43" s="191" t="n">
        <v>4299.5</v>
      </c>
      <c r="G43" s="191"/>
      <c r="H43" s="64" t="n">
        <f aca="false">H42+F43+G43</f>
        <v>-9663.2</v>
      </c>
    </row>
    <row r="44" customFormat="false" ht="12.75" hidden="false" customHeight="false" outlineLevel="0" collapsed="false">
      <c r="B44" s="0" t="s">
        <v>681</v>
      </c>
      <c r="D44" s="191" t="n">
        <v>1650</v>
      </c>
      <c r="E44" s="191"/>
      <c r="F44" s="191" t="n">
        <v>1650</v>
      </c>
      <c r="G44" s="191"/>
      <c r="H44" s="64" t="n">
        <f aca="false">H43+F44+G44</f>
        <v>-8013.2</v>
      </c>
    </row>
    <row r="45" customFormat="false" ht="12.75" hidden="false" customHeight="false" outlineLevel="0" collapsed="false">
      <c r="A45" s="102" t="n">
        <v>44903</v>
      </c>
      <c r="B45" s="8" t="s">
        <v>1400</v>
      </c>
      <c r="D45" s="191" t="n">
        <v>3000</v>
      </c>
      <c r="E45" s="191"/>
      <c r="F45" s="191" t="n">
        <v>3000</v>
      </c>
      <c r="G45" s="191"/>
      <c r="H45" s="64" t="n">
        <f aca="false">H44+F45+G45</f>
        <v>-5013.2</v>
      </c>
    </row>
    <row r="46" customFormat="false" ht="12.75" hidden="false" customHeight="false" outlineLevel="0" collapsed="false">
      <c r="A46" s="102" t="n">
        <v>44895</v>
      </c>
      <c r="B46" s="8" t="s">
        <v>1401</v>
      </c>
      <c r="D46" s="191" t="n">
        <v>1000</v>
      </c>
      <c r="E46" s="191"/>
      <c r="F46" s="191" t="n">
        <v>1000</v>
      </c>
      <c r="G46" s="191"/>
      <c r="H46" s="64" t="n">
        <f aca="false">H45+F46+G46</f>
        <v>-4013.2</v>
      </c>
    </row>
    <row r="47" customFormat="false" ht="12.75" hidden="false" customHeight="false" outlineLevel="0" collapsed="false">
      <c r="A47" s="102"/>
      <c r="D47" s="104"/>
      <c r="E47" s="191"/>
      <c r="F47" s="191"/>
      <c r="G47" s="191"/>
      <c r="H47" s="64" t="n">
        <f aca="false">H46+F47+G47</f>
        <v>-4013.2</v>
      </c>
    </row>
    <row r="48" customFormat="false" ht="12.75" hidden="false" customHeight="false" outlineLevel="0" collapsed="false">
      <c r="B48" s="0" t="s">
        <v>1402</v>
      </c>
      <c r="D48" s="191" t="n">
        <v>82000</v>
      </c>
      <c r="E48" s="191"/>
      <c r="F48" s="191" t="n">
        <v>80000</v>
      </c>
      <c r="G48" s="191"/>
      <c r="H48" s="64" t="n">
        <f aca="false">H47+F48+G48</f>
        <v>75986.8</v>
      </c>
    </row>
    <row r="49" customFormat="false" ht="12.75" hidden="false" customHeight="false" outlineLevel="0" collapsed="false">
      <c r="B49" s="0" t="s">
        <v>1403</v>
      </c>
      <c r="D49" s="191"/>
      <c r="E49" s="191"/>
      <c r="F49" s="191"/>
      <c r="G49" s="191"/>
      <c r="H49" s="64" t="n">
        <f aca="false">H48+F49+G49</f>
        <v>75986.8</v>
      </c>
    </row>
    <row r="50" customFormat="false" ht="12.75" hidden="false" customHeight="false" outlineLevel="0" collapsed="false">
      <c r="A50" s="102" t="n">
        <v>44893</v>
      </c>
      <c r="B50" s="8" t="s">
        <v>1404</v>
      </c>
      <c r="D50" s="191" t="n">
        <v>84000</v>
      </c>
      <c r="E50" s="191"/>
      <c r="F50" s="191" t="n">
        <v>84000</v>
      </c>
      <c r="G50" s="191"/>
      <c r="H50" s="64" t="n">
        <f aca="false">H49+F50+G50</f>
        <v>159986.8</v>
      </c>
    </row>
    <row r="51" customFormat="false" ht="12.75" hidden="false" customHeight="false" outlineLevel="0" collapsed="false">
      <c r="H51" s="64" t="n">
        <f aca="false">H50+F51+G51</f>
        <v>159986.8</v>
      </c>
    </row>
    <row r="52" customFormat="false" ht="12.75" hidden="false" customHeight="false" outlineLevel="0" collapsed="false">
      <c r="E52" s="64"/>
      <c r="F52" s="64"/>
      <c r="G52" s="64"/>
      <c r="H52" s="64" t="n">
        <f aca="false">H51+F52+G52</f>
        <v>159986.8</v>
      </c>
    </row>
    <row r="53" customFormat="false" ht="12.75" hidden="false" customHeight="false" outlineLevel="0" collapsed="false">
      <c r="H53" s="64" t="n">
        <f aca="false">H52+F53+G53</f>
        <v>159986.8</v>
      </c>
    </row>
    <row r="54" customFormat="false" ht="12.75" hidden="false" customHeight="false" outlineLevel="0" collapsed="false">
      <c r="B54" s="0" t="s">
        <v>1405</v>
      </c>
      <c r="H54" s="64" t="n">
        <f aca="false">H53+F54+G54</f>
        <v>159986.8</v>
      </c>
    </row>
    <row r="56" customFormat="false" ht="12.75" hidden="false" customHeight="false" outlineLevel="0" collapsed="false">
      <c r="A56" s="102" t="n">
        <v>44844</v>
      </c>
      <c r="B56" s="354" t="s">
        <v>1262</v>
      </c>
      <c r="C56" s="354"/>
      <c r="D56" s="355" t="n">
        <v>2000</v>
      </c>
    </row>
    <row r="57" customFormat="false" ht="12.75" hidden="false" customHeight="false" outlineLevel="0" collapsed="false">
      <c r="A57" s="102" t="n">
        <v>44839</v>
      </c>
      <c r="B57" s="354" t="s">
        <v>1379</v>
      </c>
      <c r="C57" s="354"/>
      <c r="D57" s="355" t="n">
        <v>200</v>
      </c>
    </row>
    <row r="59" customFormat="false" ht="12.75" hidden="false" customHeight="false" outlineLevel="0" collapsed="false">
      <c r="A59" s="350" t="n">
        <v>44803</v>
      </c>
      <c r="B59" s="282" t="s">
        <v>1260</v>
      </c>
      <c r="C59" s="282"/>
      <c r="D59" s="351"/>
    </row>
    <row r="60" customFormat="false" ht="12.75" hidden="false" customHeight="false" outlineLevel="0" collapsed="false">
      <c r="A60" s="350" t="n">
        <v>44772</v>
      </c>
      <c r="B60" s="282" t="s">
        <v>1406</v>
      </c>
      <c r="C60" s="282"/>
      <c r="D60" s="351"/>
    </row>
    <row r="61" customFormat="false" ht="12.75" hidden="false" customHeight="false" outlineLevel="0" collapsed="false">
      <c r="A61" s="350" t="n">
        <v>44742</v>
      </c>
      <c r="B61" s="282" t="s">
        <v>1407</v>
      </c>
      <c r="C61" s="282"/>
      <c r="D61" s="351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9"/>
  <sheetViews>
    <sheetView showFormulas="false" showGridLines="true" showRowColHeaders="true" showZeros="true" rightToLeft="false" tabSelected="false" showOutlineSymbols="true" defaultGridColor="true" view="normal" topLeftCell="A57" colorId="64" zoomScale="170" zoomScaleNormal="170" zoomScalePageLayoutView="100" workbookViewId="0">
      <selection pane="topLeft" activeCell="A53" activeCellId="0" sqref="A53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9"/>
    <col collapsed="false" customWidth="true" hidden="false" outlineLevel="0" max="2" min="2" style="0" width="36.43"/>
    <col collapsed="false" customWidth="true" hidden="false" outlineLevel="0" max="3" min="3" style="0" width="2.57"/>
    <col collapsed="false" customWidth="true" hidden="false" outlineLevel="0" max="8" min="4" style="0" width="12.29"/>
    <col collapsed="false" customWidth="true" hidden="false" outlineLevel="0" max="9" min="9" style="0" width="9.14"/>
  </cols>
  <sheetData>
    <row r="1" customFormat="false" ht="12.75" hidden="false" customHeight="false" outlineLevel="0" collapsed="false">
      <c r="B1" s="42" t="n">
        <v>3.54</v>
      </c>
      <c r="E1" s="194"/>
      <c r="F1" s="194" t="s">
        <v>28</v>
      </c>
      <c r="G1" s="194" t="s">
        <v>29</v>
      </c>
      <c r="H1" s="194" t="s">
        <v>3</v>
      </c>
    </row>
    <row r="2" customFormat="false" ht="12.75" hidden="false" customHeight="false" outlineLevel="0" collapsed="false">
      <c r="A2" s="3" t="s">
        <v>1408</v>
      </c>
      <c r="C2" s="81" t="s">
        <v>67</v>
      </c>
      <c r="D2" s="311" t="n">
        <f aca="false">SUM(D4:D78)</f>
        <v>23872.2</v>
      </c>
      <c r="E2" s="311" t="n">
        <f aca="false">SUM(E4:E107)</f>
        <v>-33587.82</v>
      </c>
      <c r="F2" s="311" t="n">
        <f aca="false">SUM(F4:F104)</f>
        <v>79418.41</v>
      </c>
      <c r="G2" s="311" t="n">
        <f aca="false">SUM(G4:G104)</f>
        <v>-90424.32</v>
      </c>
      <c r="H2" s="311" t="n">
        <f aca="false">F2+G2</f>
        <v>-11005.91</v>
      </c>
    </row>
    <row r="3" customFormat="false" ht="12.75" hidden="false" customHeight="false" outlineLevel="0" collapsed="false">
      <c r="B3" s="18"/>
      <c r="H3" s="64"/>
    </row>
    <row r="4" customFormat="false" ht="12.75" hidden="false" customHeight="false" outlineLevel="0" collapsed="false">
      <c r="A4" s="102" t="n">
        <v>44838</v>
      </c>
      <c r="B4" s="8" t="s">
        <v>1409</v>
      </c>
      <c r="F4" s="333" t="n">
        <v>3000</v>
      </c>
      <c r="G4" s="64"/>
      <c r="H4" s="64" t="n">
        <f aca="false">H3+F4+G4</f>
        <v>3000</v>
      </c>
    </row>
    <row r="5" customFormat="false" ht="12.75" hidden="false" customHeight="false" outlineLevel="0" collapsed="false">
      <c r="E5" s="64"/>
      <c r="F5" s="64"/>
      <c r="G5" s="64"/>
      <c r="H5" s="64" t="n">
        <f aca="false">H4+F5+G5</f>
        <v>3000</v>
      </c>
    </row>
    <row r="6" customFormat="false" ht="12.75" hidden="false" customHeight="false" outlineLevel="0" collapsed="false">
      <c r="B6" s="0" t="s">
        <v>338</v>
      </c>
      <c r="D6" s="2" t="n">
        <v>933.39</v>
      </c>
      <c r="E6" s="64"/>
      <c r="F6" s="64" t="n">
        <v>933</v>
      </c>
      <c r="G6" s="64"/>
      <c r="H6" s="64" t="n">
        <f aca="false">H5+F6+G6</f>
        <v>3933</v>
      </c>
    </row>
    <row r="7" customFormat="false" ht="12.75" hidden="false" customHeight="false" outlineLevel="0" collapsed="false">
      <c r="B7" s="0" t="s">
        <v>339</v>
      </c>
      <c r="D7" s="2" t="n">
        <v>99.8</v>
      </c>
      <c r="E7" s="64"/>
      <c r="F7" s="64" t="n">
        <v>99</v>
      </c>
      <c r="G7" s="64"/>
      <c r="H7" s="64" t="n">
        <f aca="false">H6+F7+G7</f>
        <v>4032</v>
      </c>
    </row>
    <row r="8" customFormat="false" ht="12.75" hidden="false" customHeight="false" outlineLevel="0" collapsed="false">
      <c r="B8" s="0" t="s">
        <v>1379</v>
      </c>
      <c r="D8" s="17" t="n">
        <v>200</v>
      </c>
      <c r="E8" s="64"/>
      <c r="F8" s="64"/>
      <c r="G8" s="64"/>
      <c r="H8" s="64"/>
    </row>
    <row r="9" customFormat="false" ht="12.75" hidden="false" customHeight="false" outlineLevel="0" collapsed="false">
      <c r="B9" s="0" t="s">
        <v>340</v>
      </c>
      <c r="D9" s="2" t="n">
        <v>846.7</v>
      </c>
      <c r="E9" s="64"/>
      <c r="F9" s="64" t="n">
        <v>845</v>
      </c>
      <c r="G9" s="64"/>
      <c r="H9" s="64" t="n">
        <f aca="false">H7+F9+G9</f>
        <v>4877</v>
      </c>
    </row>
    <row r="10" customFormat="false" ht="12.75" hidden="false" customHeight="false" outlineLevel="0" collapsed="false">
      <c r="A10" s="102" t="n">
        <v>44837</v>
      </c>
      <c r="B10" s="8" t="s">
        <v>341</v>
      </c>
      <c r="D10" s="2" t="n">
        <v>445.75</v>
      </c>
      <c r="E10" s="64"/>
      <c r="F10" s="64" t="n">
        <v>445</v>
      </c>
      <c r="G10" s="64"/>
      <c r="H10" s="64" t="n">
        <f aca="false">H9+F10+G10</f>
        <v>5322</v>
      </c>
    </row>
    <row r="11" customFormat="false" ht="12.75" hidden="false" customHeight="false" outlineLevel="0" collapsed="false">
      <c r="A11" s="102"/>
      <c r="B11" s="8" t="s">
        <v>341</v>
      </c>
      <c r="D11" s="2" t="n">
        <v>200</v>
      </c>
      <c r="E11" s="64"/>
      <c r="F11" s="64" t="n">
        <v>200</v>
      </c>
      <c r="G11" s="64"/>
      <c r="H11" s="64"/>
    </row>
    <row r="12" customFormat="false" ht="12.75" hidden="false" customHeight="false" outlineLevel="0" collapsed="false">
      <c r="A12" s="102" t="n">
        <v>44837</v>
      </c>
      <c r="B12" s="8" t="s">
        <v>342</v>
      </c>
      <c r="D12" s="2" t="n">
        <v>202.91</v>
      </c>
      <c r="E12" s="64"/>
      <c r="F12" s="64" t="n">
        <v>202.91</v>
      </c>
      <c r="G12" s="64"/>
      <c r="H12" s="64" t="n">
        <f aca="false">H10+F12+G12</f>
        <v>5524.91</v>
      </c>
    </row>
    <row r="13" customFormat="false" ht="12.75" hidden="false" customHeight="false" outlineLevel="0" collapsed="false">
      <c r="A13" s="102" t="n">
        <v>44838</v>
      </c>
      <c r="B13" s="108" t="s">
        <v>1342</v>
      </c>
      <c r="C13" s="108"/>
      <c r="D13" s="108"/>
      <c r="E13" s="64" t="n">
        <v>-1500</v>
      </c>
      <c r="F13" s="64"/>
      <c r="G13" s="64" t="n">
        <v>-1998</v>
      </c>
      <c r="H13" s="64" t="n">
        <f aca="false">H12+F13+G13</f>
        <v>3526.91</v>
      </c>
    </row>
    <row r="14" customFormat="false" ht="12.75" hidden="false" customHeight="false" outlineLevel="0" collapsed="false">
      <c r="A14" s="102" t="n">
        <v>44837</v>
      </c>
      <c r="B14" s="103" t="s">
        <v>1335</v>
      </c>
      <c r="C14" s="103"/>
      <c r="D14" s="103"/>
      <c r="E14" s="64" t="n">
        <v>-200</v>
      </c>
      <c r="F14" s="64"/>
      <c r="G14" s="64" t="n">
        <v>-299</v>
      </c>
      <c r="H14" s="64" t="n">
        <f aca="false">H13+F14+G14</f>
        <v>3227.91</v>
      </c>
    </row>
    <row r="15" customFormat="false" ht="12.75" hidden="false" customHeight="false" outlineLevel="0" collapsed="false">
      <c r="A15" s="102" t="n">
        <v>44837</v>
      </c>
      <c r="B15" s="103" t="s">
        <v>1336</v>
      </c>
      <c r="C15" s="103"/>
      <c r="D15" s="103"/>
      <c r="E15" s="64" t="n">
        <v>-400</v>
      </c>
      <c r="F15" s="64"/>
      <c r="G15" s="64" t="n">
        <v>-649</v>
      </c>
      <c r="H15" s="64" t="n">
        <f aca="false">H14+F15+G15</f>
        <v>2578.91</v>
      </c>
    </row>
    <row r="16" customFormat="false" ht="12.75" hidden="false" customHeight="false" outlineLevel="0" collapsed="false">
      <c r="A16" s="102" t="n">
        <v>44851</v>
      </c>
      <c r="B16" s="103" t="s">
        <v>1410</v>
      </c>
      <c r="C16" s="103"/>
      <c r="D16" s="103"/>
      <c r="E16" s="168"/>
      <c r="F16" s="64"/>
      <c r="G16" s="64" t="n">
        <v>-193</v>
      </c>
      <c r="H16" s="64" t="n">
        <f aca="false">H15+F16+G16</f>
        <v>2385.91</v>
      </c>
    </row>
    <row r="17" customFormat="false" ht="12.75" hidden="false" customHeight="false" outlineLevel="0" collapsed="false">
      <c r="A17" s="102" t="n">
        <v>44838</v>
      </c>
      <c r="B17" s="103" t="s">
        <v>1411</v>
      </c>
      <c r="C17" s="103"/>
      <c r="D17" s="103"/>
      <c r="E17" s="64" t="n">
        <v>-4300</v>
      </c>
      <c r="F17" s="168"/>
      <c r="G17" s="64" t="n">
        <v>-4300</v>
      </c>
      <c r="H17" s="64" t="n">
        <f aca="false">H16+F17+G17</f>
        <v>-1914.09</v>
      </c>
    </row>
    <row r="18" customFormat="false" ht="12.75" hidden="false" customHeight="false" outlineLevel="0" collapsed="false">
      <c r="A18" s="102" t="n">
        <v>44837</v>
      </c>
      <c r="B18" s="103" t="s">
        <v>1412</v>
      </c>
      <c r="C18" s="103"/>
      <c r="D18" s="103"/>
      <c r="E18" s="64" t="n">
        <v>-496.5</v>
      </c>
      <c r="F18" s="168"/>
      <c r="G18" s="64" t="n">
        <v>-492.5</v>
      </c>
      <c r="H18" s="64" t="n">
        <f aca="false">H17+F18+G18</f>
        <v>-2406.59</v>
      </c>
    </row>
    <row r="19" customFormat="false" ht="12.75" hidden="false" customHeight="false" outlineLevel="0" collapsed="false">
      <c r="B19" s="108"/>
      <c r="C19" s="108"/>
      <c r="D19" s="108"/>
      <c r="E19" s="64"/>
      <c r="F19" s="64"/>
      <c r="G19" s="64"/>
      <c r="H19" s="64" t="n">
        <f aca="false">H18+F19+G19</f>
        <v>-2406.59</v>
      </c>
    </row>
    <row r="20" customFormat="false" ht="12.75" hidden="false" customHeight="false" outlineLevel="0" collapsed="false">
      <c r="B20" s="108"/>
      <c r="C20" s="108"/>
      <c r="D20" s="108"/>
      <c r="E20" s="64"/>
      <c r="F20" s="64"/>
      <c r="G20" s="64"/>
      <c r="H20" s="64" t="n">
        <f aca="false">H19+F20+G20</f>
        <v>-2406.59</v>
      </c>
    </row>
    <row r="21" customFormat="false" ht="12.75" hidden="false" customHeight="false" outlineLevel="0" collapsed="false">
      <c r="A21" s="102" t="n">
        <v>44799</v>
      </c>
      <c r="B21" s="108" t="s">
        <v>1413</v>
      </c>
      <c r="C21" s="108"/>
      <c r="D21" s="108"/>
      <c r="E21" s="64" t="n">
        <v>-112.67</v>
      </c>
      <c r="F21" s="64"/>
      <c r="G21" s="64"/>
      <c r="H21" s="64" t="n">
        <f aca="false">H20+F21+G21</f>
        <v>-2406.59</v>
      </c>
    </row>
    <row r="22" customFormat="false" ht="12.75" hidden="false" customHeight="false" outlineLevel="0" collapsed="false">
      <c r="A22" s="102" t="n">
        <v>44801</v>
      </c>
      <c r="B22" s="108" t="s">
        <v>1414</v>
      </c>
      <c r="C22" s="108"/>
      <c r="D22" s="108"/>
      <c r="E22" s="64" t="n">
        <v>-355.2</v>
      </c>
      <c r="F22" s="64"/>
      <c r="G22" s="64"/>
      <c r="H22" s="64" t="n">
        <f aca="false">H21+F22+G22</f>
        <v>-2406.59</v>
      </c>
    </row>
    <row r="23" customFormat="false" ht="12.75" hidden="false" customHeight="false" outlineLevel="0" collapsed="false">
      <c r="A23" s="102" t="n">
        <v>44802</v>
      </c>
      <c r="B23" s="108" t="s">
        <v>1415</v>
      </c>
      <c r="C23" s="108"/>
      <c r="D23" s="108"/>
      <c r="E23" s="64" t="n">
        <v>-363.48</v>
      </c>
      <c r="F23" s="64"/>
      <c r="G23" s="64"/>
      <c r="H23" s="64" t="n">
        <f aca="false">H22+F23+G23</f>
        <v>-2406.59</v>
      </c>
    </row>
    <row r="24" customFormat="false" ht="12.75" hidden="false" customHeight="false" outlineLevel="0" collapsed="false">
      <c r="A24" s="102" t="n">
        <v>44802</v>
      </c>
      <c r="B24" s="108" t="s">
        <v>1416</v>
      </c>
      <c r="C24" s="108"/>
      <c r="D24" s="108"/>
      <c r="E24" s="64" t="n">
        <v>-250</v>
      </c>
      <c r="F24" s="64"/>
      <c r="G24" s="64"/>
      <c r="H24" s="64" t="n">
        <f aca="false">H23+F24+G24</f>
        <v>-2406.59</v>
      </c>
    </row>
    <row r="25" customFormat="false" ht="12.75" hidden="false" customHeight="false" outlineLevel="0" collapsed="false">
      <c r="A25" s="102" t="n">
        <v>44802</v>
      </c>
      <c r="B25" s="108" t="s">
        <v>1417</v>
      </c>
      <c r="C25" s="108"/>
      <c r="D25" s="108"/>
      <c r="E25" s="64" t="n">
        <v>-240</v>
      </c>
      <c r="F25" s="64"/>
      <c r="G25" s="64"/>
      <c r="H25" s="64" t="n">
        <f aca="false">H24+F25+G25</f>
        <v>-2406.59</v>
      </c>
    </row>
    <row r="26" customFormat="false" ht="12.75" hidden="false" customHeight="false" outlineLevel="0" collapsed="false">
      <c r="A26" s="102" t="n">
        <v>44802</v>
      </c>
      <c r="B26" s="108" t="s">
        <v>1418</v>
      </c>
      <c r="C26" s="108"/>
      <c r="D26" s="108"/>
      <c r="E26" s="64" t="n">
        <v>-232.5</v>
      </c>
      <c r="F26" s="64"/>
      <c r="G26" s="64"/>
      <c r="H26" s="64" t="n">
        <f aca="false">H25+F26+G26</f>
        <v>-2406.59</v>
      </c>
    </row>
    <row r="27" customFormat="false" ht="12.75" hidden="false" customHeight="false" outlineLevel="0" collapsed="false">
      <c r="A27" s="102" t="n">
        <v>44803</v>
      </c>
      <c r="B27" s="108" t="s">
        <v>621</v>
      </c>
      <c r="C27" s="108"/>
      <c r="D27" s="108"/>
      <c r="E27" s="64" t="n">
        <v>-104.65</v>
      </c>
      <c r="F27" s="64"/>
      <c r="G27" s="64"/>
      <c r="H27" s="64" t="n">
        <f aca="false">H26+F27+G27</f>
        <v>-2406.59</v>
      </c>
    </row>
    <row r="28" customFormat="false" ht="12.75" hidden="false" customHeight="false" outlineLevel="0" collapsed="false">
      <c r="A28" s="102" t="n">
        <v>44803</v>
      </c>
      <c r="B28" s="108" t="s">
        <v>621</v>
      </c>
      <c r="C28" s="108"/>
      <c r="D28" s="108"/>
      <c r="E28" s="64" t="n">
        <v>-185.75</v>
      </c>
      <c r="F28" s="64"/>
      <c r="G28" s="64"/>
      <c r="H28" s="64" t="n">
        <f aca="false">H27+F28+G28</f>
        <v>-2406.59</v>
      </c>
    </row>
    <row r="29" customFormat="false" ht="12.75" hidden="false" customHeight="false" outlineLevel="0" collapsed="false">
      <c r="A29" s="102" t="n">
        <v>44803</v>
      </c>
      <c r="B29" s="108" t="s">
        <v>1419</v>
      </c>
      <c r="C29" s="108"/>
      <c r="D29" s="108"/>
      <c r="E29" s="64" t="n">
        <v>-368.74</v>
      </c>
      <c r="F29" s="64"/>
      <c r="G29" s="64"/>
      <c r="H29" s="64" t="n">
        <f aca="false">H28+F29+G29</f>
        <v>-2406.59</v>
      </c>
    </row>
    <row r="30" customFormat="false" ht="12.75" hidden="false" customHeight="false" outlineLevel="0" collapsed="false">
      <c r="A30" s="102" t="n">
        <v>44803</v>
      </c>
      <c r="B30" s="108" t="s">
        <v>621</v>
      </c>
      <c r="C30" s="108"/>
      <c r="D30" s="108"/>
      <c r="E30" s="64" t="n">
        <v>-127.46</v>
      </c>
      <c r="F30" s="64"/>
      <c r="G30" s="64"/>
      <c r="H30" s="64" t="n">
        <f aca="false">H29+F30+G30</f>
        <v>-2406.59</v>
      </c>
    </row>
    <row r="31" customFormat="false" ht="12.75" hidden="false" customHeight="false" outlineLevel="0" collapsed="false">
      <c r="A31" s="102" t="n">
        <v>44803</v>
      </c>
      <c r="B31" s="108" t="s">
        <v>1420</v>
      </c>
      <c r="C31" s="108"/>
      <c r="D31" s="108"/>
      <c r="E31" s="64" t="n">
        <v>-65.97</v>
      </c>
      <c r="F31" s="64"/>
      <c r="G31" s="64"/>
      <c r="H31" s="64" t="n">
        <f aca="false">H30+F31+G31</f>
        <v>-2406.59</v>
      </c>
    </row>
    <row r="32" customFormat="false" ht="12.75" hidden="false" customHeight="false" outlineLevel="0" collapsed="false">
      <c r="A32" s="102" t="n">
        <v>44803</v>
      </c>
      <c r="B32" s="108" t="s">
        <v>534</v>
      </c>
      <c r="C32" s="108"/>
      <c r="D32" s="108"/>
      <c r="E32" s="64" t="n">
        <v>-204</v>
      </c>
      <c r="F32" s="64"/>
      <c r="G32" s="64"/>
      <c r="H32" s="64" t="n">
        <f aca="false">H31+F32+G32</f>
        <v>-2406.59</v>
      </c>
    </row>
    <row r="33" customFormat="false" ht="12.75" hidden="false" customHeight="false" outlineLevel="0" collapsed="false">
      <c r="A33" s="102" t="n">
        <v>44805</v>
      </c>
      <c r="B33" s="108" t="s">
        <v>1421</v>
      </c>
      <c r="C33" s="108"/>
      <c r="D33" s="108"/>
      <c r="E33" s="64" t="n">
        <v>-208.17</v>
      </c>
      <c r="F33" s="64"/>
      <c r="G33" s="64"/>
      <c r="H33" s="64" t="n">
        <f aca="false">H32+F33+G33</f>
        <v>-2406.59</v>
      </c>
    </row>
    <row r="34" customFormat="false" ht="12.75" hidden="false" customHeight="false" outlineLevel="0" collapsed="false">
      <c r="A34" s="102" t="n">
        <v>44805</v>
      </c>
      <c r="B34" s="108" t="s">
        <v>1422</v>
      </c>
      <c r="C34" s="108"/>
      <c r="D34" s="108"/>
      <c r="E34" s="64" t="n">
        <v>-754.45</v>
      </c>
      <c r="F34" s="64"/>
      <c r="G34" s="64"/>
      <c r="H34" s="64" t="n">
        <f aca="false">H33+F34+G34</f>
        <v>-2406.59</v>
      </c>
    </row>
    <row r="35" customFormat="false" ht="12.75" hidden="false" customHeight="false" outlineLevel="0" collapsed="false">
      <c r="A35" s="102" t="n">
        <v>44806</v>
      </c>
      <c r="B35" s="108" t="s">
        <v>621</v>
      </c>
      <c r="C35" s="108"/>
      <c r="D35" s="108"/>
      <c r="E35" s="64" t="n">
        <v>-137.7</v>
      </c>
      <c r="F35" s="64"/>
      <c r="G35" s="64"/>
      <c r="H35" s="64" t="n">
        <f aca="false">H34+F35+G35</f>
        <v>-2406.59</v>
      </c>
    </row>
    <row r="36" customFormat="false" ht="12.75" hidden="false" customHeight="false" outlineLevel="0" collapsed="false">
      <c r="A36" s="102" t="n">
        <v>44806</v>
      </c>
      <c r="B36" s="108" t="s">
        <v>621</v>
      </c>
      <c r="C36" s="108"/>
      <c r="D36" s="108"/>
      <c r="E36" s="64" t="n">
        <v>-161.91</v>
      </c>
      <c r="F36" s="64"/>
      <c r="G36" s="64"/>
      <c r="H36" s="64" t="n">
        <f aca="false">H35+F36+G36</f>
        <v>-2406.59</v>
      </c>
    </row>
    <row r="37" customFormat="false" ht="12.75" hidden="false" customHeight="false" outlineLevel="0" collapsed="false">
      <c r="A37" s="102" t="n">
        <v>44807</v>
      </c>
      <c r="B37" s="8" t="s">
        <v>1423</v>
      </c>
      <c r="C37" s="108"/>
      <c r="D37" s="108"/>
      <c r="E37" s="64" t="n">
        <v>-697.3</v>
      </c>
      <c r="F37" s="64"/>
      <c r="G37" s="64"/>
      <c r="H37" s="64" t="n">
        <f aca="false">H36+F37+G37</f>
        <v>-2406.59</v>
      </c>
    </row>
    <row r="38" customFormat="false" ht="12.75" hidden="false" customHeight="false" outlineLevel="0" collapsed="false">
      <c r="A38" s="102" t="n">
        <v>44807</v>
      </c>
      <c r="B38" s="108" t="s">
        <v>1424</v>
      </c>
      <c r="C38" s="108"/>
      <c r="D38" s="108"/>
      <c r="E38" s="64" t="n">
        <v>-600</v>
      </c>
      <c r="F38" s="64"/>
      <c r="G38" s="64"/>
      <c r="H38" s="64" t="n">
        <f aca="false">H37+F38+G38</f>
        <v>-2406.59</v>
      </c>
    </row>
    <row r="39" customFormat="false" ht="12.75" hidden="false" customHeight="false" outlineLevel="0" collapsed="false">
      <c r="A39" s="102" t="n">
        <v>44807</v>
      </c>
      <c r="B39" s="108" t="s">
        <v>1425</v>
      </c>
      <c r="C39" s="108"/>
      <c r="D39" s="108"/>
      <c r="E39" s="64" t="n">
        <v>-350</v>
      </c>
      <c r="F39" s="64"/>
      <c r="G39" s="64"/>
      <c r="H39" s="64" t="n">
        <f aca="false">H38+F39+G39</f>
        <v>-2406.59</v>
      </c>
    </row>
    <row r="40" customFormat="false" ht="12.75" hidden="false" customHeight="false" outlineLevel="0" collapsed="false">
      <c r="A40" s="102" t="n">
        <v>44808</v>
      </c>
      <c r="B40" s="108" t="s">
        <v>1426</v>
      </c>
      <c r="C40" s="108"/>
      <c r="D40" s="108"/>
      <c r="E40" s="64" t="n">
        <v>-920</v>
      </c>
      <c r="F40" s="64"/>
      <c r="G40" s="64"/>
      <c r="H40" s="64" t="n">
        <f aca="false">H39+F40+G40</f>
        <v>-2406.59</v>
      </c>
    </row>
    <row r="41" customFormat="false" ht="12.75" hidden="false" customHeight="false" outlineLevel="0" collapsed="false">
      <c r="A41" s="102" t="n">
        <v>44808</v>
      </c>
      <c r="B41" s="108" t="s">
        <v>1427</v>
      </c>
      <c r="C41" s="108"/>
      <c r="D41" s="108"/>
      <c r="E41" s="64" t="n">
        <v>-392</v>
      </c>
      <c r="F41" s="64"/>
      <c r="G41" s="64"/>
      <c r="H41" s="64" t="n">
        <f aca="false">H40+F41+G41</f>
        <v>-2406.59</v>
      </c>
    </row>
    <row r="42" customFormat="false" ht="12.75" hidden="false" customHeight="false" outlineLevel="0" collapsed="false">
      <c r="A42" s="102" t="n">
        <v>44809</v>
      </c>
      <c r="B42" s="108" t="s">
        <v>621</v>
      </c>
      <c r="C42" s="108"/>
      <c r="D42" s="108"/>
      <c r="E42" s="64" t="n">
        <v>-98.8</v>
      </c>
      <c r="F42" s="64"/>
      <c r="G42" s="64"/>
      <c r="H42" s="64" t="n">
        <f aca="false">H41+F42+G42</f>
        <v>-2406.59</v>
      </c>
    </row>
    <row r="43" customFormat="false" ht="12.75" hidden="false" customHeight="false" outlineLevel="0" collapsed="false">
      <c r="A43" s="102" t="n">
        <v>44810</v>
      </c>
      <c r="B43" s="108" t="s">
        <v>1419</v>
      </c>
      <c r="C43" s="108"/>
      <c r="D43" s="108"/>
      <c r="E43" s="64" t="n">
        <v>-339.36</v>
      </c>
      <c r="F43" s="64"/>
      <c r="G43" s="64"/>
      <c r="H43" s="64" t="n">
        <f aca="false">H42+F43+G43</f>
        <v>-2406.59</v>
      </c>
    </row>
    <row r="44" customFormat="false" ht="12.75" hidden="false" customHeight="false" outlineLevel="0" collapsed="false">
      <c r="A44" s="102" t="n">
        <v>44810</v>
      </c>
      <c r="B44" s="108" t="s">
        <v>1428</v>
      </c>
      <c r="C44" s="108"/>
      <c r="D44" s="108"/>
      <c r="E44" s="64" t="n">
        <v>-151.65</v>
      </c>
      <c r="F44" s="64"/>
      <c r="G44" s="64"/>
      <c r="H44" s="64" t="n">
        <f aca="false">H43+F44+G44</f>
        <v>-2406.59</v>
      </c>
    </row>
    <row r="45" customFormat="false" ht="12.75" hidden="false" customHeight="false" outlineLevel="0" collapsed="false">
      <c r="A45" s="102" t="n">
        <v>44810</v>
      </c>
      <c r="B45" s="108" t="s">
        <v>1429</v>
      </c>
      <c r="C45" s="108"/>
      <c r="D45" s="108"/>
      <c r="E45" s="64" t="n">
        <v>-75</v>
      </c>
      <c r="F45" s="64"/>
      <c r="G45" s="64"/>
      <c r="H45" s="64" t="n">
        <f aca="false">H44+F45+G45</f>
        <v>-2406.59</v>
      </c>
    </row>
    <row r="46" customFormat="false" ht="12.75" hidden="false" customHeight="false" outlineLevel="0" collapsed="false">
      <c r="A46" s="102" t="n">
        <v>44810</v>
      </c>
      <c r="B46" s="108" t="s">
        <v>1418</v>
      </c>
      <c r="C46" s="108"/>
      <c r="D46" s="108"/>
      <c r="E46" s="64" t="n">
        <v>-397.56</v>
      </c>
      <c r="F46" s="64"/>
      <c r="G46" s="64"/>
      <c r="H46" s="64" t="n">
        <f aca="false">H45+F46+G46</f>
        <v>-2406.59</v>
      </c>
    </row>
    <row r="47" customFormat="false" ht="12.75" hidden="false" customHeight="false" outlineLevel="0" collapsed="false">
      <c r="A47" s="102" t="n">
        <v>44810</v>
      </c>
      <c r="B47" s="108" t="s">
        <v>1430</v>
      </c>
      <c r="C47" s="108"/>
      <c r="D47" s="108"/>
      <c r="E47" s="64" t="n">
        <v>-120</v>
      </c>
      <c r="F47" s="64"/>
      <c r="G47" s="64"/>
      <c r="H47" s="64" t="n">
        <f aca="false">H46+F47+G47</f>
        <v>-2406.59</v>
      </c>
    </row>
    <row r="48" customFormat="false" ht="12.75" hidden="false" customHeight="false" outlineLevel="0" collapsed="false">
      <c r="A48" s="102" t="n">
        <v>44810</v>
      </c>
      <c r="B48" s="108" t="s">
        <v>1431</v>
      </c>
      <c r="C48" s="108"/>
      <c r="D48" s="108"/>
      <c r="E48" s="64" t="n">
        <v>-250</v>
      </c>
      <c r="F48" s="64"/>
      <c r="G48" s="64"/>
      <c r="H48" s="64" t="n">
        <f aca="false">H47+F48+G48</f>
        <v>-2406.59</v>
      </c>
    </row>
    <row r="49" customFormat="false" ht="12.75" hidden="false" customHeight="false" outlineLevel="0" collapsed="false">
      <c r="A49" s="102" t="n">
        <v>44810</v>
      </c>
      <c r="B49" s="108" t="s">
        <v>1432</v>
      </c>
      <c r="C49" s="108"/>
      <c r="D49" s="108"/>
      <c r="E49" s="64" t="n">
        <v>-200</v>
      </c>
      <c r="F49" s="64"/>
      <c r="G49" s="64"/>
      <c r="H49" s="64" t="n">
        <f aca="false">H48+F49+G49</f>
        <v>-2406.59</v>
      </c>
    </row>
    <row r="50" customFormat="false" ht="12.75" hidden="false" customHeight="false" outlineLevel="0" collapsed="false">
      <c r="A50" s="102" t="n">
        <v>44810</v>
      </c>
      <c r="B50" s="108" t="s">
        <v>1433</v>
      </c>
      <c r="C50" s="108"/>
      <c r="D50" s="108"/>
      <c r="E50" s="64" t="n">
        <v>-100</v>
      </c>
      <c r="F50" s="64"/>
      <c r="G50" s="64"/>
      <c r="H50" s="64" t="n">
        <f aca="false">H49+F50+G50</f>
        <v>-2406.59</v>
      </c>
    </row>
    <row r="51" customFormat="false" ht="12.75" hidden="false" customHeight="false" outlineLevel="0" collapsed="false">
      <c r="A51" s="102" t="n">
        <v>44811</v>
      </c>
      <c r="B51" s="108" t="s">
        <v>1434</v>
      </c>
      <c r="C51" s="108"/>
      <c r="D51" s="108"/>
      <c r="E51" s="64" t="n">
        <v>-360</v>
      </c>
      <c r="F51" s="64"/>
      <c r="G51" s="64"/>
      <c r="H51" s="64" t="n">
        <f aca="false">H50+F51+G51</f>
        <v>-2406.59</v>
      </c>
    </row>
    <row r="52" customFormat="false" ht="12.75" hidden="false" customHeight="false" outlineLevel="0" collapsed="false">
      <c r="A52" s="102" t="n">
        <v>44814</v>
      </c>
      <c r="B52" s="108" t="s">
        <v>1435</v>
      </c>
      <c r="C52" s="108"/>
      <c r="D52" s="108"/>
      <c r="E52" s="64" t="n">
        <v>-400</v>
      </c>
      <c r="F52" s="64"/>
      <c r="G52" s="64"/>
      <c r="H52" s="64" t="n">
        <f aca="false">H51+F52+G52</f>
        <v>-2406.59</v>
      </c>
    </row>
    <row r="53" customFormat="false" ht="12.75" hidden="false" customHeight="false" outlineLevel="0" collapsed="false">
      <c r="B53" s="108" t="s">
        <v>1436</v>
      </c>
      <c r="C53" s="108"/>
      <c r="D53" s="108"/>
      <c r="E53" s="168"/>
      <c r="F53" s="64"/>
      <c r="G53" s="64" t="n">
        <v>-9324.32</v>
      </c>
      <c r="H53" s="64" t="n">
        <f aca="false">H52+F53+G53</f>
        <v>-11730.91</v>
      </c>
    </row>
    <row r="54" customFormat="false" ht="12.75" hidden="false" customHeight="false" outlineLevel="0" collapsed="false">
      <c r="A54" s="102" t="n">
        <v>44837</v>
      </c>
      <c r="B54" s="8" t="s">
        <v>373</v>
      </c>
      <c r="G54" s="64" t="n">
        <v>-30374</v>
      </c>
      <c r="H54" s="64" t="n">
        <f aca="false">H53+F54+G54</f>
        <v>-42104.91</v>
      </c>
    </row>
    <row r="55" customFormat="false" ht="12.75" hidden="false" customHeight="false" outlineLevel="0" collapsed="false">
      <c r="A55" s="102"/>
      <c r="G55" s="64"/>
      <c r="H55" s="64" t="n">
        <f aca="false">H54+F55+G55</f>
        <v>-42104.91</v>
      </c>
    </row>
    <row r="56" customFormat="false" ht="12.75" hidden="false" customHeight="false" outlineLevel="0" collapsed="false">
      <c r="A56" s="102"/>
      <c r="B56" s="8" t="s">
        <v>1437</v>
      </c>
      <c r="G56" s="64"/>
      <c r="H56" s="64" t="n">
        <f aca="false">H55+F56+G56</f>
        <v>-42104.91</v>
      </c>
    </row>
    <row r="57" customFormat="false" ht="12.75" hidden="false" customHeight="false" outlineLevel="0" collapsed="false">
      <c r="A57" s="102"/>
      <c r="B57" s="8" t="s">
        <v>1438</v>
      </c>
      <c r="G57" s="64"/>
      <c r="H57" s="64" t="n">
        <f aca="false">H56+F57+G57</f>
        <v>-42104.91</v>
      </c>
    </row>
    <row r="58" customFormat="false" ht="12.75" hidden="false" customHeight="false" outlineLevel="0" collapsed="false">
      <c r="A58" s="102" t="n">
        <v>44844</v>
      </c>
      <c r="B58" s="8" t="s">
        <v>1439</v>
      </c>
      <c r="F58" s="0" t="n">
        <v>10300</v>
      </c>
      <c r="G58" s="64"/>
      <c r="H58" s="64" t="n">
        <f aca="false">H57+F58+G58</f>
        <v>-31804.91</v>
      </c>
    </row>
    <row r="59" customFormat="false" ht="12.75" hidden="false" customHeight="false" outlineLevel="0" collapsed="false">
      <c r="A59" s="102" t="n">
        <v>44847</v>
      </c>
      <c r="B59" s="8" t="s">
        <v>1439</v>
      </c>
      <c r="D59" s="0" t="n">
        <v>9000</v>
      </c>
      <c r="F59" s="0" t="n">
        <v>9000</v>
      </c>
      <c r="G59" s="64"/>
      <c r="H59" s="64" t="n">
        <f aca="false">H58+F59+G59</f>
        <v>-22804.91</v>
      </c>
    </row>
    <row r="60" customFormat="false" ht="12.75" hidden="false" customHeight="false" outlineLevel="0" collapsed="false">
      <c r="A60" s="102" t="n">
        <v>44844</v>
      </c>
      <c r="B60" s="8" t="s">
        <v>1440</v>
      </c>
      <c r="D60" s="3"/>
      <c r="F60" s="0" t="n">
        <v>20700</v>
      </c>
      <c r="G60" s="64"/>
      <c r="H60" s="64" t="n">
        <f aca="false">H59+F60+G60</f>
        <v>-2104.91</v>
      </c>
    </row>
    <row r="61" customFormat="false" ht="12.75" hidden="false" customHeight="false" outlineLevel="0" collapsed="false">
      <c r="A61" s="102" t="n">
        <v>44844</v>
      </c>
      <c r="B61" s="8" t="s">
        <v>1262</v>
      </c>
      <c r="D61" s="3" t="n">
        <v>2000</v>
      </c>
      <c r="G61" s="64"/>
      <c r="H61" s="64" t="n">
        <f aca="false">H60+F61+G61</f>
        <v>-2104.91</v>
      </c>
    </row>
    <row r="62" customFormat="false" ht="12.75" hidden="false" customHeight="false" outlineLevel="0" collapsed="false">
      <c r="A62" s="102"/>
      <c r="B62" s="8" t="s">
        <v>1441</v>
      </c>
      <c r="G62" s="64" t="n">
        <v>-2620</v>
      </c>
      <c r="H62" s="64" t="n">
        <f aca="false">H61+F62+G62</f>
        <v>-4724.91</v>
      </c>
    </row>
    <row r="63" customFormat="false" ht="12.75" hidden="false" customHeight="false" outlineLevel="0" collapsed="false">
      <c r="A63" s="102"/>
      <c r="G63" s="64"/>
      <c r="H63" s="64" t="n">
        <f aca="false">H62+F63+G63</f>
        <v>-4724.91</v>
      </c>
    </row>
    <row r="64" customFormat="false" ht="12.75" hidden="false" customHeight="false" outlineLevel="0" collapsed="false">
      <c r="A64" s="102"/>
      <c r="B64" s="108" t="s">
        <v>1442</v>
      </c>
      <c r="C64" s="108"/>
      <c r="D64" s="108"/>
      <c r="E64" s="168" t="n">
        <v>-200</v>
      </c>
      <c r="G64" s="64"/>
      <c r="H64" s="64" t="n">
        <f aca="false">H63+F64+G64</f>
        <v>-4724.91</v>
      </c>
    </row>
    <row r="65" customFormat="false" ht="12.75" hidden="false" customHeight="false" outlineLevel="0" collapsed="false">
      <c r="A65" s="102"/>
      <c r="B65" s="108" t="s">
        <v>1443</v>
      </c>
      <c r="C65" s="108"/>
      <c r="D65" s="108"/>
      <c r="E65" s="168"/>
      <c r="G65" s="64" t="n">
        <v>-94.5</v>
      </c>
      <c r="H65" s="64" t="n">
        <f aca="false">H64+F65+G65</f>
        <v>-4819.41</v>
      </c>
    </row>
    <row r="66" customFormat="false" ht="12.75" hidden="false" customHeight="false" outlineLevel="0" collapsed="false">
      <c r="A66" s="102"/>
      <c r="G66" s="64"/>
      <c r="H66" s="64" t="n">
        <f aca="false">H65+F66+G66</f>
        <v>-4819.41</v>
      </c>
    </row>
    <row r="67" customFormat="false" ht="12.75" hidden="false" customHeight="false" outlineLevel="0" collapsed="false">
      <c r="B67" s="0" t="s">
        <v>77</v>
      </c>
      <c r="D67" s="3"/>
      <c r="E67" s="168" t="n">
        <v>-1500</v>
      </c>
      <c r="F67" s="64"/>
      <c r="G67" s="64" t="n">
        <v>-2110</v>
      </c>
      <c r="H67" s="64" t="n">
        <f aca="false">H66+F67+G67</f>
        <v>-6929.41</v>
      </c>
    </row>
    <row r="68" customFormat="false" ht="12.75" hidden="false" customHeight="false" outlineLevel="0" collapsed="false">
      <c r="B68" s="0" t="s">
        <v>78</v>
      </c>
      <c r="D68" s="3"/>
      <c r="E68" s="168" t="n">
        <v>-1500</v>
      </c>
      <c r="F68" s="64"/>
      <c r="G68" s="64" t="n">
        <v>-2110</v>
      </c>
      <c r="H68" s="64" t="n">
        <f aca="false">H67+F68+G68</f>
        <v>-9039.41</v>
      </c>
    </row>
    <row r="69" customFormat="false" ht="12.75" hidden="false" customHeight="false" outlineLevel="0" collapsed="false">
      <c r="B69" s="0" t="s">
        <v>79</v>
      </c>
      <c r="D69" s="3"/>
      <c r="E69" s="168" t="n">
        <v>-1500</v>
      </c>
      <c r="G69" s="64" t="n">
        <v>-2110</v>
      </c>
      <c r="H69" s="64" t="n">
        <f aca="false">H68+F69+G69</f>
        <v>-11149.41</v>
      </c>
    </row>
    <row r="70" customFormat="false" ht="12.75" hidden="false" customHeight="false" outlineLevel="0" collapsed="false">
      <c r="B70" s="108"/>
      <c r="C70" s="108"/>
      <c r="D70" s="109"/>
      <c r="E70" s="168"/>
      <c r="F70" s="64"/>
      <c r="G70" s="64"/>
      <c r="H70" s="64" t="n">
        <f aca="false">H69+F70+G70</f>
        <v>-11149.41</v>
      </c>
    </row>
    <row r="71" customFormat="false" ht="12.75" hidden="false" customHeight="false" outlineLevel="0" collapsed="false">
      <c r="B71" s="0" t="s">
        <v>76</v>
      </c>
      <c r="D71" s="191" t="n">
        <v>4293.65</v>
      </c>
      <c r="E71" s="3"/>
      <c r="F71" s="191" t="n">
        <v>4293.5</v>
      </c>
      <c r="G71" s="64"/>
      <c r="H71" s="64" t="n">
        <f aca="false">H70+F71+G71</f>
        <v>-6855.91</v>
      </c>
    </row>
    <row r="72" customFormat="false" ht="12.75" hidden="false" customHeight="false" outlineLevel="0" collapsed="false">
      <c r="A72" s="102" t="n">
        <v>44861</v>
      </c>
      <c r="B72" s="8" t="s">
        <v>681</v>
      </c>
      <c r="D72" s="191" t="n">
        <v>1650</v>
      </c>
      <c r="E72" s="3"/>
      <c r="F72" s="64" t="n">
        <v>1650</v>
      </c>
      <c r="G72" s="64"/>
      <c r="H72" s="64" t="n">
        <f aca="false">H71+F72+G72</f>
        <v>-5205.91</v>
      </c>
    </row>
    <row r="73" customFormat="false" ht="12.75" hidden="false" customHeight="false" outlineLevel="0" collapsed="false">
      <c r="A73" s="102" t="n">
        <v>44865</v>
      </c>
      <c r="B73" s="8" t="s">
        <v>1444</v>
      </c>
      <c r="D73" s="191" t="n">
        <v>3000</v>
      </c>
      <c r="E73" s="3"/>
      <c r="F73" s="64" t="n">
        <v>3000</v>
      </c>
      <c r="G73" s="64"/>
      <c r="H73" s="64" t="n">
        <f aca="false">H72+F73+G73</f>
        <v>-2205.91</v>
      </c>
    </row>
    <row r="74" customFormat="false" ht="12.75" hidden="false" customHeight="false" outlineLevel="0" collapsed="false">
      <c r="A74" s="102" t="n">
        <v>44865</v>
      </c>
      <c r="B74" s="8" t="s">
        <v>1445</v>
      </c>
      <c r="D74" s="191" t="n">
        <v>1000</v>
      </c>
      <c r="E74" s="3"/>
      <c r="F74" s="0" t="n">
        <v>1000</v>
      </c>
      <c r="H74" s="64" t="n">
        <f aca="false">H73+F74+G74</f>
        <v>-1205.91</v>
      </c>
    </row>
    <row r="75" customFormat="false" ht="12.75" hidden="false" customHeight="false" outlineLevel="0" collapsed="false">
      <c r="D75" s="104"/>
      <c r="E75" s="3"/>
      <c r="H75" s="64" t="n">
        <f aca="false">H74+F75+G75</f>
        <v>-1205.91</v>
      </c>
    </row>
    <row r="76" customFormat="false" ht="12.75" hidden="false" customHeight="false" outlineLevel="0" collapsed="false">
      <c r="H76" s="64" t="n">
        <f aca="false">H75+F76+G76</f>
        <v>-1205.91</v>
      </c>
    </row>
    <row r="77" customFormat="false" ht="12.75" hidden="false" customHeight="false" outlineLevel="0" collapsed="false">
      <c r="A77" s="102" t="n">
        <v>44847</v>
      </c>
      <c r="B77" s="8" t="s">
        <v>1446</v>
      </c>
      <c r="E77" s="168" t="n">
        <v>-12667</v>
      </c>
      <c r="G77" s="64" t="n">
        <v>-10000</v>
      </c>
      <c r="H77" s="64" t="n">
        <f aca="false">H76+F77+G77</f>
        <v>-11205.91</v>
      </c>
    </row>
    <row r="78" customFormat="false" ht="12.75" hidden="false" customHeight="false" outlineLevel="0" collapsed="false">
      <c r="H78" s="64" t="n">
        <f aca="false">H77+F78+G78</f>
        <v>-11205.91</v>
      </c>
    </row>
    <row r="79" customFormat="false" ht="12.75" hidden="false" customHeight="false" outlineLevel="0" collapsed="false">
      <c r="H79" s="64" t="n">
        <f aca="false">H78+F79+G79</f>
        <v>-11205.91</v>
      </c>
    </row>
    <row r="80" customFormat="false" ht="12.75" hidden="false" customHeight="false" outlineLevel="0" collapsed="false">
      <c r="B80" s="0" t="s">
        <v>1405</v>
      </c>
      <c r="H80" s="64" t="n">
        <f aca="false">H79+F80+G80</f>
        <v>-11205.91</v>
      </c>
    </row>
    <row r="81" customFormat="false" ht="12.75" hidden="false" customHeight="false" outlineLevel="0" collapsed="false">
      <c r="H81" s="64" t="n">
        <f aca="false">H80+F81+G81</f>
        <v>-11205.91</v>
      </c>
    </row>
    <row r="82" customFormat="false" ht="12.75" hidden="false" customHeight="false" outlineLevel="0" collapsed="false">
      <c r="B82" s="0" t="s">
        <v>1447</v>
      </c>
      <c r="H82" s="64" t="n">
        <f aca="false">H81+F82+G82</f>
        <v>-11205.91</v>
      </c>
    </row>
    <row r="83" customFormat="false" ht="12.75" hidden="false" customHeight="false" outlineLevel="0" collapsed="false">
      <c r="B83" s="356" t="s">
        <v>1448</v>
      </c>
      <c r="C83" s="356"/>
      <c r="D83" s="357" t="n">
        <v>20000</v>
      </c>
      <c r="F83" s="0" t="n">
        <v>23750</v>
      </c>
      <c r="H83" s="64" t="n">
        <f aca="false">H82+F83+G83</f>
        <v>12544.09</v>
      </c>
    </row>
    <row r="84" customFormat="false" ht="12.75" hidden="false" customHeight="false" outlineLevel="0" collapsed="false">
      <c r="B84" s="356" t="s">
        <v>1449</v>
      </c>
      <c r="C84" s="356"/>
      <c r="D84" s="357"/>
      <c r="G84" s="64" t="n">
        <v>-23750</v>
      </c>
      <c r="H84" s="64" t="n">
        <f aca="false">H83+F84+G84</f>
        <v>-11205.91</v>
      </c>
    </row>
    <row r="85" customFormat="false" ht="12.75" hidden="false" customHeight="false" outlineLevel="0" collapsed="false">
      <c r="D85" s="2"/>
      <c r="G85" s="64"/>
      <c r="H85" s="64"/>
    </row>
    <row r="86" customFormat="false" ht="12.75" hidden="false" customHeight="false" outlineLevel="0" collapsed="false">
      <c r="A86" s="350"/>
      <c r="B86" s="282"/>
      <c r="C86" s="282"/>
      <c r="D86" s="358"/>
      <c r="G86" s="64"/>
      <c r="H86" s="64"/>
    </row>
    <row r="87" customFormat="false" ht="12.75" hidden="false" customHeight="false" outlineLevel="0" collapsed="false">
      <c r="A87" s="350" t="n">
        <v>44803</v>
      </c>
      <c r="B87" s="282" t="s">
        <v>1260</v>
      </c>
      <c r="C87" s="282"/>
      <c r="D87" s="358" t="n">
        <v>4000</v>
      </c>
      <c r="H87" s="64"/>
    </row>
    <row r="88" customFormat="false" ht="12.75" hidden="false" customHeight="false" outlineLevel="0" collapsed="false">
      <c r="A88" s="350" t="n">
        <v>44772</v>
      </c>
      <c r="B88" s="282" t="s">
        <v>1406</v>
      </c>
      <c r="C88" s="282"/>
      <c r="D88" s="358" t="n">
        <v>4000</v>
      </c>
      <c r="H88" s="64"/>
    </row>
    <row r="89" customFormat="false" ht="12.75" hidden="false" customHeight="false" outlineLevel="0" collapsed="false">
      <c r="A89" s="350" t="n">
        <v>44742</v>
      </c>
      <c r="B89" s="282" t="s">
        <v>1407</v>
      </c>
      <c r="C89" s="282"/>
      <c r="D89" s="358" t="n">
        <v>4000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A39"/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4" colorId="64" zoomScale="170" zoomScaleNormal="170" zoomScalePageLayoutView="100" workbookViewId="0">
      <selection pane="topLeft" activeCell="A23" activeCellId="0" sqref="A23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9"/>
    <col collapsed="false" customWidth="true" hidden="false" outlineLevel="0" max="2" min="2" style="0" width="36.43"/>
    <col collapsed="false" customWidth="true" hidden="false" outlineLevel="0" max="3" min="3" style="0" width="3.14"/>
    <col collapsed="false" customWidth="true" hidden="false" outlineLevel="0" max="8" min="4" style="0" width="12.29"/>
    <col collapsed="false" customWidth="true" hidden="false" outlineLevel="0" max="9" min="9" style="0" width="9.14"/>
  </cols>
  <sheetData>
    <row r="1" customFormat="false" ht="12.75" hidden="false" customHeight="false" outlineLevel="0" collapsed="false">
      <c r="B1" s="42" t="n">
        <v>3.08</v>
      </c>
      <c r="E1" s="194"/>
      <c r="F1" s="194" t="s">
        <v>28</v>
      </c>
      <c r="G1" s="194" t="s">
        <v>29</v>
      </c>
      <c r="H1" s="194" t="s">
        <v>3</v>
      </c>
    </row>
    <row r="2" customFormat="false" ht="12.75" hidden="false" customHeight="false" outlineLevel="0" collapsed="false">
      <c r="A2" s="3" t="s">
        <v>1450</v>
      </c>
      <c r="C2" s="81" t="s">
        <v>67</v>
      </c>
      <c r="D2" s="311" t="n">
        <f aca="false">SUM(D5:D42)</f>
        <v>66162.31</v>
      </c>
      <c r="E2" s="311" t="n">
        <f aca="false">SUM(E5:E69)</f>
        <v>-61978.72</v>
      </c>
      <c r="F2" s="311" t="n">
        <f aca="false">SUM(F5:F66)</f>
        <v>9260.5</v>
      </c>
      <c r="G2" s="311" t="n">
        <f aca="false">SUM(G5:G66)</f>
        <v>-25729.24</v>
      </c>
      <c r="H2" s="311" t="n">
        <f aca="false">F2+G2</f>
        <v>-16468.74</v>
      </c>
    </row>
    <row r="3" customFormat="false" ht="12.75" hidden="false" customHeight="false" outlineLevel="0" collapsed="false">
      <c r="B3" s="18"/>
      <c r="H3" s="64"/>
    </row>
    <row r="4" customFormat="false" ht="12.75" hidden="false" customHeight="false" outlineLevel="0" collapsed="false">
      <c r="B4" s="18"/>
      <c r="H4" s="64" t="n">
        <f aca="false">H3+F4+G4</f>
        <v>0</v>
      </c>
    </row>
    <row r="5" customFormat="false" ht="12.75" hidden="false" customHeight="false" outlineLevel="0" collapsed="false">
      <c r="E5" s="64"/>
      <c r="F5" s="64"/>
      <c r="G5" s="64"/>
      <c r="H5" s="64" t="n">
        <f aca="false">H4+F5+G5</f>
        <v>0</v>
      </c>
    </row>
    <row r="6" customFormat="false" ht="12.75" hidden="false" customHeight="false" outlineLevel="0" collapsed="false">
      <c r="B6" s="0" t="s">
        <v>338</v>
      </c>
      <c r="D6" s="0" t="n">
        <v>1156.32</v>
      </c>
      <c r="E6" s="64"/>
      <c r="F6" s="64" t="n">
        <v>1155</v>
      </c>
      <c r="G6" s="64"/>
      <c r="H6" s="64" t="n">
        <f aca="false">H5+F6+G6</f>
        <v>1155</v>
      </c>
    </row>
    <row r="7" customFormat="false" ht="12.75" hidden="false" customHeight="false" outlineLevel="0" collapsed="false">
      <c r="B7" s="0" t="s">
        <v>1451</v>
      </c>
      <c r="D7" s="0" t="n">
        <v>904.99</v>
      </c>
      <c r="E7" s="64"/>
      <c r="F7" s="64" t="n">
        <v>905</v>
      </c>
      <c r="G7" s="64"/>
      <c r="H7" s="64" t="n">
        <f aca="false">H6+F7+G7</f>
        <v>2060</v>
      </c>
    </row>
    <row r="8" customFormat="false" ht="12.75" hidden="false" customHeight="false" outlineLevel="0" collapsed="false">
      <c r="B8" s="0" t="s">
        <v>342</v>
      </c>
      <c r="D8" s="0" t="n">
        <v>51</v>
      </c>
      <c r="E8" s="64"/>
      <c r="F8" s="64" t="n">
        <v>51</v>
      </c>
      <c r="G8" s="64"/>
      <c r="H8" s="64" t="n">
        <f aca="false">H7+F8+G8</f>
        <v>2111</v>
      </c>
    </row>
    <row r="9" customFormat="false" ht="12.75" hidden="false" customHeight="false" outlineLevel="0" collapsed="false">
      <c r="B9" s="108" t="s">
        <v>1342</v>
      </c>
      <c r="C9" s="108"/>
      <c r="D9" s="108"/>
      <c r="E9" s="64" t="n">
        <v>-1500</v>
      </c>
      <c r="F9" s="64"/>
      <c r="G9" s="64" t="n">
        <v>-1763.74</v>
      </c>
      <c r="H9" s="64" t="n">
        <f aca="false">H8+F9+G9</f>
        <v>347.26</v>
      </c>
    </row>
    <row r="10" customFormat="false" ht="12.75" hidden="false" customHeight="false" outlineLevel="0" collapsed="false">
      <c r="A10" s="102" t="n">
        <v>44805</v>
      </c>
      <c r="B10" s="103" t="s">
        <v>1335</v>
      </c>
      <c r="C10" s="103"/>
      <c r="D10" s="103"/>
      <c r="E10" s="64" t="n">
        <v>-200</v>
      </c>
      <c r="F10" s="168"/>
      <c r="G10" s="64" t="n">
        <v>-229.9</v>
      </c>
      <c r="H10" s="64" t="n">
        <f aca="false">H9+F10+G10</f>
        <v>117.36</v>
      </c>
    </row>
    <row r="11" customFormat="false" ht="12.75" hidden="false" customHeight="false" outlineLevel="0" collapsed="false">
      <c r="A11" s="102" t="n">
        <v>44805</v>
      </c>
      <c r="B11" s="103" t="s">
        <v>1336</v>
      </c>
      <c r="C11" s="103"/>
      <c r="D11" s="103"/>
      <c r="E11" s="64" t="n">
        <v>-400</v>
      </c>
      <c r="F11" s="168"/>
      <c r="G11" s="64" t="n">
        <v>-501.1</v>
      </c>
      <c r="H11" s="64" t="n">
        <f aca="false">H10+F11+G11</f>
        <v>-383.74</v>
      </c>
    </row>
    <row r="12" customFormat="false" ht="12.75" hidden="false" customHeight="false" outlineLevel="0" collapsed="false">
      <c r="A12" s="102" t="n">
        <v>44807</v>
      </c>
      <c r="B12" s="103" t="s">
        <v>1452</v>
      </c>
      <c r="C12" s="103"/>
      <c r="D12" s="103"/>
      <c r="E12" s="64"/>
      <c r="F12" s="168"/>
      <c r="G12" s="64" t="n">
        <v>-1000</v>
      </c>
      <c r="H12" s="64" t="n">
        <f aca="false">H11+F12+G12</f>
        <v>-1383.74</v>
      </c>
    </row>
    <row r="13" customFormat="false" ht="12.75" hidden="false" customHeight="false" outlineLevel="0" collapsed="false">
      <c r="A13" s="102" t="n">
        <v>44816</v>
      </c>
      <c r="B13" s="103" t="s">
        <v>1453</v>
      </c>
      <c r="C13" s="103"/>
      <c r="D13" s="103"/>
      <c r="E13" s="64" t="n">
        <v>-4300</v>
      </c>
      <c r="F13" s="168"/>
      <c r="G13" s="64" t="n">
        <v>-4300</v>
      </c>
      <c r="H13" s="64" t="n">
        <f aca="false">H12+F13+G13</f>
        <v>-5683.74</v>
      </c>
    </row>
    <row r="14" customFormat="false" ht="12.75" hidden="false" customHeight="false" outlineLevel="0" collapsed="false">
      <c r="A14" s="102" t="n">
        <v>44805</v>
      </c>
      <c r="B14" s="103" t="s">
        <v>1454</v>
      </c>
      <c r="C14" s="103"/>
      <c r="D14" s="103"/>
      <c r="E14" s="64" t="n">
        <v>-396.5</v>
      </c>
      <c r="F14" s="168"/>
      <c r="G14" s="64" t="n">
        <v>-696.5</v>
      </c>
      <c r="H14" s="64" t="n">
        <f aca="false">H13+F14+G14</f>
        <v>-6380.24</v>
      </c>
    </row>
    <row r="15" customFormat="false" ht="12.75" hidden="false" customHeight="false" outlineLevel="0" collapsed="false">
      <c r="B15" s="108"/>
      <c r="C15" s="108"/>
      <c r="D15" s="108"/>
      <c r="E15" s="64"/>
      <c r="F15" s="64"/>
      <c r="G15" s="64"/>
      <c r="H15" s="64" t="n">
        <f aca="false">H14+F15+G15</f>
        <v>-6380.24</v>
      </c>
    </row>
    <row r="16" customFormat="false" ht="12.75" hidden="false" customHeight="false" outlineLevel="0" collapsed="false">
      <c r="B16" s="108" t="s">
        <v>1442</v>
      </c>
      <c r="C16" s="108"/>
      <c r="D16" s="108"/>
      <c r="E16" s="64" t="n">
        <v>-200</v>
      </c>
      <c r="F16" s="64"/>
      <c r="G16" s="64" t="n">
        <v>-61.44</v>
      </c>
      <c r="H16" s="64" t="n">
        <f aca="false">H15+F16+G16</f>
        <v>-6441.68</v>
      </c>
    </row>
    <row r="17" customFormat="false" ht="12.75" hidden="false" customHeight="false" outlineLevel="0" collapsed="false">
      <c r="B17" s="108" t="s">
        <v>1455</v>
      </c>
      <c r="C17" s="108"/>
      <c r="D17" s="108"/>
      <c r="E17" s="64" t="n">
        <v>-50</v>
      </c>
      <c r="F17" s="64"/>
      <c r="G17" s="64" t="n">
        <v>-26.33</v>
      </c>
      <c r="H17" s="64" t="n">
        <f aca="false">H16+F17+G17</f>
        <v>-6468.01</v>
      </c>
    </row>
    <row r="18" customFormat="false" ht="12.75" hidden="false" customHeight="false" outlineLevel="0" collapsed="false">
      <c r="B18" s="108"/>
      <c r="C18" s="108"/>
      <c r="D18" s="108"/>
      <c r="E18" s="64"/>
      <c r="F18" s="64"/>
      <c r="G18" s="64"/>
      <c r="H18" s="64" t="n">
        <f aca="false">H17+F18+G18</f>
        <v>-6468.01</v>
      </c>
    </row>
    <row r="19" customFormat="false" ht="12.75" hidden="false" customHeight="false" outlineLevel="0" collapsed="false">
      <c r="A19" s="102" t="n">
        <v>44796</v>
      </c>
      <c r="B19" s="108" t="s">
        <v>1456</v>
      </c>
      <c r="C19" s="108"/>
      <c r="D19" s="108"/>
      <c r="E19" s="64" t="n">
        <v>-177.65</v>
      </c>
      <c r="F19" s="64"/>
      <c r="G19" s="64"/>
      <c r="H19" s="64" t="n">
        <f aca="false">H18+F19+G19</f>
        <v>-6468.01</v>
      </c>
    </row>
    <row r="20" customFormat="false" ht="12.75" hidden="false" customHeight="false" outlineLevel="0" collapsed="false">
      <c r="A20" s="102" t="n">
        <v>44768</v>
      </c>
      <c r="B20" s="108" t="s">
        <v>1457</v>
      </c>
      <c r="C20" s="108"/>
      <c r="D20" s="108"/>
      <c r="E20" s="64" t="n">
        <v>-448.35</v>
      </c>
      <c r="F20" s="64"/>
      <c r="G20" s="64"/>
      <c r="H20" s="64" t="n">
        <f aca="false">H19+F20+G20</f>
        <v>-6468.01</v>
      </c>
    </row>
    <row r="21" customFormat="false" ht="12.75" hidden="false" customHeight="false" outlineLevel="0" collapsed="false">
      <c r="A21" s="102" t="n">
        <v>44768</v>
      </c>
      <c r="B21" s="108" t="s">
        <v>1458</v>
      </c>
      <c r="C21" s="108"/>
      <c r="D21" s="108"/>
      <c r="E21" s="64" t="n">
        <v>-112.67</v>
      </c>
      <c r="F21" s="64"/>
      <c r="G21" s="64"/>
      <c r="H21" s="64" t="n">
        <f aca="false">H20+F21+G21</f>
        <v>-6468.01</v>
      </c>
    </row>
    <row r="22" customFormat="false" ht="12.75" hidden="false" customHeight="false" outlineLevel="0" collapsed="false">
      <c r="A22" s="102" t="n">
        <v>44779</v>
      </c>
      <c r="B22" s="8" t="s">
        <v>1459</v>
      </c>
      <c r="E22" s="64" t="n">
        <v>-900.19</v>
      </c>
      <c r="H22" s="64" t="n">
        <f aca="false">H21+F22+G22</f>
        <v>-6468.01</v>
      </c>
    </row>
    <row r="23" customFormat="false" ht="12.75" hidden="false" customHeight="false" outlineLevel="0" collapsed="false">
      <c r="A23" s="102" t="n">
        <v>44783</v>
      </c>
      <c r="B23" s="108" t="s">
        <v>1460</v>
      </c>
      <c r="C23" s="108"/>
      <c r="D23" s="108"/>
      <c r="E23" s="64" t="n">
        <v>-633.2</v>
      </c>
      <c r="F23" s="64"/>
      <c r="G23" s="64"/>
      <c r="H23" s="64" t="n">
        <f aca="false">H22+F23+G23</f>
        <v>-6468.01</v>
      </c>
    </row>
    <row r="24" customFormat="false" ht="12.75" hidden="false" customHeight="false" outlineLevel="0" collapsed="false">
      <c r="A24" s="102" t="n">
        <v>44787</v>
      </c>
      <c r="B24" s="108" t="s">
        <v>1461</v>
      </c>
      <c r="C24" s="108"/>
      <c r="D24" s="108"/>
      <c r="E24" s="64" t="n">
        <v>-1080.16</v>
      </c>
      <c r="F24" s="64"/>
      <c r="G24" s="64"/>
      <c r="H24" s="64" t="n">
        <f aca="false">H23+F24+G24</f>
        <v>-6468.01</v>
      </c>
    </row>
    <row r="25" customFormat="false" ht="12.75" hidden="false" customHeight="false" outlineLevel="0" collapsed="false">
      <c r="A25" s="102" t="n">
        <v>44796</v>
      </c>
      <c r="B25" s="108" t="n">
        <v>2240</v>
      </c>
      <c r="C25" s="108"/>
      <c r="D25" s="108"/>
      <c r="E25" s="64" t="n">
        <v>-80</v>
      </c>
      <c r="F25" s="64"/>
      <c r="G25" s="64"/>
      <c r="H25" s="64" t="n">
        <f aca="false">H24+F25+G25</f>
        <v>-6468.01</v>
      </c>
    </row>
    <row r="26" customFormat="false" ht="12.75" hidden="false" customHeight="false" outlineLevel="0" collapsed="false">
      <c r="B26" s="108" t="s">
        <v>1462</v>
      </c>
      <c r="C26" s="108"/>
      <c r="D26" s="108"/>
      <c r="E26" s="168"/>
      <c r="F26" s="64"/>
      <c r="G26" s="64" t="n">
        <v>-3432.23</v>
      </c>
      <c r="H26" s="64" t="n">
        <f aca="false">H25+F26+G26</f>
        <v>-9900.24</v>
      </c>
    </row>
    <row r="27" customFormat="false" ht="12.75" hidden="false" customHeight="false" outlineLevel="0" collapsed="false">
      <c r="B27" s="108" t="s">
        <v>1463</v>
      </c>
      <c r="C27" s="108" t="s">
        <v>1464</v>
      </c>
      <c r="D27" s="108"/>
      <c r="E27" s="168"/>
      <c r="F27" s="64"/>
      <c r="G27" s="64" t="n">
        <v>-7000</v>
      </c>
      <c r="H27" s="64" t="n">
        <f aca="false">H26+F27+G27</f>
        <v>-16900.24</v>
      </c>
    </row>
    <row r="28" customFormat="false" ht="12.75" hidden="false" customHeight="false" outlineLevel="0" collapsed="false">
      <c r="F28" s="64"/>
      <c r="G28" s="64"/>
      <c r="H28" s="64" t="n">
        <f aca="false">H27+F28+G28</f>
        <v>-16900.24</v>
      </c>
    </row>
    <row r="29" customFormat="false" ht="12.75" hidden="false" customHeight="false" outlineLevel="0" collapsed="false">
      <c r="B29" s="108"/>
      <c r="C29" s="108"/>
      <c r="D29" s="108"/>
      <c r="E29" s="168"/>
      <c r="F29" s="64"/>
      <c r="G29" s="64"/>
      <c r="H29" s="64" t="n">
        <f aca="false">H28+F29+G29</f>
        <v>-16900.24</v>
      </c>
    </row>
    <row r="30" customFormat="false" ht="12.75" hidden="false" customHeight="false" outlineLevel="0" collapsed="false">
      <c r="B30" s="0" t="s">
        <v>77</v>
      </c>
      <c r="D30" s="64"/>
      <c r="E30" s="64" t="n">
        <v>-1500</v>
      </c>
      <c r="F30" s="64"/>
      <c r="G30" s="64" t="n">
        <v>-2609</v>
      </c>
      <c r="H30" s="64" t="n">
        <f aca="false">H29+F30+G30</f>
        <v>-19509.24</v>
      </c>
    </row>
    <row r="31" customFormat="false" ht="12.75" hidden="false" customHeight="false" outlineLevel="0" collapsed="false">
      <c r="B31" s="0" t="s">
        <v>373</v>
      </c>
      <c r="D31" s="64"/>
      <c r="E31" s="64" t="n">
        <v>-32000</v>
      </c>
      <c r="G31" s="64"/>
      <c r="H31" s="64" t="n">
        <f aca="false">H30+F31+G31</f>
        <v>-19509.24</v>
      </c>
    </row>
    <row r="32" customFormat="false" ht="12.75" hidden="false" customHeight="false" outlineLevel="0" collapsed="false">
      <c r="B32" s="0" t="s">
        <v>78</v>
      </c>
      <c r="D32" s="64"/>
      <c r="E32" s="64" t="n">
        <v>-1500</v>
      </c>
      <c r="F32" s="64"/>
      <c r="G32" s="64" t="n">
        <v>-2609</v>
      </c>
      <c r="H32" s="64" t="n">
        <f aca="false">H31+F32+G32</f>
        <v>-22118.24</v>
      </c>
    </row>
    <row r="33" customFormat="false" ht="12.75" hidden="false" customHeight="false" outlineLevel="0" collapsed="false">
      <c r="B33" s="0" t="s">
        <v>1465</v>
      </c>
      <c r="D33" s="64"/>
      <c r="E33" s="168" t="n">
        <v>-15000</v>
      </c>
      <c r="F33" s="64"/>
      <c r="G33" s="64"/>
      <c r="H33" s="64" t="n">
        <f aca="false">H32+F33+G33</f>
        <v>-22118.24</v>
      </c>
    </row>
    <row r="34" customFormat="false" ht="12.75" hidden="false" customHeight="false" outlineLevel="0" collapsed="false">
      <c r="B34" s="0" t="s">
        <v>1466</v>
      </c>
      <c r="E34" s="64" t="n">
        <v>-1500</v>
      </c>
      <c r="G34" s="2" t="n">
        <v>-1500</v>
      </c>
      <c r="H34" s="64" t="n">
        <f aca="false">H33+F34+G34</f>
        <v>-23618.24</v>
      </c>
    </row>
    <row r="35" customFormat="false" ht="12.75" hidden="false" customHeight="false" outlineLevel="0" collapsed="false">
      <c r="B35" s="108"/>
      <c r="C35" s="108"/>
      <c r="D35" s="108"/>
      <c r="E35" s="168"/>
      <c r="F35" s="64"/>
      <c r="G35" s="64"/>
      <c r="H35" s="64" t="n">
        <f aca="false">H34+F35+G35</f>
        <v>-23618.24</v>
      </c>
    </row>
    <row r="36" customFormat="false" ht="12.75" hidden="false" customHeight="false" outlineLevel="0" collapsed="false">
      <c r="B36" s="0" t="s">
        <v>76</v>
      </c>
      <c r="D36" s="64" t="n">
        <v>4200</v>
      </c>
      <c r="F36" s="64" t="n">
        <v>4299.5</v>
      </c>
      <c r="G36" s="64"/>
      <c r="H36" s="64" t="n">
        <f aca="false">H35+F36+G36</f>
        <v>-19318.74</v>
      </c>
    </row>
    <row r="37" customFormat="false" ht="12.75" hidden="false" customHeight="false" outlineLevel="0" collapsed="false">
      <c r="B37" s="0" t="s">
        <v>681</v>
      </c>
      <c r="D37" s="64" t="n">
        <v>1650</v>
      </c>
      <c r="F37" s="64" t="n">
        <v>1650</v>
      </c>
      <c r="G37" s="64"/>
      <c r="H37" s="64" t="n">
        <f aca="false">H36+F37+G37</f>
        <v>-17668.74</v>
      </c>
    </row>
    <row r="38" customFormat="false" ht="12.75" hidden="false" customHeight="false" outlineLevel="0" collapsed="false">
      <c r="B38" s="0" t="s">
        <v>1467</v>
      </c>
      <c r="D38" s="2" t="n">
        <v>1200</v>
      </c>
      <c r="F38" s="2" t="n">
        <v>1200</v>
      </c>
      <c r="H38" s="64" t="n">
        <f aca="false">H37+F38+G38</f>
        <v>-16468.74</v>
      </c>
    </row>
    <row r="39" customFormat="false" ht="12.75" hidden="false" customHeight="false" outlineLevel="0" collapsed="false">
      <c r="B39" s="0" t="s">
        <v>1468</v>
      </c>
      <c r="D39" s="2" t="n">
        <v>54000</v>
      </c>
      <c r="F39" s="2"/>
      <c r="G39" s="2"/>
      <c r="H39" s="64" t="n">
        <f aca="false">H38+F39+G39</f>
        <v>-16468.74</v>
      </c>
    </row>
    <row r="40" customFormat="false" ht="12.75" hidden="false" customHeight="false" outlineLevel="0" collapsed="false">
      <c r="H40" s="64" t="n">
        <f aca="false">H39+F40+G40</f>
        <v>-16468.74</v>
      </c>
    </row>
    <row r="41" customFormat="false" ht="12.75" hidden="false" customHeight="false" outlineLevel="0" collapsed="false">
      <c r="B41" s="0" t="s">
        <v>1469</v>
      </c>
      <c r="D41" s="168" t="n">
        <v>3000</v>
      </c>
      <c r="H41" s="64" t="n">
        <f aca="false">H40+F41+G41</f>
        <v>-16468.74</v>
      </c>
    </row>
    <row r="42" customFormat="false" ht="12.75" hidden="false" customHeight="false" outlineLevel="0" collapsed="false">
      <c r="D42" s="17"/>
      <c r="H42" s="64" t="n">
        <f aca="false">H41+F42+G42</f>
        <v>-16468.74</v>
      </c>
    </row>
    <row r="43" customFormat="false" ht="12.75" hidden="false" customHeight="false" outlineLevel="0" collapsed="false">
      <c r="H43" s="64" t="n">
        <f aca="false">H42+F43+G43</f>
        <v>-16468.74</v>
      </c>
    </row>
    <row r="44" customFormat="false" ht="12.75" hidden="false" customHeight="false" outlineLevel="0" collapsed="false">
      <c r="H44" s="64" t="n">
        <f aca="false">H43+F44+G44</f>
        <v>-16468.74</v>
      </c>
    </row>
    <row r="45" customFormat="false" ht="12.75" hidden="false" customHeight="false" outlineLevel="0" collapsed="false">
      <c r="B45" s="359" t="s">
        <v>1448</v>
      </c>
      <c r="C45" s="359"/>
      <c r="D45" s="360" t="n">
        <v>20000</v>
      </c>
      <c r="H45" s="64" t="n">
        <f aca="false">H44+F45+G45</f>
        <v>-16468.74</v>
      </c>
    </row>
    <row r="46" customFormat="false" ht="12.75" hidden="false" customHeight="false" outlineLevel="0" collapsed="false">
      <c r="A46" s="350" t="n">
        <v>44803</v>
      </c>
      <c r="B46" s="282" t="s">
        <v>1260</v>
      </c>
      <c r="C46" s="282"/>
      <c r="D46" s="358" t="n">
        <v>4000</v>
      </c>
      <c r="H46" s="64" t="n">
        <f aca="false">H45+F46+G46</f>
        <v>-16468.74</v>
      </c>
    </row>
    <row r="47" customFormat="false" ht="12.75" hidden="false" customHeight="false" outlineLevel="0" collapsed="false">
      <c r="A47" s="350" t="n">
        <v>44772</v>
      </c>
      <c r="B47" s="282" t="s">
        <v>1406</v>
      </c>
      <c r="C47" s="282"/>
      <c r="D47" s="358" t="n">
        <v>4000</v>
      </c>
      <c r="H47" s="64" t="e">
        <f aca="false">#REF!+F47+G47</f>
        <v>#REF!</v>
      </c>
    </row>
    <row r="48" customFormat="false" ht="12.75" hidden="false" customHeight="false" outlineLevel="0" collapsed="false">
      <c r="A48" s="350" t="n">
        <v>44742</v>
      </c>
      <c r="B48" s="282" t="s">
        <v>1407</v>
      </c>
      <c r="C48" s="282"/>
      <c r="D48" s="358" t="n">
        <v>4000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A39"/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40" colorId="64" zoomScale="170" zoomScaleNormal="170" zoomScalePageLayoutView="100" workbookViewId="0">
      <selection pane="topLeft" activeCell="A31" activeCellId="0" sqref="A3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9"/>
    <col collapsed="false" customWidth="true" hidden="false" outlineLevel="0" max="2" min="2" style="0" width="36.43"/>
    <col collapsed="false" customWidth="true" hidden="false" outlineLevel="0" max="3" min="3" style="0" width="3.14"/>
    <col collapsed="false" customWidth="true" hidden="false" outlineLevel="0" max="8" min="4" style="0" width="12.29"/>
    <col collapsed="false" customWidth="true" hidden="false" outlineLevel="0" max="9" min="9" style="0" width="9.14"/>
  </cols>
  <sheetData>
    <row r="1" customFormat="false" ht="12.75" hidden="false" customHeight="false" outlineLevel="0" collapsed="false">
      <c r="B1" s="42" t="n">
        <v>1.46</v>
      </c>
      <c r="E1" s="194"/>
      <c r="F1" s="194" t="s">
        <v>28</v>
      </c>
      <c r="G1" s="194" t="s">
        <v>29</v>
      </c>
      <c r="H1" s="194" t="s">
        <v>3</v>
      </c>
    </row>
    <row r="2" customFormat="false" ht="12.75" hidden="false" customHeight="false" outlineLevel="0" collapsed="false">
      <c r="A2" s="3" t="s">
        <v>1470</v>
      </c>
      <c r="C2" s="81" t="s">
        <v>67</v>
      </c>
      <c r="D2" s="311" t="n">
        <f aca="false">SUM(D4:D52)</f>
        <v>34617.91</v>
      </c>
      <c r="E2" s="311" t="n">
        <f aca="false">SUM(E4:E84)</f>
        <v>-11695.35</v>
      </c>
      <c r="F2" s="311" t="n">
        <f aca="false">SUM(F4:F81)</f>
        <v>102061.66</v>
      </c>
      <c r="G2" s="311" t="n">
        <f aca="false">SUM(G4:G81)</f>
        <v>-33894.33</v>
      </c>
      <c r="H2" s="311" t="n">
        <f aca="false">F2+G2</f>
        <v>68167.33</v>
      </c>
    </row>
    <row r="3" customFormat="false" ht="12.75" hidden="false" customHeight="false" outlineLevel="0" collapsed="false">
      <c r="B3" s="18"/>
      <c r="H3" s="64"/>
    </row>
    <row r="4" customFormat="false" ht="12.75" hidden="false" customHeight="false" outlineLevel="0" collapsed="false">
      <c r="H4" s="64" t="n">
        <f aca="false">H3+F4+G4</f>
        <v>0</v>
      </c>
    </row>
    <row r="5" customFormat="false" ht="12.75" hidden="false" customHeight="false" outlineLevel="0" collapsed="false">
      <c r="B5" s="0" t="s">
        <v>338</v>
      </c>
      <c r="D5" s="0" t="n">
        <v>901.88</v>
      </c>
      <c r="E5" s="64"/>
      <c r="F5" s="64" t="n">
        <v>900</v>
      </c>
      <c r="G5" s="64"/>
      <c r="H5" s="64" t="n">
        <f aca="false">H4+F5+G5</f>
        <v>900</v>
      </c>
    </row>
    <row r="6" customFormat="false" ht="12.75" hidden="false" customHeight="false" outlineLevel="0" collapsed="false">
      <c r="B6" s="0" t="s">
        <v>1471</v>
      </c>
      <c r="D6" s="0" t="n">
        <v>208.85</v>
      </c>
      <c r="E6" s="64"/>
      <c r="F6" s="64" t="n">
        <v>208.85</v>
      </c>
      <c r="G6" s="64"/>
      <c r="H6" s="64" t="n">
        <f aca="false">H5+F6+G6</f>
        <v>1108.85</v>
      </c>
    </row>
    <row r="7" customFormat="false" ht="12.75" hidden="false" customHeight="false" outlineLevel="0" collapsed="false">
      <c r="B7" s="0" t="s">
        <v>1451</v>
      </c>
      <c r="D7" s="0" t="n">
        <v>488.3</v>
      </c>
      <c r="E7" s="64"/>
      <c r="F7" s="64" t="n">
        <v>488.3</v>
      </c>
      <c r="G7" s="64"/>
      <c r="H7" s="64" t="n">
        <f aca="false">H6+F7+G7</f>
        <v>1597.15</v>
      </c>
    </row>
    <row r="8" customFormat="false" ht="12.75" hidden="false" customHeight="false" outlineLevel="0" collapsed="false">
      <c r="B8" s="0" t="s">
        <v>342</v>
      </c>
      <c r="D8" s="0" t="n">
        <v>69.38</v>
      </c>
      <c r="E8" s="64"/>
      <c r="F8" s="64" t="n">
        <v>69.38</v>
      </c>
      <c r="G8" s="64"/>
      <c r="H8" s="64" t="n">
        <f aca="false">H7+F8+G8</f>
        <v>1666.53</v>
      </c>
    </row>
    <row r="9" customFormat="false" ht="12.75" hidden="false" customHeight="false" outlineLevel="0" collapsed="false">
      <c r="B9" s="108" t="s">
        <v>1342</v>
      </c>
      <c r="C9" s="108"/>
      <c r="D9" s="109"/>
      <c r="E9" s="64" t="n">
        <v>-1311.2</v>
      </c>
      <c r="F9" s="64"/>
      <c r="G9" s="64" t="n">
        <v>-1311.2</v>
      </c>
      <c r="H9" s="64" t="n">
        <f aca="false">H8+F9+G9</f>
        <v>355.33</v>
      </c>
    </row>
    <row r="10" customFormat="false" ht="12.75" hidden="false" customHeight="false" outlineLevel="0" collapsed="false">
      <c r="B10" s="108"/>
      <c r="C10" s="108"/>
      <c r="D10" s="109"/>
      <c r="E10" s="168"/>
      <c r="F10" s="64"/>
      <c r="G10" s="64"/>
      <c r="H10" s="64" t="n">
        <f aca="false">H9+F10+G10</f>
        <v>355.33</v>
      </c>
    </row>
    <row r="11" customFormat="false" ht="12.75" hidden="false" customHeight="false" outlineLevel="0" collapsed="false">
      <c r="B11" s="103" t="s">
        <v>1335</v>
      </c>
      <c r="C11" s="103"/>
      <c r="D11" s="101"/>
      <c r="E11" s="64" t="n">
        <v>-200</v>
      </c>
      <c r="F11" s="168"/>
      <c r="G11" s="64" t="n">
        <v>-254.9</v>
      </c>
      <c r="H11" s="64" t="n">
        <f aca="false">H10+F11+G11</f>
        <v>100.43</v>
      </c>
    </row>
    <row r="12" customFormat="false" ht="12.75" hidden="false" customHeight="false" outlineLevel="0" collapsed="false">
      <c r="B12" s="103" t="s">
        <v>1336</v>
      </c>
      <c r="C12" s="103"/>
      <c r="D12" s="101"/>
      <c r="E12" s="64" t="n">
        <v>-400</v>
      </c>
      <c r="F12" s="168"/>
      <c r="G12" s="64" t="n">
        <v>-531.9</v>
      </c>
      <c r="H12" s="64" t="n">
        <f aca="false">H11+F12+G12</f>
        <v>-431.47</v>
      </c>
    </row>
    <row r="13" customFormat="false" ht="12.75" hidden="false" customHeight="false" outlineLevel="0" collapsed="false">
      <c r="A13" s="102" t="n">
        <v>44788</v>
      </c>
      <c r="B13" s="108" t="s">
        <v>1472</v>
      </c>
      <c r="C13" s="103"/>
      <c r="D13" s="101"/>
      <c r="E13" s="168"/>
      <c r="F13" s="168"/>
      <c r="G13" s="64" t="n">
        <v>-149.3</v>
      </c>
      <c r="H13" s="64" t="n">
        <f aca="false">H12+F13+G13</f>
        <v>-580.77</v>
      </c>
    </row>
    <row r="14" customFormat="false" ht="12.75" hidden="false" customHeight="false" outlineLevel="0" collapsed="false">
      <c r="B14" s="103" t="s">
        <v>1473</v>
      </c>
      <c r="C14" s="103"/>
      <c r="D14" s="101"/>
      <c r="E14" s="64" t="n">
        <v>-4300</v>
      </c>
      <c r="F14" s="168"/>
      <c r="G14" s="64" t="n">
        <v>-4300</v>
      </c>
      <c r="H14" s="64" t="n">
        <f aca="false">H13+F14+G14</f>
        <v>-4880.77</v>
      </c>
    </row>
    <row r="15" customFormat="false" ht="12.75" hidden="false" customHeight="false" outlineLevel="0" collapsed="false">
      <c r="B15" s="103" t="s">
        <v>1474</v>
      </c>
      <c r="C15" s="103"/>
      <c r="D15" s="101"/>
      <c r="E15" s="64" t="n">
        <v>-396.5</v>
      </c>
      <c r="F15" s="168"/>
      <c r="G15" s="64" t="n">
        <v>-396.5</v>
      </c>
      <c r="H15" s="64" t="n">
        <f aca="false">H14+F15+G15</f>
        <v>-5277.27</v>
      </c>
    </row>
    <row r="16" customFormat="false" ht="12.75" hidden="false" customHeight="false" outlineLevel="0" collapsed="false">
      <c r="B16" s="108"/>
      <c r="C16" s="108"/>
      <c r="D16" s="109"/>
      <c r="E16" s="168"/>
      <c r="F16" s="64"/>
      <c r="G16" s="64"/>
      <c r="H16" s="64" t="n">
        <f aca="false">H15+F16+G16</f>
        <v>-5277.27</v>
      </c>
    </row>
    <row r="17" customFormat="false" ht="12.75" hidden="false" customHeight="false" outlineLevel="0" collapsed="false">
      <c r="B17" s="108" t="s">
        <v>1442</v>
      </c>
      <c r="C17" s="108"/>
      <c r="D17" s="109"/>
      <c r="E17" s="64" t="n">
        <v>-200</v>
      </c>
      <c r="F17" s="64"/>
      <c r="G17" s="64" t="n">
        <v>-140.51</v>
      </c>
      <c r="H17" s="64" t="n">
        <f aca="false">H16+F17+G17</f>
        <v>-5417.78</v>
      </c>
    </row>
    <row r="18" customFormat="false" ht="12.75" hidden="false" customHeight="false" outlineLevel="0" collapsed="false">
      <c r="B18" s="108" t="s">
        <v>1455</v>
      </c>
      <c r="C18" s="108"/>
      <c r="D18" s="109"/>
      <c r="E18" s="64" t="n">
        <v>-50</v>
      </c>
      <c r="F18" s="64"/>
      <c r="G18" s="64" t="n">
        <v>-59.47</v>
      </c>
      <c r="H18" s="64" t="n">
        <f aca="false">H17+F18+G18</f>
        <v>-5477.25</v>
      </c>
    </row>
    <row r="19" customFormat="false" ht="12.75" hidden="false" customHeight="false" outlineLevel="0" collapsed="false">
      <c r="B19" s="108"/>
      <c r="C19" s="108"/>
      <c r="D19" s="109"/>
      <c r="E19" s="168"/>
      <c r="F19" s="64"/>
      <c r="G19" s="64"/>
      <c r="H19" s="64" t="n">
        <f aca="false">H18+F19+G19</f>
        <v>-5477.25</v>
      </c>
    </row>
    <row r="20" customFormat="false" ht="12.75" hidden="false" customHeight="false" outlineLevel="0" collapsed="false">
      <c r="B20" s="108" t="s">
        <v>1475</v>
      </c>
      <c r="C20" s="108"/>
      <c r="D20" s="109"/>
      <c r="E20" s="64" t="n">
        <v>-177.65</v>
      </c>
      <c r="F20" s="64"/>
      <c r="G20" s="64"/>
      <c r="H20" s="64" t="n">
        <f aca="false">H19+F20+G20</f>
        <v>-5477.25</v>
      </c>
    </row>
    <row r="21" customFormat="false" ht="12.75" hidden="false" customHeight="false" outlineLevel="0" collapsed="false">
      <c r="B21" s="108" t="s">
        <v>1476</v>
      </c>
      <c r="C21" s="108"/>
      <c r="D21" s="109"/>
      <c r="E21" s="64" t="n">
        <v>-100</v>
      </c>
      <c r="F21" s="64"/>
      <c r="G21" s="64"/>
      <c r="H21" s="64" t="n">
        <f aca="false">H20+F21+G21</f>
        <v>-5477.25</v>
      </c>
    </row>
    <row r="22" customFormat="false" ht="12.75" hidden="false" customHeight="false" outlineLevel="0" collapsed="false">
      <c r="B22" s="108" t="n">
        <v>2240</v>
      </c>
      <c r="C22" s="108"/>
      <c r="D22" s="109"/>
      <c r="E22" s="64" t="n">
        <v>-60</v>
      </c>
      <c r="F22" s="64"/>
      <c r="G22" s="64"/>
      <c r="H22" s="64" t="n">
        <f aca="false">H21+F22+G22</f>
        <v>-5477.25</v>
      </c>
    </row>
    <row r="23" customFormat="false" ht="12.75" hidden="false" customHeight="false" outlineLevel="0" collapsed="false">
      <c r="A23" s="102" t="n">
        <v>44777</v>
      </c>
      <c r="B23" s="108" t="s">
        <v>1462</v>
      </c>
      <c r="C23" s="108"/>
      <c r="D23" s="109"/>
      <c r="E23" s="168"/>
      <c r="F23" s="64"/>
      <c r="G23" s="64" t="n">
        <v>-337.65</v>
      </c>
      <c r="H23" s="64" t="n">
        <f aca="false">H22+F23+G23</f>
        <v>-5814.9</v>
      </c>
    </row>
    <row r="24" customFormat="false" ht="12.75" hidden="false" customHeight="false" outlineLevel="0" collapsed="false">
      <c r="A24" s="102" t="n">
        <v>44799</v>
      </c>
      <c r="B24" s="108" t="s">
        <v>1477</v>
      </c>
      <c r="C24" s="108"/>
      <c r="D24" s="109"/>
      <c r="E24" s="168"/>
      <c r="F24" s="64"/>
      <c r="G24" s="64" t="n">
        <v>-1500</v>
      </c>
      <c r="H24" s="64" t="n">
        <f aca="false">H23+F24+G24</f>
        <v>-7314.9</v>
      </c>
    </row>
    <row r="25" customFormat="false" ht="12.75" hidden="false" customHeight="false" outlineLevel="0" collapsed="false">
      <c r="A25" s="102" t="n">
        <v>44805</v>
      </c>
      <c r="B25" s="8" t="s">
        <v>77</v>
      </c>
      <c r="D25" s="3"/>
      <c r="E25" s="64" t="n">
        <v>-1500</v>
      </c>
      <c r="F25" s="64"/>
      <c r="G25" s="64" t="n">
        <v>-2108</v>
      </c>
      <c r="H25" s="64" t="n">
        <f aca="false">H24+F25+G25</f>
        <v>-9422.9</v>
      </c>
    </row>
    <row r="26" customFormat="false" ht="12.75" hidden="false" customHeight="false" outlineLevel="0" collapsed="false">
      <c r="A26" s="102" t="n">
        <v>44805</v>
      </c>
      <c r="B26" s="8" t="s">
        <v>78</v>
      </c>
      <c r="D26" s="3"/>
      <c r="E26" s="64" t="n">
        <v>-1500</v>
      </c>
      <c r="F26" s="64"/>
      <c r="G26" s="64" t="n">
        <v>-2108</v>
      </c>
      <c r="H26" s="64" t="n">
        <f aca="false">H25+F26+G26</f>
        <v>-11530.9</v>
      </c>
    </row>
    <row r="27" customFormat="false" ht="12.75" hidden="false" customHeight="false" outlineLevel="0" collapsed="false">
      <c r="B27" s="0" t="s">
        <v>79</v>
      </c>
      <c r="D27" s="3"/>
      <c r="E27" s="64" t="n">
        <v>-1500</v>
      </c>
      <c r="H27" s="64" t="n">
        <f aca="false">H26+F27+G27</f>
        <v>-11530.9</v>
      </c>
    </row>
    <row r="28" customFormat="false" ht="12.75" hidden="false" customHeight="false" outlineLevel="0" collapsed="false">
      <c r="A28" s="102" t="n">
        <v>44779</v>
      </c>
      <c r="B28" s="8" t="s">
        <v>1478</v>
      </c>
      <c r="D28" s="3"/>
      <c r="E28" s="3"/>
      <c r="G28" s="64" t="n">
        <v>-1038</v>
      </c>
      <c r="H28" s="64" t="n">
        <f aca="false">H27+F28+G28</f>
        <v>-12568.9</v>
      </c>
    </row>
    <row r="29" customFormat="false" ht="12.75" hidden="false" customHeight="false" outlineLevel="0" collapsed="false">
      <c r="B29" s="0" t="s">
        <v>1479</v>
      </c>
      <c r="D29" s="3"/>
      <c r="E29" s="3"/>
      <c r="G29" s="64" t="n">
        <v>-3000</v>
      </c>
      <c r="H29" s="64" t="n">
        <f aca="false">H28+F29+G29</f>
        <v>-15568.9</v>
      </c>
    </row>
    <row r="30" customFormat="false" ht="12.75" hidden="false" customHeight="false" outlineLevel="0" collapsed="false">
      <c r="A30" s="102" t="n">
        <v>44788</v>
      </c>
      <c r="B30" s="8" t="s">
        <v>1480</v>
      </c>
      <c r="D30" s="3"/>
      <c r="E30" s="3"/>
      <c r="G30" s="64" t="n">
        <v>-638</v>
      </c>
      <c r="H30" s="64" t="n">
        <f aca="false">H29+F30+G30</f>
        <v>-16206.9</v>
      </c>
    </row>
    <row r="31" customFormat="false" ht="12.75" hidden="false" customHeight="false" outlineLevel="0" collapsed="false">
      <c r="B31" s="0" t="s">
        <v>184</v>
      </c>
      <c r="D31" s="3"/>
      <c r="E31" s="3"/>
      <c r="G31" s="64" t="n">
        <v>-400</v>
      </c>
      <c r="H31" s="64" t="n">
        <f aca="false">H30+F31+G31</f>
        <v>-16606.9</v>
      </c>
    </row>
    <row r="32" customFormat="false" ht="12.75" hidden="false" customHeight="false" outlineLevel="0" collapsed="false">
      <c r="B32" s="0" t="s">
        <v>1481</v>
      </c>
      <c r="D32" s="3"/>
      <c r="E32" s="3"/>
      <c r="G32" s="64" t="n">
        <v>-1872.16</v>
      </c>
      <c r="H32" s="64" t="n">
        <f aca="false">H31+F32+G32</f>
        <v>-18479.06</v>
      </c>
    </row>
    <row r="33" customFormat="false" ht="12.75" hidden="false" customHeight="false" outlineLevel="0" collapsed="false">
      <c r="B33" s="0" t="s">
        <v>1482</v>
      </c>
      <c r="D33" s="3"/>
      <c r="E33" s="3"/>
      <c r="G33" s="64" t="n">
        <v>-3.74</v>
      </c>
      <c r="H33" s="64" t="n">
        <f aca="false">H32+F33+G33</f>
        <v>-18482.8</v>
      </c>
    </row>
    <row r="34" customFormat="false" ht="12.75" hidden="false" customHeight="false" outlineLevel="0" collapsed="false">
      <c r="B34" s="0" t="s">
        <v>1483</v>
      </c>
      <c r="D34" s="3"/>
      <c r="E34" s="3"/>
      <c r="G34" s="64" t="n">
        <v>-700</v>
      </c>
      <c r="H34" s="64" t="n">
        <f aca="false">H33+F34+G34</f>
        <v>-19182.8</v>
      </c>
    </row>
    <row r="35" customFormat="false" ht="12.75" hidden="false" customHeight="false" outlineLevel="0" collapsed="false">
      <c r="B35" s="0" t="s">
        <v>1484</v>
      </c>
      <c r="D35" s="3"/>
      <c r="E35" s="3"/>
      <c r="G35" s="64" t="n">
        <v>-380</v>
      </c>
      <c r="H35" s="64" t="n">
        <f aca="false">H34+F35+G35</f>
        <v>-19562.8</v>
      </c>
    </row>
    <row r="36" customFormat="false" ht="12.75" hidden="false" customHeight="false" outlineLevel="0" collapsed="false">
      <c r="B36" s="0" t="s">
        <v>1485</v>
      </c>
      <c r="D36" s="3"/>
      <c r="E36" s="3"/>
      <c r="G36" s="64" t="n">
        <v>-200</v>
      </c>
      <c r="H36" s="64" t="n">
        <f aca="false">H35+F36+G36</f>
        <v>-19762.8</v>
      </c>
    </row>
    <row r="37" customFormat="false" ht="12.75" hidden="false" customHeight="false" outlineLevel="0" collapsed="false">
      <c r="B37" s="0" t="s">
        <v>1486</v>
      </c>
      <c r="D37" s="3"/>
      <c r="E37" s="3"/>
      <c r="G37" s="64" t="n">
        <v>-100</v>
      </c>
      <c r="H37" s="64" t="n">
        <f aca="false">H36+F37+G37</f>
        <v>-19862.8</v>
      </c>
    </row>
    <row r="38" customFormat="false" ht="12.75" hidden="false" customHeight="false" outlineLevel="0" collapsed="false">
      <c r="B38" s="0" t="s">
        <v>1487</v>
      </c>
      <c r="D38" s="3"/>
      <c r="E38" s="3"/>
      <c r="G38" s="0" t="n">
        <v>-7000</v>
      </c>
      <c r="H38" s="64" t="n">
        <f aca="false">H37+F38+G38</f>
        <v>-26862.8</v>
      </c>
    </row>
    <row r="39" customFormat="false" ht="12.75" hidden="false" customHeight="false" outlineLevel="0" collapsed="false">
      <c r="D39" s="3"/>
      <c r="E39" s="3"/>
      <c r="H39" s="64" t="n">
        <f aca="false">H38+F39+G39</f>
        <v>-26862.8</v>
      </c>
    </row>
    <row r="40" customFormat="false" ht="12.75" hidden="false" customHeight="false" outlineLevel="0" collapsed="false">
      <c r="A40" s="102" t="n">
        <v>44774</v>
      </c>
      <c r="B40" s="8" t="s">
        <v>1488</v>
      </c>
      <c r="C40" s="108"/>
      <c r="D40" s="109"/>
      <c r="E40" s="168"/>
      <c r="F40" s="64"/>
      <c r="G40" s="64"/>
      <c r="H40" s="64" t="n">
        <f aca="false">H39+F40+G40</f>
        <v>-26862.8</v>
      </c>
    </row>
    <row r="41" customFormat="false" ht="12.75" hidden="false" customHeight="false" outlineLevel="0" collapsed="false">
      <c r="A41" s="102" t="n">
        <v>44774</v>
      </c>
      <c r="B41" s="8" t="s">
        <v>1489</v>
      </c>
      <c r="C41" s="108"/>
      <c r="D41" s="361"/>
      <c r="E41" s="168"/>
      <c r="F41" s="64" t="n">
        <v>20000</v>
      </c>
      <c r="G41" s="64"/>
      <c r="H41" s="64" t="n">
        <f aca="false">H40+F41+G41</f>
        <v>-6862.8</v>
      </c>
    </row>
    <row r="42" customFormat="false" ht="12.75" hidden="false" customHeight="false" outlineLevel="0" collapsed="false">
      <c r="A42" s="102" t="n">
        <v>44778</v>
      </c>
      <c r="B42" s="8" t="s">
        <v>1489</v>
      </c>
      <c r="C42" s="108"/>
      <c r="D42" s="109"/>
      <c r="E42" s="168"/>
      <c r="F42" s="64" t="n">
        <v>25000</v>
      </c>
      <c r="G42" s="64"/>
      <c r="H42" s="64" t="n">
        <f aca="false">H41+F42+G42</f>
        <v>18137.2</v>
      </c>
    </row>
    <row r="43" customFormat="false" ht="12.75" hidden="false" customHeight="false" outlineLevel="0" collapsed="false">
      <c r="A43" s="102"/>
      <c r="B43" s="8" t="s">
        <v>1490</v>
      </c>
      <c r="C43" s="108"/>
      <c r="D43" s="109"/>
      <c r="E43" s="168"/>
      <c r="F43" s="64"/>
      <c r="G43" s="64" t="n">
        <v>-5365</v>
      </c>
      <c r="H43" s="64" t="n">
        <f aca="false">H42+F43+G43</f>
        <v>12772.2</v>
      </c>
    </row>
    <row r="44" customFormat="false" ht="12.75" hidden="false" customHeight="false" outlineLevel="0" collapsed="false">
      <c r="A44" s="102"/>
      <c r="B44" s="8" t="s">
        <v>1491</v>
      </c>
      <c r="C44" s="108"/>
      <c r="D44" s="109"/>
      <c r="E44" s="168"/>
      <c r="F44" s="64" t="n">
        <v>40000</v>
      </c>
      <c r="G44" s="64"/>
      <c r="H44" s="64" t="n">
        <f aca="false">H43+F44+G44</f>
        <v>52772.2</v>
      </c>
    </row>
    <row r="45" customFormat="false" ht="12.75" hidden="false" customHeight="false" outlineLevel="0" collapsed="false">
      <c r="A45" s="102"/>
      <c r="B45" s="8" t="s">
        <v>1492</v>
      </c>
      <c r="C45" s="108"/>
      <c r="D45" s="109"/>
      <c r="E45" s="168"/>
      <c r="F45" s="64"/>
      <c r="G45" s="64"/>
      <c r="H45" s="64" t="n">
        <f aca="false">H44+F45+G45</f>
        <v>52772.2</v>
      </c>
    </row>
    <row r="46" customFormat="false" ht="12.75" hidden="false" customHeight="false" outlineLevel="0" collapsed="false">
      <c r="A46" s="102"/>
      <c r="C46" s="108"/>
      <c r="D46" s="109"/>
      <c r="E46" s="168"/>
      <c r="F46" s="64"/>
      <c r="G46" s="64"/>
      <c r="H46" s="64" t="n">
        <f aca="false">H45+F46+G46</f>
        <v>52772.2</v>
      </c>
    </row>
    <row r="47" customFormat="false" ht="12.75" hidden="false" customHeight="false" outlineLevel="0" collapsed="false">
      <c r="B47" s="0" t="s">
        <v>76</v>
      </c>
      <c r="D47" s="64" t="n">
        <v>4299.5</v>
      </c>
      <c r="E47" s="3"/>
      <c r="F47" s="64" t="n">
        <v>4299.5</v>
      </c>
      <c r="G47" s="64"/>
      <c r="H47" s="64" t="n">
        <f aca="false">H46+F47+G47</f>
        <v>57071.7</v>
      </c>
    </row>
    <row r="48" customFormat="false" ht="12.75" hidden="false" customHeight="false" outlineLevel="0" collapsed="false">
      <c r="B48" s="0" t="s">
        <v>681</v>
      </c>
      <c r="D48" s="64" t="n">
        <v>1650</v>
      </c>
      <c r="E48" s="3"/>
      <c r="F48" s="64" t="n">
        <v>1650</v>
      </c>
      <c r="G48" s="64"/>
      <c r="H48" s="64" t="n">
        <f aca="false">H47+F48+G48</f>
        <v>58721.7</v>
      </c>
    </row>
    <row r="49" customFormat="false" ht="12.75" hidden="false" customHeight="false" outlineLevel="0" collapsed="false">
      <c r="A49" s="102" t="n">
        <v>44802</v>
      </c>
      <c r="B49" s="8" t="s">
        <v>1493</v>
      </c>
      <c r="D49" s="64" t="n">
        <v>3000</v>
      </c>
      <c r="E49" s="3"/>
      <c r="F49" s="64" t="n">
        <v>3000</v>
      </c>
      <c r="G49" s="64"/>
      <c r="H49" s="64" t="n">
        <f aca="false">H48+F49+G49</f>
        <v>61721.7</v>
      </c>
    </row>
    <row r="50" customFormat="false" ht="12.75" hidden="false" customHeight="false" outlineLevel="0" collapsed="false">
      <c r="B50" s="0" t="s">
        <v>1448</v>
      </c>
      <c r="D50" s="17" t="n">
        <v>20000</v>
      </c>
      <c r="E50" s="3"/>
      <c r="H50" s="64" t="n">
        <f aca="false">H49+F50+G50</f>
        <v>61721.7</v>
      </c>
    </row>
    <row r="51" customFormat="false" ht="12.75" hidden="false" customHeight="false" outlineLevel="0" collapsed="false">
      <c r="H51" s="64" t="n">
        <f aca="false">H50+F51+G51</f>
        <v>61721.7</v>
      </c>
    </row>
    <row r="52" customFormat="false" ht="12.75" hidden="false" customHeight="false" outlineLevel="0" collapsed="false">
      <c r="B52" s="0" t="s">
        <v>1260</v>
      </c>
      <c r="D52" s="17" t="n">
        <v>4000</v>
      </c>
      <c r="H52" s="64" t="n">
        <f aca="false">H51+F52+G52</f>
        <v>61721.7</v>
      </c>
    </row>
    <row r="53" customFormat="false" ht="12.75" hidden="false" customHeight="false" outlineLevel="0" collapsed="false">
      <c r="H53" s="64" t="n">
        <f aca="false">H52+F53+G53</f>
        <v>61721.7</v>
      </c>
    </row>
    <row r="54" customFormat="false" ht="12.75" hidden="false" customHeight="false" outlineLevel="0" collapsed="false">
      <c r="B54" s="153" t="s">
        <v>1494</v>
      </c>
      <c r="H54" s="64" t="n">
        <f aca="false">H53+F54+G54</f>
        <v>61721.7</v>
      </c>
    </row>
    <row r="55" customFormat="false" ht="12.75" hidden="false" customHeight="false" outlineLevel="0" collapsed="false">
      <c r="B55" s="330" t="s">
        <v>1495</v>
      </c>
      <c r="C55" s="330"/>
      <c r="D55" s="333" t="n">
        <v>1000</v>
      </c>
      <c r="E55" s="330"/>
      <c r="F55" s="362" t="n">
        <v>1000</v>
      </c>
      <c r="H55" s="64" t="n">
        <f aca="false">H54+F55+G55</f>
        <v>62721.7</v>
      </c>
    </row>
    <row r="56" customFormat="false" ht="12.75" hidden="false" customHeight="false" outlineLevel="0" collapsed="false">
      <c r="A56" s="102" t="n">
        <v>44802</v>
      </c>
      <c r="B56" s="363" t="s">
        <v>1496</v>
      </c>
      <c r="C56" s="363" t="s">
        <v>1497</v>
      </c>
      <c r="D56" s="364" t="n">
        <v>5000</v>
      </c>
      <c r="E56" s="363"/>
      <c r="F56" s="365" t="n">
        <v>5000</v>
      </c>
      <c r="H56" s="64" t="n">
        <f aca="false">H55+F56+G56</f>
        <v>67721.7</v>
      </c>
    </row>
    <row r="57" customFormat="false" ht="12.75" hidden="false" customHeight="false" outlineLevel="0" collapsed="false">
      <c r="B57" s="330" t="s">
        <v>1498</v>
      </c>
      <c r="C57" s="330"/>
      <c r="D57" s="366"/>
      <c r="E57" s="330"/>
      <c r="F57" s="330" t="n">
        <v>445.63</v>
      </c>
      <c r="H57" s="64" t="n">
        <f aca="false">H56+F57+G57</f>
        <v>68167.33</v>
      </c>
    </row>
    <row r="58" customFormat="false" ht="12.75" hidden="false" customHeight="false" outlineLevel="0" collapsed="false">
      <c r="H58" s="64" t="n">
        <f aca="false">H57+F58+G58</f>
        <v>68167.33</v>
      </c>
    </row>
    <row r="59" customFormat="false" ht="12.75" hidden="false" customHeight="false" outlineLevel="0" collapsed="false">
      <c r="B59" s="282" t="s">
        <v>1407</v>
      </c>
      <c r="C59" s="282"/>
      <c r="D59" s="358" t="n">
        <f aca="false">'07'!D55</f>
        <v>4000</v>
      </c>
      <c r="H59" s="64" t="n">
        <f aca="false">H58+F59+G59</f>
        <v>68167.33</v>
      </c>
    </row>
    <row r="60" customFormat="false" ht="12.75" hidden="false" customHeight="false" outlineLevel="0" collapsed="false">
      <c r="B60" s="282" t="s">
        <v>1406</v>
      </c>
      <c r="C60" s="282"/>
      <c r="D60" s="358" t="n">
        <v>4000</v>
      </c>
      <c r="H60" s="64" t="n">
        <f aca="false">H59+F60+G60</f>
        <v>68167.33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8"/>
  <sheetViews>
    <sheetView showFormulas="false" showGridLines="true" showRowColHeaders="true" showZeros="true" rightToLeft="false" tabSelected="false" showOutlineSymbols="true" defaultGridColor="true" view="normal" topLeftCell="A24" colorId="64" zoomScale="170" zoomScaleNormal="170" zoomScalePageLayoutView="100" workbookViewId="0">
      <selection pane="topLeft" activeCell="A24" activeCellId="0" sqref="A24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9"/>
    <col collapsed="false" customWidth="true" hidden="false" outlineLevel="0" max="2" min="2" style="0" width="36.43"/>
    <col collapsed="false" customWidth="true" hidden="false" outlineLevel="0" max="3" min="3" style="0" width="3.29"/>
    <col collapsed="false" customWidth="true" hidden="false" outlineLevel="0" max="8" min="4" style="0" width="12.29"/>
    <col collapsed="false" customWidth="true" hidden="false" outlineLevel="0" max="9" min="9" style="0" width="9.14"/>
  </cols>
  <sheetData>
    <row r="1" customFormat="false" ht="12.75" hidden="false" customHeight="false" outlineLevel="0" collapsed="false">
      <c r="B1" s="42" t="n">
        <v>2.37</v>
      </c>
      <c r="E1" s="194"/>
      <c r="F1" s="194" t="s">
        <v>28</v>
      </c>
      <c r="G1" s="194" t="s">
        <v>29</v>
      </c>
      <c r="H1" s="194" t="s">
        <v>3</v>
      </c>
    </row>
    <row r="2" customFormat="false" ht="12.75" hidden="false" customHeight="false" outlineLevel="0" collapsed="false">
      <c r="A2" s="3" t="s">
        <v>1499</v>
      </c>
      <c r="C2" s="81" t="s">
        <v>67</v>
      </c>
      <c r="D2" s="311" t="n">
        <f aca="false">SUM(D4:D90)</f>
        <v>27131.07</v>
      </c>
      <c r="E2" s="311" t="n">
        <f aca="false">SUM(E4:E90)</f>
        <v>-17400.82</v>
      </c>
      <c r="F2" s="311" t="n">
        <f aca="false">SUM(F4:F87)</f>
        <v>16133.3</v>
      </c>
      <c r="G2" s="311" t="n">
        <f aca="false">SUM(G4:G87)</f>
        <v>-20600.82</v>
      </c>
      <c r="H2" s="311" t="n">
        <f aca="false">F2+G2</f>
        <v>-4467.52</v>
      </c>
    </row>
    <row r="3" customFormat="false" ht="12.75" hidden="false" customHeight="false" outlineLevel="0" collapsed="false">
      <c r="B3" s="18"/>
      <c r="C3" s="3"/>
      <c r="D3" s="3"/>
      <c r="E3" s="64"/>
      <c r="F3" s="64"/>
      <c r="G3" s="64"/>
      <c r="H3" s="64"/>
    </row>
    <row r="4" customFormat="false" ht="12.75" hidden="false" customHeight="false" outlineLevel="0" collapsed="false">
      <c r="H4" s="64" t="n">
        <f aca="false">H3+F4+G4</f>
        <v>0</v>
      </c>
    </row>
    <row r="5" customFormat="false" ht="12.75" hidden="false" customHeight="false" outlineLevel="0" collapsed="false">
      <c r="B5" s="0" t="s">
        <v>338</v>
      </c>
      <c r="D5" s="0" t="n">
        <v>1062.91</v>
      </c>
      <c r="E5" s="64"/>
      <c r="F5" s="0" t="n">
        <v>1060</v>
      </c>
      <c r="G5" s="64"/>
      <c r="H5" s="64" t="n">
        <f aca="false">H4+F5+G5</f>
        <v>1060</v>
      </c>
    </row>
    <row r="6" customFormat="false" ht="12.75" hidden="false" customHeight="false" outlineLevel="0" collapsed="false">
      <c r="B6" s="0" t="s">
        <v>1471</v>
      </c>
      <c r="D6" s="0" t="n">
        <v>324.23</v>
      </c>
      <c r="E6" s="64"/>
      <c r="F6" s="0" t="n">
        <v>325</v>
      </c>
      <c r="G6" s="64"/>
      <c r="H6" s="64" t="n">
        <f aca="false">H5+F6+G6</f>
        <v>1385</v>
      </c>
    </row>
    <row r="7" customFormat="false" ht="12.75" hidden="false" customHeight="false" outlineLevel="0" collapsed="false">
      <c r="H7" s="64" t="n">
        <f aca="false">H6+F7+G7</f>
        <v>1385</v>
      </c>
    </row>
    <row r="8" customFormat="false" ht="12.75" hidden="false" customHeight="false" outlineLevel="0" collapsed="false">
      <c r="B8" s="0" t="s">
        <v>342</v>
      </c>
      <c r="D8" s="0" t="n">
        <v>48.8</v>
      </c>
      <c r="E8" s="64"/>
      <c r="F8" s="64" t="n">
        <v>48.8</v>
      </c>
      <c r="G8" s="64"/>
      <c r="H8" s="64" t="n">
        <f aca="false">H7+F8+G8</f>
        <v>1433.8</v>
      </c>
    </row>
    <row r="9" customFormat="false" ht="12.75" hidden="false" customHeight="false" outlineLevel="0" collapsed="false">
      <c r="A9" s="102" t="n">
        <v>44755</v>
      </c>
      <c r="B9" s="108" t="s">
        <v>1342</v>
      </c>
      <c r="C9" s="108"/>
      <c r="D9" s="108"/>
      <c r="E9" s="64" t="n">
        <v>-1429.2</v>
      </c>
      <c r="F9" s="64"/>
      <c r="G9" s="64" t="n">
        <v>-1429.2</v>
      </c>
      <c r="H9" s="64" t="n">
        <f aca="false">H8+F9+G9</f>
        <v>4.59999999999991</v>
      </c>
    </row>
    <row r="10" customFormat="false" ht="12.75" hidden="false" customHeight="false" outlineLevel="0" collapsed="false">
      <c r="A10" s="102"/>
      <c r="B10" s="108"/>
      <c r="C10" s="108"/>
      <c r="D10" s="108"/>
      <c r="E10" s="64"/>
      <c r="F10" s="64"/>
      <c r="G10" s="64"/>
      <c r="H10" s="64" t="n">
        <f aca="false">H9+F10+G10</f>
        <v>4.59999999999991</v>
      </c>
    </row>
    <row r="11" customFormat="false" ht="12.75" hidden="false" customHeight="false" outlineLevel="0" collapsed="false">
      <c r="A11" s="102" t="n">
        <v>44746</v>
      </c>
      <c r="B11" s="103" t="s">
        <v>1335</v>
      </c>
      <c r="C11" s="103"/>
      <c r="D11" s="103"/>
      <c r="E11" s="64" t="n">
        <v>-219</v>
      </c>
      <c r="F11" s="168"/>
      <c r="G11" s="64" t="n">
        <v>-219</v>
      </c>
      <c r="H11" s="64" t="n">
        <f aca="false">H10+F11+G11</f>
        <v>-214.4</v>
      </c>
    </row>
    <row r="12" customFormat="false" ht="12.75" hidden="false" customHeight="false" outlineLevel="0" collapsed="false">
      <c r="A12" s="102" t="n">
        <v>44746</v>
      </c>
      <c r="B12" s="103" t="s">
        <v>1336</v>
      </c>
      <c r="C12" s="103"/>
      <c r="D12" s="103"/>
      <c r="E12" s="64" t="n">
        <v>-438.6</v>
      </c>
      <c r="F12" s="168"/>
      <c r="G12" s="64" t="n">
        <v>-438.6</v>
      </c>
      <c r="H12" s="64" t="n">
        <f aca="false">H11+F12+G12</f>
        <v>-653</v>
      </c>
    </row>
    <row r="13" customFormat="false" ht="12.75" hidden="false" customHeight="false" outlineLevel="0" collapsed="false">
      <c r="A13" s="102"/>
      <c r="B13" s="103"/>
      <c r="C13" s="103"/>
      <c r="D13" s="103"/>
      <c r="E13" s="64"/>
      <c r="F13" s="168"/>
      <c r="G13" s="64"/>
      <c r="H13" s="64" t="n">
        <f aca="false">H12+F13+G13</f>
        <v>-653</v>
      </c>
    </row>
    <row r="14" customFormat="false" ht="12.75" hidden="false" customHeight="false" outlineLevel="0" collapsed="false">
      <c r="A14" s="102" t="n">
        <v>44747</v>
      </c>
      <c r="B14" s="103" t="s">
        <v>1500</v>
      </c>
      <c r="C14" s="103"/>
      <c r="D14" s="103"/>
      <c r="E14" s="64"/>
      <c r="F14" s="168"/>
      <c r="G14" s="64" t="n">
        <v>-3450</v>
      </c>
      <c r="H14" s="64" t="n">
        <f aca="false">H13+F14+G14</f>
        <v>-4103</v>
      </c>
    </row>
    <row r="15" customFormat="false" ht="12.75" hidden="false" customHeight="false" outlineLevel="0" collapsed="false">
      <c r="A15" s="102" t="n">
        <v>44747</v>
      </c>
      <c r="B15" s="8" t="s">
        <v>1501</v>
      </c>
      <c r="F15" s="2" t="n">
        <v>3450</v>
      </c>
      <c r="H15" s="64" t="n">
        <f aca="false">H14+F15+G15</f>
        <v>-653</v>
      </c>
    </row>
    <row r="16" customFormat="false" ht="12.75" hidden="false" customHeight="false" outlineLevel="0" collapsed="false">
      <c r="A16" s="102"/>
      <c r="F16" s="2"/>
      <c r="H16" s="64" t="n">
        <f aca="false">H15+F16+G16</f>
        <v>-653</v>
      </c>
    </row>
    <row r="17" customFormat="false" ht="12.75" hidden="false" customHeight="false" outlineLevel="0" collapsed="false">
      <c r="A17" s="102" t="n">
        <v>44749</v>
      </c>
      <c r="B17" s="8" t="s">
        <v>1502</v>
      </c>
      <c r="E17" s="64" t="n">
        <v>-4.89</v>
      </c>
      <c r="F17" s="2"/>
      <c r="G17" s="64" t="n">
        <v>-4.89</v>
      </c>
      <c r="H17" s="64" t="n">
        <f aca="false">H16+F17+G17</f>
        <v>-657.89</v>
      </c>
    </row>
    <row r="18" customFormat="false" ht="12.75" hidden="false" customHeight="false" outlineLevel="0" collapsed="false">
      <c r="A18" s="102" t="n">
        <v>44749</v>
      </c>
      <c r="B18" s="103" t="s">
        <v>1503</v>
      </c>
      <c r="C18" s="103"/>
      <c r="D18" s="103"/>
      <c r="E18" s="64" t="n">
        <v>-4300</v>
      </c>
      <c r="F18" s="168"/>
      <c r="G18" s="64" t="n">
        <v>-4300</v>
      </c>
      <c r="H18" s="64" t="n">
        <f aca="false">H17+F18+G18</f>
        <v>-4957.89</v>
      </c>
    </row>
    <row r="19" customFormat="false" ht="12.75" hidden="false" customHeight="false" outlineLevel="0" collapsed="false">
      <c r="A19" s="102" t="n">
        <v>44749</v>
      </c>
      <c r="B19" s="103" t="s">
        <v>1504</v>
      </c>
      <c r="C19" s="103"/>
      <c r="D19" s="103"/>
      <c r="E19" s="64" t="n">
        <v>-396.5</v>
      </c>
      <c r="F19" s="168"/>
      <c r="G19" s="64" t="n">
        <v>-396.5</v>
      </c>
      <c r="H19" s="64" t="n">
        <f aca="false">H18+F19+G19</f>
        <v>-5354.39</v>
      </c>
    </row>
    <row r="20" customFormat="false" ht="12.75" hidden="false" customHeight="false" outlineLevel="0" collapsed="false">
      <c r="B20" s="108"/>
      <c r="C20" s="108"/>
      <c r="D20" s="108"/>
      <c r="E20" s="64"/>
      <c r="F20" s="64"/>
      <c r="G20" s="64"/>
      <c r="H20" s="64" t="n">
        <f aca="false">H19+F20+G20</f>
        <v>-5354.39</v>
      </c>
    </row>
    <row r="21" customFormat="false" ht="12.75" hidden="false" customHeight="false" outlineLevel="0" collapsed="false">
      <c r="B21" s="108" t="s">
        <v>1442</v>
      </c>
      <c r="C21" s="108"/>
      <c r="D21" s="108"/>
      <c r="E21" s="168" t="n">
        <v>-200</v>
      </c>
      <c r="F21" s="64"/>
      <c r="G21" s="64"/>
      <c r="H21" s="64" t="n">
        <f aca="false">H20+F21+G21</f>
        <v>-5354.39</v>
      </c>
    </row>
    <row r="22" customFormat="false" ht="12.75" hidden="false" customHeight="false" outlineLevel="0" collapsed="false">
      <c r="B22" s="108" t="s">
        <v>1455</v>
      </c>
      <c r="C22" s="108"/>
      <c r="D22" s="108"/>
      <c r="E22" s="168" t="n">
        <v>-50</v>
      </c>
      <c r="F22" s="64"/>
      <c r="G22" s="64"/>
      <c r="H22" s="64" t="n">
        <f aca="false">H21+F22+G22</f>
        <v>-5354.39</v>
      </c>
    </row>
    <row r="23" customFormat="false" ht="12.75" hidden="false" customHeight="false" outlineLevel="0" collapsed="false">
      <c r="B23" s="108"/>
      <c r="C23" s="108"/>
      <c r="D23" s="108"/>
      <c r="E23" s="64"/>
      <c r="F23" s="64"/>
      <c r="G23" s="64"/>
      <c r="H23" s="64" t="n">
        <f aca="false">H22+F23+G23</f>
        <v>-5354.39</v>
      </c>
    </row>
    <row r="24" customFormat="false" ht="12.75" hidden="false" customHeight="false" outlineLevel="0" collapsed="false">
      <c r="B24" s="108" t="s">
        <v>1505</v>
      </c>
      <c r="C24" s="108"/>
      <c r="D24" s="108"/>
      <c r="E24" s="64" t="n">
        <v>-177.65</v>
      </c>
      <c r="F24" s="64"/>
      <c r="G24" s="64"/>
      <c r="H24" s="64" t="n">
        <f aca="false">H23+F24+G24</f>
        <v>-5354.39</v>
      </c>
    </row>
    <row r="25" customFormat="false" ht="12.75" hidden="false" customHeight="false" outlineLevel="0" collapsed="false">
      <c r="B25" s="108" t="s">
        <v>1506</v>
      </c>
      <c r="C25" s="108"/>
      <c r="D25" s="108"/>
      <c r="E25" s="64" t="n">
        <v>-300</v>
      </c>
      <c r="F25" s="64"/>
      <c r="G25" s="64"/>
      <c r="H25" s="64" t="n">
        <f aca="false">H24+F25+G25</f>
        <v>-5354.39</v>
      </c>
    </row>
    <row r="26" customFormat="false" ht="12.75" hidden="false" customHeight="false" outlineLevel="0" collapsed="false">
      <c r="B26" s="108" t="s">
        <v>1232</v>
      </c>
      <c r="C26" s="108"/>
      <c r="D26" s="108"/>
      <c r="E26" s="64" t="n">
        <v>-31.99</v>
      </c>
      <c r="F26" s="64"/>
      <c r="G26" s="64"/>
      <c r="H26" s="64" t="n">
        <f aca="false">H25+F26+G26</f>
        <v>-5354.39</v>
      </c>
    </row>
    <row r="27" customFormat="false" ht="12.75" hidden="false" customHeight="false" outlineLevel="0" collapsed="false">
      <c r="B27" s="108" t="s">
        <v>1507</v>
      </c>
      <c r="C27" s="108"/>
      <c r="D27" s="108"/>
      <c r="E27" s="64" t="n">
        <v>-100</v>
      </c>
      <c r="F27" s="64"/>
      <c r="G27" s="64"/>
      <c r="H27" s="64" t="n">
        <f aca="false">H26+F27+G27</f>
        <v>-5354.39</v>
      </c>
    </row>
    <row r="28" customFormat="false" ht="12.75" hidden="false" customHeight="false" outlineLevel="0" collapsed="false">
      <c r="B28" s="108" t="s">
        <v>1508</v>
      </c>
      <c r="C28" s="108"/>
      <c r="D28" s="108"/>
      <c r="E28" s="64" t="n">
        <v>-344.2</v>
      </c>
      <c r="F28" s="64"/>
      <c r="G28" s="64"/>
      <c r="H28" s="64" t="n">
        <f aca="false">H27+F28+G28</f>
        <v>-5354.39</v>
      </c>
    </row>
    <row r="29" customFormat="false" ht="12.75" hidden="false" customHeight="false" outlineLevel="0" collapsed="false">
      <c r="B29" s="108" t="s">
        <v>1509</v>
      </c>
      <c r="C29" s="108"/>
      <c r="D29" s="108"/>
      <c r="E29" s="64" t="n">
        <v>-400</v>
      </c>
      <c r="F29" s="64"/>
      <c r="G29" s="64"/>
      <c r="H29" s="64" t="n">
        <f aca="false">H28+F29+G29</f>
        <v>-5354.39</v>
      </c>
    </row>
    <row r="30" customFormat="false" ht="12.75" hidden="false" customHeight="false" outlineLevel="0" collapsed="false">
      <c r="B30" s="108" t="s">
        <v>1510</v>
      </c>
      <c r="C30" s="108"/>
      <c r="D30" s="108"/>
      <c r="E30" s="64" t="n">
        <v>-256.89</v>
      </c>
      <c r="F30" s="64"/>
      <c r="G30" s="64"/>
      <c r="H30" s="64" t="n">
        <f aca="false">H29+F30+G30</f>
        <v>-5354.39</v>
      </c>
    </row>
    <row r="31" customFormat="false" ht="12.75" hidden="false" customHeight="false" outlineLevel="0" collapsed="false">
      <c r="B31" s="108" t="s">
        <v>1511</v>
      </c>
      <c r="C31" s="108"/>
      <c r="D31" s="108"/>
      <c r="E31" s="64" t="n">
        <v>-400</v>
      </c>
      <c r="F31" s="64"/>
      <c r="G31" s="64"/>
      <c r="H31" s="64" t="n">
        <f aca="false">H30+F31+G31</f>
        <v>-5354.39</v>
      </c>
    </row>
    <row r="32" customFormat="false" ht="12.75" hidden="false" customHeight="false" outlineLevel="0" collapsed="false">
      <c r="B32" s="108" t="s">
        <v>1512</v>
      </c>
      <c r="C32" s="108"/>
      <c r="D32" s="108"/>
      <c r="E32" s="64" t="n">
        <v>-529.9</v>
      </c>
      <c r="F32" s="64"/>
      <c r="G32" s="64"/>
      <c r="H32" s="64" t="n">
        <f aca="false">H31+F32+G32</f>
        <v>-5354.39</v>
      </c>
    </row>
    <row r="33" customFormat="false" ht="12.75" hidden="false" customHeight="false" outlineLevel="0" collapsed="false">
      <c r="B33" s="108" t="s">
        <v>1236</v>
      </c>
      <c r="C33" s="108"/>
      <c r="D33" s="108"/>
      <c r="E33" s="64" t="n">
        <v>-70</v>
      </c>
      <c r="F33" s="64"/>
      <c r="G33" s="64"/>
      <c r="H33" s="64" t="n">
        <f aca="false">H32+F33+G33</f>
        <v>-5354.39</v>
      </c>
    </row>
    <row r="34" customFormat="false" ht="12.75" hidden="false" customHeight="false" outlineLevel="0" collapsed="false">
      <c r="A34" s="102" t="n">
        <v>44747</v>
      </c>
      <c r="B34" s="108" t="s">
        <v>1462</v>
      </c>
      <c r="C34" s="108"/>
      <c r="D34" s="108"/>
      <c r="E34" s="168"/>
      <c r="F34" s="64"/>
      <c r="G34" s="64" t="n">
        <v>-2610.63</v>
      </c>
      <c r="H34" s="64" t="n">
        <f aca="false">H33+F34+G34</f>
        <v>-7965.02</v>
      </c>
    </row>
    <row r="35" customFormat="false" ht="12.75" hidden="false" customHeight="false" outlineLevel="0" collapsed="false">
      <c r="B35" s="108" t="s">
        <v>1513</v>
      </c>
      <c r="C35" s="108"/>
      <c r="D35" s="361" t="n">
        <v>200</v>
      </c>
      <c r="E35" s="64"/>
      <c r="F35" s="64" t="n">
        <v>200</v>
      </c>
      <c r="G35" s="64"/>
      <c r="H35" s="64" t="n">
        <f aca="false">H34+F35+G35</f>
        <v>-7765.02</v>
      </c>
    </row>
    <row r="36" customFormat="false" ht="12.75" hidden="false" customHeight="false" outlineLevel="0" collapsed="false">
      <c r="B36" s="0" t="s">
        <v>77</v>
      </c>
      <c r="E36" s="64" t="n">
        <v>-2107</v>
      </c>
      <c r="F36" s="64"/>
      <c r="G36" s="64" t="n">
        <v>-2107</v>
      </c>
      <c r="H36" s="64" t="n">
        <f aca="false">H35+F36+G36</f>
        <v>-9872.02</v>
      </c>
    </row>
    <row r="37" customFormat="false" ht="12.75" hidden="false" customHeight="false" outlineLevel="0" collapsed="false">
      <c r="B37" s="0" t="s">
        <v>1084</v>
      </c>
      <c r="E37" s="64" t="n">
        <v>-500</v>
      </c>
      <c r="F37" s="64"/>
      <c r="G37" s="64" t="n">
        <v>-500</v>
      </c>
      <c r="H37" s="64" t="n">
        <f aca="false">H36+F37+G37</f>
        <v>-10372.02</v>
      </c>
    </row>
    <row r="38" customFormat="false" ht="12.75" hidden="false" customHeight="false" outlineLevel="0" collapsed="false">
      <c r="B38" s="0" t="s">
        <v>78</v>
      </c>
      <c r="E38" s="64" t="n">
        <v>-2107</v>
      </c>
      <c r="F38" s="64"/>
      <c r="G38" s="64" t="n">
        <v>-2107</v>
      </c>
      <c r="H38" s="64" t="n">
        <f aca="false">H37+F38+G38</f>
        <v>-12479.02</v>
      </c>
    </row>
    <row r="39" customFormat="false" ht="12.75" hidden="false" customHeight="false" outlineLevel="0" collapsed="false">
      <c r="B39" s="0" t="s">
        <v>1083</v>
      </c>
      <c r="E39" s="64" t="n">
        <v>-500</v>
      </c>
      <c r="F39" s="64"/>
      <c r="G39" s="64" t="n">
        <v>-500</v>
      </c>
      <c r="H39" s="64" t="n">
        <f aca="false">H38+F39+G39</f>
        <v>-12979.02</v>
      </c>
    </row>
    <row r="40" customFormat="false" ht="12.75" hidden="false" customHeight="false" outlineLevel="0" collapsed="false">
      <c r="B40" s="0" t="s">
        <v>79</v>
      </c>
      <c r="E40" s="64" t="n">
        <v>-1500</v>
      </c>
      <c r="G40" s="64" t="n">
        <v>-1500</v>
      </c>
      <c r="H40" s="64" t="n">
        <f aca="false">H39+F40+G40</f>
        <v>-14479.02</v>
      </c>
    </row>
    <row r="41" customFormat="false" ht="12.75" hidden="false" customHeight="false" outlineLevel="0" collapsed="false">
      <c r="A41" s="102" t="n">
        <v>44764</v>
      </c>
      <c r="B41" s="8" t="s">
        <v>1514</v>
      </c>
      <c r="C41" s="8" t="s">
        <v>1497</v>
      </c>
      <c r="E41" s="64" t="n">
        <v>-1038</v>
      </c>
      <c r="G41" s="64" t="n">
        <v>-1038</v>
      </c>
      <c r="H41" s="64" t="n">
        <f aca="false">H40+F41+G41</f>
        <v>-15517.02</v>
      </c>
    </row>
    <row r="42" customFormat="false" ht="12.75" hidden="false" customHeight="false" outlineLevel="0" collapsed="false">
      <c r="B42" s="108"/>
      <c r="C42" s="108"/>
      <c r="D42" s="108"/>
      <c r="E42" s="64"/>
      <c r="F42" s="64"/>
      <c r="G42" s="64"/>
      <c r="H42" s="64" t="n">
        <f aca="false">H41+F42+G42</f>
        <v>-15517.02</v>
      </c>
    </row>
    <row r="43" customFormat="false" ht="12.75" hidden="false" customHeight="false" outlineLevel="0" collapsed="false">
      <c r="B43" s="108" t="s">
        <v>1515</v>
      </c>
      <c r="C43" s="108"/>
      <c r="D43" s="361" t="n">
        <v>1100</v>
      </c>
      <c r="E43" s="64"/>
      <c r="F43" s="64" t="n">
        <v>1100</v>
      </c>
      <c r="G43" s="64"/>
      <c r="H43" s="64" t="n">
        <f aca="false">H42+F43+G43</f>
        <v>-14417.02</v>
      </c>
    </row>
    <row r="44" customFormat="false" ht="12.75" hidden="false" customHeight="false" outlineLevel="0" collapsed="false">
      <c r="B44" s="0" t="s">
        <v>76</v>
      </c>
      <c r="D44" s="168" t="n">
        <v>4299.5</v>
      </c>
      <c r="F44" s="64" t="n">
        <v>4299.5</v>
      </c>
      <c r="G44" s="64"/>
      <c r="H44" s="64" t="n">
        <f aca="false">H43+F44+G44</f>
        <v>-10117.52</v>
      </c>
    </row>
    <row r="45" customFormat="false" ht="12.75" hidden="false" customHeight="false" outlineLevel="0" collapsed="false">
      <c r="B45" s="0" t="s">
        <v>1516</v>
      </c>
      <c r="D45" s="64" t="n">
        <v>1650</v>
      </c>
      <c r="F45" s="64" t="n">
        <v>1650</v>
      </c>
      <c r="G45" s="64"/>
      <c r="H45" s="64" t="n">
        <f aca="false">H44+F45+G45</f>
        <v>-8467.52</v>
      </c>
    </row>
    <row r="46" customFormat="false" ht="12.75" hidden="false" customHeight="false" outlineLevel="0" collapsed="false">
      <c r="D46" s="168"/>
      <c r="F46" s="64"/>
      <c r="G46" s="64"/>
      <c r="H46" s="64" t="n">
        <f aca="false">H45+F46+G46</f>
        <v>-8467.52</v>
      </c>
    </row>
    <row r="47" customFormat="false" ht="14.9" hidden="false" customHeight="false" outlineLevel="0" collapsed="false">
      <c r="A47" s="367" t="n">
        <v>44747</v>
      </c>
      <c r="B47" s="363" t="s">
        <v>1517</v>
      </c>
      <c r="C47" s="363"/>
      <c r="D47" s="364" t="n">
        <v>4000</v>
      </c>
      <c r="E47" s="363"/>
      <c r="F47" s="365" t="n">
        <v>4000</v>
      </c>
      <c r="G47" s="64"/>
      <c r="H47" s="64" t="n">
        <f aca="false">H46+F47+G47</f>
        <v>-4467.52</v>
      </c>
    </row>
    <row r="48" customFormat="false" ht="12.75" hidden="false" customHeight="false" outlineLevel="0" collapsed="false">
      <c r="A48" s="102"/>
      <c r="B48" s="359" t="s">
        <v>1495</v>
      </c>
      <c r="C48" s="359"/>
      <c r="D48" s="368" t="n">
        <v>1000</v>
      </c>
      <c r="E48" s="359"/>
      <c r="F48" s="369"/>
      <c r="G48" s="370"/>
      <c r="H48" s="64" t="n">
        <f aca="false">H47+F48+G48</f>
        <v>-4467.52</v>
      </c>
    </row>
    <row r="49" customFormat="false" ht="12.75" hidden="false" customHeight="false" outlineLevel="0" collapsed="false">
      <c r="B49" s="0" t="s">
        <v>1518</v>
      </c>
      <c r="D49" s="168" t="n">
        <v>5000</v>
      </c>
      <c r="E49" s="64"/>
      <c r="F49" s="64"/>
      <c r="G49" s="64"/>
      <c r="H49" s="64" t="n">
        <f aca="false">H48+F49+G49</f>
        <v>-4467.52</v>
      </c>
    </row>
    <row r="50" customFormat="false" ht="12.75" hidden="false" customHeight="false" outlineLevel="0" collapsed="false">
      <c r="B50" s="0" t="s">
        <v>1406</v>
      </c>
      <c r="D50" s="17" t="n">
        <v>4000</v>
      </c>
      <c r="E50" s="64"/>
      <c r="F50" s="64"/>
      <c r="G50" s="64"/>
      <c r="H50" s="64" t="n">
        <f aca="false">H49+F50+G50</f>
        <v>-4467.52</v>
      </c>
    </row>
    <row r="51" customFormat="false" ht="12.75" hidden="false" customHeight="false" outlineLevel="0" collapsed="false">
      <c r="D51" s="168"/>
      <c r="E51" s="64"/>
      <c r="F51" s="64"/>
      <c r="G51" s="64"/>
      <c r="H51" s="64" t="n">
        <f aca="false">H50+F51+G51</f>
        <v>-4467.52</v>
      </c>
    </row>
    <row r="52" customFormat="false" ht="12.75" hidden="false" customHeight="false" outlineLevel="0" collapsed="false">
      <c r="D52" s="168"/>
      <c r="E52" s="64"/>
      <c r="F52" s="64"/>
      <c r="G52" s="64"/>
      <c r="H52" s="64" t="n">
        <f aca="false">H51+F52+G52</f>
        <v>-4467.52</v>
      </c>
    </row>
    <row r="53" customFormat="false" ht="12.75" hidden="false" customHeight="false" outlineLevel="0" collapsed="false">
      <c r="D53" s="168"/>
      <c r="E53" s="64"/>
      <c r="F53" s="64"/>
      <c r="G53" s="64"/>
      <c r="H53" s="64" t="n">
        <f aca="false">H52+F53+G53</f>
        <v>-4467.52</v>
      </c>
    </row>
    <row r="54" customFormat="false" ht="12.75" hidden="false" customHeight="false" outlineLevel="0" collapsed="false">
      <c r="A54" s="371"/>
      <c r="B54" s="371" t="s">
        <v>1519</v>
      </c>
      <c r="C54" s="371"/>
      <c r="D54" s="372" t="n">
        <v>445.63</v>
      </c>
      <c r="E54" s="373"/>
      <c r="F54" s="371"/>
      <c r="G54" s="373"/>
      <c r="H54" s="64" t="n">
        <f aca="false">H53+F54+G54</f>
        <v>-4467.52</v>
      </c>
    </row>
    <row r="55" customFormat="false" ht="12.75" hidden="false" customHeight="false" outlineLevel="0" collapsed="false">
      <c r="B55" s="371" t="s">
        <v>1407</v>
      </c>
      <c r="C55" s="371"/>
      <c r="D55" s="360" t="n">
        <v>4000</v>
      </c>
      <c r="E55" s="359"/>
      <c r="F55" s="359"/>
      <c r="G55" s="359"/>
      <c r="H55" s="64" t="n">
        <f aca="false">H54+F55+G55</f>
        <v>-4467.52</v>
      </c>
    </row>
    <row r="58" customFormat="false" ht="12.75" hidden="false" customHeight="false" outlineLevel="0" collapsed="false">
      <c r="H58" s="64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A39"/>
    <pageSetUpPr fitToPage="false"/>
  </sheetPr>
  <dimension ref="A1:H47"/>
  <sheetViews>
    <sheetView showFormulas="false" showGridLines="true" showRowColHeaders="true" showZeros="true" rightToLeft="false" tabSelected="false" showOutlineSymbols="true" defaultGridColor="true" view="normal" topLeftCell="A17" colorId="64" zoomScale="170" zoomScaleNormal="170" zoomScalePageLayoutView="100" workbookViewId="0">
      <selection pane="topLeft" activeCell="A16" activeCellId="0" sqref="A16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9"/>
    <col collapsed="false" customWidth="true" hidden="false" outlineLevel="0" max="2" min="2" style="0" width="36.43"/>
    <col collapsed="false" customWidth="true" hidden="false" outlineLevel="0" max="3" min="3" style="0" width="3.29"/>
    <col collapsed="false" customWidth="true" hidden="false" outlineLevel="0" max="8" min="4" style="0" width="12.29"/>
    <col collapsed="false" customWidth="true" hidden="false" outlineLevel="0" max="9" min="9" style="0" width="9.14"/>
  </cols>
  <sheetData>
    <row r="1" customFormat="false" ht="12.75" hidden="false" customHeight="false" outlineLevel="0" collapsed="false">
      <c r="B1" s="42" t="n">
        <v>4.95</v>
      </c>
      <c r="E1" s="194"/>
      <c r="F1" s="194" t="s">
        <v>28</v>
      </c>
      <c r="G1" s="194" t="s">
        <v>29</v>
      </c>
      <c r="H1" s="194" t="s">
        <v>3</v>
      </c>
    </row>
    <row r="2" customFormat="false" ht="12.75" hidden="false" customHeight="false" outlineLevel="0" collapsed="false">
      <c r="A2" s="3" t="s">
        <v>1520</v>
      </c>
      <c r="C2" s="81" t="s">
        <v>67</v>
      </c>
      <c r="D2" s="311" t="n">
        <f aca="false">SUM(D4:D44)</f>
        <v>17837.05</v>
      </c>
      <c r="E2" s="311" t="n">
        <f aca="false">SUM(E4:E80)</f>
        <v>-28058.1</v>
      </c>
      <c r="F2" s="311" t="n">
        <f aca="false">SUM(F4:F77)</f>
        <v>16654.19</v>
      </c>
      <c r="G2" s="311" t="n">
        <f aca="false">SUM(G4:G77)</f>
        <v>-28058.1</v>
      </c>
      <c r="H2" s="311" t="n">
        <f aca="false">F2+G2</f>
        <v>-11403.91</v>
      </c>
    </row>
    <row r="3" customFormat="false" ht="12.75" hidden="false" customHeight="false" outlineLevel="0" collapsed="false">
      <c r="B3" s="18"/>
      <c r="H3" s="64"/>
    </row>
    <row r="4" customFormat="false" ht="12.75" hidden="false" customHeight="false" outlineLevel="0" collapsed="false">
      <c r="B4" s="3"/>
      <c r="C4" s="3"/>
      <c r="D4" s="3"/>
      <c r="E4" s="64"/>
      <c r="F4" s="64"/>
      <c r="G4" s="64"/>
      <c r="H4" s="64" t="n">
        <f aca="false">H3+F4+G4</f>
        <v>0</v>
      </c>
    </row>
    <row r="5" customFormat="false" ht="12.75" hidden="false" customHeight="false" outlineLevel="0" collapsed="false">
      <c r="A5" s="371"/>
      <c r="B5" s="374" t="s">
        <v>1521</v>
      </c>
      <c r="C5" s="374"/>
      <c r="D5" s="374" t="n">
        <v>182.86</v>
      </c>
      <c r="E5" s="375"/>
      <c r="F5" s="375"/>
      <c r="G5" s="375"/>
      <c r="H5" s="64" t="n">
        <f aca="false">H4+F5+G5</f>
        <v>0</v>
      </c>
    </row>
    <row r="6" customFormat="false" ht="12.75" hidden="false" customHeight="false" outlineLevel="0" collapsed="false">
      <c r="B6" s="0" t="s">
        <v>338</v>
      </c>
      <c r="D6" s="0" t="n">
        <v>996.77</v>
      </c>
      <c r="E6" s="64"/>
      <c r="F6" s="64" t="n">
        <v>996.77</v>
      </c>
      <c r="G6" s="64"/>
      <c r="H6" s="64" t="n">
        <f aca="false">H5+F6+G6</f>
        <v>996.77</v>
      </c>
    </row>
    <row r="7" customFormat="false" ht="12.75" hidden="false" customHeight="false" outlineLevel="0" collapsed="false">
      <c r="B7" s="0" t="s">
        <v>1471</v>
      </c>
      <c r="D7" s="0" t="n">
        <v>249.02</v>
      </c>
      <c r="E7" s="64"/>
      <c r="F7" s="64" t="n">
        <v>249.02</v>
      </c>
      <c r="G7" s="64"/>
      <c r="H7" s="64" t="n">
        <f aca="false">H6+F7+G7</f>
        <v>1245.79</v>
      </c>
    </row>
    <row r="8" customFormat="false" ht="12.75" hidden="false" customHeight="false" outlineLevel="0" collapsed="false">
      <c r="B8" s="0" t="s">
        <v>342</v>
      </c>
      <c r="D8" s="0" t="n">
        <v>140.4</v>
      </c>
      <c r="E8" s="64"/>
      <c r="F8" s="64" t="n">
        <v>140.4</v>
      </c>
      <c r="G8" s="64"/>
      <c r="H8" s="64" t="n">
        <f aca="false">H7+F8+G8</f>
        <v>1386.19</v>
      </c>
    </row>
    <row r="9" customFormat="false" ht="12.75" hidden="false" customHeight="false" outlineLevel="0" collapsed="false">
      <c r="B9" s="376" t="s">
        <v>1342</v>
      </c>
      <c r="C9" s="376"/>
      <c r="D9" s="376"/>
      <c r="E9" s="377" t="n">
        <v>-1317.2</v>
      </c>
      <c r="F9" s="377"/>
      <c r="G9" s="377" t="n">
        <v>-1317.2</v>
      </c>
      <c r="H9" s="64" t="n">
        <f aca="false">H8+F9+G9</f>
        <v>68.99</v>
      </c>
    </row>
    <row r="10" customFormat="false" ht="12.75" hidden="false" customHeight="false" outlineLevel="0" collapsed="false">
      <c r="B10" s="108"/>
      <c r="C10" s="108"/>
      <c r="D10" s="108"/>
      <c r="E10" s="64"/>
      <c r="F10" s="64"/>
      <c r="G10" s="64"/>
      <c r="H10" s="64" t="n">
        <f aca="false">H9+F10+G10</f>
        <v>68.99</v>
      </c>
    </row>
    <row r="11" customFormat="false" ht="12.75" hidden="false" customHeight="false" outlineLevel="0" collapsed="false">
      <c r="A11" s="102" t="n">
        <v>44718</v>
      </c>
      <c r="B11" s="103" t="s">
        <v>1335</v>
      </c>
      <c r="C11" s="103"/>
      <c r="D11" s="103"/>
      <c r="E11" s="64" t="n">
        <v>-200.1</v>
      </c>
      <c r="F11" s="168"/>
      <c r="G11" s="64" t="n">
        <v>-200.1</v>
      </c>
      <c r="H11" s="64" t="n">
        <f aca="false">H10+F11+G11</f>
        <v>-131.11</v>
      </c>
    </row>
    <row r="12" customFormat="false" ht="12.75" hidden="false" customHeight="false" outlineLevel="0" collapsed="false">
      <c r="A12" s="102" t="n">
        <v>44718</v>
      </c>
      <c r="B12" s="103" t="s">
        <v>1336</v>
      </c>
      <c r="C12" s="103"/>
      <c r="D12" s="103"/>
      <c r="E12" s="64" t="n">
        <v>-395.4</v>
      </c>
      <c r="F12" s="168"/>
      <c r="G12" s="64" t="n">
        <v>-395.4</v>
      </c>
      <c r="H12" s="64" t="n">
        <f aca="false">H11+F12+G12</f>
        <v>-526.51</v>
      </c>
    </row>
    <row r="13" customFormat="false" ht="12.75" hidden="false" customHeight="false" outlineLevel="0" collapsed="false">
      <c r="A13" s="102"/>
      <c r="B13" s="103"/>
      <c r="C13" s="103"/>
      <c r="D13" s="103"/>
      <c r="E13" s="168"/>
      <c r="F13" s="168"/>
      <c r="G13" s="64"/>
      <c r="H13" s="64" t="n">
        <f aca="false">H12+F13+G13</f>
        <v>-526.51</v>
      </c>
    </row>
    <row r="14" customFormat="false" ht="12.75" hidden="false" customHeight="false" outlineLevel="0" collapsed="false">
      <c r="A14" s="102" t="n">
        <v>44719</v>
      </c>
      <c r="B14" s="103" t="s">
        <v>1522</v>
      </c>
      <c r="C14" s="103"/>
      <c r="D14" s="103"/>
      <c r="E14" s="168"/>
      <c r="F14" s="168"/>
      <c r="G14" s="64"/>
      <c r="H14" s="64" t="n">
        <f aca="false">H13+F14+G14</f>
        <v>-526.51</v>
      </c>
    </row>
    <row r="15" customFormat="false" ht="12.75" hidden="false" customHeight="false" outlineLevel="0" collapsed="false">
      <c r="B15" s="0" t="s">
        <v>1523</v>
      </c>
      <c r="C15" s="0" t="s">
        <v>1497</v>
      </c>
      <c r="E15" s="64" t="n">
        <v>-4820</v>
      </c>
      <c r="F15" s="64"/>
      <c r="G15" s="64" t="n">
        <v>-4820</v>
      </c>
      <c r="H15" s="64" t="n">
        <f aca="false">H14+F15+G15</f>
        <v>-5346.51</v>
      </c>
    </row>
    <row r="16" customFormat="false" ht="12.75" hidden="false" customHeight="false" outlineLevel="0" collapsed="false">
      <c r="B16" s="0" t="s">
        <v>1524</v>
      </c>
      <c r="C16" s="0" t="s">
        <v>1525</v>
      </c>
      <c r="E16" s="64" t="n">
        <v>-250</v>
      </c>
      <c r="F16" s="64"/>
      <c r="G16" s="64" t="n">
        <v>-250</v>
      </c>
      <c r="H16" s="64" t="n">
        <f aca="false">H15+F16+G16</f>
        <v>-5596.51</v>
      </c>
    </row>
    <row r="17" customFormat="false" ht="12.75" hidden="false" customHeight="false" outlineLevel="0" collapsed="false">
      <c r="F17" s="64"/>
      <c r="G17" s="64"/>
      <c r="H17" s="64" t="n">
        <f aca="false">H16+F17+G17</f>
        <v>-5596.51</v>
      </c>
    </row>
    <row r="18" customFormat="false" ht="12.75" hidden="false" customHeight="false" outlineLevel="0" collapsed="false">
      <c r="B18" s="0" t="s">
        <v>1526</v>
      </c>
      <c r="E18" s="64"/>
      <c r="F18" s="64"/>
      <c r="G18" s="64"/>
      <c r="H18" s="64" t="n">
        <f aca="false">H17+F18+G18</f>
        <v>-5596.51</v>
      </c>
    </row>
    <row r="19" customFormat="false" ht="12.75" hidden="false" customHeight="false" outlineLevel="0" collapsed="false">
      <c r="B19" s="0" t="s">
        <v>1527</v>
      </c>
      <c r="E19" s="64"/>
      <c r="F19" s="64"/>
      <c r="G19" s="64"/>
      <c r="H19" s="64" t="n">
        <f aca="false">H18+F19+G19</f>
        <v>-5596.51</v>
      </c>
    </row>
    <row r="20" customFormat="false" ht="12.75" hidden="false" customHeight="false" outlineLevel="0" collapsed="false">
      <c r="B20" s="0" t="s">
        <v>1528</v>
      </c>
      <c r="E20" s="64"/>
      <c r="F20" s="64"/>
      <c r="G20" s="64"/>
      <c r="H20" s="64" t="n">
        <f aca="false">H19+F20+G20</f>
        <v>-5596.51</v>
      </c>
    </row>
    <row r="21" customFormat="false" ht="12.75" hidden="false" customHeight="false" outlineLevel="0" collapsed="false">
      <c r="B21" s="0" t="s">
        <v>1529</v>
      </c>
      <c r="C21" s="0" t="s">
        <v>1497</v>
      </c>
      <c r="E21" s="64" t="n">
        <v>-12800</v>
      </c>
      <c r="F21" s="64"/>
      <c r="G21" s="64" t="n">
        <v>-12800</v>
      </c>
      <c r="H21" s="64" t="n">
        <f aca="false">H20+F21+G21</f>
        <v>-18396.51</v>
      </c>
    </row>
    <row r="22" customFormat="false" ht="12.75" hidden="false" customHeight="false" outlineLevel="0" collapsed="false">
      <c r="B22" s="0" t="s">
        <v>1530</v>
      </c>
      <c r="E22" s="64" t="n">
        <v>-421.5</v>
      </c>
      <c r="F22" s="64"/>
      <c r="G22" s="64" t="n">
        <v>-421.5</v>
      </c>
      <c r="H22" s="64" t="n">
        <f aca="false">H21+F22+G22</f>
        <v>-18818.01</v>
      </c>
    </row>
    <row r="23" customFormat="false" ht="12.75" hidden="false" customHeight="false" outlineLevel="0" collapsed="false">
      <c r="A23" s="102"/>
      <c r="B23" s="103"/>
      <c r="C23" s="103"/>
      <c r="D23" s="103"/>
      <c r="E23" s="168"/>
      <c r="F23" s="168"/>
      <c r="G23" s="64"/>
      <c r="H23" s="64" t="n">
        <f aca="false">H22+F23+G23</f>
        <v>-18818.01</v>
      </c>
    </row>
    <row r="24" customFormat="false" ht="12.75" hidden="false" customHeight="false" outlineLevel="0" collapsed="false">
      <c r="B24" s="378" t="s">
        <v>1531</v>
      </c>
      <c r="C24" s="378"/>
      <c r="D24" s="378"/>
      <c r="E24" s="379" t="n">
        <v>-177.65</v>
      </c>
      <c r="F24" s="379"/>
      <c r="G24" s="379"/>
      <c r="H24" s="64" t="n">
        <f aca="false">H23+F24+G24</f>
        <v>-18818.01</v>
      </c>
    </row>
    <row r="25" customFormat="false" ht="12.75" hidden="false" customHeight="false" outlineLevel="0" collapsed="false">
      <c r="B25" s="108" t="s">
        <v>1510</v>
      </c>
      <c r="C25" s="108"/>
      <c r="D25" s="108"/>
      <c r="E25" s="64" t="n">
        <v>-389.06</v>
      </c>
      <c r="F25" s="64"/>
      <c r="G25" s="64"/>
      <c r="H25" s="64" t="n">
        <f aca="false">H24+F25+G25</f>
        <v>-18818.01</v>
      </c>
    </row>
    <row r="26" customFormat="false" ht="12.75" hidden="false" customHeight="false" outlineLevel="0" collapsed="false">
      <c r="B26" s="108" t="s">
        <v>1532</v>
      </c>
      <c r="C26" s="108"/>
      <c r="D26" s="108"/>
      <c r="E26" s="64" t="n">
        <v>-200</v>
      </c>
      <c r="F26" s="64"/>
      <c r="G26" s="64"/>
      <c r="H26" s="64" t="n">
        <f aca="false">H25+F26+G26</f>
        <v>-18818.01</v>
      </c>
    </row>
    <row r="27" customFormat="false" ht="12.75" hidden="false" customHeight="false" outlineLevel="0" collapsed="false">
      <c r="B27" s="108" t="s">
        <v>1533</v>
      </c>
      <c r="C27" s="108"/>
      <c r="D27" s="108"/>
      <c r="E27" s="64" t="n">
        <v>-225</v>
      </c>
      <c r="F27" s="64"/>
      <c r="G27" s="64"/>
      <c r="H27" s="64" t="n">
        <f aca="false">H26+F27+G27</f>
        <v>-18818.01</v>
      </c>
    </row>
    <row r="28" customFormat="false" ht="12.75" hidden="false" customHeight="false" outlineLevel="0" collapsed="false">
      <c r="B28" s="108" t="s">
        <v>1534</v>
      </c>
      <c r="C28" s="108"/>
      <c r="D28" s="108"/>
      <c r="E28" s="64" t="n">
        <v>-300</v>
      </c>
      <c r="F28" s="64"/>
      <c r="G28" s="64"/>
      <c r="H28" s="64" t="n">
        <f aca="false">H27+F28+G28</f>
        <v>-18818.01</v>
      </c>
    </row>
    <row r="29" customFormat="false" ht="12.75" hidden="false" customHeight="false" outlineLevel="0" collapsed="false">
      <c r="B29" s="108" t="s">
        <v>1535</v>
      </c>
      <c r="C29" s="108"/>
      <c r="D29" s="108"/>
      <c r="E29" s="64" t="n">
        <v>-200</v>
      </c>
      <c r="F29" s="64"/>
      <c r="G29" s="64"/>
      <c r="H29" s="64" t="n">
        <f aca="false">H28+F29+G29</f>
        <v>-18818.01</v>
      </c>
    </row>
    <row r="30" customFormat="false" ht="12.75" hidden="false" customHeight="false" outlineLevel="0" collapsed="false">
      <c r="B30" s="108" t="s">
        <v>1067</v>
      </c>
      <c r="C30" s="108"/>
      <c r="D30" s="108"/>
      <c r="E30" s="64" t="n">
        <v>-70</v>
      </c>
      <c r="F30" s="64"/>
      <c r="G30" s="64"/>
      <c r="H30" s="64" t="n">
        <f aca="false">H29+F30+G30</f>
        <v>-18818.01</v>
      </c>
    </row>
    <row r="31" customFormat="false" ht="12.75" hidden="false" customHeight="false" outlineLevel="0" collapsed="false">
      <c r="A31" s="102" t="n">
        <v>44718</v>
      </c>
      <c r="B31" s="376" t="s">
        <v>1462</v>
      </c>
      <c r="C31" s="376"/>
      <c r="D31" s="376"/>
      <c r="E31" s="380"/>
      <c r="F31" s="377"/>
      <c r="G31" s="377" t="n">
        <v>-1561.71</v>
      </c>
      <c r="H31" s="64" t="n">
        <f aca="false">H30+F31+G31</f>
        <v>-20379.72</v>
      </c>
    </row>
    <row r="32" customFormat="false" ht="12.75" hidden="false" customHeight="false" outlineLevel="0" collapsed="false">
      <c r="A32" s="102"/>
      <c r="B32" s="108"/>
      <c r="C32" s="108"/>
      <c r="D32" s="108"/>
      <c r="E32" s="168"/>
      <c r="F32" s="64"/>
      <c r="G32" s="64"/>
      <c r="H32" s="64" t="n">
        <f aca="false">H31+F32+G32</f>
        <v>-20379.72</v>
      </c>
    </row>
    <row r="33" customFormat="false" ht="12.75" hidden="false" customHeight="false" outlineLevel="0" collapsed="false">
      <c r="A33" s="102" t="n">
        <v>44728</v>
      </c>
      <c r="B33" s="108" t="s">
        <v>1536</v>
      </c>
      <c r="C33" s="108"/>
      <c r="D33" s="108"/>
      <c r="E33" s="64" t="n">
        <v>-99.5</v>
      </c>
      <c r="F33" s="64"/>
      <c r="G33" s="64" t="n">
        <v>-130.73</v>
      </c>
      <c r="H33" s="64" t="n">
        <f aca="false">H32+F33+G33</f>
        <v>-20510.45</v>
      </c>
    </row>
    <row r="34" customFormat="false" ht="12.75" hidden="false" customHeight="false" outlineLevel="0" collapsed="false">
      <c r="A34" s="102" t="n">
        <v>44729</v>
      </c>
      <c r="B34" s="108" t="s">
        <v>1442</v>
      </c>
      <c r="C34" s="108"/>
      <c r="D34" s="108"/>
      <c r="E34" s="64" t="n">
        <v>-49.96</v>
      </c>
      <c r="F34" s="64"/>
      <c r="G34" s="64" t="n">
        <v>-49.96</v>
      </c>
      <c r="H34" s="64" t="n">
        <f aca="false">H33+F34+G34</f>
        <v>-20560.41</v>
      </c>
    </row>
    <row r="35" customFormat="false" ht="12.75" hidden="false" customHeight="false" outlineLevel="0" collapsed="false">
      <c r="A35" s="102" t="n">
        <v>44728</v>
      </c>
      <c r="B35" s="108" t="s">
        <v>1455</v>
      </c>
      <c r="C35" s="108"/>
      <c r="D35" s="108"/>
      <c r="E35" s="64" t="n">
        <v>-130.73</v>
      </c>
      <c r="F35" s="64"/>
      <c r="G35" s="64" t="n">
        <v>-99.5</v>
      </c>
      <c r="H35" s="64" t="n">
        <f aca="false">H34+F35+G35</f>
        <v>-20659.91</v>
      </c>
    </row>
    <row r="36" customFormat="false" ht="12.75" hidden="false" customHeight="false" outlineLevel="0" collapsed="false">
      <c r="B36" s="108"/>
      <c r="C36" s="108"/>
      <c r="D36" s="108"/>
      <c r="E36" s="64"/>
      <c r="F36" s="64"/>
      <c r="G36" s="64"/>
      <c r="H36" s="64" t="n">
        <f aca="false">H35+F36+G36</f>
        <v>-20659.91</v>
      </c>
    </row>
    <row r="37" customFormat="false" ht="12.75" hidden="false" customHeight="false" outlineLevel="0" collapsed="false">
      <c r="A37" s="102" t="n">
        <v>44739</v>
      </c>
      <c r="B37" s="8" t="s">
        <v>77</v>
      </c>
      <c r="E37" s="64" t="n">
        <v>-1506</v>
      </c>
      <c r="F37" s="64"/>
      <c r="G37" s="64" t="n">
        <v>-1506</v>
      </c>
      <c r="H37" s="64" t="n">
        <f aca="false">H36+F37+G37</f>
        <v>-22165.91</v>
      </c>
    </row>
    <row r="38" customFormat="false" ht="12.75" hidden="false" customHeight="false" outlineLevel="0" collapsed="false">
      <c r="A38" s="102" t="n">
        <v>44739</v>
      </c>
      <c r="B38" s="8" t="s">
        <v>78</v>
      </c>
      <c r="E38" s="64" t="n">
        <v>-1506</v>
      </c>
      <c r="F38" s="64"/>
      <c r="G38" s="64" t="n">
        <v>-1506</v>
      </c>
      <c r="H38" s="64" t="n">
        <f aca="false">H37+F38+G38</f>
        <v>-23671.91</v>
      </c>
    </row>
    <row r="39" customFormat="false" ht="12.75" hidden="false" customHeight="false" outlineLevel="0" collapsed="false">
      <c r="B39" s="0" t="s">
        <v>1537</v>
      </c>
      <c r="E39" s="64" t="n">
        <v>-3000</v>
      </c>
      <c r="G39" s="64" t="n">
        <v>-3000</v>
      </c>
      <c r="H39" s="64" t="n">
        <f aca="false">H38+F39+G39</f>
        <v>-26671.91</v>
      </c>
    </row>
    <row r="40" customFormat="false" ht="12.75" hidden="false" customHeight="false" outlineLevel="0" collapsed="false">
      <c r="B40" s="108"/>
      <c r="C40" s="108"/>
      <c r="D40" s="108"/>
      <c r="E40" s="64"/>
      <c r="F40" s="64"/>
      <c r="G40" s="64"/>
      <c r="H40" s="64" t="n">
        <f aca="false">H39+F40+G40</f>
        <v>-26671.91</v>
      </c>
    </row>
    <row r="41" customFormat="false" ht="12.75" hidden="false" customHeight="false" outlineLevel="0" collapsed="false">
      <c r="A41" s="102" t="n">
        <v>44739</v>
      </c>
      <c r="B41" s="8" t="s">
        <v>76</v>
      </c>
      <c r="D41" s="64" t="n">
        <v>3020.37</v>
      </c>
      <c r="E41" s="64"/>
      <c r="F41" s="64" t="n">
        <v>3020.37</v>
      </c>
      <c r="G41" s="64"/>
      <c r="H41" s="64" t="n">
        <f aca="false">H40+F41+G41</f>
        <v>-23651.54</v>
      </c>
    </row>
    <row r="42" customFormat="false" ht="12.75" hidden="false" customHeight="false" outlineLevel="0" collapsed="false">
      <c r="A42" s="102" t="n">
        <v>44742</v>
      </c>
      <c r="B42" s="8" t="s">
        <v>1538</v>
      </c>
      <c r="D42" s="64" t="n">
        <v>1650</v>
      </c>
      <c r="F42" s="64" t="n">
        <v>1650</v>
      </c>
      <c r="G42" s="64"/>
      <c r="H42" s="64" t="n">
        <f aca="false">H41+F42+G42</f>
        <v>-22001.54</v>
      </c>
    </row>
    <row r="43" customFormat="false" ht="12.75" hidden="false" customHeight="false" outlineLevel="0" collapsed="false">
      <c r="A43" s="371"/>
      <c r="B43" s="371" t="s">
        <v>1539</v>
      </c>
      <c r="C43" s="371"/>
      <c r="D43" s="373" t="n">
        <v>5000</v>
      </c>
      <c r="E43" s="373"/>
      <c r="F43" s="373"/>
      <c r="G43" s="373"/>
      <c r="H43" s="64" t="n">
        <f aca="false">H42+F43+G43</f>
        <v>-22001.54</v>
      </c>
    </row>
    <row r="44" customFormat="false" ht="12.75" hidden="false" customHeight="false" outlineLevel="0" collapsed="false">
      <c r="A44" s="0" t="n">
        <v>2022</v>
      </c>
      <c r="B44" s="0" t="s">
        <v>1540</v>
      </c>
      <c r="D44" s="2" t="n">
        <v>6597.63</v>
      </c>
      <c r="F44" s="2" t="n">
        <v>6597.63</v>
      </c>
      <c r="H44" s="64" t="n">
        <f aca="false">H43+F44+G44</f>
        <v>-15403.91</v>
      </c>
    </row>
    <row r="45" customFormat="false" ht="12.75" hidden="false" customHeight="false" outlineLevel="0" collapsed="false">
      <c r="D45" s="2"/>
      <c r="F45" s="2"/>
      <c r="H45" s="64" t="n">
        <f aca="false">H44+F45+G45</f>
        <v>-15403.91</v>
      </c>
    </row>
    <row r="46" customFormat="false" ht="12.75" hidden="false" customHeight="false" outlineLevel="0" collapsed="false">
      <c r="A46" s="367" t="n">
        <v>44732</v>
      </c>
      <c r="B46" s="363" t="s">
        <v>1541</v>
      </c>
      <c r="C46" s="363"/>
      <c r="D46" s="363"/>
      <c r="E46" s="363"/>
      <c r="F46" s="365" t="n">
        <v>4000</v>
      </c>
      <c r="G46" s="363"/>
      <c r="H46" s="64" t="n">
        <f aca="false">H45+F46+G46</f>
        <v>-11403.91</v>
      </c>
    </row>
    <row r="47" customFormat="false" ht="12.75" hidden="false" customHeight="false" outlineLevel="0" collapsed="false">
      <c r="A47" s="371"/>
      <c r="B47" s="371" t="s">
        <v>1407</v>
      </c>
      <c r="C47" s="371"/>
      <c r="D47" s="381" t="n">
        <v>4000</v>
      </c>
      <c r="E47" s="371"/>
      <c r="F47" s="371"/>
      <c r="G47" s="371"/>
      <c r="H47" s="64" t="n">
        <f aca="false">H46+F47+G47</f>
        <v>-11403.91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false" showOutlineSymbols="true" defaultGridColor="true" view="normal" topLeftCell="A5" colorId="64" zoomScale="170" zoomScaleNormal="170" zoomScalePageLayoutView="100" workbookViewId="0">
      <selection pane="topLeft" activeCell="A5" activeCellId="0" sqref="A5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9"/>
    <col collapsed="false" customWidth="true" hidden="false" outlineLevel="0" max="2" min="2" style="0" width="36.43"/>
    <col collapsed="false" customWidth="true" hidden="false" outlineLevel="0" max="3" min="3" style="0" width="3.29"/>
    <col collapsed="false" customWidth="true" hidden="false" outlineLevel="0" max="8" min="4" style="0" width="12.29"/>
    <col collapsed="false" customWidth="true" hidden="false" outlineLevel="0" max="9" min="9" style="0" width="9.14"/>
  </cols>
  <sheetData>
    <row r="1" customFormat="false" ht="12.75" hidden="false" customHeight="false" outlineLevel="0" collapsed="false">
      <c r="A1" s="0" t="s">
        <v>1542</v>
      </c>
      <c r="B1" s="42" t="n">
        <v>2.98</v>
      </c>
      <c r="F1" s="194" t="s">
        <v>28</v>
      </c>
      <c r="G1" s="194" t="s">
        <v>29</v>
      </c>
      <c r="H1" s="194" t="s">
        <v>3</v>
      </c>
    </row>
    <row r="2" customFormat="false" ht="12.75" hidden="false" customHeight="false" outlineLevel="0" collapsed="false">
      <c r="A2" s="3" t="s">
        <v>1543</v>
      </c>
      <c r="C2" s="81" t="s">
        <v>67</v>
      </c>
      <c r="D2" s="311" t="n">
        <f aca="false">SUM(D4:D32)</f>
        <v>11328.34</v>
      </c>
      <c r="E2" s="311" t="n">
        <f aca="false">SUM(E4:E68)</f>
        <v>-7712.66</v>
      </c>
      <c r="F2" s="311" t="n">
        <f aca="false">SUM(F4:F65)</f>
        <v>9522.37</v>
      </c>
      <c r="G2" s="311" t="n">
        <f aca="false">SUM(G4:G65)</f>
        <v>-7722.66</v>
      </c>
      <c r="H2" s="311" t="n">
        <f aca="false">F2+G2</f>
        <v>1799.71</v>
      </c>
    </row>
    <row r="3" customFormat="false" ht="12.75" hidden="false" customHeight="false" outlineLevel="0" collapsed="false">
      <c r="B3" s="18"/>
      <c r="E3" s="194"/>
      <c r="F3" s="194"/>
      <c r="G3" s="194"/>
      <c r="H3" s="64"/>
    </row>
    <row r="4" customFormat="false" ht="12.75" hidden="false" customHeight="false" outlineLevel="0" collapsed="false">
      <c r="B4" s="3"/>
      <c r="C4" s="3"/>
      <c r="D4" s="3"/>
      <c r="E4" s="64"/>
      <c r="F4" s="64"/>
      <c r="G4" s="64"/>
      <c r="H4" s="64" t="n">
        <f aca="false">H3+F4+G4</f>
        <v>0</v>
      </c>
    </row>
    <row r="5" customFormat="false" ht="12.75" hidden="false" customHeight="false" outlineLevel="0" collapsed="false">
      <c r="B5" s="0" t="s">
        <v>1521</v>
      </c>
      <c r="D5" s="0" t="n">
        <v>155.6</v>
      </c>
      <c r="E5" s="64"/>
      <c r="F5" s="64" t="n">
        <v>155</v>
      </c>
      <c r="G5" s="64"/>
      <c r="H5" s="64" t="n">
        <f aca="false">H4+F5+G5</f>
        <v>155</v>
      </c>
    </row>
    <row r="6" customFormat="false" ht="12.75" hidden="false" customHeight="false" outlineLevel="0" collapsed="false">
      <c r="B6" s="0" t="s">
        <v>338</v>
      </c>
      <c r="D6" s="0" t="n">
        <v>1036.21</v>
      </c>
      <c r="E6" s="64"/>
      <c r="F6" s="64" t="n">
        <v>1035</v>
      </c>
      <c r="G6" s="64"/>
      <c r="H6" s="64" t="n">
        <f aca="false">H5+F6+G6</f>
        <v>1190</v>
      </c>
    </row>
    <row r="7" customFormat="false" ht="12.75" hidden="false" customHeight="false" outlineLevel="0" collapsed="false">
      <c r="B7" s="0" t="s">
        <v>1544</v>
      </c>
      <c r="D7" s="0" t="n">
        <v>153.68</v>
      </c>
      <c r="E7" s="64"/>
      <c r="F7" s="64" t="n">
        <v>350</v>
      </c>
      <c r="G7" s="64"/>
      <c r="H7" s="64" t="n">
        <f aca="false">H6+F7+G7</f>
        <v>1540</v>
      </c>
    </row>
    <row r="8" customFormat="false" ht="12.75" hidden="false" customHeight="false" outlineLevel="0" collapsed="false">
      <c r="B8" s="0" t="s">
        <v>1451</v>
      </c>
      <c r="D8" s="0" t="n">
        <v>230.48</v>
      </c>
      <c r="E8" s="64"/>
      <c r="F8" s="64" t="n">
        <v>230</v>
      </c>
      <c r="G8" s="64"/>
      <c r="H8" s="64" t="n">
        <f aca="false">H7+F8+G8</f>
        <v>1770</v>
      </c>
    </row>
    <row r="9" customFormat="false" ht="12.75" hidden="false" customHeight="false" outlineLevel="0" collapsed="false">
      <c r="B9" s="0" t="s">
        <v>342</v>
      </c>
      <c r="D9" s="0" t="n">
        <v>82</v>
      </c>
      <c r="E9" s="64"/>
      <c r="F9" s="64" t="n">
        <v>82</v>
      </c>
      <c r="G9" s="64"/>
      <c r="H9" s="64" t="n">
        <f aca="false">H8+F9+G9</f>
        <v>1852</v>
      </c>
    </row>
    <row r="10" customFormat="false" ht="12.75" hidden="false" customHeight="false" outlineLevel="0" collapsed="false">
      <c r="A10" s="102" t="n">
        <v>44691</v>
      </c>
      <c r="B10" s="108" t="s">
        <v>1342</v>
      </c>
      <c r="C10" s="108"/>
      <c r="D10" s="108"/>
      <c r="E10" s="64" t="n">
        <v>-1360.1</v>
      </c>
      <c r="F10" s="64"/>
      <c r="G10" s="64" t="n">
        <v>-1360.1</v>
      </c>
      <c r="H10" s="64" t="n">
        <f aca="false">H9+F10+G10</f>
        <v>491.9</v>
      </c>
    </row>
    <row r="11" customFormat="false" ht="12.75" hidden="false" customHeight="false" outlineLevel="0" collapsed="false">
      <c r="A11" s="102" t="n">
        <v>44686</v>
      </c>
      <c r="B11" s="103" t="s">
        <v>1335</v>
      </c>
      <c r="C11" s="103"/>
      <c r="D11" s="103"/>
      <c r="E11" s="64" t="n">
        <v>-197.1</v>
      </c>
      <c r="F11" s="64"/>
      <c r="G11" s="64" t="n">
        <v>-197.1</v>
      </c>
      <c r="H11" s="64" t="n">
        <f aca="false">H10+F11+G11</f>
        <v>294.8</v>
      </c>
    </row>
    <row r="12" customFormat="false" ht="12.75" hidden="false" customHeight="false" outlineLevel="0" collapsed="false">
      <c r="A12" s="102" t="n">
        <v>44686</v>
      </c>
      <c r="B12" s="103" t="s">
        <v>1336</v>
      </c>
      <c r="C12" s="103"/>
      <c r="D12" s="103"/>
      <c r="E12" s="64" t="n">
        <v>-365.7</v>
      </c>
      <c r="F12" s="64"/>
      <c r="G12" s="64" t="n">
        <v>-365.7</v>
      </c>
      <c r="H12" s="64" t="n">
        <f aca="false">H11+F12+G12</f>
        <v>-70.8999999999999</v>
      </c>
    </row>
    <row r="13" customFormat="false" ht="12.75" hidden="false" customHeight="false" outlineLevel="0" collapsed="false">
      <c r="B13" s="108"/>
      <c r="C13" s="108"/>
      <c r="D13" s="108"/>
      <c r="E13" s="64"/>
      <c r="F13" s="64"/>
      <c r="G13" s="64"/>
      <c r="H13" s="64" t="n">
        <f aca="false">H12+F13+G13</f>
        <v>-70.8999999999999</v>
      </c>
    </row>
    <row r="14" customFormat="false" ht="12.75" hidden="false" customHeight="false" outlineLevel="0" collapsed="false">
      <c r="B14" s="108" t="s">
        <v>1442</v>
      </c>
      <c r="C14" s="108"/>
      <c r="D14" s="108"/>
      <c r="E14" s="64" t="n">
        <v>-54.54</v>
      </c>
      <c r="F14" s="64"/>
      <c r="G14" s="64" t="n">
        <v>-54.54</v>
      </c>
      <c r="H14" s="64" t="n">
        <f aca="false">H13+F14+G14</f>
        <v>-125.44</v>
      </c>
    </row>
    <row r="15" customFormat="false" ht="12.75" hidden="false" customHeight="false" outlineLevel="0" collapsed="false">
      <c r="B15" s="108" t="s">
        <v>1455</v>
      </c>
      <c r="C15" s="108"/>
      <c r="D15" s="108"/>
      <c r="E15" s="64" t="n">
        <v>-327.25</v>
      </c>
      <c r="F15" s="64"/>
      <c r="G15" s="64" t="n">
        <v>-327.25</v>
      </c>
      <c r="H15" s="64" t="n">
        <f aca="false">H14+F15+G15</f>
        <v>-452.69</v>
      </c>
    </row>
    <row r="16" customFormat="false" ht="12.75" hidden="false" customHeight="false" outlineLevel="0" collapsed="false">
      <c r="B16" s="108"/>
      <c r="C16" s="108"/>
      <c r="D16" s="108"/>
      <c r="E16" s="64"/>
      <c r="F16" s="64"/>
      <c r="G16" s="64"/>
      <c r="H16" s="64" t="n">
        <f aca="false">H15+F16+G16</f>
        <v>-452.69</v>
      </c>
    </row>
    <row r="17" customFormat="false" ht="12.75" hidden="false" customHeight="false" outlineLevel="0" collapsed="false">
      <c r="B17" s="378" t="s">
        <v>135</v>
      </c>
      <c r="C17" s="378"/>
      <c r="D17" s="378"/>
      <c r="E17" s="379" t="n">
        <v>-100</v>
      </c>
      <c r="F17" s="379"/>
      <c r="G17" s="379"/>
      <c r="H17" s="64" t="n">
        <f aca="false">H16+F17+G17</f>
        <v>-452.69</v>
      </c>
    </row>
    <row r="18" customFormat="false" ht="12.75" hidden="false" customHeight="false" outlineLevel="0" collapsed="false">
      <c r="B18" s="108" t="s">
        <v>1545</v>
      </c>
      <c r="C18" s="108"/>
      <c r="D18" s="108"/>
      <c r="E18" s="64" t="n">
        <v>-115.31</v>
      </c>
      <c r="F18" s="64"/>
      <c r="G18" s="64"/>
      <c r="H18" s="64" t="n">
        <f aca="false">H17+F18+G18</f>
        <v>-452.69</v>
      </c>
    </row>
    <row r="19" customFormat="false" ht="12.75" hidden="false" customHeight="false" outlineLevel="0" collapsed="false">
      <c r="B19" s="108" t="s">
        <v>1545</v>
      </c>
      <c r="C19" s="108"/>
      <c r="D19" s="108"/>
      <c r="E19" s="64" t="n">
        <v>-39.18</v>
      </c>
      <c r="F19" s="64"/>
      <c r="G19" s="64"/>
      <c r="H19" s="64" t="n">
        <f aca="false">H18+F19+G19</f>
        <v>-452.69</v>
      </c>
    </row>
    <row r="20" customFormat="false" ht="12.75" hidden="false" customHeight="false" outlineLevel="0" collapsed="false">
      <c r="B20" s="108" t="s">
        <v>135</v>
      </c>
      <c r="C20" s="108"/>
      <c r="D20" s="108"/>
      <c r="E20" s="64" t="n">
        <v>-200</v>
      </c>
      <c r="F20" s="64"/>
      <c r="G20" s="64"/>
      <c r="H20" s="64" t="n">
        <f aca="false">H19+F20+G20</f>
        <v>-452.69</v>
      </c>
    </row>
    <row r="21" customFormat="false" ht="12.75" hidden="false" customHeight="false" outlineLevel="0" collapsed="false">
      <c r="B21" s="108" t="s">
        <v>1357</v>
      </c>
      <c r="C21" s="108"/>
      <c r="D21" s="108"/>
      <c r="E21" s="64" t="n">
        <v>-70</v>
      </c>
      <c r="F21" s="64"/>
      <c r="G21" s="64"/>
      <c r="H21" s="64" t="n">
        <f aca="false">H20+F21+G21</f>
        <v>-452.69</v>
      </c>
    </row>
    <row r="22" customFormat="false" ht="12.75" hidden="false" customHeight="false" outlineLevel="0" collapsed="false">
      <c r="B22" s="108" t="s">
        <v>1546</v>
      </c>
      <c r="C22" s="108"/>
      <c r="D22" s="108"/>
      <c r="E22" s="64" t="n">
        <v>-205.83</v>
      </c>
      <c r="F22" s="64"/>
      <c r="G22" s="64"/>
      <c r="H22" s="64" t="n">
        <f aca="false">H21+F22+G22</f>
        <v>-452.69</v>
      </c>
    </row>
    <row r="23" customFormat="false" ht="12.75" hidden="false" customHeight="false" outlineLevel="0" collapsed="false">
      <c r="B23" s="108" t="s">
        <v>1547</v>
      </c>
      <c r="C23" s="108"/>
      <c r="D23" s="108"/>
      <c r="E23" s="64" t="n">
        <v>-177.65</v>
      </c>
      <c r="F23" s="64"/>
      <c r="G23" s="64"/>
      <c r="H23" s="64" t="n">
        <f aca="false">H22+F23+G23</f>
        <v>-452.69</v>
      </c>
    </row>
    <row r="24" customFormat="false" ht="12.75" hidden="false" customHeight="false" outlineLevel="0" collapsed="false">
      <c r="A24" s="102" t="n">
        <v>44686</v>
      </c>
      <c r="B24" s="376" t="s">
        <v>1462</v>
      </c>
      <c r="C24" s="376"/>
      <c r="D24" s="376"/>
      <c r="E24" s="380"/>
      <c r="F24" s="377"/>
      <c r="G24" s="377" t="n">
        <v>-907.97</v>
      </c>
      <c r="H24" s="64" t="n">
        <f aca="false">H23+F24+G24</f>
        <v>-1360.66</v>
      </c>
    </row>
    <row r="25" customFormat="false" ht="12.75" hidden="false" customHeight="false" outlineLevel="0" collapsed="false">
      <c r="B25" s="108"/>
      <c r="C25" s="108"/>
      <c r="D25" s="108"/>
      <c r="E25" s="64"/>
      <c r="F25" s="64"/>
      <c r="G25" s="64"/>
      <c r="H25" s="64" t="n">
        <f aca="false">H24+F25+G25</f>
        <v>-1360.66</v>
      </c>
    </row>
    <row r="26" customFormat="false" ht="12.75" hidden="false" customHeight="false" outlineLevel="0" collapsed="false">
      <c r="A26" s="102" t="n">
        <v>44708</v>
      </c>
      <c r="B26" s="8" t="s">
        <v>77</v>
      </c>
      <c r="E26" s="64" t="n">
        <v>-1500</v>
      </c>
      <c r="F26" s="64"/>
      <c r="G26" s="64" t="n">
        <v>-1505</v>
      </c>
      <c r="H26" s="64" t="n">
        <f aca="false">H25+F26+G26</f>
        <v>-2865.66</v>
      </c>
    </row>
    <row r="27" customFormat="false" ht="12.75" hidden="false" customHeight="false" outlineLevel="0" collapsed="false">
      <c r="A27" s="102" t="n">
        <v>44708</v>
      </c>
      <c r="B27" s="8" t="s">
        <v>78</v>
      </c>
      <c r="E27" s="64" t="n">
        <v>-1500</v>
      </c>
      <c r="F27" s="64"/>
      <c r="G27" s="64" t="n">
        <v>-1505</v>
      </c>
      <c r="H27" s="64" t="n">
        <f aca="false">H26+F27+G27</f>
        <v>-4370.66</v>
      </c>
    </row>
    <row r="28" customFormat="false" ht="12.75" hidden="false" customHeight="false" outlineLevel="0" collapsed="false">
      <c r="A28" s="102" t="n">
        <v>44708</v>
      </c>
      <c r="B28" s="8" t="s">
        <v>79</v>
      </c>
      <c r="E28" s="64" t="n">
        <v>-1500</v>
      </c>
      <c r="F28" s="64"/>
      <c r="G28" s="64" t="n">
        <v>-1500</v>
      </c>
      <c r="H28" s="64" t="n">
        <f aca="false">H27+F28+G28</f>
        <v>-5870.66</v>
      </c>
    </row>
    <row r="29" customFormat="false" ht="12.75" hidden="false" customHeight="false" outlineLevel="0" collapsed="false">
      <c r="E29" s="64"/>
      <c r="F29" s="64"/>
      <c r="G29" s="64"/>
      <c r="H29" s="64" t="n">
        <f aca="false">H28+F29+G29</f>
        <v>-5870.66</v>
      </c>
    </row>
    <row r="30" customFormat="false" ht="12.75" hidden="false" customHeight="false" outlineLevel="0" collapsed="false">
      <c r="A30" s="102" t="n">
        <v>44708</v>
      </c>
      <c r="B30" s="8" t="s">
        <v>76</v>
      </c>
      <c r="D30" s="64" t="n">
        <v>3020.37</v>
      </c>
      <c r="E30" s="64"/>
      <c r="F30" s="64" t="n">
        <v>3020.37</v>
      </c>
      <c r="G30" s="64"/>
      <c r="H30" s="64" t="n">
        <f aca="false">H29+F30+G30</f>
        <v>-2850.29</v>
      </c>
    </row>
    <row r="31" customFormat="false" ht="12.75" hidden="false" customHeight="false" outlineLevel="0" collapsed="false">
      <c r="A31" s="102" t="n">
        <v>44711</v>
      </c>
      <c r="B31" s="8" t="s">
        <v>681</v>
      </c>
      <c r="D31" s="64" t="n">
        <v>1650</v>
      </c>
      <c r="F31" s="64" t="n">
        <v>1650</v>
      </c>
      <c r="G31" s="64"/>
      <c r="H31" s="64" t="n">
        <f aca="false">H30+F31+G31</f>
        <v>-1200.29</v>
      </c>
    </row>
    <row r="32" customFormat="false" ht="12.75" hidden="false" customHeight="false" outlineLevel="0" collapsed="false">
      <c r="A32" s="102" t="n">
        <v>44711</v>
      </c>
      <c r="B32" s="8" t="s">
        <v>1548</v>
      </c>
      <c r="C32" s="382"/>
      <c r="D32" s="64" t="n">
        <v>5000</v>
      </c>
      <c r="E32" s="64"/>
      <c r="F32" s="64" t="n">
        <v>3000</v>
      </c>
      <c r="G32" s="64"/>
      <c r="H32" s="64" t="n">
        <f aca="false">H31+F32+G32</f>
        <v>1799.71</v>
      </c>
    </row>
    <row r="33" customFormat="false" ht="12.75" hidden="false" customHeight="false" outlineLevel="0" collapsed="false">
      <c r="F33" s="64"/>
      <c r="G33" s="64"/>
      <c r="H33" s="64" t="n">
        <f aca="false">H32+F33+G33</f>
        <v>1799.71</v>
      </c>
    </row>
    <row r="34" customFormat="false" ht="12.75" hidden="false" customHeight="false" outlineLevel="0" collapsed="false">
      <c r="A34" s="383"/>
      <c r="B34" s="371" t="s">
        <v>1541</v>
      </c>
      <c r="C34" s="371"/>
      <c r="D34" s="384" t="n">
        <v>4000</v>
      </c>
      <c r="E34" s="371"/>
      <c r="F34" s="373"/>
      <c r="G34" s="373"/>
      <c r="H34" s="64" t="n">
        <f aca="false">H33+F34+G34</f>
        <v>1799.71</v>
      </c>
    </row>
    <row r="35" customFormat="false" ht="12.75" hidden="false" customHeight="false" outlineLevel="0" collapsed="false">
      <c r="F35" s="64"/>
      <c r="G35" s="64"/>
      <c r="H35" s="64"/>
    </row>
    <row r="36" customFormat="false" ht="12.75" hidden="false" customHeight="false" outlineLevel="0" collapsed="false">
      <c r="F36" s="64"/>
      <c r="G36" s="64"/>
      <c r="H36" s="64"/>
    </row>
    <row r="37" customFormat="false" ht="12.75" hidden="false" customHeight="false" outlineLevel="0" collapsed="false">
      <c r="E37" s="64"/>
      <c r="F37" s="64"/>
      <c r="G37" s="64"/>
      <c r="H37" s="64"/>
    </row>
    <row r="38" customFormat="false" ht="12.75" hidden="false" customHeight="false" outlineLevel="0" collapsed="false">
      <c r="E38" s="64"/>
      <c r="F38" s="64"/>
      <c r="G38" s="64"/>
      <c r="H38" s="64"/>
    </row>
    <row r="39" customFormat="false" ht="12.75" hidden="false" customHeight="false" outlineLevel="0" collapsed="false">
      <c r="H39" s="64"/>
    </row>
    <row r="40" customFormat="false" ht="12.75" hidden="false" customHeight="false" outlineLevel="0" collapsed="false">
      <c r="H40" s="64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A39"/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9" colorId="64" zoomScale="170" zoomScaleNormal="170" zoomScalePageLayoutView="100" workbookViewId="0">
      <selection pane="topLeft" activeCell="A10" activeCellId="0" sqref="A10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9"/>
    <col collapsed="false" customWidth="true" hidden="false" outlineLevel="0" max="2" min="2" style="0" width="36.43"/>
    <col collapsed="false" customWidth="true" hidden="false" outlineLevel="0" max="3" min="3" style="0" width="2.86"/>
    <col collapsed="false" customWidth="true" hidden="false" outlineLevel="0" max="8" min="4" style="0" width="12.29"/>
    <col collapsed="false" customWidth="true" hidden="false" outlineLevel="0" max="9" min="9" style="0" width="9.14"/>
  </cols>
  <sheetData>
    <row r="1" customFormat="false" ht="12.75" hidden="false" customHeight="false" outlineLevel="0" collapsed="false">
      <c r="B1" s="42" t="n">
        <v>7.25</v>
      </c>
      <c r="E1" s="194"/>
      <c r="F1" s="194" t="s">
        <v>28</v>
      </c>
      <c r="G1" s="194" t="s">
        <v>29</v>
      </c>
      <c r="H1" s="194" t="s">
        <v>3</v>
      </c>
    </row>
    <row r="2" customFormat="false" ht="12.75" hidden="false" customHeight="false" outlineLevel="0" collapsed="false">
      <c r="A2" s="3" t="s">
        <v>1549</v>
      </c>
      <c r="C2" s="81" t="s">
        <v>67</v>
      </c>
      <c r="D2" s="311" t="n">
        <f aca="false">SUM(D5:D66)</f>
        <v>15937.59</v>
      </c>
      <c r="E2" s="311" t="n">
        <f aca="false">SUM(E5:E66)</f>
        <v>-11790.68</v>
      </c>
      <c r="F2" s="311" t="n">
        <f aca="false">SUM(F5:F66)</f>
        <v>17940.28</v>
      </c>
      <c r="G2" s="311" t="n">
        <f aca="false">SUM(G5:G66)</f>
        <v>-11140.68</v>
      </c>
      <c r="H2" s="311" t="n">
        <f aca="false">F2+G2</f>
        <v>6799.6</v>
      </c>
    </row>
    <row r="3" customFormat="false" ht="12.75" hidden="false" customHeight="false" outlineLevel="0" collapsed="false">
      <c r="A3" s="102"/>
      <c r="B3" s="18"/>
      <c r="E3" s="64"/>
      <c r="F3" s="64"/>
      <c r="G3" s="64"/>
      <c r="H3" s="64"/>
    </row>
    <row r="4" customFormat="false" ht="12.75" hidden="false" customHeight="false" outlineLevel="0" collapsed="false">
      <c r="A4" s="102"/>
      <c r="E4" s="64"/>
      <c r="F4" s="64"/>
      <c r="G4" s="64"/>
      <c r="H4" s="64" t="n">
        <f aca="false">H3+F4+G4</f>
        <v>0</v>
      </c>
    </row>
    <row r="5" customFormat="false" ht="12.75" hidden="false" customHeight="false" outlineLevel="0" collapsed="false">
      <c r="A5" s="102" t="n">
        <v>44658</v>
      </c>
      <c r="B5" s="8" t="s">
        <v>1521</v>
      </c>
      <c r="D5" s="0" t="n">
        <v>257.31</v>
      </c>
      <c r="E5" s="64"/>
      <c r="F5" s="64" t="n">
        <v>260</v>
      </c>
      <c r="G5" s="64"/>
      <c r="H5" s="64" t="n">
        <f aca="false">H4+F5+G5</f>
        <v>260</v>
      </c>
    </row>
    <row r="6" customFormat="false" ht="12.75" hidden="false" customHeight="false" outlineLevel="0" collapsed="false">
      <c r="A6" s="102"/>
      <c r="B6" s="8" t="s">
        <v>338</v>
      </c>
      <c r="D6" s="0" t="n">
        <v>1089.63</v>
      </c>
      <c r="E6" s="64"/>
      <c r="F6" s="64" t="n">
        <v>1089.63</v>
      </c>
      <c r="G6" s="64"/>
      <c r="H6" s="64" t="n">
        <f aca="false">H5+F6+G6</f>
        <v>1349.63</v>
      </c>
    </row>
    <row r="7" customFormat="false" ht="12.75" hidden="false" customHeight="false" outlineLevel="0" collapsed="false">
      <c r="A7" s="102" t="n">
        <v>44654</v>
      </c>
      <c r="B7" s="8" t="s">
        <v>1471</v>
      </c>
      <c r="D7" s="0" t="n">
        <v>384.4</v>
      </c>
      <c r="E7" s="64"/>
      <c r="F7" s="64" t="n">
        <v>384.4</v>
      </c>
      <c r="G7" s="64"/>
      <c r="H7" s="64" t="n">
        <f aca="false">H6+F7+G7</f>
        <v>1734.03</v>
      </c>
    </row>
    <row r="8" customFormat="false" ht="12.75" hidden="false" customHeight="false" outlineLevel="0" collapsed="false">
      <c r="A8" s="102" t="n">
        <v>44654</v>
      </c>
      <c r="B8" s="8" t="s">
        <v>342</v>
      </c>
      <c r="D8" s="0" t="n">
        <v>85.88</v>
      </c>
      <c r="E8" s="64"/>
      <c r="F8" s="64" t="n">
        <v>85.88</v>
      </c>
      <c r="G8" s="64"/>
      <c r="H8" s="64" t="n">
        <f aca="false">H7+F8+G8</f>
        <v>1819.91</v>
      </c>
    </row>
    <row r="9" customFormat="false" ht="12.75" hidden="false" customHeight="false" outlineLevel="0" collapsed="false">
      <c r="A9" s="102"/>
      <c r="B9" s="108" t="s">
        <v>1342</v>
      </c>
      <c r="C9" s="108"/>
      <c r="D9" s="108"/>
      <c r="E9" s="64" t="n">
        <v>-1578.43</v>
      </c>
      <c r="F9" s="64"/>
      <c r="G9" s="64" t="n">
        <v>-1578.43</v>
      </c>
      <c r="H9" s="64" t="n">
        <f aca="false">H8+F9+G9</f>
        <v>241.48</v>
      </c>
    </row>
    <row r="10" customFormat="false" ht="12.75" hidden="false" customHeight="false" outlineLevel="0" collapsed="false">
      <c r="A10" s="102" t="n">
        <v>44655</v>
      </c>
      <c r="B10" s="103" t="s">
        <v>1335</v>
      </c>
      <c r="C10" s="103"/>
      <c r="D10" s="103"/>
      <c r="E10" s="64" t="n">
        <v>-383.8</v>
      </c>
      <c r="F10" s="168"/>
      <c r="G10" s="64" t="n">
        <v>-383.8</v>
      </c>
      <c r="H10" s="64" t="n">
        <f aca="false">H9+F10+G10</f>
        <v>-142.32</v>
      </c>
    </row>
    <row r="11" customFormat="false" ht="12.75" hidden="false" customHeight="false" outlineLevel="0" collapsed="false">
      <c r="A11" s="102" t="n">
        <v>44655</v>
      </c>
      <c r="B11" s="103" t="s">
        <v>1336</v>
      </c>
      <c r="C11" s="103"/>
      <c r="D11" s="103"/>
      <c r="E11" s="64" t="n">
        <v>-171.6</v>
      </c>
      <c r="F11" s="168"/>
      <c r="G11" s="64" t="n">
        <v>-171.6</v>
      </c>
      <c r="H11" s="64" t="n">
        <f aca="false">H10+F11+G11</f>
        <v>-313.92</v>
      </c>
    </row>
    <row r="12" customFormat="false" ht="12.75" hidden="false" customHeight="false" outlineLevel="0" collapsed="false">
      <c r="A12" s="102"/>
      <c r="B12" s="103"/>
      <c r="C12" s="103"/>
      <c r="D12" s="103"/>
      <c r="F12" s="168"/>
      <c r="G12" s="64"/>
      <c r="H12" s="64" t="n">
        <f aca="false">H11+F12+G12</f>
        <v>-313.92</v>
      </c>
    </row>
    <row r="13" customFormat="false" ht="12.75" hidden="false" customHeight="false" outlineLevel="0" collapsed="false">
      <c r="A13" s="102"/>
      <c r="B13" s="108" t="s">
        <v>1442</v>
      </c>
      <c r="C13" s="108"/>
      <c r="D13" s="108"/>
      <c r="E13" s="64" t="n">
        <v>-600</v>
      </c>
      <c r="F13" s="64"/>
      <c r="G13" s="64"/>
      <c r="H13" s="64" t="n">
        <f aca="false">H12+F13+G13</f>
        <v>-313.92</v>
      </c>
    </row>
    <row r="14" customFormat="false" ht="12.75" hidden="false" customHeight="false" outlineLevel="0" collapsed="false">
      <c r="A14" s="102"/>
      <c r="B14" s="108" t="s">
        <v>1455</v>
      </c>
      <c r="C14" s="108"/>
      <c r="D14" s="108"/>
      <c r="E14" s="64" t="n">
        <v>-50</v>
      </c>
      <c r="F14" s="64"/>
      <c r="G14" s="64"/>
      <c r="H14" s="64" t="n">
        <f aca="false">H13+F14+G14</f>
        <v>-313.92</v>
      </c>
    </row>
    <row r="15" customFormat="false" ht="12.75" hidden="false" customHeight="false" outlineLevel="0" collapsed="false">
      <c r="A15" s="102"/>
      <c r="B15" s="103"/>
      <c r="C15" s="103"/>
      <c r="D15" s="103"/>
      <c r="E15" s="64"/>
      <c r="F15" s="168"/>
      <c r="G15" s="64"/>
      <c r="H15" s="64" t="n">
        <f aca="false">H14+F15+G15</f>
        <v>-313.92</v>
      </c>
    </row>
    <row r="16" customFormat="false" ht="12.75" hidden="false" customHeight="false" outlineLevel="0" collapsed="false">
      <c r="A16" s="102"/>
      <c r="B16" s="378" t="s">
        <v>1550</v>
      </c>
      <c r="C16" s="378"/>
      <c r="D16" s="378"/>
      <c r="E16" s="379" t="n">
        <v>-169</v>
      </c>
      <c r="F16" s="385"/>
      <c r="G16" s="379"/>
      <c r="H16" s="64" t="n">
        <f aca="false">H15+F16+G16</f>
        <v>-313.92</v>
      </c>
    </row>
    <row r="17" customFormat="false" ht="12.75" hidden="false" customHeight="false" outlineLevel="0" collapsed="false">
      <c r="A17" s="102"/>
      <c r="B17" s="108" t="s">
        <v>1551</v>
      </c>
      <c r="C17" s="108"/>
      <c r="D17" s="108"/>
      <c r="E17" s="64" t="n">
        <v>-3270</v>
      </c>
      <c r="F17" s="168"/>
      <c r="G17" s="64"/>
      <c r="H17" s="64" t="n">
        <f aca="false">H16+F17+G17</f>
        <v>-313.92</v>
      </c>
    </row>
    <row r="18" customFormat="false" ht="12.75" hidden="false" customHeight="false" outlineLevel="0" collapsed="false">
      <c r="A18" s="102"/>
      <c r="B18" s="108" t="s">
        <v>1552</v>
      </c>
      <c r="C18" s="108"/>
      <c r="D18" s="108"/>
      <c r="E18" s="64" t="n">
        <v>-238</v>
      </c>
      <c r="F18" s="168"/>
      <c r="G18" s="64"/>
      <c r="H18" s="64" t="n">
        <f aca="false">H17+F18+G18</f>
        <v>-313.92</v>
      </c>
    </row>
    <row r="19" customFormat="false" ht="12.75" hidden="false" customHeight="false" outlineLevel="0" collapsed="false">
      <c r="A19" s="102"/>
      <c r="B19" s="108" t="s">
        <v>1553</v>
      </c>
      <c r="C19" s="108"/>
      <c r="D19" s="108"/>
      <c r="E19" s="64" t="n">
        <v>-11.9</v>
      </c>
      <c r="F19" s="168"/>
      <c r="G19" s="64"/>
      <c r="H19" s="64" t="n">
        <f aca="false">H18+F19+G19</f>
        <v>-313.92</v>
      </c>
    </row>
    <row r="20" customFormat="false" ht="12.75" hidden="false" customHeight="false" outlineLevel="0" collapsed="false">
      <c r="A20" s="102"/>
      <c r="B20" s="108" t="s">
        <v>1554</v>
      </c>
      <c r="C20" s="108"/>
      <c r="D20" s="108"/>
      <c r="E20" s="64" t="n">
        <v>-177.65</v>
      </c>
      <c r="F20" s="168"/>
      <c r="G20" s="64"/>
      <c r="H20" s="64" t="n">
        <f aca="false">H19+F20+G20</f>
        <v>-313.92</v>
      </c>
    </row>
    <row r="21" customFormat="false" ht="12.75" hidden="false" customHeight="false" outlineLevel="0" collapsed="false">
      <c r="A21" s="102"/>
      <c r="B21" s="108" t="s">
        <v>1555</v>
      </c>
      <c r="C21" s="108"/>
      <c r="D21" s="108"/>
      <c r="E21" s="64" t="n">
        <v>-132.3</v>
      </c>
      <c r="F21" s="168"/>
      <c r="G21" s="64"/>
      <c r="H21" s="64" t="n">
        <f aca="false">H20+F21+G21</f>
        <v>-313.92</v>
      </c>
    </row>
    <row r="22" customFormat="false" ht="12.75" hidden="false" customHeight="false" outlineLevel="0" collapsed="false">
      <c r="A22" s="102" t="n">
        <v>44655</v>
      </c>
      <c r="B22" s="376" t="s">
        <v>1462</v>
      </c>
      <c r="C22" s="376"/>
      <c r="D22" s="376"/>
      <c r="E22" s="380"/>
      <c r="F22" s="380"/>
      <c r="G22" s="377" t="n">
        <v>-3998.85</v>
      </c>
      <c r="H22" s="64" t="n">
        <f aca="false">H21+F22+G22</f>
        <v>-4312.77</v>
      </c>
    </row>
    <row r="23" customFormat="false" ht="12.75" hidden="false" customHeight="false" outlineLevel="0" collapsed="false">
      <c r="A23" s="102"/>
      <c r="B23" s="108"/>
      <c r="C23" s="108"/>
      <c r="D23" s="108"/>
      <c r="E23" s="168"/>
      <c r="F23" s="168"/>
      <c r="G23" s="64"/>
      <c r="H23" s="64" t="n">
        <f aca="false">H22+F23+G23</f>
        <v>-4312.77</v>
      </c>
    </row>
    <row r="24" customFormat="false" ht="12.75" hidden="false" customHeight="false" outlineLevel="0" collapsed="false">
      <c r="A24" s="102"/>
      <c r="B24" s="8" t="s">
        <v>77</v>
      </c>
      <c r="E24" s="64" t="n">
        <v>-1504</v>
      </c>
      <c r="G24" s="64" t="n">
        <v>-1504</v>
      </c>
      <c r="H24" s="64" t="n">
        <f aca="false">H23+F24+G24</f>
        <v>-5816.77</v>
      </c>
    </row>
    <row r="25" customFormat="false" ht="12.75" hidden="false" customHeight="false" outlineLevel="0" collapsed="false">
      <c r="A25" s="102"/>
      <c r="B25" s="8" t="s">
        <v>78</v>
      </c>
      <c r="E25" s="64" t="n">
        <v>-1504</v>
      </c>
      <c r="G25" s="64" t="n">
        <v>-1504</v>
      </c>
      <c r="H25" s="64" t="n">
        <f aca="false">H24+F25+G25</f>
        <v>-7320.77</v>
      </c>
    </row>
    <row r="26" customFormat="false" ht="12.75" hidden="false" customHeight="false" outlineLevel="0" collapsed="false">
      <c r="A26" s="102"/>
      <c r="B26" s="8" t="s">
        <v>1556</v>
      </c>
      <c r="E26" s="64" t="n">
        <v>-500</v>
      </c>
      <c r="G26" s="64" t="n">
        <v>-500</v>
      </c>
      <c r="H26" s="64" t="n">
        <f aca="false">H25+F26+G26</f>
        <v>-7820.77</v>
      </c>
    </row>
    <row r="27" customFormat="false" ht="12.75" hidden="false" customHeight="false" outlineLevel="0" collapsed="false">
      <c r="B27" s="0" t="s">
        <v>79</v>
      </c>
      <c r="E27" s="64" t="n">
        <v>-1500</v>
      </c>
      <c r="G27" s="64" t="n">
        <v>-1500</v>
      </c>
      <c r="H27" s="64" t="n">
        <f aca="false">H26+F27+G27</f>
        <v>-9320.77</v>
      </c>
    </row>
    <row r="28" customFormat="false" ht="12.75" hidden="false" customHeight="false" outlineLevel="0" collapsed="false">
      <c r="H28" s="64" t="n">
        <f aca="false">H27+F28+G28</f>
        <v>-9320.77</v>
      </c>
    </row>
    <row r="29" customFormat="false" ht="12.75" hidden="false" customHeight="false" outlineLevel="0" collapsed="false">
      <c r="A29" s="102"/>
      <c r="B29" s="8" t="s">
        <v>76</v>
      </c>
      <c r="D29" s="64" t="n">
        <v>3020.37</v>
      </c>
      <c r="E29" s="64"/>
      <c r="F29" s="64" t="n">
        <v>3020.37</v>
      </c>
      <c r="G29" s="64"/>
      <c r="H29" s="64" t="n">
        <f aca="false">H28+F29+G29</f>
        <v>-6300.4</v>
      </c>
    </row>
    <row r="30" customFormat="false" ht="12.75" hidden="false" customHeight="false" outlineLevel="0" collapsed="false">
      <c r="A30" s="102" t="n">
        <v>44655</v>
      </c>
      <c r="B30" s="8" t="s">
        <v>1557</v>
      </c>
      <c r="D30" s="64" t="n">
        <v>2500</v>
      </c>
      <c r="E30" s="64"/>
      <c r="F30" s="64" t="n">
        <v>2500</v>
      </c>
      <c r="G30" s="64"/>
      <c r="H30" s="64" t="n">
        <f aca="false">H29+F30+G30</f>
        <v>-3800.4</v>
      </c>
    </row>
    <row r="31" customFormat="false" ht="12.75" hidden="false" customHeight="false" outlineLevel="0" collapsed="false">
      <c r="A31" s="102" t="n">
        <v>44693</v>
      </c>
      <c r="B31" s="8" t="s">
        <v>1558</v>
      </c>
      <c r="D31" s="64" t="n">
        <v>1600</v>
      </c>
      <c r="F31" s="64" t="n">
        <v>1600</v>
      </c>
      <c r="G31" s="64"/>
      <c r="H31" s="64" t="n">
        <f aca="false">H30+F31+G31</f>
        <v>-2200.4</v>
      </c>
    </row>
    <row r="32" customFormat="false" ht="12.75" hidden="false" customHeight="false" outlineLevel="0" collapsed="false">
      <c r="A32" s="102" t="n">
        <v>44691</v>
      </c>
      <c r="B32" s="363" t="s">
        <v>1559</v>
      </c>
      <c r="C32" s="382"/>
      <c r="D32" s="64" t="n">
        <v>3000</v>
      </c>
      <c r="F32" s="64" t="n">
        <v>5000</v>
      </c>
      <c r="G32" s="64"/>
      <c r="H32" s="64" t="n">
        <f aca="false">H31+F32+G32</f>
        <v>2799.6</v>
      </c>
    </row>
    <row r="33" customFormat="false" ht="12.75" hidden="false" customHeight="false" outlineLevel="0" collapsed="false">
      <c r="H33" s="64" t="n">
        <f aca="false">H32+F33+G33</f>
        <v>2799.6</v>
      </c>
    </row>
    <row r="34" customFormat="false" ht="12.75" hidden="false" customHeight="false" outlineLevel="0" collapsed="false">
      <c r="A34" s="102" t="n">
        <v>44688</v>
      </c>
      <c r="B34" s="8" t="s">
        <v>1560</v>
      </c>
      <c r="D34" s="2" t="n">
        <v>4000</v>
      </c>
      <c r="F34" s="2" t="n">
        <v>4000</v>
      </c>
      <c r="H34" s="64" t="n">
        <f aca="false">H33+F34+G34</f>
        <v>6799.6</v>
      </c>
    </row>
    <row r="35" customFormat="false" ht="12.75" hidden="false" customHeight="false" outlineLevel="0" collapsed="false">
      <c r="A35" s="102"/>
      <c r="B35" s="8" t="s">
        <v>1561</v>
      </c>
      <c r="D35" s="64"/>
      <c r="F35" s="64"/>
      <c r="G35" s="64"/>
      <c r="H35" s="64" t="n">
        <f aca="false">H34+F35+G35</f>
        <v>6799.6</v>
      </c>
    </row>
    <row r="36" customFormat="false" ht="12.75" hidden="false" customHeight="false" outlineLevel="0" collapsed="false">
      <c r="H36" s="64" t="n">
        <f aca="false">H35+F36+G36</f>
        <v>6799.6</v>
      </c>
    </row>
    <row r="38" customFormat="false" ht="12.75" hidden="false" customHeight="false" outlineLevel="0" collapsed="false">
      <c r="A38" s="102"/>
      <c r="F38" s="64"/>
      <c r="G38" s="64"/>
      <c r="H38" s="64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70" zoomScaleNormal="17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3.71"/>
    <col collapsed="false" customWidth="true" hidden="false" outlineLevel="0" max="2" min="2" style="0" width="37.71"/>
    <col collapsed="false" customWidth="true" hidden="false" outlineLevel="0" max="3" min="3" style="0" width="3.29"/>
    <col collapsed="false" customWidth="true" hidden="false" outlineLevel="0" max="4" min="4" style="0" width="10.57"/>
    <col collapsed="false" customWidth="true" hidden="false" outlineLevel="0" max="5" min="5" style="0" width="11.14"/>
    <col collapsed="false" customWidth="true" hidden="false" outlineLevel="0" max="6" min="6" style="0" width="10.57"/>
    <col collapsed="false" customWidth="true" hidden="false" outlineLevel="0" max="8" min="7" style="0" width="11.14"/>
    <col collapsed="false" customWidth="true" hidden="false" outlineLevel="0" max="9" min="9" style="0" width="12.29"/>
    <col collapsed="false" customWidth="true" hidden="false" outlineLevel="0" max="10" min="10" style="0" width="9.14"/>
  </cols>
  <sheetData>
    <row r="1" customFormat="false" ht="12.75" hidden="false" customHeight="false" outlineLevel="0" collapsed="false">
      <c r="B1" s="42" t="n">
        <v>5.46</v>
      </c>
      <c r="E1" s="194"/>
      <c r="F1" s="194" t="s">
        <v>28</v>
      </c>
      <c r="G1" s="194" t="s">
        <v>29</v>
      </c>
      <c r="H1" s="194" t="s">
        <v>3</v>
      </c>
    </row>
    <row r="2" customFormat="false" ht="12.75" hidden="false" customHeight="false" outlineLevel="0" collapsed="false">
      <c r="A2" s="3" t="s">
        <v>1562</v>
      </c>
      <c r="C2" s="81" t="s">
        <v>67</v>
      </c>
      <c r="D2" s="311" t="n">
        <f aca="false">SUM(D5:D61)</f>
        <v>36859.61</v>
      </c>
      <c r="E2" s="311" t="n">
        <f aca="false">SUM(E5:E61)</f>
        <v>-30109.3</v>
      </c>
      <c r="F2" s="311" t="n">
        <f aca="false">SUM(F5:F61)</f>
        <v>35859.61</v>
      </c>
      <c r="G2" s="311" t="n">
        <f aca="false">SUM(G5:G61)</f>
        <v>-30109.3</v>
      </c>
      <c r="H2" s="311" t="n">
        <f aca="false">F2+G2</f>
        <v>5750.31</v>
      </c>
    </row>
    <row r="3" customFormat="false" ht="12.75" hidden="false" customHeight="false" outlineLevel="0" collapsed="false">
      <c r="A3" s="102"/>
      <c r="B3" s="18"/>
      <c r="C3" s="3"/>
      <c r="D3" s="3"/>
      <c r="E3" s="168"/>
      <c r="F3" s="168"/>
      <c r="G3" s="168"/>
      <c r="H3" s="64"/>
      <c r="I3" s="3"/>
    </row>
    <row r="4" customFormat="false" ht="12.75" hidden="false" customHeight="false" outlineLevel="0" collapsed="false">
      <c r="A4" s="102"/>
      <c r="B4" s="3"/>
      <c r="C4" s="3"/>
      <c r="D4" s="3"/>
      <c r="E4" s="168"/>
      <c r="F4" s="168"/>
      <c r="G4" s="168"/>
      <c r="H4" s="64" t="n">
        <f aca="false">H3+F4+G4</f>
        <v>0</v>
      </c>
      <c r="I4" s="3"/>
    </row>
    <row r="5" customFormat="false" ht="12.75" hidden="false" customHeight="false" outlineLevel="0" collapsed="false">
      <c r="A5" s="102" t="n">
        <v>44623</v>
      </c>
      <c r="B5" s="8" t="s">
        <v>1521</v>
      </c>
      <c r="C5" s="8" t="s">
        <v>1563</v>
      </c>
      <c r="D5" s="64" t="n">
        <v>375.6</v>
      </c>
      <c r="F5" s="64" t="n">
        <v>375.6</v>
      </c>
      <c r="G5" s="64"/>
      <c r="H5" s="64" t="n">
        <f aca="false">H4+F5+G5</f>
        <v>375.6</v>
      </c>
    </row>
    <row r="6" customFormat="false" ht="12.75" hidden="false" customHeight="false" outlineLevel="0" collapsed="false">
      <c r="A6" s="102" t="n">
        <v>44623</v>
      </c>
      <c r="B6" s="8" t="s">
        <v>338</v>
      </c>
      <c r="C6" s="8" t="s">
        <v>1563</v>
      </c>
      <c r="D6" s="64" t="n">
        <v>1137.88</v>
      </c>
      <c r="F6" s="64" t="n">
        <v>1137.88</v>
      </c>
      <c r="G6" s="64"/>
      <c r="H6" s="64" t="n">
        <f aca="false">H5+F6+G6</f>
        <v>1513.48</v>
      </c>
    </row>
    <row r="7" customFormat="false" ht="12.75" hidden="false" customHeight="false" outlineLevel="0" collapsed="false">
      <c r="A7" s="102" t="n">
        <v>44623</v>
      </c>
      <c r="B7" s="8" t="s">
        <v>1471</v>
      </c>
      <c r="C7" s="8" t="s">
        <v>1563</v>
      </c>
      <c r="D7" s="64" t="n">
        <v>256.45</v>
      </c>
      <c r="F7" s="64" t="n">
        <v>256.45</v>
      </c>
      <c r="G7" s="64"/>
      <c r="H7" s="64" t="n">
        <f aca="false">H6+F7+G7</f>
        <v>1769.93</v>
      </c>
    </row>
    <row r="8" customFormat="false" ht="12.75" hidden="false" customHeight="false" outlineLevel="0" collapsed="false">
      <c r="A8" s="102" t="n">
        <v>44623</v>
      </c>
      <c r="B8" s="8" t="s">
        <v>342</v>
      </c>
      <c r="C8" s="8" t="s">
        <v>1563</v>
      </c>
      <c r="D8" s="64" t="n">
        <v>69.31</v>
      </c>
      <c r="F8" s="64" t="n">
        <v>69.31</v>
      </c>
      <c r="G8" s="64"/>
      <c r="H8" s="64" t="n">
        <f aca="false">H7+F8+G8</f>
        <v>1839.24</v>
      </c>
    </row>
    <row r="9" customFormat="false" ht="12.75" hidden="false" customHeight="false" outlineLevel="0" collapsed="false">
      <c r="A9" s="102" t="n">
        <v>44631</v>
      </c>
      <c r="B9" s="108" t="s">
        <v>1342</v>
      </c>
      <c r="C9" s="108" t="s">
        <v>1564</v>
      </c>
      <c r="D9" s="108"/>
      <c r="E9" s="64" t="n">
        <v>-1608.4</v>
      </c>
      <c r="F9" s="64"/>
      <c r="G9" s="64" t="n">
        <v>-1608.4</v>
      </c>
      <c r="H9" s="64" t="n">
        <f aca="false">H8+F9+G9</f>
        <v>230.84</v>
      </c>
    </row>
    <row r="10" customFormat="false" ht="12.75" hidden="false" customHeight="false" outlineLevel="0" collapsed="false">
      <c r="A10" s="102" t="n">
        <v>44624</v>
      </c>
      <c r="B10" s="103" t="s">
        <v>1335</v>
      </c>
      <c r="C10" s="103" t="s">
        <v>1564</v>
      </c>
      <c r="D10" s="103"/>
      <c r="E10" s="64" t="n">
        <v>-167</v>
      </c>
      <c r="F10" s="168"/>
      <c r="G10" s="168" t="n">
        <v>-167</v>
      </c>
      <c r="H10" s="64" t="n">
        <f aca="false">H9+F10+G10</f>
        <v>63.8399999999999</v>
      </c>
      <c r="I10" s="3"/>
    </row>
    <row r="11" customFormat="false" ht="12.75" hidden="false" customHeight="false" outlineLevel="0" collapsed="false">
      <c r="A11" s="102"/>
      <c r="B11" s="103" t="s">
        <v>1336</v>
      </c>
      <c r="C11" s="103" t="s">
        <v>1564</v>
      </c>
      <c r="D11" s="103"/>
      <c r="E11" s="64" t="n">
        <v>-428</v>
      </c>
      <c r="F11" s="168"/>
      <c r="G11" s="168" t="n">
        <v>-428</v>
      </c>
      <c r="H11" s="64" t="n">
        <f aca="false">H10+F11+G11</f>
        <v>-364.16</v>
      </c>
      <c r="I11" s="3"/>
    </row>
    <row r="12" customFormat="false" ht="12.75" hidden="false" customHeight="false" outlineLevel="0" collapsed="false">
      <c r="A12" s="102"/>
      <c r="B12" s="108"/>
      <c r="C12" s="108"/>
      <c r="D12" s="108"/>
      <c r="E12" s="64"/>
      <c r="F12" s="64"/>
      <c r="G12" s="64"/>
      <c r="H12" s="64" t="n">
        <f aca="false">H11+F12+G12</f>
        <v>-364.16</v>
      </c>
    </row>
    <row r="13" customFormat="false" ht="12.75" hidden="false" customHeight="false" outlineLevel="0" collapsed="false">
      <c r="A13" s="102"/>
      <c r="B13" s="108" t="s">
        <v>1442</v>
      </c>
      <c r="C13" s="108" t="s">
        <v>1564</v>
      </c>
      <c r="E13" s="64" t="n">
        <v>-37.23</v>
      </c>
      <c r="F13" s="64"/>
      <c r="G13" s="64" t="n">
        <v>-37.23</v>
      </c>
      <c r="H13" s="64" t="n">
        <f aca="false">H12+F13+G13</f>
        <v>-401.39</v>
      </c>
    </row>
    <row r="14" customFormat="false" ht="12.75" hidden="false" customHeight="false" outlineLevel="0" collapsed="false">
      <c r="A14" s="102"/>
      <c r="B14" s="108" t="s">
        <v>1455</v>
      </c>
      <c r="C14" s="108" t="s">
        <v>1564</v>
      </c>
      <c r="E14" s="64" t="n">
        <v>-632.92</v>
      </c>
      <c r="F14" s="64"/>
      <c r="G14" s="64" t="n">
        <v>-632.92</v>
      </c>
      <c r="H14" s="64" t="n">
        <f aca="false">H13+F14+G14</f>
        <v>-1034.31</v>
      </c>
    </row>
    <row r="15" customFormat="false" ht="12.75" hidden="false" customHeight="false" outlineLevel="0" collapsed="false">
      <c r="A15" s="102"/>
      <c r="B15" s="103"/>
      <c r="C15" s="103"/>
      <c r="D15" s="103"/>
      <c r="E15" s="64"/>
      <c r="F15" s="168"/>
      <c r="G15" s="168"/>
      <c r="H15" s="64" t="n">
        <f aca="false">H14+F15+G15</f>
        <v>-1034.31</v>
      </c>
      <c r="I15" s="3"/>
    </row>
    <row r="16" customFormat="false" ht="12.75" hidden="false" customHeight="false" outlineLevel="0" collapsed="false">
      <c r="A16" s="102"/>
      <c r="B16" s="108" t="s">
        <v>1565</v>
      </c>
      <c r="C16" s="108"/>
      <c r="D16" s="108"/>
      <c r="E16" s="64" t="n">
        <v>-50</v>
      </c>
      <c r="F16" s="168"/>
      <c r="G16" s="168"/>
      <c r="H16" s="64" t="n">
        <f aca="false">H15+F16+G16</f>
        <v>-1034.31</v>
      </c>
      <c r="I16" s="3"/>
    </row>
    <row r="17" customFormat="false" ht="12.75" hidden="false" customHeight="false" outlineLevel="0" collapsed="false">
      <c r="A17" s="102"/>
      <c r="B17" s="108" t="s">
        <v>1566</v>
      </c>
      <c r="C17" s="108"/>
      <c r="D17" s="108"/>
      <c r="E17" s="64" t="n">
        <v>-21510.75</v>
      </c>
      <c r="F17" s="168"/>
      <c r="G17" s="168"/>
      <c r="H17" s="64" t="n">
        <f aca="false">H16+F17+G17</f>
        <v>-1034.31</v>
      </c>
      <c r="I17" s="3"/>
    </row>
    <row r="18" customFormat="false" ht="12.75" hidden="false" customHeight="false" outlineLevel="0" collapsed="false">
      <c r="A18" s="102"/>
      <c r="B18" s="108" t="s">
        <v>1567</v>
      </c>
      <c r="C18" s="108"/>
      <c r="D18" s="108"/>
      <c r="E18" s="64" t="n">
        <v>-169</v>
      </c>
      <c r="F18" s="168"/>
      <c r="G18" s="168"/>
      <c r="H18" s="64" t="n">
        <f aca="false">H17+F18+G18</f>
        <v>-1034.31</v>
      </c>
      <c r="I18" s="3"/>
    </row>
    <row r="19" customFormat="false" ht="12.75" hidden="false" customHeight="false" outlineLevel="0" collapsed="false">
      <c r="A19" s="102" t="n">
        <v>44627</v>
      </c>
      <c r="B19" s="386" t="s">
        <v>1462</v>
      </c>
      <c r="C19" s="386" t="s">
        <v>1564</v>
      </c>
      <c r="D19" s="386"/>
      <c r="E19" s="64"/>
      <c r="F19" s="168"/>
      <c r="G19" s="168" t="n">
        <v>-21729.75</v>
      </c>
      <c r="H19" s="64" t="n">
        <f aca="false">H18+F19+G19</f>
        <v>-22764.06</v>
      </c>
      <c r="I19" s="3"/>
    </row>
    <row r="20" customFormat="false" ht="12.75" hidden="false" customHeight="false" outlineLevel="0" collapsed="false">
      <c r="A20" s="102"/>
      <c r="B20" s="108"/>
      <c r="C20" s="108"/>
      <c r="D20" s="108"/>
      <c r="E20" s="168"/>
      <c r="F20" s="168"/>
      <c r="G20" s="168"/>
      <c r="H20" s="64" t="n">
        <f aca="false">H19+F20+G20</f>
        <v>-22764.06</v>
      </c>
      <c r="I20" s="3"/>
    </row>
    <row r="21" customFormat="false" ht="12.75" hidden="false" customHeight="false" outlineLevel="0" collapsed="false">
      <c r="A21" s="102" t="n">
        <v>44647</v>
      </c>
      <c r="B21" s="8" t="s">
        <v>77</v>
      </c>
      <c r="C21" s="8" t="s">
        <v>1564</v>
      </c>
      <c r="D21" s="64"/>
      <c r="E21" s="64" t="n">
        <v>-1503</v>
      </c>
      <c r="G21" s="64" t="n">
        <v>-1503</v>
      </c>
      <c r="H21" s="64" t="n">
        <f aca="false">H20+F21+G21</f>
        <v>-24267.06</v>
      </c>
    </row>
    <row r="22" customFormat="false" ht="12.75" hidden="false" customHeight="false" outlineLevel="0" collapsed="false">
      <c r="A22" s="102" t="n">
        <v>44647</v>
      </c>
      <c r="B22" s="8" t="s">
        <v>78</v>
      </c>
      <c r="C22" s="8" t="s">
        <v>1564</v>
      </c>
      <c r="D22" s="64"/>
      <c r="E22" s="64" t="n">
        <v>-1503</v>
      </c>
      <c r="G22" s="64" t="n">
        <v>-1503</v>
      </c>
      <c r="H22" s="64" t="n">
        <f aca="false">H21+F22+G22</f>
        <v>-25770.06</v>
      </c>
    </row>
    <row r="23" customFormat="false" ht="12.75" hidden="false" customHeight="false" outlineLevel="0" collapsed="false">
      <c r="A23" s="102" t="n">
        <v>44651</v>
      </c>
      <c r="B23" s="8" t="s">
        <v>1568</v>
      </c>
      <c r="C23" s="8" t="s">
        <v>1564</v>
      </c>
      <c r="D23" s="64"/>
      <c r="E23" s="64" t="n">
        <v>-1000</v>
      </c>
      <c r="G23" s="64" t="n">
        <v>-1000</v>
      </c>
      <c r="H23" s="64" t="n">
        <f aca="false">H22+F23+G23</f>
        <v>-26770.06</v>
      </c>
    </row>
    <row r="24" customFormat="false" ht="12.75" hidden="false" customHeight="false" outlineLevel="0" collapsed="false">
      <c r="B24" s="0" t="s">
        <v>79</v>
      </c>
      <c r="E24" s="64" t="n">
        <v>-1500</v>
      </c>
      <c r="F24" s="64"/>
      <c r="G24" s="64" t="n">
        <v>-1500</v>
      </c>
      <c r="H24" s="64" t="n">
        <f aca="false">H23+F24+G24</f>
        <v>-28270.06</v>
      </c>
    </row>
    <row r="25" customFormat="false" ht="12.75" hidden="false" customHeight="false" outlineLevel="0" collapsed="false">
      <c r="H25" s="64" t="n">
        <f aca="false">H24+F25+G25</f>
        <v>-28270.06</v>
      </c>
    </row>
    <row r="26" customFormat="false" ht="12.75" hidden="false" customHeight="false" outlineLevel="0" collapsed="false">
      <c r="A26" s="102" t="n">
        <v>44647</v>
      </c>
      <c r="B26" s="8" t="s">
        <v>76</v>
      </c>
      <c r="C26" s="8" t="s">
        <v>1564</v>
      </c>
      <c r="D26" s="64" t="n">
        <v>3020.37</v>
      </c>
      <c r="E26" s="64"/>
      <c r="F26" s="64" t="n">
        <v>3020.37</v>
      </c>
      <c r="G26" s="64"/>
      <c r="H26" s="64" t="n">
        <f aca="false">H25+F26+G26</f>
        <v>-25249.69</v>
      </c>
    </row>
    <row r="27" customFormat="false" ht="12.75" hidden="false" customHeight="false" outlineLevel="0" collapsed="false">
      <c r="A27" s="102" t="n">
        <v>44642</v>
      </c>
      <c r="B27" s="8" t="s">
        <v>681</v>
      </c>
      <c r="D27" s="64" t="n">
        <v>1000</v>
      </c>
      <c r="F27" s="64" t="n">
        <v>0</v>
      </c>
      <c r="G27" s="64"/>
      <c r="H27" s="64" t="n">
        <f aca="false">H26+F27+G27</f>
        <v>-25249.69</v>
      </c>
    </row>
    <row r="28" customFormat="false" ht="12.75" hidden="false" customHeight="false" outlineLevel="0" collapsed="false">
      <c r="A28" s="102" t="n">
        <v>44648</v>
      </c>
      <c r="B28" s="8" t="s">
        <v>1569</v>
      </c>
      <c r="C28" s="64" t="s">
        <v>1563</v>
      </c>
      <c r="D28" s="64" t="n">
        <v>3000</v>
      </c>
      <c r="E28" s="64"/>
      <c r="F28" s="64" t="n">
        <v>3000</v>
      </c>
      <c r="G28" s="64"/>
      <c r="H28" s="64" t="n">
        <f aca="false">H27+F28+G28</f>
        <v>-22249.69</v>
      </c>
    </row>
    <row r="29" customFormat="false" ht="12.75" hidden="false" customHeight="false" outlineLevel="0" collapsed="false">
      <c r="H29" s="64" t="n">
        <f aca="false">H28+F29+G29</f>
        <v>-22249.69</v>
      </c>
    </row>
    <row r="30" customFormat="false" ht="12.75" hidden="false" customHeight="false" outlineLevel="0" collapsed="false">
      <c r="A30" s="102" t="n">
        <v>44650</v>
      </c>
      <c r="B30" s="8" t="s">
        <v>1570</v>
      </c>
      <c r="C30" s="64" t="s">
        <v>1563</v>
      </c>
      <c r="D30" s="64" t="n">
        <v>28000</v>
      </c>
      <c r="E30" s="64"/>
      <c r="F30" s="64" t="n">
        <v>28000</v>
      </c>
      <c r="H30" s="64" t="n">
        <f aca="false">H29+F30+G30</f>
        <v>5750.31</v>
      </c>
    </row>
    <row r="31" customFormat="false" ht="12.75" hidden="false" customHeight="false" outlineLevel="0" collapsed="false">
      <c r="A31" s="102"/>
      <c r="B31" s="8" t="s">
        <v>1571</v>
      </c>
      <c r="C31" s="64"/>
      <c r="D31" s="64"/>
      <c r="E31" s="64"/>
      <c r="F31" s="64"/>
      <c r="H31" s="64" t="n">
        <f aca="false">H30+F31+G31</f>
        <v>5750.31</v>
      </c>
    </row>
    <row r="32" customFormat="false" ht="12.75" hidden="false" customHeight="false" outlineLevel="0" collapsed="false">
      <c r="A32" s="102"/>
      <c r="B32" s="8" t="s">
        <v>1572</v>
      </c>
      <c r="C32" s="64"/>
      <c r="D32" s="64"/>
      <c r="E32" s="64"/>
      <c r="F32" s="64"/>
      <c r="H32" s="64" t="n">
        <f aca="false">H31+F32+G32</f>
        <v>5750.31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A39"/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0" colorId="64" zoomScale="170" zoomScaleNormal="170" zoomScalePageLayoutView="100" workbookViewId="0">
      <selection pane="topLeft" activeCell="D12" activeCellId="0" sqref="D12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1.29"/>
    <col collapsed="false" customWidth="true" hidden="false" outlineLevel="0" max="2" min="2" style="0" width="35.86"/>
    <col collapsed="false" customWidth="true" hidden="false" outlineLevel="0" max="3" min="3" style="0" width="3.14"/>
    <col collapsed="false" customWidth="true" hidden="false" outlineLevel="0" max="4" min="4" style="0" width="12.29"/>
    <col collapsed="false" customWidth="true" hidden="false" outlineLevel="0" max="5" min="5" style="0" width="12.86"/>
    <col collapsed="false" customWidth="true" hidden="false" outlineLevel="0" max="6" min="6" style="0" width="12.29"/>
    <col collapsed="false" customWidth="true" hidden="false" outlineLevel="0" max="7" min="7" style="0" width="12.86"/>
    <col collapsed="false" customWidth="true" hidden="false" outlineLevel="0" max="8" min="8" style="0" width="10.29"/>
    <col collapsed="false" customWidth="true" hidden="false" outlineLevel="0" max="9" min="9" style="0" width="9.14"/>
  </cols>
  <sheetData>
    <row r="1" customFormat="false" ht="12.75" hidden="false" customHeight="false" outlineLevel="0" collapsed="false">
      <c r="B1" s="42" t="n">
        <v>4.81</v>
      </c>
      <c r="E1" s="194"/>
      <c r="F1" s="194" t="s">
        <v>28</v>
      </c>
      <c r="G1" s="194" t="s">
        <v>29</v>
      </c>
      <c r="H1" s="194" t="s">
        <v>3</v>
      </c>
    </row>
    <row r="2" customFormat="false" ht="12.75" hidden="false" customHeight="false" outlineLevel="0" collapsed="false">
      <c r="A2" s="3" t="s">
        <v>1573</v>
      </c>
      <c r="C2" s="81" t="s">
        <v>67</v>
      </c>
      <c r="D2" s="311" t="n">
        <f aca="false">SUM(D5:D63)</f>
        <v>10567.09</v>
      </c>
      <c r="E2" s="311" t="n">
        <f aca="false">SUM(E5:E63)</f>
        <v>-21938.15</v>
      </c>
      <c r="F2" s="311" t="n">
        <f aca="false">SUM(F5:F63)</f>
        <v>11567.09</v>
      </c>
      <c r="G2" s="311" t="n">
        <f aca="false">SUM(G5:G63)</f>
        <v>-21938.15</v>
      </c>
      <c r="H2" s="311" t="n">
        <f aca="false">F2+G2</f>
        <v>-10371.06</v>
      </c>
    </row>
    <row r="3" customFormat="false" ht="12.75" hidden="false" customHeight="false" outlineLevel="0" collapsed="false">
      <c r="A3" s="102"/>
      <c r="B3" s="18"/>
      <c r="E3" s="64"/>
      <c r="F3" s="168"/>
      <c r="G3" s="168"/>
      <c r="H3" s="194"/>
    </row>
    <row r="4" customFormat="false" ht="12.75" hidden="false" customHeight="false" outlineLevel="0" collapsed="false">
      <c r="A4" s="102"/>
      <c r="B4" s="18"/>
      <c r="E4" s="64"/>
      <c r="F4" s="168"/>
      <c r="G4" s="168"/>
      <c r="H4" s="64" t="n">
        <f aca="false">H3+F4+G4</f>
        <v>0</v>
      </c>
    </row>
    <row r="5" customFormat="false" ht="12.75" hidden="false" customHeight="false" outlineLevel="0" collapsed="false">
      <c r="A5" s="102" t="n">
        <v>44595</v>
      </c>
      <c r="B5" s="8" t="s">
        <v>1521</v>
      </c>
      <c r="D5" s="64" t="n">
        <v>508.99</v>
      </c>
      <c r="F5" s="64" t="n">
        <v>508.99</v>
      </c>
      <c r="G5" s="64"/>
      <c r="H5" s="64" t="n">
        <f aca="false">H4+F5+G5</f>
        <v>508.99</v>
      </c>
    </row>
    <row r="6" customFormat="false" ht="12.75" hidden="false" customHeight="false" outlineLevel="0" collapsed="false">
      <c r="A6" s="102" t="n">
        <v>44595</v>
      </c>
      <c r="B6" s="8" t="s">
        <v>338</v>
      </c>
      <c r="D6" s="64" t="n">
        <v>1487.83</v>
      </c>
      <c r="F6" s="64" t="n">
        <v>1487.83</v>
      </c>
      <c r="G6" s="64"/>
      <c r="H6" s="64" t="n">
        <f aca="false">H5+F6+G6</f>
        <v>1996.82</v>
      </c>
    </row>
    <row r="7" customFormat="false" ht="12.75" hidden="false" customHeight="false" outlineLevel="0" collapsed="false">
      <c r="A7" s="102" t="n">
        <v>44595</v>
      </c>
      <c r="B7" s="8" t="s">
        <v>1471</v>
      </c>
      <c r="D7" s="64" t="n">
        <v>489.66</v>
      </c>
      <c r="F7" s="64" t="n">
        <v>489.66</v>
      </c>
      <c r="G7" s="64"/>
      <c r="H7" s="64" t="n">
        <f aca="false">H6+F7+G7</f>
        <v>2486.48</v>
      </c>
    </row>
    <row r="8" customFormat="false" ht="12.75" hidden="false" customHeight="false" outlineLevel="0" collapsed="false">
      <c r="A8" s="102" t="n">
        <v>44595</v>
      </c>
      <c r="B8" s="8" t="s">
        <v>342</v>
      </c>
      <c r="D8" s="64" t="n">
        <v>60.24</v>
      </c>
      <c r="F8" s="64" t="n">
        <v>60.24</v>
      </c>
      <c r="G8" s="64"/>
      <c r="H8" s="64" t="n">
        <f aca="false">H7+F8+G8</f>
        <v>2546.72</v>
      </c>
    </row>
    <row r="9" customFormat="false" ht="12.75" hidden="false" customHeight="false" outlineLevel="0" collapsed="false">
      <c r="A9" s="102" t="n">
        <v>44606</v>
      </c>
      <c r="B9" s="108" t="s">
        <v>1342</v>
      </c>
      <c r="C9" s="108" t="s">
        <v>1564</v>
      </c>
      <c r="D9" s="108"/>
      <c r="E9" s="64" t="n">
        <v>-2319.48</v>
      </c>
      <c r="F9" s="64"/>
      <c r="G9" s="64" t="n">
        <v>-2319.48</v>
      </c>
      <c r="H9" s="64" t="n">
        <f aca="false">H8+F9+G9</f>
        <v>227.24</v>
      </c>
    </row>
    <row r="10" customFormat="false" ht="12.75" hidden="false" customHeight="false" outlineLevel="0" collapsed="false">
      <c r="A10" s="102" t="n">
        <v>44595</v>
      </c>
      <c r="B10" s="103" t="s">
        <v>1335</v>
      </c>
      <c r="C10" s="103" t="s">
        <v>1564</v>
      </c>
      <c r="D10" s="103"/>
      <c r="E10" s="64" t="n">
        <v>-182.2</v>
      </c>
      <c r="F10" s="64"/>
      <c r="G10" s="64" t="n">
        <v>-182.2</v>
      </c>
      <c r="H10" s="64" t="n">
        <f aca="false">H9+F10+G10</f>
        <v>45.0399999999998</v>
      </c>
    </row>
    <row r="11" customFormat="false" ht="12.75" hidden="false" customHeight="false" outlineLevel="0" collapsed="false">
      <c r="A11" s="102" t="n">
        <v>44595</v>
      </c>
      <c r="B11" s="103" t="s">
        <v>1336</v>
      </c>
      <c r="C11" s="103" t="s">
        <v>1564</v>
      </c>
      <c r="D11" s="103"/>
      <c r="E11" s="64" t="n">
        <v>-436.3</v>
      </c>
      <c r="F11" s="64"/>
      <c r="G11" s="64" t="n">
        <v>-436.3</v>
      </c>
      <c r="H11" s="64" t="n">
        <f aca="false">H10+F11+G11</f>
        <v>-391.26</v>
      </c>
    </row>
    <row r="12" customFormat="false" ht="12.75" hidden="false" customHeight="false" outlineLevel="0" collapsed="false">
      <c r="A12" s="102"/>
      <c r="B12" s="103"/>
      <c r="C12" s="103"/>
      <c r="D12" s="103"/>
      <c r="E12" s="64"/>
      <c r="F12" s="64"/>
      <c r="G12" s="64"/>
      <c r="H12" s="64" t="n">
        <f aca="false">H11+F12+G12</f>
        <v>-391.26</v>
      </c>
    </row>
    <row r="13" customFormat="false" ht="12.75" hidden="false" customHeight="false" outlineLevel="0" collapsed="false">
      <c r="A13" s="102" t="n">
        <v>44610</v>
      </c>
      <c r="B13" s="108" t="s">
        <v>1442</v>
      </c>
      <c r="C13" s="108" t="s">
        <v>1564</v>
      </c>
      <c r="D13" s="108"/>
      <c r="E13" s="64" t="n">
        <v>-44.38</v>
      </c>
      <c r="F13" s="64"/>
      <c r="G13" s="64" t="n">
        <v>-44.38</v>
      </c>
      <c r="H13" s="64" t="n">
        <f aca="false">H12+F13+G13</f>
        <v>-435.64</v>
      </c>
    </row>
    <row r="14" customFormat="false" ht="12.75" hidden="false" customHeight="false" outlineLevel="0" collapsed="false">
      <c r="A14" s="102" t="n">
        <v>44610</v>
      </c>
      <c r="B14" s="108" t="s">
        <v>1455</v>
      </c>
      <c r="C14" s="108" t="s">
        <v>1564</v>
      </c>
      <c r="D14" s="108"/>
      <c r="E14" s="64" t="n">
        <v>-1078.07</v>
      </c>
      <c r="F14" s="64"/>
      <c r="G14" s="64" t="n">
        <v>-1078.07</v>
      </c>
      <c r="H14" s="64" t="n">
        <f aca="false">H13+F14+G14</f>
        <v>-1513.71</v>
      </c>
    </row>
    <row r="15" customFormat="false" ht="12.75" hidden="false" customHeight="false" outlineLevel="0" collapsed="false">
      <c r="A15" s="102"/>
      <c r="B15" s="108"/>
      <c r="C15" s="108"/>
      <c r="D15" s="108"/>
      <c r="E15" s="64"/>
      <c r="F15" s="64"/>
      <c r="G15" s="64"/>
      <c r="H15" s="64" t="n">
        <f aca="false">H14+F15+G15</f>
        <v>-1513.71</v>
      </c>
    </row>
    <row r="16" customFormat="false" ht="12.75" hidden="false" customHeight="false" outlineLevel="0" collapsed="false">
      <c r="A16" s="102" t="n">
        <v>44596</v>
      </c>
      <c r="B16" s="386" t="s">
        <v>1462</v>
      </c>
      <c r="C16" s="386" t="s">
        <v>1564</v>
      </c>
      <c r="D16" s="386"/>
      <c r="E16" s="64"/>
      <c r="F16" s="64"/>
      <c r="G16" s="64" t="n">
        <v>-5577.72</v>
      </c>
      <c r="H16" s="64" t="n">
        <f aca="false">H15+F16+G16</f>
        <v>-7091.43</v>
      </c>
    </row>
    <row r="17" customFormat="false" ht="12.75" hidden="false" customHeight="false" outlineLevel="0" collapsed="false">
      <c r="A17" s="102"/>
      <c r="B17" s="108" t="s">
        <v>1565</v>
      </c>
      <c r="C17" s="108"/>
      <c r="D17" s="108"/>
      <c r="E17" s="64" t="n">
        <v>-15</v>
      </c>
      <c r="F17" s="64"/>
      <c r="G17" s="64"/>
      <c r="H17" s="64" t="n">
        <f aca="false">H16+F17+G17</f>
        <v>-7091.43</v>
      </c>
    </row>
    <row r="18" customFormat="false" ht="12.75" hidden="false" customHeight="false" outlineLevel="0" collapsed="false">
      <c r="A18" s="102"/>
      <c r="B18" s="108" t="s">
        <v>1574</v>
      </c>
      <c r="C18" s="108"/>
      <c r="D18" s="108"/>
      <c r="E18" s="64" t="n">
        <v>-5254.4</v>
      </c>
      <c r="F18" s="64"/>
      <c r="G18" s="64"/>
      <c r="H18" s="64" t="n">
        <f aca="false">H17+F18+G18</f>
        <v>-7091.43</v>
      </c>
    </row>
    <row r="19" customFormat="false" ht="12.75" hidden="false" customHeight="false" outlineLevel="0" collapsed="false">
      <c r="A19" s="102"/>
      <c r="B19" s="108" t="s">
        <v>1575</v>
      </c>
      <c r="C19" s="108"/>
      <c r="D19" s="108"/>
      <c r="E19" s="64" t="n">
        <v>-308.32</v>
      </c>
      <c r="F19" s="64"/>
      <c r="G19" s="64"/>
      <c r="H19" s="64" t="n">
        <f aca="false">H18+F19+G19</f>
        <v>-7091.43</v>
      </c>
    </row>
    <row r="20" customFormat="false" ht="12.75" hidden="false" customHeight="false" outlineLevel="0" collapsed="false">
      <c r="A20" s="102"/>
      <c r="B20" s="108"/>
      <c r="C20" s="108"/>
      <c r="D20" s="108"/>
      <c r="E20" s="64"/>
      <c r="F20" s="64"/>
      <c r="G20" s="64"/>
      <c r="H20" s="64" t="n">
        <f aca="false">H19+F20+G20</f>
        <v>-7091.43</v>
      </c>
    </row>
    <row r="21" customFormat="false" ht="12.75" hidden="false" customHeight="false" outlineLevel="0" collapsed="false">
      <c r="A21" s="102" t="n">
        <v>44619</v>
      </c>
      <c r="B21" s="8" t="s">
        <v>77</v>
      </c>
      <c r="C21" s="8" t="s">
        <v>1497</v>
      </c>
      <c r="E21" s="64" t="n">
        <v>-1500</v>
      </c>
      <c r="F21" s="64"/>
      <c r="G21" s="64" t="n">
        <v>-1500</v>
      </c>
      <c r="H21" s="64" t="n">
        <f aca="false">H20+F21+G21</f>
        <v>-8591.43</v>
      </c>
    </row>
    <row r="22" customFormat="false" ht="12.75" hidden="false" customHeight="false" outlineLevel="0" collapsed="false">
      <c r="A22" s="102" t="n">
        <v>44619</v>
      </c>
      <c r="B22" s="8" t="s">
        <v>1576</v>
      </c>
      <c r="C22" s="8" t="s">
        <v>1577</v>
      </c>
      <c r="E22" s="64"/>
      <c r="F22" s="64"/>
      <c r="G22" s="64"/>
      <c r="H22" s="64" t="n">
        <f aca="false">H21+F22+G22</f>
        <v>-8591.43</v>
      </c>
    </row>
    <row r="23" customFormat="false" ht="12.75" hidden="false" customHeight="false" outlineLevel="0" collapsed="false">
      <c r="A23" s="102" t="n">
        <v>44619</v>
      </c>
      <c r="B23" s="8" t="s">
        <v>78</v>
      </c>
      <c r="C23" s="8" t="s">
        <v>1497</v>
      </c>
      <c r="E23" s="64" t="n">
        <v>-1400</v>
      </c>
      <c r="F23" s="64"/>
      <c r="G23" s="64" t="n">
        <v>-1400</v>
      </c>
      <c r="H23" s="64" t="n">
        <f aca="false">H22+F23+G23</f>
        <v>-9991.43</v>
      </c>
    </row>
    <row r="24" customFormat="false" ht="12.75" hidden="false" customHeight="false" outlineLevel="0" collapsed="false">
      <c r="A24" s="102"/>
      <c r="B24" s="8" t="s">
        <v>1578</v>
      </c>
      <c r="C24" s="8" t="s">
        <v>1497</v>
      </c>
      <c r="E24" s="64" t="n">
        <v>-7900</v>
      </c>
      <c r="F24" s="64"/>
      <c r="G24" s="64" t="n">
        <v>-7900</v>
      </c>
      <c r="H24" s="64" t="n">
        <f aca="false">H23+F24+G24</f>
        <v>-17891.43</v>
      </c>
    </row>
    <row r="25" customFormat="false" ht="12.75" hidden="false" customHeight="false" outlineLevel="0" collapsed="false">
      <c r="A25" s="102"/>
      <c r="B25" s="8" t="s">
        <v>79</v>
      </c>
      <c r="E25" s="64" t="n">
        <v>-1500</v>
      </c>
      <c r="F25" s="64"/>
      <c r="G25" s="64" t="n">
        <v>-1500</v>
      </c>
      <c r="H25" s="64" t="n">
        <f aca="false">H24+F25+G25</f>
        <v>-19391.43</v>
      </c>
    </row>
    <row r="26" customFormat="false" ht="12.75" hidden="false" customHeight="false" outlineLevel="0" collapsed="false">
      <c r="H26" s="64" t="n">
        <f aca="false">H25+F26+G26</f>
        <v>-19391.43</v>
      </c>
    </row>
    <row r="27" customFormat="false" ht="12.75" hidden="false" customHeight="false" outlineLevel="0" collapsed="false">
      <c r="A27" s="102" t="n">
        <v>44619</v>
      </c>
      <c r="B27" s="8" t="s">
        <v>76</v>
      </c>
      <c r="D27" s="64" t="n">
        <v>3020.37</v>
      </c>
      <c r="F27" s="64" t="n">
        <v>3020.37</v>
      </c>
      <c r="G27" s="64"/>
      <c r="H27" s="64" t="n">
        <f aca="false">H26+F27+G27</f>
        <v>-16371.06</v>
      </c>
    </row>
    <row r="28" customFormat="false" ht="14.9" hidden="false" customHeight="false" outlineLevel="0" collapsed="false">
      <c r="A28" s="102" t="n">
        <v>44614</v>
      </c>
      <c r="B28" s="8" t="s">
        <v>1579</v>
      </c>
      <c r="C28" s="8" t="s">
        <v>1564</v>
      </c>
      <c r="D28" s="64" t="n">
        <v>2000</v>
      </c>
      <c r="F28" s="64" t="n">
        <v>2500</v>
      </c>
      <c r="G28" s="64"/>
      <c r="H28" s="64" t="n">
        <f aca="false">H27+F28+G28</f>
        <v>-13871.06</v>
      </c>
    </row>
    <row r="29" customFormat="false" ht="14.9" hidden="false" customHeight="false" outlineLevel="0" collapsed="false">
      <c r="A29" s="102" t="n">
        <v>44614</v>
      </c>
      <c r="B29" s="8" t="s">
        <v>1579</v>
      </c>
      <c r="C29" s="8" t="s">
        <v>1564</v>
      </c>
      <c r="D29" s="64"/>
      <c r="F29" s="64" t="n">
        <v>500</v>
      </c>
      <c r="G29" s="64"/>
      <c r="H29" s="64" t="n">
        <f aca="false">H28+F29+G29</f>
        <v>-13371.06</v>
      </c>
    </row>
    <row r="30" customFormat="false" ht="12.75" hidden="false" customHeight="false" outlineLevel="0" collapsed="false">
      <c r="A30" s="102" t="n">
        <v>44620</v>
      </c>
      <c r="B30" s="8" t="s">
        <v>1580</v>
      </c>
      <c r="D30" s="64" t="n">
        <v>3000</v>
      </c>
      <c r="F30" s="64" t="n">
        <v>3000</v>
      </c>
      <c r="G30" s="64"/>
      <c r="H30" s="64" t="n">
        <f aca="false">H29+F30+G30</f>
        <v>-10371.06</v>
      </c>
    </row>
    <row r="37" customFormat="false" ht="12.75" hidden="false" customHeight="false" outlineLevel="0" collapsed="false">
      <c r="A37" s="102"/>
      <c r="E37" s="64"/>
      <c r="F37" s="64"/>
      <c r="G37" s="64"/>
      <c r="H37" s="64"/>
    </row>
    <row r="38" customFormat="false" ht="12.75" hidden="false" customHeight="false" outlineLevel="0" collapsed="false">
      <c r="A38" s="102"/>
      <c r="E38" s="64"/>
      <c r="F38" s="168"/>
      <c r="G38" s="168"/>
      <c r="H38" s="64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0"/>
  <sheetViews>
    <sheetView showFormulas="false" showGridLines="true" showRowColHeaders="true" showZeros="true" rightToLeft="false" tabSelected="false" showOutlineSymbols="true" defaultGridColor="true" view="normal" topLeftCell="A1" colorId="64" zoomScale="170" zoomScaleNormal="170" zoomScalePageLayoutView="100" workbookViewId="0">
      <selection pane="topLeft" activeCell="A1" activeCellId="0" sqref="A1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1.43"/>
    <col collapsed="false" customWidth="true" hidden="false" outlineLevel="0" max="2" min="2" style="0" width="35.86"/>
    <col collapsed="false" customWidth="true" hidden="false" outlineLevel="0" max="3" min="3" style="0" width="3.14"/>
    <col collapsed="false" customWidth="true" hidden="false" outlineLevel="0" max="4" min="4" style="0" width="10.43"/>
    <col collapsed="false" customWidth="true" hidden="false" outlineLevel="0" max="5" min="5" style="64" width="9.43"/>
    <col collapsed="false" customWidth="true" hidden="false" outlineLevel="0" max="8" min="6" style="64" width="11.14"/>
    <col collapsed="false" customWidth="true" hidden="false" outlineLevel="0" max="9" min="9" style="0" width="12.29"/>
    <col collapsed="false" customWidth="true" hidden="false" outlineLevel="0" max="10" min="10" style="0" width="9.14"/>
  </cols>
  <sheetData>
    <row r="1" customFormat="false" ht="12.75" hidden="false" customHeight="false" outlineLevel="0" collapsed="false">
      <c r="B1" s="42" t="n">
        <v>11.1</v>
      </c>
      <c r="E1" s="194"/>
      <c r="F1" s="194" t="s">
        <v>28</v>
      </c>
      <c r="G1" s="194" t="s">
        <v>29</v>
      </c>
      <c r="H1" s="194" t="s">
        <v>3</v>
      </c>
    </row>
    <row r="2" customFormat="false" ht="12.75" hidden="false" customHeight="false" outlineLevel="0" collapsed="false">
      <c r="A2" s="250" t="s">
        <v>1581</v>
      </c>
      <c r="C2" s="81" t="s">
        <v>67</v>
      </c>
      <c r="D2" s="311" t="n">
        <f aca="false">SUM(D3:D57)</f>
        <v>7333.3</v>
      </c>
      <c r="E2" s="311" t="n">
        <f aca="false">SUM(E3:E57)</f>
        <v>-6834.05</v>
      </c>
      <c r="F2" s="311" t="n">
        <f aca="false">SUM(F3:F57)</f>
        <v>46462.64</v>
      </c>
      <c r="G2" s="311" t="n">
        <f aca="false">SUM(G3:G57)</f>
        <v>-6834.05</v>
      </c>
      <c r="H2" s="311" t="n">
        <f aca="false">F2+G2</f>
        <v>39628.59</v>
      </c>
    </row>
    <row r="3" customFormat="false" ht="12.75" hidden="false" customHeight="false" outlineLevel="0" collapsed="false">
      <c r="A3" s="102"/>
      <c r="B3" s="18" t="s">
        <v>1582</v>
      </c>
      <c r="F3" s="64" t="n">
        <v>40129.34</v>
      </c>
      <c r="H3" s="64" t="n">
        <f aca="false">F3+G3</f>
        <v>40129.34</v>
      </c>
    </row>
    <row r="4" customFormat="false" ht="12.75" hidden="false" customHeight="false" outlineLevel="0" collapsed="false">
      <c r="A4" s="102"/>
      <c r="H4" s="64" t="n">
        <f aca="false">H3+F4+G4</f>
        <v>40129.34</v>
      </c>
    </row>
    <row r="5" customFormat="false" ht="12.75" hidden="false" customHeight="false" outlineLevel="0" collapsed="false">
      <c r="A5" s="102" t="n">
        <v>44564</v>
      </c>
      <c r="B5" s="8" t="s">
        <v>1521</v>
      </c>
      <c r="C5" s="8" t="s">
        <v>1563</v>
      </c>
      <c r="D5" s="64" t="n">
        <v>298.99</v>
      </c>
      <c r="F5" s="64" t="n">
        <v>298.99</v>
      </c>
      <c r="H5" s="64" t="n">
        <f aca="false">H4+F5+G5</f>
        <v>40428.33</v>
      </c>
    </row>
    <row r="6" customFormat="false" ht="12.75" hidden="false" customHeight="false" outlineLevel="0" collapsed="false">
      <c r="A6" s="102" t="n">
        <v>44564</v>
      </c>
      <c r="B6" s="8" t="s">
        <v>338</v>
      </c>
      <c r="C6" s="8" t="s">
        <v>1563</v>
      </c>
      <c r="D6" s="64" t="n">
        <v>630.74</v>
      </c>
      <c r="F6" s="64" t="n">
        <v>630.74</v>
      </c>
      <c r="H6" s="64" t="n">
        <f aca="false">H5+F6+G6</f>
        <v>41059.07</v>
      </c>
    </row>
    <row r="7" customFormat="false" ht="12.75" hidden="false" customHeight="false" outlineLevel="0" collapsed="false">
      <c r="A7" s="102" t="n">
        <v>44564</v>
      </c>
      <c r="B7" s="8" t="s">
        <v>1471</v>
      </c>
      <c r="C7" s="8" t="s">
        <v>1563</v>
      </c>
      <c r="D7" s="64" t="n">
        <v>230.29</v>
      </c>
      <c r="F7" s="64" t="n">
        <v>230.29</v>
      </c>
      <c r="H7" s="64" t="n">
        <f aca="false">H6+F7+G7</f>
        <v>41289.36</v>
      </c>
    </row>
    <row r="8" customFormat="false" ht="12.75" hidden="false" customHeight="false" outlineLevel="0" collapsed="false">
      <c r="A8" s="102" t="n">
        <v>44564</v>
      </c>
      <c r="B8" s="8" t="s">
        <v>342</v>
      </c>
      <c r="C8" s="8" t="s">
        <v>1563</v>
      </c>
      <c r="D8" s="64" t="n">
        <v>152.91</v>
      </c>
      <c r="F8" s="64" t="n">
        <v>152.91</v>
      </c>
      <c r="H8" s="64" t="n">
        <f aca="false">H7+F8+G8</f>
        <v>41442.27</v>
      </c>
    </row>
    <row r="9" customFormat="false" ht="12.75" hidden="false" customHeight="false" outlineLevel="0" collapsed="false">
      <c r="A9" s="102" t="n">
        <v>44574</v>
      </c>
      <c r="B9" s="108" t="s">
        <v>1342</v>
      </c>
      <c r="C9" s="108" t="s">
        <v>1564</v>
      </c>
      <c r="D9" s="108"/>
      <c r="E9" s="64" t="n">
        <v>-1250.4</v>
      </c>
      <c r="G9" s="64" t="n">
        <v>-1250.4</v>
      </c>
      <c r="H9" s="64" t="n">
        <f aca="false">H8+F9+G9</f>
        <v>40191.87</v>
      </c>
    </row>
    <row r="10" customFormat="false" ht="12.75" hidden="false" customHeight="false" outlineLevel="0" collapsed="false">
      <c r="A10" s="102" t="n">
        <v>44564</v>
      </c>
      <c r="B10" s="103" t="s">
        <v>1335</v>
      </c>
      <c r="C10" s="103" t="s">
        <v>1564</v>
      </c>
      <c r="D10" s="103"/>
      <c r="E10" s="194" t="n">
        <v>-130.3</v>
      </c>
      <c r="F10" s="194"/>
      <c r="G10" s="194" t="n">
        <v>-130.3</v>
      </c>
      <c r="H10" s="64" t="n">
        <f aca="false">H9+F10+G10</f>
        <v>40061.57</v>
      </c>
    </row>
    <row r="11" customFormat="false" ht="12.75" hidden="false" customHeight="false" outlineLevel="0" collapsed="false">
      <c r="A11" s="102" t="n">
        <v>44564</v>
      </c>
      <c r="B11" s="103" t="s">
        <v>1336</v>
      </c>
      <c r="C11" s="103" t="s">
        <v>1564</v>
      </c>
      <c r="D11" s="103"/>
      <c r="E11" s="194" t="n">
        <v>-255.4</v>
      </c>
      <c r="F11" s="194"/>
      <c r="G11" s="194" t="n">
        <v>-255.4</v>
      </c>
      <c r="H11" s="64" t="n">
        <f aca="false">H10+F11+G11</f>
        <v>39806.17</v>
      </c>
    </row>
    <row r="12" customFormat="false" ht="12.75" hidden="false" customHeight="false" outlineLevel="0" collapsed="false">
      <c r="A12" s="102"/>
      <c r="B12" s="108"/>
      <c r="C12" s="108"/>
      <c r="D12" s="108"/>
      <c r="H12" s="64" t="n">
        <f aca="false">H11+F12+G12</f>
        <v>39806.17</v>
      </c>
    </row>
    <row r="13" customFormat="false" ht="12.75" hidden="false" customHeight="false" outlineLevel="0" collapsed="false">
      <c r="A13" s="102" t="n">
        <v>44578</v>
      </c>
      <c r="B13" s="108" t="s">
        <v>1442</v>
      </c>
      <c r="C13" s="108" t="s">
        <v>1564</v>
      </c>
      <c r="D13" s="108"/>
      <c r="E13" s="64" t="n">
        <v>-37.87</v>
      </c>
      <c r="G13" s="64" t="n">
        <v>-37.87</v>
      </c>
      <c r="H13" s="64" t="n">
        <f aca="false">H12+F13+G13</f>
        <v>39768.3</v>
      </c>
    </row>
    <row r="14" customFormat="false" ht="12.75" hidden="false" customHeight="false" outlineLevel="0" collapsed="false">
      <c r="A14" s="102" t="n">
        <v>44578</v>
      </c>
      <c r="B14" s="108" t="s">
        <v>1455</v>
      </c>
      <c r="C14" s="108" t="s">
        <v>1564</v>
      </c>
      <c r="D14" s="108"/>
      <c r="E14" s="64" t="n">
        <v>-608.08</v>
      </c>
      <c r="G14" s="64" t="n">
        <v>-608.08</v>
      </c>
      <c r="H14" s="64" t="n">
        <f aca="false">H13+F14+G14</f>
        <v>39160.22</v>
      </c>
    </row>
    <row r="15" customFormat="false" ht="12.75" hidden="false" customHeight="false" outlineLevel="0" collapsed="false">
      <c r="A15" s="102"/>
      <c r="B15" s="108"/>
      <c r="C15" s="108"/>
      <c r="D15" s="108"/>
      <c r="H15" s="64" t="n">
        <f aca="false">H14+F15+G15</f>
        <v>39160.22</v>
      </c>
    </row>
    <row r="16" customFormat="false" ht="12.75" hidden="false" customHeight="false" outlineLevel="0" collapsed="false">
      <c r="A16" s="102"/>
      <c r="B16" s="108" t="s">
        <v>1565</v>
      </c>
      <c r="C16" s="108"/>
      <c r="D16" s="108"/>
      <c r="E16" s="194" t="n">
        <v>-50</v>
      </c>
      <c r="F16" s="194"/>
      <c r="G16" s="194"/>
      <c r="H16" s="64" t="n">
        <f aca="false">H15+F16+G16</f>
        <v>39160.22</v>
      </c>
    </row>
    <row r="17" customFormat="false" ht="12.75" hidden="false" customHeight="false" outlineLevel="0" collapsed="false">
      <c r="A17" s="102" t="n">
        <v>44565</v>
      </c>
      <c r="B17" s="386" t="s">
        <v>1462</v>
      </c>
      <c r="C17" s="386" t="s">
        <v>1564</v>
      </c>
      <c r="D17" s="386"/>
      <c r="E17" s="194"/>
      <c r="F17" s="194"/>
      <c r="G17" s="194" t="n">
        <v>-50</v>
      </c>
      <c r="H17" s="64" t="n">
        <f aca="false">H16+F17+G17</f>
        <v>39110.22</v>
      </c>
    </row>
    <row r="18" customFormat="false" ht="12.75" hidden="false" customHeight="false" outlineLevel="0" collapsed="false">
      <c r="A18" s="102"/>
      <c r="B18" s="108"/>
      <c r="C18" s="108"/>
      <c r="D18" s="108"/>
      <c r="E18" s="194"/>
      <c r="F18" s="194"/>
      <c r="G18" s="194"/>
      <c r="H18" s="64" t="n">
        <f aca="false">H17+F18+G18</f>
        <v>39110.22</v>
      </c>
    </row>
    <row r="19" customFormat="false" ht="12.75" hidden="false" customHeight="false" outlineLevel="0" collapsed="false">
      <c r="A19" s="102" t="n">
        <v>44588</v>
      </c>
      <c r="B19" s="8" t="s">
        <v>77</v>
      </c>
      <c r="C19" s="8" t="s">
        <v>1497</v>
      </c>
      <c r="E19" s="64" t="n">
        <v>-1501</v>
      </c>
      <c r="G19" s="64" t="n">
        <v>-1501</v>
      </c>
      <c r="H19" s="64" t="n">
        <f aca="false">H18+F19+G19</f>
        <v>37609.22</v>
      </c>
    </row>
    <row r="20" customFormat="false" ht="12.75" hidden="false" customHeight="false" outlineLevel="0" collapsed="false">
      <c r="A20" s="102" t="n">
        <v>44588</v>
      </c>
      <c r="B20" s="8" t="s">
        <v>78</v>
      </c>
      <c r="C20" s="8" t="s">
        <v>1497</v>
      </c>
      <c r="E20" s="64" t="n">
        <v>-1501</v>
      </c>
      <c r="G20" s="64" t="n">
        <v>-1501</v>
      </c>
      <c r="H20" s="64" t="n">
        <f aca="false">H19+F20+G20</f>
        <v>36108.22</v>
      </c>
    </row>
    <row r="21" customFormat="false" ht="12.75" hidden="false" customHeight="false" outlineLevel="0" collapsed="false">
      <c r="A21" s="102" t="n">
        <v>44591</v>
      </c>
      <c r="B21" s="8" t="s">
        <v>79</v>
      </c>
      <c r="E21" s="64" t="n">
        <v>-1500</v>
      </c>
      <c r="G21" s="64" t="n">
        <v>-1500</v>
      </c>
      <c r="H21" s="64" t="n">
        <f aca="false">H20+F21+G21</f>
        <v>34608.22</v>
      </c>
    </row>
    <row r="22" customFormat="false" ht="12.75" hidden="false" customHeight="false" outlineLevel="0" collapsed="false">
      <c r="A22" s="102"/>
      <c r="B22" s="108"/>
      <c r="C22" s="108"/>
      <c r="D22" s="108"/>
      <c r="E22" s="194"/>
      <c r="F22" s="194"/>
      <c r="G22" s="194"/>
      <c r="H22" s="64" t="n">
        <f aca="false">H21+F22+G22</f>
        <v>34608.22</v>
      </c>
    </row>
    <row r="23" customFormat="false" ht="12.75" hidden="false" customHeight="false" outlineLevel="0" collapsed="false">
      <c r="A23" s="102" t="n">
        <v>44588</v>
      </c>
      <c r="B23" s="8" t="s">
        <v>76</v>
      </c>
      <c r="C23" s="8" t="s">
        <v>1564</v>
      </c>
      <c r="D23" s="64" t="n">
        <v>3020.37</v>
      </c>
      <c r="F23" s="64" t="n">
        <v>3020.37</v>
      </c>
      <c r="H23" s="64" t="n">
        <f aca="false">H22+F23+G23</f>
        <v>37628.59</v>
      </c>
    </row>
    <row r="24" customFormat="false" ht="12.75" hidden="false" customHeight="false" outlineLevel="0" collapsed="false">
      <c r="A24" s="102" t="n">
        <v>44583</v>
      </c>
      <c r="B24" s="8" t="s">
        <v>681</v>
      </c>
      <c r="D24" s="64" t="n">
        <v>1000</v>
      </c>
      <c r="F24" s="64" t="n">
        <v>0</v>
      </c>
      <c r="H24" s="64" t="n">
        <f aca="false">H23+F24+G24</f>
        <v>37628.59</v>
      </c>
    </row>
    <row r="25" customFormat="false" ht="12.75" hidden="false" customHeight="false" outlineLevel="0" collapsed="false">
      <c r="A25" s="102" t="n">
        <v>44591</v>
      </c>
      <c r="B25" s="8" t="s">
        <v>1583</v>
      </c>
      <c r="C25" s="8" t="s">
        <v>1563</v>
      </c>
      <c r="D25" s="64" t="n">
        <v>2000</v>
      </c>
      <c r="F25" s="64" t="n">
        <v>2000</v>
      </c>
      <c r="H25" s="64" t="n">
        <f aca="false">H24+F25+G25</f>
        <v>39628.59</v>
      </c>
    </row>
    <row r="29" customFormat="false" ht="12.75" hidden="false" customHeight="false" outlineLevel="0" collapsed="false">
      <c r="A29" s="102"/>
    </row>
    <row r="30" customFormat="false" ht="12.75" hidden="false" customHeight="false" outlineLevel="0" collapsed="false">
      <c r="A30" s="102"/>
    </row>
    <row r="31" customFormat="false" ht="12.75" hidden="false" customHeight="false" outlineLevel="0" collapsed="false">
      <c r="A31" s="102"/>
    </row>
    <row r="32" customFormat="false" ht="12.75" hidden="false" customHeight="false" outlineLevel="0" collapsed="false">
      <c r="A32" s="102"/>
      <c r="E32" s="194"/>
      <c r="F32" s="194"/>
      <c r="G32" s="194"/>
      <c r="H32" s="194"/>
    </row>
    <row r="54" customFormat="false" ht="12.75" hidden="false" customHeight="false" outlineLevel="0" collapsed="false">
      <c r="I54" s="3"/>
    </row>
    <row r="55" customFormat="false" ht="12.75" hidden="false" customHeight="false" outlineLevel="0" collapsed="false">
      <c r="A55" s="102"/>
      <c r="E55" s="168"/>
      <c r="F55" s="168"/>
      <c r="G55" s="168"/>
      <c r="I55" s="3"/>
    </row>
    <row r="75" customFormat="false" ht="12.75" hidden="false" customHeight="false" outlineLevel="0" collapsed="false">
      <c r="A75" s="102"/>
    </row>
    <row r="76" customFormat="false" ht="12.75" hidden="false" customHeight="false" outlineLevel="0" collapsed="false">
      <c r="A76" s="102"/>
    </row>
    <row r="77" customFormat="false" ht="12.75" hidden="false" customHeight="false" outlineLevel="0" collapsed="false">
      <c r="A77" s="102"/>
      <c r="E77" s="168"/>
      <c r="F77" s="168"/>
      <c r="G77" s="168"/>
    </row>
    <row r="78" customFormat="false" ht="12.75" hidden="false" customHeight="false" outlineLevel="0" collapsed="false">
      <c r="A78" s="102"/>
    </row>
    <row r="100" customFormat="false" ht="12.75" hidden="false" customHeight="false" outlineLevel="0" collapsed="false">
      <c r="A100" s="102"/>
      <c r="E100" s="168"/>
      <c r="F100" s="168"/>
      <c r="G100" s="168"/>
    </row>
    <row r="101" customFormat="false" ht="12.75" hidden="false" customHeight="false" outlineLevel="0" collapsed="false">
      <c r="A101" s="102"/>
      <c r="B101" s="3"/>
      <c r="C101" s="3"/>
      <c r="D101" s="3"/>
    </row>
    <row r="102" customFormat="false" ht="12.75" hidden="false" customHeight="false" outlineLevel="0" collapsed="false">
      <c r="A102" s="102"/>
      <c r="B102" s="103"/>
      <c r="C102" s="103"/>
      <c r="D102" s="103"/>
      <c r="E102" s="168"/>
      <c r="F102" s="168"/>
    </row>
    <row r="103" customFormat="false" ht="12.75" hidden="false" customHeight="false" outlineLevel="0" collapsed="false">
      <c r="A103" s="102"/>
      <c r="B103" s="103"/>
      <c r="C103" s="103"/>
      <c r="D103" s="103"/>
      <c r="E103" s="168"/>
      <c r="F103" s="168"/>
    </row>
    <row r="104" customFormat="false" ht="12.75" hidden="false" customHeight="false" outlineLevel="0" collapsed="false">
      <c r="A104" s="102"/>
      <c r="B104" s="108"/>
      <c r="C104" s="108"/>
      <c r="D104" s="108"/>
      <c r="E104" s="168"/>
      <c r="F104" s="168"/>
    </row>
    <row r="105" customFormat="false" ht="12.75" hidden="false" customHeight="false" outlineLevel="0" collapsed="false">
      <c r="A105" s="102"/>
    </row>
    <row r="106" customFormat="false" ht="12.75" hidden="false" customHeight="false" outlineLevel="0" collapsed="false">
      <c r="A106" s="102"/>
    </row>
    <row r="107" customFormat="false" ht="12.75" hidden="false" customHeight="false" outlineLevel="0" collapsed="false">
      <c r="A107" s="102"/>
    </row>
    <row r="108" customFormat="false" ht="12.75" hidden="false" customHeight="false" outlineLevel="0" collapsed="false">
      <c r="A108" s="102"/>
    </row>
    <row r="109" customFormat="false" ht="12.75" hidden="false" customHeight="false" outlineLevel="0" collapsed="false">
      <c r="A109" s="102"/>
    </row>
    <row r="110" customFormat="false" ht="12.75" hidden="false" customHeight="false" outlineLevel="0" collapsed="false">
      <c r="A110" s="102"/>
      <c r="B110" s="108"/>
      <c r="C110" s="108"/>
      <c r="D110" s="108"/>
    </row>
    <row r="111" customFormat="false" ht="12.75" hidden="false" customHeight="false" outlineLevel="0" collapsed="false">
      <c r="A111" s="102"/>
      <c r="B111" s="108"/>
      <c r="C111" s="108"/>
      <c r="D111" s="108"/>
    </row>
    <row r="112" customFormat="false" ht="12.75" hidden="false" customHeight="false" outlineLevel="0" collapsed="false">
      <c r="A112" s="102"/>
      <c r="B112" s="108"/>
      <c r="C112" s="108"/>
      <c r="D112" s="108"/>
    </row>
    <row r="113" customFormat="false" ht="12.75" hidden="false" customHeight="false" outlineLevel="0" collapsed="false">
      <c r="A113" s="102"/>
    </row>
    <row r="114" customFormat="false" ht="12.75" hidden="false" customHeight="false" outlineLevel="0" collapsed="false">
      <c r="A114" s="102"/>
    </row>
    <row r="115" customFormat="false" ht="12.75" hidden="false" customHeight="false" outlineLevel="0" collapsed="false">
      <c r="A115" s="102"/>
    </row>
    <row r="116" customFormat="false" ht="12.75" hidden="false" customHeight="false" outlineLevel="0" collapsed="false">
      <c r="A116" s="102"/>
    </row>
    <row r="117" customFormat="false" ht="12.75" hidden="false" customHeight="false" outlineLevel="0" collapsed="false">
      <c r="A117" s="102"/>
    </row>
    <row r="118" customFormat="false" ht="12.75" hidden="false" customHeight="false" outlineLevel="0" collapsed="false">
      <c r="A118" s="102"/>
    </row>
    <row r="119" customFormat="false" ht="12.75" hidden="false" customHeight="false" outlineLevel="0" collapsed="false">
      <c r="A119" s="102"/>
    </row>
    <row r="120" customFormat="false" ht="12.75" hidden="false" customHeight="false" outlineLevel="0" collapsed="false">
      <c r="A120" s="102"/>
    </row>
    <row r="121" customFormat="false" ht="12.75" hidden="false" customHeight="false" outlineLevel="0" collapsed="false">
      <c r="A121" s="102"/>
    </row>
    <row r="122" customFormat="false" ht="12.75" hidden="false" customHeight="false" outlineLevel="0" collapsed="false">
      <c r="A122" s="102"/>
      <c r="E122" s="168"/>
      <c r="F122" s="168"/>
      <c r="G122" s="168"/>
    </row>
    <row r="123" customFormat="false" ht="12.75" hidden="false" customHeight="false" outlineLevel="0" collapsed="false">
      <c r="A123" s="102"/>
    </row>
    <row r="124" customFormat="false" ht="12.75" hidden="false" customHeight="false" outlineLevel="0" collapsed="false">
      <c r="A124" s="102"/>
    </row>
    <row r="125" customFormat="false" ht="12.75" hidden="false" customHeight="false" outlineLevel="0" collapsed="false">
      <c r="A125" s="102"/>
    </row>
    <row r="126" customFormat="false" ht="12.75" hidden="false" customHeight="false" outlineLevel="0" collapsed="false">
      <c r="A126" s="102"/>
    </row>
    <row r="127" customFormat="false" ht="12.75" hidden="false" customHeight="false" outlineLevel="0" collapsed="false">
      <c r="A127" s="102"/>
    </row>
    <row r="128" customFormat="false" ht="12.75" hidden="false" customHeight="false" outlineLevel="0" collapsed="false">
      <c r="A128" s="102"/>
    </row>
    <row r="129" customFormat="false" ht="12.75" hidden="false" customHeight="false" outlineLevel="0" collapsed="false">
      <c r="A129" s="102"/>
    </row>
    <row r="130" customFormat="false" ht="12.75" hidden="false" customHeight="false" outlineLevel="0" collapsed="false">
      <c r="A130" s="102"/>
    </row>
    <row r="131" customFormat="false" ht="12.75" hidden="false" customHeight="false" outlineLevel="0" collapsed="false">
      <c r="A131" s="102"/>
    </row>
    <row r="132" customFormat="false" ht="12.75" hidden="false" customHeight="false" outlineLevel="0" collapsed="false">
      <c r="A132" s="102"/>
    </row>
    <row r="133" customFormat="false" ht="12.75" hidden="false" customHeight="false" outlineLevel="0" collapsed="false">
      <c r="A133" s="102"/>
    </row>
    <row r="134" customFormat="false" ht="12.75" hidden="false" customHeight="false" outlineLevel="0" collapsed="false">
      <c r="A134" s="102"/>
    </row>
    <row r="135" customFormat="false" ht="12.75" hidden="false" customHeight="false" outlineLevel="0" collapsed="false">
      <c r="A135" s="102"/>
    </row>
    <row r="136" customFormat="false" ht="12.75" hidden="false" customHeight="false" outlineLevel="0" collapsed="false">
      <c r="A136" s="102"/>
    </row>
    <row r="137" customFormat="false" ht="12.75" hidden="false" customHeight="false" outlineLevel="0" collapsed="false">
      <c r="A137" s="102"/>
    </row>
    <row r="138" customFormat="false" ht="12.75" hidden="false" customHeight="false" outlineLevel="0" collapsed="false">
      <c r="A138" s="102"/>
    </row>
    <row r="139" customFormat="false" ht="12.75" hidden="false" customHeight="false" outlineLevel="0" collapsed="false">
      <c r="A139" s="102"/>
    </row>
    <row r="140" customFormat="false" ht="12.75" hidden="false" customHeight="false" outlineLevel="0" collapsed="false">
      <c r="A140" s="102"/>
    </row>
    <row r="141" customFormat="false" ht="12.75" hidden="false" customHeight="false" outlineLevel="0" collapsed="false">
      <c r="A141" s="102"/>
    </row>
    <row r="142" customFormat="false" ht="12.75" hidden="false" customHeight="false" outlineLevel="0" collapsed="false">
      <c r="A142" s="102"/>
    </row>
    <row r="143" customFormat="false" ht="12.75" hidden="false" customHeight="false" outlineLevel="0" collapsed="false">
      <c r="A143" s="102"/>
    </row>
    <row r="144" customFormat="false" ht="12.75" hidden="false" customHeight="false" outlineLevel="0" collapsed="false">
      <c r="A144" s="102"/>
    </row>
    <row r="145" customFormat="false" ht="12.75" hidden="false" customHeight="false" outlineLevel="0" collapsed="false">
      <c r="A145" s="102"/>
      <c r="E145" s="168"/>
      <c r="F145" s="168"/>
      <c r="G145" s="168"/>
    </row>
    <row r="146" customFormat="false" ht="12.75" hidden="false" customHeight="false" outlineLevel="0" collapsed="false">
      <c r="A146" s="102"/>
      <c r="B146" s="3"/>
      <c r="C146" s="3"/>
      <c r="D146" s="3"/>
    </row>
    <row r="147" customFormat="false" ht="12.75" hidden="false" customHeight="false" outlineLevel="0" collapsed="false">
      <c r="A147" s="102"/>
      <c r="B147" s="3"/>
      <c r="C147" s="3"/>
      <c r="D147" s="3"/>
    </row>
    <row r="148" customFormat="false" ht="12.75" hidden="false" customHeight="false" outlineLevel="0" collapsed="false">
      <c r="A148" s="102"/>
      <c r="B148" s="103"/>
      <c r="C148" s="103"/>
      <c r="D148" s="103"/>
      <c r="E148" s="168"/>
      <c r="F148" s="168"/>
    </row>
    <row r="149" customFormat="false" ht="12.75" hidden="false" customHeight="false" outlineLevel="0" collapsed="false">
      <c r="A149" s="102"/>
      <c r="B149" s="103"/>
      <c r="C149" s="103"/>
      <c r="D149" s="103"/>
      <c r="E149" s="168"/>
      <c r="F149" s="168"/>
    </row>
    <row r="150" customFormat="false" ht="12.75" hidden="false" customHeight="false" outlineLevel="0" collapsed="false">
      <c r="A150" s="102"/>
      <c r="B150" s="108"/>
      <c r="C150" s="108"/>
      <c r="D150" s="108"/>
      <c r="E150" s="168"/>
      <c r="F150" s="168"/>
    </row>
    <row r="151" customFormat="false" ht="12.75" hidden="false" customHeight="false" outlineLevel="0" collapsed="false">
      <c r="A151" s="102"/>
    </row>
    <row r="152" customFormat="false" ht="12.75" hidden="false" customHeight="false" outlineLevel="0" collapsed="false">
      <c r="A152" s="102"/>
    </row>
    <row r="153" customFormat="false" ht="12.75" hidden="false" customHeight="false" outlineLevel="0" collapsed="false">
      <c r="A153" s="102"/>
    </row>
    <row r="154" customFormat="false" ht="12.75" hidden="false" customHeight="false" outlineLevel="0" collapsed="false">
      <c r="A154" s="102"/>
    </row>
    <row r="155" customFormat="false" ht="12.75" hidden="false" customHeight="false" outlineLevel="0" collapsed="false">
      <c r="A155" s="102"/>
    </row>
    <row r="156" customFormat="false" ht="12.75" hidden="false" customHeight="false" outlineLevel="0" collapsed="false">
      <c r="A156" s="102"/>
      <c r="B156" s="108"/>
      <c r="C156" s="108"/>
      <c r="D156" s="108"/>
    </row>
    <row r="157" customFormat="false" ht="12.75" hidden="false" customHeight="false" outlineLevel="0" collapsed="false">
      <c r="A157" s="102"/>
      <c r="B157" s="108"/>
      <c r="C157" s="108"/>
      <c r="D157" s="108"/>
    </row>
    <row r="158" customFormat="false" ht="12.75" hidden="false" customHeight="false" outlineLevel="0" collapsed="false">
      <c r="A158" s="102"/>
      <c r="B158" s="108"/>
      <c r="C158" s="108"/>
      <c r="D158" s="108"/>
    </row>
    <row r="159" customFormat="false" ht="12.75" hidden="false" customHeight="false" outlineLevel="0" collapsed="false">
      <c r="A159" s="102"/>
    </row>
    <row r="160" customFormat="false" ht="12.75" hidden="false" customHeight="false" outlineLevel="0" collapsed="false">
      <c r="A160" s="102"/>
    </row>
    <row r="161" customFormat="false" ht="12.75" hidden="false" customHeight="false" outlineLevel="0" collapsed="false">
      <c r="A161" s="102"/>
    </row>
    <row r="162" customFormat="false" ht="12.75" hidden="false" customHeight="false" outlineLevel="0" collapsed="false">
      <c r="A162" s="102"/>
    </row>
    <row r="163" customFormat="false" ht="12.75" hidden="false" customHeight="false" outlineLevel="0" collapsed="false">
      <c r="A163" s="102"/>
    </row>
    <row r="164" customFormat="false" ht="12.75" hidden="false" customHeight="false" outlineLevel="0" collapsed="false">
      <c r="A164" s="102"/>
    </row>
    <row r="165" customFormat="false" ht="12.75" hidden="false" customHeight="false" outlineLevel="0" collapsed="false">
      <c r="A165" s="102"/>
    </row>
    <row r="166" customFormat="false" ht="12.75" hidden="false" customHeight="false" outlineLevel="0" collapsed="false">
      <c r="A166" s="102"/>
    </row>
    <row r="167" customFormat="false" ht="12.75" hidden="false" customHeight="false" outlineLevel="0" collapsed="false">
      <c r="A167" s="102"/>
    </row>
    <row r="168" customFormat="false" ht="12.75" hidden="false" customHeight="false" outlineLevel="0" collapsed="false">
      <c r="A168" s="102"/>
      <c r="E168" s="168"/>
      <c r="F168" s="168"/>
      <c r="G168" s="168"/>
    </row>
    <row r="169" customFormat="false" ht="12.75" hidden="false" customHeight="false" outlineLevel="0" collapsed="false">
      <c r="A169" s="102"/>
      <c r="B169" s="3"/>
      <c r="C169" s="3"/>
      <c r="D169" s="3"/>
    </row>
    <row r="170" customFormat="false" ht="12.75" hidden="false" customHeight="false" outlineLevel="0" collapsed="false">
      <c r="B170" s="3"/>
      <c r="C170" s="3"/>
      <c r="D170" s="3"/>
    </row>
    <row r="171" customFormat="false" ht="12.75" hidden="false" customHeight="false" outlineLevel="0" collapsed="false">
      <c r="A171" s="102"/>
      <c r="B171" s="103"/>
      <c r="C171" s="103"/>
      <c r="D171" s="103"/>
      <c r="E171" s="168"/>
      <c r="F171" s="168"/>
    </row>
    <row r="172" customFormat="false" ht="12.75" hidden="false" customHeight="false" outlineLevel="0" collapsed="false">
      <c r="A172" s="102"/>
      <c r="B172" s="103"/>
      <c r="C172" s="103"/>
      <c r="D172" s="103"/>
      <c r="E172" s="168"/>
      <c r="F172" s="168"/>
    </row>
    <row r="173" customFormat="false" ht="12.75" hidden="false" customHeight="false" outlineLevel="0" collapsed="false">
      <c r="A173" s="102"/>
      <c r="B173" s="108"/>
      <c r="C173" s="108"/>
      <c r="D173" s="108"/>
      <c r="E173" s="168"/>
      <c r="F173" s="168"/>
    </row>
    <row r="174" customFormat="false" ht="12.75" hidden="false" customHeight="false" outlineLevel="0" collapsed="false">
      <c r="A174" s="102"/>
    </row>
    <row r="175" customFormat="false" ht="12.75" hidden="false" customHeight="false" outlineLevel="0" collapsed="false">
      <c r="A175" s="102"/>
    </row>
    <row r="176" customFormat="false" ht="12.75" hidden="false" customHeight="false" outlineLevel="0" collapsed="false">
      <c r="A176" s="102"/>
    </row>
    <row r="177" customFormat="false" ht="12.75" hidden="false" customHeight="false" outlineLevel="0" collapsed="false">
      <c r="A177" s="102"/>
    </row>
    <row r="178" customFormat="false" ht="12.75" hidden="false" customHeight="false" outlineLevel="0" collapsed="false">
      <c r="A178" s="102"/>
    </row>
    <row r="179" customFormat="false" ht="12.75" hidden="false" customHeight="false" outlineLevel="0" collapsed="false">
      <c r="A179" s="102"/>
      <c r="B179" s="108"/>
      <c r="C179" s="108"/>
      <c r="D179" s="108"/>
    </row>
    <row r="180" customFormat="false" ht="12.75" hidden="false" customHeight="false" outlineLevel="0" collapsed="false">
      <c r="A180" s="102"/>
      <c r="B180" s="108"/>
      <c r="C180" s="108"/>
      <c r="D180" s="108"/>
    </row>
    <row r="181" customFormat="false" ht="12.75" hidden="false" customHeight="false" outlineLevel="0" collapsed="false">
      <c r="A181" s="102"/>
      <c r="B181" s="108"/>
      <c r="C181" s="108"/>
      <c r="D181" s="108"/>
    </row>
    <row r="182" customFormat="false" ht="12.75" hidden="false" customHeight="false" outlineLevel="0" collapsed="false">
      <c r="A182" s="102"/>
    </row>
    <row r="183" customFormat="false" ht="12.75" hidden="false" customHeight="false" outlineLevel="0" collapsed="false">
      <c r="A183" s="102"/>
    </row>
    <row r="184" customFormat="false" ht="12.75" hidden="false" customHeight="false" outlineLevel="0" collapsed="false">
      <c r="A184" s="102"/>
    </row>
    <row r="185" customFormat="false" ht="12.75" hidden="false" customHeight="false" outlineLevel="0" collapsed="false">
      <c r="A185" s="102"/>
    </row>
    <row r="186" customFormat="false" ht="12.75" hidden="false" customHeight="false" outlineLevel="0" collapsed="false">
      <c r="A186" s="102"/>
    </row>
    <row r="187" customFormat="false" ht="12.75" hidden="false" customHeight="false" outlineLevel="0" collapsed="false">
      <c r="A187" s="102"/>
    </row>
    <row r="188" customFormat="false" ht="12.75" hidden="false" customHeight="false" outlineLevel="0" collapsed="false">
      <c r="A188" s="102"/>
    </row>
    <row r="189" customFormat="false" ht="12.75" hidden="false" customHeight="false" outlineLevel="0" collapsed="false">
      <c r="A189" s="102"/>
    </row>
    <row r="190" customFormat="false" ht="12.75" hidden="false" customHeight="false" outlineLevel="0" collapsed="false">
      <c r="A190" s="102"/>
    </row>
    <row r="191" customFormat="false" ht="12.75" hidden="false" customHeight="false" outlineLevel="0" collapsed="false">
      <c r="A191" s="102"/>
      <c r="E191" s="168"/>
      <c r="F191" s="168"/>
      <c r="G191" s="168"/>
    </row>
    <row r="192" customFormat="false" ht="12.75" hidden="false" customHeight="false" outlineLevel="0" collapsed="false">
      <c r="B192" s="3"/>
      <c r="C192" s="3"/>
      <c r="D192" s="3"/>
    </row>
    <row r="193" customFormat="false" ht="12.75" hidden="false" customHeight="false" outlineLevel="0" collapsed="false">
      <c r="B193" s="3"/>
      <c r="C193" s="3"/>
      <c r="D193" s="3"/>
      <c r="E193" s="168"/>
    </row>
    <row r="194" customFormat="false" ht="12.75" hidden="false" customHeight="false" outlineLevel="0" collapsed="false">
      <c r="A194" s="102"/>
      <c r="B194" s="103"/>
      <c r="C194" s="103"/>
      <c r="D194" s="103"/>
      <c r="E194" s="168"/>
      <c r="F194" s="168"/>
    </row>
    <row r="195" customFormat="false" ht="12.75" hidden="false" customHeight="false" outlineLevel="0" collapsed="false">
      <c r="A195" s="102"/>
      <c r="B195" s="103"/>
      <c r="C195" s="103"/>
      <c r="D195" s="103"/>
      <c r="E195" s="168"/>
      <c r="F195" s="168"/>
    </row>
    <row r="196" customFormat="false" ht="12.75" hidden="false" customHeight="false" outlineLevel="0" collapsed="false">
      <c r="A196" s="102"/>
      <c r="B196" s="108"/>
      <c r="C196" s="108"/>
      <c r="D196" s="108"/>
      <c r="E196" s="168"/>
      <c r="F196" s="168"/>
    </row>
    <row r="197" customFormat="false" ht="12.75" hidden="false" customHeight="false" outlineLevel="0" collapsed="false">
      <c r="A197" s="102"/>
    </row>
    <row r="198" customFormat="false" ht="12.75" hidden="false" customHeight="false" outlineLevel="0" collapsed="false">
      <c r="A198" s="102"/>
    </row>
    <row r="199" customFormat="false" ht="12.75" hidden="false" customHeight="false" outlineLevel="0" collapsed="false">
      <c r="A199" s="102"/>
    </row>
    <row r="200" customFormat="false" ht="12.75" hidden="false" customHeight="false" outlineLevel="0" collapsed="false">
      <c r="A200" s="102"/>
    </row>
    <row r="201" customFormat="false" ht="12.75" hidden="false" customHeight="false" outlineLevel="0" collapsed="false">
      <c r="A201" s="102"/>
    </row>
    <row r="202" customFormat="false" ht="12.75" hidden="false" customHeight="false" outlineLevel="0" collapsed="false">
      <c r="A202" s="102"/>
      <c r="B202" s="108"/>
      <c r="C202" s="108"/>
      <c r="D202" s="108"/>
    </row>
    <row r="203" customFormat="false" ht="12.75" hidden="false" customHeight="false" outlineLevel="0" collapsed="false">
      <c r="A203" s="102"/>
      <c r="B203" s="108"/>
      <c r="C203" s="108"/>
      <c r="D203" s="108"/>
    </row>
    <row r="204" customFormat="false" ht="12.75" hidden="false" customHeight="false" outlineLevel="0" collapsed="false">
      <c r="A204" s="102"/>
      <c r="B204" s="108"/>
      <c r="C204" s="108"/>
      <c r="D204" s="108"/>
    </row>
    <row r="205" customFormat="false" ht="12.75" hidden="false" customHeight="false" outlineLevel="0" collapsed="false">
      <c r="A205" s="102"/>
    </row>
    <row r="206" customFormat="false" ht="12.75" hidden="false" customHeight="false" outlineLevel="0" collapsed="false">
      <c r="A206" s="102"/>
    </row>
    <row r="207" customFormat="false" ht="12.75" hidden="false" customHeight="false" outlineLevel="0" collapsed="false">
      <c r="A207" s="102"/>
    </row>
    <row r="208" customFormat="false" ht="12.75" hidden="false" customHeight="false" outlineLevel="0" collapsed="false">
      <c r="A208" s="102"/>
    </row>
    <row r="209" customFormat="false" ht="12.75" hidden="false" customHeight="false" outlineLevel="0" collapsed="false">
      <c r="A209" s="102"/>
    </row>
    <row r="210" customFormat="false" ht="12.75" hidden="false" customHeight="false" outlineLevel="0" collapsed="false">
      <c r="A210" s="102"/>
    </row>
    <row r="211" customFormat="false" ht="12.75" hidden="false" customHeight="false" outlineLevel="0" collapsed="false">
      <c r="A211" s="102"/>
    </row>
    <row r="212" customFormat="false" ht="12.75" hidden="false" customHeight="false" outlineLevel="0" collapsed="false">
      <c r="A212" s="102"/>
    </row>
    <row r="213" customFormat="false" ht="12.75" hidden="false" customHeight="false" outlineLevel="0" collapsed="false">
      <c r="A213" s="102"/>
    </row>
    <row r="214" customFormat="false" ht="12.75" hidden="false" customHeight="false" outlineLevel="0" collapsed="false">
      <c r="A214" s="102"/>
      <c r="E214" s="168"/>
      <c r="F214" s="168"/>
      <c r="G214" s="168"/>
    </row>
    <row r="215" customFormat="false" ht="12.75" hidden="false" customHeight="false" outlineLevel="0" collapsed="false">
      <c r="B215" s="3"/>
      <c r="C215" s="3"/>
      <c r="D215" s="3"/>
      <c r="E215" s="168"/>
    </row>
    <row r="216" customFormat="false" ht="12.75" hidden="false" customHeight="false" outlineLevel="0" collapsed="false">
      <c r="B216" s="3"/>
      <c r="C216" s="3"/>
      <c r="D216" s="3"/>
    </row>
    <row r="217" customFormat="false" ht="12.75" hidden="false" customHeight="false" outlineLevel="0" collapsed="false">
      <c r="A217" s="102"/>
      <c r="B217" s="103"/>
      <c r="C217" s="103"/>
      <c r="D217" s="103"/>
      <c r="E217" s="168"/>
      <c r="F217" s="168"/>
    </row>
    <row r="218" customFormat="false" ht="12.75" hidden="false" customHeight="false" outlineLevel="0" collapsed="false">
      <c r="A218" s="102"/>
      <c r="B218" s="103"/>
      <c r="C218" s="103"/>
      <c r="D218" s="103"/>
      <c r="E218" s="168"/>
      <c r="F218" s="168"/>
    </row>
    <row r="219" customFormat="false" ht="12.75" hidden="false" customHeight="false" outlineLevel="0" collapsed="false">
      <c r="A219" s="102"/>
      <c r="B219" s="108"/>
      <c r="C219" s="108"/>
      <c r="D219" s="108"/>
      <c r="E219" s="168"/>
      <c r="F219" s="168"/>
    </row>
    <row r="220" customFormat="false" ht="12.75" hidden="false" customHeight="false" outlineLevel="0" collapsed="false">
      <c r="A220" s="102"/>
    </row>
    <row r="221" customFormat="false" ht="12.75" hidden="false" customHeight="false" outlineLevel="0" collapsed="false">
      <c r="A221" s="102"/>
    </row>
    <row r="222" customFormat="false" ht="12.75" hidden="false" customHeight="false" outlineLevel="0" collapsed="false">
      <c r="A222" s="102"/>
    </row>
    <row r="223" customFormat="false" ht="12.75" hidden="false" customHeight="false" outlineLevel="0" collapsed="false">
      <c r="A223" s="102"/>
    </row>
    <row r="224" customFormat="false" ht="12.75" hidden="false" customHeight="false" outlineLevel="0" collapsed="false">
      <c r="A224" s="102"/>
    </row>
    <row r="225" customFormat="false" ht="12.75" hidden="false" customHeight="false" outlineLevel="0" collapsed="false">
      <c r="A225" s="102"/>
      <c r="B225" s="108"/>
      <c r="C225" s="108"/>
      <c r="D225" s="108"/>
    </row>
    <row r="226" customFormat="false" ht="12.75" hidden="false" customHeight="false" outlineLevel="0" collapsed="false">
      <c r="A226" s="102"/>
      <c r="B226" s="108"/>
      <c r="C226" s="108"/>
      <c r="D226" s="108"/>
    </row>
    <row r="227" customFormat="false" ht="12.75" hidden="false" customHeight="false" outlineLevel="0" collapsed="false">
      <c r="A227" s="102"/>
      <c r="B227" s="108"/>
      <c r="C227" s="108"/>
      <c r="D227" s="108"/>
    </row>
    <row r="228" customFormat="false" ht="12.75" hidden="false" customHeight="false" outlineLevel="0" collapsed="false">
      <c r="A228" s="102"/>
    </row>
    <row r="229" customFormat="false" ht="12.75" hidden="false" customHeight="false" outlineLevel="0" collapsed="false">
      <c r="A229" s="102"/>
    </row>
    <row r="230" customFormat="false" ht="12.75" hidden="false" customHeight="false" outlineLevel="0" collapsed="false">
      <c r="A230" s="102"/>
    </row>
    <row r="231" customFormat="false" ht="12.75" hidden="false" customHeight="false" outlineLevel="0" collapsed="false">
      <c r="A231" s="102"/>
    </row>
    <row r="232" customFormat="false" ht="12.75" hidden="false" customHeight="false" outlineLevel="0" collapsed="false">
      <c r="A232" s="102"/>
    </row>
    <row r="233" customFormat="false" ht="12.75" hidden="false" customHeight="false" outlineLevel="0" collapsed="false">
      <c r="A233" s="102"/>
    </row>
    <row r="234" customFormat="false" ht="12.75" hidden="false" customHeight="false" outlineLevel="0" collapsed="false">
      <c r="A234" s="102"/>
    </row>
    <row r="235" customFormat="false" ht="12.75" hidden="false" customHeight="false" outlineLevel="0" collapsed="false">
      <c r="A235" s="102"/>
    </row>
    <row r="236" customFormat="false" ht="12.75" hidden="false" customHeight="false" outlineLevel="0" collapsed="false">
      <c r="A236" s="102"/>
    </row>
    <row r="237" customFormat="false" ht="12.75" hidden="false" customHeight="false" outlineLevel="0" collapsed="false">
      <c r="A237" s="102"/>
      <c r="E237" s="168"/>
      <c r="F237" s="168"/>
      <c r="G237" s="168"/>
    </row>
    <row r="238" customFormat="false" ht="12.75" hidden="false" customHeight="false" outlineLevel="0" collapsed="false">
      <c r="B238" s="3"/>
      <c r="C238" s="3"/>
      <c r="D238" s="3"/>
    </row>
    <row r="239" customFormat="false" ht="12.75" hidden="false" customHeight="false" outlineLevel="0" collapsed="false">
      <c r="B239" s="3"/>
      <c r="C239" s="3"/>
      <c r="D239" s="3"/>
    </row>
    <row r="240" customFormat="false" ht="12.75" hidden="false" customHeight="false" outlineLevel="0" collapsed="false">
      <c r="A240" s="102"/>
      <c r="B240" s="103"/>
      <c r="C240" s="103"/>
      <c r="D240" s="103"/>
      <c r="E240" s="168"/>
      <c r="F240" s="168"/>
    </row>
    <row r="241" customFormat="false" ht="12.75" hidden="false" customHeight="false" outlineLevel="0" collapsed="false">
      <c r="A241" s="102"/>
      <c r="B241" s="103"/>
      <c r="C241" s="103"/>
      <c r="D241" s="103"/>
      <c r="E241" s="168"/>
      <c r="F241" s="168"/>
    </row>
    <row r="242" customFormat="false" ht="12.75" hidden="false" customHeight="false" outlineLevel="0" collapsed="false">
      <c r="A242" s="102"/>
      <c r="B242" s="108"/>
      <c r="C242" s="108"/>
      <c r="D242" s="108"/>
      <c r="E242" s="168"/>
      <c r="F242" s="168"/>
    </row>
    <row r="243" customFormat="false" ht="12.75" hidden="false" customHeight="false" outlineLevel="0" collapsed="false">
      <c r="A243" s="102"/>
    </row>
    <row r="244" customFormat="false" ht="12.75" hidden="false" customHeight="false" outlineLevel="0" collapsed="false">
      <c r="A244" s="102"/>
    </row>
    <row r="245" customFormat="false" ht="12.75" hidden="false" customHeight="false" outlineLevel="0" collapsed="false">
      <c r="A245" s="102"/>
    </row>
    <row r="246" customFormat="false" ht="12.75" hidden="false" customHeight="false" outlineLevel="0" collapsed="false">
      <c r="A246" s="102"/>
    </row>
    <row r="247" customFormat="false" ht="12.75" hidden="false" customHeight="false" outlineLevel="0" collapsed="false">
      <c r="A247" s="102"/>
    </row>
    <row r="248" customFormat="false" ht="12.75" hidden="false" customHeight="false" outlineLevel="0" collapsed="false">
      <c r="A248" s="102"/>
      <c r="B248" s="108"/>
      <c r="C248" s="108"/>
      <c r="D248" s="108"/>
    </row>
    <row r="249" customFormat="false" ht="12.75" hidden="false" customHeight="false" outlineLevel="0" collapsed="false">
      <c r="A249" s="102"/>
      <c r="B249" s="108"/>
      <c r="C249" s="108"/>
      <c r="D249" s="108"/>
    </row>
    <row r="250" customFormat="false" ht="12.75" hidden="false" customHeight="false" outlineLevel="0" collapsed="false">
      <c r="A250" s="102"/>
      <c r="B250" s="108"/>
      <c r="C250" s="108"/>
      <c r="D250" s="108"/>
    </row>
    <row r="251" customFormat="false" ht="12.75" hidden="false" customHeight="false" outlineLevel="0" collapsed="false">
      <c r="A251" s="102"/>
    </row>
    <row r="252" customFormat="false" ht="12.75" hidden="false" customHeight="false" outlineLevel="0" collapsed="false">
      <c r="A252" s="102"/>
    </row>
    <row r="253" customFormat="false" ht="12.75" hidden="false" customHeight="false" outlineLevel="0" collapsed="false">
      <c r="A253" s="102"/>
    </row>
    <row r="254" customFormat="false" ht="12.75" hidden="false" customHeight="false" outlineLevel="0" collapsed="false">
      <c r="A254" s="102"/>
    </row>
    <row r="255" customFormat="false" ht="12.75" hidden="false" customHeight="false" outlineLevel="0" collapsed="false">
      <c r="A255" s="102"/>
    </row>
    <row r="256" customFormat="false" ht="12.75" hidden="false" customHeight="false" outlineLevel="0" collapsed="false">
      <c r="A256" s="102"/>
    </row>
    <row r="257" customFormat="false" ht="12.75" hidden="false" customHeight="false" outlineLevel="0" collapsed="false">
      <c r="A257" s="102"/>
    </row>
    <row r="258" customFormat="false" ht="12.75" hidden="false" customHeight="false" outlineLevel="0" collapsed="false">
      <c r="A258" s="102"/>
    </row>
    <row r="259" customFormat="false" ht="12.75" hidden="false" customHeight="false" outlineLevel="0" collapsed="false">
      <c r="A259" s="102"/>
    </row>
    <row r="260" customFormat="false" ht="12.75" hidden="false" customHeight="false" outlineLevel="0" collapsed="false">
      <c r="A260" s="102"/>
      <c r="E260" s="168"/>
      <c r="F260" s="168"/>
      <c r="G260" s="168"/>
    </row>
    <row r="261" customFormat="false" ht="12.75" hidden="false" customHeight="false" outlineLevel="0" collapsed="false">
      <c r="B261" s="3"/>
      <c r="C261" s="3"/>
      <c r="D261" s="3"/>
    </row>
    <row r="262" customFormat="false" ht="12.75" hidden="false" customHeight="false" outlineLevel="0" collapsed="false">
      <c r="B262" s="3"/>
      <c r="C262" s="3"/>
      <c r="D262" s="3"/>
    </row>
    <row r="263" customFormat="false" ht="12.75" hidden="false" customHeight="false" outlineLevel="0" collapsed="false">
      <c r="A263" s="102"/>
      <c r="B263" s="103"/>
      <c r="C263" s="103"/>
      <c r="D263" s="103"/>
      <c r="E263" s="168"/>
      <c r="F263" s="168"/>
    </row>
    <row r="264" customFormat="false" ht="12.75" hidden="false" customHeight="false" outlineLevel="0" collapsed="false">
      <c r="A264" s="102"/>
      <c r="B264" s="103"/>
      <c r="C264" s="103"/>
      <c r="D264" s="103"/>
      <c r="E264" s="168"/>
      <c r="F264" s="168"/>
    </row>
    <row r="265" customFormat="false" ht="12.75" hidden="false" customHeight="false" outlineLevel="0" collapsed="false">
      <c r="A265" s="102"/>
      <c r="B265" s="108"/>
      <c r="C265" s="108"/>
      <c r="D265" s="108"/>
      <c r="E265" s="168"/>
      <c r="F265" s="168"/>
    </row>
    <row r="266" customFormat="false" ht="12.75" hidden="false" customHeight="false" outlineLevel="0" collapsed="false">
      <c r="A266" s="102"/>
    </row>
    <row r="267" customFormat="false" ht="12.75" hidden="false" customHeight="false" outlineLevel="0" collapsed="false">
      <c r="A267" s="102"/>
    </row>
    <row r="268" customFormat="false" ht="12.75" hidden="false" customHeight="false" outlineLevel="0" collapsed="false">
      <c r="A268" s="102"/>
    </row>
    <row r="269" customFormat="false" ht="12.75" hidden="false" customHeight="false" outlineLevel="0" collapsed="false">
      <c r="A269" s="102"/>
    </row>
    <row r="270" customFormat="false" ht="12.75" hidden="false" customHeight="false" outlineLevel="0" collapsed="false">
      <c r="A270" s="102"/>
    </row>
    <row r="271" customFormat="false" ht="12.75" hidden="false" customHeight="false" outlineLevel="0" collapsed="false">
      <c r="A271" s="102"/>
      <c r="B271" s="108"/>
      <c r="C271" s="108"/>
      <c r="D271" s="108"/>
    </row>
    <row r="272" customFormat="false" ht="12.75" hidden="false" customHeight="false" outlineLevel="0" collapsed="false">
      <c r="A272" s="102"/>
      <c r="B272" s="108"/>
      <c r="C272" s="108"/>
      <c r="D272" s="108"/>
    </row>
    <row r="273" customFormat="false" ht="12.75" hidden="false" customHeight="false" outlineLevel="0" collapsed="false">
      <c r="A273" s="102"/>
      <c r="B273" s="108"/>
      <c r="C273" s="108"/>
      <c r="D273" s="108"/>
    </row>
    <row r="274" customFormat="false" ht="12.75" hidden="false" customHeight="false" outlineLevel="0" collapsed="false">
      <c r="A274" s="102"/>
    </row>
    <row r="275" customFormat="false" ht="12.75" hidden="false" customHeight="false" outlineLevel="0" collapsed="false">
      <c r="A275" s="102"/>
    </row>
    <row r="276" customFormat="false" ht="12.75" hidden="false" customHeight="false" outlineLevel="0" collapsed="false">
      <c r="A276" s="102"/>
    </row>
    <row r="277" customFormat="false" ht="12.75" hidden="false" customHeight="false" outlineLevel="0" collapsed="false">
      <c r="A277" s="102"/>
    </row>
    <row r="278" customFormat="false" ht="12.75" hidden="false" customHeight="false" outlineLevel="0" collapsed="false">
      <c r="A278" s="102"/>
    </row>
    <row r="279" customFormat="false" ht="12.75" hidden="false" customHeight="false" outlineLevel="0" collapsed="false">
      <c r="A279" s="102"/>
    </row>
    <row r="280" customFormat="false" ht="12.75" hidden="false" customHeight="false" outlineLevel="0" collapsed="false">
      <c r="A280" s="102"/>
    </row>
    <row r="281" customFormat="false" ht="12.75" hidden="false" customHeight="false" outlineLevel="0" collapsed="false">
      <c r="A281" s="102"/>
    </row>
    <row r="282" customFormat="false" ht="12.75" hidden="false" customHeight="false" outlineLevel="0" collapsed="false">
      <c r="A282" s="102"/>
    </row>
    <row r="283" customFormat="false" ht="12.75" hidden="false" customHeight="false" outlineLevel="0" collapsed="false">
      <c r="A283" s="102"/>
      <c r="E283" s="168"/>
      <c r="F283" s="168"/>
      <c r="G283" s="168"/>
    </row>
    <row r="284" customFormat="false" ht="12.75" hidden="false" customHeight="false" outlineLevel="0" collapsed="false">
      <c r="B284" s="3"/>
      <c r="C284" s="3"/>
      <c r="D284" s="3"/>
    </row>
    <row r="285" customFormat="false" ht="12.75" hidden="false" customHeight="false" outlineLevel="0" collapsed="false">
      <c r="B285" s="3"/>
      <c r="C285" s="3"/>
      <c r="D285" s="3"/>
    </row>
    <row r="286" customFormat="false" ht="12.75" hidden="false" customHeight="false" outlineLevel="0" collapsed="false">
      <c r="B286" s="3"/>
      <c r="C286" s="3"/>
      <c r="D286" s="3"/>
    </row>
    <row r="287" customFormat="false" ht="12.75" hidden="false" customHeight="false" outlineLevel="0" collapsed="false">
      <c r="B287" s="3"/>
      <c r="C287" s="3"/>
      <c r="D287" s="3"/>
    </row>
    <row r="288" customFormat="false" ht="12.75" hidden="false" customHeight="false" outlineLevel="0" collapsed="false">
      <c r="B288" s="3"/>
      <c r="C288" s="3"/>
      <c r="D288" s="3"/>
    </row>
    <row r="289" customFormat="false" ht="12.75" hidden="false" customHeight="false" outlineLevel="0" collapsed="false">
      <c r="B289" s="3"/>
      <c r="C289" s="3"/>
      <c r="D289" s="3"/>
    </row>
    <row r="290" customFormat="false" ht="12.75" hidden="false" customHeight="false" outlineLevel="0" collapsed="false">
      <c r="B290" s="3"/>
      <c r="C290" s="3"/>
      <c r="D290" s="3"/>
    </row>
  </sheetData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25"/>
  <sheetViews>
    <sheetView showFormulas="false" showGridLines="true" showRowColHeaders="true" showZeros="true" rightToLeft="false" tabSelected="false" showOutlineSymbols="true" defaultGridColor="true" view="normal" topLeftCell="A9" colorId="64" zoomScale="170" zoomScaleNormal="170" zoomScalePageLayoutView="100" workbookViewId="0">
      <selection pane="topLeft" activeCell="A9" activeCellId="0" sqref="A9"/>
    </sheetView>
  </sheetViews>
  <sheetFormatPr defaultColWidth="8.57421875" defaultRowHeight="12.75" zeroHeight="false" outlineLevelRow="0" outlineLevelCol="0"/>
  <cols>
    <col collapsed="false" customWidth="true" hidden="false" outlineLevel="0" max="1" min="1" style="0" width="12.29"/>
    <col collapsed="false" customWidth="true" hidden="false" outlineLevel="0" max="2" min="2" style="0" width="13.57"/>
    <col collapsed="false" customWidth="true" hidden="false" outlineLevel="0" max="3" min="3" style="0" width="14.29"/>
    <col collapsed="false" customWidth="true" hidden="false" outlineLevel="0" max="4" min="4" style="0" width="14.57"/>
    <col collapsed="false" customWidth="true" hidden="false" outlineLevel="0" max="5" min="5" style="0" width="14.14"/>
    <col collapsed="false" customWidth="true" hidden="false" outlineLevel="0" max="6" min="6" style="0" width="15.57"/>
    <col collapsed="false" customWidth="true" hidden="false" outlineLevel="0" max="7" min="7" style="0" width="14.86"/>
    <col collapsed="false" customWidth="true" hidden="false" outlineLevel="0" max="8" min="8" style="0" width="0.86"/>
    <col collapsed="false" customWidth="true" hidden="false" outlineLevel="0" max="9" min="9" style="0" width="6.14"/>
    <col collapsed="false" customWidth="true" hidden="false" outlineLevel="0" max="10" min="10" style="0" width="6.43"/>
    <col collapsed="false" customWidth="true" hidden="false" outlineLevel="0" max="11" min="11" style="0" width="6.71"/>
    <col collapsed="false" customWidth="true" hidden="false" outlineLevel="0" max="12" min="12" style="0" width="7.43"/>
    <col collapsed="false" customWidth="true" hidden="false" outlineLevel="0" max="13" min="13" style="0" width="7.14"/>
    <col collapsed="false" customWidth="true" hidden="false" outlineLevel="0" max="14" min="14" style="0" width="7.43"/>
    <col collapsed="false" customWidth="true" hidden="false" outlineLevel="0" max="15" min="15" style="0" width="9.14"/>
  </cols>
  <sheetData>
    <row r="2" customFormat="false" ht="12.75" hidden="false" customHeight="false" outlineLevel="0" collapsed="false">
      <c r="A2" s="0" t="s">
        <v>1584</v>
      </c>
    </row>
    <row r="3" customFormat="false" ht="14.9" hidden="false" customHeight="false" outlineLevel="0" collapsed="false">
      <c r="A3" s="0" t="s">
        <v>1585</v>
      </c>
      <c r="C3" s="0" t="s">
        <v>1586</v>
      </c>
      <c r="D3" s="0" t="s">
        <v>1587</v>
      </c>
    </row>
    <row r="4" customFormat="false" ht="14.9" hidden="false" customHeight="false" outlineLevel="0" collapsed="false">
      <c r="A4" s="0" t="s">
        <v>1588</v>
      </c>
      <c r="C4" s="0" t="s">
        <v>1589</v>
      </c>
      <c r="D4" s="0" t="s">
        <v>1590</v>
      </c>
    </row>
    <row r="5" customFormat="false" ht="14.9" hidden="false" customHeight="false" outlineLevel="0" collapsed="false">
      <c r="A5" s="0" t="s">
        <v>1591</v>
      </c>
      <c r="C5" s="0" t="s">
        <v>1589</v>
      </c>
      <c r="D5" s="0" t="s">
        <v>1592</v>
      </c>
    </row>
    <row r="10" customFormat="false" ht="15" hidden="false" customHeight="false" outlineLevel="0" collapsed="false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9" t="n">
        <v>0.23471</v>
      </c>
      <c r="L10" s="339" t="n">
        <v>0.76529</v>
      </c>
      <c r="M10" s="340"/>
      <c r="N10" s="26" t="s">
        <v>26</v>
      </c>
    </row>
    <row r="11" customFormat="false" ht="15" hidden="false" customHeight="false" outlineLevel="0" collapsed="false">
      <c r="A11" s="19" t="n">
        <v>-2022</v>
      </c>
      <c r="B11" s="23" t="s">
        <v>28</v>
      </c>
      <c r="C11" s="29" t="s">
        <v>29</v>
      </c>
      <c r="D11" s="22" t="s">
        <v>30</v>
      </c>
      <c r="E11" s="23" t="s">
        <v>28</v>
      </c>
      <c r="F11" s="29" t="s">
        <v>29</v>
      </c>
      <c r="G11" s="22" t="s">
        <v>3</v>
      </c>
      <c r="H11" s="24"/>
      <c r="I11" s="25"/>
      <c r="J11" s="26" t="s">
        <v>31</v>
      </c>
      <c r="K11" s="340" t="s">
        <v>807</v>
      </c>
      <c r="L11" s="340" t="s">
        <v>808</v>
      </c>
      <c r="M11" s="340" t="s">
        <v>32</v>
      </c>
      <c r="N11" s="26" t="s">
        <v>1329</v>
      </c>
    </row>
    <row r="12" customFormat="false" ht="12.75" hidden="false" customHeight="false" outlineLevel="0" collapsed="false">
      <c r="A12" s="0" t="s">
        <v>33</v>
      </c>
      <c r="B12" s="218" t="n">
        <v>7333.3</v>
      </c>
      <c r="C12" s="219" t="n">
        <v>-6834.05</v>
      </c>
      <c r="D12" s="220" t="n">
        <v>499.25</v>
      </c>
      <c r="E12" s="218" t="n">
        <v>46462.64</v>
      </c>
      <c r="F12" s="219" t="n">
        <v>-6834.05</v>
      </c>
      <c r="G12" s="221" t="n">
        <v>39628.59</v>
      </c>
      <c r="H12" s="35"/>
      <c r="I12" s="36" t="s">
        <v>34</v>
      </c>
      <c r="J12" s="0" t="n">
        <v>36</v>
      </c>
      <c r="K12" s="2"/>
      <c r="M12" s="2" t="n">
        <v>36</v>
      </c>
    </row>
    <row r="13" customFormat="false" ht="12.75" hidden="false" customHeight="false" outlineLevel="0" collapsed="false">
      <c r="A13" s="0" t="s">
        <v>35</v>
      </c>
      <c r="B13" s="218" t="n">
        <v>10567.09</v>
      </c>
      <c r="C13" s="219" t="n">
        <v>-21938.15</v>
      </c>
      <c r="D13" s="220" t="n">
        <v>-10871.81</v>
      </c>
      <c r="E13" s="218" t="n">
        <v>11567.09</v>
      </c>
      <c r="F13" s="219" t="n">
        <v>-21938.15</v>
      </c>
      <c r="G13" s="221" t="n">
        <v>29257.53</v>
      </c>
      <c r="H13" s="35"/>
      <c r="I13" s="36" t="s">
        <v>38</v>
      </c>
      <c r="J13" s="0" t="n">
        <v>19.8</v>
      </c>
      <c r="K13" s="2"/>
      <c r="M13" s="2" t="n">
        <v>19.8</v>
      </c>
    </row>
    <row r="14" customFormat="false" ht="12.75" hidden="false" customHeight="false" outlineLevel="0" collapsed="false">
      <c r="A14" s="0" t="s">
        <v>37</v>
      </c>
      <c r="B14" s="218" t="n">
        <v>36859.61</v>
      </c>
      <c r="C14" s="219" t="n">
        <v>-30109.3</v>
      </c>
      <c r="D14" s="220" t="n">
        <v>-4121.5</v>
      </c>
      <c r="E14" s="218" t="n">
        <v>35859.61</v>
      </c>
      <c r="F14" s="219" t="n">
        <v>-30109.3</v>
      </c>
      <c r="G14" s="221" t="n">
        <v>35007.84</v>
      </c>
      <c r="H14" s="35"/>
      <c r="I14" s="36" t="s">
        <v>76</v>
      </c>
      <c r="N14" s="2" t="n">
        <v>46.1</v>
      </c>
    </row>
    <row r="15" customFormat="false" ht="12.75" hidden="false" customHeight="false" outlineLevel="0" collapsed="false">
      <c r="A15" s="0" t="s">
        <v>39</v>
      </c>
      <c r="B15" s="218" t="n">
        <v>15937.59</v>
      </c>
      <c r="C15" s="219" t="n">
        <v>-11790.68</v>
      </c>
      <c r="D15" s="220" t="n">
        <v>25.4100000000035</v>
      </c>
      <c r="E15" s="218" t="n">
        <v>17940.28</v>
      </c>
      <c r="F15" s="219" t="n">
        <v>-11140.68</v>
      </c>
      <c r="G15" s="221" t="n">
        <v>41807.44</v>
      </c>
      <c r="H15" s="35"/>
      <c r="I15" s="36" t="s">
        <v>48</v>
      </c>
      <c r="J15" s="0" t="n">
        <v>60</v>
      </c>
      <c r="K15" s="2"/>
      <c r="M15" s="2" t="n">
        <v>6.5</v>
      </c>
    </row>
    <row r="16" customFormat="false" ht="12.75" hidden="false" customHeight="false" outlineLevel="0" collapsed="false">
      <c r="A16" s="0" t="s">
        <v>41</v>
      </c>
      <c r="B16" s="218" t="n">
        <v>11328.34</v>
      </c>
      <c r="C16" s="219" t="n">
        <v>-7712.66</v>
      </c>
      <c r="D16" s="220" t="n">
        <v>3641.09</v>
      </c>
      <c r="E16" s="218" t="n">
        <v>9522.37</v>
      </c>
      <c r="F16" s="219" t="n">
        <v>-7722.66</v>
      </c>
      <c r="G16" s="221" t="n">
        <v>43607.15</v>
      </c>
      <c r="H16" s="35"/>
      <c r="I16" s="36" t="s">
        <v>1330</v>
      </c>
      <c r="J16" s="0" t="n">
        <v>95</v>
      </c>
      <c r="K16" s="2"/>
      <c r="M16" s="2" t="n">
        <v>23.75</v>
      </c>
    </row>
    <row r="17" customFormat="false" ht="12.75" hidden="false" customHeight="false" outlineLevel="0" collapsed="false">
      <c r="A17" s="0" t="s">
        <v>1331</v>
      </c>
      <c r="B17" s="218" t="n">
        <v>17837.05</v>
      </c>
      <c r="C17" s="219" t="n">
        <v>-28058.1</v>
      </c>
      <c r="D17" s="220" t="n">
        <v>-6579.96</v>
      </c>
      <c r="E17" s="218" t="n">
        <v>16654.19</v>
      </c>
      <c r="F17" s="219" t="n">
        <v>-28058.1</v>
      </c>
      <c r="G17" s="221" t="n">
        <v>32203.24</v>
      </c>
      <c r="H17" s="35"/>
    </row>
    <row r="18" customFormat="false" ht="12.75" hidden="false" customHeight="false" outlineLevel="0" collapsed="false">
      <c r="A18" s="0" t="s">
        <v>1332</v>
      </c>
      <c r="B18" s="218" t="n">
        <v>27131.07</v>
      </c>
      <c r="C18" s="219" t="n">
        <v>-17400.82</v>
      </c>
      <c r="D18" s="220" t="n">
        <v>3150.29</v>
      </c>
      <c r="E18" s="218" t="n">
        <v>16133.3</v>
      </c>
      <c r="F18" s="219" t="n">
        <v>-20600.82</v>
      </c>
      <c r="G18" s="221" t="n">
        <v>27735.72</v>
      </c>
      <c r="H18" s="35"/>
      <c r="I18" s="36" t="s">
        <v>52</v>
      </c>
      <c r="J18" s="0" t="n">
        <v>42</v>
      </c>
      <c r="K18" s="2" t="n">
        <v>9.85782</v>
      </c>
      <c r="L18" s="2" t="n">
        <v>32.14218</v>
      </c>
    </row>
    <row r="19" customFormat="false" ht="12.75" hidden="false" customHeight="false" outlineLevel="0" collapsed="false">
      <c r="A19" s="0" t="s">
        <v>1333</v>
      </c>
      <c r="B19" s="218" t="n">
        <v>34617.91</v>
      </c>
      <c r="C19" s="219" t="n">
        <v>-11695.35</v>
      </c>
      <c r="D19" s="220" t="n">
        <v>26072.85</v>
      </c>
      <c r="E19" s="218" t="n">
        <v>102061.66</v>
      </c>
      <c r="F19" s="219" t="n">
        <v>-33894.33</v>
      </c>
      <c r="G19" s="221" t="n">
        <v>95903.05</v>
      </c>
      <c r="H19" s="35"/>
      <c r="I19" s="36" t="s">
        <v>56</v>
      </c>
      <c r="J19" s="0" t="n">
        <v>84</v>
      </c>
      <c r="K19" s="2" t="n">
        <v>19.71564</v>
      </c>
      <c r="L19" s="2" t="n">
        <v>64.28436</v>
      </c>
    </row>
    <row r="20" customFormat="false" ht="12.75" hidden="false" customHeight="false" outlineLevel="0" collapsed="false">
      <c r="A20" s="0" t="s">
        <v>49</v>
      </c>
      <c r="B20" s="218" t="n">
        <v>66162.31</v>
      </c>
      <c r="C20" s="219" t="n">
        <v>-61978.72</v>
      </c>
      <c r="D20" s="220" t="n">
        <v>30256.44</v>
      </c>
      <c r="E20" s="218" t="n">
        <v>9260.5</v>
      </c>
      <c r="F20" s="219" t="n">
        <v>-25729.24</v>
      </c>
      <c r="G20" s="221" t="n">
        <v>79434.31</v>
      </c>
      <c r="H20" s="35"/>
      <c r="I20" s="36" t="s">
        <v>54</v>
      </c>
      <c r="J20" s="0" t="n">
        <v>84</v>
      </c>
      <c r="K20" s="2" t="n">
        <v>19.71564</v>
      </c>
      <c r="L20" s="2" t="n">
        <v>64.28436</v>
      </c>
    </row>
    <row r="21" customFormat="false" ht="12.75" hidden="false" customHeight="false" outlineLevel="0" collapsed="false">
      <c r="A21" s="0" t="s">
        <v>51</v>
      </c>
      <c r="B21" s="218" t="n">
        <v>23872.2</v>
      </c>
      <c r="C21" s="219" t="n">
        <v>-34541.12</v>
      </c>
      <c r="D21" s="220" t="n">
        <v>19587.52</v>
      </c>
      <c r="E21" s="218" t="n">
        <v>79418.41</v>
      </c>
      <c r="F21" s="219" t="n">
        <v>-90424.32</v>
      </c>
      <c r="G21" s="221" t="n">
        <v>68428.4</v>
      </c>
      <c r="H21" s="35"/>
      <c r="I21" s="36" t="s">
        <v>46</v>
      </c>
      <c r="J21" s="0" t="n">
        <v>45</v>
      </c>
      <c r="K21" s="2" t="n">
        <v>10.56195</v>
      </c>
      <c r="L21" s="2" t="n">
        <v>34.43805</v>
      </c>
      <c r="N21" s="341" t="n">
        <v>400.76679</v>
      </c>
    </row>
    <row r="22" customFormat="false" ht="12.75" hidden="false" customHeight="false" outlineLevel="0" collapsed="false">
      <c r="A22" s="0" t="s">
        <v>53</v>
      </c>
      <c r="B22" s="218" t="n">
        <v>179191.62</v>
      </c>
      <c r="C22" s="219" t="n">
        <v>-14175.82</v>
      </c>
      <c r="D22" s="220" t="n">
        <v>184603.32</v>
      </c>
      <c r="E22" s="218" t="n">
        <v>178439.6</v>
      </c>
      <c r="F22" s="219" t="n">
        <v>-18452.8</v>
      </c>
      <c r="G22" s="221" t="n">
        <v>228415.2</v>
      </c>
      <c r="H22" s="35"/>
      <c r="I22" s="36" t="s">
        <v>36</v>
      </c>
      <c r="J22" s="0" t="n">
        <v>48</v>
      </c>
      <c r="K22" s="2" t="n">
        <v>11.26608</v>
      </c>
      <c r="L22" s="2" t="n">
        <v>36.73392</v>
      </c>
      <c r="N22" s="342" t="n">
        <v>33.3972325</v>
      </c>
    </row>
    <row r="23" customFormat="false" ht="12.75" hidden="false" customHeight="false" outlineLevel="0" collapsed="false">
      <c r="A23" s="0" t="s">
        <v>55</v>
      </c>
      <c r="B23" s="218" t="n">
        <v>15475.96</v>
      </c>
      <c r="C23" s="219" t="n">
        <v>-16961.34</v>
      </c>
      <c r="D23" s="220" t="n">
        <v>183117.94</v>
      </c>
      <c r="E23" s="218" t="n">
        <v>22052.39</v>
      </c>
      <c r="F23" s="219" t="n">
        <v>-21692.25</v>
      </c>
      <c r="G23" s="221" t="n">
        <v>228775.34</v>
      </c>
      <c r="H23" s="35"/>
      <c r="I23" s="36" t="s">
        <v>50</v>
      </c>
      <c r="J23" s="0" t="n">
        <v>48</v>
      </c>
      <c r="K23" s="2" t="n">
        <v>11.26608</v>
      </c>
      <c r="L23" s="2" t="n">
        <v>36.73392</v>
      </c>
    </row>
    <row r="24" customFormat="false" ht="12.75" hidden="false" customHeight="false" outlineLevel="0" collapsed="false">
      <c r="A24" s="47" t="s">
        <v>67</v>
      </c>
      <c r="B24" s="224" t="n">
        <v>446314.05</v>
      </c>
      <c r="C24" s="225" t="n">
        <v>-263196.11</v>
      </c>
      <c r="D24" s="343" t="n">
        <v>183117.94</v>
      </c>
      <c r="E24" s="224" t="n">
        <v>545372.04</v>
      </c>
      <c r="F24" s="225" t="n">
        <v>-316596.7</v>
      </c>
      <c r="G24" s="343" t="n">
        <v>228775.34</v>
      </c>
      <c r="H24" s="35"/>
      <c r="I24" s="227"/>
      <c r="J24" s="227" t="n">
        <v>351</v>
      </c>
      <c r="K24" s="344" t="n">
        <v>82.38321</v>
      </c>
      <c r="L24" s="344" t="n">
        <v>268.61679</v>
      </c>
      <c r="M24" s="344" t="n">
        <v>86.05</v>
      </c>
      <c r="N24" s="344" t="n">
        <v>46.1</v>
      </c>
    </row>
    <row r="25" customFormat="false" ht="12.75" hidden="false" customHeight="false" outlineLevel="0" collapsed="false">
      <c r="A25" s="345" t="n">
        <v>12</v>
      </c>
      <c r="B25" s="346" t="n">
        <v>37192.8375</v>
      </c>
      <c r="C25" s="347" t="n">
        <v>-21933.0091666667</v>
      </c>
      <c r="D25" s="347"/>
      <c r="E25" s="347" t="n">
        <v>45447.67</v>
      </c>
      <c r="F25" s="347" t="n">
        <v>-26383.0583333333</v>
      </c>
      <c r="G25" s="347" t="n">
        <v>19064.6116666667</v>
      </c>
      <c r="H25" s="57"/>
      <c r="I25" s="229"/>
      <c r="J25" s="347" t="n">
        <v>29.25</v>
      </c>
      <c r="K25" s="347" t="n">
        <v>6.8652675</v>
      </c>
      <c r="L25" s="347" t="n">
        <v>22.3847325</v>
      </c>
      <c r="M25" s="347" t="n">
        <v>7.17083333333333</v>
      </c>
      <c r="N25" s="347" t="n">
        <v>3.84166666666667</v>
      </c>
    </row>
  </sheetData>
  <hyperlinks>
    <hyperlink ref="D3" r:id="rId1" display="/media/m/depo_ssd/aa/hes2020/kira/sozlesmeler/2_sanayi/Sanayi_G_300m2_mermer/Sanayi_2_275m2_kaportacı/HSP dursun .ods"/>
    <hyperlink ref="D4" r:id="rId2" display="/media/m/438C5BC92CEF8C4E/deeppoo_pc/aa/hes2020/Account/2022/2022 cepesas/2022 çedaş hesabı.ods"/>
    <hyperlink ref="D5" r:id="rId3" display="/media/m/438C5BC92CEF8C4E/deeppoo_pc/aa/hes2020/Account/2022/2022 cepesas/2022 susayac hesabı.ods"/>
  </hyperlinks>
  <printOptions headings="false" gridLines="false" gridLinesSet="true" horizontalCentered="false" verticalCentered="false"/>
  <pageMargins left="0" right="0" top="0.39375" bottom="0.39375" header="0" footer="0"/>
  <pageSetup paperSize="77" scale="100" fitToWidth="1" fitToHeight="1" pageOrder="overThenDown" orientation="landscape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LibreOffice/24.2.5.2$Linux_X86_64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2022-03-04T11:30:59Z</dcterms:created>
  <dc:creator>m</dc:creator>
  <dc:description/>
  <dc:language>tr-TR</dc:language>
  <cp:lastModifiedBy/>
  <cp:lastPrinted>2023-12-11T05:55:06Z</cp:lastPrinted>
  <dcterms:modified xsi:type="dcterms:W3CDTF">2025-01-11T09:18:37Z</dcterms:modified>
  <cp:revision>271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