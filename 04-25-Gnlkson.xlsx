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601F25A-6282-43A9-81A6-0BC88FF8C1FA}" xr6:coauthVersionLast="47" xr6:coauthVersionMax="47" xr10:uidLastSave="{00000000-0000-0000-0000-000000000000}"/>
  <bookViews>
    <workbookView xWindow="-120" yWindow="-120" windowWidth="29040" windowHeight="15720" tabRatio="839" activeTab="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7" i="10" l="1"/>
  <c r="C17" i="1" l="1"/>
  <c r="C14" i="1"/>
  <c r="C11" i="1"/>
  <c r="C6" i="1"/>
  <c r="C75" i="15"/>
  <c r="C73" i="15"/>
  <c r="C69" i="15"/>
  <c r="C66" i="15"/>
  <c r="C63" i="15"/>
  <c r="H157" i="11"/>
  <c r="I157" i="11" s="1"/>
  <c r="F159" i="11"/>
  <c r="F158" i="11"/>
  <c r="F157" i="11"/>
  <c r="B151" i="11" l="1"/>
  <c r="D157" i="11"/>
  <c r="D158" i="11" s="1"/>
  <c r="D159" i="11" s="1"/>
  <c r="G170" i="18"/>
  <c r="E128" i="18"/>
  <c r="E114" i="19"/>
  <c r="E114" i="20"/>
  <c r="I143" i="11"/>
  <c r="I153" i="14"/>
  <c r="G141" i="11"/>
  <c r="G147" i="11" s="1"/>
  <c r="E141" i="11"/>
  <c r="F117" i="11"/>
  <c r="F118" i="11" s="1"/>
  <c r="G118" i="11" s="1"/>
  <c r="G116" i="11"/>
  <c r="E116" i="11"/>
  <c r="L141" i="11"/>
  <c r="G159" i="11"/>
  <c r="C138" i="11"/>
  <c r="E129" i="11"/>
  <c r="F128" i="11"/>
  <c r="F129" i="11" s="1"/>
  <c r="G129" i="11" s="1"/>
  <c r="E128" i="11"/>
  <c r="G127" i="11"/>
  <c r="E127" i="11"/>
  <c r="G124" i="11"/>
  <c r="E124" i="11"/>
  <c r="G123" i="11"/>
  <c r="E123" i="11"/>
  <c r="G122" i="11"/>
  <c r="E122" i="11"/>
  <c r="G121" i="11"/>
  <c r="E121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29" i="11" l="1"/>
  <c r="G158" i="11"/>
  <c r="H158" i="11" s="1"/>
  <c r="I158" i="11" s="1"/>
  <c r="H159" i="11"/>
  <c r="I141" i="11"/>
  <c r="J141" i="11" s="1"/>
  <c r="M141" i="11" s="1"/>
  <c r="G117" i="11"/>
  <c r="I116" i="11"/>
  <c r="E125" i="11"/>
  <c r="H125" i="11"/>
  <c r="I118" i="11"/>
  <c r="I122" i="11"/>
  <c r="I123" i="11"/>
  <c r="I124" i="11"/>
  <c r="I127" i="11"/>
  <c r="E130" i="11"/>
  <c r="I121" i="11"/>
  <c r="H124" i="11"/>
  <c r="G128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59" i="11" l="1"/>
  <c r="I160" i="11" s="1"/>
  <c r="D18" i="1"/>
  <c r="G112" i="11"/>
  <c r="G106" i="11" s="1"/>
  <c r="E119" i="11"/>
  <c r="I147" i="11"/>
  <c r="H118" i="11"/>
  <c r="I117" i="11"/>
  <c r="I119" i="11" s="1"/>
  <c r="H119" i="11"/>
  <c r="H130" i="11"/>
  <c r="H129" i="11"/>
  <c r="I128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0" i="15"/>
  <c r="F141" i="15" s="1"/>
  <c r="F142" i="15" s="1"/>
  <c r="F143" i="15" s="1"/>
  <c r="F144" i="15" s="1"/>
  <c r="E100" i="15"/>
  <c r="F90" i="15"/>
  <c r="F91" i="15" s="1"/>
  <c r="F92" i="15" s="1"/>
  <c r="F93" i="15" s="1"/>
  <c r="F94" i="15" s="1"/>
  <c r="F95" i="15" s="1"/>
  <c r="F98" i="15" s="1"/>
  <c r="F9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62" i="10"/>
  <c r="E8" i="10" s="1"/>
  <c r="G8" i="10" s="1"/>
  <c r="E7" i="10"/>
  <c r="H4" i="10"/>
  <c r="H5" i="10" s="1"/>
  <c r="H6" i="10" s="1"/>
  <c r="F2" i="10"/>
  <c r="D2" i="10"/>
  <c r="B7" i="2" s="1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7" i="11"/>
  <c r="H135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0" i="15"/>
  <c r="F101" i="15" s="1"/>
  <c r="F102" i="15" s="1"/>
  <c r="F103" i="15" s="1"/>
  <c r="F104" i="15" s="1"/>
  <c r="F105" i="15" s="1"/>
  <c r="F106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5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6" i="15"/>
  <c r="E121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8" i="15" s="1"/>
  <c r="C57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6" i="15"/>
  <c r="F146" i="15" s="1"/>
  <c r="F147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F19" i="1"/>
  <c r="F21" i="1" s="1"/>
  <c r="F23" i="1" s="1"/>
  <c r="F25" i="1" s="1"/>
  <c r="F27" i="1" s="1"/>
  <c r="F109" i="15"/>
  <c r="F110" i="15" s="1"/>
  <c r="F111" i="15" s="1"/>
  <c r="F112" i="15" s="1"/>
  <c r="F113" i="15" s="1"/>
  <c r="F114" i="15" s="1"/>
  <c r="F115" i="15" s="1"/>
  <c r="E107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59" i="15" l="1"/>
  <c r="F60" i="15" s="1"/>
  <c r="F61" i="15" s="1"/>
  <c r="F62" i="15" s="1"/>
  <c r="F64" i="15" s="1"/>
  <c r="F65" i="15" s="1"/>
  <c r="F67" i="15" s="1"/>
  <c r="F68" i="15" s="1"/>
  <c r="F70" i="15" s="1"/>
  <c r="F71" i="15" s="1"/>
  <c r="F72" i="15" s="1"/>
  <c r="F74" i="15" s="1"/>
  <c r="F76" i="15" s="1"/>
  <c r="F77" i="15" s="1"/>
  <c r="F78" i="15" s="1"/>
  <c r="F79" i="15" s="1"/>
  <c r="F80" i="15" s="1"/>
  <c r="F81" i="15" s="1"/>
  <c r="F82" i="15" s="1"/>
  <c r="F83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6" i="15" l="1"/>
  <c r="F117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<sst xmlns="http://schemas.openxmlformats.org/spreadsheetml/2006/main" count="4761" uniqueCount="1807">
  <si>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</si>
  <si>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</si>
  <si>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</si>
  <si>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</si>
  <si>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</si>
  <si>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</si>
  <si>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</si>
  <si>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</si>
  <si>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</si>
  <si>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</si>
  <si>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</si>
  <si>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</si>
  <si>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</si>
  <si>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</si>
  <si>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</si>
  <si>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</si>
  <si>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</si>
  <si>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</si>
  <si>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</si>
  <si>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</si>
  <si>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</si>
  <si>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</si>
  <si>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</si>
  <si>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</si>
  <si>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</si>
  <si>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</si>
  <si>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</si>
  <si>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</si>
  <si>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</si>
  <si>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</si>
  <si>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</si>
  <si>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</si>
  <si>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</si>
  <si>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</si>
  <si>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</si>
  <si>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</si>
  <si>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</si>
  <si>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</si>
  <si>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</si>
  <si>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</si>
  <si>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</si>
  <si>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</si>
  <si>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</si>
  <si>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</si>
  <si>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</si>
  <si>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</si>
  <si>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</si>
  <si>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</si>
  <si>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</si>
  <si>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</si>
  <si>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</si>
  <si>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</si>
  <si>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</si>
  <si>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</si>
  <si>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</si>
  <si>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</si>
  <si>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</si>
  <si>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</si>
  <si>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</si>
  <si>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</si>
  <si>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</si>
  <si>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</si>
  <si>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</si>
  <si>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</si>
  <si>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</si>
  <si>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</si>
  <si>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</si>
  <si>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</si>
  <si>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</si>
  <si>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</si>
  <si>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</si>
  <si>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</si>
  <si>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</si>
  <si>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</si>
  <si>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</si>
  <si>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</si>
  <si>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</si>
  <si>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</si>
  <si>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</si>
  <si>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</si>
  <si>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</si>
  <si>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</si>
  <si>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</si>
  <si>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</si>
  <si>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</si>
  <si>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</si>
  <si>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</si>
  <si>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</si>
  <si>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</si>
  <si>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</si>
  <si>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</si>
  <si>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</si>
  <si>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</si>
  <si>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</si>
  <si>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</si>
  <si>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</si>
  <si>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</si>
  <si>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</si>
  <si>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</si>
  <si>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</si>
  <si>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</si>
  <si>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</si>
  <si>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</si>
  <si>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</si>
  <si>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</si>
  <si>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</si>
  <si>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</si>
  <si>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</si>
  <si>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</si>
  <si>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</si>
  <si>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</si>
  <si>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</si>
  <si>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</si>
  <si>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</si>
  <si>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</si>
  <si>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</si>
  <si>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</si>
  <si>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</si>
  <si>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</si>
  <si>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</si>
  <si>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</si>
  <si>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</si>
  <si>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</si>
  <si>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</si>
  <si>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</si>
  <si>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</si>
  <si>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</si>
  <si>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</si>
  <si>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</si>
  <si>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</si>
  <si>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</si>
  <si>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</si>
  <si>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</si>
  <si>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</si>
  <si>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</si>
  <si>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</si>
  <si>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</si>
  <si>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</si>
  <si>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</si>
  <si>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</si>
  <si>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</si>
  <si>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</si>
  <si>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</si>
  <si>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</si>
  <si>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</si>
  <si>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</si>
  <si>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</si>
  <si>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</si>
  <si>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</si>
  <si>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</si>
  <si>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</si>
  <si>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</si>
  <si>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</si>
  <si>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</si>
  <si>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</si>
  <si>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</si>
  <si>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</si>
  <si>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</si>
  <si>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</si>
  <si>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</si>
  <si>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</si>
  <si>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</si>
  <si>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</si>
  <si>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</si>
  <si>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</si>
  <si>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</si>
  <si>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</si>
  <si>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</si>
  <si>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</si>
  <si>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</si>
  <si>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</si>
  <si>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</si>
  <si>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</si>
  <si>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</si>
  <si>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</si>
  <si>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</si>
  <si>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</si>
  <si>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</si>
  <si>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</si>
  <si>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</si>
  <si>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</si>
  <si>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</si>
  <si>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</si>
  <si>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</si>
  <si>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</si>
  <si>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</si>
  <si>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</si>
  <si>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</si>
  <si>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</si>
  <si>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</si>
  <si>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</si>
  <si>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</si>
  <si>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</si>
  <si>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</si>
  <si>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</si>
  <si>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</si>
  <si>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</si>
  <si>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</si>
  <si>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</si>
  <si>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</si>
  <si>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</si>
  <si>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</si>
  <si>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</si>
  <si>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</si>
  <si>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</si>
  <si>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</si>
  <si>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</si>
  <si>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</si>
  <si>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</si>
  <si>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</si>
  <si>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</si>
  <si>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</si>
  <si>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</si>
  <si>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</si>
  <si>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</si>
  <si>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</si>
  <si>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</si>
  <si>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</si>
  <si>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</si>
  <si>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</si>
  <si>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</si>
  <si>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</si>
  <si>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</si>
  <si>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</si>
  <si>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</si>
  <si>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</si>
  <si>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</si>
  <si>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</si>
  <si>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</si>
  <si>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</si>
  <si>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</si>
  <si>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</si>
  <si>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</si>
  <si>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</si>
  <si>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</si>
  <si>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</si>
  <si>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</si>
  <si>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</si>
  <si>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</si>
  <si>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</si>
  <si>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</si>
  <si>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</si>
  <si>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</si>
  <si>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</si>
  <si>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</si>
  <si>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</si>
  <si>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</si>
  <si>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</si>
  <si>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</si>
  <si>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</si>
  <si>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</si>
  <si>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</si>
  <si>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</si>
  <si>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</si>
  <si>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</si>
  <si>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</si>
  <si>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</si>
  <si>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</si>
  <si>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</si>
  <si>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</si>
  <si>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</si>
  <si>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</si>
  <si>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</si>
  <si>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</si>
  <si>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</si>
  <si>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</si>
  <si>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</si>
  <si>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</si>
  <si>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</si>
  <si>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</si>
  <si>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</si>
  <si>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</si>
  <si>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</si>
  <si>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</si>
  <si>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</si>
  <si>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</si>
  <si>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</si>
  <si>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</si>
  <si>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</si>
  <si>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</si>
  <si>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</si>
  <si>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</si>
  <si>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</si>
  <si>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</si>
  <si>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</si>
  <si>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</si>
  <si>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</si>
  <si>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</si>
  <si>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</si>
  <si>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</si>
  <si>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</si>
  <si>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</si>
  <si>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</si>
  <si>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</si>
  <si>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</si>
  <si>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</si>
  <si>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</si>
  <si>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</si>
  <si>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</si>
  <si>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</si>
  <si>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</si>
  <si>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</si>
  <si>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</si>
  <si>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</si>
  <si>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</si>
  <si>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</si>
  <si>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</si>
  <si>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</si>
  <si>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</si>
  <si>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</si>
  <si>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</si>
  <si>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</si>
  <si>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</si>
  <si>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</si>
  <si>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</si>
  <si>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</si>
  <si>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</si>
  <si>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</si>
  <si>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</si>
  <si>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</si>
  <si>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</si>
  <si>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</si>
  <si>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</si>
  <si>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</si>
  <si>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</si>
  <si>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</si>
  <si>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</si>
  <si>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</si>
  <si>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</si>
  <si>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</si>
  <si>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</si>
  <si>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</si>
  <si>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</si>
  <si>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</si>
  <si>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</si>
  <si>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</si>
  <si>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</si>
  <si>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</si>
  <si>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</si>
  <si>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</si>
  <si>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</si>
  <si>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</si>
  <si>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</si>
  <si>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</si>
  <si>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</si>
  <si>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</si>
  <si>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</si>
  <si>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</si>
  <si>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</si>
  <si>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</si>
  <si>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</si>
  <si>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</si>
  <si>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</si>
  <si>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</si>
  <si>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</si>
  <si>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</si>
  <si>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</si>
  <si>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</si>
  <si>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</si>
  <si>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</si>
  <si>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</si>
  <si>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</si>
  <si>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</si>
  <si>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</si>
  <si>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</si>
  <si>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</si>
  <si>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</si>
  <si>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</si>
  <si>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</si>
  <si>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</si>
  <si>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</si>
  <si>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</si>
  <si>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</si>
  <si>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</si>
  <si>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</si>
  <si>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</si>
  <si>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</si>
  <si>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</si>
  <si>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</si>
  <si>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</si>
  <si>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</si>
  <si>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</si>
  <si>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</si>
  <si>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</si>
  <si>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</si>
  <si>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</si>
  <si>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</si>
  <si>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</si>
  <si>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</si>
  <si>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</si>
  <si>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</si>
  <si>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</si>
  <si>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</si>
  <si>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</si>
  <si>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</si>
  <si>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</si>
  <si>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</si>
  <si>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</si>
  <si>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</si>
  <si>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</si>
  <si>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</si>
  <si>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</si>
  <si>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</si>
  <si>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</si>
  <si>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</si>
  <si>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</si>
  <si>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</si>
  <si>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</si>
  <si>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</si>
  <si>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</si>
  <si>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</si>
  <si>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</si>
  <si>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</si>
  <si>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</si>
  <si>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</si>
  <si>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</si>
  <si>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</si>
  <si>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</si>
  <si>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</si>
  <si>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</si>
  <si>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</si>
  <si>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</si>
  <si>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</si>
  <si>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</si>
  <si>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</si>
  <si>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</si>
  <si>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</si>
  <si>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</si>
  <si>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</si>
  <si>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</si>
  <si>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</si>
  <si>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</si>
  <si>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</si>
  <si>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</si>
  <si>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</si>
  <si>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</si>
  <si>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</si>
  <si>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</si>
  <si>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</si>
  <si>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</si>
  <si>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</si>
  <si>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</si>
  <si>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</si>
  <si>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</si>
  <si>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</si>
  <si>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</si>
  <si>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</si>
  <si>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</si>
  <si>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</si>
  <si>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</si>
  <si>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</si>
  <si>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</si>
  <si>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</si>
  <si>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</si>
  <si>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</si>
  <si>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</si>
  <si>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</si>
  <si>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</si>
  <si>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</si>
  <si>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</si>
  <si>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</si>
  <si>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</si>
  <si>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</si>
  <si>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</si>
  <si>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</si>
  <si>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</si>
  <si>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</si>
  <si>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</si>
  <si>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</si>
  <si>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</si>
  <si>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</si>
  <si>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</si>
  <si>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</si>
  <si>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</si>
  <si>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</si>
  <si>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</si>
  <si>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</si>
  <si>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</si>
  <si>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</si>
  <si>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</si>
  <si>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</si>
  <si>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</si>
  <si>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</si>
  <si>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</si>
  <si>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</si>
  <si>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</si>
  <si>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</si>
  <si>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</si>
  <si>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</si>
  <si>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</si>
  <si>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</si>
  <si>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</si>
  <si>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</si>
  <si>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</si>
  <si>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</si>
  <si>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</si>
  <si>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</si>
  <si>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</si>
  <si>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</si>
  <si>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</si>
  <si>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</si>
  <si>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</si>
  <si>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</si>
  <si>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</si>
  <si>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</si>
  <si>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</si>
  <si>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</si>
  <si>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</si>
  <si>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</si>
  <si>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</si>
  <si>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</si>
  <si>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</si>
  <si>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</si>
  <si>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</si>
  <si>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</si>
  <si>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</si>
  <si>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</si>
  <si>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</si>
  <si>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</si>
  <si>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</si>
  <si>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</si>
  <si>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</si>
  <si>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</si>
  <si>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</si>
  <si>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</si>
  <si>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</si>
  <si>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</si>
  <si>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</si>
  <si>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</si>
  <si>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</si>
  <si>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</si>
  <si>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</si>
  <si>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</si>
  <si>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</si>
  <si>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</si>
  <si>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</si>
  <si>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</si>
  <si>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</si>
  <si>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</si>
  <si>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</si>
  <si>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</si>
  <si>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</si>
  <si>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</si>
  <si>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</si>
  <si>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</si>
  <si>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</si>
  <si>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</si>
  <si>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</si>
  <si>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</si>
  <si>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</si>
  <si>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</si>
  <si>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</si>
  <si>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</si>
  <si>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</si>
  <si>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</si>
  <si>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</si>
  <si>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</si>
  <si>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</si>
  <si>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</si>
  <si>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</si>
  <si>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</si>
  <si>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</si>
  <si>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</si>
  <si>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</si>
  <si>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</si>
  <si>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</si>
  <si>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</si>
  <si>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</si>
  <si>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</si>
  <si>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</si>
  <si>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</si>
  <si>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</si>
  <si>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</si>
  <si>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</si>
  <si>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</si>
  <si>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</si>
  <si>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</si>
  <si>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</si>
  <si>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</si>
  <si>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</si>
  <si>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</si>
  <si>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</si>
  <si>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</si>
  <si>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</si>
  <si>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</si>
  <si>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</si>
  <si>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</si>
  <si>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</si>
  <si>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</si>
  <si>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</si>
  <si>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</si>
  <si>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</si>
  <si>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</si>
  <si>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</si>
  <si>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</si>
  <si>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</si>
  <si>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</si>
  <si>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</si>
  <si>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</si>
  <si>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</si>
  <si>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</si>
  <si>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</si>
  <si>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</si>
  <si>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</si>
  <si>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</si>
  <si>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</si>
  <si>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</si>
  <si>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</si>
  <si>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</si>
  <si>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</si>
  <si>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</si>
  <si>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</si>
  <si>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</si>
  <si>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</si>
  <si>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</si>
  <si>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</si>
  <si>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</si>
  <si>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</si>
  <si>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</si>
  <si>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</si>
  <si>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</si>
  <si>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</si>
  <si>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</si>
  <si>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</si>
  <si>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</si>
  <si>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</si>
  <si>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</si>
  <si>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</si>
  <si>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</si>
  <si>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</si>
  <si>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</si>
  <si>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</si>
  <si>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</si>
  <si>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</si>
  <si>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</si>
  <si>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</si>
  <si>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</si>
  <si>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</si>
  <si>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</si>
  <si>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</si>
  <si>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</si>
  <si>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</si>
  <si>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</si>
  <si>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</si>
  <si>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</si>
  <si>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</si>
  <si>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</si>
  <si>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</si>
  <si>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</si>
  <si>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</si>
  <si>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</si>
  <si>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</si>
  <si>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</si>
  <si>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</si>
  <si>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</si>
  <si>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</si>
  <si>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</si>
  <si>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</si>
  <si>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</si>
  <si>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</si>
  <si>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</si>
  <si>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</si>
  <si>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</si>
  <si>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</si>
  <si>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</si>
  <si>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</si>
  <si>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</si>
  <si>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</si>
  <si>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</si>
  <si>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</si>
  <si>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</si>
  <si>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</si>
  <si>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</si>
  <si>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</si>
  <si>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</si>
  <si>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</si>
  <si>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</si>
  <si>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</si>
  <si>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</si>
  <si>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</si>
  <si>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</si>
  <si>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</si>
  <si>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</si>
  <si>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</si>
  <si>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</si>
  <si>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</si>
  <si>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</si>
  <si>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</si>
  <si>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</si>
  <si>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</si>
  <si>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</si>
  <si>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</si>
  <si>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</si>
  <si>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</si>
  <si>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</si>
  <si>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</si>
  <si>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</si>
  <si>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</si>
  <si>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</si>
  <si>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</si>
  <si>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</si>
  <si>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</si>
  <si>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</si>
  <si>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</si>
  <si>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</si>
  <si>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</si>
  <si>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</si>
  <si>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</si>
  <si>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</si>
  <si>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</si>
  <si>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</si>
  <si>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</si>
  <si>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</si>
  <si>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</si>
  <si>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</si>
  <si>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</si>
  <si>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</si>
  <si>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</si>
  <si>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</si>
  <si>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</si>
  <si>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</si>
  <si>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</si>
  <si>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</si>
  <si>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</si>
  <si>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</si>
  <si>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</si>
  <si>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</si>
  <si>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</si>
  <si>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</si>
  <si>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</si>
  <si>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</si>
  <si>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</si>
  <si>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</si>
  <si>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</si>
  <si>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</si>
  <si>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</si>
  <si>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</si>
  <si>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</si>
  <si>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</si>
  <si>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</si>
  <si>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</si>
  <si>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</si>
  <si>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</si>
  <si>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</si>
  <si>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</si>
  <si>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</si>
  <si>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</si>
  <si>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</si>
  <si>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</si>
  <si>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</si>
  <si>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</si>
  <si>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</si>
  <si>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</si>
  <si>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</si>
  <si>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</si>
  <si>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</si>
  <si>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</si>
  <si>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</si>
  <si>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</si>
  <si>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</si>
  <si>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</si>
  <si>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</si>
  <si>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</si>
  <si>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</si>
  <si>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</si>
  <si>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</si>
  <si>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</si>
  <si>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</si>
  <si>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</si>
  <si>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</si>
  <si>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</si>
  <si>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</si>
  <si>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</si>
  <si>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</si>
  <si>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</si>
  <si>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</si>
  <si>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</si>
  <si>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</si>
  <si>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</si>
  <si>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</si>
  <si>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</si>
  <si>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</si>
  <si>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</si>
  <si>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</si>
  <si>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</si>
  <si>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</si>
  <si>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</si>
  <si>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</si>
  <si>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</si>
  <si>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</si>
  <si>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</si>
  <si>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</si>
  <si>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</si>
  <si>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</si>
  <si>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</si>
  <si>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</si>
  <si>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</si>
  <si>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</si>
  <si>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</si>
  <si>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</si>
  <si>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</si>
  <si>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</si>
  <si>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</si>
  <si>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</si>
  <si>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</si>
  <si>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</si>
  <si>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</si>
  <si>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</si>
  <si>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</si>
  <si>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</si>
  <si>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</si>
  <si>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</si>
  <si>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</si>
  <si>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</si>
  <si>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</si>
  <si>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</si>
  <si>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</si>
  <si>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</si>
  <si>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</si>
  <si>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</si>
  <si>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</si>
  <si>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</si>
  <si>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</si>
  <si>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</si>
  <si>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</si>
  <si>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</si>
  <si>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</si>
  <si>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</si>
  <si>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</si>
  <si>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</si>
  <si>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</si>
  <si>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</si>
  <si>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</si>
  <si>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</si>
  <si>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</si>
  <si>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</si>
  <si>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</si>
  <si>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</si>
  <si>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</si>
  <si>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</si>
  <si>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</si>
  <si>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</si>
  <si>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</si>
  <si>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</si>
  <si>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</si>
  <si>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</si>
  <si>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</si>
  <si>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</si>
  <si>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</si>
  <si>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</si>
  <si>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</si>
  <si>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</si>
  <si>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</si>
  <si>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</si>
  <si>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</si>
  <si>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</si>
  <si>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</si>
  <si>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</si>
  <si>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</si>
  <si>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</si>
  <si>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</si>
  <si>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</si>
  <si>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</si>
  <si>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</si>
  <si>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</si>
  <si>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</si>
  <si>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</si>
  <si>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</si>
  <si>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</si>
  <si>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</si>
  <si>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</si>
  <si>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</si>
  <si>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</si>
  <si>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</si>
  <si>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</si>
  <si>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</si>
  <si>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</si>
  <si>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</si>
  <si>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</si>
  <si>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</si>
  <si>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</si>
  <si>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</si>
  <si>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</si>
  <si>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</si>
  <si>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</si>
  <si>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</si>
  <si>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</si>
  <si>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</si>
  <si>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</si>
  <si>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</si>
  <si>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</si>
  <si>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</si>
  <si>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</si>
  <si>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</si>
  <si>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</si>
  <si>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</si>
  <si>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</si>
  <si>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</si>
  <si>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</si>
  <si>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</si>
  <si>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</si>
  <si>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</si>
  <si>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</si>
  <si>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</si>
  <si>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</si>
  <si>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</si>
  <si>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</si>
  <si>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</si>
  <si>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</si>
  <si>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</si>
  <si>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</si>
  <si>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</si>
  <si>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</si>
  <si>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</si>
  <si>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</si>
  <si>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</si>
  <si>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</si>
  <si>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</si>
  <si>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</si>
  <si>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</si>
  <si>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</si>
  <si>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</si>
  <si>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</si>
  <si>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</si>
  <si>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</si>
  <si>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</si>
  <si>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</si>
  <si>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</si>
  <si>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</si>
  <si>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</si>
  <si>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</si>
  <si>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</si>
  <si>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</si>
  <si>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</si>
  <si>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</si>
  <si>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</si>
  <si>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</si>
  <si>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</si>
  <si>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</si>
  <si>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</si>
  <si>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</si>
  <si>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</si>
  <si>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</si>
  <si>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</si>
  <si>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</si>
  <si>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</si>
  <si>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</si>
  <si>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</si>
  <si>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</si>
  <si>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</si>
  <si>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</si>
  <si>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</si>
  <si>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</si>
  <si>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</si>
  <si>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</si>
  <si>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</si>
  <si>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</si>
  <si>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</si>
  <si>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</si>
  <si>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</si>
  <si>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</si>
  <si>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</si>
  <si>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</si>
  <si>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</si>
  <si>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</si>
  <si>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</si>
  <si>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</si>
  <si>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</si>
  <si>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</si>
  <si>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</si>
  <si>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</si>
  <si>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</si>
  <si>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</si>
  <si>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</si>
  <si>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</si>
  <si>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</si>
  <si>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</si>
  <si>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</si>
  <si>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</si>
  <si>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</si>
  <si>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</si>
  <si>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</si>
  <si>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</si>
  <si>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</si>
  <si>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</si>
  <si>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</si>
  <si>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</si>
  <si>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</si>
  <si>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</si>
  <si>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</si>
  <si>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</si>
  <si>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</si>
  <si>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</si>
  <si>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</si>
  <si>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</si>
  <si>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</si>
  <si>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</si>
  <si>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</si>
  <si>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</si>
  <si>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</si>
  <si>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</si>
  <si>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</si>
  <si>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</si>
  <si>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</si>
  <si>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</si>
  <si>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</si>
  <si>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</si>
  <si>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</si>
  <si>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</si>
  <si>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</si>
  <si>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</si>
  <si>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</si>
  <si>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</si>
  <si>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</si>
  <si>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</si>
  <si>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</si>
  <si>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</si>
  <si>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</si>
  <si>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</si>
  <si>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</si>
  <si>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</si>
  <si>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</si>
  <si>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</si>
  <si>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</si>
  <si>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</si>
  <si>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</si>
  <si>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</si>
  <si>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</si>
  <si>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</si>
  <si>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</si>
  <si>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</si>
  <si>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</si>
  <si>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</si>
  <si>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</si>
  <si>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</si>
  <si>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</si>
  <si>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</si>
  <si>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</si>
  <si>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</si>
  <si>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</si>
  <si>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</si>
  <si>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</si>
  <si>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</si>
  <si>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</si>
  <si>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</si>
  <si>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</si>
  <si>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</si>
  <si>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</si>
  <si>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</si>
  <si>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</si>
  <si>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</si>
  <si>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</si>
  <si>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</si>
  <si>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</si>
  <si>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</si>
  <si>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</si>
  <si>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</si>
  <si>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</si>
  <si>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</si>
  <si>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</si>
  <si>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</si>
  <si>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</si>
  <si>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</si>
  <si>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</si>
  <si>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</si>
  <si>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</si>
  <si>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</si>
  <si>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</si>
  <si>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</si>
  <si>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</si>
  <si>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</si>
  <si>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</si>
  <si>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</si>
  <si>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</si>
  <si>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</si>
  <si>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</si>
  <si>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</si>
  <si>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</si>
  <si>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</si>
  <si>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</si>
  <si>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</si>
  <si>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</si>
  <si>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</si>
  <si>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</si>
  <si>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</si>
  <si>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</si>
  <si>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</si>
  <si>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</si>
  <si>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</si>
  <si>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</si>
  <si>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</si>
  <si>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</si>
  <si>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</si>
  <si>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</si>
  <si>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</si>
  <si>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</si>
  <si>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</si>
  <si>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</si>
  <si>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</si>
  <si>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</si>
  <si>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</si>
  <si>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</si>
  <si>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</si>
  <si>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</si>
  <si>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</si>
  <si>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</si>
  <si>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</si>
  <si>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</si>
  <si>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</si>
  <si>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</si>
  <si>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</si>
  <si>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</si>
  <si>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</si>
  <si>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</si>
  <si>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</si>
  <si>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</si>
  <si>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</si>
  <si>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</si>
  <si>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</si>
  <si>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</si>
  <si>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</si>
  <si>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</si>
  <si>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</si>
  <si>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</si>
  <si>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</si>
  <si>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</si>
  <si>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</si>
  <si>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</si>
  <si>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</si>
  <si>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</si>
  <si>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</si>
  <si>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</si>
  <si>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</si>
  <si>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</si>
  <si>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</si>
  <si>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</si>
  <si>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</si>
  <si>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</si>
  <si>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</si>
  <si>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</si>
  <si>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</si>
  <si>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</si>
  <si>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</si>
  <si>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</si>
  <si>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</si>
  <si>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</si>
  <si>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</si>
  <si>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</si>
  <si>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</si>
  <si>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</si>
  <si>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</si>
  <si>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</si>
  <si>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</si>
  <si>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</si>
  <si>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</si>
  <si>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</si>
  <si>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</si>
  <si>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</si>
  <si>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</si>
  <si>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</si>
  <si>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</si>
  <si>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</si>
  <si>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</si>
  <si>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</si>
  <si>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</si>
  <si>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</si>
  <si>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</si>
  <si>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</si>
  <si>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</si>
  <si>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</si>
  <si>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</si>
  <si>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</si>
  <si>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</si>
  <si>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</si>
  <si>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</si>
  <si>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</si>
  <si>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</si>
  <si>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</si>
  <si>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</si>
  <si>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</si>
  <si>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</si>
  <si>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</si>
  <si>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</si>
  <si>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</si>
  <si>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</si>
  <si>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</si>
  <si>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</si>
  <si>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</si>
  <si>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</si>
  <si>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</si>
  <si>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</si>
  <si>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</si>
  <si>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</si>
  <si>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</si>
  <si>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</si>
  <si>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</si>
  <si>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</si>
  <si>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</si>
  <si>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</si>
  <si>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</si>
  <si>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</si>
  <si>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</si>
  <si>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</si>
  <si>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</si>
  <si>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</si>
  <si>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</si>
  <si>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</si>
  <si>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</si>
  <si>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</si>
  <si>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</si>
  <si>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</si>
  <si>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</si>
  <si>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</si>
  <si>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</si>
  <si>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</si>
  <si>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</si>
  <si>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</si>
  <si>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</si>
  <si>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</si>
  <si>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</si>
  <si>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</si>
  <si>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</si>
  <si>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</si>
  <si>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</si>
  <si>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</si>
  <si>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</si>
  <si>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</si>
  <si>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</si>
  <si>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</si>
  <si>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</si>
  <si>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</si>
  <si>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</si>
  <si>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</si>
  <si>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</si>
  <si>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</si>
  <si>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</si>
  <si>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</si>
  <si>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</si>
  <si>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</si>
  <si>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</si>
  <si>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</si>
  <si>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</si>
  <si>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</si>
  <si>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</si>
  <si>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</si>
  <si>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</si>
  <si>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</si>
  <si>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</si>
  <si>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</si>
  <si>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</si>
  <si>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</si>
  <si>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</si>
  <si>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</si>
  <si>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</si>
  <si>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</si>
  <si>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</si>
  <si>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</si>
  <si>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</si>
  <si>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</si>
  <si>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</si>
  <si>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</si>
  <si>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</si>
  <si>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</si>
  <si>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</si>
  <si>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</si>
  <si>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</si>
  <si>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</si>
  <si>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</si>
  <si>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</si>
  <si>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</si>
  <si>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</si>
  <si>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</si>
  <si>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</si>
  <si>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</si>
  <si>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</si>
  <si>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</si>
  <si>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</si>
  <si>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</si>
  <si>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</si>
  <si>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</si>
  <si>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</si>
  <si>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</si>
  <si>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</si>
  <si>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</si>
  <si>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</si>
  <si>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</si>
  <si>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</si>
  <si>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</si>
  <si>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</si>
  <si>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</si>
  <si>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</si>
  <si>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</si>
  <si>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</si>
  <si>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</si>
  <si>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</si>
  <si>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</si>
  <si>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</si>
  <si>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</si>
  <si>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</si>
  <si>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</si>
  <si>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</si>
  <si>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</si>
  <si>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</si>
  <si>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</si>
  <si>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</si>
  <si>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</si>
  <si>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</si>
  <si>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</si>
  <si>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</si>
  <si>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</si>
  <si>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</si>
  <si>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</si>
  <si>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</si>
  <si>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</si>
  <si>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</si>
  <si>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</si>
  <si>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</si>
  <si>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</si>
  <si>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</si>
  <si>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</si>
  <si>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</si>
  <si>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</si>
  <si>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</si>
  <si>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</si>
  <si>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</si>
  <si>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</si>
  <si>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</si>
  <si>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</si>
  <si>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</si>
  <si>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</si>
  <si>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</si>
  <si>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</si>
  <si>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</si>
  <si>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</si>
  <si>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</si>
  <si>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</si>
  <si>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</si>
  <si>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</si>
  <si>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</si>
  <si>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</si>
  <si>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</si>
  <si>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</si>
  <si>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</si>
  <si>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</si>
  <si>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</si>
  <si>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</si>
  <si>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</si>
  <si>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</si>
  <si>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</si>
  <si>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</si>
  <si>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</si>
  <si>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</si>
  <si>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</si>
  <si>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</si>
  <si>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</si>
  <si>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</si>
  <si>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</si>
  <si>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</si>
  <si>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</si>
  <si>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</si>
  <si>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</si>
  <si>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</si>
  <si>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</si>
  <si>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</si>
  <si>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</si>
  <si>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</si>
  <si>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</si>
  <si>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</si>
  <si>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</si>
  <si>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</si>
  <si>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</si>
  <si>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</si>
  <si>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</si>
  <si>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</si>
  <si>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</si>
  <si>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</si>
  <si>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</si>
  <si>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</si>
  <si>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</si>
  <si>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</si>
  <si>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</si>
  <si>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</si>
  <si>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</si>
  <si>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</si>
  <si>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</si>
  <si>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</si>
  <si>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</si>
  <si>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</si>
  <si>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</si>
  <si>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</si>
  <si>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</si>
  <si>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</si>
  <si>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</si>
  <si>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</si>
  <si>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</si>
  <si>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</si>
  <si>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</si>
  <si>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</si>
  <si>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</si>
  <si>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</si>
  <si>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</si>
  <si>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</si>
  <si>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</si>
  <si>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</si>
  <si>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</si>
  <si>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</si>
  <si>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</si>
  <si>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</si>
  <si>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</si>
  <si>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</si>
  <si>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</si>
  <si>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</si>
  <si>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</si>
  <si>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</si>
  <si>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</si>
  <si>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</si>
  <si>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</si>
  <si>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</si>
  <si>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</si>
  <si>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</si>
  <si>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</si>
  <si>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</si>
  <si>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</si>
  <si>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</si>
  <si>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</si>
  <si>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</si>
  <si>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</si>
  <si>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</si>
  <si>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</si>
  <si>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</si>
  <si>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</si>
  <si>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</si>
  <si>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</si>
  <si>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</si>
  <si>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</si>
  <si>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</si>
  <si>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</si>
  <si>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</si>
  <si>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</si>
  <si>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</si>
  <si>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</si>
  <si>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</si>
  <si>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</si>
  <si>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</si>
  <si>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</si>
  <si>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</si>
  <si>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</si>
  <si>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</si>
  <si>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</si>
  <si>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</si>
  <si>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</si>
  <si>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</si>
  <si>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</si>
  <si>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</si>
  <si>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</si>
  <si>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</si>
  <si>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</si>
  <si>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</si>
  <si>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</si>
  <si>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</si>
  <si>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</si>
  <si>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</si>
  <si>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</si>
  <si>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</si>
  <si>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</si>
  <si>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</si>
  <si>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</si>
  <si>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</si>
  <si>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</si>
  <si>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</si>
  <si>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</si>
  <si>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</si>
  <si>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</si>
  <si>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</si>
  <si>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</si>
  <si>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</si>
  <si>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</si>
  <si>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</si>
  <si>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</si>
  <si>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</si>
  <si>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</si>
  <si>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</si>
  <si>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</si>
  <si>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</si>
  <si>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</si>
  <si>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</si>
  <si>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</si>
  <si>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</si>
  <si>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</si>
  <si>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</si>
  <si>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</si>
  <si>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</si>
  <si>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</si>
  <si>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</si>
  <si>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</si>
  <si>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</si>
  <si>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</si>
  <si>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</si>
  <si>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</si>
  <si>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</si>
  <si>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</si>
  <si>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</si>
  <si>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</si>
  <si>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</si>
  <si>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</si>
  <si>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</si>
  <si>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</si>
  <si>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</si>
  <si>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</si>
  <si>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</si>
  <si>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</si>
  <si>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</si>
  <si>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</si>
  <si>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</si>
  <si>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</si>
  <si>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</si>
  <si>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</si>
  <si>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</si>
  <si>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</si>
  <si>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</si>
  <si>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</si>
  <si>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</si>
  <si>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</si>
  <si>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</si>
  <si>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</si>
  <si>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</si>
  <si>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</si>
  <si>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</si>
  <si>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</si>
  <si>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</si>
  <si>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</si>
  <si>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</si>
  <si>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</si>
  <si>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</si>
  <si>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</si>
  <si>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</si>
  <si>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</si>
  <si>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</si>
  <si>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</si>
  <si>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</si>
  <si>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</si>
  <si>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</si>
  <si>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</si>
  <si>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</si>
  <si>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</si>
  <si>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</si>
  <si>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</si>
  <si>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</si>
  <si>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</si>
  <si>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</si>
  <si>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</si>
  <si>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</si>
  <si>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</si>
  <si>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</si>
  <si>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</si>
  <si>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</si>
  <si>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</si>
  <si>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</si>
  <si>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</si>
  <si>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</si>
  <si>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</si>
  <si>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</si>
  <si>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</si>
  <si>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</si>
  <si>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</si>
  <si>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</si>
  <si>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</si>
  <si>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</si>
  <si>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</si>
  <si>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</si>
  <si>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</si>
  <si>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</si>
  <si>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</si>
  <si>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</si>
  <si>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</si>
  <si>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</si>
  <si>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</si>
  <si>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</si>
  <si>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</si>
  <si>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</si>
  <si>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</si>
  <si>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</si>
  <si>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</si>
  <si>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</si>
  <si>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</si>
  <si>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</si>
  <si>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</si>
  <si>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</si>
  <si>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</si>
  <si>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</si>
  <si>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</si>
  <si>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</si>
  <si>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</si>
  <si>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</si>
  <si>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</si>
  <si>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</si>
  <si>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</si>
  <si>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</si>
  <si>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</si>
  <si>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</si>
  <si>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</si>
  <si>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</si>
  <si>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</si>
  <si>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</si>
  <si>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</si>
  <si>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</si>
  <si>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</si>
  <si>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</si>
  <si>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</si>
  <si>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</si>
  <si>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</si>
  <si>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</si>
  <si>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</si>
  <si>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</si>
  <si>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</si>
  <si>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</si>
  <si>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</si>
  <si>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</si>
  <si>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</si>
  <si>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</si>
  <si>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</si>
  <si>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</si>
  <si>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</si>
  <si>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</si>
  <si>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</si>
  <si>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</si>
  <si>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</si>
  <si>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</si>
  <si>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</si>
  <si>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</si>
  <si>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</si>
  <si>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</si>
  <si>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</si>
  <si>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</si>
  <si>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</si>
  <si>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</si>
  <si>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</si>
  <si>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</si>
  <si>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</si>
  <si>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</si>
  <si>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</si>
  <si>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</si>
  <si>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</si>
  <si>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</si>
  <si>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</si>
  <si>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</si>
  <si>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</si>
  <si>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</si>
  <si>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</si>
  <si>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</si>
  <si>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</si>
  <si>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</si>
  <si>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</si>
  <si>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</si>
  <si>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</si>
  <si>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</si>
  <si>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</si>
  <si>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</si>
  <si>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</si>
  <si>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</si>
  <si>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</si>
  <si>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</si>
  <si>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</si>
  <si>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</si>
  <si>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</si>
  <si>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</si>
  <si>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</si>
  <si>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</si>
  <si>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</si>
  <si>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</si>
  <si>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</si>
  <si>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</si>
  <si>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</si>
  <si>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</si>
  <si>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</si>
  <si>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</si>
  <si>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</si>
  <si>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</si>
  <si>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</si>
  <si>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</si>
  <si>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</si>
  <si>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</si>
  <si>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</si>
  <si>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</si>
  <si>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</si>
  <si>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</si>
  <si>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</si>
  <si>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</si>
  <si>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</si>
  <si>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</si>
  <si>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</si>
  <si>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</si>
  <si>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</si>
  <si>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</si>
  <si>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</si>
  <si>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</si>
  <si>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</si>
  <si>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</si>
  <si>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</si>
  <si>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</si>
  <si>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</si>
  <si>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</si>
  <si>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</si>
  <si>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</si>
  <si>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</si>
  <si>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</si>
  <si>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</si>
  <si>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</si>
  <si>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</si>
  <si>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</si>
  <si>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</si>
  <si>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</si>
  <si>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</si>
  <si>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</si>
  <si>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</si>
  <si>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</si>
  <si>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</si>
  <si>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</si>
  <si>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</si>
  <si>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</si>
  <si>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</si>
  <si>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</si>
  <si>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</si>
  <si>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</si>
  <si>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</si>
  <si>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</si>
  <si>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</si>
  <si>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</si>
  <si>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</si>
  <si>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</si>
  <si>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</si>
  <si>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</si>
  <si>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</si>
  <si>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</si>
  <si>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</si>
  <si>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</si>
  <si>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</si>
  <si>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</si>
  <si>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</si>
  <si>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</si>
  <si>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</si>
  <si>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</si>
  <si>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</si>
  <si>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</si>
  <si>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</si>
  <si>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</si>
  <si>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</si>
  <si>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</si>
  <si>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</si>
  <si>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</si>
  <si>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</si>
  <si>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</si>
  <si>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</si>
  <si>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</si>
  <si>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</si>
  <si>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</si>
  <si>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Pervin Kredi sordu- 300000 TL veriyolarmış 450000 TL ödemesi varmış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</si>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</sst>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4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4" fontId="0" fillId="0" borderId="0" xfId="0" applyNumberFormat="1" applyFill="1"/>
    <xf numFmtId="175" fontId="25" fillId="0" borderId="0" xfId="0" applyNumberFormat="1" applyFont="1" applyFill="1"/>
    <xf numFmtId="174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  <xf numFmtId="173" fontId="0" fillId="0" borderId="0" xfId="0" applyNumberFormat="1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0" fontId="23" fillId="40" borderId="0" xfId="0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45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19" zoomScale="175" zoomScaleNormal="175" workbookViewId="0">
      <selection activeCell="H11" sqref="H11:K2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504" t="s">
        <v>1734</v>
      </c>
    </row>
    <row r="5" spans="1:6">
      <c r="A5" s="1">
        <v>45657</v>
      </c>
      <c r="B5" s="8" t="s">
        <v>1733</v>
      </c>
      <c r="F5" s="505">
        <v>257330</v>
      </c>
    </row>
    <row r="6" spans="1:6" s="11" customFormat="1">
      <c r="A6" s="536"/>
      <c r="B6" s="537" t="s">
        <v>1773</v>
      </c>
      <c r="C6" s="538">
        <f>35800/2898</f>
        <v>12.353347135955831</v>
      </c>
      <c r="D6" s="539" t="s">
        <v>233</v>
      </c>
      <c r="E6" s="539"/>
      <c r="F6" s="539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6">
        <v>45667</v>
      </c>
      <c r="B8" s="507" t="s">
        <v>5</v>
      </c>
      <c r="C8" s="508"/>
      <c r="D8" s="509">
        <v>20000</v>
      </c>
      <c r="E8" s="509"/>
      <c r="F8" s="510">
        <f t="shared" ref="F8:F19" si="0">F7+D8-E8</f>
        <v>277330</v>
      </c>
    </row>
    <row r="9" spans="1:6" s="11" customFormat="1">
      <c r="A9" s="511">
        <v>45672</v>
      </c>
      <c r="B9" s="512" t="s">
        <v>1584</v>
      </c>
      <c r="C9" s="513"/>
      <c r="D9" s="514"/>
      <c r="E9" s="515">
        <v>25000</v>
      </c>
      <c r="F9" s="135">
        <f t="shared" si="0"/>
        <v>252330</v>
      </c>
    </row>
    <row r="10" spans="1:6" ht="13.5" thickBot="1">
      <c r="A10" s="516">
        <v>45672</v>
      </c>
      <c r="B10" s="517" t="s">
        <v>1736</v>
      </c>
      <c r="C10" s="517"/>
      <c r="D10" s="518"/>
      <c r="E10" s="519">
        <v>31000</v>
      </c>
      <c r="F10" s="525">
        <f t="shared" si="0"/>
        <v>221330</v>
      </c>
    </row>
    <row r="11" spans="1:6" s="11" customFormat="1" ht="13.5" thickBot="1">
      <c r="A11" s="536"/>
      <c r="B11" s="537" t="s">
        <v>1775</v>
      </c>
      <c r="C11" s="538">
        <f>36000/3045</f>
        <v>11.822660098522167</v>
      </c>
      <c r="D11" s="539" t="s">
        <v>233</v>
      </c>
      <c r="E11" s="539"/>
      <c r="F11" s="539"/>
    </row>
    <row r="12" spans="1:6">
      <c r="A12" s="520">
        <v>45703</v>
      </c>
      <c r="B12" s="521" t="s">
        <v>1737</v>
      </c>
      <c r="C12" s="521"/>
      <c r="D12" s="131"/>
      <c r="E12" s="131"/>
      <c r="F12" s="510">
        <f>F10+D12-E12</f>
        <v>221330</v>
      </c>
    </row>
    <row r="13" spans="1:6" s="11" customFormat="1" ht="13.5" thickBot="1">
      <c r="A13" s="516">
        <v>45709</v>
      </c>
      <c r="B13" s="517" t="s">
        <v>815</v>
      </c>
      <c r="C13" s="517"/>
      <c r="D13" s="518"/>
      <c r="E13" s="519">
        <v>26000</v>
      </c>
      <c r="F13" s="525">
        <f t="shared" si="0"/>
        <v>195330</v>
      </c>
    </row>
    <row r="14" spans="1:6" s="11" customFormat="1" ht="13.5" thickBot="1">
      <c r="A14" s="536"/>
      <c r="B14" s="537" t="s">
        <v>1776</v>
      </c>
      <c r="C14" s="538">
        <f>26000/3413</f>
        <v>7.6179314386170525</v>
      </c>
      <c r="D14" s="539" t="s">
        <v>233</v>
      </c>
      <c r="E14" s="539"/>
      <c r="F14" s="539"/>
    </row>
    <row r="15" spans="1:6">
      <c r="A15" s="520">
        <v>45731</v>
      </c>
      <c r="B15" s="521" t="s">
        <v>1585</v>
      </c>
      <c r="C15" s="521"/>
      <c r="D15" s="131"/>
      <c r="E15" s="131"/>
      <c r="F15" s="510">
        <f>F13+D15-E15</f>
        <v>195330</v>
      </c>
    </row>
    <row r="16" spans="1:6" s="11" customFormat="1" ht="13.5" thickBot="1">
      <c r="A16" s="516">
        <v>45741</v>
      </c>
      <c r="B16" s="517" t="s">
        <v>815</v>
      </c>
      <c r="C16" s="517"/>
      <c r="D16" s="518"/>
      <c r="E16" s="519">
        <v>36000</v>
      </c>
      <c r="F16" s="525">
        <f t="shared" si="0"/>
        <v>159330</v>
      </c>
    </row>
    <row r="17" spans="1:6" s="11" customFormat="1" ht="13.5" thickBot="1">
      <c r="A17" s="536"/>
      <c r="B17" s="537" t="s">
        <v>1777</v>
      </c>
      <c r="C17" s="538">
        <f>36000/3650</f>
        <v>9.8630136986301373</v>
      </c>
      <c r="D17" s="539" t="s">
        <v>233</v>
      </c>
      <c r="E17" s="539"/>
      <c r="F17" s="539"/>
    </row>
    <row r="18" spans="1:6" s="11" customFormat="1">
      <c r="A18" s="520">
        <v>45757</v>
      </c>
      <c r="B18" s="508" t="s">
        <v>1735</v>
      </c>
      <c r="C18" s="521"/>
      <c r="D18" s="131">
        <f>'04_25'!D92</f>
        <v>148100</v>
      </c>
      <c r="E18" s="130"/>
      <c r="F18" s="510">
        <f>F16+D18-E18</f>
        <v>307430</v>
      </c>
    </row>
    <row r="19" spans="1:6" ht="13.5" thickBot="1">
      <c r="A19" s="522">
        <v>45762</v>
      </c>
      <c r="B19" s="523" t="s">
        <v>1586</v>
      </c>
      <c r="C19" s="523"/>
      <c r="D19" s="524"/>
      <c r="E19" s="519">
        <v>36500</v>
      </c>
      <c r="F19" s="525">
        <f t="shared" si="0"/>
        <v>270930</v>
      </c>
    </row>
    <row r="20" spans="1:6" s="11" customFormat="1">
      <c r="A20" s="536"/>
      <c r="B20" s="537"/>
      <c r="C20" s="538"/>
      <c r="D20" s="539" t="s">
        <v>233</v>
      </c>
      <c r="E20" s="539"/>
      <c r="F20" s="539"/>
    </row>
    <row r="21" spans="1:6">
      <c r="A21" s="489">
        <v>45792</v>
      </c>
      <c r="B21" s="482" t="s">
        <v>1587</v>
      </c>
      <c r="C21" s="482"/>
      <c r="D21" s="455"/>
      <c r="F21" s="12">
        <f>F19+D21-E21</f>
        <v>270930</v>
      </c>
    </row>
    <row r="22" spans="1:6" s="11" customFormat="1">
      <c r="A22" s="536"/>
      <c r="B22" s="537"/>
      <c r="C22" s="538"/>
      <c r="D22" s="539" t="s">
        <v>233</v>
      </c>
      <c r="E22" s="539"/>
      <c r="F22" s="539"/>
    </row>
    <row r="23" spans="1:6">
      <c r="A23" s="1">
        <v>45823</v>
      </c>
      <c r="B23" s="8" t="s">
        <v>1588</v>
      </c>
      <c r="C23" s="8"/>
      <c r="D23" s="12"/>
      <c r="F23" s="12">
        <f>F21+D23-E23</f>
        <v>270930</v>
      </c>
    </row>
    <row r="24" spans="1:6" s="11" customFormat="1">
      <c r="A24" s="536"/>
      <c r="B24" s="537"/>
      <c r="C24" s="538"/>
      <c r="D24" s="539" t="s">
        <v>233</v>
      </c>
      <c r="E24" s="539"/>
      <c r="F24" s="539"/>
    </row>
    <row r="25" spans="1:6">
      <c r="A25" s="1">
        <v>45853</v>
      </c>
      <c r="B25" s="8" t="s">
        <v>1589</v>
      </c>
      <c r="C25" s="8"/>
      <c r="D25" s="12"/>
      <c r="F25" s="12">
        <f>F23+D25-E25</f>
        <v>270930</v>
      </c>
    </row>
    <row r="26" spans="1:6" s="11" customFormat="1" ht="13.5" thickBot="1">
      <c r="A26" s="536"/>
      <c r="B26" s="537"/>
      <c r="C26" s="538"/>
      <c r="D26" s="539" t="s">
        <v>233</v>
      </c>
      <c r="E26" s="539"/>
      <c r="F26" s="539"/>
    </row>
    <row r="27" spans="1:6">
      <c r="E27" s="13"/>
      <c r="F27" s="526">
        <f>F25+D27-E27</f>
        <v>270930</v>
      </c>
    </row>
    <row r="28" spans="1:6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5" t="s">
        <v>26</v>
      </c>
      <c r="M1" s="54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-190685.72000000003</v>
      </c>
      <c r="G6" s="33">
        <f t="shared" si="1"/>
        <v>-134249.18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-62560.37</v>
      </c>
      <c r="D7" s="33">
        <f t="shared" si="0"/>
        <v>38557.719999999965</v>
      </c>
      <c r="E7" s="32">
        <f>'05_25'!F2</f>
        <v>0</v>
      </c>
      <c r="F7" s="32">
        <f>'05_25'!G2</f>
        <v>-16263.310000000001</v>
      </c>
      <c r="G7" s="33">
        <f t="shared" si="1"/>
        <v>-150512.49</v>
      </c>
      <c r="H7" s="34"/>
      <c r="I7" s="41" t="s">
        <v>42</v>
      </c>
      <c r="K7" s="39"/>
      <c r="L7" s="40"/>
      <c r="M7" s="42">
        <f>E19/1000</f>
        <v>0</v>
      </c>
      <c r="N7" s="8">
        <f>'05_25'!E118/1000</f>
        <v>0</v>
      </c>
    </row>
    <row r="8" spans="1:14">
      <c r="A8" t="s">
        <v>43</v>
      </c>
      <c r="B8" s="32">
        <f>'06_25'!D2</f>
        <v>15000</v>
      </c>
      <c r="C8" s="32">
        <f>'06_25'!E2</f>
        <v>-55931.839999999997</v>
      </c>
      <c r="D8" s="33">
        <f t="shared" si="0"/>
        <v>-2374.1200000000317</v>
      </c>
      <c r="E8" s="32">
        <f>'06_25'!F2</f>
        <v>0</v>
      </c>
      <c r="F8" s="32">
        <f>'06_25'!G2</f>
        <v>-3514.7799999999997</v>
      </c>
      <c r="G8" s="33">
        <f t="shared" si="1"/>
        <v>-154027.26999999999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-41405.960000000028</v>
      </c>
      <c r="E9" s="32">
        <f>'07_25'!F2</f>
        <v>0</v>
      </c>
      <c r="F9" s="32">
        <f>'07_25'!G2</f>
        <v>-1614.78</v>
      </c>
      <c r="G9" s="33">
        <f t="shared" si="1"/>
        <v>-155642.04999999999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-80437.800000000017</v>
      </c>
      <c r="E10" s="32">
        <f>'08_25'!F2</f>
        <v>0</v>
      </c>
      <c r="F10" s="32">
        <f>'08_25'!G2</f>
        <v>-1614.78</v>
      </c>
      <c r="G10" s="33">
        <f t="shared" si="1"/>
        <v>-157256.82999999999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-118479.86000000002</v>
      </c>
      <c r="E11" s="32">
        <f>'09_25'!F2</f>
        <v>0</v>
      </c>
      <c r="F11" s="32">
        <f>'09_25'!G2</f>
        <v>-625</v>
      </c>
      <c r="G11" s="33">
        <f t="shared" si="1"/>
        <v>-157881.82999999999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-155896.92000000001</v>
      </c>
      <c r="E12" s="32">
        <f>'10_25'!F2</f>
        <v>0</v>
      </c>
      <c r="F12" s="32">
        <f>'10_25'!G2</f>
        <v>0</v>
      </c>
      <c r="G12" s="33">
        <f t="shared" si="1"/>
        <v>-157881.82999999999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-193313.98</v>
      </c>
      <c r="E13" s="32">
        <f>'11_25'!F2</f>
        <v>0</v>
      </c>
      <c r="F13" s="32">
        <f>'11_25'!G2</f>
        <v>0</v>
      </c>
      <c r="G13" s="33">
        <f t="shared" si="1"/>
        <v>-157881.82999999999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-230731.04</v>
      </c>
      <c r="E14" s="32">
        <f>'12_25'!F2</f>
        <v>0</v>
      </c>
      <c r="F14" s="32">
        <f>'12_25'!G2</f>
        <v>0</v>
      </c>
      <c r="G14" s="33">
        <f t="shared" si="1"/>
        <v>-157881.82999999999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-839395.04</v>
      </c>
      <c r="D15" s="33">
        <f>B15+C15</f>
        <v>-230731.04000000004</v>
      </c>
      <c r="E15" s="33">
        <f>SUM(E3:E14)</f>
        <v>398158.83</v>
      </c>
      <c r="F15" s="33">
        <f>SUM(F3:F14)</f>
        <v>-556040.66000000015</v>
      </c>
      <c r="G15" s="33">
        <f>E15+F15</f>
        <v>-157881.83000000013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-69949.58666666667</v>
      </c>
      <c r="D16" s="55"/>
      <c r="E16" s="55">
        <f>E15/A16</f>
        <v>33179.902500000004</v>
      </c>
      <c r="F16" s="55">
        <f>F15/A16</f>
        <v>-46336.721666666679</v>
      </c>
      <c r="G16" s="55">
        <f>G15/A16</f>
        <v>-13156.819166666677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46">
        <f>L15+M15</f>
        <v>976.10596800000008</v>
      </c>
      <c r="M17" s="546"/>
    </row>
    <row r="18" spans="2:13">
      <c r="D18" s="64" t="s">
        <v>58</v>
      </c>
      <c r="E18" s="2">
        <f>'01_25'!F32+'02_25'!F14+'02_25'!F26+'03_25'!F18+'04_25'!F41+'05_25'!F22+'06_25'!F19+'06_25'!F31+'04_25'!F14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25" zoomScale="145" zoomScaleNormal="145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-55931.839999999997</v>
      </c>
      <c r="F2" s="77">
        <f>SUM(F4:F31)</f>
        <v>0</v>
      </c>
      <c r="G2" s="77">
        <f>SUM(G4:G31)</f>
        <v>-3514.7799999999997</v>
      </c>
      <c r="H2" s="77">
        <f>F2+G2</f>
        <v>-3514.7799999999997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-2889.7799999999997</v>
      </c>
      <c r="F7" s="87"/>
      <c r="G7" s="87">
        <f>E7</f>
        <v>-2889.7799999999997</v>
      </c>
      <c r="H7" s="77">
        <f t="shared" si="0"/>
        <v>-2889.7799999999997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-3514.7799999999997</v>
      </c>
    </row>
    <row r="9" spans="1:10">
      <c r="G9" s="87"/>
      <c r="H9" s="77">
        <f t="shared" si="0"/>
        <v>-3514.7799999999997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-3514.7799999999997</v>
      </c>
    </row>
    <row r="11" spans="1:10">
      <c r="B11" s="89" t="s">
        <v>1596</v>
      </c>
      <c r="C11" s="89"/>
      <c r="D11" s="90"/>
      <c r="E11" s="90">
        <v>-25000</v>
      </c>
      <c r="H11" s="77">
        <f t="shared" si="0"/>
        <v>-3514.7799999999997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-3514.7799999999997</v>
      </c>
    </row>
    <row r="13" spans="1:10">
      <c r="A13" s="88"/>
      <c r="B13" s="92"/>
      <c r="C13" s="92"/>
      <c r="D13" s="90"/>
      <c r="E13" s="90"/>
      <c r="H13" s="77">
        <f t="shared" si="0"/>
        <v>-3514.7799999999997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-3514.7799999999997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-3514.7799999999997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-3514.7799999999997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-3514.7799999999997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-3514.7799999999997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-3514.7799999999997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-3514.7799999999997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-3514.7799999999997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-3514.7799999999997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-3514.7799999999997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-3514.7799999999997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-3514.7799999999997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-3514.7799999999997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-3514.7799999999997</v>
      </c>
    </row>
    <row r="28" spans="1:13" s="78" customFormat="1">
      <c r="D28" s="77"/>
      <c r="E28" s="77"/>
      <c r="F28" s="77"/>
      <c r="G28" s="77"/>
      <c r="H28" s="77">
        <f t="shared" si="0"/>
        <v>-3514.7799999999997</v>
      </c>
    </row>
    <row r="29" spans="1:13">
      <c r="A29" s="100"/>
      <c r="B29" s="101" t="s">
        <v>94</v>
      </c>
      <c r="C29" s="101"/>
      <c r="H29" s="77">
        <f t="shared" si="0"/>
        <v>-3514.7799999999997</v>
      </c>
      <c r="I29" s="78"/>
      <c r="J29" s="78"/>
    </row>
    <row r="30" spans="1:13">
      <c r="A30" s="100"/>
      <c r="H30" s="77">
        <f t="shared" si="0"/>
        <v>-3514.7799999999997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-3514.7799999999997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-2889.7799999999997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567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>
        <v>45772</v>
      </c>
      <c r="B40" s="77" t="s">
        <v>1787</v>
      </c>
      <c r="C40" s="77"/>
      <c r="E40" s="77">
        <v>-700</v>
      </c>
      <c r="I40" s="77"/>
      <c r="J40" s="77"/>
    </row>
    <row r="41" spans="1:14" s="77" customFormat="1">
      <c r="A41" s="386">
        <v>45772</v>
      </c>
      <c r="B41" t="s">
        <v>1788</v>
      </c>
      <c r="C41"/>
      <c r="E41" s="77">
        <v>-1200</v>
      </c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1687</v>
      </c>
      <c r="C53" s="11"/>
      <c r="D53" s="90" t="s">
        <v>1719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89"/>
  <sheetViews>
    <sheetView tabSelected="1" topLeftCell="A66" zoomScale="175" zoomScaleNormal="175" workbookViewId="0">
      <selection activeCell="E81" sqref="E8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-62560.37</v>
      </c>
      <c r="F2" s="77">
        <f>SUM(F4:F31)</f>
        <v>0</v>
      </c>
      <c r="G2" s="77">
        <f>SUM(G4:G31)</f>
        <v>-16263.310000000001</v>
      </c>
      <c r="H2" s="77">
        <f>F2+G2</f>
        <v>-16263.310000000001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C5" s="8"/>
      <c r="D5" s="87"/>
      <c r="E5" s="87"/>
      <c r="F5" s="87"/>
      <c r="G5" s="87"/>
      <c r="H5" s="87">
        <f t="shared" si="0"/>
        <v>0</v>
      </c>
    </row>
    <row r="6" spans="1:10">
      <c r="A6" s="478">
        <v>45749</v>
      </c>
      <c r="B6" s="479" t="s">
        <v>70</v>
      </c>
      <c r="C6" s="479"/>
      <c r="D6" s="423"/>
      <c r="E6" s="423">
        <v>-2117.06</v>
      </c>
      <c r="F6" s="87"/>
      <c r="G6" s="87"/>
      <c r="H6" s="87">
        <f t="shared" si="0"/>
        <v>0</v>
      </c>
    </row>
    <row r="7" spans="1:10">
      <c r="A7" s="480">
        <v>45782</v>
      </c>
      <c r="B7" s="481" t="s">
        <v>68</v>
      </c>
      <c r="C7" s="482"/>
      <c r="D7" s="423"/>
      <c r="E7" s="423">
        <f>E37</f>
        <v>-7461.47</v>
      </c>
      <c r="F7" s="87"/>
      <c r="G7" s="87">
        <f>E7</f>
        <v>-7461.47</v>
      </c>
      <c r="H7" s="87">
        <f t="shared" si="0"/>
        <v>-7461.47</v>
      </c>
    </row>
    <row r="8" spans="1:10">
      <c r="A8" s="483"/>
      <c r="B8" s="481" t="s">
        <v>69</v>
      </c>
      <c r="C8" s="482"/>
      <c r="D8" s="423"/>
      <c r="E8" s="423">
        <f>E62</f>
        <v>-8801.84</v>
      </c>
      <c r="F8" s="87"/>
      <c r="G8" s="87">
        <f>E8</f>
        <v>-8801.84</v>
      </c>
      <c r="H8" s="87">
        <f t="shared" si="0"/>
        <v>-16263.310000000001</v>
      </c>
    </row>
    <row r="9" spans="1:10">
      <c r="B9" s="8"/>
      <c r="C9" s="8"/>
      <c r="D9" s="87"/>
      <c r="E9" s="87"/>
      <c r="F9" s="87"/>
      <c r="G9" s="87"/>
      <c r="H9" s="87">
        <f t="shared" si="0"/>
        <v>-16263.310000000001</v>
      </c>
    </row>
    <row r="10" spans="1:10">
      <c r="H10" s="87">
        <f t="shared" si="0"/>
        <v>-16263.310000000001</v>
      </c>
    </row>
    <row r="11" spans="1:10">
      <c r="B11" s="89" t="s">
        <v>1595</v>
      </c>
      <c r="C11" s="89"/>
      <c r="D11" s="90"/>
      <c r="E11" s="90">
        <v>-17500</v>
      </c>
      <c r="H11" s="87">
        <f t="shared" si="0"/>
        <v>-16263.310000000001</v>
      </c>
    </row>
    <row r="12" spans="1:10">
      <c r="B12" s="91" t="s">
        <v>72</v>
      </c>
      <c r="C12" s="92"/>
      <c r="D12" s="90"/>
      <c r="E12" s="90">
        <v>0</v>
      </c>
      <c r="H12" s="87">
        <f t="shared" si="0"/>
        <v>-16263.310000000001</v>
      </c>
    </row>
    <row r="13" spans="1:10">
      <c r="A13" s="88"/>
      <c r="B13" s="92"/>
      <c r="C13" s="92"/>
      <c r="D13" s="90"/>
      <c r="E13" s="90"/>
      <c r="H13" s="87">
        <f t="shared" si="0"/>
        <v>-16263.310000000001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87">
        <f t="shared" si="0"/>
        <v>-16263.310000000001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-16263.310000000001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-16263.310000000001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-16263.310000000001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-16263.310000000001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-16263.310000000001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-16263.310000000001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-16263.310000000001</v>
      </c>
      <c r="J21" s="94"/>
      <c r="K21" s="94"/>
      <c r="L21" s="95"/>
      <c r="M21" s="96"/>
    </row>
    <row r="22" spans="1:13" s="78" customFormat="1">
      <c r="A22" s="98">
        <v>45776</v>
      </c>
      <c r="B22" s="92" t="s">
        <v>98</v>
      </c>
      <c r="C22" s="92" t="s">
        <v>1791</v>
      </c>
      <c r="D22" s="90" t="s">
        <v>390</v>
      </c>
      <c r="E22" s="90">
        <v>-1380</v>
      </c>
      <c r="F22" s="77"/>
      <c r="G22" s="77"/>
      <c r="H22" s="77">
        <f t="shared" si="0"/>
        <v>-16263.310000000001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-16263.310000000001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-16263.310000000001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-16263.310000000001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-16263.310000000001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-16263.310000000001</v>
      </c>
    </row>
    <row r="28" spans="1:13" s="78" customFormat="1">
      <c r="D28" s="77"/>
      <c r="E28" s="77"/>
      <c r="F28" s="77"/>
      <c r="G28" s="77"/>
      <c r="H28" s="77">
        <f t="shared" si="0"/>
        <v>-16263.310000000001</v>
      </c>
    </row>
    <row r="29" spans="1:13">
      <c r="A29" s="100"/>
      <c r="B29" s="101" t="s">
        <v>96</v>
      </c>
      <c r="C29" s="101"/>
      <c r="H29" s="77">
        <f t="shared" si="0"/>
        <v>-16263.310000000001</v>
      </c>
      <c r="I29" s="78"/>
      <c r="J29" s="78"/>
    </row>
    <row r="30" spans="1:13">
      <c r="A30" s="100"/>
      <c r="H30" s="77">
        <f t="shared" si="0"/>
        <v>-16263.310000000001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-16263.310000000001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SUM(E38:E53)</f>
        <v>-7461.47</v>
      </c>
      <c r="I37" s="77"/>
      <c r="J37" s="77"/>
    </row>
    <row r="38" spans="1:14" s="77" customFormat="1">
      <c r="A38"/>
      <c r="B38"/>
      <c r="C38"/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615</v>
      </c>
      <c r="E40" s="90">
        <v>-989.78</v>
      </c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>
        <v>45751</v>
      </c>
      <c r="B42" s="77" t="s">
        <v>129</v>
      </c>
      <c r="D42" s="77">
        <v>123984.02</v>
      </c>
      <c r="I42" s="77"/>
      <c r="J42" s="77"/>
    </row>
    <row r="43" spans="1:14" s="77" customFormat="1">
      <c r="A43" s="386">
        <v>45751</v>
      </c>
      <c r="B43" t="s">
        <v>445</v>
      </c>
      <c r="C43"/>
      <c r="E43" s="77">
        <v>-672.4</v>
      </c>
      <c r="I43"/>
      <c r="J43"/>
      <c r="K43" s="78"/>
      <c r="L43" s="78"/>
      <c r="M43" s="78"/>
      <c r="N43" s="78"/>
    </row>
    <row r="44" spans="1:14" s="77" customFormat="1">
      <c r="A44" s="100">
        <v>45754</v>
      </c>
      <c r="B44" s="106" t="s">
        <v>1780</v>
      </c>
      <c r="C44" s="106"/>
      <c r="E44" s="77">
        <v>-3740</v>
      </c>
      <c r="K44" s="78"/>
      <c r="L44" s="78"/>
      <c r="M44" s="78"/>
      <c r="N44" s="78"/>
    </row>
    <row r="45" spans="1:14" s="77" customFormat="1">
      <c r="A45" s="100">
        <v>45756</v>
      </c>
      <c r="B45" s="106" t="s">
        <v>1781</v>
      </c>
      <c r="C45" s="106"/>
      <c r="E45" s="77">
        <v>-390</v>
      </c>
      <c r="K45" s="78"/>
      <c r="L45" s="78"/>
      <c r="M45" s="78"/>
      <c r="N45" s="78"/>
    </row>
    <row r="46" spans="1:14" s="77" customFormat="1">
      <c r="A46" s="100">
        <v>45764</v>
      </c>
      <c r="B46" s="107" t="s">
        <v>1782</v>
      </c>
      <c r="C46" s="106"/>
      <c r="E46" s="77">
        <v>-138.81</v>
      </c>
      <c r="K46" s="78"/>
      <c r="L46" s="78"/>
      <c r="M46" s="78"/>
      <c r="N46" s="78"/>
    </row>
    <row r="47" spans="1:14" s="77" customFormat="1">
      <c r="A47" s="100">
        <v>45766</v>
      </c>
      <c r="B47" s="107" t="s">
        <v>1612</v>
      </c>
      <c r="C47" s="106"/>
      <c r="E47" s="77">
        <v>-80</v>
      </c>
      <c r="K47" s="78"/>
      <c r="L47" s="78"/>
      <c r="M47" s="78"/>
      <c r="N47" s="78"/>
    </row>
    <row r="48" spans="1:14" s="77" customFormat="1">
      <c r="A48" s="100">
        <v>45767</v>
      </c>
      <c r="B48" s="107" t="s">
        <v>1783</v>
      </c>
      <c r="E48" s="77">
        <v>-140</v>
      </c>
      <c r="K48" s="78"/>
      <c r="L48" s="78"/>
      <c r="M48" s="78"/>
      <c r="N48" s="78"/>
    </row>
    <row r="49" spans="1:14" s="77" customFormat="1">
      <c r="A49" s="100">
        <v>45770</v>
      </c>
      <c r="B49" s="107" t="s">
        <v>1784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45770</v>
      </c>
      <c r="B50" s="3" t="s">
        <v>1782</v>
      </c>
      <c r="E50" s="77">
        <v>-372.15</v>
      </c>
      <c r="K50" s="78"/>
      <c r="L50" s="78"/>
      <c r="M50" s="78"/>
      <c r="N50" s="78"/>
    </row>
    <row r="51" spans="1:14" s="90" customFormat="1">
      <c r="A51" s="100">
        <v>45771</v>
      </c>
      <c r="B51" s="92" t="s">
        <v>1785</v>
      </c>
      <c r="E51" s="90">
        <v>-250</v>
      </c>
      <c r="K51" s="78"/>
      <c r="L51" s="78"/>
      <c r="M51" s="78"/>
      <c r="N51" s="78"/>
    </row>
    <row r="52" spans="1:14" s="90" customFormat="1">
      <c r="A52" s="100">
        <v>45771</v>
      </c>
      <c r="B52" s="92" t="s">
        <v>1782</v>
      </c>
      <c r="E52" s="90">
        <v>-208.33</v>
      </c>
      <c r="K52" s="78"/>
      <c r="L52" s="78"/>
      <c r="M52" s="78"/>
      <c r="N52" s="78"/>
    </row>
    <row r="53" spans="1:14" s="90" customFormat="1">
      <c r="A53" s="100">
        <v>45772</v>
      </c>
      <c r="B53" s="92" t="s">
        <v>1786</v>
      </c>
      <c r="E53" s="90">
        <v>-180</v>
      </c>
      <c r="K53" s="78"/>
      <c r="L53" s="78"/>
      <c r="M53" s="78"/>
      <c r="N53" s="78"/>
    </row>
    <row r="54" spans="1:14" s="90" customFormat="1" ht="15">
      <c r="A54" s="100"/>
      <c r="B54" s="92"/>
      <c r="E54" s="105" t="s">
        <v>84</v>
      </c>
      <c r="K54" s="78"/>
      <c r="L54" s="78"/>
      <c r="M54" s="78"/>
      <c r="N54" s="78"/>
    </row>
    <row r="55" spans="1:14" s="90" customFormat="1">
      <c r="A55" s="100"/>
      <c r="B55" s="92"/>
      <c r="C55" s="90" t="s">
        <v>807</v>
      </c>
      <c r="K55" s="78"/>
      <c r="L55" s="78"/>
      <c r="M55" s="78"/>
      <c r="N55" s="78"/>
    </row>
    <row r="56" spans="1:14" s="90" customFormat="1">
      <c r="A56" s="100">
        <v>45752</v>
      </c>
      <c r="B56" s="92" t="s">
        <v>1789</v>
      </c>
      <c r="C56" s="90">
        <v>-15.6</v>
      </c>
      <c r="K56" s="78"/>
      <c r="L56" s="78"/>
      <c r="M56" s="78"/>
      <c r="N56" s="78"/>
    </row>
    <row r="57" spans="1:14" s="90" customFormat="1">
      <c r="A57" s="100">
        <v>45752</v>
      </c>
      <c r="B57" s="92" t="s">
        <v>1790</v>
      </c>
      <c r="C57" s="90">
        <v>-8.49</v>
      </c>
      <c r="K57" s="78"/>
      <c r="L57" s="78"/>
      <c r="M57" s="78"/>
      <c r="N57" s="78"/>
    </row>
    <row r="58" spans="1:14" s="90" customFormat="1">
      <c r="A58" s="100"/>
      <c r="B58" s="92"/>
      <c r="K58" s="78"/>
      <c r="L58" s="78"/>
      <c r="M58" s="78"/>
      <c r="N58" s="78"/>
    </row>
    <row r="59" spans="1:14" s="90" customFormat="1">
      <c r="A59" s="100"/>
      <c r="B59" s="92"/>
      <c r="K59" s="78"/>
      <c r="L59" s="78"/>
      <c r="M59" s="78"/>
      <c r="N59" s="78"/>
    </row>
    <row r="60" spans="1:14" s="90" customFormat="1">
      <c r="A60" s="100"/>
      <c r="B60" s="92"/>
      <c r="K60" s="78"/>
      <c r="L60" s="78"/>
      <c r="M60" s="78"/>
      <c r="N60" s="78"/>
    </row>
    <row r="61" spans="1:14" s="77" customFormat="1">
      <c r="A61" s="100"/>
      <c r="B61" s="106"/>
      <c r="C61" s="106"/>
      <c r="K61" s="78"/>
      <c r="L61" s="78"/>
      <c r="M61" s="78"/>
      <c r="N61" s="78"/>
    </row>
    <row r="62" spans="1:14" s="77" customFormat="1">
      <c r="A62" s="103"/>
      <c r="B62" s="104" t="s">
        <v>85</v>
      </c>
      <c r="C62" s="103"/>
      <c r="E62" s="77">
        <f>SUM(E63:E88)</f>
        <v>-8801.84</v>
      </c>
      <c r="K62" s="78"/>
      <c r="L62" s="78"/>
      <c r="M62" s="78"/>
      <c r="N62" s="78"/>
    </row>
    <row r="63" spans="1:14" s="77" customFormat="1">
      <c r="A63" s="100"/>
      <c r="B63" s="106"/>
      <c r="C63" s="106"/>
      <c r="K63" s="78"/>
      <c r="L63" s="78"/>
      <c r="M63" s="78"/>
      <c r="N63" s="78"/>
    </row>
    <row r="64" spans="1:14" s="77" customFormat="1">
      <c r="A64" s="100"/>
      <c r="B64" s="106"/>
      <c r="C64" s="106"/>
      <c r="K64" s="78"/>
      <c r="L64" s="78"/>
      <c r="M64" s="78"/>
      <c r="N64" s="78"/>
    </row>
    <row r="65" spans="1:14" s="77" customFormat="1">
      <c r="K65" s="78"/>
      <c r="L65" s="78"/>
      <c r="M65" s="78"/>
      <c r="N65" s="78"/>
    </row>
    <row r="66" spans="1:14" s="77" customFormat="1">
      <c r="A66" s="98">
        <v>45728</v>
      </c>
      <c r="B66" s="90" t="s">
        <v>1687</v>
      </c>
      <c r="C66" s="11"/>
      <c r="D66" s="90" t="s">
        <v>1718</v>
      </c>
      <c r="E66" s="90">
        <v>-625</v>
      </c>
      <c r="K66" s="78"/>
      <c r="L66" s="78"/>
      <c r="M66" s="78"/>
      <c r="N66" s="78"/>
    </row>
    <row r="67" spans="1:14" s="77" customFormat="1">
      <c r="A67" s="430">
        <v>45692</v>
      </c>
      <c r="B67" s="90" t="s">
        <v>1662</v>
      </c>
      <c r="C67" s="90"/>
      <c r="D67" s="90" t="s">
        <v>954</v>
      </c>
      <c r="E67" s="90">
        <v>-600.14</v>
      </c>
      <c r="K67" s="78"/>
      <c r="L67" s="78"/>
      <c r="M67" s="78"/>
      <c r="N67" s="78"/>
    </row>
    <row r="68" spans="1:14" s="77" customFormat="1">
      <c r="A68" s="430">
        <v>45692</v>
      </c>
      <c r="B68" s="90" t="s">
        <v>1662</v>
      </c>
      <c r="C68" s="90"/>
      <c r="D68" s="90" t="s">
        <v>954</v>
      </c>
      <c r="E68" s="90">
        <v>-2500.3000000000002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>
        <v>45743</v>
      </c>
      <c r="B70" s="3" t="s">
        <v>129</v>
      </c>
      <c r="C70" s="106"/>
      <c r="D70" s="77">
        <v>19953.18</v>
      </c>
      <c r="K70" s="78"/>
      <c r="L70" s="78"/>
      <c r="M70" s="78"/>
      <c r="N70" s="78"/>
    </row>
    <row r="71" spans="1:14" s="77" customFormat="1">
      <c r="A71" s="100">
        <v>45744</v>
      </c>
      <c r="B71" s="3" t="s">
        <v>1799</v>
      </c>
      <c r="C71" s="106"/>
      <c r="E71" s="77">
        <v>-1300</v>
      </c>
      <c r="K71" s="78"/>
      <c r="L71" s="78"/>
      <c r="M71" s="78"/>
      <c r="N71" s="78"/>
    </row>
    <row r="72" spans="1:14" s="77" customFormat="1">
      <c r="A72" s="100">
        <v>45749</v>
      </c>
      <c r="B72" s="3"/>
      <c r="C72" s="106"/>
      <c r="E72" s="77">
        <v>-335</v>
      </c>
      <c r="K72" s="78"/>
      <c r="L72" s="78"/>
      <c r="M72" s="78"/>
      <c r="N72" s="78"/>
    </row>
    <row r="73" spans="1:14" s="77" customFormat="1">
      <c r="A73" s="100">
        <v>45750</v>
      </c>
      <c r="B73" s="3" t="s">
        <v>1800</v>
      </c>
      <c r="C73" s="106"/>
      <c r="E73" s="77">
        <v>-129.99</v>
      </c>
      <c r="K73" s="78"/>
      <c r="L73" s="78"/>
      <c r="M73" s="78"/>
      <c r="N73" s="78"/>
    </row>
    <row r="74" spans="1:14" s="77" customFormat="1">
      <c r="A74" s="100">
        <v>45756</v>
      </c>
      <c r="B74" s="3" t="s">
        <v>1802</v>
      </c>
      <c r="C74" s="106"/>
      <c r="E74" s="77">
        <v>-360</v>
      </c>
      <c r="K74" s="78"/>
      <c r="L74" s="78"/>
      <c r="M74" s="78"/>
      <c r="N74" s="78"/>
    </row>
    <row r="75" spans="1:14" s="77" customFormat="1">
      <c r="A75" s="100">
        <v>45756</v>
      </c>
      <c r="B75" s="3" t="s">
        <v>1801</v>
      </c>
      <c r="C75" s="106"/>
      <c r="E75" s="77">
        <v>-1425</v>
      </c>
      <c r="K75" s="78"/>
      <c r="L75" s="78"/>
      <c r="M75" s="78"/>
      <c r="N75" s="78"/>
    </row>
    <row r="76" spans="1:14" s="90" customFormat="1">
      <c r="A76" s="100">
        <v>45757</v>
      </c>
      <c r="B76" s="92" t="s">
        <v>1803</v>
      </c>
      <c r="C76" s="106"/>
      <c r="E76" s="90">
        <v>-120</v>
      </c>
      <c r="K76" s="78"/>
      <c r="L76" s="78"/>
      <c r="M76" s="78"/>
      <c r="N76" s="78"/>
    </row>
    <row r="77" spans="1:14" s="90" customFormat="1">
      <c r="A77" s="100">
        <v>45758</v>
      </c>
      <c r="B77" s="92" t="s">
        <v>1804</v>
      </c>
      <c r="C77" s="106"/>
      <c r="E77" s="90">
        <v>-406.41</v>
      </c>
      <c r="K77" s="78"/>
      <c r="L77" s="78"/>
      <c r="M77" s="78"/>
      <c r="N77" s="78"/>
    </row>
    <row r="78" spans="1:14" s="90" customFormat="1">
      <c r="A78" s="100">
        <v>45759</v>
      </c>
      <c r="B78" s="92" t="s">
        <v>1805</v>
      </c>
      <c r="C78" s="106"/>
      <c r="E78" s="90">
        <v>-50</v>
      </c>
      <c r="K78" s="78"/>
      <c r="L78" s="78"/>
      <c r="M78" s="78"/>
      <c r="N78" s="78"/>
    </row>
    <row r="79" spans="1:14" s="90" customFormat="1">
      <c r="A79" s="100">
        <v>45757</v>
      </c>
      <c r="B79" s="92" t="s">
        <v>1783</v>
      </c>
      <c r="C79" s="106"/>
      <c r="E79" s="90">
        <v>-210</v>
      </c>
      <c r="K79" s="78"/>
      <c r="L79" s="78"/>
      <c r="M79" s="78"/>
      <c r="N79" s="78"/>
    </row>
    <row r="80" spans="1:14" s="90" customFormat="1">
      <c r="A80" s="100">
        <v>45762</v>
      </c>
      <c r="B80" s="92" t="s">
        <v>131</v>
      </c>
      <c r="C80" s="106"/>
      <c r="E80" s="90">
        <v>-250</v>
      </c>
      <c r="K80" s="78"/>
      <c r="L80" s="78"/>
      <c r="M80" s="78"/>
      <c r="N80" s="78"/>
    </row>
    <row r="81" spans="1:14" s="90" customFormat="1">
      <c r="A81" s="100">
        <v>45764</v>
      </c>
      <c r="B81" s="92" t="s">
        <v>1806</v>
      </c>
      <c r="C81" s="106"/>
      <c r="E81" s="90">
        <v>-120</v>
      </c>
      <c r="K81" s="78"/>
      <c r="L81" s="78"/>
      <c r="M81" s="78"/>
      <c r="N81" s="78"/>
    </row>
    <row r="82" spans="1:14" s="90" customFormat="1">
      <c r="A82" s="100">
        <v>45764</v>
      </c>
      <c r="B82" s="92" t="s">
        <v>651</v>
      </c>
      <c r="C82" s="106"/>
      <c r="E82" s="90">
        <v>-370</v>
      </c>
      <c r="K82" s="78"/>
      <c r="L82" s="78"/>
      <c r="M82" s="78"/>
      <c r="N82" s="78"/>
    </row>
    <row r="83" spans="1:14" s="77" customFormat="1" ht="15">
      <c r="A83" s="100"/>
      <c r="B83" s="3"/>
      <c r="C83" s="106"/>
      <c r="E83" s="105" t="s">
        <v>84</v>
      </c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>
      <c r="A89" s="100"/>
      <c r="B89" s="3"/>
      <c r="C89" s="77"/>
      <c r="I89" s="77"/>
      <c r="J8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W238"/>
  <sheetViews>
    <sheetView topLeftCell="A47" zoomScale="145" zoomScaleNormal="145" workbookViewId="0">
      <selection activeCell="B86" sqref="B86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-190685.72000000003</v>
      </c>
      <c r="H2" s="77">
        <f>F2+G2</f>
        <v>-175630.84000000003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7" t="s">
        <v>73</v>
      </c>
      <c r="C14" s="547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7" t="s">
        <v>74</v>
      </c>
      <c r="C15" s="547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98"/>
      <c r="B16" s="99" t="s">
        <v>75</v>
      </c>
      <c r="C16" s="99"/>
      <c r="D16" s="90"/>
      <c r="E16" s="90">
        <v>-200</v>
      </c>
      <c r="F16" s="77"/>
      <c r="G16" s="77">
        <v>-184.14</v>
      </c>
      <c r="H16" s="90">
        <f t="shared" si="2"/>
        <v>-165615.72000000003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-150560.84000000003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-7500</v>
      </c>
      <c r="H18" s="87">
        <f t="shared" si="2"/>
        <v>-158060.84000000003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-7500</v>
      </c>
      <c r="H19" s="87">
        <f t="shared" ref="H19:H23" si="3">H18+F19+G19</f>
        <v>-165560.84000000003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-173060.84000000003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-173060.84000000003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-173060.84000000003</v>
      </c>
      <c r="J22" s="94"/>
      <c r="K22" s="94"/>
      <c r="L22" s="95"/>
      <c r="M22" s="96"/>
    </row>
    <row r="23" spans="1:14" s="78" customFormat="1">
      <c r="A23" s="98"/>
      <c r="B23" s="99" t="s">
        <v>80</v>
      </c>
      <c r="C23" s="99"/>
      <c r="D23" s="77"/>
      <c r="E23" s="77">
        <v>-600</v>
      </c>
      <c r="F23" s="77"/>
      <c r="G23" s="77"/>
      <c r="H23" s="90">
        <f t="shared" si="3"/>
        <v>-173060.84000000003</v>
      </c>
      <c r="J23" s="94"/>
      <c r="K23" s="94"/>
      <c r="L23" s="95"/>
      <c r="M23" s="96"/>
    </row>
    <row r="24" spans="1:14" s="78" customFormat="1">
      <c r="A24" s="98"/>
      <c r="B24" s="99" t="s">
        <v>81</v>
      </c>
      <c r="C24" s="99"/>
      <c r="D24" s="77"/>
      <c r="E24" s="77">
        <v>-800</v>
      </c>
      <c r="F24" s="77"/>
      <c r="G24" s="77"/>
      <c r="H24" s="77">
        <f t="shared" ref="H24:H29" si="4">H23+F24+G24</f>
        <v>-173060.84000000003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-173130.84000000003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-173130.84000000003</v>
      </c>
    </row>
    <row r="27" spans="1:14">
      <c r="B27" s="101" t="s">
        <v>99</v>
      </c>
      <c r="C27" s="101"/>
      <c r="H27" s="77">
        <f t="shared" si="4"/>
        <v>-173130.84000000003</v>
      </c>
      <c r="I27" s="78"/>
      <c r="J27" s="78"/>
    </row>
    <row r="28" spans="1:14">
      <c r="A28" s="413">
        <v>45764</v>
      </c>
      <c r="B28" s="420" t="s">
        <v>1779</v>
      </c>
      <c r="C28" s="420"/>
      <c r="D28" s="384"/>
      <c r="E28" s="384"/>
      <c r="F28" s="384"/>
      <c r="G28" s="384">
        <v>-2500</v>
      </c>
      <c r="H28" s="77">
        <f t="shared" si="4"/>
        <v>-175630.84000000003</v>
      </c>
    </row>
    <row r="29" spans="1:14">
      <c r="H29" s="77">
        <f t="shared" si="4"/>
        <v>-175630.84000000003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501" t="s">
        <v>1754</v>
      </c>
      <c r="C82" s="502"/>
      <c r="D82" s="503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1778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1792</v>
      </c>
      <c r="D84" s="459">
        <v>700</v>
      </c>
    </row>
    <row r="85" spans="1:14" s="11" customFormat="1">
      <c r="A85" s="98">
        <v>45772</v>
      </c>
      <c r="B85" s="11" t="s">
        <v>1793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1794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1797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1798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SUM(G110:G134)</f>
        <v>794950.08000000007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45747</v>
      </c>
      <c r="B111" s="90" t="s">
        <v>1739</v>
      </c>
      <c r="C111" s="90"/>
      <c r="D111" s="90"/>
      <c r="E111" s="90"/>
      <c r="F111" s="90"/>
      <c r="G111" s="90">
        <v>159330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37009.279999999999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500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41.7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41.7</v>
      </c>
      <c r="G117" s="17">
        <f>F117*C117</f>
        <v>41700</v>
      </c>
      <c r="H117" s="90"/>
      <c r="I117" s="90">
        <f>G117-E117</f>
        <v>9150.0000000000036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 ht="13.5" thickBot="1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41.7</v>
      </c>
      <c r="G118" s="17">
        <f t="shared" ref="G118" si="9">F118*C118</f>
        <v>166800</v>
      </c>
      <c r="H118" s="419">
        <f>SUM(G117:G118)</f>
        <v>208500</v>
      </c>
      <c r="I118" s="90">
        <f t="shared" ref="I118" si="10">G118-E118</f>
        <v>43360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ht="13.5" thickBot="1">
      <c r="A119" s="100"/>
      <c r="B119" s="90"/>
      <c r="C119" s="12"/>
      <c r="D119" s="12"/>
      <c r="E119" s="90">
        <f>SUM(E116:E118)</f>
        <v>155990</v>
      </c>
      <c r="F119" s="90"/>
      <c r="G119" s="90"/>
      <c r="H119" s="117">
        <f>(SUM(G116:G118))-(SUM(E116:E118))</f>
        <v>52510</v>
      </c>
      <c r="I119" s="117">
        <f>SUM(I116:I118)</f>
        <v>52510</v>
      </c>
      <c r="J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 spans="1:23">
      <c r="A120" s="100"/>
      <c r="B120" s="90"/>
      <c r="C120" s="12"/>
      <c r="D120" s="12"/>
      <c r="E120" s="90"/>
      <c r="F120" s="90"/>
      <c r="G120" s="90"/>
      <c r="H120" s="90"/>
      <c r="I120" s="90"/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>
        <v>45345</v>
      </c>
      <c r="B121" s="82" t="s">
        <v>143</v>
      </c>
      <c r="C121" s="118">
        <v>125000</v>
      </c>
      <c r="D121" s="83">
        <v>1.0399430000000001</v>
      </c>
      <c r="E121" s="116">
        <f>D121*C121</f>
        <v>129992.87500000001</v>
      </c>
      <c r="F121" s="404">
        <v>0.87992800000000004</v>
      </c>
      <c r="G121" s="17">
        <f>F121*C121</f>
        <v>109991</v>
      </c>
      <c r="H121" s="90"/>
      <c r="I121" s="90">
        <f t="shared" ref="I121:I124" si="11">G121-E121</f>
        <v>-20001.875000000015</v>
      </c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45400</v>
      </c>
      <c r="B122" s="82" t="s">
        <v>144</v>
      </c>
      <c r="C122" s="114">
        <v>10</v>
      </c>
      <c r="D122" s="83">
        <v>135</v>
      </c>
      <c r="E122" s="116">
        <f>D122*C122</f>
        <v>1350</v>
      </c>
      <c r="F122" s="90">
        <v>110</v>
      </c>
      <c r="G122" s="17">
        <f>F122*C122</f>
        <v>1100</v>
      </c>
      <c r="H122" s="90"/>
      <c r="I122" s="90">
        <f t="shared" si="11"/>
        <v>-250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45418</v>
      </c>
      <c r="B123" s="82" t="s">
        <v>145</v>
      </c>
      <c r="C123" s="114">
        <v>38</v>
      </c>
      <c r="D123" s="83">
        <v>30.5</v>
      </c>
      <c r="E123" s="116">
        <f>D123*C123</f>
        <v>1159</v>
      </c>
      <c r="F123" s="90">
        <v>15.5</v>
      </c>
      <c r="G123" s="17">
        <f>F123*C123</f>
        <v>589</v>
      </c>
      <c r="H123" s="90"/>
      <c r="I123" s="90">
        <f t="shared" si="11"/>
        <v>-570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 ht="13.5" thickBot="1">
      <c r="A124" s="100">
        <v>45418</v>
      </c>
      <c r="B124" s="82" t="s">
        <v>146</v>
      </c>
      <c r="C124" s="114">
        <v>26</v>
      </c>
      <c r="D124" s="83">
        <v>37.115000000000002</v>
      </c>
      <c r="E124" s="116">
        <f>D124*C124</f>
        <v>964.99</v>
      </c>
      <c r="F124" s="90">
        <v>25.8</v>
      </c>
      <c r="G124" s="17">
        <f>F124*C124</f>
        <v>670.80000000000007</v>
      </c>
      <c r="H124" s="419">
        <f>SUM(G121:G124)</f>
        <v>112350.8</v>
      </c>
      <c r="I124" s="90">
        <f t="shared" si="11"/>
        <v>-294.18999999999994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/>
      <c r="B125" s="90"/>
      <c r="C125" s="12"/>
      <c r="D125" s="12"/>
      <c r="E125" s="90">
        <f>SUM(E121:E124)</f>
        <v>133466.86499999999</v>
      </c>
      <c r="F125" s="90"/>
      <c r="G125" s="90"/>
      <c r="H125" s="117">
        <f>(SUM(G121:G124))-(SUM(E121:E124))</f>
        <v>-21116.064999999988</v>
      </c>
      <c r="I125" s="90"/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>
      <c r="A126" s="100"/>
      <c r="B126" s="90"/>
      <c r="C126" s="90"/>
      <c r="D126" s="90"/>
      <c r="E126" s="17"/>
      <c r="F126" s="90"/>
      <c r="G126" s="90"/>
      <c r="H126" s="90"/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>
        <v>45509</v>
      </c>
      <c r="B127" s="82" t="s">
        <v>1732</v>
      </c>
      <c r="C127" s="114">
        <v>1</v>
      </c>
      <c r="D127" s="83">
        <v>2500</v>
      </c>
      <c r="E127" s="116">
        <f>D127*C127</f>
        <v>2500</v>
      </c>
      <c r="F127" s="90">
        <v>3600</v>
      </c>
      <c r="G127" s="17">
        <f>C127*F127</f>
        <v>3600</v>
      </c>
      <c r="H127" s="90"/>
      <c r="I127" s="90">
        <f t="shared" ref="I127:I129" si="12">G127-E127</f>
        <v>1100</v>
      </c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148</v>
      </c>
      <c r="C128" s="114">
        <v>16</v>
      </c>
      <c r="D128" s="83">
        <v>4100</v>
      </c>
      <c r="E128" s="116">
        <f>D128*C128</f>
        <v>65600</v>
      </c>
      <c r="F128" s="90">
        <f>F127*1.73</f>
        <v>6228</v>
      </c>
      <c r="G128" s="17">
        <f>C128*F128</f>
        <v>99648</v>
      </c>
      <c r="H128" s="90"/>
      <c r="I128" s="90">
        <f t="shared" si="12"/>
        <v>34048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 ht="13.5" thickBot="1">
      <c r="A129" s="100">
        <v>45509</v>
      </c>
      <c r="B129" s="82" t="s">
        <v>149</v>
      </c>
      <c r="C129" s="114">
        <v>1</v>
      </c>
      <c r="D129" s="83">
        <v>16200</v>
      </c>
      <c r="E129" s="116">
        <f>D129*C129</f>
        <v>16200</v>
      </c>
      <c r="F129" s="90">
        <f>F128*4</f>
        <v>24912</v>
      </c>
      <c r="G129" s="17">
        <f>C129*F129</f>
        <v>24912</v>
      </c>
      <c r="H129" s="419">
        <f>SUM(G127:G129)</f>
        <v>128160</v>
      </c>
      <c r="I129" s="90">
        <f t="shared" si="12"/>
        <v>8712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/>
      <c r="B130" s="90"/>
      <c r="C130" s="12"/>
      <c r="D130" s="12"/>
      <c r="E130" s="90">
        <f>SUM(E127:E129)</f>
        <v>84300</v>
      </c>
      <c r="F130" s="90"/>
      <c r="G130" s="90"/>
      <c r="H130" s="117">
        <f>(SUM(G127:G129))-(SUM(E127:E129))</f>
        <v>43860</v>
      </c>
      <c r="I130" s="90"/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>
      <c r="A131" s="100"/>
      <c r="B131" s="90" t="s">
        <v>150</v>
      </c>
      <c r="C131" s="120">
        <v>33.250599999999999</v>
      </c>
      <c r="D131" s="12"/>
      <c r="E131" s="90"/>
      <c r="F131" s="90"/>
      <c r="G131" s="17"/>
      <c r="H131" s="90"/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151</v>
      </c>
      <c r="C132" s="120">
        <v>36.854999999999997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152</v>
      </c>
      <c r="C133" s="12"/>
      <c r="D133" s="12"/>
      <c r="E133" s="90"/>
      <c r="F133" s="90"/>
      <c r="G133" s="17">
        <v>0</v>
      </c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 ht="13.5" thickBot="1">
      <c r="A134" s="100"/>
      <c r="B134" s="90" t="s">
        <v>153</v>
      </c>
      <c r="C134" s="12"/>
      <c r="D134" s="12"/>
      <c r="E134" s="90"/>
      <c r="F134" s="90"/>
      <c r="G134" s="17">
        <v>1000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/>
      <c r="C135" s="90"/>
      <c r="D135" s="90"/>
      <c r="E135" s="121"/>
      <c r="F135" s="122"/>
      <c r="G135" s="123" t="s">
        <v>154</v>
      </c>
      <c r="H135" s="429">
        <f>H130+H125+H119</f>
        <v>75253.935000000012</v>
      </c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124"/>
      <c r="D136" s="92"/>
      <c r="E136" s="90"/>
      <c r="F136" s="90"/>
      <c r="G136" s="124"/>
      <c r="H136" s="90"/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18" t="s">
        <v>155</v>
      </c>
      <c r="E137" s="90"/>
      <c r="F137" s="90"/>
      <c r="G137" s="488">
        <f>SUM(G110:G134)</f>
        <v>794950.08000000007</v>
      </c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>
      <c r="A138" s="100"/>
      <c r="B138" s="90"/>
      <c r="C138" s="126" t="str">
        <f>A106</f>
        <v>MAYIS 2025 e</v>
      </c>
      <c r="D138" s="126" t="s">
        <v>156</v>
      </c>
      <c r="E138" s="90"/>
      <c r="F138" s="90"/>
      <c r="G138" s="127"/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11"/>
      <c r="C139" s="438"/>
      <c r="D139" s="439"/>
      <c r="E139" s="405"/>
      <c r="F139" s="405"/>
      <c r="G139" s="409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0"/>
      <c r="B140" s="90" t="s">
        <v>1685</v>
      </c>
      <c r="C140" s="90"/>
      <c r="D140" s="90"/>
      <c r="E140" s="90"/>
      <c r="F140" s="90"/>
      <c r="G140" s="90"/>
      <c r="H140" s="90"/>
      <c r="I140" s="90" t="s">
        <v>1676</v>
      </c>
      <c r="J140" s="11" t="s">
        <v>1676</v>
      </c>
      <c r="K140" s="78" t="s">
        <v>1677</v>
      </c>
      <c r="L140" s="78" t="s">
        <v>1678</v>
      </c>
      <c r="M140" s="78" t="s">
        <v>1679</v>
      </c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100">
        <v>45620</v>
      </c>
      <c r="B141" s="82" t="s">
        <v>1604</v>
      </c>
      <c r="C141" s="114">
        <v>3000</v>
      </c>
      <c r="D141" s="114">
        <v>32.549999999999997</v>
      </c>
      <c r="E141" s="116">
        <f t="shared" ref="E141" si="13">D141*C141</f>
        <v>97649.999999999985</v>
      </c>
      <c r="F141" s="90">
        <v>42.86</v>
      </c>
      <c r="G141" s="17">
        <f t="shared" ref="G141" si="14">F141*C141</f>
        <v>128580</v>
      </c>
      <c r="H141" s="90"/>
      <c r="I141" s="90">
        <f t="shared" ref="I141" si="15">G141-E141</f>
        <v>30930.000000000015</v>
      </c>
      <c r="J141" s="443">
        <f>(I141-I142)/E141</f>
        <v>0.31674347158218147</v>
      </c>
      <c r="K141" s="100">
        <v>45721</v>
      </c>
      <c r="L141" s="78">
        <f>K141-A141</f>
        <v>101</v>
      </c>
      <c r="M141" s="443">
        <f>J141/L141*30</f>
        <v>9.4082219281836091E-2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/>
      <c r="B142" s="82"/>
      <c r="C142" s="114" t="s">
        <v>1731</v>
      </c>
      <c r="D142" s="115"/>
      <c r="E142" s="116"/>
      <c r="F142" s="90" t="s">
        <v>1730</v>
      </c>
      <c r="G142" s="17">
        <v>-257.16000000000003</v>
      </c>
      <c r="H142" s="90"/>
      <c r="I142" s="90"/>
      <c r="J142" s="90"/>
      <c r="K142" s="475"/>
      <c r="M142" s="443"/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/>
      <c r="D143" s="115"/>
      <c r="E143" s="116"/>
      <c r="F143" s="404"/>
      <c r="G143" s="17">
        <v>-12.86</v>
      </c>
      <c r="H143" s="90"/>
      <c r="I143" s="90">
        <f>G143+G142</f>
        <v>-270.02000000000004</v>
      </c>
      <c r="J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/>
      <c r="H144" s="90"/>
      <c r="I144" s="90"/>
      <c r="J144" s="443"/>
      <c r="K144" s="100"/>
      <c r="M144" s="443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406"/>
      <c r="B145" s="407"/>
      <c r="C145" s="455"/>
      <c r="D145" s="456"/>
      <c r="E145" s="409"/>
      <c r="F145" s="405"/>
      <c r="G145" s="409"/>
      <c r="H145" s="405"/>
      <c r="I145" s="405"/>
      <c r="J145" s="90"/>
      <c r="K145" s="475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 ht="13.5" thickBot="1">
      <c r="A146" s="407"/>
      <c r="B146" s="407"/>
      <c r="C146" s="407"/>
      <c r="D146" s="405"/>
      <c r="E146" s="405"/>
      <c r="F146" s="405"/>
      <c r="G146" s="405"/>
      <c r="H146" s="405"/>
      <c r="I146" s="407"/>
      <c r="J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>
      <c r="A147" s="428"/>
      <c r="B147" s="428"/>
      <c r="C147" s="428"/>
      <c r="D147" s="417"/>
      <c r="E147" s="417"/>
      <c r="F147" s="417"/>
      <c r="G147" s="417">
        <f>SUM(G141:G146)</f>
        <v>128309.98</v>
      </c>
      <c r="H147" s="417"/>
      <c r="I147" s="486">
        <f>SUM(I141:I146)</f>
        <v>30659.980000000014</v>
      </c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11"/>
      <c r="B148" s="11"/>
      <c r="C148" s="11"/>
      <c r="D148" s="90"/>
      <c r="E148" s="90"/>
      <c r="F148" s="90"/>
      <c r="G148" s="90"/>
      <c r="H148" s="90"/>
      <c r="I148" s="11"/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 ht="18">
      <c r="A150" s="500" t="s">
        <v>1745</v>
      </c>
    </row>
    <row r="151" spans="1:23" ht="15.75">
      <c r="B151" s="476">
        <f>1-76.4616%</f>
        <v>0.23538399999999993</v>
      </c>
      <c r="C151" s="477">
        <v>0.76461599999999996</v>
      </c>
      <c r="D151" s="404"/>
      <c r="J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 spans="1:23" s="11" customFormat="1" ht="15.75">
      <c r="A152" s="98"/>
      <c r="B152" s="476" t="s">
        <v>1747</v>
      </c>
      <c r="C152" s="477"/>
      <c r="D152" s="404"/>
      <c r="E152" s="90"/>
      <c r="F152" s="90"/>
      <c r="G152" s="90"/>
      <c r="H152" s="90"/>
      <c r="K152" s="78"/>
      <c r="L152" s="78"/>
      <c r="M152" s="78"/>
      <c r="N152" s="78"/>
    </row>
    <row r="153" spans="1:23" s="11" customFormat="1" ht="15.75">
      <c r="A153" s="98"/>
      <c r="B153" s="476" t="s">
        <v>1746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1749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1748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6.5" thickBot="1">
      <c r="A156" s="98"/>
      <c r="B156" s="476"/>
      <c r="C156" s="11" t="s">
        <v>1751</v>
      </c>
      <c r="D156" s="11" t="s">
        <v>1750</v>
      </c>
      <c r="E156" s="90" t="s">
        <v>1742</v>
      </c>
      <c r="F156" s="497">
        <v>138749.76000000001</v>
      </c>
      <c r="G156" s="11" t="s">
        <v>1743</v>
      </c>
      <c r="H156" s="90" t="s">
        <v>3</v>
      </c>
      <c r="K156" s="78"/>
      <c r="L156" s="78"/>
      <c r="M156" s="78"/>
      <c r="N156" s="78"/>
    </row>
    <row r="157" spans="1:23" ht="13.5" thickBot="1">
      <c r="A157" s="100"/>
      <c r="B157" s="82" t="s">
        <v>1752</v>
      </c>
      <c r="C157" s="118">
        <v>160</v>
      </c>
      <c r="D157" s="77">
        <f>C157</f>
        <v>160</v>
      </c>
      <c r="E157" s="83">
        <v>872.26</v>
      </c>
      <c r="F157" s="498">
        <f>E157*C157</f>
        <v>139561.60000000001</v>
      </c>
      <c r="G157" s="487">
        <v>962.89330700000005</v>
      </c>
      <c r="H157" s="17">
        <f>G157*C157</f>
        <v>154062.92912000002</v>
      </c>
      <c r="I157" s="12">
        <f>H157</f>
        <v>154062.92912000002</v>
      </c>
      <c r="J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 spans="1:23" s="11" customFormat="1">
      <c r="A158" s="100"/>
      <c r="B158" s="82" t="s">
        <v>1753</v>
      </c>
      <c r="C158" s="118">
        <v>78</v>
      </c>
      <c r="D158" s="77">
        <f>D157+C158</f>
        <v>238</v>
      </c>
      <c r="E158" s="83">
        <v>872.26</v>
      </c>
      <c r="F158" s="498">
        <f>E158*C158</f>
        <v>68036.28</v>
      </c>
      <c r="G158" s="403">
        <f>G159</f>
        <v>962.89330700000005</v>
      </c>
      <c r="H158" s="17">
        <f>G158*C158</f>
        <v>75105.677946000011</v>
      </c>
      <c r="I158" s="12">
        <f>I157+H158</f>
        <v>229168.60706600003</v>
      </c>
      <c r="K158" s="78"/>
      <c r="L158" s="78"/>
      <c r="M158" s="78"/>
      <c r="N158" s="78"/>
    </row>
    <row r="159" spans="1:23">
      <c r="A159" s="496">
        <v>45755</v>
      </c>
      <c r="B159" s="499" t="s">
        <v>1741</v>
      </c>
      <c r="C159" s="118">
        <v>-21</v>
      </c>
      <c r="D159" s="90">
        <f>D158+C159</f>
        <v>217</v>
      </c>
      <c r="E159" s="83">
        <v>872.26</v>
      </c>
      <c r="F159" s="449">
        <f>E159*C159</f>
        <v>-18317.46</v>
      </c>
      <c r="G159" s="403">
        <f>G157</f>
        <v>962.89330700000005</v>
      </c>
      <c r="H159" s="17">
        <f>G159*C159</f>
        <v>-20220.759447</v>
      </c>
      <c r="I159" s="12">
        <f>I158+H159</f>
        <v>208947.84761900004</v>
      </c>
      <c r="J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 spans="1:23">
      <c r="A160" s="100"/>
      <c r="B160" s="82" t="s">
        <v>1744</v>
      </c>
      <c r="C160" s="388"/>
      <c r="E160" s="83"/>
      <c r="H160" s="77">
        <v>-300.32</v>
      </c>
      <c r="I160" s="12">
        <f>I159+H160</f>
        <v>208647.52761900003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I161" s="90"/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B163" s="11"/>
      <c r="C163" s="11"/>
      <c r="D163" s="90"/>
      <c r="E163" s="90"/>
      <c r="F163" s="90"/>
      <c r="G163" s="90"/>
      <c r="H163" s="90"/>
      <c r="I163" s="11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</sheetData>
  <conditionalFormatting sqref="F127:F129">
    <cfRule type="cellIs" dxfId="44" priority="10" operator="lessThan">
      <formula>D127</formula>
    </cfRule>
  </conditionalFormatting>
  <conditionalFormatting sqref="F122:F124">
    <cfRule type="cellIs" dxfId="43" priority="11" operator="lessThan">
      <formula>D122</formula>
    </cfRule>
  </conditionalFormatting>
  <conditionalFormatting sqref="F118">
    <cfRule type="cellIs" dxfId="42" priority="12" operator="lessThan">
      <formula>D118</formula>
    </cfRule>
  </conditionalFormatting>
  <conditionalFormatting sqref="F117">
    <cfRule type="cellIs" dxfId="41" priority="13" operator="lessThan">
      <formula>D117</formula>
    </cfRule>
  </conditionalFormatting>
  <conditionalFormatting sqref="F142">
    <cfRule type="cellIs" dxfId="40" priority="9" operator="lessThan">
      <formula>D142</formula>
    </cfRule>
  </conditionalFormatting>
  <conditionalFormatting sqref="F145">
    <cfRule type="cellIs" dxfId="39" priority="8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43">
    <cfRule type="cellIs" dxfId="37" priority="4" operator="lessThan">
      <formula>D143</formula>
    </cfRule>
  </conditionalFormatting>
  <conditionalFormatting sqref="F116">
    <cfRule type="cellIs" dxfId="36" priority="3" operator="lessThan">
      <formula>D116</formula>
    </cfRule>
  </conditionalFormatting>
  <conditionalFormatting sqref="F141">
    <cfRule type="cellIs" dxfId="35" priority="2" operator="lessThan">
      <formula>D141</formula>
    </cfRule>
  </conditionalFormatting>
  <conditionalFormatting sqref="F121">
    <cfRule type="cellIs" dxfId="34" priority="1" operator="lessThan">
      <formula>D121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84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6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25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5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1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5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7"/>
  <sheetViews>
    <sheetView topLeftCell="A62" zoomScale="175" zoomScaleNormal="175" workbookViewId="0">
      <selection activeCell="A73" sqref="A73:F7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3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7" t="s">
        <v>1756</v>
      </c>
      <c r="C52" s="130"/>
      <c r="D52" s="131"/>
      <c r="E52" s="131"/>
      <c r="F52" s="510"/>
    </row>
    <row r="53" spans="1:6">
      <c r="B53" s="528" t="s">
        <v>1757</v>
      </c>
      <c r="C53" s="529"/>
      <c r="D53" s="530"/>
      <c r="E53" s="530"/>
      <c r="F53" s="135"/>
    </row>
    <row r="54" spans="1:6" s="11" customFormat="1">
      <c r="A54" s="10"/>
      <c r="B54" s="528" t="s">
        <v>1758</v>
      </c>
      <c r="C54" s="529"/>
      <c r="D54" s="530"/>
      <c r="E54" s="530"/>
      <c r="F54" s="135"/>
    </row>
    <row r="55" spans="1:6" s="11" customFormat="1">
      <c r="A55" s="10"/>
      <c r="B55" s="528" t="s">
        <v>1755</v>
      </c>
      <c r="C55" s="529"/>
      <c r="D55" s="530"/>
      <c r="E55" s="530"/>
      <c r="F55" s="135"/>
    </row>
    <row r="56" spans="1:6" s="11" customFormat="1" ht="13.5" thickBot="1">
      <c r="A56" s="10"/>
      <c r="B56" s="535"/>
      <c r="C56" s="529">
        <v>2637</v>
      </c>
      <c r="D56" s="528" t="s">
        <v>1759</v>
      </c>
      <c r="E56" s="530"/>
      <c r="F56" s="135"/>
    </row>
    <row r="57" spans="1:6" s="11" customFormat="1" ht="13.5" thickBot="1">
      <c r="A57" s="540"/>
      <c r="B57" s="541" t="s">
        <v>1760</v>
      </c>
      <c r="C57" s="542">
        <f>F58/C56</f>
        <v>166.09783845278727</v>
      </c>
      <c r="D57" s="541" t="s">
        <v>233</v>
      </c>
      <c r="E57" s="543"/>
      <c r="F57" s="544"/>
    </row>
    <row r="58" spans="1:6" s="11" customFormat="1">
      <c r="A58" s="10"/>
      <c r="D58" s="12"/>
      <c r="E58" s="12"/>
      <c r="F58" s="12">
        <f>F51+D58-E58</f>
        <v>438000</v>
      </c>
    </row>
    <row r="59" spans="1:6">
      <c r="A59" s="1">
        <v>45519</v>
      </c>
      <c r="B59" s="8" t="s">
        <v>203</v>
      </c>
      <c r="C59" s="8" t="s">
        <v>120</v>
      </c>
      <c r="E59" s="2">
        <v>30000</v>
      </c>
      <c r="F59" s="12">
        <f t="shared" si="1"/>
        <v>408000</v>
      </c>
    </row>
    <row r="60" spans="1:6">
      <c r="B60" s="8" t="s">
        <v>204</v>
      </c>
      <c r="D60" s="2">
        <v>200</v>
      </c>
      <c r="F60" s="12">
        <f t="shared" si="1"/>
        <v>408200</v>
      </c>
    </row>
    <row r="61" spans="1:6">
      <c r="A61" s="233"/>
      <c r="B61" s="92" t="s">
        <v>205</v>
      </c>
      <c r="C61" s="92"/>
      <c r="D61" s="17"/>
      <c r="E61" s="17">
        <v>1100</v>
      </c>
      <c r="F61" s="17">
        <f t="shared" si="1"/>
        <v>407100</v>
      </c>
    </row>
    <row r="62" spans="1:6">
      <c r="A62" s="144">
        <v>45536</v>
      </c>
      <c r="B62" s="145" t="s">
        <v>206</v>
      </c>
      <c r="C62" s="145" t="s">
        <v>120</v>
      </c>
      <c r="D62" s="146"/>
      <c r="E62" s="146">
        <v>5600</v>
      </c>
      <c r="F62" s="146">
        <f t="shared" si="1"/>
        <v>401500</v>
      </c>
    </row>
    <row r="63" spans="1:6" s="11" customFormat="1">
      <c r="A63" s="536"/>
      <c r="B63" s="537" t="s">
        <v>1770</v>
      </c>
      <c r="C63" s="538">
        <f>36500/2626</f>
        <v>13.8994668697639</v>
      </c>
      <c r="D63" s="539" t="s">
        <v>233</v>
      </c>
      <c r="E63" s="539"/>
      <c r="F63" s="539"/>
    </row>
    <row r="64" spans="1:6">
      <c r="A64" s="144">
        <v>45550</v>
      </c>
      <c r="B64" s="145" t="s">
        <v>207</v>
      </c>
      <c r="C64" s="145" t="s">
        <v>120</v>
      </c>
      <c r="D64" s="146"/>
      <c r="E64" s="146">
        <v>30000</v>
      </c>
      <c r="F64" s="146">
        <f>F62+D64-E64</f>
        <v>371500</v>
      </c>
    </row>
    <row r="65" spans="1:6">
      <c r="A65" s="490">
        <v>45565</v>
      </c>
      <c r="B65" s="491" t="s">
        <v>208</v>
      </c>
      <c r="C65" s="491" t="s">
        <v>209</v>
      </c>
      <c r="D65" s="128"/>
      <c r="E65" s="128">
        <v>6000</v>
      </c>
      <c r="F65" s="128">
        <f t="shared" si="1"/>
        <v>365500</v>
      </c>
    </row>
    <row r="66" spans="1:6" s="11" customFormat="1">
      <c r="A66" s="536"/>
      <c r="B66" s="537" t="s">
        <v>1771</v>
      </c>
      <c r="C66" s="538">
        <f>36000/2801</f>
        <v>12.85255265976437</v>
      </c>
      <c r="D66" s="539" t="s">
        <v>233</v>
      </c>
      <c r="E66" s="539"/>
      <c r="F66" s="539"/>
    </row>
    <row r="67" spans="1:6">
      <c r="A67" s="144">
        <v>45580</v>
      </c>
      <c r="B67" s="145" t="s">
        <v>210</v>
      </c>
      <c r="C67" s="145" t="s">
        <v>120</v>
      </c>
      <c r="D67" s="146"/>
      <c r="E67" s="146">
        <v>30000</v>
      </c>
      <c r="F67" s="146">
        <f>F65+D67-E67</f>
        <v>335500</v>
      </c>
    </row>
    <row r="68" spans="1:6">
      <c r="A68" s="490">
        <v>45595</v>
      </c>
      <c r="B68" s="491" t="s">
        <v>211</v>
      </c>
      <c r="C68" s="491" t="s">
        <v>209</v>
      </c>
      <c r="D68" s="128"/>
      <c r="E68" s="128">
        <v>6000</v>
      </c>
      <c r="F68" s="128">
        <f t="shared" si="1"/>
        <v>329500</v>
      </c>
    </row>
    <row r="69" spans="1:6" s="11" customFormat="1">
      <c r="A69" s="536"/>
      <c r="B69" s="537" t="s">
        <v>1772</v>
      </c>
      <c r="C69" s="538">
        <f>36000/2905</f>
        <v>12.392426850258175</v>
      </c>
      <c r="D69" s="539" t="s">
        <v>233</v>
      </c>
      <c r="E69" s="539"/>
      <c r="F69" s="539"/>
    </row>
    <row r="70" spans="1:6">
      <c r="A70" s="493">
        <v>45611</v>
      </c>
      <c r="B70" s="8" t="s">
        <v>212</v>
      </c>
      <c r="C70" s="67" t="s">
        <v>213</v>
      </c>
      <c r="D70" s="494"/>
      <c r="E70" s="494">
        <v>35800</v>
      </c>
      <c r="F70" s="494">
        <f>F68+D70-E70</f>
        <v>293700</v>
      </c>
    </row>
    <row r="71" spans="1:6">
      <c r="A71" s="493"/>
      <c r="B71" s="8" t="s">
        <v>214</v>
      </c>
      <c r="C71" s="67"/>
      <c r="D71" s="494">
        <v>630</v>
      </c>
      <c r="E71" s="494"/>
      <c r="F71" s="494">
        <f t="shared" si="1"/>
        <v>294330</v>
      </c>
    </row>
    <row r="72" spans="1:6" s="11" customFormat="1">
      <c r="A72" s="492"/>
      <c r="B72" s="92" t="s">
        <v>1590</v>
      </c>
      <c r="C72" s="491"/>
      <c r="D72" s="17">
        <v>1000</v>
      </c>
      <c r="E72" s="17"/>
      <c r="F72" s="17">
        <f t="shared" si="1"/>
        <v>295330</v>
      </c>
    </row>
    <row r="73" spans="1:6" s="11" customFormat="1">
      <c r="A73" s="536"/>
      <c r="B73" s="537" t="s">
        <v>1773</v>
      </c>
      <c r="C73" s="538">
        <f>35800/2898</f>
        <v>12.353347135955831</v>
      </c>
      <c r="D73" s="539" t="s">
        <v>233</v>
      </c>
      <c r="E73" s="539"/>
      <c r="F73" s="539"/>
    </row>
    <row r="74" spans="1:6">
      <c r="A74" s="147">
        <v>45641</v>
      </c>
      <c r="B74" s="82" t="s">
        <v>215</v>
      </c>
      <c r="C74" s="82" t="s">
        <v>216</v>
      </c>
      <c r="D74" s="114"/>
      <c r="E74" s="114">
        <v>38000</v>
      </c>
      <c r="F74" s="389">
        <f>F72+D74-E74</f>
        <v>257330</v>
      </c>
    </row>
    <row r="75" spans="1:6" s="11" customFormat="1">
      <c r="A75" s="536"/>
      <c r="B75" s="537" t="s">
        <v>1774</v>
      </c>
      <c r="C75" s="538">
        <f>38000/2970</f>
        <v>12.794612794612794</v>
      </c>
      <c r="D75" s="539" t="s">
        <v>233</v>
      </c>
      <c r="E75" s="539"/>
      <c r="F75" s="539"/>
    </row>
    <row r="76" spans="1:6">
      <c r="A76" s="1">
        <v>45672</v>
      </c>
      <c r="B76" s="8" t="s">
        <v>7</v>
      </c>
      <c r="C76" s="8" t="s">
        <v>6</v>
      </c>
      <c r="E76" s="2">
        <v>36500</v>
      </c>
      <c r="F76" s="2">
        <f>F74+D76-E76</f>
        <v>220830</v>
      </c>
    </row>
    <row r="77" spans="1:6">
      <c r="A77" s="1">
        <v>45703</v>
      </c>
      <c r="B77" s="8" t="s">
        <v>8</v>
      </c>
      <c r="C77" s="8" t="s">
        <v>6</v>
      </c>
      <c r="E77" s="2">
        <v>36500</v>
      </c>
      <c r="F77" s="2">
        <f t="shared" si="1"/>
        <v>184330</v>
      </c>
    </row>
    <row r="78" spans="1:6">
      <c r="A78" s="1">
        <v>45731</v>
      </c>
      <c r="B78" s="8" t="s">
        <v>9</v>
      </c>
      <c r="C78" s="8" t="s">
        <v>6</v>
      </c>
      <c r="E78" s="2">
        <v>36500</v>
      </c>
      <c r="F78" s="2">
        <f t="shared" si="1"/>
        <v>147830</v>
      </c>
    </row>
    <row r="79" spans="1:6">
      <c r="A79" s="1">
        <v>45762</v>
      </c>
      <c r="B79" s="8" t="s">
        <v>10</v>
      </c>
      <c r="C79" s="8" t="s">
        <v>6</v>
      </c>
      <c r="E79" s="2">
        <v>36500</v>
      </c>
      <c r="F79" s="2">
        <f t="shared" si="1"/>
        <v>111330</v>
      </c>
    </row>
    <row r="80" spans="1:6">
      <c r="A80" s="1">
        <v>45792</v>
      </c>
      <c r="B80" s="8" t="s">
        <v>11</v>
      </c>
      <c r="C80" s="8" t="s">
        <v>6</v>
      </c>
      <c r="E80" s="2">
        <v>36500</v>
      </c>
      <c r="F80" s="2">
        <f t="shared" si="1"/>
        <v>74830</v>
      </c>
    </row>
    <row r="81" spans="1:6">
      <c r="A81" s="1">
        <v>45823</v>
      </c>
      <c r="B81" s="8" t="s">
        <v>12</v>
      </c>
      <c r="C81" s="8" t="s">
        <v>6</v>
      </c>
      <c r="E81" s="2">
        <v>36500</v>
      </c>
      <c r="F81" s="2">
        <f t="shared" si="1"/>
        <v>38330</v>
      </c>
    </row>
    <row r="82" spans="1:6">
      <c r="A82" s="1">
        <v>45853</v>
      </c>
      <c r="B82" s="8" t="s">
        <v>13</v>
      </c>
      <c r="C82" s="8" t="s">
        <v>6</v>
      </c>
      <c r="E82" s="2">
        <v>36500</v>
      </c>
      <c r="F82" s="2">
        <f t="shared" si="1"/>
        <v>1830</v>
      </c>
    </row>
    <row r="83" spans="1:6">
      <c r="E83" s="13"/>
      <c r="F83" s="14">
        <f t="shared" si="1"/>
        <v>1830</v>
      </c>
    </row>
    <row r="84" spans="1:6">
      <c r="E84" s="15"/>
      <c r="F84" s="16" t="s">
        <v>14</v>
      </c>
    </row>
    <row r="90" spans="1:6">
      <c r="B90" s="8" t="s">
        <v>217</v>
      </c>
      <c r="D90" s="2">
        <v>1466500</v>
      </c>
      <c r="F90" s="2">
        <f t="shared" ref="F90:F95" si="2">F89+D90-E90</f>
        <v>1466500</v>
      </c>
    </row>
    <row r="91" spans="1:6">
      <c r="B91" s="8" t="s">
        <v>192</v>
      </c>
      <c r="D91" s="2">
        <v>11631</v>
      </c>
      <c r="F91" s="2">
        <f t="shared" si="2"/>
        <v>1478131</v>
      </c>
    </row>
    <row r="92" spans="1:6">
      <c r="B92" s="8" t="s">
        <v>218</v>
      </c>
      <c r="D92" s="2">
        <v>15500</v>
      </c>
      <c r="F92" s="2">
        <f t="shared" si="2"/>
        <v>1493631</v>
      </c>
    </row>
    <row r="93" spans="1:6">
      <c r="F93" s="2">
        <f t="shared" si="2"/>
        <v>1493631</v>
      </c>
    </row>
    <row r="94" spans="1:6">
      <c r="F94" s="2">
        <f t="shared" si="2"/>
        <v>1493631</v>
      </c>
    </row>
    <row r="95" spans="1:6">
      <c r="B95" s="3" t="s">
        <v>219</v>
      </c>
      <c r="C95" s="3"/>
      <c r="D95" s="17"/>
      <c r="E95" s="17"/>
      <c r="F95" s="17">
        <f t="shared" si="2"/>
        <v>1493631</v>
      </c>
    </row>
    <row r="97" spans="1:6">
      <c r="B97" s="148" t="s">
        <v>220</v>
      </c>
      <c r="C97" s="148" t="s">
        <v>221</v>
      </c>
      <c r="D97" s="149"/>
      <c r="E97" s="150" t="s">
        <v>222</v>
      </c>
      <c r="F97" s="150" t="s">
        <v>223</v>
      </c>
    </row>
    <row r="98" spans="1:6">
      <c r="F98" s="128">
        <f>F95+D98-E98</f>
        <v>1493631</v>
      </c>
    </row>
    <row r="99" spans="1:6">
      <c r="F99" s="2">
        <f t="shared" ref="F99:F105" si="3">F98-E99</f>
        <v>1493631</v>
      </c>
    </row>
    <row r="100" spans="1:6">
      <c r="B100" s="8" t="s">
        <v>224</v>
      </c>
      <c r="C100" s="8" t="s">
        <v>225</v>
      </c>
      <c r="E100" s="2">
        <f>E44+E45</f>
        <v>134783.84</v>
      </c>
      <c r="F100" s="2">
        <f t="shared" si="3"/>
        <v>1358847.16</v>
      </c>
    </row>
    <row r="101" spans="1:6">
      <c r="F101" s="2">
        <f t="shared" si="3"/>
        <v>1358847.16</v>
      </c>
    </row>
    <row r="102" spans="1:6">
      <c r="B102" s="8" t="s">
        <v>226</v>
      </c>
      <c r="C102" s="8" t="s">
        <v>227</v>
      </c>
      <c r="E102" s="2">
        <v>100000</v>
      </c>
      <c r="F102" s="2">
        <f t="shared" si="3"/>
        <v>1258847.1599999999</v>
      </c>
    </row>
    <row r="103" spans="1:6">
      <c r="F103" s="2">
        <f t="shared" si="3"/>
        <v>1258847.1599999999</v>
      </c>
    </row>
    <row r="104" spans="1:6">
      <c r="B104" s="8" t="s">
        <v>188</v>
      </c>
      <c r="C104" s="8" t="s">
        <v>228</v>
      </c>
      <c r="E104" s="2">
        <v>11631</v>
      </c>
      <c r="F104" s="2">
        <f t="shared" si="3"/>
        <v>1247216.1599999999</v>
      </c>
    </row>
    <row r="105" spans="1:6">
      <c r="B105" s="8" t="s">
        <v>189</v>
      </c>
      <c r="C105" s="8" t="s">
        <v>228</v>
      </c>
      <c r="E105" s="2">
        <v>15500</v>
      </c>
      <c r="F105" s="17">
        <f t="shared" si="3"/>
        <v>1231716.1599999999</v>
      </c>
    </row>
    <row r="106" spans="1:6" s="11" customFormat="1" ht="13.5" thickBot="1">
      <c r="A106" s="10"/>
      <c r="B106" s="8" t="s">
        <v>1763</v>
      </c>
      <c r="C106" s="8"/>
      <c r="D106" s="2"/>
      <c r="E106" s="2">
        <f>F33*-1</f>
        <v>91403.16</v>
      </c>
      <c r="F106" s="17">
        <f>F105-E106</f>
        <v>1140313</v>
      </c>
    </row>
    <row r="107" spans="1:6" ht="13.5" thickBot="1">
      <c r="B107" s="121"/>
      <c r="C107" s="151"/>
      <c r="D107" s="152" t="s">
        <v>229</v>
      </c>
      <c r="E107" s="141">
        <f>SUM(E100:E106)</f>
        <v>353318</v>
      </c>
    </row>
    <row r="109" spans="1:6" s="11" customFormat="1">
      <c r="A109" s="10"/>
      <c r="D109" s="12"/>
      <c r="E109" s="12"/>
      <c r="F109" s="17">
        <f>F106</f>
        <v>1140313</v>
      </c>
    </row>
    <row r="110" spans="1:6" s="11" customFormat="1">
      <c r="A110" s="10"/>
      <c r="B110" s="8" t="s">
        <v>1762</v>
      </c>
      <c r="C110" s="8" t="s">
        <v>1764</v>
      </c>
      <c r="D110" s="2"/>
      <c r="E110" s="2">
        <v>550000</v>
      </c>
      <c r="F110" s="17">
        <f>F109-E110</f>
        <v>590313</v>
      </c>
    </row>
    <row r="111" spans="1:6" s="11" customFormat="1">
      <c r="A111" s="10"/>
      <c r="D111" s="12"/>
      <c r="E111" s="12"/>
      <c r="F111" s="17">
        <f t="shared" ref="F111:F115" si="4">F110-E111</f>
        <v>590313</v>
      </c>
    </row>
    <row r="112" spans="1:6" s="11" customFormat="1">
      <c r="A112" s="10"/>
      <c r="D112" s="12"/>
      <c r="E112" s="12"/>
      <c r="F112" s="17">
        <f t="shared" si="4"/>
        <v>590313</v>
      </c>
    </row>
    <row r="113" spans="1:6" s="11" customFormat="1">
      <c r="A113" s="10"/>
      <c r="B113" s="8" t="s">
        <v>231</v>
      </c>
      <c r="C113" s="8" t="s">
        <v>1761</v>
      </c>
      <c r="D113" s="2"/>
      <c r="E113" s="2">
        <v>438000</v>
      </c>
      <c r="F113" s="17">
        <f>F112-E113</f>
        <v>152313</v>
      </c>
    </row>
    <row r="114" spans="1:6" s="11" customFormat="1">
      <c r="A114" s="10"/>
      <c r="B114" s="8"/>
      <c r="C114" s="8"/>
      <c r="D114" s="12"/>
      <c r="E114" s="12"/>
      <c r="F114" s="17">
        <f t="shared" si="4"/>
        <v>152313</v>
      </c>
    </row>
    <row r="115" spans="1:6">
      <c r="F115" s="17">
        <f t="shared" si="4"/>
        <v>152313</v>
      </c>
    </row>
    <row r="116" spans="1:6" ht="13.5" thickBot="1">
      <c r="B116" s="8" t="s">
        <v>1766</v>
      </c>
      <c r="C116" s="8" t="s">
        <v>230</v>
      </c>
      <c r="E116" s="2">
        <v>84313</v>
      </c>
      <c r="F116" s="17">
        <f>F115-E116</f>
        <v>68000</v>
      </c>
    </row>
    <row r="117" spans="1:6">
      <c r="B117" s="129" t="s">
        <v>1765</v>
      </c>
      <c r="C117" s="531" t="s">
        <v>230</v>
      </c>
      <c r="E117" s="2">
        <v>68000</v>
      </c>
      <c r="F117" s="17">
        <f>F116-E117</f>
        <v>0</v>
      </c>
    </row>
    <row r="118" spans="1:6">
      <c r="B118" s="134" t="s">
        <v>1767</v>
      </c>
      <c r="C118" s="532"/>
    </row>
    <row r="119" spans="1:6">
      <c r="B119" s="134" t="s">
        <v>1768</v>
      </c>
      <c r="C119" s="532"/>
    </row>
    <row r="120" spans="1:6" ht="13.5" thickBot="1">
      <c r="B120" s="533" t="s">
        <v>1769</v>
      </c>
      <c r="C120" s="534"/>
    </row>
    <row r="121" spans="1:6" ht="13.5" thickBot="1">
      <c r="B121" s="121"/>
      <c r="C121" s="151"/>
      <c r="D121" s="152" t="s">
        <v>232</v>
      </c>
      <c r="E121" s="141">
        <f>SUM(E116:E120)</f>
        <v>152313</v>
      </c>
    </row>
    <row r="138" spans="2:6">
      <c r="B138" s="8" t="s">
        <v>15</v>
      </c>
    </row>
    <row r="140" spans="2:6">
      <c r="F140" s="2">
        <f t="shared" ref="F140:F145" si="5">F139+D140-E140</f>
        <v>0</v>
      </c>
    </row>
    <row r="141" spans="2:6">
      <c r="B141" s="8" t="s">
        <v>16</v>
      </c>
      <c r="D141" s="2">
        <v>50000</v>
      </c>
      <c r="F141" s="2">
        <f t="shared" si="5"/>
        <v>50000</v>
      </c>
    </row>
    <row r="142" spans="2:6">
      <c r="B142" s="8" t="s">
        <v>17</v>
      </c>
      <c r="D142" s="2">
        <v>140000</v>
      </c>
      <c r="F142" s="2">
        <f t="shared" si="5"/>
        <v>190000</v>
      </c>
    </row>
    <row r="143" spans="2:6">
      <c r="B143" s="8" t="s">
        <v>18</v>
      </c>
      <c r="D143" s="2">
        <v>195000</v>
      </c>
      <c r="F143" s="2">
        <f t="shared" si="5"/>
        <v>385000</v>
      </c>
    </row>
    <row r="144" spans="2:6">
      <c r="B144" s="8" t="s">
        <v>19</v>
      </c>
      <c r="E144" s="2">
        <v>310000</v>
      </c>
      <c r="F144" s="2">
        <f t="shared" si="5"/>
        <v>75000</v>
      </c>
    </row>
    <row r="145" spans="2:6">
      <c r="B145" s="3" t="s">
        <v>20</v>
      </c>
      <c r="C145" s="3"/>
      <c r="D145" s="17"/>
      <c r="E145" s="17"/>
      <c r="F145" s="17">
        <f t="shared" si="5"/>
        <v>75000</v>
      </c>
    </row>
    <row r="146" spans="2:6">
      <c r="B146" s="3" t="s">
        <v>21</v>
      </c>
      <c r="C146" s="3"/>
      <c r="D146" s="17">
        <f>E100-F144</f>
        <v>59783.839999999997</v>
      </c>
      <c r="F146" s="2">
        <f>F144+D146-E146</f>
        <v>134783.84</v>
      </c>
    </row>
    <row r="147" spans="2:6">
      <c r="E147" s="18" t="s">
        <v>22</v>
      </c>
      <c r="F147" s="17">
        <f>F146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5" t="s">
        <v>26</v>
      </c>
      <c r="M1" s="54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46">
        <f>L15+M15</f>
        <v>1080.7929879999999</v>
      </c>
      <c r="M17" s="546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5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5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5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5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2025-04-27T03:34:47Z</dcterms:modified>
  <dc:language>tr-TR</dc:language>
</cp:coreProperties>
</file>