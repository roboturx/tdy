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72B3620-355C-4869-8DE3-7E15F3544993}" xr6:coauthVersionLast="47" xr6:coauthVersionMax="47" xr10:uidLastSave="{00000000-0000-0000-0000-000000000000}"/>
  <bookViews>
    <workbookView xWindow="-120" yWindow="-120" windowWidth="29040" windowHeight="15720" tabRatio="839" activeTab="7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3" i="8" l="1"/>
  <c r="H12" i="9"/>
  <c r="H13" i="9" s="1"/>
  <c r="H14" i="9" s="1"/>
  <c r="H15" i="9" s="1"/>
  <c r="H16" i="9" s="1"/>
  <c r="H17" i="9" s="1"/>
  <c r="H18" i="9" s="1"/>
  <c r="H19" i="9" s="1"/>
  <c r="H20" i="9" s="1"/>
  <c r="H21" i="9" s="1"/>
  <c r="E115" i="8"/>
  <c r="D55" i="1"/>
  <c r="D92" i="11"/>
  <c r="F30" i="1" s="1"/>
  <c r="C24" i="1"/>
  <c r="E35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K125" i="9"/>
  <c r="G125" i="9"/>
  <c r="E125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I142" i="9" l="1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25" i="9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5" i="1"/>
  <c r="I22" i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43" i="9" l="1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I125" i="9"/>
  <c r="L125" i="9" s="1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46" i="9" l="1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147" i="9" l="1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8" i="8"/>
  <c r="G8" i="8" s="1"/>
  <c r="E7" i="8"/>
  <c r="H4" i="8"/>
  <c r="H5" i="8" s="1"/>
  <c r="H6" i="8" s="1"/>
  <c r="F2" i="8"/>
  <c r="E9" i="2" s="1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148" i="9" l="1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F148" i="9" l="1"/>
  <c r="D149" i="9"/>
  <c r="H7" i="9"/>
  <c r="H8" i="9" s="1"/>
  <c r="G2" i="10"/>
  <c r="F7" i="2" s="1"/>
  <c r="H7" i="10"/>
  <c r="F19" i="1"/>
  <c r="F21" i="1" s="1"/>
  <c r="F23" i="1" s="1"/>
  <c r="F25" i="1" s="1"/>
  <c r="F29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9" i="9" l="1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0" i="9" l="1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H27" i="9" l="1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F152" i="9" l="1"/>
  <c r="D153" i="9"/>
  <c r="F16" i="17"/>
  <c r="G15" i="17"/>
  <c r="G16" i="17" s="1"/>
  <c r="D154" i="9" l="1"/>
  <c r="F153" i="9"/>
  <c r="F154" i="9" l="1"/>
  <c r="D155" i="9"/>
  <c r="D156" i="9" l="1"/>
  <c r="F155" i="9"/>
  <c r="F156" i="9" l="1"/>
  <c r="D157" i="9"/>
  <c r="D158" i="9" l="1"/>
  <c r="F157" i="9"/>
  <c r="F158" i="9" l="1"/>
  <c r="D159" i="9"/>
  <c r="F159" i="9" l="1"/>
  <c r="D160" i="9"/>
  <c r="F160" i="9" l="1"/>
  <c r="D161" i="9"/>
  <c r="D162" i="9" l="1"/>
  <c r="F161" i="9"/>
  <c r="F162" i="9" l="1"/>
  <c r="D163" i="9"/>
  <c r="D164" i="9" l="1"/>
  <c r="F163" i="9"/>
  <c r="F164" i="9" l="1"/>
  <c r="D165" i="9"/>
  <c r="D166" i="9" l="1"/>
  <c r="F166" i="9" s="1"/>
  <c r="F165" i="9"/>
</calcChain>
</file>

<file path=xl/sharedStrings.xml><?xml version="1.0" encoding="utf-8"?>
<sst xmlns="http://schemas.openxmlformats.org/spreadsheetml/2006/main" count="5029" uniqueCount="1907">
  <si>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</si>
  <si>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</si>
  <si>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</si>
  <si>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</si>
  <si>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</si>
  <si>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</si>
  <si>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</si>
  <si>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</si>
  <si>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</si>
  <si>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</si>
  <si>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</si>
  <si>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</si>
  <si>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</si>
  <si>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</si>
  <si>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</si>
  <si>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</si>
  <si>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</si>
  <si>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</si>
  <si>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</si>
  <si>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</si>
  <si>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</si>
  <si>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</si>
  <si>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</si>
  <si>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</si>
  <si>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</si>
  <si>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</si>
  <si>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</si>
  <si>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</si>
  <si>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</si>
  <si>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</si>
  <si>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</si>
  <si>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</si>
  <si>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</si>
  <si>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</si>
  <si>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</si>
  <si>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</si>
  <si>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</si>
  <si>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</si>
  <si>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</si>
  <si>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</si>
  <si>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</si>
  <si>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</si>
  <si>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</si>
  <si>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</si>
  <si>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</si>
  <si>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</si>
  <si>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</si>
  <si>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</si>
  <si>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</si>
  <si>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</si>
  <si>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</si>
  <si>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</si>
  <si>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</si>
  <si>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</si>
  <si>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</si>
  <si>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</si>
  <si>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</si>
  <si>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</si>
  <si>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</si>
  <si>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</si>
  <si>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</si>
  <si>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</si>
  <si>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</si>
  <si>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</si>
  <si>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</si>
  <si>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</si>
  <si>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</si>
  <si>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</si>
  <si>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</si>
  <si>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</si>
  <si>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</si>
  <si>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</si>
  <si>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</si>
  <si>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</si>
  <si>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</si>
  <si>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</si>
  <si>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</si>
  <si>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</si>
  <si>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</si>
  <si>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</si>
  <si>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</si>
  <si>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</si>
  <si>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</si>
  <si>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</si>
  <si>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</si>
  <si>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</si>
  <si>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</si>
  <si>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</si>
  <si>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</si>
  <si>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</si>
  <si>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</si>
  <si>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</si>
  <si>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</si>
  <si>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</si>
  <si>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</si>
  <si>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</si>
  <si>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</si>
  <si>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</si>
  <si>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</si>
  <si>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</si>
  <si>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</si>
  <si>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</si>
  <si>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</si>
  <si>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</si>
  <si>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</si>
  <si>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</si>
  <si>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</si>
  <si>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</si>
  <si>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</si>
  <si>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</si>
  <si>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</si>
  <si>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</si>
  <si>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</si>
  <si>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</si>
  <si>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</si>
  <si>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</si>
  <si>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</si>
  <si>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</si>
  <si>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</si>
  <si>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</si>
  <si>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</si>
  <si>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</si>
  <si>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</si>
  <si>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</si>
  <si>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</si>
  <si>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</si>
  <si>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</si>
  <si>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</si>
  <si>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</si>
  <si>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</si>
  <si>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</si>
  <si>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</si>
  <si>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</si>
  <si>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</si>
  <si>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</si>
  <si>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</si>
  <si>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</si>
  <si>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</si>
  <si>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</si>
  <si>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</si>
  <si>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</si>
  <si>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</si>
  <si>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</si>
  <si>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</si>
  <si>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</si>
  <si>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</si>
  <si>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</si>
  <si>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</si>
  <si>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</si>
  <si>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</si>
  <si>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</si>
  <si>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</si>
  <si>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</si>
  <si>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</si>
  <si>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</si>
  <si>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</si>
  <si>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</si>
  <si>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</si>
  <si>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</si>
  <si>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</si>
  <si>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</si>
  <si>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</si>
  <si>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</si>
  <si>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</si>
  <si>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</si>
  <si>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</si>
  <si>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</si>
  <si>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</si>
  <si>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</si>
  <si>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</si>
  <si>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</si>
  <si>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</si>
  <si>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</si>
  <si>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</si>
  <si>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</si>
  <si>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</si>
  <si>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</si>
  <si>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</si>
  <si>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</si>
  <si>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</si>
  <si>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</si>
  <si>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</si>
  <si>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</si>
  <si>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</si>
  <si>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</si>
  <si>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</si>
  <si>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</si>
  <si>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</si>
  <si>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</si>
  <si>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</si>
  <si>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</si>
  <si>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</si>
  <si>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</si>
  <si>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</si>
  <si>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</si>
  <si>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</si>
  <si>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</si>
  <si>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</si>
  <si>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</si>
  <si>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</si>
  <si>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</si>
  <si>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</si>
  <si>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</si>
  <si>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</si>
  <si>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</si>
  <si>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</si>
  <si>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</si>
  <si>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</si>
  <si>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</si>
  <si>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</si>
  <si>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</si>
  <si>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</si>
  <si>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</si>
  <si>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</si>
  <si>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</si>
  <si>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</si>
  <si>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</si>
  <si>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</si>
  <si>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</si>
  <si>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</si>
  <si>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</si>
  <si>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</si>
  <si>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</si>
  <si>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</si>
  <si>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</si>
  <si>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</si>
  <si>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</si>
  <si>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</si>
  <si>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</si>
  <si>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</si>
  <si>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</si>
  <si>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</si>
  <si>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</si>
  <si>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</si>
  <si>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</si>
  <si>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</si>
  <si>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</si>
  <si>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</si>
  <si>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</si>
  <si>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</si>
  <si>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</si>
  <si>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</si>
  <si>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</si>
  <si>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</si>
  <si>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</si>
  <si>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</si>
  <si>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</si>
  <si>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</si>
  <si>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</si>
  <si>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</si>
  <si>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</si>
  <si>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</si>
  <si>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</si>
  <si>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</si>
  <si>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</si>
  <si>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</si>
  <si>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</si>
  <si>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</si>
  <si>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</si>
  <si>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</si>
  <si>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</si>
  <si>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</si>
  <si>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</si>
  <si>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</si>
  <si>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</si>
  <si>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</si>
  <si>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</si>
  <si>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</si>
  <si>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</si>
  <si>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</si>
  <si>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</si>
  <si>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</si>
  <si>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</si>
  <si>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</si>
  <si>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</si>
  <si>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</si>
  <si>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</si>
  <si>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</si>
  <si>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</si>
  <si>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</si>
  <si>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</si>
  <si>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</si>
  <si>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</si>
  <si>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</si>
  <si>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</si>
  <si>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</si>
  <si>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</si>
  <si>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</si>
  <si>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</si>
  <si>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</si>
  <si>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</si>
  <si>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</si>
  <si>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</si>
  <si>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</si>
  <si>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</si>
  <si>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</si>
  <si>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</si>
  <si>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</si>
  <si>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</si>
  <si>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</si>
  <si>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</si>
  <si>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</si>
  <si>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</si>
  <si>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</si>
  <si>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</si>
  <si>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</si>
  <si>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</si>
  <si>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</si>
  <si>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</si>
  <si>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</si>
  <si>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</si>
  <si>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</si>
  <si>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</si>
  <si>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</si>
  <si>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</si>
  <si>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</si>
  <si>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</si>
  <si>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</si>
  <si>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</si>
  <si>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</si>
  <si>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</si>
  <si>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</si>
  <si>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</si>
  <si>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</si>
  <si>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</si>
  <si>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</si>
  <si>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</si>
  <si>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</si>
  <si>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</si>
  <si>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</si>
  <si>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</si>
  <si>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</si>
  <si>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</si>
  <si>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</si>
  <si>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</si>
  <si>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</si>
  <si>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</si>
  <si>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</si>
  <si>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</si>
  <si>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</si>
  <si>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</si>
  <si>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</si>
  <si>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</si>
  <si>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</si>
  <si>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</si>
  <si>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</si>
  <si>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</si>
  <si>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</si>
  <si>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</si>
  <si>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</si>
  <si>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</si>
  <si>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</si>
  <si>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</si>
  <si>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</si>
  <si>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</si>
  <si>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</si>
  <si>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</si>
  <si>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</si>
  <si>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</si>
  <si>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</si>
  <si>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</si>
  <si>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</si>
  <si>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</si>
  <si>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</si>
  <si>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</si>
  <si>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</si>
  <si>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</si>
  <si>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</si>
  <si>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</si>
  <si>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</si>
  <si>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</si>
  <si>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</si>
  <si>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</si>
  <si>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</si>
  <si>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</si>
  <si>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</si>
  <si>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</si>
  <si>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</si>
  <si>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</si>
  <si>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</si>
  <si>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</si>
  <si>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</si>
  <si>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</si>
  <si>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</si>
  <si>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</si>
  <si>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</si>
  <si>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</si>
  <si>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</si>
  <si>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</si>
  <si>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</si>
  <si>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</si>
  <si>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</si>
  <si>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</si>
  <si>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</si>
  <si>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</si>
  <si>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</si>
  <si>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</si>
  <si>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</si>
  <si>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</si>
  <si>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</si>
  <si>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</si>
  <si>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</si>
  <si>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</si>
  <si>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</si>
  <si>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</si>
  <si>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</si>
  <si>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</si>
  <si>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</si>
  <si>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</si>
  <si>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</si>
  <si>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</si>
  <si>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</si>
  <si>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</si>
  <si>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</si>
  <si>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</si>
  <si>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</si>
  <si>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</si>
  <si>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</si>
  <si>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</si>
  <si>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</si>
  <si>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</si>
  <si>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</si>
  <si>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</si>
  <si>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</si>
  <si>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</si>
  <si>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</si>
  <si>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</si>
  <si>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</si>
  <si>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</si>
  <si>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</si>
  <si>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</si>
  <si>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</si>
  <si>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</si>
  <si>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</si>
  <si>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</si>
  <si>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</si>
  <si>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</si>
  <si>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</si>
  <si>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</si>
  <si>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</si>
  <si>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</si>
  <si>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</si>
  <si>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</si>
  <si>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</si>
  <si>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</si>
  <si>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</si>
  <si>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</si>
  <si>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</si>
  <si>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</si>
  <si>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</si>
  <si>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</si>
  <si>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</si>
  <si>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</si>
  <si>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</si>
  <si>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</si>
  <si>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</si>
  <si>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</si>
  <si>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</si>
  <si>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</si>
  <si>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</si>
  <si>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</si>
  <si>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</si>
  <si>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</si>
  <si>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</si>
  <si>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</si>
  <si>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</si>
  <si>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</si>
  <si>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</si>
  <si>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</si>
  <si>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</si>
  <si>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</si>
  <si>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</si>
  <si>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</si>
  <si>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</si>
  <si>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</si>
  <si>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</si>
  <si>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</si>
  <si>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</si>
  <si>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</si>
  <si>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</si>
  <si>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</si>
  <si>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</si>
  <si>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</si>
  <si>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</si>
  <si>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</si>
  <si>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</si>
  <si>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</si>
  <si>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</si>
  <si>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</si>
  <si>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</si>
  <si>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</si>
  <si>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</si>
  <si>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</si>
  <si>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</si>
  <si>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</si>
  <si>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</si>
  <si>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</si>
  <si>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</si>
  <si>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</si>
  <si>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</si>
  <si>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</si>
  <si>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</si>
  <si>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</si>
  <si>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</si>
  <si>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</si>
  <si>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</si>
  <si>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</si>
  <si>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</si>
  <si>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</si>
  <si>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</si>
  <si>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</si>
  <si>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</si>
  <si>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</si>
  <si>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</si>
  <si>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</si>
  <si>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</si>
  <si>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</si>
  <si>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</si>
  <si>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</si>
  <si>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</si>
  <si>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</si>
  <si>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</si>
  <si>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</si>
  <si>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</si>
  <si>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</si>
  <si>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</si>
  <si>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</si>
  <si>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</si>
  <si>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</si>
  <si>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</si>
  <si>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</si>
  <si>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</si>
  <si>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</si>
  <si>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</si>
  <si>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</si>
  <si>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</si>
  <si>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</si>
  <si>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</si>
  <si>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</si>
  <si>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</si>
  <si>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</si>
  <si>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</si>
  <si>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</si>
  <si>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</si>
  <si>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</si>
  <si>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</si>
  <si>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</si>
  <si>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</si>
  <si>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</si>
  <si>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</si>
  <si>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</si>
  <si>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</si>
  <si>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</si>
  <si>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</si>
  <si>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</si>
  <si>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</si>
  <si>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</si>
  <si>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</si>
  <si>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</si>
  <si>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</si>
  <si>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</si>
  <si>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</si>
  <si>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</si>
  <si>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</si>
  <si>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</si>
  <si>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</si>
  <si>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</si>
  <si>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</si>
  <si>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</si>
  <si>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</si>
  <si>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</si>
  <si>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</si>
  <si>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</si>
  <si>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</si>
  <si>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</si>
  <si>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</si>
  <si>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</si>
  <si>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</si>
  <si>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</si>
  <si>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</si>
  <si>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</si>
  <si>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</si>
  <si>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</si>
  <si>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</si>
  <si>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</si>
  <si>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</si>
  <si>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</si>
  <si>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</si>
  <si>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</si>
  <si>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</si>
  <si>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</si>
  <si>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</si>
  <si>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</si>
  <si>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</si>
  <si>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</si>
  <si>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</si>
  <si>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</si>
  <si>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</si>
  <si>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</si>
  <si>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</si>
  <si>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</si>
  <si>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</si>
  <si>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</si>
  <si>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</si>
  <si>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</si>
  <si>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</si>
  <si>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</si>
  <si>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</si>
  <si>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</si>
  <si>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</si>
  <si>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</si>
  <si>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</si>
  <si>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</si>
  <si>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</si>
  <si>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</si>
  <si>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</si>
  <si>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</si>
  <si>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</si>
  <si>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</si>
  <si>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</si>
  <si>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</si>
  <si>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</si>
  <si>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</si>
  <si>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</si>
  <si>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</si>
  <si>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</si>
  <si>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</si>
  <si>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</si>
  <si>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</si>
  <si>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</si>
  <si>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</si>
  <si>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</si>
  <si>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</si>
  <si>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</si>
  <si>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</si>
  <si>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</si>
  <si>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</si>
  <si>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</si>
  <si>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</si>
  <si>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</si>
  <si>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</si>
  <si>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</si>
  <si>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</si>
  <si>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</si>
  <si>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</si>
  <si>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</si>
  <si>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</si>
  <si>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</si>
  <si>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</si>
  <si>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</si>
  <si>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</si>
  <si>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</si>
  <si>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</si>
  <si>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</si>
  <si>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</si>
  <si>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</si>
  <si>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</si>
  <si>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</si>
  <si>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</si>
  <si>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</si>
  <si>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</si>
  <si>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</si>
  <si>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</si>
  <si>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</si>
  <si>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</si>
  <si>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</si>
  <si>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</si>
  <si>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</si>
  <si>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</si>
  <si>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</si>
  <si>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</si>
  <si>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</si>
  <si>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</si>
  <si>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</si>
  <si>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</si>
  <si>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</si>
  <si>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</si>
  <si>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</si>
  <si>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</si>
  <si>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</si>
  <si>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</si>
  <si>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</si>
  <si>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</si>
  <si>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</si>
  <si>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</si>
  <si>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</si>
  <si>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</si>
  <si>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</si>
  <si>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</si>
  <si>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</si>
  <si>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</si>
  <si>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</si>
  <si>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</si>
  <si>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</si>
  <si>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</si>
  <si>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</si>
  <si>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</si>
  <si>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</si>
  <si>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</si>
  <si>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</si>
  <si>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</si>
  <si>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</si>
  <si>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</si>
  <si>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</si>
  <si>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</si>
  <si>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</si>
  <si>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</si>
  <si>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</si>
  <si>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</si>
  <si>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</si>
  <si>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</si>
  <si>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</si>
  <si>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</si>
  <si>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</si>
  <si>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</si>
  <si>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</si>
  <si>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</si>
  <si>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</si>
  <si>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</si>
  <si>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</si>
  <si>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</si>
  <si>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</si>
  <si>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</si>
  <si>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</si>
  <si>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</si>
  <si>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</si>
  <si>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</si>
  <si>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</si>
  <si>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</si>
  <si>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</si>
  <si>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</si>
  <si>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</si>
  <si>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</si>
  <si>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</si>
  <si>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</si>
  <si>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</si>
  <si>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</si>
  <si>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</si>
  <si>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</si>
  <si>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</si>
  <si>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</si>
  <si>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</si>
  <si>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</si>
  <si>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</si>
  <si>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</si>
  <si>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</si>
  <si>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</si>
  <si>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</si>
  <si>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</si>
  <si>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</si>
  <si>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</si>
  <si>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</si>
  <si>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</si>
  <si>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</si>
  <si>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</si>
  <si>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</si>
  <si>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</si>
  <si>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</si>
  <si>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</si>
  <si>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</si>
  <si>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</si>
  <si>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</si>
  <si>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</si>
  <si>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</si>
  <si>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</si>
  <si>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</si>
  <si>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</si>
  <si>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</si>
  <si>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</si>
  <si>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</si>
  <si>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</si>
  <si>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</si>
  <si>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</si>
  <si>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</si>
  <si>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</si>
  <si>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</si>
  <si>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</si>
  <si>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</si>
  <si>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</si>
  <si>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</si>
  <si>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</si>
  <si>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</si>
  <si>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</si>
  <si>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</si>
  <si>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</si>
  <si>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</si>
  <si>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</si>
  <si>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</si>
  <si>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</si>
  <si>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</si>
  <si>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</si>
  <si>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</si>
  <si>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</si>
  <si>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</si>
  <si>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</si>
  <si>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</si>
  <si>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</si>
  <si>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</si>
  <si>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</si>
  <si>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</si>
  <si>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</si>
  <si>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</si>
  <si>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</si>
  <si>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</si>
  <si>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</si>
  <si>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</si>
  <si>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</si>
  <si>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</si>
  <si>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</si>
  <si>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</si>
  <si>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</si>
  <si>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</si>
  <si>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</si>
  <si>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</si>
  <si>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</si>
  <si>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</si>
  <si>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</si>
  <si>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</si>
  <si>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</si>
  <si>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</si>
  <si>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</si>
  <si>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</si>
  <si>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</si>
  <si>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</si>
  <si>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</si>
  <si>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</si>
  <si>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</si>
  <si>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</si>
  <si>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</si>
  <si>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</si>
  <si>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</si>
  <si>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</si>
  <si>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</si>
  <si>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</si>
  <si>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</si>
  <si>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</si>
  <si>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</si>
  <si>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</si>
  <si>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</si>
  <si>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</si>
  <si>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</si>
  <si>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</si>
  <si>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</si>
  <si>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</si>
  <si>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</si>
  <si>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</si>
  <si>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</si>
  <si>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</si>
  <si>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</si>
  <si>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</si>
  <si>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</si>
  <si>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</si>
  <si>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</si>
  <si>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</si>
  <si>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</si>
  <si>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</si>
  <si>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</si>
  <si>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</si>
  <si>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</si>
  <si>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</si>
  <si>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</si>
  <si>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</si>
  <si>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</si>
  <si>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</si>
  <si>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</si>
  <si>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</si>
  <si>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</si>
  <si>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</si>
  <si>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</si>
  <si>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</si>
  <si>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</si>
  <si>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</si>
  <si>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</si>
  <si>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</si>
  <si>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</si>
  <si>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</si>
  <si>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</si>
  <si>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</si>
  <si>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</si>
  <si>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</si>
  <si>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</si>
  <si>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</si>
  <si>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</si>
  <si>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</si>
  <si>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</si>
  <si>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</si>
  <si>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</si>
  <si>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</si>
  <si>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</si>
  <si>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</si>
  <si>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</si>
  <si>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</si>
  <si>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</si>
  <si>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</si>
  <si>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</si>
  <si>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</si>
  <si>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</si>
  <si>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</si>
  <si>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</si>
  <si>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</si>
  <si>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</si>
  <si>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</si>
  <si>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</si>
  <si>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</si>
  <si>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</si>
  <si>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</si>
  <si>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</si>
  <si>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</si>
  <si>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</si>
  <si>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</si>
  <si>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</si>
  <si>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</si>
  <si>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</si>
  <si>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</si>
  <si>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</si>
  <si>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</si>
  <si>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</si>
  <si>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</si>
  <si>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</si>
  <si>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</si>
  <si>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</si>
  <si>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</si>
  <si>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</si>
  <si>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</si>
  <si>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</si>
  <si>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</si>
  <si>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</si>
  <si>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</si>
  <si>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</si>
  <si>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</si>
  <si>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</si>
  <si>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</si>
  <si>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</si>
  <si>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</si>
  <si>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</si>
  <si>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</si>
  <si>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</si>
  <si>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</si>
  <si>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</si>
  <si>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</si>
  <si>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</si>
  <si>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</si>
  <si>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</si>
  <si>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</si>
  <si>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</si>
  <si>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</si>
  <si>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</si>
  <si>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</si>
  <si>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</si>
  <si>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</si>
  <si>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</si>
  <si>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</si>
  <si>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</si>
  <si>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</si>
  <si>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</si>
  <si>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</si>
  <si>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</si>
  <si>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</si>
  <si>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</si>
  <si>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</si>
  <si>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</si>
  <si>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</si>
  <si>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</si>
  <si>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</si>
  <si>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</si>
  <si>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</si>
  <si>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</si>
  <si>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</si>
  <si>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</si>
  <si>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</si>
  <si>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</si>
  <si>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</si>
  <si>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</si>
  <si>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</si>
  <si>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</si>
  <si>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</si>
  <si>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</si>
  <si>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</si>
  <si>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</si>
  <si>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</si>
  <si>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</si>
  <si>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</si>
  <si>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</si>
  <si>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</si>
  <si>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</si>
  <si>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</si>
  <si>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</si>
  <si>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</si>
  <si>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</si>
  <si>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</si>
  <si>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</si>
  <si>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</si>
  <si>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</si>
  <si>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</si>
  <si>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</si>
  <si>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</si>
  <si>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</si>
  <si>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</si>
  <si>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</si>
  <si>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</si>
  <si>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</si>
  <si>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</si>
  <si>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</si>
  <si>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</si>
  <si>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</si>
  <si>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</si>
  <si>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</si>
  <si>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</si>
  <si>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</si>
  <si>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</si>
  <si>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</si>
  <si>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</si>
  <si>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</si>
  <si>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</si>
  <si>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</si>
  <si>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</si>
  <si>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</si>
  <si>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</si>
  <si>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</si>
  <si>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</si>
  <si>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</si>
  <si>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</si>
  <si>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</si>
  <si>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</si>
  <si>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</si>
  <si>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</si>
  <si>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</si>
  <si>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</si>
  <si>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</si>
  <si>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</si>
  <si>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</si>
  <si>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</si>
  <si>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</si>
  <si>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</si>
  <si>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</si>
  <si>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</si>
  <si>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</si>
  <si>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</si>
  <si>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</si>
  <si>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</si>
  <si>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</si>
  <si>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</si>
  <si>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</si>
  <si>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</si>
  <si>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</si>
  <si>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</si>
  <si>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</si>
  <si>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</si>
  <si>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</si>
  <si>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</si>
  <si>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</si>
  <si>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</si>
  <si>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</si>
  <si>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</si>
  <si>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</si>
  <si>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</si>
  <si>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</si>
  <si>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</si>
  <si>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</si>
  <si>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</si>
  <si>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</si>
  <si>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</si>
  <si>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</si>
  <si>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</si>
  <si>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</si>
  <si>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</si>
  <si>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</si>
  <si>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</si>
  <si>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</si>
  <si>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</si>
  <si>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</si>
  <si>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</si>
  <si>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</si>
  <si>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</si>
  <si>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</si>
  <si>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</si>
  <si>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</si>
  <si>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</si>
  <si>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</si>
  <si>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</si>
  <si>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</si>
  <si>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</si>
  <si>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</si>
  <si>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</si>
  <si>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</si>
  <si>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</si>
  <si>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</si>
  <si>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</si>
  <si>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</si>
  <si>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</si>
  <si>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</si>
  <si>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</si>
  <si>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</si>
  <si>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</si>
  <si>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</si>
  <si>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</si>
  <si>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</si>
  <si>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</si>
  <si>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</si>
  <si>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</si>
  <si>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</si>
  <si>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</si>
  <si>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</si>
  <si>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</si>
  <si>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</si>
  <si>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</si>
  <si>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</si>
  <si>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</si>
  <si>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</si>
  <si>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</si>
  <si>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</si>
  <si>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</si>
  <si>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</si>
  <si>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</si>
  <si>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</si>
  <si>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</si>
  <si>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</si>
  <si>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</si>
  <si>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</si>
  <si>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</si>
  <si>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</si>
  <si>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</si>
  <si>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</si>
  <si>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</si>
  <si>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</si>
  <si>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</si>
  <si>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</si>
  <si>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</si>
  <si>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</si>
  <si>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</si>
  <si>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</si>
  <si>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</si>
  <si>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</si>
  <si>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</si>
  <si>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</si>
  <si>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</si>
  <si>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</si>
  <si>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</si>
  <si>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</si>
  <si>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</si>
  <si>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</si>
  <si>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</si>
  <si>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</si>
  <si>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</si>
  <si>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</si>
  <si>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</si>
  <si>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</si>
  <si>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</si>
  <si>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</si>
  <si>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</si>
  <si>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</si>
  <si>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</si>
  <si>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</si>
  <si>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</si>
  <si>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</si>
  <si>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</si>
  <si>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</si>
  <si>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</si>
  <si>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</si>
  <si>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</si>
  <si>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</si>
  <si>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</si>
  <si>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</si>
  <si>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</si>
  <si>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</si>
  <si>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</si>
  <si>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</si>
  <si>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</si>
  <si>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</si>
  <si>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</si>
  <si>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</si>
  <si>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</si>
  <si>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</si>
  <si>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</si>
  <si>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</si>
  <si>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</si>
  <si>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</si>
  <si>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</si>
  <si>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</si>
  <si>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</si>
  <si>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</si>
  <si>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</si>
  <si>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</si>
  <si>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</si>
  <si>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</si>
  <si>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</si>
  <si>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</si>
  <si>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</si>
  <si>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</si>
  <si>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</si>
  <si>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</si>
  <si>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</si>
  <si>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</si>
  <si>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</si>
  <si>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</si>
  <si>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</si>
  <si>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</si>
  <si>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</si>
  <si>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</si>
  <si>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</si>
  <si>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</si>
  <si>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</si>
  <si>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</si>
  <si>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</si>
  <si>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</si>
  <si>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</si>
  <si>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</si>
  <si>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</si>
  <si>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</si>
  <si>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</si>
  <si>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</si>
  <si>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</si>
  <si>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</si>
  <si>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</si>
  <si>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</si>
  <si>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</si>
  <si>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</si>
  <si>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</si>
  <si>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</si>
  <si>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</si>
  <si>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</si>
  <si>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</si>
  <si>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</si>
  <si>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</si>
  <si>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</si>
  <si>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</si>
  <si>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</si>
  <si>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</si>
  <si>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</si>
  <si>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</si>
  <si>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</si>
  <si>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</si>
  <si>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</si>
  <si>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</si>
  <si>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</si>
  <si>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</si>
  <si>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</si>
  <si>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</si>
  <si>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</si>
  <si>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</si>
  <si>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</si>
  <si>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</si>
  <si>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</si>
  <si>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</si>
  <si>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</si>
  <si>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</si>
  <si>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</si>
  <si>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</si>
  <si>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</si>
  <si>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</si>
  <si>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</si>
  <si>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</si>
  <si>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</si>
  <si>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</si>
  <si>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</si>
  <si>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</si>
  <si>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</si>
  <si>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</si>
  <si>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</si>
  <si>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</si>
  <si>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</si>
  <si>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</si>
  <si>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</si>
  <si>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</si>
  <si>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</si>
  <si>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</si>
  <si>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</si>
  <si>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</si>
  <si>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</si>
  <si>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</si>
  <si>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</si>
  <si>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</si>
  <si>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</si>
  <si>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</si>
  <si>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</si>
  <si>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</si>
  <si>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</si>
  <si>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</si>
  <si>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</si>
  <si>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</si>
  <si>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</si>
  <si>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</si>
  <si>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</si>
  <si>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</si>
  <si>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</si>
  <si>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</si>
  <si>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</si>
  <si>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</si>
  <si>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</si>
  <si>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</si>
  <si>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</si>
  <si>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</si>
  <si>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</si>
  <si>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</si>
  <si>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</si>
  <si>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</si>
  <si>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</si>
  <si>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</si>
  <si>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</si>
  <si>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</si>
  <si>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</si>
  <si>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</si>
  <si>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</si>
  <si>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</si>
  <si>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</si>
  <si>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</si>
  <si>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</si>
  <si>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</si>
  <si>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</si>
  <si>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</si>
  <si>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</si>
  <si>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</si>
  <si>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</si>
  <si>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</si>
  <si>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</si>
  <si>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</si>
  <si>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</si>
  <si>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</si>
  <si>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</si>
  <si>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</si>
  <si>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</si>
  <si>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</si>
  <si>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</si>
  <si>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</si>
  <si>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</si>
  <si>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</si>
  <si>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</si>
  <si>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</si>
  <si>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</si>
  <si>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</si>
  <si>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</si>
  <si>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</si>
  <si>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</si>
  <si>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</si>
  <si>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</si>
  <si>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</si>
  <si>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</si>
  <si>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</si>
  <si>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</si>
  <si>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</si>
  <si>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</si>
  <si>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</si>
  <si>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</si>
  <si>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</si>
  <si>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</si>
  <si>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</si>
  <si>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</si>
  <si>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</si>
  <si>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</si>
  <si>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</si>
  <si>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</si>
  <si>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</si>
  <si>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</si>
  <si>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</si>
  <si>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</si>
  <si>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</si>
  <si>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</si>
  <si>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</si>
  <si>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</si>
  <si>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</si>
  <si>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</si>
  <si>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</si>
  <si>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</si>
  <si>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</si>
  <si>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</si>
  <si>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</si>
  <si>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</si>
  <si>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</si>
  <si>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</si>
  <si>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</si>
  <si>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</si>
  <si>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</si>
  <si>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</si>
  <si>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</si>
  <si>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</si>
  <si>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</si>
  <si>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</si>
  <si>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</si>
  <si>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</si>
  <si>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</si>
  <si>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</si>
  <si>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</si>
  <si>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</si>
  <si>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</si>
  <si>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</si>
  <si>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</si>
  <si>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</si>
  <si>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</si>
  <si>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</si>
  <si>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</si>
  <si>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</si>
  <si>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</si>
  <si>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</si>
  <si>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</si>
  <si>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</si>
  <si>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</si>
  <si>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</si>
  <si>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</si>
  <si>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</si>
  <si>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</si>
  <si>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</si>
  <si>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</si>
  <si>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</si>
  <si>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</si>
  <si>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</si>
  <si>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</si>
  <si>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</si>
  <si>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</si>
  <si>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</si>
  <si>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</si>
  <si>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</si>
  <si>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</si>
  <si>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</si>
  <si>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</si>
  <si>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</si>
  <si>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</si>
  <si>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</si>
  <si>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</si>
  <si>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</si>
  <si>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</si>
  <si>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</si>
  <si>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</si>
  <si>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</si>
  <si>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</si>
  <si>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</si>
  <si>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</si>
  <si>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</si>
  <si>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</si>
  <si>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</si>
  <si>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</si>
  <si>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</si>
  <si>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</si>
  <si>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</si>
  <si>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</si>
  <si>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</si>
  <si>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</si>
  <si>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</si>
  <si>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</si>
  <si>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</si>
  <si>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</si>
  <si>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</si>
  <si>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</si>
  <si>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</si>
  <si>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</si>
  <si>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</si>
  <si>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</si>
  <si>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</si>
  <si>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</si>
  <si>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</si>
  <si>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</si>
  <si>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</si>
  <si>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</si>
  <si>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</si>
  <si>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</si>
  <si>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</si>
  <si>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</si>
  <si>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</si>
  <si>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</si>
  <si>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</si>
  <si>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</si>
  <si>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</si>
  <si>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</si>
  <si>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</si>
  <si>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</si>
  <si>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</si>
  <si>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</si>
  <si>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</si>
  <si>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</si>
  <si>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</si>
  <si>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</si>
  <si>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</si>
  <si>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</si>
  <si>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</si>
  <si>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</si>
  <si>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</si>
  <si>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</si>
  <si>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</si>
  <si>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</si>
  <si>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</si>
  <si>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</si>
  <si>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</si>
  <si>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</si>
  <si>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</si>
  <si>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</si>
  <si>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</si>
  <si>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</si>
  <si>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</si>
  <si>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</si>
  <si>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</si>
  <si>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</si>
  <si>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</si>
  <si>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</si>
  <si>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</si>
  <si>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</si>
  <si>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</si>
  <si>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</si>
  <si>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</si>
  <si>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</si>
  <si>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</si>
  <si>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</si>
  <si>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</si>
  <si>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</si>
  <si>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</si>
  <si>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</si>
  <si>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</si>
  <si>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</si>
  <si>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</si>
  <si>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</si>
  <si>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</si>
  <si>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</si>
  <si>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</si>
  <si>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</si>
  <si>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</si>
  <si>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</si>
  <si>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</si>
  <si>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</si>
  <si>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</si>
  <si>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</si>
  <si>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</si>
  <si>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</si>
  <si>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</si>
  <si>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</si>
  <si>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</si>
  <si>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</si>
  <si>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</si>
  <si>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</si>
  <si>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</si>
  <si>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</si>
  <si>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</si>
  <si>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</si>
  <si>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</si>
  <si>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</si>
  <si>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</si>
  <si>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</si>
  <si>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</si>
  <si>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</si>
  <si>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</si>
  <si>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</si>
  <si>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</si>
  <si>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</si>
  <si>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</si>
  <si>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</si>
  <si>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</si>
  <si>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</si>
  <si>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</si>
  <si>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</si>
  <si>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</si>
  <si>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</si>
  <si>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</si>
  <si>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</si>
  <si>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</si>
  <si>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</si>
  <si>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</si>
  <si>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</si>
  <si>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</si>
  <si>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</si>
  <si>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</si>
  <si>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</si>
  <si>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</si>
  <si>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</si>
  <si>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</si>
  <si>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</si>
  <si>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</si>
  <si>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</si>
  <si>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</si>
  <si>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</si>
  <si>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</si>
  <si>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</si>
  <si>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</si>
  <si>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</si>
  <si>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</si>
  <si>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</si>
  <si>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</si>
  <si>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</si>
  <si>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</si>
  <si>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</si>
  <si>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</si>
  <si>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</si>
  <si>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</si>
  <si>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</si>
  <si>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</si>
  <si>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</si>
  <si>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</si>
  <si>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</si>
  <si>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</si>
  <si>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</si>
  <si>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</si>
  <si>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</si>
  <si>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</si>
  <si>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</si>
  <si>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</si>
  <si>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</si>
  <si>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</si>
  <si>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</si>
  <si>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</si>
  <si>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</si>
  <si>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</si>
  <si>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</si>
  <si>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</si>
  <si>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</si>
  <si>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</si>
  <si>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</si>
  <si>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</si>
  <si>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</si>
  <si>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</si>
  <si>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</si>
  <si>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</si>
  <si>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</si>
  <si>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</si>
  <si>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</si>
  <si>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</si>
  <si>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</si>
  <si>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</si>
  <si>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</si>
  <si>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</si>
  <si>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</si>
  <si>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</si>
  <si>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</si>
  <si>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</si>
  <si>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</si>
  <si>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</si>
  <si>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</si>
  <si>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</si>
  <si>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</si>
  <si>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</si>
  <si>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</si>
  <si>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</si>
  <si>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</si>
  <si>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</si>
  <si>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</si>
  <si>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</si>
  <si>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</si>
  <si>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</si>
  <si>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</si>
  <si>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</si>
  <si>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</si>
  <si>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</si>
  <si>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</si>
  <si>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</si>
  <si>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</si>
  <si>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</si>
  <si>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</si>
  <si>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</si>
  <si>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</si>
  <si>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</si>
  <si>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</si>
  <si>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</si>
  <si>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</si>
  <si>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</si>
  <si>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</si>
  <si>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</si>
  <si>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</si>
  <si>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</si>
  <si>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</si>
  <si>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</si>
  <si>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</si>
  <si>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</si>
  <si>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</si>
  <si>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</si>
  <si>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</si>
  <si>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</si>
  <si>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</si>
  <si>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</si>
  <si>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</si>
  <si>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</si>
  <si>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</si>
  <si>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</si>
  <si>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</si>
  <si>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</si>
  <si>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</si>
  <si>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</si>
  <si>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</si>
  <si>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</si>
  <si>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</si>
  <si>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</si>
  <si>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</si>
  <si>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</si>
  <si>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</si>
  <si>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</si>
  <si>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</si>
  <si>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</si>
  <si>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</si>
  <si>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</si>
  <si>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</si>
  <si>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</si>
  <si>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</si>
  <si>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</si>
  <si>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</si>
  <si>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</si>
  <si>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</si>
  <si>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</si>
  <si>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</si>
  <si>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</si>
  <si>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</si>
  <si>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</si>
  <si>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</si>
  <si>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</si>
  <si>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</si>
  <si>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</si>
  <si>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</si>
  <si>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</si>
  <si>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</si>
  <si>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</si>
  <si>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</si>
  <si>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</si>
  <si>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</si>
  <si>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</si>
  <si>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</si>
  <si>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</si>
  <si>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</si>
  <si>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</si>
  <si>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</si>
  <si>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</si>
  <si>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</si>
  <si>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</si>
  <si>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</si>
  <si>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</si>
  <si>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</si>
  <si>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</si>
  <si>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</si>
  <si>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</si>
  <si>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</si>
  <si>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</si>
  <si>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</si>
  <si>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</si>
  <si>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</si>
  <si>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</si>
  <si>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</si>
  <si>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</si>
  <si>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</si>
  <si>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</si>
  <si>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</si>
  <si>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</si>
  <si>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</si>
  <si>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</si>
  <si>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</si>
  <si>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</si>
  <si>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</si>
  <si>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</si>
  <si>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</si>
  <si>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</si>
  <si>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</si>
  <si>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</si>
  <si>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</si>
  <si>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</si>
  <si>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</si>
  <si>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</si>
  <si>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</si>
  <si>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</si>
  <si>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</si>
  <si>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</si>
  <si>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</si>
  <si>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</si>
  <si>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</si>
  <si>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</si>
  <si>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</si>
  <si>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</si>
  <si>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</si>
  <si>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</si>
  <si>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</si>
  <si>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</si>
  <si>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</si>
  <si>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</si>
  <si>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</si>
  <si>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</si>
  <si>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</si>
  <si>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</si>
  <si>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</si>
  <si>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</si>
  <si>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</si>
  <si>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</si>
  <si>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</si>
  <si>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</si>
  <si>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</si>
  <si>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</si>
  <si>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</si>
  <si>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</si>
  <si>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</si>
  <si>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</si>
  <si>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</si>
  <si>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</si>
  <si>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</si>
  <si>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</si>
  <si>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</si>
  <si>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</si>
  <si>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</si>
  <si>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</si>
  <si>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</si>
  <si>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</si>
  <si>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</si>
  <si>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</si>
  <si>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</si>
  <si>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</si>
  <si>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</si>
  <si>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</si>
  <si>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</si>
  <si>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</si>
  <si>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</si>
  <si>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</si>
  <si>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</si>
  <si>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</si>
  <si>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</si>
  <si>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</si>
  <si>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</si>
  <si>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</si>
  <si>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</si>
  <si>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</si>
  <si>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</si>
  <si>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</si>
  <si>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</si>
  <si>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</si>
  <si>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</si>
  <si>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</si>
  <si>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</si>
  <si>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</si>
  <si>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</si>
  <si>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</si>
  <si>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</si>
  <si>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</si>
  <si>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</si>
  <si>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</si>
  <si>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</si>
  <si>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</si>
  <si>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</si>
  <si>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</si>
  <si>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</si>
  <si>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</si>
  <si>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</si>
  <si>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</si>
  <si>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</si>
  <si>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</si>
  <si>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</si>
  <si>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</si>
  <si>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</si>
  <si>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</si>
  <si>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</si>
  <si>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</si>
  <si>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</si>
  <si>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</si>
  <si>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</si>
  <si>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</si>
  <si>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</si>
  <si>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</si>
  <si>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</si>
  <si>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</si>
  <si>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</si>
  <si>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</si>
  <si>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</si>
  <si>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</si>
  <si>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</si>
  <si>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</si>
  <si>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</si>
  <si>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</si>
  <si>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</si>
  <si>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</si>
  <si>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</si>
  <si>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</si>
  <si>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</si>
  <si>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</si>
  <si>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</si>
  <si>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</si>
  <si>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</si>
  <si>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</si>
  <si>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</si>
  <si>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</si>
  <si>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</si>
  <si>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</si>
  <si>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</si>
  <si>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</si>
  <si>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</si>
  <si>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</si>
  <si>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</si>
  <si>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</si>
  <si>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</si>
  <si>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</si>
  <si>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</si>
  <si>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</si>
  <si>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</si>
  <si>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</si>
  <si>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</si>
  <si>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</si>
  <si>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</si>
  <si>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</si>
  <si>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</si>
  <si>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</si>
  <si>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</si>
  <si>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</si>
  <si>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</si>
  <si>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</si>
  <si>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25000/4250 TLgr=67,57 - 5,88  =  61,69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</si>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</sst>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75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4" fontId="3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72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opLeftCell="B17" zoomScale="175" zoomScaleNormal="175" workbookViewId="0">
      <selection activeCell="J28" sqref="J28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25000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4250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5.882352941176471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67.569999999999993</v>
      </c>
    </row>
    <row r="24" spans="1:9" s="11" customFormat="1">
      <c r="A24" s="560">
        <v>45823</v>
      </c>
      <c r="B24" s="561" t="s">
        <v>1889</v>
      </c>
      <c r="C24" s="562">
        <f>35000/4150</f>
        <v>8.4337349397590362</v>
      </c>
      <c r="D24" s="563" t="s">
        <v>233</v>
      </c>
      <c r="E24" s="532"/>
      <c r="F24" s="532"/>
      <c r="I24" s="11">
        <v>5.88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62830</v>
      </c>
      <c r="I25">
        <f>I23-I24</f>
        <v>61.689999999999991</v>
      </c>
    </row>
    <row r="26" spans="1:9" s="11" customFormat="1">
      <c r="A26" s="529"/>
      <c r="B26" s="530"/>
      <c r="C26" s="531"/>
      <c r="D26" s="532" t="s">
        <v>233</v>
      </c>
      <c r="E26" s="532"/>
      <c r="F26" s="532"/>
    </row>
    <row r="27" spans="1:9" s="11" customFormat="1" ht="13.5" thickBot="1">
      <c r="A27" s="529"/>
    </row>
    <row r="28" spans="1:9" s="11" customFormat="1" ht="13.5" thickBot="1">
      <c r="A28" s="529"/>
      <c r="B28" s="569"/>
      <c r="C28" s="531"/>
      <c r="D28" s="532"/>
      <c r="E28" s="532"/>
      <c r="F28" s="131"/>
    </row>
    <row r="29" spans="1:9" ht="13.5" thickBot="1">
      <c r="B29" s="16" t="s">
        <v>14</v>
      </c>
      <c r="E29" s="13"/>
      <c r="F29" s="519">
        <f>F25+F26-E29</f>
        <v>62830</v>
      </c>
    </row>
    <row r="30" spans="1:9">
      <c r="B30" s="501" t="s">
        <v>1890</v>
      </c>
      <c r="C30" s="531"/>
      <c r="D30" s="532"/>
      <c r="E30" s="532"/>
      <c r="F30" s="571">
        <f>'04_25'!D92</f>
        <v>159600</v>
      </c>
    </row>
    <row r="32" spans="1:9" ht="13.5" thickBot="1"/>
    <row r="33" spans="1:4">
      <c r="A33" s="98">
        <v>45728</v>
      </c>
      <c r="B33" s="92" t="s">
        <v>1693</v>
      </c>
      <c r="C33" s="106"/>
      <c r="D33" s="458">
        <v>1400</v>
      </c>
    </row>
    <row r="34" spans="1:4">
      <c r="A34" s="98">
        <v>45728</v>
      </c>
      <c r="B34" s="92" t="s">
        <v>1694</v>
      </c>
      <c r="C34" s="106"/>
      <c r="D34" s="459">
        <v>4150</v>
      </c>
    </row>
    <row r="35" spans="1:4">
      <c r="A35" s="98">
        <v>45733</v>
      </c>
      <c r="B35" s="92" t="s">
        <v>1695</v>
      </c>
      <c r="C35" s="106"/>
      <c r="D35" s="459">
        <v>2500</v>
      </c>
    </row>
    <row r="36" spans="1:4">
      <c r="A36" s="98">
        <v>45733</v>
      </c>
      <c r="B36" s="92" t="s">
        <v>1696</v>
      </c>
      <c r="C36" s="106"/>
      <c r="D36" s="459">
        <v>1400</v>
      </c>
    </row>
    <row r="37" spans="1:4" ht="13.5" thickBot="1">
      <c r="A37" s="98">
        <v>45739</v>
      </c>
      <c r="B37" s="92" t="s">
        <v>1697</v>
      </c>
      <c r="C37" s="106"/>
      <c r="D37" s="459">
        <v>1200</v>
      </c>
    </row>
    <row r="38" spans="1:4">
      <c r="A38" s="457">
        <v>45740</v>
      </c>
      <c r="B38" s="407" t="s">
        <v>1708</v>
      </c>
      <c r="C38" s="407"/>
      <c r="D38" s="464">
        <v>8500</v>
      </c>
    </row>
    <row r="39" spans="1:4">
      <c r="A39" s="457">
        <v>45740</v>
      </c>
      <c r="B39" s="407" t="s">
        <v>1709</v>
      </c>
      <c r="C39" s="407"/>
      <c r="D39" s="465">
        <v>90000</v>
      </c>
    </row>
    <row r="40" spans="1:4">
      <c r="A40" s="457">
        <v>45728</v>
      </c>
      <c r="B40" s="407" t="s">
        <v>1710</v>
      </c>
      <c r="C40" s="407"/>
      <c r="D40" s="465">
        <v>1500</v>
      </c>
    </row>
    <row r="41" spans="1:4">
      <c r="A41" s="98"/>
      <c r="B41" s="466" t="s">
        <v>1714</v>
      </c>
      <c r="C41" s="11"/>
      <c r="D41" s="459">
        <v>3750</v>
      </c>
    </row>
    <row r="42" spans="1:4">
      <c r="A42" s="98">
        <v>45743</v>
      </c>
      <c r="B42" s="471" t="s">
        <v>1722</v>
      </c>
      <c r="C42" s="468"/>
      <c r="D42" s="470">
        <v>1600</v>
      </c>
    </row>
    <row r="43" spans="1:4">
      <c r="A43" s="98">
        <v>45829</v>
      </c>
      <c r="B43" s="467" t="s">
        <v>1888</v>
      </c>
      <c r="C43" s="468"/>
      <c r="D43" s="469">
        <v>30000</v>
      </c>
    </row>
    <row r="44" spans="1:4">
      <c r="A44" s="98">
        <v>45761</v>
      </c>
      <c r="B44" s="494" t="s">
        <v>1752</v>
      </c>
      <c r="C44" s="495"/>
      <c r="D44" s="496">
        <v>4500</v>
      </c>
    </row>
    <row r="45" spans="1:4">
      <c r="A45" s="98">
        <v>45772</v>
      </c>
      <c r="B45" s="467" t="s">
        <v>1775</v>
      </c>
      <c r="C45" s="468"/>
      <c r="D45" s="469">
        <v>700</v>
      </c>
    </row>
    <row r="46" spans="1:4">
      <c r="A46" s="98">
        <v>45772</v>
      </c>
      <c r="B46" s="11" t="s">
        <v>1789</v>
      </c>
      <c r="C46" s="11"/>
      <c r="D46" s="459">
        <v>700</v>
      </c>
    </row>
    <row r="47" spans="1:4">
      <c r="A47" s="98">
        <v>45772</v>
      </c>
      <c r="B47" s="11" t="s">
        <v>1790</v>
      </c>
      <c r="C47" s="11"/>
      <c r="D47" s="459">
        <v>1200</v>
      </c>
    </row>
    <row r="48" spans="1:4">
      <c r="A48" s="98">
        <v>45829</v>
      </c>
      <c r="B48" s="11" t="s">
        <v>1891</v>
      </c>
      <c r="C48" s="11"/>
      <c r="D48" s="459">
        <v>6500</v>
      </c>
    </row>
    <row r="49" spans="1:6">
      <c r="A49" s="98">
        <v>45829</v>
      </c>
      <c r="B49" s="11" t="s">
        <v>1892</v>
      </c>
      <c r="C49" s="11"/>
      <c r="D49" s="459"/>
    </row>
    <row r="50" spans="1:6">
      <c r="A50" s="98">
        <v>45829</v>
      </c>
      <c r="B50" s="11" t="s">
        <v>1893</v>
      </c>
      <c r="C50" s="11"/>
      <c r="D50" s="459"/>
    </row>
    <row r="51" spans="1:6">
      <c r="A51" s="98">
        <v>45829</v>
      </c>
      <c r="B51" s="11" t="s">
        <v>1894</v>
      </c>
      <c r="C51" s="11"/>
      <c r="D51" s="459"/>
    </row>
    <row r="52" spans="1:6" s="11" customFormat="1">
      <c r="A52" s="98"/>
      <c r="D52" s="459"/>
      <c r="E52" s="12"/>
      <c r="F52" s="12"/>
    </row>
    <row r="53" spans="1:6" ht="13.5" thickBot="1">
      <c r="A53" s="98"/>
      <c r="B53" s="11"/>
      <c r="C53" s="11"/>
      <c r="D53" s="460"/>
    </row>
    <row r="54" spans="1:6" s="11" customFormat="1" ht="13.5" thickBot="1">
      <c r="A54" s="98"/>
      <c r="D54" s="570"/>
      <c r="E54" s="12"/>
      <c r="F54" s="12"/>
    </row>
    <row r="55" spans="1:6" ht="13.5" thickBot="1">
      <c r="A55" s="98"/>
      <c r="B55" s="462" t="s">
        <v>1711</v>
      </c>
      <c r="C55" s="463"/>
      <c r="D55" s="461">
        <f>SUM(D33:D53)</f>
        <v>159600</v>
      </c>
    </row>
    <row r="60" spans="1:6">
      <c r="B60" s="2"/>
      <c r="C60" s="2"/>
    </row>
    <row r="61" spans="1:6">
      <c r="B61" s="2"/>
      <c r="C61" s="2"/>
    </row>
    <row r="62" spans="1:6">
      <c r="B62" s="2"/>
      <c r="C62" s="2"/>
    </row>
    <row r="63" spans="1:6">
      <c r="B63" s="2"/>
      <c r="C63" s="2"/>
    </row>
    <row r="64" spans="1:6">
      <c r="B64" s="2"/>
      <c r="C64" s="2"/>
    </row>
    <row r="65" spans="2:3">
      <c r="B65" s="2"/>
      <c r="C65" s="2"/>
    </row>
    <row r="66" spans="2:3">
      <c r="B66" s="2"/>
      <c r="C66" s="2"/>
    </row>
    <row r="67" spans="2:3">
      <c r="B67" s="17"/>
      <c r="C67" s="17"/>
    </row>
    <row r="68" spans="2:3">
      <c r="B68" s="2"/>
      <c r="C68" s="2"/>
    </row>
    <row r="69" spans="2:3">
      <c r="B69" s="18"/>
      <c r="C69" s="17"/>
    </row>
    <row r="70" spans="2:3">
      <c r="B70" s="2"/>
      <c r="C70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0</v>
      </c>
      <c r="F8" s="32">
        <f>'06_25'!G2</f>
        <v>-85308.52</v>
      </c>
      <c r="G8" s="33">
        <f t="shared" si="1"/>
        <v>-262381.51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0</v>
      </c>
      <c r="F9" s="32">
        <f>'07_25'!G2</f>
        <v>-40707.83</v>
      </c>
      <c r="G9" s="33">
        <f t="shared" si="1"/>
        <v>-303089.34000000003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'07_25'!E189/1000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-137047.44000000003</v>
      </c>
      <c r="E10" s="32">
        <f>'08_25'!F2</f>
        <v>0</v>
      </c>
      <c r="F10" s="32">
        <f>'08_25'!G2</f>
        <v>-1614.78</v>
      </c>
      <c r="G10" s="33">
        <f t="shared" si="1"/>
        <v>-304704.12000000005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-175089.50000000003</v>
      </c>
      <c r="E11" s="32">
        <f>'09_25'!F2</f>
        <v>0</v>
      </c>
      <c r="F11" s="32">
        <f>'09_25'!G2</f>
        <v>-625</v>
      </c>
      <c r="G11" s="33">
        <f t="shared" si="1"/>
        <v>-305329.12000000005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-212506.56000000003</v>
      </c>
      <c r="E12" s="32">
        <f>'10_25'!F2</f>
        <v>0</v>
      </c>
      <c r="F12" s="32">
        <f>'10_25'!G2</f>
        <v>0</v>
      </c>
      <c r="G12" s="33">
        <f t="shared" si="1"/>
        <v>-305329.12000000005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-249923.62000000002</v>
      </c>
      <c r="E13" s="32">
        <f>'11_25'!F2</f>
        <v>0</v>
      </c>
      <c r="F13" s="32">
        <f>'11_25'!G2</f>
        <v>0</v>
      </c>
      <c r="G13" s="33">
        <f t="shared" si="1"/>
        <v>-305329.12000000005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-287340.68000000005</v>
      </c>
      <c r="E14" s="32">
        <f>'12_25'!F2</f>
        <v>0</v>
      </c>
      <c r="F14" s="32">
        <f>'12_25'!G2</f>
        <v>0</v>
      </c>
      <c r="G14" s="33">
        <f t="shared" si="1"/>
        <v>-305329.12000000005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-896004.68000000017</v>
      </c>
      <c r="D15" s="33">
        <f>B15+C15</f>
        <v>-287340.68000000017</v>
      </c>
      <c r="E15" s="33">
        <f>SUM(E3:E14)</f>
        <v>417213.71</v>
      </c>
      <c r="F15" s="33">
        <f>SUM(F3:F14)</f>
        <v>-722542.83000000007</v>
      </c>
      <c r="G15" s="33">
        <f>E15+F15</f>
        <v>-305329.12000000005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-74667.056666666685</v>
      </c>
      <c r="D16" s="55"/>
      <c r="E16" s="55">
        <f>E15/A16</f>
        <v>34767.809166666666</v>
      </c>
      <c r="F16" s="55">
        <f>F15/A16</f>
        <v>-60211.902500000004</v>
      </c>
      <c r="G16" s="55">
        <f>G15/A16</f>
        <v>-25444.093333333338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976.10596800000008</v>
      </c>
      <c r="M17" s="573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1720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125"/>
  <sheetViews>
    <sheetView tabSelected="1" zoomScale="145" zoomScaleNormal="145" workbookViewId="0">
      <selection activeCell="J13" sqref="J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-93124.89</v>
      </c>
      <c r="F2" s="77">
        <f>SUM(F4:F31)</f>
        <v>0</v>
      </c>
      <c r="G2" s="77">
        <f>SUM(G4:G31)</f>
        <v>-40707.83</v>
      </c>
      <c r="H2" s="77">
        <f>F2+G2</f>
        <v>-40707.83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>
        <v>45845</v>
      </c>
      <c r="B7" s="81" t="s">
        <v>68</v>
      </c>
      <c r="C7" s="85"/>
      <c r="D7" s="86"/>
      <c r="E7" s="86">
        <f>E35</f>
        <v>-39087.630000000005</v>
      </c>
      <c r="F7" s="87"/>
      <c r="G7" s="87">
        <f>E7</f>
        <v>-39087.630000000005</v>
      </c>
      <c r="H7" s="77">
        <f t="shared" si="0"/>
        <v>-39087.630000000005</v>
      </c>
    </row>
    <row r="8" spans="1:10">
      <c r="A8" s="80"/>
      <c r="B8" s="81" t="s">
        <v>69</v>
      </c>
      <c r="C8" s="85"/>
      <c r="D8" s="86"/>
      <c r="E8" s="86">
        <f>E115</f>
        <v>-1620.2</v>
      </c>
      <c r="F8" s="87"/>
      <c r="G8" s="87">
        <f>E8</f>
        <v>-1620.2</v>
      </c>
      <c r="H8" s="77">
        <f t="shared" si="0"/>
        <v>-40707.83</v>
      </c>
    </row>
    <row r="9" spans="1:10">
      <c r="G9" s="87"/>
      <c r="H9" s="77">
        <f t="shared" si="0"/>
        <v>-40707.83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-40707.83</v>
      </c>
    </row>
    <row r="11" spans="1:10">
      <c r="A11" s="386">
        <v>45845</v>
      </c>
      <c r="B11" s="89" t="s">
        <v>509</v>
      </c>
      <c r="C11" s="89"/>
      <c r="D11" s="90"/>
      <c r="E11" s="90">
        <v>-25000</v>
      </c>
      <c r="H11" s="77">
        <f t="shared" si="0"/>
        <v>-40707.83</v>
      </c>
      <c r="J11">
        <v>67000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-40707.83</v>
      </c>
      <c r="J12">
        <v>47</v>
      </c>
    </row>
    <row r="13" spans="1:10">
      <c r="A13" s="88"/>
      <c r="B13" s="92"/>
      <c r="C13" s="92"/>
      <c r="D13" s="90"/>
      <c r="E13" s="90"/>
      <c r="H13" s="77">
        <f t="shared" si="0"/>
        <v>-40707.83</v>
      </c>
      <c r="J13">
        <f>J11/J12</f>
        <v>1425.5319148936171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-40707.83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-40707.83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-40707.83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-40707.83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-40707.83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-40707.83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-40707.83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-40707.83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-40707.83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-40707.83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-40707.83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-40707.83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-40707.83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-40707.83</v>
      </c>
    </row>
    <row r="28" spans="1:13" s="78" customFormat="1">
      <c r="D28" s="77"/>
      <c r="E28" s="77"/>
      <c r="F28" s="77"/>
      <c r="G28" s="77"/>
      <c r="H28" s="77">
        <f t="shared" si="0"/>
        <v>-40707.83</v>
      </c>
    </row>
    <row r="29" spans="1:13">
      <c r="A29" s="100"/>
      <c r="B29" s="101" t="s">
        <v>92</v>
      </c>
      <c r="C29" s="101"/>
      <c r="H29" s="77">
        <f t="shared" si="0"/>
        <v>-40707.83</v>
      </c>
      <c r="I29" s="78"/>
      <c r="J29" s="78"/>
    </row>
    <row r="30" spans="1:13">
      <c r="A30" s="100"/>
      <c r="H30" s="77">
        <f t="shared" si="0"/>
        <v>-40707.83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-40707.83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SUM(E36:E113)</f>
        <v>-39087.630000000005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F37" s="77">
        <v>0</v>
      </c>
      <c r="K37" s="78"/>
      <c r="L37" s="78"/>
      <c r="M37" s="78"/>
      <c r="N37" s="78"/>
    </row>
    <row r="38" spans="1:14" s="90" customFormat="1">
      <c r="A38" s="88">
        <v>45811</v>
      </c>
      <c r="B38" s="90" t="s">
        <v>1844</v>
      </c>
      <c r="C38" s="90">
        <v>5250</v>
      </c>
      <c r="D38" s="90" t="s">
        <v>1843</v>
      </c>
      <c r="E38" s="90">
        <v>-1750</v>
      </c>
      <c r="F38" s="90">
        <v>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1843</v>
      </c>
      <c r="E39" s="90">
        <v>-1750</v>
      </c>
      <c r="F39" s="90">
        <v>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1861</v>
      </c>
      <c r="E40" s="90">
        <v>-1750</v>
      </c>
      <c r="F40" s="90">
        <v>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1842</v>
      </c>
      <c r="C41" s="90">
        <v>14500</v>
      </c>
      <c r="D41" s="90" t="s">
        <v>1861</v>
      </c>
      <c r="E41" s="90">
        <v>-4833.33</v>
      </c>
      <c r="F41" s="90">
        <v>0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1872</v>
      </c>
      <c r="D42" s="90" t="s">
        <v>1873</v>
      </c>
      <c r="E42" s="90">
        <v>-406.67</v>
      </c>
      <c r="F42" s="90">
        <v>0</v>
      </c>
      <c r="K42" s="78"/>
      <c r="L42" s="78"/>
      <c r="M42" s="78"/>
      <c r="N42" s="78"/>
    </row>
    <row r="43" spans="1:14" s="90" customFormat="1">
      <c r="A43" s="100">
        <v>45790</v>
      </c>
      <c r="B43" s="107" t="s">
        <v>338</v>
      </c>
      <c r="C43" s="90">
        <v>1407.46</v>
      </c>
      <c r="D43" s="90" t="s">
        <v>659</v>
      </c>
      <c r="E43" s="90">
        <v>-234.58</v>
      </c>
      <c r="F43" s="90">
        <v>0</v>
      </c>
      <c r="K43" s="78"/>
      <c r="L43" s="78"/>
      <c r="M43" s="78"/>
      <c r="N43" s="78"/>
    </row>
    <row r="44" spans="1:14" s="77" customFormat="1">
      <c r="A44" s="100">
        <v>45828</v>
      </c>
      <c r="B44" s="107" t="s">
        <v>1903</v>
      </c>
      <c r="C44" s="77">
        <v>6500</v>
      </c>
      <c r="D44" s="90" t="s">
        <v>1861</v>
      </c>
      <c r="E44" s="77">
        <v>-2166.67</v>
      </c>
      <c r="K44" s="78"/>
      <c r="L44" s="78"/>
      <c r="M44" s="78"/>
      <c r="N44" s="78"/>
    </row>
    <row r="45" spans="1:14" s="77" customFormat="1">
      <c r="A45" s="100">
        <v>45805</v>
      </c>
      <c r="B45" s="107" t="s">
        <v>126</v>
      </c>
      <c r="C45" s="204">
        <v>1380</v>
      </c>
      <c r="D45" s="90" t="s">
        <v>1861</v>
      </c>
      <c r="E45" s="90">
        <v>-460</v>
      </c>
      <c r="F45" s="90">
        <v>0</v>
      </c>
      <c r="K45" s="78"/>
      <c r="L45" s="78"/>
      <c r="M45" s="78"/>
      <c r="N45" s="78"/>
    </row>
    <row r="46" spans="1:14">
      <c r="A46" s="100">
        <v>45805</v>
      </c>
      <c r="B46" s="107" t="s">
        <v>126</v>
      </c>
      <c r="C46" s="204">
        <v>4373.6000000000004</v>
      </c>
      <c r="D46" s="90" t="s">
        <v>1861</v>
      </c>
      <c r="E46" s="90">
        <v>-1457.87</v>
      </c>
      <c r="F46" s="90">
        <v>0</v>
      </c>
      <c r="I46" s="77"/>
      <c r="J46" s="77"/>
    </row>
    <row r="47" spans="1:14" s="77" customFormat="1">
      <c r="A47"/>
      <c r="B47" s="90" t="s">
        <v>1837</v>
      </c>
      <c r="C47" s="90">
        <v>0</v>
      </c>
      <c r="I47"/>
      <c r="J47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90" customFormat="1">
      <c r="K49" s="78"/>
      <c r="L49" s="78"/>
      <c r="M49" s="78"/>
      <c r="N49" s="78"/>
    </row>
    <row r="50" spans="1:14" s="77" customFormat="1">
      <c r="K50" s="78"/>
      <c r="L50" s="78"/>
      <c r="M50" s="78"/>
      <c r="N50" s="78"/>
    </row>
    <row r="51" spans="1:14" s="77" customFormat="1"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100">
        <v>45802</v>
      </c>
      <c r="B54" s="107" t="s">
        <v>1612</v>
      </c>
      <c r="C54" s="106"/>
      <c r="E54" s="77">
        <v>-80</v>
      </c>
      <c r="K54" s="78"/>
      <c r="L54" s="78"/>
      <c r="M54" s="78"/>
      <c r="N54" s="78"/>
    </row>
    <row r="55" spans="1:14" s="90" customFormat="1">
      <c r="A55" s="100">
        <v>45802</v>
      </c>
      <c r="B55" s="107" t="s">
        <v>1840</v>
      </c>
      <c r="C55" s="77"/>
      <c r="D55" s="77"/>
      <c r="E55" s="77">
        <v>-120</v>
      </c>
      <c r="F55" s="77">
        <v>0</v>
      </c>
      <c r="K55" s="78"/>
      <c r="L55" s="78"/>
      <c r="M55" s="78"/>
      <c r="N55" s="78"/>
    </row>
    <row r="56" spans="1:14" s="90" customFormat="1">
      <c r="A56" s="100">
        <v>45802</v>
      </c>
      <c r="B56" s="107" t="s">
        <v>1841</v>
      </c>
      <c r="C56" s="106"/>
      <c r="D56" s="77"/>
      <c r="E56" s="77">
        <v>-200</v>
      </c>
      <c r="F56" s="77">
        <v>0</v>
      </c>
      <c r="K56" s="78"/>
      <c r="L56" s="78"/>
      <c r="M56" s="78"/>
      <c r="N56" s="78"/>
    </row>
    <row r="57" spans="1:14" s="90" customFormat="1">
      <c r="A57" s="100">
        <v>45802</v>
      </c>
      <c r="B57" s="107" t="s">
        <v>1840</v>
      </c>
      <c r="C57" s="106"/>
      <c r="D57" s="77"/>
      <c r="E57" s="77">
        <v>-350</v>
      </c>
      <c r="F57" s="77">
        <v>0</v>
      </c>
      <c r="K57" s="78"/>
      <c r="L57" s="78"/>
      <c r="M57" s="78"/>
      <c r="N57" s="78"/>
    </row>
    <row r="58" spans="1:14" s="90" customFormat="1">
      <c r="A58" s="100"/>
      <c r="C58" s="106"/>
      <c r="E58" s="90">
        <v>-250</v>
      </c>
      <c r="K58" s="78"/>
      <c r="L58" s="78"/>
      <c r="M58" s="78"/>
      <c r="N58" s="78"/>
    </row>
    <row r="59" spans="1:14" s="90" customFormat="1">
      <c r="A59" s="100">
        <v>45803</v>
      </c>
      <c r="B59" s="106" t="s">
        <v>1839</v>
      </c>
      <c r="C59" s="106"/>
      <c r="D59" s="77"/>
      <c r="E59" s="77">
        <v>-250</v>
      </c>
      <c r="F59" s="77">
        <v>0</v>
      </c>
      <c r="K59" s="78"/>
      <c r="L59" s="78"/>
      <c r="M59" s="78"/>
      <c r="N59" s="78"/>
    </row>
    <row r="60" spans="1:14" s="90" customFormat="1">
      <c r="A60" s="88">
        <v>45804</v>
      </c>
      <c r="B60" s="77" t="s">
        <v>1818</v>
      </c>
      <c r="C60" s="77"/>
      <c r="D60" s="77"/>
      <c r="E60" s="77">
        <v>-1380</v>
      </c>
      <c r="F60" s="77">
        <v>0</v>
      </c>
      <c r="K60" s="78"/>
      <c r="L60" s="78"/>
      <c r="M60" s="78"/>
      <c r="N60" s="78"/>
    </row>
    <row r="61" spans="1:14" s="90" customFormat="1">
      <c r="A61" s="100">
        <v>45804</v>
      </c>
      <c r="B61" s="90" t="s">
        <v>1838</v>
      </c>
      <c r="C61" s="106"/>
      <c r="D61" s="77"/>
      <c r="E61" s="77">
        <v>-4373.6000000000004</v>
      </c>
      <c r="F61" s="77">
        <v>0</v>
      </c>
      <c r="K61" s="78"/>
      <c r="L61" s="78"/>
      <c r="M61" s="78"/>
      <c r="N61" s="78"/>
    </row>
    <row r="62" spans="1:14" s="90" customFormat="1">
      <c r="A62" s="88">
        <v>45804</v>
      </c>
      <c r="B62" s="77" t="s">
        <v>1836</v>
      </c>
      <c r="C62" s="77"/>
      <c r="D62" s="77"/>
      <c r="E62" s="77">
        <v>-234.3</v>
      </c>
      <c r="F62" s="77">
        <v>0</v>
      </c>
      <c r="K62" s="78"/>
      <c r="L62" s="78"/>
      <c r="M62" s="78"/>
      <c r="N62" s="78"/>
    </row>
    <row r="63" spans="1:14" s="90" customFormat="1">
      <c r="A63" s="88">
        <v>45805</v>
      </c>
      <c r="B63" s="77" t="s">
        <v>1612</v>
      </c>
      <c r="C63" s="77"/>
      <c r="D63" s="77"/>
      <c r="E63" s="77">
        <v>-80</v>
      </c>
      <c r="F63" s="77">
        <v>1</v>
      </c>
      <c r="G63" s="77"/>
      <c r="K63" s="78"/>
      <c r="L63" s="78"/>
      <c r="M63" s="78"/>
      <c r="N63" s="78"/>
    </row>
    <row r="64" spans="1:14" s="90" customFormat="1">
      <c r="A64" s="100"/>
      <c r="B64" s="107"/>
      <c r="C64" s="106"/>
      <c r="K64" s="78"/>
      <c r="L64" s="78"/>
      <c r="M64" s="78"/>
      <c r="N64" s="78"/>
    </row>
    <row r="65" spans="1:14" s="90" customFormat="1">
      <c r="A65" s="100">
        <v>45805</v>
      </c>
      <c r="B65" s="107" t="s">
        <v>651</v>
      </c>
      <c r="C65" s="106"/>
      <c r="E65" s="90">
        <v>-575</v>
      </c>
      <c r="F65" s="90">
        <v>0</v>
      </c>
      <c r="K65" s="78"/>
      <c r="L65" s="78"/>
      <c r="M65" s="78"/>
      <c r="N65" s="78"/>
    </row>
    <row r="66" spans="1:14" s="90" customFormat="1">
      <c r="A66" s="100">
        <v>45805</v>
      </c>
      <c r="B66" s="107" t="s">
        <v>126</v>
      </c>
      <c r="C66" s="204" t="s">
        <v>1896</v>
      </c>
      <c r="D66" s="90" t="s">
        <v>1843</v>
      </c>
      <c r="E66" s="90">
        <v>1380</v>
      </c>
      <c r="F66" s="90">
        <v>0</v>
      </c>
      <c r="K66" s="78"/>
      <c r="L66" s="78"/>
      <c r="M66" s="78"/>
      <c r="N66" s="78"/>
    </row>
    <row r="67" spans="1:14" s="90" customFormat="1">
      <c r="A67" s="100">
        <v>45805</v>
      </c>
      <c r="B67" s="107" t="s">
        <v>126</v>
      </c>
      <c r="C67" s="204" t="s">
        <v>1896</v>
      </c>
      <c r="D67" s="90" t="s">
        <v>1843</v>
      </c>
      <c r="E67" s="90">
        <v>4373.6000000000004</v>
      </c>
      <c r="F67" s="90">
        <v>0</v>
      </c>
      <c r="K67" s="78"/>
      <c r="L67" s="78"/>
      <c r="M67" s="78"/>
      <c r="N67" s="78"/>
    </row>
    <row r="68" spans="1:14" s="90" customFormat="1">
      <c r="A68" s="100">
        <v>45806</v>
      </c>
      <c r="B68" s="107" t="s">
        <v>127</v>
      </c>
      <c r="C68" s="106"/>
      <c r="E68" s="90">
        <v>-112.44</v>
      </c>
      <c r="F68" s="90">
        <v>0</v>
      </c>
      <c r="K68" s="78"/>
      <c r="L68" s="78"/>
      <c r="M68" s="78"/>
      <c r="N68" s="78"/>
    </row>
    <row r="69" spans="1:14" s="90" customFormat="1">
      <c r="A69" s="100">
        <v>45807</v>
      </c>
      <c r="B69" s="107" t="s">
        <v>651</v>
      </c>
      <c r="C69" s="106"/>
      <c r="E69" s="90">
        <v>-500</v>
      </c>
      <c r="F69" s="90">
        <v>0</v>
      </c>
      <c r="K69" s="78"/>
      <c r="L69" s="78"/>
      <c r="M69" s="78"/>
      <c r="N69" s="78"/>
    </row>
    <row r="70" spans="1:14" s="90" customFormat="1">
      <c r="A70" s="100">
        <v>45808</v>
      </c>
      <c r="B70" s="107" t="s">
        <v>127</v>
      </c>
      <c r="C70" s="106"/>
      <c r="E70" s="90">
        <v>-61.44</v>
      </c>
      <c r="F70" s="90">
        <v>0</v>
      </c>
      <c r="K70" s="78"/>
      <c r="L70" s="78"/>
      <c r="M70" s="78"/>
      <c r="N70" s="78"/>
    </row>
    <row r="71" spans="1:14" s="90" customFormat="1">
      <c r="A71" s="100">
        <v>45811</v>
      </c>
      <c r="B71" s="107" t="s">
        <v>1628</v>
      </c>
      <c r="C71" s="106"/>
      <c r="E71" s="90">
        <v>-850</v>
      </c>
      <c r="F71" s="90">
        <v>0</v>
      </c>
      <c r="K71" s="78"/>
      <c r="L71" s="78"/>
      <c r="M71" s="78"/>
      <c r="N71" s="78"/>
    </row>
    <row r="72" spans="1:14" s="90" customFormat="1">
      <c r="A72" s="100">
        <v>45811</v>
      </c>
      <c r="B72" s="107" t="s">
        <v>1877</v>
      </c>
      <c r="C72" s="106"/>
      <c r="E72" s="90">
        <v>-195</v>
      </c>
      <c r="F72" s="90">
        <v>0</v>
      </c>
      <c r="K72" s="78"/>
      <c r="L72" s="78"/>
      <c r="M72" s="78"/>
      <c r="N72" s="78"/>
    </row>
    <row r="73" spans="1:14" s="90" customFormat="1">
      <c r="A73" s="100">
        <v>45811</v>
      </c>
      <c r="B73" s="107" t="s">
        <v>1876</v>
      </c>
      <c r="C73" s="106"/>
      <c r="E73" s="90">
        <v>-494</v>
      </c>
      <c r="F73" s="90">
        <v>0</v>
      </c>
      <c r="K73" s="78"/>
      <c r="L73" s="78"/>
      <c r="M73" s="78"/>
      <c r="N73" s="78"/>
    </row>
    <row r="74" spans="1:14" s="90" customFormat="1">
      <c r="A74" s="100">
        <v>45812</v>
      </c>
      <c r="B74" s="107" t="s">
        <v>1862</v>
      </c>
      <c r="C74" s="106"/>
      <c r="E74" s="90">
        <v>-150</v>
      </c>
      <c r="F74" s="90">
        <v>0</v>
      </c>
      <c r="K74" s="78"/>
      <c r="L74" s="78"/>
      <c r="M74" s="78"/>
      <c r="N74" s="78"/>
    </row>
    <row r="75" spans="1:14" s="90" customFormat="1">
      <c r="A75" s="100">
        <v>45812</v>
      </c>
      <c r="B75" s="107" t="s">
        <v>129</v>
      </c>
      <c r="C75" s="106">
        <v>21573.62</v>
      </c>
      <c r="K75" s="78"/>
      <c r="L75" s="78"/>
      <c r="M75" s="78"/>
      <c r="N75" s="78"/>
    </row>
    <row r="76" spans="1:14" s="90" customFormat="1">
      <c r="A76" s="100">
        <v>45934</v>
      </c>
      <c r="B76" s="107" t="s">
        <v>1863</v>
      </c>
      <c r="C76" s="106"/>
      <c r="E76" s="90">
        <v>-40</v>
      </c>
      <c r="F76" s="90">
        <v>0</v>
      </c>
      <c r="K76" s="78"/>
      <c r="L76" s="78"/>
      <c r="M76" s="78"/>
      <c r="N76" s="78"/>
    </row>
    <row r="77" spans="1:14" s="90" customFormat="1">
      <c r="A77" s="100">
        <v>45813</v>
      </c>
      <c r="B77" s="107"/>
      <c r="C77" s="106"/>
      <c r="E77" s="90">
        <v>-250</v>
      </c>
      <c r="F77" s="90">
        <v>0</v>
      </c>
      <c r="K77" s="78"/>
      <c r="L77" s="78"/>
      <c r="M77" s="78"/>
      <c r="N77" s="78"/>
    </row>
    <row r="78" spans="1:14" s="90" customFormat="1">
      <c r="A78" s="100">
        <v>45813</v>
      </c>
      <c r="B78" s="107"/>
      <c r="C78" s="106"/>
      <c r="E78" s="90">
        <v>-340</v>
      </c>
      <c r="F78" s="90">
        <v>0</v>
      </c>
      <c r="K78" s="78"/>
      <c r="L78" s="78"/>
      <c r="M78" s="78"/>
      <c r="N78" s="78"/>
    </row>
    <row r="79" spans="1:14" s="90" customFormat="1">
      <c r="A79" s="100">
        <v>45813</v>
      </c>
      <c r="B79" s="107"/>
      <c r="C79" s="106"/>
      <c r="E79" s="90">
        <v>-350</v>
      </c>
      <c r="F79" s="90">
        <v>0</v>
      </c>
      <c r="K79" s="78"/>
      <c r="L79" s="78"/>
      <c r="M79" s="78"/>
      <c r="N79" s="78"/>
    </row>
    <row r="80" spans="1:14" s="90" customFormat="1">
      <c r="A80" s="100">
        <v>45813</v>
      </c>
      <c r="B80" s="107" t="s">
        <v>1875</v>
      </c>
      <c r="C80" s="106"/>
      <c r="E80" s="90">
        <v>-950</v>
      </c>
      <c r="F80" s="90">
        <v>0</v>
      </c>
      <c r="K80" s="78"/>
      <c r="L80" s="78"/>
      <c r="M80" s="78"/>
      <c r="N80" s="78"/>
    </row>
    <row r="81" spans="1:14" s="90" customFormat="1">
      <c r="A81" s="100">
        <v>45813</v>
      </c>
      <c r="B81" s="107" t="s">
        <v>1864</v>
      </c>
      <c r="C81" s="106"/>
      <c r="E81" s="90">
        <v>-160</v>
      </c>
      <c r="F81" s="90">
        <v>0</v>
      </c>
      <c r="K81" s="78"/>
      <c r="L81" s="78"/>
      <c r="M81" s="78"/>
      <c r="N81" s="78"/>
    </row>
    <row r="82" spans="1:14" s="90" customFormat="1">
      <c r="A82" s="100">
        <v>45813</v>
      </c>
      <c r="B82" s="107" t="s">
        <v>1865</v>
      </c>
      <c r="C82" s="106"/>
      <c r="E82" s="90">
        <v>-795.29</v>
      </c>
      <c r="F82" s="90">
        <v>0</v>
      </c>
      <c r="K82" s="78"/>
      <c r="L82" s="78"/>
      <c r="M82" s="78"/>
      <c r="N82" s="78"/>
    </row>
    <row r="83" spans="1:14" s="90" customFormat="1">
      <c r="A83" s="100">
        <v>45815</v>
      </c>
      <c r="B83" s="107"/>
      <c r="C83" s="106"/>
      <c r="E83" s="90">
        <v>-400</v>
      </c>
      <c r="F83" s="90">
        <v>0</v>
      </c>
      <c r="K83" s="78"/>
      <c r="L83" s="78"/>
      <c r="M83" s="78"/>
      <c r="N83" s="78"/>
    </row>
    <row r="84" spans="1:14" s="90" customFormat="1">
      <c r="A84" s="100">
        <v>45815</v>
      </c>
      <c r="B84" s="107" t="s">
        <v>1878</v>
      </c>
      <c r="C84" s="106"/>
      <c r="E84" s="90">
        <v>-3570</v>
      </c>
      <c r="F84" s="90">
        <v>0</v>
      </c>
      <c r="K84" s="78"/>
      <c r="L84" s="78"/>
      <c r="M84" s="78"/>
      <c r="N84" s="78"/>
    </row>
    <row r="85" spans="1:14" s="90" customFormat="1">
      <c r="A85" s="100">
        <v>45816</v>
      </c>
      <c r="B85" s="107" t="s">
        <v>1866</v>
      </c>
      <c r="C85" s="106"/>
      <c r="E85" s="90">
        <v>-520</v>
      </c>
      <c r="F85" s="90">
        <v>0</v>
      </c>
      <c r="K85" s="78"/>
      <c r="L85" s="78"/>
      <c r="M85" s="78"/>
      <c r="N85" s="78"/>
    </row>
    <row r="86" spans="1:14" s="90" customFormat="1">
      <c r="A86" s="100">
        <v>45816</v>
      </c>
      <c r="B86" s="107" t="s">
        <v>1867</v>
      </c>
      <c r="C86" s="106"/>
      <c r="E86" s="90">
        <v>-580</v>
      </c>
      <c r="F86" s="90">
        <v>0</v>
      </c>
      <c r="K86" s="78"/>
      <c r="L86" s="78"/>
      <c r="M86" s="78"/>
      <c r="N86" s="78"/>
    </row>
    <row r="87" spans="1:14" s="90" customFormat="1">
      <c r="A87" s="100">
        <v>45813</v>
      </c>
      <c r="B87" s="107" t="s">
        <v>1868</v>
      </c>
      <c r="C87" s="106"/>
      <c r="E87" s="90">
        <v>-1500</v>
      </c>
      <c r="F87" s="90">
        <v>0</v>
      </c>
      <c r="K87" s="78"/>
      <c r="L87" s="78"/>
      <c r="M87" s="78"/>
      <c r="N87" s="78"/>
    </row>
    <row r="88" spans="1:14" s="90" customFormat="1">
      <c r="A88" s="100"/>
      <c r="B88" s="107" t="s">
        <v>1869</v>
      </c>
      <c r="C88" s="106"/>
      <c r="E88" s="90">
        <v>-149.94999999999999</v>
      </c>
      <c r="F88" s="90">
        <v>0</v>
      </c>
      <c r="K88" s="78"/>
      <c r="L88" s="78"/>
      <c r="M88" s="78"/>
      <c r="N88" s="78"/>
    </row>
    <row r="89" spans="1:14" s="90" customFormat="1">
      <c r="A89" s="100">
        <v>45817</v>
      </c>
      <c r="B89" s="107" t="s">
        <v>1870</v>
      </c>
      <c r="C89" s="106"/>
      <c r="E89" s="90">
        <v>-1304.99</v>
      </c>
      <c r="F89" s="90">
        <v>0</v>
      </c>
      <c r="K89" s="78"/>
      <c r="L89" s="78"/>
      <c r="M89" s="78"/>
      <c r="N89" s="78"/>
    </row>
    <row r="90" spans="1:14" s="90" customFormat="1">
      <c r="A90" s="100">
        <v>45817</v>
      </c>
      <c r="B90" s="107" t="s">
        <v>1871</v>
      </c>
      <c r="C90" s="106"/>
      <c r="E90" s="90">
        <v>-1199.99</v>
      </c>
      <c r="F90" s="90">
        <v>0</v>
      </c>
      <c r="K90" s="78"/>
      <c r="L90" s="78"/>
      <c r="M90" s="78"/>
      <c r="N90" s="78"/>
    </row>
    <row r="91" spans="1:14" s="90" customFormat="1">
      <c r="A91" s="100">
        <v>45817</v>
      </c>
      <c r="B91" s="107"/>
      <c r="C91" s="106"/>
      <c r="E91" s="90">
        <v>-558</v>
      </c>
      <c r="F91" s="90">
        <v>0</v>
      </c>
      <c r="K91" s="78"/>
      <c r="L91" s="78"/>
      <c r="M91" s="78"/>
      <c r="N91" s="78"/>
    </row>
    <row r="92" spans="1:14" s="90" customFormat="1">
      <c r="A92" s="100">
        <v>45818</v>
      </c>
      <c r="B92" s="107" t="s">
        <v>1874</v>
      </c>
      <c r="C92" s="106"/>
      <c r="E92" s="90">
        <v>-240</v>
      </c>
      <c r="F92" s="90">
        <v>0</v>
      </c>
      <c r="K92" s="78"/>
      <c r="L92" s="78"/>
      <c r="M92" s="78"/>
      <c r="N92" s="78"/>
    </row>
    <row r="93" spans="1:14" s="90" customFormat="1">
      <c r="A93" s="100">
        <v>45820</v>
      </c>
      <c r="B93" s="107" t="s">
        <v>127</v>
      </c>
      <c r="C93" s="106"/>
      <c r="E93" s="90">
        <v>-101.31</v>
      </c>
      <c r="F93" s="90">
        <v>101.31</v>
      </c>
      <c r="K93" s="78"/>
      <c r="L93" s="78"/>
      <c r="M93" s="78"/>
      <c r="N93" s="78"/>
    </row>
    <row r="94" spans="1:14" s="90" customFormat="1">
      <c r="A94" s="100">
        <v>45821</v>
      </c>
      <c r="B94" s="107" t="s">
        <v>1897</v>
      </c>
      <c r="C94" s="106"/>
      <c r="E94" s="90">
        <v>-315</v>
      </c>
      <c r="K94" s="78"/>
      <c r="L94" s="78"/>
      <c r="M94" s="78"/>
      <c r="N94" s="78"/>
    </row>
    <row r="95" spans="1:14" s="90" customFormat="1">
      <c r="A95" s="100">
        <v>45913</v>
      </c>
      <c r="B95" s="107" t="s">
        <v>1897</v>
      </c>
      <c r="C95" s="106"/>
      <c r="E95" s="90">
        <v>-60</v>
      </c>
      <c r="K95" s="78"/>
      <c r="L95" s="78"/>
      <c r="M95" s="78"/>
      <c r="N95" s="78"/>
    </row>
    <row r="96" spans="1:14" s="90" customFormat="1">
      <c r="A96" s="100">
        <v>45821</v>
      </c>
      <c r="B96" s="107" t="s">
        <v>1898</v>
      </c>
      <c r="C96" s="106"/>
      <c r="E96" s="90">
        <v>-1425</v>
      </c>
      <c r="K96" s="78"/>
      <c r="L96" s="78"/>
      <c r="M96" s="78"/>
      <c r="N96" s="78"/>
    </row>
    <row r="97" spans="1:14" s="90" customFormat="1">
      <c r="A97" s="100">
        <v>45822</v>
      </c>
      <c r="B97" s="107" t="s">
        <v>127</v>
      </c>
      <c r="C97" s="106"/>
      <c r="E97" s="90">
        <v>-510.46</v>
      </c>
      <c r="K97" s="78"/>
      <c r="L97" s="78"/>
      <c r="M97" s="78"/>
      <c r="N97" s="78"/>
    </row>
    <row r="98" spans="1:14" s="90" customFormat="1">
      <c r="A98" s="100">
        <v>45824</v>
      </c>
      <c r="B98" s="107" t="s">
        <v>1899</v>
      </c>
      <c r="C98" s="106"/>
      <c r="E98" s="90">
        <v>-260</v>
      </c>
      <c r="K98" s="78"/>
      <c r="L98" s="78"/>
      <c r="M98" s="78"/>
      <c r="N98" s="78"/>
    </row>
    <row r="99" spans="1:14" s="90" customFormat="1">
      <c r="A99" s="100">
        <v>45825</v>
      </c>
      <c r="B99" s="107" t="s">
        <v>651</v>
      </c>
      <c r="C99" s="106"/>
      <c r="E99" s="90">
        <v>-300</v>
      </c>
      <c r="K99" s="78"/>
      <c r="L99" s="78"/>
      <c r="M99" s="78"/>
      <c r="N99" s="78"/>
    </row>
    <row r="100" spans="1:14" s="90" customFormat="1">
      <c r="A100" s="100">
        <v>45825</v>
      </c>
      <c r="B100" s="107" t="s">
        <v>1897</v>
      </c>
      <c r="C100" s="106"/>
      <c r="E100" s="90">
        <v>-300</v>
      </c>
      <c r="K100" s="78"/>
      <c r="L100" s="78"/>
      <c r="M100" s="78"/>
      <c r="N100" s="78"/>
    </row>
    <row r="101" spans="1:14" s="90" customFormat="1">
      <c r="A101" s="100">
        <v>45826</v>
      </c>
      <c r="B101" s="107" t="s">
        <v>1897</v>
      </c>
      <c r="C101" s="106"/>
      <c r="E101" s="90">
        <v>-280</v>
      </c>
      <c r="K101" s="78"/>
      <c r="L101" s="78"/>
      <c r="M101" s="78"/>
      <c r="N101" s="78"/>
    </row>
    <row r="102" spans="1:14" s="90" customFormat="1">
      <c r="A102" s="100">
        <v>45826</v>
      </c>
      <c r="B102" s="107" t="s">
        <v>127</v>
      </c>
      <c r="C102" s="106"/>
      <c r="E102" s="90">
        <v>-304.55</v>
      </c>
      <c r="K102" s="78"/>
      <c r="L102" s="78"/>
      <c r="M102" s="78"/>
      <c r="N102" s="78"/>
    </row>
    <row r="103" spans="1:14" s="90" customFormat="1">
      <c r="A103" s="100">
        <v>45827</v>
      </c>
      <c r="B103" s="107" t="s">
        <v>1612</v>
      </c>
      <c r="C103" s="106"/>
      <c r="E103" s="90">
        <v>-200</v>
      </c>
      <c r="K103" s="78"/>
      <c r="L103" s="78"/>
      <c r="M103" s="78"/>
      <c r="N103" s="78"/>
    </row>
    <row r="104" spans="1:14" s="90" customFormat="1">
      <c r="A104" s="100">
        <v>45827</v>
      </c>
      <c r="B104" s="107" t="s">
        <v>127</v>
      </c>
      <c r="C104" s="106"/>
      <c r="E104" s="90">
        <v>-82.01</v>
      </c>
      <c r="K104" s="78"/>
      <c r="L104" s="78"/>
      <c r="M104" s="78"/>
      <c r="N104" s="78"/>
    </row>
    <row r="105" spans="1:14" s="90" customFormat="1">
      <c r="A105" s="100">
        <v>45828</v>
      </c>
      <c r="B105" s="90" t="s">
        <v>1900</v>
      </c>
      <c r="C105" s="106"/>
      <c r="E105" s="90">
        <v>-710</v>
      </c>
      <c r="K105" s="78"/>
      <c r="L105" s="78"/>
      <c r="M105" s="78"/>
      <c r="N105" s="78"/>
    </row>
    <row r="106" spans="1:14" s="90" customFormat="1">
      <c r="A106" s="100">
        <v>45829</v>
      </c>
      <c r="B106" s="107" t="s">
        <v>1897</v>
      </c>
      <c r="C106" s="106"/>
      <c r="E106" s="90">
        <v>-280</v>
      </c>
      <c r="K106" s="78"/>
      <c r="L106" s="78"/>
      <c r="M106" s="78"/>
      <c r="N106" s="78"/>
    </row>
    <row r="107" spans="1:14" s="90" customFormat="1">
      <c r="A107" s="100">
        <v>45832</v>
      </c>
      <c r="B107" s="107" t="s">
        <v>1901</v>
      </c>
      <c r="C107" s="106"/>
      <c r="E107" s="90">
        <v>-500</v>
      </c>
      <c r="K107" s="78"/>
      <c r="L107" s="78"/>
      <c r="M107" s="78"/>
      <c r="N107" s="78"/>
    </row>
    <row r="108" spans="1:14" s="90" customFormat="1">
      <c r="A108" s="100">
        <v>45832</v>
      </c>
      <c r="B108" s="107" t="s">
        <v>1902</v>
      </c>
      <c r="C108" s="106"/>
      <c r="E108" s="90">
        <v>-250</v>
      </c>
      <c r="K108" s="78"/>
      <c r="L108" s="78"/>
      <c r="M108" s="78"/>
      <c r="N108" s="78"/>
    </row>
    <row r="109" spans="1:14" s="90" customFormat="1">
      <c r="A109" s="100"/>
      <c r="B109" s="107"/>
      <c r="C109" s="106"/>
      <c r="K109" s="78"/>
      <c r="L109" s="78"/>
      <c r="M109" s="78"/>
      <c r="N109" s="78"/>
    </row>
    <row r="110" spans="1:14" s="90" customFormat="1">
      <c r="A110" s="100"/>
      <c r="B110" s="107"/>
      <c r="C110" s="106"/>
      <c r="K110" s="78"/>
      <c r="L110" s="78"/>
      <c r="M110" s="78"/>
      <c r="N110" s="78"/>
    </row>
    <row r="111" spans="1:14" s="90" customFormat="1">
      <c r="A111" s="100"/>
      <c r="B111" s="107"/>
      <c r="C111" s="106"/>
      <c r="K111" s="78"/>
      <c r="L111" s="78"/>
      <c r="M111" s="78"/>
      <c r="N111" s="78"/>
    </row>
    <row r="112" spans="1:14" s="90" customFormat="1">
      <c r="A112" s="100"/>
      <c r="B112" s="107"/>
      <c r="C112" s="106"/>
      <c r="K112" s="78"/>
      <c r="L112" s="78"/>
      <c r="M112" s="78"/>
      <c r="N112" s="78"/>
    </row>
    <row r="113" spans="1:14" s="77" customFormat="1">
      <c r="A113" s="100"/>
      <c r="B113" s="3"/>
      <c r="K113" s="78"/>
      <c r="L113" s="78"/>
      <c r="M113" s="78"/>
      <c r="N113" s="78"/>
    </row>
    <row r="114" spans="1:14" s="77" customFormat="1">
      <c r="A114" s="100"/>
      <c r="B114" s="106"/>
      <c r="C114" s="106"/>
      <c r="K114" s="78"/>
      <c r="L114" s="78"/>
      <c r="M114" s="78"/>
      <c r="N114" s="78"/>
    </row>
    <row r="115" spans="1:14" s="77" customFormat="1">
      <c r="A115" s="103"/>
      <c r="B115" s="104" t="s">
        <v>85</v>
      </c>
      <c r="C115" s="103"/>
      <c r="E115" s="77">
        <f>SUM(E116:E119)</f>
        <v>-1620.2</v>
      </c>
      <c r="K115" s="78"/>
      <c r="L115" s="78"/>
      <c r="M115" s="78"/>
      <c r="N115" s="78"/>
    </row>
    <row r="116" spans="1:14" s="77" customFormat="1">
      <c r="A116" s="100"/>
      <c r="B116" s="106"/>
      <c r="C116" s="106"/>
      <c r="K116" s="78"/>
      <c r="L116" s="78"/>
      <c r="M116" s="78"/>
      <c r="N116" s="78"/>
    </row>
    <row r="117" spans="1:14" s="77" customFormat="1">
      <c r="A117" s="98">
        <v>45728</v>
      </c>
      <c r="B117" s="90" t="s">
        <v>1687</v>
      </c>
      <c r="C117" s="11"/>
      <c r="D117" s="90" t="s">
        <v>1721</v>
      </c>
      <c r="E117" s="90">
        <v>-625</v>
      </c>
      <c r="K117" s="78"/>
      <c r="L117" s="78"/>
      <c r="M117" s="78"/>
      <c r="N117" s="78"/>
    </row>
    <row r="118" spans="1:14" s="77" customFormat="1">
      <c r="A118" s="100"/>
      <c r="B118" s="3" t="s">
        <v>1895</v>
      </c>
      <c r="C118" s="106"/>
      <c r="E118" s="77">
        <v>-995.2</v>
      </c>
      <c r="K118" s="78"/>
      <c r="L118" s="78"/>
      <c r="M118" s="78"/>
      <c r="N118" s="78"/>
    </row>
    <row r="119" spans="1:14" s="77" customFormat="1">
      <c r="A119" s="100"/>
      <c r="B119" s="3"/>
      <c r="C119" s="106"/>
      <c r="K119" s="78"/>
      <c r="L119" s="78"/>
      <c r="M119" s="78"/>
      <c r="N119" s="78"/>
    </row>
    <row r="120" spans="1:14" s="77" customFormat="1" ht="15">
      <c r="A120" s="100"/>
      <c r="B120" s="3"/>
      <c r="C120" s="106"/>
      <c r="E120" s="105" t="s">
        <v>84</v>
      </c>
      <c r="K120" s="78"/>
      <c r="L120" s="78"/>
      <c r="M120" s="78"/>
      <c r="N120" s="78"/>
    </row>
    <row r="121" spans="1:14" s="77" customFormat="1">
      <c r="A121" s="100"/>
      <c r="B121" s="3"/>
      <c r="C121" s="106"/>
      <c r="K121" s="78"/>
      <c r="L121" s="78"/>
      <c r="M121" s="78"/>
      <c r="N121" s="78"/>
    </row>
    <row r="122" spans="1:14" s="77" customFormat="1">
      <c r="A122" s="100"/>
      <c r="B122" s="3"/>
      <c r="C122" s="106"/>
      <c r="K122" s="78"/>
      <c r="L122" s="78"/>
      <c r="M122" s="78"/>
      <c r="N122" s="78"/>
    </row>
    <row r="123" spans="1:14" s="77" customFormat="1">
      <c r="A123" s="100"/>
      <c r="B123" s="3"/>
      <c r="C123" s="106"/>
      <c r="K123" s="78"/>
      <c r="L123" s="78"/>
      <c r="M123" s="78"/>
      <c r="N123" s="78"/>
    </row>
    <row r="124" spans="1:14" s="77" customFormat="1">
      <c r="A124" s="100"/>
      <c r="B124" s="3"/>
      <c r="C124" s="106"/>
      <c r="K124" s="78"/>
      <c r="L124" s="78"/>
      <c r="M124" s="78"/>
      <c r="N124" s="78"/>
    </row>
    <row r="125" spans="1:14">
      <c r="A125" s="100"/>
      <c r="B125" s="3"/>
      <c r="C125" s="106"/>
      <c r="I125" s="77"/>
      <c r="J125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182"/>
  <sheetViews>
    <sheetView topLeftCell="A11" zoomScale="175" zoomScaleNormal="175" workbookViewId="0">
      <selection activeCell="G26" sqref="G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0</v>
      </c>
      <c r="G2" s="77">
        <f>SUM(G4:G34)</f>
        <v>-85308.52</v>
      </c>
      <c r="H2" s="77">
        <f>F2+G2</f>
        <v>-85308.52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1906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1905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574">
        <v>45834</v>
      </c>
      <c r="B18" s="90" t="s">
        <v>1904</v>
      </c>
      <c r="C18" s="90"/>
      <c r="D18" s="90"/>
      <c r="E18" s="90"/>
      <c r="F18" s="90"/>
      <c r="G18" s="90">
        <v>-20000</v>
      </c>
      <c r="H18" s="90">
        <f t="shared" si="0"/>
        <v>-82308.52</v>
      </c>
    </row>
    <row r="19" spans="1:13" s="78" customFormat="1">
      <c r="A19" s="88">
        <v>45834</v>
      </c>
      <c r="B19" s="3" t="s">
        <v>1879</v>
      </c>
      <c r="C19" s="3"/>
      <c r="D19" s="77"/>
      <c r="E19" s="77"/>
      <c r="F19" s="77"/>
      <c r="G19" s="77">
        <v>-3000</v>
      </c>
      <c r="H19" s="90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88"/>
      <c r="B21" s="92" t="s">
        <v>76</v>
      </c>
      <c r="C21" s="92"/>
      <c r="D21" s="90">
        <v>15000</v>
      </c>
      <c r="E21" s="90"/>
      <c r="F21" s="77"/>
      <c r="G21" s="77"/>
      <c r="H21" s="90">
        <f t="shared" si="0"/>
        <v>-85308.52</v>
      </c>
      <c r="J21" s="94"/>
      <c r="K21" s="94"/>
      <c r="L21" s="95"/>
      <c r="M21" s="96"/>
    </row>
    <row r="22" spans="1:13" s="78" customFormat="1">
      <c r="B22" s="92" t="s">
        <v>77</v>
      </c>
      <c r="C22" s="92"/>
      <c r="D22" s="90"/>
      <c r="E22" s="90">
        <v>-7500</v>
      </c>
      <c r="F22" s="77"/>
      <c r="G22" s="77"/>
      <c r="H22" s="90">
        <f t="shared" si="0"/>
        <v>-85308.52</v>
      </c>
      <c r="J22" s="94"/>
      <c r="K22" s="94"/>
      <c r="L22" s="95"/>
      <c r="M22" s="96"/>
    </row>
    <row r="23" spans="1:13" s="78" customFormat="1">
      <c r="B23" s="92" t="s">
        <v>78</v>
      </c>
      <c r="C23" s="92"/>
      <c r="D23" s="90"/>
      <c r="E23" s="90">
        <v>-7500</v>
      </c>
      <c r="F23" s="77"/>
      <c r="G23" s="77"/>
      <c r="H23" s="90">
        <f t="shared" si="0"/>
        <v>-85308.52</v>
      </c>
      <c r="J23" s="94"/>
      <c r="K23" s="94"/>
      <c r="L23" s="95"/>
      <c r="M23" s="96"/>
    </row>
    <row r="24" spans="1:13" s="78" customFormat="1">
      <c r="B24" s="92" t="s">
        <v>79</v>
      </c>
      <c r="C24" s="92"/>
      <c r="D24" s="90"/>
      <c r="E24" s="90">
        <v>-7500</v>
      </c>
      <c r="F24" s="77"/>
      <c r="G24" s="77"/>
      <c r="H24" s="90">
        <f t="shared" si="0"/>
        <v>-85308.52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-85308.52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-85308.52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-85308.52</v>
      </c>
      <c r="J27" s="94"/>
      <c r="K27" s="94"/>
      <c r="L27" s="95"/>
      <c r="M27" s="96"/>
    </row>
    <row r="28" spans="1:13" s="78" customFormat="1">
      <c r="A28" s="564">
        <v>45838</v>
      </c>
      <c r="B28" s="99" t="s">
        <v>80</v>
      </c>
      <c r="C28" s="99"/>
      <c r="D28" s="77"/>
      <c r="E28" s="77">
        <v>-600</v>
      </c>
      <c r="F28" s="77"/>
      <c r="G28" s="77"/>
      <c r="H28" s="77">
        <f t="shared" si="0"/>
        <v>-85308.52</v>
      </c>
      <c r="J28" s="94"/>
      <c r="K28" s="94"/>
      <c r="L28" s="95"/>
      <c r="M28" s="96"/>
    </row>
    <row r="29" spans="1:13" s="78" customFormat="1">
      <c r="A29" s="564">
        <v>45838</v>
      </c>
      <c r="B29" s="99" t="s">
        <v>81</v>
      </c>
      <c r="C29" s="99"/>
      <c r="D29" s="77"/>
      <c r="E29" s="77">
        <v>-800</v>
      </c>
      <c r="F29" s="77"/>
      <c r="G29" s="77"/>
      <c r="H29" s="77">
        <f t="shared" si="0"/>
        <v>-85308.52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-85308.52</v>
      </c>
    </row>
    <row r="31" spans="1:13" s="78" customFormat="1">
      <c r="D31" s="77"/>
      <c r="E31" s="77"/>
      <c r="F31" s="77"/>
      <c r="G31" s="77"/>
      <c r="H31" s="77">
        <f t="shared" si="0"/>
        <v>-85308.52</v>
      </c>
    </row>
    <row r="32" spans="1:13">
      <c r="A32" s="100"/>
      <c r="B32" s="101" t="s">
        <v>94</v>
      </c>
      <c r="C32" s="101"/>
      <c r="H32" s="77">
        <f t="shared" si="0"/>
        <v>-85308.52</v>
      </c>
      <c r="I32" s="78"/>
      <c r="J32" s="78"/>
    </row>
    <row r="33" spans="1:14">
      <c r="A33" s="100"/>
      <c r="H33" s="77">
        <f t="shared" si="0"/>
        <v>-85308.52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-85308.52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590916.54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45777</v>
      </c>
      <c r="B94" s="90" t="s">
        <v>1737</v>
      </c>
      <c r="C94" s="90"/>
      <c r="D94" s="90"/>
      <c r="E94" s="90">
        <v>122830</v>
      </c>
      <c r="F94" s="90">
        <v>-35000</v>
      </c>
      <c r="G94" s="90">
        <f>E94+F94</f>
        <v>87830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6171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300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47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47</v>
      </c>
      <c r="G100" s="17">
        <f>F100*C100</f>
        <v>47000</v>
      </c>
      <c r="H100" s="90"/>
      <c r="I100" s="90">
        <f>G100-E100</f>
        <v>14450.000000000004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47</v>
      </c>
      <c r="G101" s="17">
        <f t="shared" ref="G101" si="4">F101*C101</f>
        <v>188000</v>
      </c>
      <c r="H101" s="419">
        <f>SUM(G100:G101)</f>
        <v>235000</v>
      </c>
      <c r="I101" s="90">
        <f t="shared" ref="I101" si="5">G101-E101</f>
        <v>64560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79010</v>
      </c>
      <c r="I103" s="117">
        <f>SUM(I99:I101)</f>
        <v>79010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0.89723200000000003</v>
      </c>
      <c r="G105" s="17">
        <f>F105*C105</f>
        <v>112154</v>
      </c>
      <c r="H105" s="90"/>
      <c r="I105" s="90">
        <f t="shared" ref="I105:I108" si="6">G105-E105</f>
        <v>-17838.875000000015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133.80000000000001</v>
      </c>
      <c r="G106" s="17">
        <f>F106*C106</f>
        <v>1338</v>
      </c>
      <c r="H106" s="90"/>
      <c r="I106" s="90">
        <f t="shared" si="6"/>
        <v>-12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14.91</v>
      </c>
      <c r="G107" s="17">
        <f>F107*C107</f>
        <v>566.58000000000004</v>
      </c>
      <c r="H107" s="90"/>
      <c r="I107" s="90">
        <f t="shared" si="6"/>
        <v>-592.41999999999996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22.96</v>
      </c>
      <c r="G108" s="17">
        <f>F108*C108</f>
        <v>596.96</v>
      </c>
      <c r="H108" s="419">
        <f>SUM(G105:G108)</f>
        <v>114655.54000000001</v>
      </c>
      <c r="I108" s="90">
        <f t="shared" si="6"/>
        <v>-368.03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-18811.324999999983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4100</v>
      </c>
      <c r="G111" s="17">
        <f>C111*F111</f>
        <v>4100</v>
      </c>
      <c r="H111" s="90"/>
      <c r="I111" s="90">
        <f t="shared" ref="I111:I113" si="7">G111-E111</f>
        <v>1600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7093</v>
      </c>
      <c r="G112" s="17">
        <f>C112*F112</f>
        <v>113488</v>
      </c>
      <c r="H112" s="90"/>
      <c r="I112" s="90">
        <f t="shared" si="7"/>
        <v>47888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28372</v>
      </c>
      <c r="G113" s="17">
        <f>C113*F113</f>
        <v>28372</v>
      </c>
      <c r="H113" s="419">
        <f>SUM(G111:G113)</f>
        <v>145960</v>
      </c>
      <c r="I113" s="90">
        <f t="shared" si="7"/>
        <v>12172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61660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121858.67500000002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590916.54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 t="s">
        <v>1676</v>
      </c>
      <c r="I124" s="11" t="s">
        <v>1676</v>
      </c>
      <c r="J124" s="78" t="s">
        <v>1677</v>
      </c>
      <c r="K124" s="78" t="s">
        <v>1678</v>
      </c>
      <c r="L124" s="78" t="s">
        <v>1679</v>
      </c>
    </row>
    <row r="125" spans="1:12">
      <c r="A125" s="100">
        <v>45620</v>
      </c>
      <c r="B125" s="82" t="s">
        <v>1604</v>
      </c>
      <c r="C125" s="114"/>
      <c r="D125" s="114"/>
      <c r="E125" s="116">
        <f t="shared" ref="E125" si="8">D125*C125</f>
        <v>0</v>
      </c>
      <c r="F125" s="90">
        <v>42.86</v>
      </c>
      <c r="G125" s="17">
        <f t="shared" ref="G125" si="9">F125*C125</f>
        <v>0</v>
      </c>
      <c r="H125" s="90">
        <f>G125-E125</f>
        <v>0</v>
      </c>
      <c r="I125" s="443" t="e">
        <f>(H125-H126)/E125</f>
        <v>#DIV/0!</v>
      </c>
      <c r="J125" s="100">
        <v>45721</v>
      </c>
      <c r="K125" s="78">
        <f>J125-A125</f>
        <v>101</v>
      </c>
      <c r="L125" s="443" t="e">
        <f>I125/K125*30</f>
        <v>#DIV/0!</v>
      </c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10">D127*C127</f>
        <v>10253.286370000002</v>
      </c>
      <c r="F127" s="115">
        <v>1035.7262459999999</v>
      </c>
      <c r="G127" s="17">
        <f t="shared" ref="G127" si="11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2">D129*C129</f>
        <v>25633.215925</v>
      </c>
      <c r="F129" s="90">
        <v>1043.4576589999999</v>
      </c>
      <c r="G129" s="17">
        <f t="shared" ref="G129" si="13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4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4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5">D143+C144</f>
        <v>217</v>
      </c>
      <c r="E144" s="83">
        <v>872.26</v>
      </c>
      <c r="F144" s="491">
        <f t="shared" si="14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5"/>
        <v>197</v>
      </c>
      <c r="E145" s="83">
        <v>872.26</v>
      </c>
      <c r="F145" s="491">
        <f t="shared" si="14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5"/>
        <v>197</v>
      </c>
      <c r="E146" s="83">
        <v>872.26</v>
      </c>
      <c r="F146" s="491">
        <f t="shared" si="14"/>
        <v>171835.22</v>
      </c>
      <c r="G146" s="403">
        <v>1000.86</v>
      </c>
      <c r="H146" s="568">
        <v>-257.18</v>
      </c>
      <c r="I146" s="12">
        <f t="shared" ref="I146:I148" si="16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5"/>
        <v>177</v>
      </c>
      <c r="E147" s="83">
        <v>872.26</v>
      </c>
      <c r="F147" s="491">
        <f t="shared" si="14"/>
        <v>154390.01999999999</v>
      </c>
      <c r="G147" s="403">
        <v>1043.4576589999999</v>
      </c>
      <c r="H147" s="568">
        <f>G147*C147</f>
        <v>-20869.153179999998</v>
      </c>
      <c r="I147" s="12">
        <f t="shared" si="16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5"/>
        <v>177</v>
      </c>
      <c r="E148" s="83">
        <v>872.26</v>
      </c>
      <c r="F148" s="491">
        <f t="shared" si="14"/>
        <v>154390.01999999999</v>
      </c>
      <c r="G148" s="403">
        <v>1043.4576589999999</v>
      </c>
      <c r="H148" s="384">
        <v>-342.39</v>
      </c>
      <c r="I148" s="12">
        <f t="shared" si="16"/>
        <v>167161.60443900002</v>
      </c>
      <c r="K148" s="78"/>
      <c r="L148" s="78"/>
      <c r="M148" s="78"/>
      <c r="N148" s="78"/>
    </row>
    <row r="149" spans="1:14" s="11" customFormat="1" ht="13.5" thickBot="1">
      <c r="A149" s="100"/>
      <c r="B149" s="492" t="s">
        <v>1851</v>
      </c>
      <c r="C149" s="388">
        <v>-20</v>
      </c>
      <c r="D149" s="90">
        <f t="shared" ref="D149:D150" si="17">D148+C149</f>
        <v>157</v>
      </c>
      <c r="E149" s="83">
        <v>872.26</v>
      </c>
      <c r="F149" s="491">
        <f t="shared" ref="F149:F150" si="18">E149*D149</f>
        <v>136944.82</v>
      </c>
      <c r="G149" s="403">
        <v>1080</v>
      </c>
      <c r="H149" s="141">
        <f>G149*C149</f>
        <v>-21600</v>
      </c>
      <c r="I149" s="12">
        <f t="shared" ref="I149:I150" si="19">I148+H149</f>
        <v>145561.60443900002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7"/>
        <v>157</v>
      </c>
      <c r="E150" s="83">
        <v>872.26</v>
      </c>
      <c r="F150" s="491">
        <f t="shared" si="18"/>
        <v>136944.82</v>
      </c>
      <c r="G150" s="403">
        <v>1080</v>
      </c>
      <c r="H150" s="90"/>
      <c r="I150" s="12">
        <f t="shared" si="19"/>
        <v>145561.60443900002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20">D150+C151</f>
        <v>137</v>
      </c>
      <c r="E151" s="83">
        <v>872.26</v>
      </c>
      <c r="F151" s="491">
        <f t="shared" ref="F151:F162" si="21">E151*D151</f>
        <v>119499.62</v>
      </c>
      <c r="G151" s="403">
        <v>1120</v>
      </c>
      <c r="H151" s="141">
        <f>G151*C151</f>
        <v>-22400</v>
      </c>
      <c r="I151" s="12">
        <f t="shared" ref="I151:I162" si="22">I150+H151</f>
        <v>123161.60443900002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20"/>
        <v>137</v>
      </c>
      <c r="E152" s="83">
        <v>872.26</v>
      </c>
      <c r="F152" s="491">
        <f t="shared" si="21"/>
        <v>119499.62</v>
      </c>
      <c r="G152" s="403">
        <v>1120</v>
      </c>
      <c r="H152" s="90"/>
      <c r="I152" s="12">
        <f t="shared" si="22"/>
        <v>123161.60443900002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20"/>
        <v>117</v>
      </c>
      <c r="E153" s="83">
        <v>872.26</v>
      </c>
      <c r="F153" s="491">
        <f t="shared" si="21"/>
        <v>102054.42</v>
      </c>
      <c r="G153" s="403">
        <v>1160</v>
      </c>
      <c r="H153" s="141">
        <f>G153*C153</f>
        <v>-23200</v>
      </c>
      <c r="I153" s="12">
        <f t="shared" si="22"/>
        <v>99961.604439000017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20"/>
        <v>117</v>
      </c>
      <c r="E154" s="83">
        <v>872.26</v>
      </c>
      <c r="F154" s="491">
        <f t="shared" si="21"/>
        <v>102054.42</v>
      </c>
      <c r="G154" s="403">
        <v>1160</v>
      </c>
      <c r="H154" s="90"/>
      <c r="I154" s="12">
        <f t="shared" si="22"/>
        <v>99961.604439000017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20"/>
        <v>100</v>
      </c>
      <c r="E155" s="83">
        <v>872.26</v>
      </c>
      <c r="F155" s="491">
        <f t="shared" si="21"/>
        <v>87226</v>
      </c>
      <c r="G155" s="403">
        <v>1200</v>
      </c>
      <c r="H155" s="141">
        <f>G155*C155</f>
        <v>-20400</v>
      </c>
      <c r="I155" s="12">
        <f t="shared" si="22"/>
        <v>79561.604439000017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20"/>
        <v>100</v>
      </c>
      <c r="E156" s="83">
        <v>872.26</v>
      </c>
      <c r="F156" s="491">
        <f t="shared" si="21"/>
        <v>87226</v>
      </c>
      <c r="G156" s="403">
        <v>1200</v>
      </c>
      <c r="H156" s="90"/>
      <c r="I156" s="12">
        <f t="shared" si="22"/>
        <v>79561.604439000017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20"/>
        <v>80</v>
      </c>
      <c r="E157" s="83">
        <v>872.26</v>
      </c>
      <c r="F157" s="491">
        <f t="shared" si="21"/>
        <v>69780.800000000003</v>
      </c>
      <c r="G157" s="403">
        <v>1240</v>
      </c>
      <c r="H157" s="141">
        <f>G157*C157</f>
        <v>-24800</v>
      </c>
      <c r="I157" s="12">
        <f t="shared" si="22"/>
        <v>54761.604439000017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20"/>
        <v>80</v>
      </c>
      <c r="E158" s="83">
        <v>872.26</v>
      </c>
      <c r="F158" s="491">
        <f t="shared" si="21"/>
        <v>69780.800000000003</v>
      </c>
      <c r="G158" s="403">
        <v>1240</v>
      </c>
      <c r="H158" s="90"/>
      <c r="I158" s="12">
        <f t="shared" si="22"/>
        <v>54761.604439000017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20"/>
        <v>60</v>
      </c>
      <c r="E159" s="83">
        <v>872.26</v>
      </c>
      <c r="F159" s="491">
        <f t="shared" si="21"/>
        <v>52335.6</v>
      </c>
      <c r="G159" s="403">
        <v>1280</v>
      </c>
      <c r="H159" s="141">
        <f>G159*C159</f>
        <v>-25600</v>
      </c>
      <c r="I159" s="12">
        <f t="shared" si="22"/>
        <v>29161.604439000017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20"/>
        <v>60</v>
      </c>
      <c r="E160" s="83">
        <v>872.26</v>
      </c>
      <c r="F160" s="491">
        <f t="shared" si="21"/>
        <v>52335.6</v>
      </c>
      <c r="G160" s="403">
        <v>1280</v>
      </c>
      <c r="H160" s="90"/>
      <c r="I160" s="12">
        <f t="shared" si="22"/>
        <v>29161.604439000017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20"/>
        <v>40</v>
      </c>
      <c r="E161" s="83">
        <v>872.26</v>
      </c>
      <c r="F161" s="491">
        <f t="shared" si="21"/>
        <v>34890.400000000001</v>
      </c>
      <c r="G161" s="403">
        <v>1300</v>
      </c>
      <c r="H161" s="141">
        <f>G161*C161</f>
        <v>-26000</v>
      </c>
      <c r="I161" s="12">
        <f t="shared" si="22"/>
        <v>3161.604439000017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20"/>
        <v>40</v>
      </c>
      <c r="E162" s="83">
        <v>872.26</v>
      </c>
      <c r="F162" s="491">
        <f t="shared" si="21"/>
        <v>34890.400000000001</v>
      </c>
      <c r="G162" s="403">
        <v>1300</v>
      </c>
      <c r="H162" s="90"/>
      <c r="I162" s="12">
        <f t="shared" si="22"/>
        <v>3161.604439000017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3">D162+C163</f>
        <v>20</v>
      </c>
      <c r="E163" s="83">
        <v>872.26</v>
      </c>
      <c r="F163" s="491">
        <f t="shared" ref="F163:F166" si="24">E163*D163</f>
        <v>17445.2</v>
      </c>
      <c r="G163" s="403">
        <v>1330</v>
      </c>
      <c r="H163" s="141">
        <f>G163*C163</f>
        <v>-26600</v>
      </c>
      <c r="I163" s="12">
        <f t="shared" ref="I163:I166" si="25">I162+H163</f>
        <v>-23438.395560999983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3"/>
        <v>20</v>
      </c>
      <c r="E164" s="83">
        <v>872.26</v>
      </c>
      <c r="F164" s="491">
        <f t="shared" si="24"/>
        <v>17445.2</v>
      </c>
      <c r="G164" s="403">
        <v>1330</v>
      </c>
      <c r="H164" s="90"/>
      <c r="I164" s="12">
        <f t="shared" si="25"/>
        <v>-23438.395560999983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3"/>
        <v>0</v>
      </c>
      <c r="E165" s="83">
        <v>872.26</v>
      </c>
      <c r="F165" s="491">
        <f t="shared" si="24"/>
        <v>0</v>
      </c>
      <c r="G165" s="403">
        <v>1360</v>
      </c>
      <c r="H165" s="141">
        <f>G165*C165</f>
        <v>-27200</v>
      </c>
      <c r="I165" s="12">
        <f t="shared" si="25"/>
        <v>-50638.395560999983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3"/>
        <v>0</v>
      </c>
      <c r="E166" s="83">
        <v>872.26</v>
      </c>
      <c r="F166" s="491">
        <f t="shared" si="24"/>
        <v>0</v>
      </c>
      <c r="G166" s="403">
        <v>1360</v>
      </c>
      <c r="H166" s="90"/>
      <c r="I166" s="12">
        <f t="shared" si="25"/>
        <v>-50638.395560999983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-279807.00262699998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zoomScale="175" zoomScaleNormal="175" workbookViewId="0">
      <selection activeCell="D144" sqref="D14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628200.125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45777</v>
      </c>
      <c r="B99" s="90" t="s">
        <v>1737</v>
      </c>
      <c r="C99" s="90"/>
      <c r="D99" s="90"/>
      <c r="E99" s="90">
        <v>122830</v>
      </c>
      <c r="F99" s="90"/>
      <c r="G99" s="90">
        <f>E99+F99</f>
        <v>122830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628200.125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64" zoomScale="145" zoomScaleNormal="145" workbookViewId="0">
      <selection activeCell="A66" sqref="A66:D9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9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1080.7929879999999</v>
      </c>
      <c r="M17" s="573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2025-06-26T04:58:26Z</dcterms:modified>
  <dc:language>tr-TR</dc:language>
</cp:coreProperties>
</file>