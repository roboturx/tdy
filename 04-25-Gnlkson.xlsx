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BDD5118-FADD-4FA7-8162-386A8701221F}" xr6:coauthVersionLast="47" xr6:coauthVersionMax="47" xr10:uidLastSave="{00000000-0000-0000-0000-000000000000}"/>
  <bookViews>
    <workbookView xWindow="-120" yWindow="-120" windowWidth="29040" windowHeight="15720" tabRatio="839" activeTab="7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10" l="1"/>
  <c r="H10" i="10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6" i="9"/>
  <c r="H7" i="9"/>
  <c r="H8" i="9"/>
  <c r="H9" i="9"/>
  <c r="H10" i="9"/>
  <c r="H11" i="9"/>
  <c r="H12" i="9"/>
  <c r="H13" i="9"/>
  <c r="H14" i="9"/>
  <c r="H15" i="9"/>
  <c r="H5" i="9"/>
  <c r="E39" i="9"/>
  <c r="E11" i="9" s="1"/>
  <c r="G11" i="9" s="1"/>
  <c r="H158" i="10"/>
  <c r="H156" i="10"/>
  <c r="F156" i="10"/>
  <c r="D156" i="10"/>
  <c r="G110" i="10" l="1"/>
  <c r="E110" i="10"/>
  <c r="G139" i="10"/>
  <c r="E139" i="10"/>
  <c r="E111" i="10"/>
  <c r="I38" i="10"/>
  <c r="I40" i="10" s="1"/>
  <c r="E8" i="10"/>
  <c r="G137" i="10"/>
  <c r="E137" i="10"/>
  <c r="E112" i="10"/>
  <c r="I25" i="1"/>
  <c r="I22" i="1"/>
  <c r="C20" i="1"/>
  <c r="G153" i="10"/>
  <c r="G152" i="10" s="1"/>
  <c r="H152" i="10" s="1"/>
  <c r="F153" i="10"/>
  <c r="F152" i="10"/>
  <c r="H151" i="10"/>
  <c r="I151" i="10" s="1"/>
  <c r="F151" i="10"/>
  <c r="D151" i="10"/>
  <c r="D152" i="10" s="1"/>
  <c r="D153" i="10" s="1"/>
  <c r="B145" i="10"/>
  <c r="L135" i="10"/>
  <c r="G135" i="10"/>
  <c r="E135" i="10"/>
  <c r="C132" i="10"/>
  <c r="E123" i="10"/>
  <c r="F122" i="10"/>
  <c r="F123" i="10" s="1"/>
  <c r="G123" i="10" s="1"/>
  <c r="I123" i="10" s="1"/>
  <c r="E122" i="10"/>
  <c r="G121" i="10"/>
  <c r="E121" i="10"/>
  <c r="G118" i="10"/>
  <c r="E118" i="10"/>
  <c r="G117" i="10"/>
  <c r="E117" i="10"/>
  <c r="G116" i="10"/>
  <c r="E116" i="10"/>
  <c r="G115" i="10"/>
  <c r="E115" i="10"/>
  <c r="G109" i="10"/>
  <c r="E109" i="10"/>
  <c r="E108" i="10"/>
  <c r="F107" i="10"/>
  <c r="F108" i="10" s="1"/>
  <c r="G108" i="10" s="1"/>
  <c r="I108" i="10" s="1"/>
  <c r="E107" i="10"/>
  <c r="G106" i="10"/>
  <c r="E106" i="10"/>
  <c r="G102" i="10"/>
  <c r="G101" i="10"/>
  <c r="G128" i="11"/>
  <c r="G119" i="11"/>
  <c r="E119" i="11"/>
  <c r="H162" i="11"/>
  <c r="G111" i="11"/>
  <c r="E33" i="10"/>
  <c r="I152" i="10" l="1"/>
  <c r="H153" i="10"/>
  <c r="I153" i="10" s="1"/>
  <c r="I154" i="10" s="1"/>
  <c r="I156" i="10" s="1"/>
  <c r="G155" i="10"/>
  <c r="H155" i="10" s="1"/>
  <c r="I135" i="10"/>
  <c r="I139" i="10"/>
  <c r="I42" i="10"/>
  <c r="I41" i="10"/>
  <c r="E119" i="10"/>
  <c r="I137" i="10"/>
  <c r="I141" i="10" s="1"/>
  <c r="I106" i="10"/>
  <c r="I115" i="10"/>
  <c r="G141" i="10"/>
  <c r="H119" i="10"/>
  <c r="I109" i="10"/>
  <c r="E113" i="10"/>
  <c r="I116" i="10"/>
  <c r="I117" i="10"/>
  <c r="E124" i="10"/>
  <c r="G107" i="10"/>
  <c r="H118" i="10"/>
  <c r="J135" i="10"/>
  <c r="M135" i="10" s="1"/>
  <c r="I118" i="10"/>
  <c r="I121" i="10"/>
  <c r="G122" i="10"/>
  <c r="I122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23" i="10" l="1"/>
  <c r="G96" i="10"/>
  <c r="H113" i="10"/>
  <c r="H108" i="10"/>
  <c r="I107" i="10"/>
  <c r="I113" i="10" s="1"/>
  <c r="G131" i="10"/>
  <c r="H124" i="10"/>
  <c r="H129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8" i="10"/>
  <c r="E9" i="10" s="1"/>
  <c r="G9" i="10" s="1"/>
  <c r="E7" i="10"/>
  <c r="H4" i="10"/>
  <c r="H5" i="10" s="1"/>
  <c r="H6" i="10" s="1"/>
  <c r="F2" i="10"/>
  <c r="E7" i="2" s="1"/>
  <c r="D2" i="10"/>
  <c r="B7" i="2" s="1"/>
  <c r="E77" i="9"/>
  <c r="E12" i="9" s="1"/>
  <c r="G12" i="9" s="1"/>
  <c r="H4" i="9"/>
  <c r="H16" i="9" s="1"/>
  <c r="H17" i="9" s="1"/>
  <c r="F2" i="9"/>
  <c r="E8" i="2" s="1"/>
  <c r="D2" i="9"/>
  <c r="B8" i="2" s="1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N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E2" i="10" l="1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18" i="9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0" l="1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8" i="10" l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H27" i="10" l="1"/>
  <c r="F117" i="15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<sst xmlns="http://schemas.openxmlformats.org/spreadsheetml/2006/main" count="4877" uniqueCount="1847">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</sst>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0" fontId="0" fillId="0" borderId="0" xfId="0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61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opLeftCell="A9" zoomScale="175" zoomScaleNormal="175" workbookViewId="0">
      <selection activeCell="J15" sqref="J1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9" t="s">
        <v>1734</v>
      </c>
    </row>
    <row r="5" spans="1:6">
      <c r="A5" s="1">
        <v>45657</v>
      </c>
      <c r="B5" s="8" t="s">
        <v>1733</v>
      </c>
      <c r="F5" s="500">
        <v>257330</v>
      </c>
    </row>
    <row r="6" spans="1:6" s="11" customFormat="1">
      <c r="A6" s="531"/>
      <c r="B6" s="532" t="s">
        <v>1772</v>
      </c>
      <c r="C6" s="533">
        <f>35800/2898</f>
        <v>12.353347135955831</v>
      </c>
      <c r="D6" s="534" t="s">
        <v>233</v>
      </c>
      <c r="E6" s="534"/>
      <c r="F6" s="534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1">
        <v>45667</v>
      </c>
      <c r="B8" s="502" t="s">
        <v>5</v>
      </c>
      <c r="C8" s="503"/>
      <c r="D8" s="504">
        <v>20000</v>
      </c>
      <c r="E8" s="504"/>
      <c r="F8" s="505">
        <f t="shared" ref="F8:F19" si="0">F7+D8-E8</f>
        <v>277330</v>
      </c>
    </row>
    <row r="9" spans="1:6" s="11" customFormat="1">
      <c r="A9" s="506">
        <v>45672</v>
      </c>
      <c r="B9" s="507" t="s">
        <v>1584</v>
      </c>
      <c r="C9" s="508"/>
      <c r="D9" s="509"/>
      <c r="E9" s="510">
        <v>25000</v>
      </c>
      <c r="F9" s="135">
        <f t="shared" si="0"/>
        <v>252330</v>
      </c>
    </row>
    <row r="10" spans="1:6" ht="13.5" thickBot="1">
      <c r="A10" s="511">
        <v>45672</v>
      </c>
      <c r="B10" s="512" t="s">
        <v>1736</v>
      </c>
      <c r="C10" s="512"/>
      <c r="D10" s="513"/>
      <c r="E10" s="514">
        <v>31000</v>
      </c>
      <c r="F10" s="520">
        <f t="shared" si="0"/>
        <v>221330</v>
      </c>
    </row>
    <row r="11" spans="1:6" s="11" customFormat="1" ht="13.5" thickBot="1">
      <c r="A11" s="531"/>
      <c r="B11" s="532" t="s">
        <v>1774</v>
      </c>
      <c r="C11" s="533">
        <f>36000/3045</f>
        <v>11.822660098522167</v>
      </c>
      <c r="D11" s="534" t="s">
        <v>233</v>
      </c>
      <c r="E11" s="534"/>
      <c r="F11" s="534"/>
    </row>
    <row r="12" spans="1:6">
      <c r="A12" s="515">
        <v>45703</v>
      </c>
      <c r="B12" s="516" t="s">
        <v>1737</v>
      </c>
      <c r="C12" s="516"/>
      <c r="D12" s="131"/>
      <c r="E12" s="131"/>
      <c r="F12" s="505">
        <f>F10+D12-E12</f>
        <v>221330</v>
      </c>
    </row>
    <row r="13" spans="1:6" s="11" customFormat="1" ht="13.5" thickBot="1">
      <c r="A13" s="511">
        <v>45709</v>
      </c>
      <c r="B13" s="512" t="s">
        <v>815</v>
      </c>
      <c r="C13" s="512"/>
      <c r="D13" s="513"/>
      <c r="E13" s="514">
        <v>26000</v>
      </c>
      <c r="F13" s="520">
        <f t="shared" si="0"/>
        <v>195330</v>
      </c>
    </row>
    <row r="14" spans="1:6" s="11" customFormat="1" ht="13.5" thickBot="1">
      <c r="A14" s="531"/>
      <c r="B14" s="532" t="s">
        <v>1775</v>
      </c>
      <c r="C14" s="533">
        <f>26000/3413</f>
        <v>7.6179314386170525</v>
      </c>
      <c r="D14" s="534" t="s">
        <v>233</v>
      </c>
      <c r="E14" s="534"/>
      <c r="F14" s="534"/>
    </row>
    <row r="15" spans="1:6">
      <c r="A15" s="515">
        <v>45731</v>
      </c>
      <c r="B15" s="516" t="s">
        <v>1585</v>
      </c>
      <c r="C15" s="516"/>
      <c r="D15" s="131"/>
      <c r="E15" s="131"/>
      <c r="F15" s="505">
        <f>F13+D15-E15</f>
        <v>195330</v>
      </c>
    </row>
    <row r="16" spans="1:6" s="11" customFormat="1" ht="13.5" thickBot="1">
      <c r="A16" s="511">
        <v>45741</v>
      </c>
      <c r="B16" s="512" t="s">
        <v>815</v>
      </c>
      <c r="C16" s="512"/>
      <c r="D16" s="513"/>
      <c r="E16" s="514">
        <v>36000</v>
      </c>
      <c r="F16" s="520">
        <f t="shared" si="0"/>
        <v>159330</v>
      </c>
    </row>
    <row r="17" spans="1:9" s="11" customFormat="1" ht="13.5" thickBot="1">
      <c r="A17" s="531"/>
      <c r="B17" s="532" t="s">
        <v>1776</v>
      </c>
      <c r="C17" s="533">
        <f>36000/3650</f>
        <v>9.8630136986301373</v>
      </c>
      <c r="D17" s="534" t="s">
        <v>233</v>
      </c>
      <c r="E17" s="534"/>
      <c r="F17" s="534"/>
    </row>
    <row r="18" spans="1:9" s="11" customFormat="1">
      <c r="A18" s="515">
        <v>45757</v>
      </c>
      <c r="B18" s="503" t="s">
        <v>1735</v>
      </c>
      <c r="C18" s="516"/>
      <c r="D18" s="131">
        <f>'04_25'!D92</f>
        <v>148100</v>
      </c>
      <c r="E18" s="130"/>
      <c r="F18" s="505">
        <f>F16+D18-E18</f>
        <v>307430</v>
      </c>
    </row>
    <row r="19" spans="1:9" ht="13.5" thickBot="1">
      <c r="A19" s="517">
        <v>45762</v>
      </c>
      <c r="B19" s="518" t="s">
        <v>1586</v>
      </c>
      <c r="C19" s="518"/>
      <c r="D19" s="519"/>
      <c r="E19" s="514">
        <v>36500</v>
      </c>
      <c r="F19" s="520">
        <f t="shared" si="0"/>
        <v>270930</v>
      </c>
    </row>
    <row r="20" spans="1:9" s="11" customFormat="1">
      <c r="A20" s="531"/>
      <c r="B20" s="532" t="s">
        <v>1809</v>
      </c>
      <c r="C20" s="533">
        <f>36000/3650</f>
        <v>9.8630136986301373</v>
      </c>
      <c r="D20" s="534" t="s">
        <v>233</v>
      </c>
      <c r="E20" s="534"/>
      <c r="F20" s="534"/>
      <c r="I20" s="11">
        <v>36500</v>
      </c>
    </row>
    <row r="21" spans="1:9">
      <c r="A21" s="484">
        <v>45792</v>
      </c>
      <c r="B21" s="478" t="s">
        <v>1587</v>
      </c>
      <c r="C21" s="478"/>
      <c r="D21" s="455"/>
      <c r="F21" s="12">
        <f>F19+D21-E21</f>
        <v>270930</v>
      </c>
      <c r="I21">
        <v>3950</v>
      </c>
    </row>
    <row r="22" spans="1:9" s="11" customFormat="1">
      <c r="A22" s="531"/>
      <c r="B22" s="532"/>
      <c r="C22" s="533"/>
      <c r="D22" s="534" t="s">
        <v>233</v>
      </c>
      <c r="E22" s="534"/>
      <c r="F22" s="534"/>
      <c r="I22" s="11">
        <f>I20/I21</f>
        <v>9.2405063291139236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270930</v>
      </c>
      <c r="I23">
        <v>8524</v>
      </c>
    </row>
    <row r="24" spans="1:9" s="11" customFormat="1">
      <c r="A24" s="531"/>
      <c r="B24" s="532"/>
      <c r="C24" s="533"/>
      <c r="D24" s="534" t="s">
        <v>233</v>
      </c>
      <c r="E24" s="534"/>
      <c r="F24" s="534"/>
      <c r="I24" s="11">
        <v>924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270930</v>
      </c>
      <c r="I25">
        <f>I23-I24</f>
        <v>7600</v>
      </c>
    </row>
    <row r="26" spans="1:9" s="11" customFormat="1" ht="13.5" thickBot="1">
      <c r="A26" s="531"/>
      <c r="B26" s="532"/>
      <c r="C26" s="533"/>
      <c r="D26" s="534" t="s">
        <v>233</v>
      </c>
      <c r="E26" s="534"/>
      <c r="F26" s="534"/>
    </row>
    <row r="27" spans="1:9">
      <c r="E27" s="13"/>
      <c r="F27" s="521">
        <f>F25+D27-E27</f>
        <v>270930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-59993.120000000003</v>
      </c>
      <c r="D7" s="33">
        <f t="shared" si="0"/>
        <v>41124.969999999965</v>
      </c>
      <c r="E7" s="32">
        <f>'05_25'!F2</f>
        <v>15054.88</v>
      </c>
      <c r="F7" s="32">
        <f>'05_25'!G2</f>
        <v>-60967.91</v>
      </c>
      <c r="G7" s="33">
        <f t="shared" si="1"/>
        <v>-181285.74</v>
      </c>
      <c r="H7" s="34"/>
      <c r="I7" s="41" t="s">
        <v>42</v>
      </c>
      <c r="K7" s="39"/>
      <c r="L7" s="40"/>
      <c r="M7" s="42">
        <f>E19/1000</f>
        <v>0</v>
      </c>
      <c r="N7" s="8">
        <f>'05_25'!E117/1000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-76015.680000000008</v>
      </c>
      <c r="D8" s="33">
        <f t="shared" si="0"/>
        <v>-19890.710000000043</v>
      </c>
      <c r="E8" s="32">
        <f>'06_25'!F2</f>
        <v>0</v>
      </c>
      <c r="F8" s="32">
        <f>'06_25'!G2</f>
        <v>-23530.620000000003</v>
      </c>
      <c r="G8" s="33">
        <f t="shared" si="1"/>
        <v>-204816.36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'06_25'!E145/1000</f>
        <v>0</v>
      </c>
    </row>
    <row r="9" spans="1:14">
      <c r="A9" t="s">
        <v>45</v>
      </c>
      <c r="B9" s="32">
        <f>'07_25'!D2</f>
        <v>15000</v>
      </c>
      <c r="C9" s="32">
        <f>'07_25'!E2</f>
        <v>-61019.74</v>
      </c>
      <c r="D9" s="33">
        <f t="shared" si="0"/>
        <v>-65910.450000000041</v>
      </c>
      <c r="E9" s="32">
        <f>'07_25'!F2</f>
        <v>0</v>
      </c>
      <c r="F9" s="32">
        <f>'07_25'!G2</f>
        <v>-8602.68</v>
      </c>
      <c r="G9" s="33">
        <f t="shared" si="1"/>
        <v>-213419.03999999998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-104942.29000000004</v>
      </c>
      <c r="E10" s="32">
        <f>'08_25'!F2</f>
        <v>0</v>
      </c>
      <c r="F10" s="32">
        <f>'08_25'!G2</f>
        <v>-1614.78</v>
      </c>
      <c r="G10" s="33">
        <f t="shared" si="1"/>
        <v>-215033.81999999998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-142984.35000000003</v>
      </c>
      <c r="E11" s="32">
        <f>'09_25'!F2</f>
        <v>0</v>
      </c>
      <c r="F11" s="32">
        <f>'09_25'!G2</f>
        <v>-625</v>
      </c>
      <c r="G11" s="33">
        <f t="shared" si="1"/>
        <v>-215658.81999999998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-180401.41000000003</v>
      </c>
      <c r="E12" s="32">
        <f>'10_25'!F2</f>
        <v>0</v>
      </c>
      <c r="F12" s="32">
        <f>'10_25'!G2</f>
        <v>0</v>
      </c>
      <c r="G12" s="33">
        <f t="shared" si="1"/>
        <v>-215658.81999999998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-217818.47000000003</v>
      </c>
      <c r="E13" s="32">
        <f>'11_25'!F2</f>
        <v>0</v>
      </c>
      <c r="F13" s="32">
        <f>'11_25'!G2</f>
        <v>0</v>
      </c>
      <c r="G13" s="33">
        <f t="shared" si="1"/>
        <v>-215658.81999999998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-255235.53000000003</v>
      </c>
      <c r="E14" s="32">
        <f>'12_25'!F2</f>
        <v>0</v>
      </c>
      <c r="F14" s="32">
        <f>'12_25'!G2</f>
        <v>0</v>
      </c>
      <c r="G14" s="33">
        <f t="shared" si="1"/>
        <v>-215658.81999999998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-863899.53000000026</v>
      </c>
      <c r="D15" s="33">
        <f>B15+C15</f>
        <v>-255235.53000000026</v>
      </c>
      <c r="E15" s="33">
        <f>SUM(E3:E14)</f>
        <v>413213.71</v>
      </c>
      <c r="F15" s="33">
        <f>SUM(F3:F14)</f>
        <v>-628872.53000000014</v>
      </c>
      <c r="G15" s="33">
        <f>E15+F15</f>
        <v>-215658.82000000012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-71991.627500000017</v>
      </c>
      <c r="D16" s="55"/>
      <c r="E16" s="55">
        <f>E15/A16</f>
        <v>34434.475833333338</v>
      </c>
      <c r="F16" s="55">
        <f>F15/A16</f>
        <v>-52406.044166666681</v>
      </c>
      <c r="G16" s="55">
        <f>G15/A16</f>
        <v>-17971.568333333344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976.10596800000008</v>
      </c>
      <c r="M17" s="552"/>
    </row>
    <row r="18" spans="2:13">
      <c r="D18" s="64" t="s">
        <v>58</v>
      </c>
      <c r="E18" s="2">
        <f>'01_25'!F32+'02_25'!F14+'02_25'!F26+'03_25'!F18+'04_25'!F41+'05_25'!F19+'06_25'!F23+'06_25'!F35+'04_25'!F14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abSelected="1" topLeftCell="A27" zoomScale="145" zoomScaleNormal="145" workbookViewId="0">
      <selection activeCell="D39" sqref="D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-61019.74</v>
      </c>
      <c r="F2" s="77">
        <f>SUM(F4:F31)</f>
        <v>0</v>
      </c>
      <c r="G2" s="77">
        <f>SUM(G4:G31)</f>
        <v>-8602.68</v>
      </c>
      <c r="H2" s="77">
        <f>F2+G2</f>
        <v>-8602.68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-7977.68</v>
      </c>
      <c r="F7" s="87"/>
      <c r="G7" s="87">
        <f>E7</f>
        <v>-7977.68</v>
      </c>
      <c r="H7" s="77">
        <f t="shared" si="0"/>
        <v>-7977.68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-8602.68</v>
      </c>
    </row>
    <row r="9" spans="1:10">
      <c r="G9" s="87"/>
      <c r="H9" s="77">
        <f t="shared" si="0"/>
        <v>-8602.68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-8602.68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-8602.68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-8602.68</v>
      </c>
    </row>
    <row r="13" spans="1:10">
      <c r="A13" s="88"/>
      <c r="B13" s="92"/>
      <c r="C13" s="92"/>
      <c r="D13" s="90"/>
      <c r="E13" s="90"/>
      <c r="H13" s="77">
        <f t="shared" si="0"/>
        <v>-8602.68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-8602.68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-8602.68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-8602.68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-8602.68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-8602.68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-8602.68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-8602.68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-8602.68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-8602.68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-8602.68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-8602.68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-8602.68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-8602.68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-8602.68</v>
      </c>
    </row>
    <row r="28" spans="1:13" s="78" customFormat="1">
      <c r="D28" s="77"/>
      <c r="E28" s="77"/>
      <c r="F28" s="77"/>
      <c r="G28" s="77"/>
      <c r="H28" s="77">
        <f t="shared" si="0"/>
        <v>-8602.68</v>
      </c>
    </row>
    <row r="29" spans="1:13">
      <c r="A29" s="100"/>
      <c r="B29" s="101" t="s">
        <v>92</v>
      </c>
      <c r="C29" s="101"/>
      <c r="H29" s="77">
        <f t="shared" si="0"/>
        <v>-8602.68</v>
      </c>
      <c r="I29" s="78"/>
      <c r="J29" s="78"/>
    </row>
    <row r="30" spans="1:13">
      <c r="A30" s="100"/>
      <c r="H30" s="77">
        <f t="shared" si="0"/>
        <v>-8602.68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-8602.68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-7977.68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>
        <v>45804</v>
      </c>
      <c r="B39" s="77" t="s">
        <v>1841</v>
      </c>
      <c r="E39" s="77">
        <v>-234.3</v>
      </c>
      <c r="K39" s="78"/>
      <c r="L39" s="78"/>
      <c r="M39" s="78"/>
      <c r="N39" s="78"/>
    </row>
    <row r="40" spans="1:14">
      <c r="A40" s="88">
        <v>45804</v>
      </c>
      <c r="B40" s="77" t="s">
        <v>1823</v>
      </c>
      <c r="C40" s="77"/>
      <c r="E40" s="77">
        <v>-1380</v>
      </c>
      <c r="I40" s="77"/>
      <c r="J40" s="77"/>
    </row>
    <row r="41" spans="1:14" s="77" customFormat="1">
      <c r="A41"/>
      <c r="B41" s="90" t="s">
        <v>1842</v>
      </c>
      <c r="C41"/>
      <c r="I41"/>
      <c r="J41"/>
      <c r="K41" s="78"/>
      <c r="L41" s="78"/>
      <c r="M41" s="78"/>
      <c r="N41" s="78"/>
    </row>
    <row r="42" spans="1:14" s="77" customFormat="1">
      <c r="A42" s="100">
        <v>45804</v>
      </c>
      <c r="B42" s="90" t="s">
        <v>1843</v>
      </c>
      <c r="C42" s="106"/>
      <c r="E42" s="77">
        <v>-4373.6000000000004</v>
      </c>
      <c r="K42" s="78"/>
      <c r="L42" s="78"/>
      <c r="M42" s="78"/>
      <c r="N42" s="78"/>
    </row>
    <row r="43" spans="1:14" s="77" customFormat="1">
      <c r="A43" s="100">
        <v>45803</v>
      </c>
      <c r="B43" s="106" t="s">
        <v>1844</v>
      </c>
      <c r="C43" s="106"/>
      <c r="E43" s="77">
        <v>-250</v>
      </c>
      <c r="K43" s="78"/>
      <c r="L43" s="78"/>
      <c r="M43" s="78"/>
      <c r="N43" s="78"/>
    </row>
    <row r="44" spans="1:14" s="77" customFormat="1">
      <c r="A44" s="100">
        <v>45802</v>
      </c>
      <c r="B44" s="107" t="s">
        <v>1845</v>
      </c>
      <c r="C44" s="106"/>
      <c r="E44" s="77">
        <v>-350</v>
      </c>
      <c r="K44" s="78"/>
      <c r="L44" s="78"/>
      <c r="M44" s="78"/>
      <c r="N44" s="78"/>
    </row>
    <row r="45" spans="1:14" s="77" customFormat="1">
      <c r="A45" s="100">
        <v>45802</v>
      </c>
      <c r="B45" s="107" t="s">
        <v>1846</v>
      </c>
      <c r="C45" s="106"/>
      <c r="E45" s="77">
        <v>-200</v>
      </c>
      <c r="K45" s="78"/>
      <c r="L45" s="78"/>
      <c r="M45" s="78"/>
      <c r="N45" s="78"/>
    </row>
    <row r="46" spans="1:14" s="77" customFormat="1">
      <c r="A46" s="100">
        <v>45802</v>
      </c>
      <c r="B46" s="107" t="s">
        <v>1845</v>
      </c>
      <c r="E46" s="77">
        <v>-120</v>
      </c>
      <c r="K46" s="78"/>
      <c r="L46" s="78"/>
      <c r="M46" s="78"/>
      <c r="N46" s="78"/>
    </row>
    <row r="47" spans="1:14" s="77" customFormat="1">
      <c r="A47" s="100">
        <v>45802</v>
      </c>
      <c r="B47" s="107" t="s">
        <v>1612</v>
      </c>
      <c r="C47" s="106"/>
      <c r="E47" s="77">
        <v>-80</v>
      </c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97"/>
  <sheetViews>
    <sheetView topLeftCell="A65" zoomScale="145" zoomScaleNormal="145" workbookViewId="0">
      <selection activeCell="G13" sqref="G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SUM(D4:D35)</f>
        <v>15000</v>
      </c>
      <c r="E2" s="77">
        <f>SUM(E4:E35)</f>
        <v>-76015.680000000008</v>
      </c>
      <c r="F2" s="77">
        <f>SUM(F4:F35)</f>
        <v>0</v>
      </c>
      <c r="G2" s="77">
        <f>SUM(G4:G35)</f>
        <v>-23530.620000000003</v>
      </c>
      <c r="H2" s="77">
        <f>F2+G2</f>
        <v>-23530.620000000003</v>
      </c>
    </row>
    <row r="3" spans="1:14">
      <c r="B3" s="18"/>
    </row>
    <row r="4" spans="1:14">
      <c r="B4" s="41"/>
      <c r="H4" s="77">
        <f t="shared" ref="H4:H35" si="0">H3+F4+G4</f>
        <v>0</v>
      </c>
    </row>
    <row r="5" spans="1:14" s="11" customFormat="1">
      <c r="A5" s="413">
        <v>45810</v>
      </c>
      <c r="B5" s="99" t="s">
        <v>80</v>
      </c>
      <c r="C5" s="99"/>
      <c r="D5" s="77"/>
      <c r="E5" s="77">
        <v>-600</v>
      </c>
      <c r="F5" s="77"/>
      <c r="G5" s="77">
        <v>-510</v>
      </c>
      <c r="H5" s="90">
        <f t="shared" si="0"/>
        <v>-510</v>
      </c>
      <c r="K5" s="78"/>
      <c r="L5" s="78"/>
      <c r="M5" s="78"/>
      <c r="N5" s="78"/>
    </row>
    <row r="6" spans="1:14" s="11" customFormat="1">
      <c r="A6" s="413">
        <v>45810</v>
      </c>
      <c r="B6" s="99" t="s">
        <v>81</v>
      </c>
      <c r="C6" s="99"/>
      <c r="D6" s="77"/>
      <c r="E6" s="77">
        <v>-800</v>
      </c>
      <c r="F6" s="77"/>
      <c r="G6" s="77">
        <v>-822</v>
      </c>
      <c r="H6" s="90">
        <f t="shared" si="0"/>
        <v>-1332</v>
      </c>
      <c r="K6" s="78"/>
      <c r="L6" s="78"/>
      <c r="M6" s="78"/>
      <c r="N6" s="78"/>
    </row>
    <row r="7" spans="1:14" s="11" customFormat="1">
      <c r="B7" s="41"/>
      <c r="D7" s="90"/>
      <c r="E7" s="90"/>
      <c r="F7" s="90"/>
      <c r="G7" s="90"/>
      <c r="H7" s="90">
        <f t="shared" si="0"/>
        <v>-1332</v>
      </c>
      <c r="K7" s="78"/>
      <c r="L7" s="78"/>
      <c r="M7" s="78"/>
      <c r="N7" s="78"/>
    </row>
    <row r="8" spans="1:14" s="11" customFormat="1">
      <c r="B8" s="41"/>
      <c r="D8" s="90"/>
      <c r="E8" s="90"/>
      <c r="F8" s="90"/>
      <c r="G8" s="90"/>
      <c r="H8" s="90">
        <f t="shared" si="0"/>
        <v>-1332</v>
      </c>
      <c r="K8" s="78"/>
      <c r="L8" s="78"/>
      <c r="M8" s="78"/>
      <c r="N8" s="78"/>
    </row>
    <row r="9" spans="1:14">
      <c r="B9" s="41"/>
      <c r="H9" s="90">
        <f t="shared" si="0"/>
        <v>-1332</v>
      </c>
    </row>
    <row r="10" spans="1:14">
      <c r="A10" s="80"/>
      <c r="B10" s="81"/>
      <c r="C10" s="82"/>
      <c r="D10" s="83"/>
      <c r="E10" s="83"/>
      <c r="H10" s="90">
        <f t="shared" si="0"/>
        <v>-1332</v>
      </c>
    </row>
    <row r="11" spans="1:14">
      <c r="A11" s="84">
        <v>45812</v>
      </c>
      <c r="B11" s="81" t="s">
        <v>68</v>
      </c>
      <c r="C11" s="85"/>
      <c r="D11" s="86"/>
      <c r="E11" s="86">
        <f>E39</f>
        <v>-21573.620000000003</v>
      </c>
      <c r="F11" s="87"/>
      <c r="G11" s="87">
        <f>E11</f>
        <v>-21573.620000000003</v>
      </c>
      <c r="H11" s="90">
        <f t="shared" si="0"/>
        <v>-22905.620000000003</v>
      </c>
    </row>
    <row r="12" spans="1:14">
      <c r="A12" s="80">
        <v>45817</v>
      </c>
      <c r="B12" s="81" t="s">
        <v>69</v>
      </c>
      <c r="C12" s="85"/>
      <c r="D12" s="86"/>
      <c r="E12" s="86">
        <f>E77</f>
        <v>-625</v>
      </c>
      <c r="F12" s="87"/>
      <c r="G12" s="87">
        <f>E12</f>
        <v>-625</v>
      </c>
      <c r="H12" s="90">
        <f t="shared" si="0"/>
        <v>-23530.620000000003</v>
      </c>
    </row>
    <row r="13" spans="1:14">
      <c r="G13" s="87"/>
      <c r="H13" s="90">
        <f t="shared" si="0"/>
        <v>-23530.620000000003</v>
      </c>
    </row>
    <row r="14" spans="1:14">
      <c r="A14" s="88"/>
      <c r="B14" s="89" t="s">
        <v>70</v>
      </c>
      <c r="C14" s="89"/>
      <c r="D14" s="90"/>
      <c r="E14" s="90">
        <v>-2117.06</v>
      </c>
      <c r="H14" s="90">
        <f t="shared" si="0"/>
        <v>-23530.620000000003</v>
      </c>
    </row>
    <row r="15" spans="1:14">
      <c r="B15" s="89" t="s">
        <v>1596</v>
      </c>
      <c r="C15" s="89"/>
      <c r="D15" s="90"/>
      <c r="E15" s="90">
        <v>-25000</v>
      </c>
      <c r="H15" s="90">
        <f t="shared" si="0"/>
        <v>-23530.620000000003</v>
      </c>
    </row>
    <row r="16" spans="1:14">
      <c r="B16" s="91" t="s">
        <v>72</v>
      </c>
      <c r="C16" s="92"/>
      <c r="D16" s="90"/>
      <c r="E16" s="90">
        <v>0</v>
      </c>
      <c r="H16" s="90">
        <f t="shared" si="0"/>
        <v>-23530.620000000003</v>
      </c>
    </row>
    <row r="17" spans="1:13">
      <c r="A17" s="88"/>
      <c r="B17" s="92"/>
      <c r="C17" s="92"/>
      <c r="D17" s="90"/>
      <c r="E17" s="90"/>
      <c r="H17" s="90">
        <f t="shared" si="0"/>
        <v>-23530.620000000003</v>
      </c>
    </row>
    <row r="18" spans="1:13" s="78" customFormat="1">
      <c r="A18" s="88"/>
      <c r="B18" s="3"/>
      <c r="C18" s="3"/>
      <c r="D18" s="77"/>
      <c r="E18" s="77"/>
      <c r="F18" s="77"/>
      <c r="G18" s="77"/>
      <c r="H18" s="77">
        <f t="shared" si="0"/>
        <v>-23530.620000000003</v>
      </c>
      <c r="I18"/>
      <c r="J18"/>
    </row>
    <row r="19" spans="1:13" s="78" customFormat="1">
      <c r="A19" s="88"/>
      <c r="B19" s="93" t="s">
        <v>73</v>
      </c>
      <c r="C19" s="93"/>
      <c r="D19" s="90"/>
      <c r="E19" s="90">
        <v>-1000</v>
      </c>
      <c r="F19" s="77"/>
      <c r="G19" s="77"/>
      <c r="H19" s="77">
        <f t="shared" si="0"/>
        <v>-23530.620000000003</v>
      </c>
    </row>
    <row r="20" spans="1:13" s="78" customFormat="1">
      <c r="A20" s="88"/>
      <c r="B20" s="93" t="s">
        <v>74</v>
      </c>
      <c r="C20" s="93"/>
      <c r="D20" s="90"/>
      <c r="E20" s="90">
        <v>-200</v>
      </c>
      <c r="F20" s="77"/>
      <c r="G20" s="77"/>
      <c r="H20" s="77">
        <f t="shared" si="0"/>
        <v>-23530.620000000003</v>
      </c>
    </row>
    <row r="21" spans="1:13" s="78" customFormat="1">
      <c r="A21" s="88"/>
      <c r="B21" s="89" t="s">
        <v>75</v>
      </c>
      <c r="C21" s="89"/>
      <c r="D21" s="90"/>
      <c r="E21" s="90">
        <v>-200</v>
      </c>
      <c r="F21" s="77"/>
      <c r="G21" s="77"/>
      <c r="H21" s="77">
        <f t="shared" si="0"/>
        <v>-23530.620000000003</v>
      </c>
    </row>
    <row r="22" spans="1:13" s="78" customFormat="1">
      <c r="A22" s="88"/>
      <c r="B22" s="92" t="s">
        <v>76</v>
      </c>
      <c r="C22" s="92"/>
      <c r="D22" s="90">
        <v>15000</v>
      </c>
      <c r="E22" s="90"/>
      <c r="F22" s="77"/>
      <c r="G22" s="77"/>
      <c r="H22" s="77">
        <f t="shared" si="0"/>
        <v>-23530.620000000003</v>
      </c>
      <c r="J22" s="94"/>
      <c r="K22" s="94"/>
      <c r="L22" s="95"/>
      <c r="M22" s="96"/>
    </row>
    <row r="23" spans="1:13" s="78" customFormat="1">
      <c r="B23" s="92" t="s">
        <v>77</v>
      </c>
      <c r="C23" s="92"/>
      <c r="D23" s="90"/>
      <c r="E23" s="90">
        <v>-7500</v>
      </c>
      <c r="F23" s="77"/>
      <c r="G23" s="77"/>
      <c r="H23" s="77">
        <f t="shared" si="0"/>
        <v>-23530.620000000003</v>
      </c>
      <c r="J23" s="94"/>
      <c r="K23" s="94"/>
      <c r="L23" s="95"/>
      <c r="M23" s="96"/>
    </row>
    <row r="24" spans="1:13" s="78" customFormat="1">
      <c r="B24" s="92" t="s">
        <v>78</v>
      </c>
      <c r="C24" s="92"/>
      <c r="D24" s="90"/>
      <c r="E24" s="90">
        <v>-7500</v>
      </c>
      <c r="F24" s="77"/>
      <c r="G24" s="77"/>
      <c r="H24" s="77">
        <f t="shared" si="0"/>
        <v>-23530.620000000003</v>
      </c>
      <c r="J24" s="94"/>
      <c r="K24" s="94"/>
      <c r="L24" s="95"/>
      <c r="M24" s="96"/>
    </row>
    <row r="25" spans="1:13" s="78" customFormat="1">
      <c r="B25" s="92" t="s">
        <v>79</v>
      </c>
      <c r="C25" s="92"/>
      <c r="D25" s="90"/>
      <c r="E25" s="90">
        <v>-7500</v>
      </c>
      <c r="F25" s="77"/>
      <c r="G25" s="77"/>
      <c r="H25" s="77">
        <f t="shared" si="0"/>
        <v>-23530.620000000003</v>
      </c>
      <c r="J25" s="94"/>
      <c r="K25" s="94"/>
      <c r="L25" s="95"/>
      <c r="M25" s="96"/>
    </row>
    <row r="26" spans="1:13" s="78" customFormat="1">
      <c r="B26" s="3"/>
      <c r="C26" s="3"/>
      <c r="D26" s="77"/>
      <c r="E26" s="77"/>
      <c r="F26" s="77"/>
      <c r="G26" s="77"/>
      <c r="H26" s="77">
        <f t="shared" si="0"/>
        <v>-23530.620000000003</v>
      </c>
      <c r="J26" s="94"/>
      <c r="K26" s="94"/>
      <c r="L26" s="95"/>
      <c r="M26" s="96"/>
    </row>
    <row r="27" spans="1:13" s="78" customFormat="1">
      <c r="A27" s="97"/>
      <c r="B27" s="92"/>
      <c r="C27" s="92"/>
      <c r="D27" s="90"/>
      <c r="E27" s="90"/>
      <c r="F27" s="77"/>
      <c r="G27" s="77"/>
      <c r="H27" s="77">
        <f t="shared" si="0"/>
        <v>-23530.620000000003</v>
      </c>
      <c r="J27" s="94"/>
      <c r="K27" s="94"/>
      <c r="L27" s="95"/>
      <c r="M27" s="96"/>
    </row>
    <row r="28" spans="1:13" s="78" customFormat="1">
      <c r="A28" s="98"/>
      <c r="B28" s="3"/>
      <c r="C28" s="3"/>
      <c r="D28" s="77"/>
      <c r="E28" s="77"/>
      <c r="F28" s="77"/>
      <c r="G28" s="77"/>
      <c r="H28" s="77">
        <f t="shared" si="0"/>
        <v>-23530.620000000003</v>
      </c>
      <c r="J28" s="94"/>
      <c r="K28" s="94"/>
      <c r="L28" s="95"/>
      <c r="M28" s="96"/>
    </row>
    <row r="29" spans="1:13" s="78" customFormat="1">
      <c r="B29" s="99" t="s">
        <v>80</v>
      </c>
      <c r="C29" s="99"/>
      <c r="D29" s="77"/>
      <c r="E29" s="77">
        <v>-600</v>
      </c>
      <c r="F29" s="77"/>
      <c r="G29" s="77"/>
      <c r="H29" s="77">
        <f t="shared" si="0"/>
        <v>-23530.620000000003</v>
      </c>
      <c r="J29" s="94"/>
      <c r="K29" s="94"/>
      <c r="L29" s="95"/>
      <c r="M29" s="96"/>
    </row>
    <row r="30" spans="1:13" s="78" customFormat="1">
      <c r="B30" s="99" t="s">
        <v>81</v>
      </c>
      <c r="C30" s="99"/>
      <c r="D30" s="77"/>
      <c r="E30" s="77">
        <v>-800</v>
      </c>
      <c r="F30" s="77"/>
      <c r="G30" s="77"/>
      <c r="H30" s="77">
        <f t="shared" si="0"/>
        <v>-23530.620000000003</v>
      </c>
      <c r="J30" s="94"/>
      <c r="K30" s="94"/>
      <c r="L30" s="95"/>
      <c r="M30" s="96"/>
    </row>
    <row r="31" spans="1:13" s="78" customFormat="1">
      <c r="B31" s="3"/>
      <c r="C31" s="3"/>
      <c r="D31" s="77"/>
      <c r="E31" s="77"/>
      <c r="F31" s="77"/>
      <c r="G31" s="77"/>
      <c r="H31" s="77">
        <f t="shared" si="0"/>
        <v>-23530.620000000003</v>
      </c>
    </row>
    <row r="32" spans="1:13" s="78" customFormat="1">
      <c r="D32" s="77"/>
      <c r="E32" s="77"/>
      <c r="F32" s="77"/>
      <c r="G32" s="77"/>
      <c r="H32" s="77">
        <f t="shared" si="0"/>
        <v>-23530.620000000003</v>
      </c>
    </row>
    <row r="33" spans="1:14">
      <c r="A33" s="100"/>
      <c r="B33" s="101" t="s">
        <v>94</v>
      </c>
      <c r="C33" s="101"/>
      <c r="H33" s="77">
        <f t="shared" si="0"/>
        <v>-23530.620000000003</v>
      </c>
      <c r="I33" s="78"/>
      <c r="J33" s="78"/>
    </row>
    <row r="34" spans="1:14">
      <c r="A34" s="100"/>
      <c r="H34" s="77">
        <f t="shared" si="0"/>
        <v>-23530.620000000003</v>
      </c>
    </row>
    <row r="35" spans="1:14" s="78" customFormat="1">
      <c r="A35"/>
      <c r="B35"/>
      <c r="C35"/>
      <c r="D35" s="77"/>
      <c r="E35" s="77"/>
      <c r="F35" s="77"/>
      <c r="G35" s="77"/>
      <c r="H35" s="77">
        <f t="shared" si="0"/>
        <v>-23530.620000000003</v>
      </c>
      <c r="I35"/>
      <c r="J35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SUM(E40:E71)</f>
        <v>-21573.620000000003</v>
      </c>
      <c r="I39" s="77"/>
      <c r="J39" s="77"/>
    </row>
    <row r="40" spans="1:14" s="77" customFormat="1">
      <c r="A40"/>
      <c r="B40"/>
      <c r="C40"/>
      <c r="I40"/>
      <c r="J40"/>
      <c r="K40" s="78"/>
      <c r="L40" s="78"/>
      <c r="M40" s="78"/>
      <c r="N40" s="78"/>
    </row>
    <row r="41" spans="1:14" s="77" customFormat="1">
      <c r="A41" s="88">
        <v>45715</v>
      </c>
      <c r="B41" s="90" t="s">
        <v>1637</v>
      </c>
      <c r="C41" s="90">
        <v>5938.68</v>
      </c>
      <c r="D41" s="90" t="s">
        <v>567</v>
      </c>
      <c r="E41" s="90">
        <v>-989.78</v>
      </c>
      <c r="K41" s="78"/>
      <c r="L41" s="78"/>
      <c r="M41" s="78"/>
      <c r="N41" s="78"/>
    </row>
    <row r="42" spans="1:14" s="77" customFormat="1">
      <c r="A42" s="100">
        <v>45790</v>
      </c>
      <c r="B42" s="107" t="s">
        <v>338</v>
      </c>
      <c r="C42" s="90">
        <v>1407.46</v>
      </c>
      <c r="D42" s="90" t="s">
        <v>694</v>
      </c>
      <c r="E42" s="90">
        <v>-234.58</v>
      </c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>
        <v>45772</v>
      </c>
      <c r="B44" s="77" t="s">
        <v>1786</v>
      </c>
      <c r="C44" s="77"/>
      <c r="E44" s="77">
        <v>-700</v>
      </c>
      <c r="I44" s="77"/>
      <c r="J44" s="77"/>
    </row>
    <row r="45" spans="1:14" s="77" customFormat="1">
      <c r="A45" s="386">
        <v>45772</v>
      </c>
      <c r="B45" t="s">
        <v>1787</v>
      </c>
      <c r="C45"/>
      <c r="E45" s="77">
        <v>-1200</v>
      </c>
      <c r="I45"/>
      <c r="J45"/>
      <c r="K45" s="78"/>
      <c r="L45" s="78"/>
      <c r="M45" s="78"/>
      <c r="N45" s="78"/>
    </row>
    <row r="46" spans="1:14" s="77" customFormat="1">
      <c r="A46" s="100"/>
      <c r="B46" s="106" t="s">
        <v>1823</v>
      </c>
      <c r="C46" s="106"/>
      <c r="E46" s="77">
        <v>-2820</v>
      </c>
      <c r="K46" s="78"/>
      <c r="L46" s="78"/>
      <c r="M46" s="78"/>
      <c r="N46" s="78"/>
    </row>
    <row r="47" spans="1:14" s="90" customFormat="1">
      <c r="A47" s="100">
        <v>45777</v>
      </c>
      <c r="B47" s="106" t="s">
        <v>1612</v>
      </c>
      <c r="C47" s="106"/>
      <c r="E47" s="90">
        <v>-80</v>
      </c>
      <c r="K47" s="78"/>
      <c r="L47" s="78"/>
      <c r="M47" s="78"/>
      <c r="N47" s="78"/>
    </row>
    <row r="48" spans="1:14" s="77" customFormat="1">
      <c r="A48" s="100"/>
      <c r="B48" s="106" t="s">
        <v>129</v>
      </c>
      <c r="C48" s="106"/>
      <c r="D48" s="77">
        <v>7461.57</v>
      </c>
      <c r="K48" s="78"/>
      <c r="L48" s="78"/>
      <c r="M48" s="78"/>
      <c r="N48" s="78"/>
    </row>
    <row r="49" spans="1:14" s="77" customFormat="1">
      <c r="A49" s="100">
        <v>45783</v>
      </c>
      <c r="B49" s="107"/>
      <c r="C49" s="106"/>
      <c r="E49" s="77">
        <v>-250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1824</v>
      </c>
      <c r="C50" s="106"/>
      <c r="E50" s="77">
        <v>-300</v>
      </c>
      <c r="K50" s="78"/>
      <c r="L50" s="78"/>
      <c r="M50" s="78"/>
      <c r="N50" s="78"/>
    </row>
    <row r="51" spans="1:14" s="77" customFormat="1">
      <c r="A51" s="100">
        <v>45788</v>
      </c>
      <c r="B51" s="107" t="s">
        <v>1825</v>
      </c>
      <c r="E51" s="77">
        <v>-600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1826</v>
      </c>
      <c r="E52" s="90">
        <v>-3441</v>
      </c>
      <c r="K52" s="78"/>
      <c r="L52" s="78"/>
      <c r="M52" s="78"/>
      <c r="N52" s="78"/>
    </row>
    <row r="53" spans="1:14" s="90" customFormat="1">
      <c r="A53" s="100">
        <v>45789</v>
      </c>
      <c r="B53" s="107" t="s">
        <v>1827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1828</v>
      </c>
      <c r="E54" s="90">
        <v>-800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1834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45791</v>
      </c>
      <c r="B56" s="107" t="s">
        <v>1835</v>
      </c>
      <c r="E56" s="90">
        <v>-25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1830</v>
      </c>
      <c r="E57" s="90">
        <v>-200</v>
      </c>
      <c r="K57" s="78"/>
      <c r="L57" s="78"/>
      <c r="M57" s="78"/>
      <c r="N57" s="78"/>
    </row>
    <row r="58" spans="1:14" s="90" customFormat="1">
      <c r="A58" s="100">
        <v>45792</v>
      </c>
      <c r="B58" s="107" t="s">
        <v>1831</v>
      </c>
      <c r="E58" s="90">
        <v>-1610</v>
      </c>
      <c r="K58" s="78"/>
      <c r="L58" s="78"/>
      <c r="M58" s="78"/>
      <c r="N58" s="78"/>
    </row>
    <row r="59" spans="1:14" s="90" customFormat="1">
      <c r="A59" s="100">
        <v>45793</v>
      </c>
      <c r="B59" s="107" t="s">
        <v>591</v>
      </c>
      <c r="E59" s="90">
        <v>-491</v>
      </c>
      <c r="K59" s="78"/>
      <c r="L59" s="78"/>
      <c r="M59" s="78"/>
      <c r="N59" s="78"/>
    </row>
    <row r="60" spans="1:14" s="90" customFormat="1">
      <c r="A60" s="100">
        <v>45794</v>
      </c>
      <c r="B60" s="107" t="s">
        <v>1830</v>
      </c>
      <c r="E60" s="90">
        <v>-240</v>
      </c>
      <c r="K60" s="78"/>
      <c r="L60" s="78"/>
      <c r="M60" s="78"/>
      <c r="N60" s="78"/>
    </row>
    <row r="61" spans="1:14" s="77" customFormat="1">
      <c r="A61" s="100">
        <v>45795</v>
      </c>
      <c r="B61" s="107" t="s">
        <v>1829</v>
      </c>
      <c r="C61" s="106"/>
      <c r="E61" s="77">
        <v>-25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1832</v>
      </c>
      <c r="C62" s="106"/>
      <c r="E62" s="90">
        <v>-660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1836</v>
      </c>
      <c r="C63" s="106"/>
      <c r="E63" s="90">
        <v>-95</v>
      </c>
      <c r="K63" s="78"/>
      <c r="L63" s="78"/>
      <c r="M63" s="78"/>
      <c r="N63" s="78"/>
    </row>
    <row r="64" spans="1:14" s="90" customFormat="1">
      <c r="A64" s="100">
        <v>45795</v>
      </c>
      <c r="B64" s="107" t="s">
        <v>1833</v>
      </c>
      <c r="C64" s="106"/>
      <c r="E64" s="90">
        <v>-25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127</v>
      </c>
      <c r="C65" s="106"/>
      <c r="E65" s="90">
        <v>-576.58000000000004</v>
      </c>
      <c r="K65" s="78"/>
      <c r="L65" s="78"/>
      <c r="M65" s="78"/>
      <c r="N65" s="78"/>
    </row>
    <row r="66" spans="1:14" s="90" customFormat="1">
      <c r="A66" s="100">
        <v>45796</v>
      </c>
      <c r="B66" s="107" t="s">
        <v>651</v>
      </c>
      <c r="C66" s="106"/>
      <c r="E66" s="90">
        <v>-370</v>
      </c>
      <c r="K66" s="78"/>
      <c r="L66" s="78"/>
      <c r="M66" s="78"/>
      <c r="N66" s="78"/>
    </row>
    <row r="67" spans="1:14" s="77" customFormat="1">
      <c r="A67" s="100">
        <v>45797</v>
      </c>
      <c r="B67" s="3" t="s">
        <v>1612</v>
      </c>
      <c r="E67" s="77">
        <v>-80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1839</v>
      </c>
      <c r="E68" s="90">
        <v>-2345</v>
      </c>
      <c r="K68" s="78"/>
      <c r="L68" s="78"/>
      <c r="M68" s="78"/>
      <c r="N68" s="78"/>
    </row>
    <row r="69" spans="1:14" s="90" customFormat="1">
      <c r="A69" s="100">
        <v>45799</v>
      </c>
      <c r="B69" s="92" t="s">
        <v>1837</v>
      </c>
      <c r="E69" s="90">
        <v>-54</v>
      </c>
      <c r="K69" s="78"/>
      <c r="L69" s="78"/>
      <c r="M69" s="78"/>
      <c r="N69" s="78"/>
    </row>
    <row r="70" spans="1:14" s="90" customFormat="1">
      <c r="A70" s="100">
        <v>45800</v>
      </c>
      <c r="B70" s="92" t="s">
        <v>1838</v>
      </c>
      <c r="E70" s="90">
        <v>-2345</v>
      </c>
      <c r="K70" s="78"/>
      <c r="L70" s="78"/>
      <c r="M70" s="78"/>
      <c r="N70" s="78"/>
    </row>
    <row r="71" spans="1:14" s="90" customFormat="1">
      <c r="A71" s="100">
        <v>45802</v>
      </c>
      <c r="B71" s="92" t="s">
        <v>127</v>
      </c>
      <c r="E71" s="90">
        <v>-191.68</v>
      </c>
      <c r="K71" s="78"/>
      <c r="L71" s="78"/>
      <c r="M71" s="78"/>
      <c r="N71" s="78"/>
    </row>
    <row r="72" spans="1:14" s="90" customFormat="1" ht="15">
      <c r="A72" s="100"/>
      <c r="B72" s="92"/>
      <c r="E72" s="105" t="s">
        <v>84</v>
      </c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90" customFormat="1">
      <c r="A75" s="100"/>
      <c r="B75" s="92"/>
      <c r="K75" s="78"/>
      <c r="L75" s="78"/>
      <c r="M75" s="78"/>
      <c r="N75" s="78"/>
    </row>
    <row r="76" spans="1:14" s="77" customFormat="1">
      <c r="A76" s="100"/>
      <c r="B76" s="106"/>
      <c r="C76" s="106"/>
      <c r="K76" s="78"/>
      <c r="L76" s="78"/>
      <c r="M76" s="78"/>
      <c r="N76" s="78"/>
    </row>
    <row r="77" spans="1:14" s="77" customFormat="1">
      <c r="A77" s="103"/>
      <c r="B77" s="104" t="s">
        <v>85</v>
      </c>
      <c r="C77" s="103"/>
      <c r="E77" s="77">
        <f>SUM(E78:E96)</f>
        <v>-625</v>
      </c>
      <c r="K77" s="78"/>
      <c r="L77" s="78"/>
      <c r="M77" s="78"/>
      <c r="N77" s="78"/>
    </row>
    <row r="78" spans="1:14" s="77" customFormat="1">
      <c r="A78" s="100"/>
      <c r="B78" s="106"/>
      <c r="C78" s="106"/>
      <c r="K78" s="78"/>
      <c r="L78" s="78"/>
      <c r="M78" s="78"/>
      <c r="N78" s="78"/>
    </row>
    <row r="79" spans="1:14" s="77" customFormat="1">
      <c r="K79" s="78"/>
      <c r="L79" s="78"/>
      <c r="M79" s="78"/>
      <c r="N79" s="78"/>
    </row>
    <row r="80" spans="1:14" s="77" customFormat="1">
      <c r="A80" s="98">
        <v>45728</v>
      </c>
      <c r="B80" s="90" t="s">
        <v>1687</v>
      </c>
      <c r="C80" s="11"/>
      <c r="D80" s="90" t="s">
        <v>1719</v>
      </c>
      <c r="E80" s="90">
        <v>-625</v>
      </c>
      <c r="K80" s="78"/>
      <c r="L80" s="78"/>
      <c r="M80" s="78"/>
      <c r="N80" s="78"/>
    </row>
    <row r="81" spans="1:14" s="77" customFormat="1" ht="15">
      <c r="A81" s="100"/>
      <c r="B81" s="3"/>
      <c r="C81" s="106"/>
      <c r="E81" s="105" t="s">
        <v>84</v>
      </c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00"/>
      <c r="B89" s="3"/>
      <c r="C89" s="106"/>
      <c r="K89" s="78"/>
      <c r="L89" s="78"/>
      <c r="M89" s="78"/>
      <c r="N89" s="78"/>
    </row>
    <row r="90" spans="1:14" s="77" customFormat="1">
      <c r="A90" s="100"/>
      <c r="B90" s="3"/>
      <c r="C90" s="106"/>
      <c r="K90" s="78"/>
      <c r="L90" s="78"/>
      <c r="M90" s="78"/>
      <c r="N90" s="78"/>
    </row>
    <row r="91" spans="1:14" s="77" customFormat="1">
      <c r="A91" s="100"/>
      <c r="B91" s="3"/>
      <c r="C91" s="106"/>
      <c r="K91" s="78"/>
      <c r="L91" s="78"/>
      <c r="M91" s="78"/>
      <c r="N91" s="78"/>
    </row>
    <row r="92" spans="1:14" s="77" customFormat="1">
      <c r="A92" s="100"/>
      <c r="B92" s="3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0">
      <c r="A97" s="100"/>
      <c r="B97" s="3"/>
      <c r="C97" s="77"/>
      <c r="I97" s="77"/>
      <c r="J9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4"/>
  <sheetViews>
    <sheetView topLeftCell="A29" zoomScale="175" zoomScaleNormal="175" workbookViewId="0">
      <selection activeCell="D27" sqref="D2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SUM(D4:D27)</f>
        <v>15000</v>
      </c>
      <c r="E2" s="77">
        <f>SUM(E4:E27)</f>
        <v>-59993.120000000003</v>
      </c>
      <c r="F2" s="77">
        <f>SUM(F4:F27)</f>
        <v>15054.88</v>
      </c>
      <c r="G2" s="77">
        <f>SUM(G4:G27)</f>
        <v>-60967.91</v>
      </c>
      <c r="H2" s="77">
        <f>F2+G2</f>
        <v>-45913.030000000006</v>
      </c>
    </row>
    <row r="3" spans="1:14">
      <c r="B3" s="18"/>
    </row>
    <row r="4" spans="1:14">
      <c r="B4" s="41"/>
      <c r="H4" s="77">
        <f>H3+F4+G4</f>
        <v>0</v>
      </c>
    </row>
    <row r="5" spans="1:14">
      <c r="B5" s="41"/>
      <c r="C5" s="8"/>
      <c r="D5" s="87"/>
      <c r="E5" s="87"/>
      <c r="F5" s="87"/>
      <c r="G5" s="87"/>
      <c r="H5" s="87">
        <f>H4+F5+G5</f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E33</f>
        <v>-7461.47</v>
      </c>
      <c r="F7" s="87"/>
      <c r="G7" s="87">
        <f>E7</f>
        <v>-7461.47</v>
      </c>
      <c r="H7" s="87">
        <f>H6+F7+G7</f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E34</f>
        <v>0</v>
      </c>
      <c r="F8" s="87"/>
      <c r="G8" s="87">
        <v>-1064.8699999999999</v>
      </c>
      <c r="H8" s="87">
        <f>H7+F8+G8</f>
        <v>-10643.32</v>
      </c>
      <c r="K8" s="78"/>
      <c r="L8" s="78"/>
      <c r="M8" s="78"/>
      <c r="N8" s="78"/>
    </row>
    <row r="9" spans="1:14">
      <c r="A9" s="549">
        <v>45782</v>
      </c>
      <c r="B9" s="393" t="s">
        <v>69</v>
      </c>
      <c r="C9" s="392"/>
      <c r="D9" s="387"/>
      <c r="E9" s="387">
        <f>E58</f>
        <v>-8801.84</v>
      </c>
      <c r="F9" s="87"/>
      <c r="G9" s="87">
        <f>E9</f>
        <v>-8801.84</v>
      </c>
      <c r="H9" s="87">
        <f t="shared" ref="H9:H26" si="0">H8+F9+G9</f>
        <v>-19445.16</v>
      </c>
      <c r="I9" s="78"/>
    </row>
    <row r="10" spans="1:14">
      <c r="A10" s="550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si="0"/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0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0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0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1790</v>
      </c>
      <c r="D19" s="384" t="s">
        <v>1840</v>
      </c>
      <c r="E19" s="384"/>
      <c r="F19" s="77"/>
      <c r="G19" s="77"/>
      <c r="H19" s="87">
        <f t="shared" si="0"/>
        <v>-45700.280000000006</v>
      </c>
      <c r="J19" s="94"/>
      <c r="K19" s="94"/>
      <c r="L19" s="95"/>
      <c r="M19" s="96"/>
    </row>
    <row r="20" spans="1:14" s="78" customFormat="1">
      <c r="A20" s="98"/>
      <c r="B20" s="3"/>
      <c r="C20" s="3"/>
      <c r="D20" s="77"/>
      <c r="E20" s="77"/>
      <c r="F20" s="77"/>
      <c r="G20" s="77"/>
      <c r="H20" s="87">
        <f t="shared" si="0"/>
        <v>-45700.280000000006</v>
      </c>
      <c r="J20" s="94"/>
      <c r="K20" s="94"/>
      <c r="L20" s="95"/>
      <c r="M20" s="96"/>
    </row>
    <row r="21" spans="1:14" s="78" customFormat="1">
      <c r="A21" s="413">
        <v>45807</v>
      </c>
      <c r="B21" s="78" t="s">
        <v>1636</v>
      </c>
      <c r="E21" s="78">
        <v>-212.75</v>
      </c>
      <c r="G21" s="78">
        <v>-212.75</v>
      </c>
      <c r="H21" s="87">
        <f t="shared" si="0"/>
        <v>-45913.030000000006</v>
      </c>
      <c r="J21" s="94"/>
      <c r="K21" s="94"/>
      <c r="L21" s="95"/>
      <c r="M21" s="96"/>
    </row>
    <row r="22" spans="1:14" s="78" customFormat="1">
      <c r="H22" s="87">
        <f t="shared" si="0"/>
        <v>-45913.030000000006</v>
      </c>
      <c r="J22" s="94"/>
      <c r="K22" s="94"/>
      <c r="L22" s="95"/>
      <c r="M22" s="96"/>
    </row>
    <row r="23" spans="1:14" s="78" customFormat="1">
      <c r="B23" s="3"/>
      <c r="C23" s="3"/>
      <c r="D23" s="77"/>
      <c r="E23" s="77"/>
      <c r="F23" s="77"/>
      <c r="G23" s="77"/>
      <c r="H23" s="87">
        <f t="shared" si="0"/>
        <v>-45913.030000000006</v>
      </c>
    </row>
    <row r="24" spans="1:14" s="78" customFormat="1">
      <c r="D24" s="77"/>
      <c r="E24" s="77"/>
      <c r="F24" s="77"/>
      <c r="G24" s="77"/>
      <c r="H24" s="87">
        <f t="shared" si="0"/>
        <v>-45913.030000000006</v>
      </c>
    </row>
    <row r="25" spans="1:14">
      <c r="A25" s="100"/>
      <c r="B25" s="101" t="s">
        <v>96</v>
      </c>
      <c r="C25" s="101"/>
      <c r="H25" s="87">
        <f t="shared" si="0"/>
        <v>-45913.030000000006</v>
      </c>
      <c r="I25" s="78"/>
      <c r="J25" s="78"/>
    </row>
    <row r="26" spans="1:14">
      <c r="A26" s="100"/>
      <c r="H26" s="87">
        <f t="shared" si="0"/>
        <v>-45913.030000000006</v>
      </c>
    </row>
    <row r="27" spans="1:14" s="78" customFormat="1">
      <c r="A27"/>
      <c r="B27"/>
      <c r="C27"/>
      <c r="D27" s="77"/>
      <c r="E27" s="77"/>
      <c r="F27" s="77"/>
      <c r="G27" s="77"/>
      <c r="H27" s="77">
        <f>H26+F27+G27</f>
        <v>-45913.030000000006</v>
      </c>
      <c r="I27"/>
      <c r="J27"/>
    </row>
    <row r="28" spans="1:14" s="78" customFormat="1">
      <c r="B28" s="101"/>
      <c r="C28" s="101"/>
      <c r="D28" s="77"/>
      <c r="E28" s="77"/>
      <c r="F28" s="77"/>
      <c r="G28" s="77"/>
      <c r="H28" s="77"/>
      <c r="J28" s="94"/>
      <c r="K28" s="94"/>
      <c r="L28" s="95"/>
      <c r="M28" s="96"/>
    </row>
    <row r="29" spans="1:14" s="78" customFormat="1">
      <c r="B29" s="101"/>
      <c r="C29" s="101"/>
      <c r="D29" s="77"/>
      <c r="E29" s="77"/>
      <c r="F29" s="77"/>
      <c r="G29" s="77"/>
      <c r="H29" s="77"/>
      <c r="J29" s="94"/>
      <c r="K29" s="94"/>
      <c r="L29" s="95"/>
      <c r="M29" s="96"/>
    </row>
    <row r="30" spans="1:14" s="78" customFormat="1">
      <c r="A30" s="98"/>
      <c r="D30" s="77"/>
      <c r="E30" s="77"/>
      <c r="F30" s="77"/>
      <c r="G30" s="77"/>
      <c r="H30" s="77"/>
    </row>
    <row r="31" spans="1:14" s="77" customFormat="1">
      <c r="A31" s="8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B32" s="102"/>
      <c r="I32" s="77" t="s">
        <v>1821</v>
      </c>
      <c r="K32" s="78"/>
      <c r="L32" s="78"/>
      <c r="M32" s="78"/>
      <c r="N32" s="78"/>
    </row>
    <row r="33" spans="1:14">
      <c r="A33" s="103"/>
      <c r="B33" s="104" t="s">
        <v>83</v>
      </c>
      <c r="C33" s="103"/>
      <c r="E33" s="77">
        <f>SUM(E34:E49)</f>
        <v>-7461.47</v>
      </c>
      <c r="I33" s="77">
        <v>8850</v>
      </c>
      <c r="J33" s="77" t="s">
        <v>1814</v>
      </c>
    </row>
    <row r="34" spans="1:14" s="77" customFormat="1">
      <c r="A34"/>
      <c r="B34"/>
      <c r="C34"/>
      <c r="I34" s="77">
        <v>48000</v>
      </c>
      <c r="J34" t="s">
        <v>1815</v>
      </c>
      <c r="K34" s="78"/>
      <c r="L34" s="78"/>
      <c r="M34" s="78"/>
      <c r="N34" s="78"/>
    </row>
    <row r="35" spans="1:14" s="77" customFormat="1">
      <c r="A35" s="88"/>
      <c r="I35" s="77">
        <v>6000</v>
      </c>
      <c r="J35" s="77" t="s">
        <v>1816</v>
      </c>
      <c r="K35" s="78"/>
      <c r="L35" s="78"/>
      <c r="M35" s="78"/>
      <c r="N35" s="78"/>
    </row>
    <row r="36" spans="1:14" s="77" customFormat="1">
      <c r="A36" s="88">
        <v>45715</v>
      </c>
      <c r="B36" s="90" t="s">
        <v>1637</v>
      </c>
      <c r="C36" s="90">
        <v>5938.68</v>
      </c>
      <c r="D36" s="90" t="s">
        <v>615</v>
      </c>
      <c r="E36" s="90">
        <v>-989.78</v>
      </c>
      <c r="I36" s="77">
        <v>3000</v>
      </c>
      <c r="J36" s="77" t="s">
        <v>1817</v>
      </c>
      <c r="K36" s="78"/>
      <c r="L36" s="78"/>
      <c r="M36" s="78"/>
      <c r="N36" s="78"/>
    </row>
    <row r="37" spans="1:14" s="77" customFormat="1">
      <c r="A37" s="88"/>
      <c r="I37" s="77">
        <v>5000</v>
      </c>
      <c r="J37" s="77" t="s">
        <v>1818</v>
      </c>
      <c r="K37" s="78"/>
      <c r="L37" s="78"/>
      <c r="M37" s="78"/>
      <c r="N37" s="78"/>
    </row>
    <row r="38" spans="1:14">
      <c r="A38" s="88">
        <v>45751</v>
      </c>
      <c r="B38" s="77" t="s">
        <v>129</v>
      </c>
      <c r="D38" s="77">
        <v>123984.02</v>
      </c>
      <c r="I38" s="77">
        <f>SUM(I33:I37)</f>
        <v>70850</v>
      </c>
      <c r="J38" s="77"/>
    </row>
    <row r="39" spans="1:14" s="77" customFormat="1">
      <c r="A39" s="386">
        <v>45751</v>
      </c>
      <c r="B39" t="s">
        <v>445</v>
      </c>
      <c r="C39"/>
      <c r="E39" s="77">
        <v>-672.4</v>
      </c>
      <c r="I39" s="90">
        <v>2</v>
      </c>
      <c r="J39" s="542">
        <v>0.5</v>
      </c>
      <c r="K39" s="78"/>
      <c r="L39" s="78"/>
      <c r="M39" s="78"/>
      <c r="N39" s="78"/>
    </row>
    <row r="40" spans="1:14" s="77" customFormat="1">
      <c r="A40" s="100">
        <v>45754</v>
      </c>
      <c r="B40" s="106" t="s">
        <v>1779</v>
      </c>
      <c r="C40" s="106"/>
      <c r="E40" s="77">
        <v>-3740</v>
      </c>
      <c r="I40" s="77">
        <f>I38/I39</f>
        <v>35425</v>
      </c>
      <c r="K40" s="78"/>
      <c r="L40" s="78"/>
      <c r="M40" s="78"/>
      <c r="N40" s="78"/>
    </row>
    <row r="41" spans="1:14" s="77" customFormat="1">
      <c r="A41" s="100">
        <v>45756</v>
      </c>
      <c r="B41" s="106" t="s">
        <v>1780</v>
      </c>
      <c r="C41" s="106"/>
      <c r="E41" s="77">
        <v>-390</v>
      </c>
      <c r="I41" s="77">
        <f>I40/J41</f>
        <v>5060.7142857142853</v>
      </c>
      <c r="J41" s="77">
        <v>7</v>
      </c>
      <c r="K41" s="78"/>
      <c r="L41" s="78"/>
      <c r="M41" s="78"/>
      <c r="N41" s="78"/>
    </row>
    <row r="42" spans="1:14" s="77" customFormat="1">
      <c r="A42" s="100">
        <v>45764</v>
      </c>
      <c r="B42" s="107" t="s">
        <v>1781</v>
      </c>
      <c r="C42" s="106"/>
      <c r="E42" s="77">
        <v>-138.81</v>
      </c>
      <c r="I42" s="90">
        <f>I40/J42</f>
        <v>8856.25</v>
      </c>
      <c r="J42" s="77">
        <v>4</v>
      </c>
      <c r="K42" s="78"/>
      <c r="L42" s="78"/>
      <c r="M42" s="78"/>
      <c r="N42" s="78"/>
    </row>
    <row r="43" spans="1:14" s="77" customFormat="1">
      <c r="A43" s="100">
        <v>45766</v>
      </c>
      <c r="B43" s="107" t="s">
        <v>1612</v>
      </c>
      <c r="C43" s="106"/>
      <c r="E43" s="77">
        <v>-80</v>
      </c>
      <c r="J43" s="77" t="s">
        <v>1822</v>
      </c>
      <c r="K43" s="78"/>
      <c r="L43" s="78"/>
      <c r="M43" s="78"/>
      <c r="N43" s="78"/>
    </row>
    <row r="44" spans="1:14" s="77" customFormat="1">
      <c r="A44" s="100">
        <v>45767</v>
      </c>
      <c r="B44" s="107" t="s">
        <v>1782</v>
      </c>
      <c r="E44" s="77">
        <v>-140</v>
      </c>
      <c r="K44" s="78"/>
      <c r="L44" s="78"/>
      <c r="M44" s="78"/>
      <c r="N44" s="78"/>
    </row>
    <row r="45" spans="1:14" s="77" customFormat="1">
      <c r="A45" s="100">
        <v>45770</v>
      </c>
      <c r="B45" s="107" t="s">
        <v>1783</v>
      </c>
      <c r="C45" s="106"/>
      <c r="E45" s="77">
        <v>-300</v>
      </c>
      <c r="K45" s="78"/>
      <c r="L45" s="78"/>
      <c r="M45" s="78"/>
      <c r="N45" s="78"/>
    </row>
    <row r="46" spans="1:14" s="77" customFormat="1">
      <c r="A46" s="100">
        <v>45770</v>
      </c>
      <c r="B46" s="3" t="s">
        <v>1781</v>
      </c>
      <c r="E46" s="77">
        <v>-372.15</v>
      </c>
      <c r="K46" s="78"/>
      <c r="L46" s="78"/>
      <c r="M46" s="78"/>
      <c r="N46" s="78"/>
    </row>
    <row r="47" spans="1:14" s="90" customFormat="1">
      <c r="A47" s="100">
        <v>45771</v>
      </c>
      <c r="B47" s="92" t="s">
        <v>1784</v>
      </c>
      <c r="E47" s="90">
        <v>-250</v>
      </c>
      <c r="K47" s="78"/>
      <c r="L47" s="78"/>
      <c r="M47" s="78"/>
      <c r="N47" s="78"/>
    </row>
    <row r="48" spans="1:14" s="90" customFormat="1">
      <c r="A48" s="100">
        <v>45771</v>
      </c>
      <c r="B48" s="92" t="s">
        <v>1781</v>
      </c>
      <c r="E48" s="90">
        <v>-208.33</v>
      </c>
      <c r="K48" s="78"/>
      <c r="L48" s="78"/>
      <c r="M48" s="78"/>
      <c r="N48" s="78"/>
    </row>
    <row r="49" spans="1:14" s="90" customFormat="1">
      <c r="A49" s="100">
        <v>45772</v>
      </c>
      <c r="B49" s="92" t="s">
        <v>1785</v>
      </c>
      <c r="E49" s="90">
        <v>-180</v>
      </c>
      <c r="K49" s="78"/>
      <c r="L49" s="78"/>
      <c r="M49" s="78"/>
      <c r="N49" s="78"/>
    </row>
    <row r="50" spans="1:14" s="90" customFormat="1" ht="15">
      <c r="A50" s="100"/>
      <c r="B50" s="92"/>
      <c r="E50" s="105" t="s">
        <v>84</v>
      </c>
      <c r="K50" s="78"/>
      <c r="L50" s="78"/>
      <c r="M50" s="78"/>
      <c r="N50" s="78"/>
    </row>
    <row r="51" spans="1:14" s="90" customFormat="1">
      <c r="A51" s="100"/>
      <c r="B51" s="92"/>
      <c r="C51" s="90" t="s">
        <v>807</v>
      </c>
      <c r="K51" s="78"/>
      <c r="L51" s="78"/>
      <c r="M51" s="78"/>
      <c r="N51" s="78"/>
    </row>
    <row r="52" spans="1:14" s="90" customFormat="1">
      <c r="A52" s="100">
        <v>45752</v>
      </c>
      <c r="B52" s="92" t="s">
        <v>1788</v>
      </c>
      <c r="C52" s="90">
        <v>-15.6</v>
      </c>
      <c r="K52" s="78"/>
      <c r="L52" s="78"/>
      <c r="M52" s="78"/>
      <c r="N52" s="78"/>
    </row>
    <row r="53" spans="1:14" s="90" customFormat="1">
      <c r="A53" s="100">
        <v>45752</v>
      </c>
      <c r="B53" s="92" t="s">
        <v>1789</v>
      </c>
      <c r="C53" s="90">
        <v>-8.49</v>
      </c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90" customFormat="1">
      <c r="A55" s="100"/>
      <c r="B55" s="92"/>
      <c r="K55" s="78"/>
      <c r="L55" s="78"/>
      <c r="M55" s="78"/>
      <c r="N55" s="78"/>
    </row>
    <row r="56" spans="1:14" s="90" customFormat="1">
      <c r="A56" s="100"/>
      <c r="B56" s="92"/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3"/>
      <c r="B58" s="104" t="s">
        <v>85</v>
      </c>
      <c r="C58" s="103"/>
      <c r="E58" s="77">
        <f>SUM(E59:E84)</f>
        <v>-8801.84</v>
      </c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A60" s="100"/>
      <c r="B60" s="106"/>
      <c r="C60" s="106"/>
      <c r="K60" s="78"/>
      <c r="L60" s="78"/>
      <c r="M60" s="78"/>
      <c r="N60" s="78"/>
    </row>
    <row r="61" spans="1:14" s="77" customFormat="1">
      <c r="K61" s="78"/>
      <c r="L61" s="78"/>
      <c r="M61" s="78"/>
      <c r="N61" s="78"/>
    </row>
    <row r="62" spans="1:14" s="77" customFormat="1">
      <c r="A62" s="98">
        <v>45728</v>
      </c>
      <c r="B62" s="90" t="s">
        <v>1687</v>
      </c>
      <c r="C62" s="11"/>
      <c r="D62" s="90" t="s">
        <v>1718</v>
      </c>
      <c r="E62" s="90">
        <v>-625</v>
      </c>
      <c r="K62" s="78"/>
      <c r="L62" s="78"/>
      <c r="M62" s="78"/>
      <c r="N62" s="78"/>
    </row>
    <row r="63" spans="1:14" s="77" customFormat="1">
      <c r="A63" s="430">
        <v>45692</v>
      </c>
      <c r="B63" s="90" t="s">
        <v>1662</v>
      </c>
      <c r="C63" s="90"/>
      <c r="D63" s="90" t="s">
        <v>954</v>
      </c>
      <c r="E63" s="90">
        <v>-600.14</v>
      </c>
      <c r="K63" s="78"/>
      <c r="L63" s="78"/>
      <c r="M63" s="78"/>
      <c r="N63" s="78"/>
    </row>
    <row r="64" spans="1:14" s="77" customFormat="1">
      <c r="A64" s="430">
        <v>45692</v>
      </c>
      <c r="B64" s="90" t="s">
        <v>1662</v>
      </c>
      <c r="C64" s="90"/>
      <c r="D64" s="90" t="s">
        <v>954</v>
      </c>
      <c r="E64" s="90">
        <v>-2500.3000000000002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>
        <v>45743</v>
      </c>
      <c r="B66" s="3" t="s">
        <v>129</v>
      </c>
      <c r="C66" s="106"/>
      <c r="D66" s="77">
        <v>19953.18</v>
      </c>
      <c r="K66" s="78"/>
      <c r="L66" s="78"/>
      <c r="M66" s="78"/>
      <c r="N66" s="78"/>
    </row>
    <row r="67" spans="1:14" s="77" customFormat="1">
      <c r="A67" s="100">
        <v>45744</v>
      </c>
      <c r="B67" s="3" t="s">
        <v>1798</v>
      </c>
      <c r="C67" s="106"/>
      <c r="E67" s="77">
        <v>-1300</v>
      </c>
      <c r="K67" s="78"/>
      <c r="L67" s="78"/>
      <c r="M67" s="78"/>
      <c r="N67" s="78"/>
    </row>
    <row r="68" spans="1:14" s="77" customFormat="1">
      <c r="A68" s="100">
        <v>45749</v>
      </c>
      <c r="B68" s="3"/>
      <c r="C68" s="106"/>
      <c r="E68" s="77">
        <v>-335</v>
      </c>
      <c r="K68" s="78"/>
      <c r="L68" s="78"/>
      <c r="M68" s="78"/>
      <c r="N68" s="78"/>
    </row>
    <row r="69" spans="1:14" s="77" customFormat="1">
      <c r="A69" s="100">
        <v>45750</v>
      </c>
      <c r="B69" s="3" t="s">
        <v>1799</v>
      </c>
      <c r="C69" s="106"/>
      <c r="E69" s="77">
        <v>-129.99</v>
      </c>
      <c r="K69" s="78"/>
      <c r="L69" s="78"/>
      <c r="M69" s="78"/>
      <c r="N69" s="78"/>
    </row>
    <row r="70" spans="1:14" s="77" customFormat="1">
      <c r="A70" s="100">
        <v>45756</v>
      </c>
      <c r="B70" s="3" t="s">
        <v>1801</v>
      </c>
      <c r="C70" s="106"/>
      <c r="E70" s="77">
        <v>-360</v>
      </c>
      <c r="K70" s="78"/>
      <c r="L70" s="78"/>
      <c r="M70" s="78"/>
      <c r="N70" s="78"/>
    </row>
    <row r="71" spans="1:14" s="77" customFormat="1">
      <c r="A71" s="100">
        <v>45756</v>
      </c>
      <c r="B71" s="3" t="s">
        <v>1800</v>
      </c>
      <c r="C71" s="106"/>
      <c r="E71" s="77">
        <v>-1425</v>
      </c>
      <c r="K71" s="78"/>
      <c r="L71" s="78"/>
      <c r="M71" s="78"/>
      <c r="N71" s="78"/>
    </row>
    <row r="72" spans="1:14" s="90" customFormat="1">
      <c r="A72" s="100">
        <v>45757</v>
      </c>
      <c r="B72" s="92" t="s">
        <v>1802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100">
        <v>45758</v>
      </c>
      <c r="B73" s="92" t="s">
        <v>1803</v>
      </c>
      <c r="C73" s="106"/>
      <c r="E73" s="90">
        <v>-406.41</v>
      </c>
      <c r="K73" s="78"/>
      <c r="L73" s="78"/>
      <c r="M73" s="78"/>
      <c r="N73" s="78"/>
    </row>
    <row r="74" spans="1:14" s="90" customFormat="1">
      <c r="A74" s="100">
        <v>45759</v>
      </c>
      <c r="B74" s="92" t="s">
        <v>1804</v>
      </c>
      <c r="C74" s="106"/>
      <c r="E74" s="90">
        <v>-50</v>
      </c>
      <c r="K74" s="78"/>
      <c r="L74" s="78"/>
      <c r="M74" s="78"/>
      <c r="N74" s="78"/>
    </row>
    <row r="75" spans="1:14" s="90" customFormat="1">
      <c r="A75" s="100">
        <v>45757</v>
      </c>
      <c r="B75" s="92" t="s">
        <v>1782</v>
      </c>
      <c r="C75" s="106"/>
      <c r="E75" s="90">
        <v>-210</v>
      </c>
      <c r="K75" s="78"/>
      <c r="L75" s="78"/>
      <c r="M75" s="78"/>
      <c r="N75" s="78"/>
    </row>
    <row r="76" spans="1:14" s="90" customFormat="1">
      <c r="A76" s="100">
        <v>45762</v>
      </c>
      <c r="B76" s="92" t="s">
        <v>131</v>
      </c>
      <c r="C76" s="106"/>
      <c r="E76" s="90">
        <v>-250</v>
      </c>
      <c r="K76" s="78"/>
      <c r="L76" s="78"/>
      <c r="M76" s="78"/>
      <c r="N76" s="78"/>
    </row>
    <row r="77" spans="1:14" s="90" customFormat="1">
      <c r="A77" s="100">
        <v>45764</v>
      </c>
      <c r="B77" s="92" t="s">
        <v>1805</v>
      </c>
      <c r="C77" s="106"/>
      <c r="E77" s="90">
        <v>-120</v>
      </c>
      <c r="K77" s="78"/>
      <c r="L77" s="78"/>
      <c r="M77" s="78"/>
      <c r="N77" s="78"/>
    </row>
    <row r="78" spans="1:14" s="90" customFormat="1">
      <c r="A78" s="100">
        <v>45764</v>
      </c>
      <c r="B78" s="92" t="s">
        <v>651</v>
      </c>
      <c r="C78" s="106"/>
      <c r="E78" s="90">
        <v>-370</v>
      </c>
      <c r="K78" s="78"/>
      <c r="L78" s="78"/>
      <c r="M78" s="78"/>
      <c r="N78" s="78"/>
    </row>
    <row r="79" spans="1:14" s="77" customFormat="1" ht="15">
      <c r="A79" s="100"/>
      <c r="B79" s="3"/>
      <c r="C79" s="106"/>
      <c r="E79" s="105" t="s">
        <v>84</v>
      </c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>
      <c r="A85" s="100"/>
      <c r="B85" s="3"/>
      <c r="C85" s="77"/>
      <c r="I85" s="77"/>
      <c r="J85" s="77"/>
    </row>
    <row r="96" spans="1:14">
      <c r="A96" s="113" t="s">
        <v>1807</v>
      </c>
      <c r="B96" s="104" t="s">
        <v>136</v>
      </c>
      <c r="C96" s="103">
        <v>2025</v>
      </c>
      <c r="D96" s="90"/>
      <c r="E96" s="90"/>
      <c r="F96" s="90"/>
      <c r="G96" s="90">
        <f>SUM(G100:G128)</f>
        <v>628200.125</v>
      </c>
      <c r="H96" s="90"/>
      <c r="I96" s="90"/>
      <c r="J96" s="11"/>
    </row>
    <row r="97" spans="1:14">
      <c r="A97" s="113"/>
      <c r="B97" s="104"/>
      <c r="C97" s="103"/>
      <c r="D97" s="90"/>
      <c r="E97" s="90"/>
      <c r="F97" s="90"/>
      <c r="G97" s="90"/>
      <c r="H97" s="90"/>
      <c r="I97" s="90"/>
      <c r="J97" s="11"/>
    </row>
    <row r="98" spans="1:14">
      <c r="A98" s="113"/>
      <c r="B98" s="104"/>
      <c r="C98" s="103"/>
      <c r="D98" s="90"/>
      <c r="E98" s="90" t="s">
        <v>137</v>
      </c>
      <c r="F98" s="90"/>
      <c r="G98" s="90"/>
      <c r="H98" s="90"/>
      <c r="I98" s="90"/>
      <c r="J98" s="11"/>
    </row>
    <row r="99" spans="1:14">
      <c r="A99" s="100"/>
      <c r="B99" s="90" t="s">
        <v>77</v>
      </c>
      <c r="C99" s="90"/>
      <c r="D99" s="90"/>
      <c r="E99" s="90"/>
      <c r="F99" s="90"/>
      <c r="G99" s="90">
        <v>0</v>
      </c>
      <c r="H99" s="90"/>
      <c r="I99" s="90"/>
      <c r="J99" s="11"/>
    </row>
    <row r="100" spans="1:14">
      <c r="A100" s="100"/>
      <c r="B100" s="90" t="s">
        <v>78</v>
      </c>
      <c r="C100" s="90"/>
      <c r="D100" s="90"/>
      <c r="E100" s="90"/>
      <c r="F100" s="90"/>
      <c r="G100" s="90">
        <v>0</v>
      </c>
      <c r="H100" s="90"/>
      <c r="I100" s="90"/>
      <c r="J100" s="11"/>
    </row>
    <row r="101" spans="1:14">
      <c r="A101" s="541">
        <v>45777</v>
      </c>
      <c r="B101" s="90" t="s">
        <v>1739</v>
      </c>
      <c r="C101" s="90"/>
      <c r="D101" s="90"/>
      <c r="E101" s="90">
        <v>122830</v>
      </c>
      <c r="F101" s="90"/>
      <c r="G101" s="90">
        <f>E101+F101</f>
        <v>122830</v>
      </c>
      <c r="H101" s="90"/>
      <c r="I101" s="90"/>
      <c r="J101" s="11"/>
    </row>
    <row r="102" spans="1:14">
      <c r="A102" s="541"/>
      <c r="B102" s="90" t="s">
        <v>1740</v>
      </c>
      <c r="C102" s="90"/>
      <c r="D102" s="90"/>
      <c r="E102" s="90"/>
      <c r="F102" s="90"/>
      <c r="G102" s="90">
        <f>D82</f>
        <v>0</v>
      </c>
      <c r="H102" s="90"/>
      <c r="I102" s="90"/>
      <c r="J102" s="11"/>
    </row>
    <row r="103" spans="1:14">
      <c r="A103" s="541">
        <v>45777</v>
      </c>
      <c r="B103" s="90" t="s">
        <v>139</v>
      </c>
      <c r="C103" s="12"/>
      <c r="D103" s="12"/>
      <c r="E103" s="90"/>
      <c r="F103" s="90"/>
      <c r="G103" s="17">
        <v>6171</v>
      </c>
      <c r="H103" s="90"/>
      <c r="I103" s="90"/>
      <c r="J103" s="11"/>
    </row>
    <row r="104" spans="1:14">
      <c r="A104" s="541">
        <v>45777</v>
      </c>
      <c r="B104" s="90" t="s">
        <v>140</v>
      </c>
      <c r="C104" s="12"/>
      <c r="D104" s="12"/>
      <c r="E104" s="90"/>
      <c r="F104" s="90"/>
      <c r="G104" s="17">
        <v>300</v>
      </c>
      <c r="H104" s="90"/>
      <c r="I104" s="90"/>
      <c r="J104" s="11"/>
    </row>
    <row r="105" spans="1:14">
      <c r="A105" s="100"/>
      <c r="B105" s="90"/>
      <c r="C105" s="12"/>
      <c r="D105" s="12"/>
      <c r="E105" s="90"/>
      <c r="F105" s="90"/>
      <c r="G105" s="17"/>
      <c r="H105" s="90"/>
      <c r="I105" s="90" t="s">
        <v>1686</v>
      </c>
      <c r="J105" s="11"/>
    </row>
    <row r="106" spans="1:14">
      <c r="A106" s="100">
        <v>45620</v>
      </c>
      <c r="B106" s="82" t="s">
        <v>1604</v>
      </c>
      <c r="C106" s="114"/>
      <c r="D106" s="114">
        <v>32.549999999999997</v>
      </c>
      <c r="E106" s="116">
        <f t="shared" ref="E106:E109" si="1">D106*C106</f>
        <v>0</v>
      </c>
      <c r="F106" s="90">
        <v>47</v>
      </c>
      <c r="G106" s="17">
        <f t="shared" ref="G106" si="2">F106*C106</f>
        <v>0</v>
      </c>
      <c r="H106" s="90"/>
      <c r="I106" s="90">
        <f t="shared" ref="I106" si="3">G106-E106</f>
        <v>0</v>
      </c>
      <c r="J106" s="11"/>
    </row>
    <row r="107" spans="1:14">
      <c r="A107" s="100">
        <v>45620</v>
      </c>
      <c r="B107" s="82" t="s">
        <v>1604</v>
      </c>
      <c r="C107" s="114">
        <v>1000</v>
      </c>
      <c r="D107" s="114">
        <v>32.549999999999997</v>
      </c>
      <c r="E107" s="116">
        <f t="shared" si="1"/>
        <v>32549.999999999996</v>
      </c>
      <c r="F107" s="90">
        <f>F106</f>
        <v>47</v>
      </c>
      <c r="G107" s="17">
        <f>F107*C107</f>
        <v>47000</v>
      </c>
      <c r="H107" s="90"/>
      <c r="I107" s="90">
        <f>G107-E107</f>
        <v>14450.000000000004</v>
      </c>
      <c r="J107" s="11"/>
    </row>
    <row r="108" spans="1:14">
      <c r="A108" s="100">
        <v>45659</v>
      </c>
      <c r="B108" s="82" t="s">
        <v>1603</v>
      </c>
      <c r="C108" s="114">
        <v>4000</v>
      </c>
      <c r="D108" s="115">
        <v>30.86</v>
      </c>
      <c r="E108" s="116">
        <f t="shared" si="1"/>
        <v>123440</v>
      </c>
      <c r="F108" s="90">
        <f>F107</f>
        <v>47</v>
      </c>
      <c r="G108" s="17">
        <f t="shared" ref="G108:G109" si="4">F108*C108</f>
        <v>188000</v>
      </c>
      <c r="H108" s="419">
        <f>SUM(G107:G108)</f>
        <v>235000</v>
      </c>
      <c r="I108" s="90">
        <f t="shared" ref="I108:I109" si="5">G108-E108</f>
        <v>64560</v>
      </c>
      <c r="J108" s="11"/>
    </row>
    <row r="109" spans="1:14">
      <c r="A109" s="100">
        <v>45772</v>
      </c>
      <c r="B109" s="82" t="s">
        <v>236</v>
      </c>
      <c r="C109" s="114">
        <v>0</v>
      </c>
      <c r="D109" s="115">
        <v>983.06700000000001</v>
      </c>
      <c r="E109" s="116">
        <f t="shared" si="1"/>
        <v>0</v>
      </c>
      <c r="F109" s="90">
        <v>1000.855116</v>
      </c>
      <c r="G109" s="17">
        <f t="shared" si="4"/>
        <v>0</v>
      </c>
      <c r="H109" s="419"/>
      <c r="I109" s="90">
        <f t="shared" si="5"/>
        <v>0</v>
      </c>
      <c r="J109" s="11"/>
    </row>
    <row r="110" spans="1:14" s="11" customFormat="1">
      <c r="A110" s="100">
        <v>45772</v>
      </c>
      <c r="B110" s="82" t="s">
        <v>236</v>
      </c>
      <c r="C110" s="114">
        <v>0</v>
      </c>
      <c r="D110" s="115">
        <v>983.06700000000001</v>
      </c>
      <c r="E110" s="116">
        <f t="shared" ref="E110" si="6">D110*C110</f>
        <v>0</v>
      </c>
      <c r="F110" s="90">
        <v>1000.855116</v>
      </c>
      <c r="G110" s="17">
        <f t="shared" ref="G110" si="7">F110*C110</f>
        <v>0</v>
      </c>
      <c r="H110" s="419"/>
      <c r="I110" s="90"/>
      <c r="K110" s="78"/>
      <c r="L110" s="78"/>
      <c r="M110" s="78"/>
      <c r="N110" s="78"/>
    </row>
    <row r="111" spans="1:14" s="11" customFormat="1">
      <c r="A111" s="100">
        <v>45786</v>
      </c>
      <c r="B111" s="82" t="s">
        <v>1819</v>
      </c>
      <c r="C111" s="114">
        <v>24</v>
      </c>
      <c r="D111" s="115">
        <v>983.06700000000001</v>
      </c>
      <c r="E111" s="116">
        <f t="shared" ref="E111" si="8">D111*C111</f>
        <v>23593.608</v>
      </c>
      <c r="F111" s="90">
        <v>1000.855116</v>
      </c>
      <c r="G111" s="17"/>
      <c r="H111" s="419"/>
      <c r="I111" s="90"/>
      <c r="K111" s="78"/>
      <c r="L111" s="78"/>
      <c r="M111" s="78"/>
      <c r="N111" s="78"/>
    </row>
    <row r="112" spans="1:14" s="11" customFormat="1" ht="13.5" thickBot="1">
      <c r="A112" s="100">
        <v>45782</v>
      </c>
      <c r="B112" s="82" t="s">
        <v>1812</v>
      </c>
      <c r="C112" s="114">
        <v>16</v>
      </c>
      <c r="D112" s="115">
        <v>983.06700000000001</v>
      </c>
      <c r="E112" s="116">
        <f t="shared" ref="E112" si="9">D112*C112</f>
        <v>15729.072</v>
      </c>
      <c r="F112" s="90">
        <v>1000.855116</v>
      </c>
      <c r="G112" s="17"/>
      <c r="H112" s="419"/>
      <c r="I112" s="90"/>
      <c r="K112" s="78"/>
      <c r="L112" s="78"/>
      <c r="M112" s="78"/>
      <c r="N112" s="78"/>
    </row>
    <row r="113" spans="1:10" ht="13.5" thickBot="1">
      <c r="A113" s="100"/>
      <c r="B113" s="90"/>
      <c r="C113" s="12"/>
      <c r="D113" s="12"/>
      <c r="E113" s="90">
        <f>SUM(E106:E108)</f>
        <v>155990</v>
      </c>
      <c r="F113" s="90"/>
      <c r="G113" s="90"/>
      <c r="H113" s="117">
        <f>(SUM(G106:G108))-(SUM(E106:E108))</f>
        <v>79010</v>
      </c>
      <c r="I113" s="117">
        <f>SUM(I106:I108)</f>
        <v>79010</v>
      </c>
      <c r="J113" s="11"/>
    </row>
    <row r="114" spans="1:10">
      <c r="A114" s="100"/>
      <c r="B114" s="90"/>
      <c r="C114" s="12"/>
      <c r="D114" s="12"/>
      <c r="E114" s="90"/>
      <c r="F114" s="90"/>
      <c r="G114" s="90"/>
      <c r="H114" s="90"/>
      <c r="I114" s="90"/>
      <c r="J114" s="11"/>
    </row>
    <row r="115" spans="1:10">
      <c r="A115" s="100">
        <v>45345</v>
      </c>
      <c r="B115" s="82" t="s">
        <v>143</v>
      </c>
      <c r="C115" s="118">
        <v>125000</v>
      </c>
      <c r="D115" s="83">
        <v>1.0399430000000001</v>
      </c>
      <c r="E115" s="116">
        <f>D115*C115</f>
        <v>129992.87500000001</v>
      </c>
      <c r="F115" s="404">
        <v>0.91677699999999995</v>
      </c>
      <c r="G115" s="17">
        <f>F115*C115</f>
        <v>114597.125</v>
      </c>
      <c r="H115" s="90"/>
      <c r="I115" s="90">
        <f t="shared" ref="I115:I118" si="10">G115-E115</f>
        <v>-15395.750000000015</v>
      </c>
      <c r="J115" s="11"/>
    </row>
    <row r="116" spans="1:10">
      <c r="A116" s="100">
        <v>45400</v>
      </c>
      <c r="B116" s="82" t="s">
        <v>144</v>
      </c>
      <c r="C116" s="114">
        <v>10</v>
      </c>
      <c r="D116" s="83">
        <v>135</v>
      </c>
      <c r="E116" s="116">
        <f>D116*C116</f>
        <v>1350</v>
      </c>
      <c r="F116" s="90">
        <v>120</v>
      </c>
      <c r="G116" s="17">
        <f>F116*C116</f>
        <v>1200</v>
      </c>
      <c r="H116" s="90"/>
      <c r="I116" s="90">
        <f t="shared" si="10"/>
        <v>-150</v>
      </c>
      <c r="J116" s="11"/>
    </row>
    <row r="117" spans="1:10">
      <c r="A117" s="100">
        <v>45418</v>
      </c>
      <c r="B117" s="82" t="s">
        <v>145</v>
      </c>
      <c r="C117" s="114">
        <v>38</v>
      </c>
      <c r="D117" s="83">
        <v>30.5</v>
      </c>
      <c r="E117" s="116">
        <f>D117*C117</f>
        <v>1159</v>
      </c>
      <c r="F117" s="90">
        <v>15</v>
      </c>
      <c r="G117" s="17">
        <f>F117*C117</f>
        <v>570</v>
      </c>
      <c r="H117" s="90"/>
      <c r="I117" s="90">
        <f t="shared" si="10"/>
        <v>-589</v>
      </c>
      <c r="J117" s="11"/>
    </row>
    <row r="118" spans="1:10" ht="13.5" thickBot="1">
      <c r="A118" s="100">
        <v>45418</v>
      </c>
      <c r="B118" s="82" t="s">
        <v>146</v>
      </c>
      <c r="C118" s="114">
        <v>26</v>
      </c>
      <c r="D118" s="83">
        <v>37.115000000000002</v>
      </c>
      <c r="E118" s="116">
        <f>D118*C118</f>
        <v>964.99</v>
      </c>
      <c r="F118" s="90">
        <v>22</v>
      </c>
      <c r="G118" s="17">
        <f>F118*C118</f>
        <v>572</v>
      </c>
      <c r="H118" s="419">
        <f>SUM(G115:G118)</f>
        <v>116939.125</v>
      </c>
      <c r="I118" s="90">
        <f t="shared" si="10"/>
        <v>-392.99</v>
      </c>
      <c r="J118" s="11"/>
    </row>
    <row r="119" spans="1:10" ht="13.5" thickBot="1">
      <c r="A119" s="100"/>
      <c r="B119" s="90"/>
      <c r="C119" s="12"/>
      <c r="D119" s="12"/>
      <c r="E119" s="90">
        <f>SUM(E115:E118)</f>
        <v>133466.86499999999</v>
      </c>
      <c r="F119" s="90"/>
      <c r="G119" s="90"/>
      <c r="H119" s="117">
        <f>(SUM(G115:G118))-(SUM(E115:E118))</f>
        <v>-16527.739999999991</v>
      </c>
      <c r="I119" s="90"/>
      <c r="J119" s="11"/>
    </row>
    <row r="120" spans="1:10">
      <c r="A120" s="100"/>
      <c r="B120" s="90"/>
      <c r="C120" s="90"/>
      <c r="D120" s="90"/>
      <c r="E120" s="17"/>
      <c r="F120" s="90"/>
      <c r="G120" s="90"/>
      <c r="H120" s="90"/>
      <c r="I120" s="90"/>
      <c r="J120" s="11"/>
    </row>
    <row r="121" spans="1:10">
      <c r="A121" s="100">
        <v>45509</v>
      </c>
      <c r="B121" s="82" t="s">
        <v>1732</v>
      </c>
      <c r="C121" s="114">
        <v>1</v>
      </c>
      <c r="D121" s="83">
        <v>2500</v>
      </c>
      <c r="E121" s="116">
        <f>D121*C121</f>
        <v>2500</v>
      </c>
      <c r="F121" s="90">
        <v>4100</v>
      </c>
      <c r="G121" s="17">
        <f>C121*F121</f>
        <v>4100</v>
      </c>
      <c r="H121" s="90"/>
      <c r="I121" s="90">
        <f t="shared" ref="I121:I123" si="11">G121-E121</f>
        <v>1600</v>
      </c>
      <c r="J121" s="11"/>
    </row>
    <row r="122" spans="1:10">
      <c r="A122" s="100">
        <v>45509</v>
      </c>
      <c r="B122" s="82" t="s">
        <v>148</v>
      </c>
      <c r="C122" s="114">
        <v>16</v>
      </c>
      <c r="D122" s="83">
        <v>4100</v>
      </c>
      <c r="E122" s="116">
        <f>D122*C122</f>
        <v>65600</v>
      </c>
      <c r="F122" s="90">
        <f>F121*1.73</f>
        <v>7093</v>
      </c>
      <c r="G122" s="17">
        <f>C122*F122</f>
        <v>113488</v>
      </c>
      <c r="H122" s="90"/>
      <c r="I122" s="90">
        <f t="shared" si="11"/>
        <v>47888</v>
      </c>
      <c r="J122" s="11"/>
    </row>
    <row r="123" spans="1:10" ht="13.5" thickBot="1">
      <c r="A123" s="100">
        <v>45509</v>
      </c>
      <c r="B123" s="82" t="s">
        <v>149</v>
      </c>
      <c r="C123" s="114">
        <v>1</v>
      </c>
      <c r="D123" s="83">
        <v>16200</v>
      </c>
      <c r="E123" s="116">
        <f>D123*C123</f>
        <v>16200</v>
      </c>
      <c r="F123" s="90">
        <f>F122*4</f>
        <v>28372</v>
      </c>
      <c r="G123" s="17">
        <f>C123*F123</f>
        <v>28372</v>
      </c>
      <c r="H123" s="419">
        <f>SUM(G121:G123)</f>
        <v>145960</v>
      </c>
      <c r="I123" s="90">
        <f t="shared" si="11"/>
        <v>12172</v>
      </c>
      <c r="J123" s="11"/>
    </row>
    <row r="124" spans="1:10" ht="13.5" thickBot="1">
      <c r="A124" s="100"/>
      <c r="B124" s="90"/>
      <c r="C124" s="12"/>
      <c r="D124" s="12"/>
      <c r="E124" s="90">
        <f>SUM(E121:E123)</f>
        <v>84300</v>
      </c>
      <c r="F124" s="90"/>
      <c r="G124" s="90"/>
      <c r="H124" s="117">
        <f>(SUM(G121:G123))-(SUM(E121:E123))</f>
        <v>61660</v>
      </c>
      <c r="I124" s="90"/>
      <c r="J124" s="11"/>
    </row>
    <row r="125" spans="1:10">
      <c r="A125" s="100"/>
      <c r="B125" s="90" t="s">
        <v>150</v>
      </c>
      <c r="C125" s="120">
        <v>33.250599999999999</v>
      </c>
      <c r="D125" s="12"/>
      <c r="E125" s="90"/>
      <c r="F125" s="90"/>
      <c r="G125" s="17"/>
      <c r="H125" s="90"/>
      <c r="I125" s="90"/>
      <c r="J125" s="11"/>
    </row>
    <row r="126" spans="1:10">
      <c r="A126" s="100"/>
      <c r="B126" s="90" t="s">
        <v>151</v>
      </c>
      <c r="C126" s="120">
        <v>36.854999999999997</v>
      </c>
      <c r="D126" s="12"/>
      <c r="E126" s="90"/>
      <c r="F126" s="90"/>
      <c r="G126" s="17"/>
      <c r="H126" s="90"/>
      <c r="I126" s="90"/>
      <c r="J126" s="11"/>
    </row>
    <row r="127" spans="1:10">
      <c r="A127" s="100"/>
      <c r="B127" s="90" t="s">
        <v>152</v>
      </c>
      <c r="C127" s="12"/>
      <c r="D127" s="12"/>
      <c r="E127" s="90"/>
      <c r="F127" s="90"/>
      <c r="G127" s="17">
        <v>0</v>
      </c>
      <c r="H127" s="90"/>
      <c r="I127" s="90"/>
      <c r="J127" s="11"/>
    </row>
    <row r="128" spans="1:10" ht="13.5" thickBot="1">
      <c r="A128" s="100"/>
      <c r="B128" s="90" t="s">
        <v>153</v>
      </c>
      <c r="C128" s="12"/>
      <c r="D128" s="12"/>
      <c r="E128" s="90"/>
      <c r="F128" s="90"/>
      <c r="G128" s="17">
        <v>1000</v>
      </c>
      <c r="H128" s="90"/>
      <c r="I128" s="90"/>
      <c r="J128" s="11"/>
    </row>
    <row r="129" spans="1:13" ht="13.5" thickBot="1">
      <c r="A129" s="100"/>
      <c r="B129" s="90"/>
      <c r="C129" s="90"/>
      <c r="D129" s="90"/>
      <c r="E129" s="121"/>
      <c r="F129" s="122"/>
      <c r="G129" s="123" t="s">
        <v>154</v>
      </c>
      <c r="H129" s="429">
        <f>H124+H119+H113</f>
        <v>124142.26000000001</v>
      </c>
      <c r="I129" s="90"/>
      <c r="J129" s="11"/>
    </row>
    <row r="130" spans="1:13" ht="13.5" thickBot="1">
      <c r="A130" s="100"/>
      <c r="B130" s="90"/>
      <c r="C130" s="124"/>
      <c r="D130" s="92"/>
      <c r="E130" s="90"/>
      <c r="F130" s="90"/>
      <c r="G130" s="124"/>
      <c r="H130" s="90"/>
      <c r="I130" s="90"/>
      <c r="J130" s="11"/>
    </row>
    <row r="131" spans="1:13" ht="13.5" thickBot="1">
      <c r="A131" s="100"/>
      <c r="B131" s="90"/>
      <c r="C131" s="124"/>
      <c r="D131" s="18" t="s">
        <v>155</v>
      </c>
      <c r="E131" s="90"/>
      <c r="F131" s="90"/>
      <c r="G131" s="483">
        <f>SUM(G100:G128)</f>
        <v>628200.125</v>
      </c>
      <c r="H131" s="90"/>
      <c r="I131" s="90"/>
      <c r="J131" s="11"/>
    </row>
    <row r="132" spans="1:13">
      <c r="A132" s="100"/>
      <c r="B132" s="90"/>
      <c r="C132" s="126" t="str">
        <f>A96</f>
        <v>HAZİRAN 2025 e</v>
      </c>
      <c r="D132" s="126" t="s">
        <v>156</v>
      </c>
      <c r="E132" s="90"/>
      <c r="F132" s="90"/>
      <c r="G132" s="127"/>
      <c r="H132" s="90"/>
      <c r="I132" s="90"/>
      <c r="J132" s="11"/>
    </row>
    <row r="133" spans="1:13">
      <c r="A133" s="100"/>
      <c r="B133" s="11"/>
      <c r="C133" s="438"/>
      <c r="D133" s="439"/>
      <c r="E133" s="405"/>
      <c r="F133" s="405"/>
      <c r="G133" s="409"/>
      <c r="H133" s="90"/>
      <c r="I133" s="90"/>
      <c r="J133" s="11"/>
    </row>
    <row r="134" spans="1:13">
      <c r="A134" s="90"/>
      <c r="B134" s="90" t="s">
        <v>1685</v>
      </c>
      <c r="C134" s="90"/>
      <c r="D134" s="90"/>
      <c r="E134" s="90"/>
      <c r="F134" s="90"/>
      <c r="G134" s="90"/>
      <c r="H134" s="90"/>
      <c r="I134" s="90" t="s">
        <v>1676</v>
      </c>
      <c r="J134" s="11" t="s">
        <v>1676</v>
      </c>
      <c r="K134" s="78" t="s">
        <v>1677</v>
      </c>
      <c r="L134" s="78" t="s">
        <v>1678</v>
      </c>
      <c r="M134" s="78" t="s">
        <v>1679</v>
      </c>
    </row>
    <row r="135" spans="1:13">
      <c r="A135" s="100">
        <v>45620</v>
      </c>
      <c r="B135" s="82" t="s">
        <v>1604</v>
      </c>
      <c r="C135" s="114">
        <v>3000</v>
      </c>
      <c r="D135" s="114">
        <v>32.549999999999997</v>
      </c>
      <c r="E135" s="116">
        <f t="shared" ref="E135" si="12">D135*C135</f>
        <v>97649.999999999985</v>
      </c>
      <c r="F135" s="90">
        <v>42.86</v>
      </c>
      <c r="G135" s="17">
        <f t="shared" ref="G135" si="13">F135*C135</f>
        <v>128580</v>
      </c>
      <c r="H135" s="90"/>
      <c r="I135" s="90">
        <f t="shared" ref="I135" si="14">G135-E135</f>
        <v>30930.000000000015</v>
      </c>
      <c r="J135" s="443">
        <f>(I135-I136)/E135</f>
        <v>0.31674347158218147</v>
      </c>
      <c r="K135" s="100">
        <v>45721</v>
      </c>
      <c r="L135" s="78">
        <f>K135-A135</f>
        <v>101</v>
      </c>
      <c r="M135" s="443">
        <f>J135/L135*30</f>
        <v>9.4082219281836091E-2</v>
      </c>
    </row>
    <row r="136" spans="1:13">
      <c r="A136" s="100"/>
      <c r="B136" s="82"/>
      <c r="C136" s="114" t="s">
        <v>1731</v>
      </c>
      <c r="D136" s="115"/>
      <c r="E136" s="116"/>
      <c r="F136" s="90" t="s">
        <v>1730</v>
      </c>
      <c r="G136" s="17">
        <v>-257.16000000000003</v>
      </c>
      <c r="H136" s="90"/>
      <c r="I136" s="90"/>
      <c r="J136" s="90"/>
      <c r="K136" s="475"/>
      <c r="M136" s="443"/>
    </row>
    <row r="137" spans="1:13">
      <c r="A137" s="100">
        <v>45772</v>
      </c>
      <c r="B137" s="82" t="s">
        <v>236</v>
      </c>
      <c r="C137" s="114">
        <v>16</v>
      </c>
      <c r="D137" s="115">
        <v>983.06700000000001</v>
      </c>
      <c r="E137" s="116">
        <f t="shared" ref="E137" si="15">D137*C137</f>
        <v>15729.072</v>
      </c>
      <c r="F137" s="90">
        <v>995.40553</v>
      </c>
      <c r="G137" s="17">
        <f t="shared" ref="G137" si="16">F137*C137</f>
        <v>15926.48848</v>
      </c>
      <c r="H137" s="419"/>
      <c r="I137" s="90">
        <f t="shared" ref="I137" si="17">G137-E137</f>
        <v>197.41647999999986</v>
      </c>
      <c r="J137" s="11"/>
    </row>
    <row r="138" spans="1:13">
      <c r="A138" s="100"/>
      <c r="B138" s="82" t="s">
        <v>1730</v>
      </c>
      <c r="C138" s="114"/>
      <c r="D138" s="115"/>
      <c r="E138" s="116"/>
      <c r="F138" s="404"/>
      <c r="G138" s="17"/>
      <c r="H138" s="90"/>
      <c r="I138" s="90">
        <v>-197.03</v>
      </c>
      <c r="J138" s="443"/>
      <c r="K138" s="100"/>
      <c r="M138" s="443"/>
    </row>
    <row r="139" spans="1:13">
      <c r="A139" s="406"/>
      <c r="B139" s="82" t="s">
        <v>1819</v>
      </c>
      <c r="C139" s="114">
        <v>24</v>
      </c>
      <c r="D139" s="115">
        <v>983.06700000000001</v>
      </c>
      <c r="E139" s="116">
        <f t="shared" ref="E139" si="18">D139*C139</f>
        <v>23593.608</v>
      </c>
      <c r="F139" s="90">
        <v>1000.855116</v>
      </c>
      <c r="G139" s="17">
        <f t="shared" ref="G139" si="19">F139*C139</f>
        <v>24020.522784000001</v>
      </c>
      <c r="H139" s="419"/>
      <c r="I139" s="90">
        <f t="shared" ref="I139" si="20">G139-E139</f>
        <v>426.91478400000051</v>
      </c>
      <c r="J139" s="90"/>
      <c r="K139" s="475"/>
    </row>
    <row r="140" spans="1:13" ht="13.5" thickBot="1">
      <c r="A140" s="407"/>
      <c r="B140" s="82" t="s">
        <v>1730</v>
      </c>
      <c r="C140" s="407" t="s">
        <v>1820</v>
      </c>
      <c r="D140" s="405"/>
      <c r="E140" s="405"/>
      <c r="F140" s="405"/>
      <c r="G140" s="405"/>
      <c r="H140" s="405"/>
      <c r="I140" s="407">
        <v>-308.62</v>
      </c>
      <c r="J140" s="11"/>
    </row>
    <row r="141" spans="1:13">
      <c r="A141" s="428"/>
      <c r="B141" s="428"/>
      <c r="C141" s="428"/>
      <c r="D141" s="417"/>
      <c r="E141" s="417"/>
      <c r="F141" s="417"/>
      <c r="G141" s="417">
        <f>SUM(G135:G140)</f>
        <v>168269.851264</v>
      </c>
      <c r="H141" s="417"/>
      <c r="I141" s="481">
        <f>SUM(I135:I140)</f>
        <v>31048.681264000017</v>
      </c>
      <c r="J141" s="11"/>
    </row>
    <row r="142" spans="1:13">
      <c r="A142" s="11"/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>
      <c r="A143" s="98"/>
      <c r="B143" s="11"/>
      <c r="C143" s="11"/>
      <c r="D143" s="90"/>
      <c r="E143" s="90"/>
      <c r="F143" s="90"/>
      <c r="G143" s="90"/>
      <c r="H143" s="90"/>
      <c r="I143" s="11"/>
      <c r="J143" s="11"/>
    </row>
    <row r="144" spans="1:13" ht="18">
      <c r="A144" s="495" t="s">
        <v>1745</v>
      </c>
      <c r="B144" s="11"/>
      <c r="C144" s="11"/>
      <c r="D144" s="90"/>
      <c r="E144" s="90"/>
      <c r="F144" s="90"/>
      <c r="G144" s="90"/>
      <c r="H144" s="90"/>
      <c r="I144" s="11"/>
      <c r="J144" s="11"/>
    </row>
    <row r="145" spans="1:14" ht="15.75">
      <c r="A145" s="98"/>
      <c r="B145" s="476">
        <f>1-76.4616%</f>
        <v>0.23538399999999993</v>
      </c>
      <c r="C145" s="477">
        <v>0.76461599999999996</v>
      </c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5.75">
      <c r="A148" s="98"/>
      <c r="B148" s="476" t="s">
        <v>1749</v>
      </c>
      <c r="C148" s="477"/>
      <c r="D148" s="404"/>
      <c r="E148" s="90"/>
      <c r="F148" s="90"/>
      <c r="G148" s="90"/>
      <c r="H148" s="90"/>
      <c r="I148" s="11"/>
      <c r="J148" s="11"/>
    </row>
    <row r="149" spans="1:14" ht="15.75">
      <c r="A149" s="98"/>
      <c r="B149" s="476" t="s">
        <v>1748</v>
      </c>
      <c r="C149" s="477"/>
      <c r="D149" s="404"/>
      <c r="E149" s="90"/>
      <c r="F149" s="90"/>
      <c r="G149" s="90"/>
      <c r="H149" s="90"/>
      <c r="I149" s="11"/>
      <c r="J149" s="11"/>
    </row>
    <row r="150" spans="1:14" ht="16.5" thickBot="1">
      <c r="A150" s="98"/>
      <c r="B150" s="476"/>
      <c r="C150" s="11" t="s">
        <v>1751</v>
      </c>
      <c r="D150" s="11" t="s">
        <v>1750</v>
      </c>
      <c r="E150" s="90" t="s">
        <v>1742</v>
      </c>
      <c r="F150" s="492">
        <v>138749.76000000001</v>
      </c>
      <c r="G150" s="11" t="s">
        <v>1743</v>
      </c>
      <c r="H150" s="90" t="s">
        <v>3</v>
      </c>
      <c r="I150" s="11"/>
      <c r="J150" s="11"/>
    </row>
    <row r="151" spans="1:14" ht="13.5" thickBot="1">
      <c r="A151" s="100"/>
      <c r="B151" s="82" t="s">
        <v>1752</v>
      </c>
      <c r="C151" s="118">
        <v>160</v>
      </c>
      <c r="D151" s="90">
        <f>C151</f>
        <v>160</v>
      </c>
      <c r="E151" s="83">
        <v>872.26</v>
      </c>
      <c r="F151" s="493">
        <f>E151*C151</f>
        <v>139561.60000000001</v>
      </c>
      <c r="G151" s="482">
        <v>962.89330700000005</v>
      </c>
      <c r="H151" s="17">
        <f>G151*C151</f>
        <v>154062.92912000002</v>
      </c>
      <c r="I151" s="12">
        <f>H151</f>
        <v>154062.92912000002</v>
      </c>
      <c r="J151" s="11"/>
    </row>
    <row r="152" spans="1:14" ht="13.5" thickBot="1">
      <c r="A152" s="100"/>
      <c r="B152" s="82" t="s">
        <v>1753</v>
      </c>
      <c r="C152" s="118">
        <v>78</v>
      </c>
      <c r="D152" s="90">
        <f>D151+C152</f>
        <v>238</v>
      </c>
      <c r="E152" s="83">
        <v>872.26</v>
      </c>
      <c r="F152" s="493">
        <f>E152*C152</f>
        <v>68036.28</v>
      </c>
      <c r="G152" s="403">
        <f>G153</f>
        <v>962.89330700000005</v>
      </c>
      <c r="H152" s="17">
        <f>G152*C152</f>
        <v>75105.677946000011</v>
      </c>
      <c r="I152" s="12">
        <f>I151+H152</f>
        <v>229168.60706600003</v>
      </c>
      <c r="J152" s="11"/>
    </row>
    <row r="153" spans="1:14" ht="13.5" thickBot="1">
      <c r="A153" s="491">
        <v>45755</v>
      </c>
      <c r="B153" s="494" t="s">
        <v>1741</v>
      </c>
      <c r="C153" s="118">
        <v>-21</v>
      </c>
      <c r="D153" s="90">
        <f>D152+C153</f>
        <v>217</v>
      </c>
      <c r="E153" s="83">
        <v>872.26</v>
      </c>
      <c r="F153" s="449">
        <f>E153*C153</f>
        <v>-18317.46</v>
      </c>
      <c r="G153" s="403">
        <f>G151</f>
        <v>962.89330700000005</v>
      </c>
      <c r="H153" s="141">
        <f>G153*C153</f>
        <v>-20220.759447</v>
      </c>
      <c r="I153" s="12">
        <f>I152+H153</f>
        <v>208947.84761900004</v>
      </c>
      <c r="J153" s="11"/>
    </row>
    <row r="154" spans="1:14" ht="13.5" thickBot="1">
      <c r="A154" s="100"/>
      <c r="B154" s="82" t="s">
        <v>1744</v>
      </c>
      <c r="C154" s="388"/>
      <c r="D154" s="90"/>
      <c r="E154" s="83"/>
      <c r="F154" s="90"/>
      <c r="G154" s="90"/>
      <c r="H154" s="90">
        <v>-300.32</v>
      </c>
      <c r="I154" s="12">
        <f>I153+H154</f>
        <v>208647.52761900003</v>
      </c>
      <c r="J154" s="11"/>
    </row>
    <row r="155" spans="1:14" ht="13.5" thickBot="1">
      <c r="A155" s="544">
        <v>45777</v>
      </c>
      <c r="B155" s="545" t="s">
        <v>1806</v>
      </c>
      <c r="C155" s="546">
        <v>219</v>
      </c>
      <c r="D155" s="547"/>
      <c r="E155" s="547"/>
      <c r="F155" s="547"/>
      <c r="G155" s="482">
        <f>G153</f>
        <v>962.89330700000005</v>
      </c>
      <c r="H155" s="548">
        <f>G155*C155</f>
        <v>210873.63423300002</v>
      </c>
      <c r="I155" s="461"/>
      <c r="J155" s="11"/>
    </row>
    <row r="156" spans="1:14" s="11" customFormat="1" ht="13.5" thickBot="1">
      <c r="A156" s="491">
        <v>45786</v>
      </c>
      <c r="B156" s="494" t="s">
        <v>1741</v>
      </c>
      <c r="C156" s="118">
        <v>-20</v>
      </c>
      <c r="D156" s="90">
        <f>D155+C156</f>
        <v>-20</v>
      </c>
      <c r="E156" s="83">
        <v>872.26</v>
      </c>
      <c r="F156" s="449">
        <f>E156*C156</f>
        <v>-17445.2</v>
      </c>
      <c r="G156" s="90">
        <v>1000.86</v>
      </c>
      <c r="H156" s="543">
        <f>G156*C156</f>
        <v>-20017.2</v>
      </c>
      <c r="I156" s="12">
        <f>I154+H156</f>
        <v>188630.32761900002</v>
      </c>
      <c r="K156" s="78"/>
      <c r="L156" s="78"/>
      <c r="M156" s="78"/>
      <c r="N156" s="78"/>
    </row>
    <row r="157" spans="1:14" s="11" customFormat="1" ht="13.5" thickBot="1">
      <c r="A157" s="541"/>
      <c r="B157" s="82" t="s">
        <v>1744</v>
      </c>
      <c r="C157" s="118"/>
      <c r="D157" s="90"/>
      <c r="E157" s="90"/>
      <c r="F157" s="90"/>
      <c r="G157" s="90"/>
      <c r="H157" s="17">
        <v>-257.18</v>
      </c>
      <c r="I157" s="90"/>
      <c r="K157" s="78"/>
      <c r="L157" s="78"/>
      <c r="M157" s="78"/>
      <c r="N157" s="78"/>
    </row>
    <row r="158" spans="1:14" s="11" customFormat="1" ht="13.5" thickBot="1">
      <c r="A158" s="544">
        <v>45786</v>
      </c>
      <c r="B158" s="545" t="s">
        <v>1806</v>
      </c>
      <c r="C158" s="546">
        <v>199</v>
      </c>
      <c r="D158" s="547"/>
      <c r="E158" s="547"/>
      <c r="F158" s="547"/>
      <c r="G158" s="547">
        <v>1000.86</v>
      </c>
      <c r="H158" s="548">
        <f>G158*C158</f>
        <v>199171.14</v>
      </c>
      <c r="I158" s="461"/>
      <c r="K158" s="78"/>
      <c r="L158" s="78"/>
      <c r="M158" s="78"/>
      <c r="N158" s="78"/>
    </row>
    <row r="159" spans="1:14" s="11" customFormat="1">
      <c r="A159" s="541"/>
      <c r="B159" s="82"/>
      <c r="C159" s="118"/>
      <c r="D159" s="90"/>
      <c r="E159" s="90"/>
      <c r="F159" s="90"/>
      <c r="G159" s="90"/>
      <c r="H159" s="17"/>
      <c r="I159" s="90"/>
      <c r="K159" s="78"/>
      <c r="L159" s="78"/>
      <c r="M159" s="78"/>
      <c r="N159" s="78"/>
    </row>
    <row r="160" spans="1:14">
      <c r="A160" s="100"/>
      <c r="B160" s="90" t="s">
        <v>1684</v>
      </c>
      <c r="C160" s="438"/>
      <c r="D160" s="439"/>
      <c r="E160" s="405"/>
      <c r="F160" s="405"/>
      <c r="G160" s="409"/>
      <c r="H160" s="90"/>
      <c r="I160" s="90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0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0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</sheetData>
  <conditionalFormatting sqref="F121:F123">
    <cfRule type="cellIs" dxfId="60" priority="16" operator="lessThan">
      <formula>D121</formula>
    </cfRule>
  </conditionalFormatting>
  <conditionalFormatting sqref="F116:F118">
    <cfRule type="cellIs" dxfId="59" priority="17" operator="lessThan">
      <formula>D116</formula>
    </cfRule>
  </conditionalFormatting>
  <conditionalFormatting sqref="F108">
    <cfRule type="cellIs" dxfId="58" priority="18" operator="lessThan">
      <formula>D108</formula>
    </cfRule>
  </conditionalFormatting>
  <conditionalFormatting sqref="F107">
    <cfRule type="cellIs" dxfId="57" priority="19" operator="lessThan">
      <formula>D107</formula>
    </cfRule>
  </conditionalFormatting>
  <conditionalFormatting sqref="F136">
    <cfRule type="cellIs" dxfId="56" priority="15" operator="lessThan">
      <formula>D136</formula>
    </cfRule>
  </conditionalFormatting>
  <conditionalFormatting sqref="F138">
    <cfRule type="cellIs" dxfId="55" priority="13" operator="lessThan">
      <formula>D138</formula>
    </cfRule>
  </conditionalFormatting>
  <conditionalFormatting sqref="F106">
    <cfRule type="cellIs" dxfId="54" priority="11" operator="lessThan">
      <formula>D106</formula>
    </cfRule>
  </conditionalFormatting>
  <conditionalFormatting sqref="F135">
    <cfRule type="cellIs" dxfId="53" priority="10" operator="lessThan">
      <formula>D135</formula>
    </cfRule>
  </conditionalFormatting>
  <conditionalFormatting sqref="F115">
    <cfRule type="cellIs" dxfId="52" priority="9" operator="lessThan">
      <formula>D115</formula>
    </cfRule>
  </conditionalFormatting>
  <conditionalFormatting sqref="F137">
    <cfRule type="cellIs" dxfId="51" priority="6" operator="lessThan">
      <formula>D137</formula>
    </cfRule>
  </conditionalFormatting>
  <conditionalFormatting sqref="F109">
    <cfRule type="cellIs" dxfId="50" priority="4" operator="lessThan">
      <formula>D109</formula>
    </cfRule>
  </conditionalFormatting>
  <conditionalFormatting sqref="F111">
    <cfRule type="cellIs" dxfId="49" priority="5" operator="lessThan">
      <formula>D111</formula>
    </cfRule>
  </conditionalFormatting>
  <conditionalFormatting sqref="F139">
    <cfRule type="cellIs" dxfId="48" priority="3" operator="lessThan">
      <formula>D139</formula>
    </cfRule>
  </conditionalFormatting>
  <conditionalFormatting sqref="F110">
    <cfRule type="cellIs" dxfId="47" priority="2" operator="lessThan">
      <formula>D110</formula>
    </cfRule>
  </conditionalFormatting>
  <conditionalFormatting sqref="F112">
    <cfRule type="cellIs" dxfId="46" priority="1" operator="lessThan">
      <formula>D112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0" t="s">
        <v>73</v>
      </c>
      <c r="C14" s="540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0" t="s">
        <v>74</v>
      </c>
      <c r="C15" s="540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6" t="s">
        <v>1754</v>
      </c>
      <c r="C82" s="497"/>
      <c r="D82" s="498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3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1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5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2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3">
        <f>E158*C158</f>
        <v>139561.60000000001</v>
      </c>
      <c r="G158" s="482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3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1">
        <v>45755</v>
      </c>
      <c r="B160" s="494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9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1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9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0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0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2" t="s">
        <v>1810</v>
      </c>
      <c r="C52" s="130"/>
      <c r="D52" s="131"/>
      <c r="E52" s="131"/>
      <c r="F52" s="505"/>
    </row>
    <row r="53" spans="1:6" s="11" customFormat="1">
      <c r="A53" s="10"/>
      <c r="B53" s="523" t="s">
        <v>1811</v>
      </c>
      <c r="C53" s="524"/>
      <c r="D53" s="525"/>
      <c r="E53" s="525"/>
      <c r="F53" s="135"/>
    </row>
    <row r="54" spans="1:6">
      <c r="B54" s="523" t="s">
        <v>1756</v>
      </c>
      <c r="C54" s="524"/>
      <c r="D54" s="525"/>
      <c r="E54" s="525"/>
      <c r="F54" s="135"/>
    </row>
    <row r="55" spans="1:6" s="11" customFormat="1">
      <c r="A55" s="10"/>
      <c r="B55" s="523" t="s">
        <v>1757</v>
      </c>
      <c r="C55" s="524"/>
      <c r="D55" s="525"/>
      <c r="E55" s="525"/>
      <c r="F55" s="135"/>
    </row>
    <row r="56" spans="1:6" s="11" customFormat="1">
      <c r="A56" s="10"/>
      <c r="B56" s="523" t="s">
        <v>1755</v>
      </c>
      <c r="C56" s="524"/>
      <c r="D56" s="525"/>
      <c r="E56" s="525"/>
      <c r="F56" s="135"/>
    </row>
    <row r="57" spans="1:6" s="11" customFormat="1" ht="13.5" thickBot="1">
      <c r="A57" s="10"/>
      <c r="B57" s="530"/>
      <c r="C57" s="524">
        <v>2637</v>
      </c>
      <c r="D57" s="523" t="s">
        <v>1758</v>
      </c>
      <c r="E57" s="525"/>
      <c r="F57" s="135"/>
    </row>
    <row r="58" spans="1:6" s="11" customFormat="1" ht="13.5" thickBot="1">
      <c r="A58" s="535"/>
      <c r="B58" s="536" t="s">
        <v>1759</v>
      </c>
      <c r="C58" s="537">
        <f>F59/C57</f>
        <v>166.09783845278727</v>
      </c>
      <c r="D58" s="536" t="s">
        <v>233</v>
      </c>
      <c r="E58" s="538"/>
      <c r="F58" s="539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1"/>
      <c r="B64" s="532" t="s">
        <v>1769</v>
      </c>
      <c r="C64" s="533">
        <f>36500/2626</f>
        <v>13.8994668697639</v>
      </c>
      <c r="D64" s="534" t="s">
        <v>233</v>
      </c>
      <c r="E64" s="534"/>
      <c r="F64" s="534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5">
        <v>45565</v>
      </c>
      <c r="B66" s="486" t="s">
        <v>208</v>
      </c>
      <c r="C66" s="486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1"/>
      <c r="B67" s="532" t="s">
        <v>1770</v>
      </c>
      <c r="C67" s="533">
        <f>36000/2801</f>
        <v>12.85255265976437</v>
      </c>
      <c r="D67" s="534" t="s">
        <v>233</v>
      </c>
      <c r="E67" s="534"/>
      <c r="F67" s="534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5">
        <v>45595</v>
      </c>
      <c r="B69" s="486" t="s">
        <v>211</v>
      </c>
      <c r="C69" s="486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1"/>
      <c r="B70" s="532" t="s">
        <v>1771</v>
      </c>
      <c r="C70" s="533">
        <f>36000/2905</f>
        <v>12.392426850258175</v>
      </c>
      <c r="D70" s="534" t="s">
        <v>233</v>
      </c>
      <c r="E70" s="534"/>
      <c r="F70" s="534"/>
    </row>
    <row r="71" spans="1:6">
      <c r="A71" s="488">
        <v>45611</v>
      </c>
      <c r="B71" s="8" t="s">
        <v>212</v>
      </c>
      <c r="C71" s="67" t="s">
        <v>213</v>
      </c>
      <c r="D71" s="489"/>
      <c r="E71" s="489">
        <v>35800</v>
      </c>
      <c r="F71" s="489">
        <f>F69+D71-E71</f>
        <v>293700</v>
      </c>
    </row>
    <row r="72" spans="1:6">
      <c r="A72" s="488"/>
      <c r="B72" s="8" t="s">
        <v>214</v>
      </c>
      <c r="C72" s="67"/>
      <c r="D72" s="489">
        <v>630</v>
      </c>
      <c r="E72" s="489"/>
      <c r="F72" s="489">
        <f t="shared" si="1"/>
        <v>294330</v>
      </c>
    </row>
    <row r="73" spans="1:6" s="11" customFormat="1">
      <c r="A73" s="487"/>
      <c r="B73" s="92" t="s">
        <v>1590</v>
      </c>
      <c r="C73" s="486"/>
      <c r="D73" s="17">
        <v>1000</v>
      </c>
      <c r="E73" s="17"/>
      <c r="F73" s="17">
        <f t="shared" si="1"/>
        <v>295330</v>
      </c>
    </row>
    <row r="74" spans="1:6" s="11" customFormat="1">
      <c r="A74" s="531"/>
      <c r="B74" s="532" t="s">
        <v>1772</v>
      </c>
      <c r="C74" s="533">
        <f>35800/2898</f>
        <v>12.353347135955831</v>
      </c>
      <c r="D74" s="534" t="s">
        <v>233</v>
      </c>
      <c r="E74" s="534"/>
      <c r="F74" s="534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1"/>
      <c r="B76" s="532" t="s">
        <v>1773</v>
      </c>
      <c r="C76" s="533">
        <f>38000/2970</f>
        <v>12.794612794612794</v>
      </c>
      <c r="D76" s="534" t="s">
        <v>233</v>
      </c>
      <c r="E76" s="534"/>
      <c r="F76" s="534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6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7"/>
    </row>
    <row r="120" spans="1:6">
      <c r="B120" s="134" t="s">
        <v>1767</v>
      </c>
      <c r="C120" s="527"/>
    </row>
    <row r="121" spans="1:6" ht="13.5" thickBot="1">
      <c r="B121" s="528" t="s">
        <v>1768</v>
      </c>
      <c r="C121" s="529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1080.7929879999999</v>
      </c>
      <c r="M17" s="55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0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0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0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0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2025-05-27T05:13:49Z</dcterms:modified>
  <dc:language>tr-TR</dc:language>
</cp:coreProperties>
</file>