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0441F92C-47AF-4473-A5DA-50F2EF5FD250}" xr6:coauthVersionLast="47" xr6:coauthVersionMax="47" xr10:uidLastSave="{00000000-0000-0000-0000-000000000000}"/>
  <bookViews>
    <workbookView xWindow="-120" yWindow="-120" windowWidth="29040" windowHeight="15720" tabRatio="839" activeTab="7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5" i="1" l="1"/>
  <c r="F34" i="1"/>
  <c r="F28" i="1"/>
  <c r="F29" i="1" s="1"/>
  <c r="F30" i="1" s="1"/>
  <c r="F31" i="1" s="1"/>
  <c r="F32" i="1" s="1"/>
  <c r="F35" i="1"/>
  <c r="D27" i="1"/>
  <c r="F27" i="1" s="1"/>
  <c r="B27" i="1"/>
  <c r="C29" i="1"/>
  <c r="D66" i="1"/>
  <c r="D47" i="1"/>
  <c r="J13" i="8"/>
  <c r="H12" i="9"/>
  <c r="H13" i="9" s="1"/>
  <c r="H14" i="9" s="1"/>
  <c r="H15" i="9" s="1"/>
  <c r="H16" i="9" s="1"/>
  <c r="H17" i="9" s="1"/>
  <c r="H18" i="9" s="1"/>
  <c r="H19" i="9" s="1"/>
  <c r="H20" i="9" s="1"/>
  <c r="H21" i="9" s="1"/>
  <c r="E115" i="8"/>
  <c r="D92" i="11"/>
  <c r="E35" i="8"/>
  <c r="E76" i="9"/>
  <c r="H165" i="9"/>
  <c r="H163" i="9"/>
  <c r="H161" i="9"/>
  <c r="H159" i="9"/>
  <c r="H157" i="9"/>
  <c r="H155" i="9"/>
  <c r="H153" i="9"/>
  <c r="H151" i="9"/>
  <c r="H149" i="9"/>
  <c r="E127" i="9"/>
  <c r="H147" i="9"/>
  <c r="H145" i="9"/>
  <c r="G143" i="9"/>
  <c r="G142" i="9" s="1"/>
  <c r="H142" i="9" s="1"/>
  <c r="H141" i="9"/>
  <c r="I141" i="9" s="1"/>
  <c r="D141" i="9"/>
  <c r="D142" i="9" s="1"/>
  <c r="D143" i="9" s="1"/>
  <c r="F143" i="9" s="1"/>
  <c r="B135" i="9"/>
  <c r="G129" i="9"/>
  <c r="E129" i="9"/>
  <c r="G127" i="9"/>
  <c r="C122" i="9"/>
  <c r="E113" i="9"/>
  <c r="F112" i="9"/>
  <c r="G112" i="9" s="1"/>
  <c r="E112" i="9"/>
  <c r="G111" i="9"/>
  <c r="E111" i="9"/>
  <c r="G108" i="9"/>
  <c r="E108" i="9"/>
  <c r="G107" i="9"/>
  <c r="E107" i="9"/>
  <c r="G106" i="9"/>
  <c r="E106" i="9"/>
  <c r="G105" i="9"/>
  <c r="E105" i="9"/>
  <c r="E102" i="9"/>
  <c r="E101" i="9"/>
  <c r="F100" i="9"/>
  <c r="F101" i="9" s="1"/>
  <c r="G101" i="9" s="1"/>
  <c r="I101" i="9" s="1"/>
  <c r="E100" i="9"/>
  <c r="G99" i="9"/>
  <c r="E99" i="9"/>
  <c r="G95" i="9"/>
  <c r="G94" i="9"/>
  <c r="C22" i="1"/>
  <c r="H20" i="10"/>
  <c r="H21" i="10" s="1"/>
  <c r="H22" i="10" s="1"/>
  <c r="H23" i="10" s="1"/>
  <c r="H24" i="10" s="1"/>
  <c r="H25" i="10" s="1"/>
  <c r="E38" i="9"/>
  <c r="E9" i="9" s="1"/>
  <c r="G9" i="9" s="1"/>
  <c r="H156" i="10"/>
  <c r="H154" i="10"/>
  <c r="F154" i="10"/>
  <c r="D154" i="10"/>
  <c r="I142" i="9" l="1"/>
  <c r="E109" i="9"/>
  <c r="D144" i="9"/>
  <c r="G144" i="9"/>
  <c r="H109" i="9"/>
  <c r="E114" i="9"/>
  <c r="F141" i="9"/>
  <c r="F142" i="9"/>
  <c r="F113" i="9"/>
  <c r="G113" i="9" s="1"/>
  <c r="H114" i="9" s="1"/>
  <c r="E103" i="9"/>
  <c r="H127" i="9"/>
  <c r="G131" i="9"/>
  <c r="I99" i="9"/>
  <c r="I106" i="9"/>
  <c r="I107" i="9"/>
  <c r="I108" i="9"/>
  <c r="H129" i="9"/>
  <c r="I111" i="9"/>
  <c r="I112" i="9"/>
  <c r="I105" i="9"/>
  <c r="G100" i="9"/>
  <c r="H143" i="9"/>
  <c r="H168" i="9" s="1"/>
  <c r="H108" i="9"/>
  <c r="G108" i="10"/>
  <c r="E108" i="10"/>
  <c r="G137" i="10"/>
  <c r="E137" i="10"/>
  <c r="E109" i="10"/>
  <c r="I36" i="10"/>
  <c r="I38" i="10" s="1"/>
  <c r="E8" i="10"/>
  <c r="G135" i="10"/>
  <c r="E135" i="10"/>
  <c r="E110" i="10"/>
  <c r="I22" i="1"/>
  <c r="I25" i="1" s="1"/>
  <c r="I26" i="1" s="1"/>
  <c r="C20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I143" i="9" l="1"/>
  <c r="I144" i="9" s="1"/>
  <c r="I145" i="9" s="1"/>
  <c r="D145" i="9"/>
  <c r="F144" i="9"/>
  <c r="I146" i="9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H113" i="9"/>
  <c r="I113" i="9"/>
  <c r="H131" i="9"/>
  <c r="I100" i="9"/>
  <c r="I103" i="9" s="1"/>
  <c r="H101" i="9"/>
  <c r="G89" i="9"/>
  <c r="H103" i="9"/>
  <c r="H119" i="9" s="1"/>
  <c r="G121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D146" i="9" l="1"/>
  <c r="F146" i="9" s="1"/>
  <c r="F145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I130" i="11" l="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D147" i="9" l="1"/>
  <c r="F147" i="9" s="1"/>
  <c r="I160" i="11"/>
  <c r="I161" i="11" s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8" i="8"/>
  <c r="G8" i="8" s="1"/>
  <c r="E7" i="8"/>
  <c r="H4" i="8"/>
  <c r="H5" i="8" s="1"/>
  <c r="H6" i="8" s="1"/>
  <c r="F2" i="8"/>
  <c r="E9" i="2" s="1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D148" i="9" l="1"/>
  <c r="H5" i="9"/>
  <c r="H6" i="9" s="1"/>
  <c r="E2" i="10"/>
  <c r="C7" i="2" s="1"/>
  <c r="G138" i="11"/>
  <c r="H136" i="11"/>
  <c r="J171" i="12"/>
  <c r="J170" i="12"/>
  <c r="M170" i="12" s="1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F148" i="9" l="1"/>
  <c r="D149" i="9"/>
  <c r="H7" i="9"/>
  <c r="H8" i="9" s="1"/>
  <c r="G2" i="10"/>
  <c r="F7" i="2" s="1"/>
  <c r="H7" i="10"/>
  <c r="F19" i="1"/>
  <c r="F21" i="1" s="1"/>
  <c r="F23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F24" i="1" l="1"/>
  <c r="F26" i="1" s="1"/>
  <c r="H9" i="9"/>
  <c r="D150" i="9"/>
  <c r="F149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0" i="9" l="1"/>
  <c r="H11" i="9" s="1"/>
  <c r="H22" i="9" s="1"/>
  <c r="H23" i="9" s="1"/>
  <c r="H24" i="9" s="1"/>
  <c r="H25" i="9" s="1"/>
  <c r="H26" i="9" s="1"/>
  <c r="F150" i="9"/>
  <c r="D151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H27" i="9" l="1"/>
  <c r="H28" i="9" s="1"/>
  <c r="H29" i="9" s="1"/>
  <c r="H30" i="9" s="1"/>
  <c r="H31" i="9" s="1"/>
  <c r="H32" i="9" s="1"/>
  <c r="H33" i="9" s="1"/>
  <c r="H34" i="9" s="1"/>
  <c r="D152" i="9"/>
  <c r="F151" i="9"/>
  <c r="F117" i="15"/>
  <c r="F118" i="15" s="1"/>
  <c r="G8" i="17"/>
  <c r="G9" i="17" s="1"/>
  <c r="G10" i="17" s="1"/>
  <c r="G11" i="17" s="1"/>
  <c r="G12" i="17" s="1"/>
  <c r="G13" i="17" s="1"/>
  <c r="G14" i="17" s="1"/>
  <c r="F15" i="17"/>
  <c r="F152" i="9" l="1"/>
  <c r="D153" i="9"/>
  <c r="F16" i="17"/>
  <c r="G15" i="17"/>
  <c r="G16" i="17" s="1"/>
  <c r="D154" i="9" l="1"/>
  <c r="F153" i="9"/>
  <c r="F154" i="9" l="1"/>
  <c r="D155" i="9"/>
  <c r="D156" i="9" l="1"/>
  <c r="F155" i="9"/>
  <c r="F156" i="9" l="1"/>
  <c r="D157" i="9"/>
  <c r="D158" i="9" l="1"/>
  <c r="F157" i="9"/>
  <c r="F158" i="9" l="1"/>
  <c r="D159" i="9"/>
  <c r="F159" i="9" l="1"/>
  <c r="D160" i="9"/>
  <c r="F160" i="9" l="1"/>
  <c r="D161" i="9"/>
  <c r="D162" i="9" l="1"/>
  <c r="F161" i="9"/>
  <c r="F162" i="9" l="1"/>
  <c r="D163" i="9"/>
  <c r="D164" i="9" l="1"/>
  <c r="F163" i="9"/>
  <c r="F164" i="9" l="1"/>
  <c r="D165" i="9"/>
  <c r="D166" i="9" l="1"/>
  <c r="F166" i="9" s="1"/>
  <c r="F165" i="9"/>
</calcChain>
</file>

<file path=xl/sharedStrings.xml><?xml version="1.0" encoding="utf-8"?>
<sst xmlns="http://schemas.openxmlformats.org/spreadsheetml/2006/main" count="5025" uniqueCount="1910">
  <si>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</si>
  <si>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</si>
  <si>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</si>
  <si>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</si>
  <si>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</si>
  <si>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</si>
  <si>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</si>
  <si>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</si>
  <si>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</si>
  <si>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</si>
  <si>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</si>
  <si>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</si>
  <si>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</si>
  <si>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</si>
  <si>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</si>
  <si>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</si>
  <si>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</si>
  <si>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</si>
  <si>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</si>
  <si>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</si>
  <si>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</si>
  <si>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</si>
  <si>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</si>
  <si>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</si>
  <si>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</si>
  <si>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</si>
  <si>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</si>
  <si>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</si>
  <si>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</si>
  <si>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</si>
  <si>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</si>
  <si>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</si>
  <si>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</si>
  <si>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</si>
  <si>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</si>
  <si>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</si>
  <si>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</si>
  <si>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</si>
  <si>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</si>
  <si>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</si>
  <si>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</si>
  <si>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</si>
  <si>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</si>
  <si>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</si>
  <si>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</si>
  <si>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</si>
  <si>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</si>
  <si>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</si>
  <si>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</si>
  <si>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</si>
  <si>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</si>
  <si>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</si>
  <si>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</si>
  <si>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</si>
  <si>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</si>
  <si>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</si>
  <si>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</si>
  <si>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</si>
  <si>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</si>
  <si>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</si>
  <si>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</si>
  <si>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</si>
  <si>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</si>
  <si>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</si>
  <si>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</si>
  <si>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</si>
  <si>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</si>
  <si>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</si>
  <si>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</si>
  <si>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</si>
  <si>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</si>
  <si>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</si>
  <si>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</si>
  <si>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</si>
  <si>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</si>
  <si>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</si>
  <si>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</si>
  <si>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</si>
  <si>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</si>
  <si>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</si>
  <si>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</si>
  <si>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</si>
  <si>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</si>
  <si>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</si>
  <si>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</si>
  <si>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</si>
  <si>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</si>
  <si>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</si>
  <si>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</si>
  <si>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</si>
  <si>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</si>
  <si>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</si>
  <si>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</si>
  <si>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</si>
  <si>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</si>
  <si>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</si>
  <si>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</si>
  <si>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</si>
  <si>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</si>
  <si>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</si>
  <si>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</si>
  <si>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</si>
  <si>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</si>
  <si>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</si>
  <si>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</si>
  <si>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</si>
  <si>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</si>
  <si>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</si>
  <si>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</si>
  <si>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</si>
  <si>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</si>
  <si>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</si>
  <si>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</si>
  <si>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</si>
  <si>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</si>
  <si>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</si>
  <si>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</si>
  <si>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</si>
  <si>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</si>
  <si>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</si>
  <si>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</si>
  <si>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</si>
  <si>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</si>
  <si>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</si>
  <si>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</si>
  <si>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</si>
  <si>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</si>
  <si>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</si>
  <si>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</si>
  <si>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</si>
  <si>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</si>
  <si>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</si>
  <si>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</si>
  <si>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</si>
  <si>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</si>
  <si>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</si>
  <si>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</si>
  <si>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</si>
  <si>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</si>
  <si>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</si>
  <si>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</si>
  <si>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</si>
  <si>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</si>
  <si>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</si>
  <si>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</si>
  <si>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</si>
  <si>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</si>
  <si>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</si>
  <si>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</si>
  <si>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</si>
  <si>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</si>
  <si>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</si>
  <si>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</si>
  <si>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</si>
  <si>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</si>
  <si>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</si>
  <si>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</si>
  <si>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</si>
  <si>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</si>
  <si>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</si>
  <si>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</si>
  <si>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</si>
  <si>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</si>
  <si>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</si>
  <si>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</si>
  <si>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</si>
  <si>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</si>
  <si>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</si>
  <si>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</si>
  <si>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</si>
  <si>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</si>
  <si>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</si>
  <si>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</si>
  <si>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</si>
  <si>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</si>
  <si>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</si>
  <si>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</si>
  <si>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</si>
  <si>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</si>
  <si>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</si>
  <si>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</si>
  <si>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</si>
  <si>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</si>
  <si>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</si>
  <si>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</si>
  <si>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</si>
  <si>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</si>
  <si>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</si>
  <si>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</si>
  <si>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</si>
  <si>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</si>
  <si>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</si>
  <si>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</si>
  <si>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</si>
  <si>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</si>
  <si>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</si>
  <si>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</si>
  <si>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</si>
  <si>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</si>
  <si>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</si>
  <si>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</si>
  <si>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</si>
  <si>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</si>
  <si>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</si>
  <si>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</si>
  <si>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</si>
  <si>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</si>
  <si>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</si>
  <si>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</si>
  <si>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</si>
  <si>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</si>
  <si>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</si>
  <si>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</si>
  <si>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</si>
  <si>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</si>
  <si>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</si>
  <si>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</si>
  <si>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</si>
  <si>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</si>
  <si>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</si>
  <si>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</si>
  <si>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</si>
  <si>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</si>
  <si>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</si>
  <si>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</si>
  <si>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</si>
  <si>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</si>
  <si>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</si>
  <si>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</si>
  <si>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</si>
  <si>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</si>
  <si>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</si>
  <si>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</si>
  <si>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</si>
  <si>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</si>
  <si>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</si>
  <si>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</si>
  <si>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</si>
  <si>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</si>
  <si>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</si>
  <si>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</si>
  <si>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</si>
  <si>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</si>
  <si>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</si>
  <si>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</si>
  <si>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</si>
  <si>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</si>
  <si>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</si>
  <si>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</si>
  <si>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</si>
  <si>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</si>
  <si>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</si>
  <si>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</si>
  <si>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</si>
  <si>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</si>
  <si>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</si>
  <si>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</si>
  <si>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</si>
  <si>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</si>
  <si>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</si>
  <si>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</si>
  <si>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</si>
  <si>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</si>
  <si>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</si>
  <si>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</si>
  <si>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</si>
  <si>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</si>
  <si>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</si>
  <si>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</si>
  <si>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</si>
  <si>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</si>
  <si>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</si>
  <si>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</si>
  <si>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</si>
  <si>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</si>
  <si>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</si>
  <si>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</si>
  <si>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</si>
  <si>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</si>
  <si>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</si>
  <si>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</si>
  <si>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</si>
  <si>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</si>
  <si>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</si>
  <si>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</si>
  <si>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</si>
  <si>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</si>
  <si>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</si>
  <si>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</si>
  <si>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</si>
  <si>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</si>
  <si>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</si>
  <si>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</si>
  <si>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</si>
  <si>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</si>
  <si>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</si>
  <si>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</si>
  <si>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</si>
  <si>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</si>
  <si>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</si>
  <si>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</si>
  <si>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</si>
  <si>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</si>
  <si>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</si>
  <si>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</si>
  <si>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</si>
  <si>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</si>
  <si>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</si>
  <si>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</si>
  <si>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</si>
  <si>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</si>
  <si>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</si>
  <si>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</si>
  <si>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</si>
  <si>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</si>
  <si>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</si>
  <si>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</si>
  <si>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</si>
  <si>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</si>
  <si>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</si>
  <si>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</si>
  <si>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</si>
  <si>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</si>
  <si>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</si>
  <si>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</si>
  <si>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</si>
  <si>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</si>
  <si>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</si>
  <si>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</si>
  <si>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</si>
  <si>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</si>
  <si>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</si>
  <si>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</si>
  <si>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</si>
  <si>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</si>
  <si>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</si>
  <si>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</si>
  <si>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</si>
  <si>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</si>
  <si>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</si>
  <si>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</si>
  <si>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</si>
  <si>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</si>
  <si>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</si>
  <si>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</si>
  <si>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</si>
  <si>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</si>
  <si>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</si>
  <si>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</si>
  <si>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</si>
  <si>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</si>
  <si>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</si>
  <si>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</si>
  <si>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</si>
  <si>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</si>
  <si>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</si>
  <si>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</si>
  <si>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</si>
  <si>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</si>
  <si>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</si>
  <si>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</si>
  <si>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</si>
  <si>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</si>
  <si>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</si>
  <si>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</si>
  <si>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</si>
  <si>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</si>
  <si>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</si>
  <si>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</si>
  <si>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</si>
  <si>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</si>
  <si>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</si>
  <si>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</si>
  <si>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</si>
  <si>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</si>
  <si>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</si>
  <si>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</si>
  <si>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</si>
  <si>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</si>
  <si>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</si>
  <si>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</si>
  <si>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</si>
  <si>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</si>
  <si>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</si>
  <si>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</si>
  <si>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</si>
  <si>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</si>
  <si>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</si>
  <si>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</si>
  <si>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</si>
  <si>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</si>
  <si>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</si>
  <si>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</si>
  <si>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</si>
  <si>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</si>
  <si>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</si>
  <si>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</si>
  <si>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</si>
  <si>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</si>
  <si>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</si>
  <si>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</si>
  <si>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</si>
  <si>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</si>
  <si>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</si>
  <si>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</si>
  <si>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</si>
  <si>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</si>
  <si>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</si>
  <si>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</si>
  <si>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</si>
  <si>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</si>
  <si>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</si>
  <si>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</si>
  <si>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</si>
  <si>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</si>
  <si>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</si>
  <si>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</si>
  <si>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</si>
  <si>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</si>
  <si>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</si>
  <si>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</si>
  <si>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</si>
  <si>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</si>
  <si>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</si>
  <si>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</si>
  <si>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</si>
  <si>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</si>
  <si>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</si>
  <si>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</si>
  <si>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</si>
  <si>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</si>
  <si>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</si>
  <si>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</si>
  <si>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</si>
  <si>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</si>
  <si>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</si>
  <si>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</si>
  <si>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</si>
  <si>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</si>
  <si>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</si>
  <si>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</si>
  <si>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</si>
  <si>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</si>
  <si>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</si>
  <si>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</si>
  <si>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</si>
  <si>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</si>
  <si>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</si>
  <si>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</si>
  <si>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</si>
  <si>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</si>
  <si>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</si>
  <si>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</si>
  <si>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</si>
  <si>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</si>
  <si>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</si>
  <si>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</si>
  <si>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</si>
  <si>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</si>
  <si>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</si>
  <si>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</si>
  <si>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</si>
  <si>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</si>
  <si>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</si>
  <si>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</si>
  <si>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</si>
  <si>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</si>
  <si>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</si>
  <si>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</si>
  <si>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</si>
  <si>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</si>
  <si>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</si>
  <si>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</si>
  <si>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</si>
  <si>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</si>
  <si>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</si>
  <si>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</si>
  <si>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</si>
  <si>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</si>
  <si>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</si>
  <si>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</si>
  <si>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</si>
  <si>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</si>
  <si>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</si>
  <si>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</si>
  <si>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</si>
  <si>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</si>
  <si>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</si>
  <si>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</si>
  <si>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</si>
  <si>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</si>
  <si>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</si>
  <si>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</si>
  <si>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</si>
  <si>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</si>
  <si>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</si>
  <si>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</si>
  <si>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</si>
  <si>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</si>
  <si>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</si>
  <si>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</si>
  <si>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</si>
  <si>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</si>
  <si>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</si>
  <si>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</si>
  <si>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</si>
  <si>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</si>
  <si>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</si>
  <si>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</si>
  <si>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</si>
  <si>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</si>
  <si>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</si>
  <si>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</si>
  <si>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</si>
  <si>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</si>
  <si>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</si>
  <si>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</si>
  <si>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</si>
  <si>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</si>
  <si>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</si>
  <si>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</si>
  <si>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</si>
  <si>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</si>
  <si>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</si>
  <si>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</si>
  <si>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</si>
  <si>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</si>
  <si>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</si>
  <si>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</si>
  <si>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</si>
  <si>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</si>
  <si>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</si>
  <si>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</si>
  <si>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</si>
  <si>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</si>
  <si>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</si>
  <si>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</si>
  <si>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</si>
  <si>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</si>
  <si>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</si>
  <si>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</si>
  <si>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</si>
  <si>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</si>
  <si>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</si>
  <si>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</si>
  <si>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</si>
  <si>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</si>
  <si>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</si>
  <si>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</si>
  <si>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</si>
  <si>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</si>
  <si>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</si>
  <si>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</si>
  <si>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</si>
  <si>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</si>
  <si>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</si>
  <si>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</si>
  <si>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</si>
  <si>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</si>
  <si>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</si>
  <si>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</si>
  <si>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</si>
  <si>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</si>
  <si>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</si>
  <si>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</si>
  <si>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</si>
  <si>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</si>
  <si>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</si>
  <si>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</si>
  <si>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</si>
  <si>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</si>
  <si>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</si>
  <si>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</si>
  <si>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</si>
  <si>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</si>
  <si>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</si>
  <si>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</si>
  <si>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</si>
  <si>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</si>
  <si>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</si>
  <si>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</si>
  <si>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</si>
  <si>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</si>
  <si>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</si>
  <si>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</si>
  <si>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</si>
  <si>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</si>
  <si>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</si>
  <si>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</si>
  <si>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</si>
  <si>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</si>
  <si>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</si>
  <si>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</si>
  <si>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</si>
  <si>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</si>
  <si>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</si>
  <si>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</si>
  <si>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</si>
  <si>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</si>
  <si>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</si>
  <si>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</si>
  <si>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</si>
  <si>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</si>
  <si>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</si>
  <si>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</si>
  <si>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</si>
  <si>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</si>
  <si>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</si>
  <si>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</si>
  <si>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</si>
  <si>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</si>
  <si>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</si>
  <si>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</si>
  <si>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</si>
  <si>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</si>
  <si>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</si>
  <si>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</si>
  <si>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</si>
  <si>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</si>
  <si>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</si>
  <si>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</si>
  <si>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</si>
  <si>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</si>
  <si>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</si>
  <si>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</si>
  <si>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</si>
  <si>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</si>
  <si>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</si>
  <si>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</si>
  <si>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</si>
  <si>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</si>
  <si>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</si>
  <si>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</si>
  <si>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</si>
  <si>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</si>
  <si>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</si>
  <si>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</si>
  <si>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</si>
  <si>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</si>
  <si>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</si>
  <si>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</si>
  <si>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</si>
  <si>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</si>
  <si>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</si>
  <si>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</si>
  <si>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</si>
  <si>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</si>
  <si>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</si>
  <si>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</si>
  <si>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</si>
  <si>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</si>
  <si>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</si>
  <si>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</si>
  <si>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</si>
  <si>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</si>
  <si>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</si>
  <si>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</si>
  <si>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</si>
  <si>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</si>
  <si>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</si>
  <si>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</si>
  <si>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</si>
  <si>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</si>
  <si>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</si>
  <si>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</si>
  <si>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</si>
  <si>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</si>
  <si>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</si>
  <si>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</si>
  <si>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</si>
  <si>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</si>
  <si>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</si>
  <si>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</si>
  <si>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</si>
  <si>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</si>
  <si>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</si>
  <si>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</si>
  <si>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</si>
  <si>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</si>
  <si>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</si>
  <si>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</si>
  <si>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</si>
  <si>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</si>
  <si>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</si>
  <si>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</si>
  <si>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</si>
  <si>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</si>
  <si>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</si>
  <si>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</si>
  <si>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</si>
  <si>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</si>
  <si>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</si>
  <si>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</si>
  <si>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</si>
  <si>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</si>
  <si>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</si>
  <si>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</si>
  <si>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</si>
  <si>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</si>
  <si>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</si>
  <si>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</si>
  <si>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</si>
  <si>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</si>
  <si>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</si>
  <si>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</si>
  <si>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</si>
  <si>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</si>
  <si>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</si>
  <si>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</si>
  <si>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</si>
  <si>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</si>
  <si>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</si>
  <si>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</si>
  <si>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</si>
  <si>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</si>
  <si>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</si>
  <si>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</si>
  <si>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</si>
  <si>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</si>
  <si>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</si>
  <si>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</si>
  <si>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</si>
  <si>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</si>
  <si>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</si>
  <si>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</si>
  <si>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</si>
  <si>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</si>
  <si>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</si>
  <si>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</si>
  <si>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</si>
  <si>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</si>
  <si>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</si>
  <si>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</si>
  <si>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</si>
  <si>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</si>
  <si>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</si>
  <si>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</si>
  <si>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</si>
  <si>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</si>
  <si>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</si>
  <si>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</si>
  <si>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</si>
  <si>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</si>
  <si>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</si>
  <si>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</si>
  <si>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</si>
  <si>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</si>
  <si>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</si>
  <si>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</si>
  <si>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</si>
  <si>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</si>
  <si>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</si>
  <si>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</si>
  <si>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</si>
  <si>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</si>
  <si>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</si>
  <si>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</si>
  <si>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</si>
  <si>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</si>
  <si>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</si>
  <si>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</si>
  <si>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</si>
  <si>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</si>
  <si>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</si>
  <si>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</si>
  <si>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</si>
  <si>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</si>
  <si>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</si>
  <si>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</si>
  <si>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</si>
  <si>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</si>
  <si>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</si>
  <si>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</si>
  <si>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</si>
  <si>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</si>
  <si>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</si>
  <si>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</si>
  <si>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</si>
  <si>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</si>
  <si>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</si>
  <si>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</si>
  <si>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</si>
  <si>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</si>
  <si>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</si>
  <si>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</si>
  <si>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</si>
  <si>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</si>
  <si>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</si>
  <si>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</si>
  <si>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</si>
  <si>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</si>
  <si>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</si>
  <si>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</si>
  <si>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</si>
  <si>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</si>
  <si>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</si>
  <si>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</si>
  <si>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</si>
  <si>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</si>
  <si>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</si>
  <si>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</si>
  <si>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</si>
  <si>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</si>
  <si>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</si>
  <si>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</si>
  <si>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</si>
  <si>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</si>
  <si>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</si>
  <si>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</si>
  <si>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</si>
  <si>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</si>
  <si>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</si>
  <si>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</si>
  <si>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</si>
  <si>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</si>
  <si>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</si>
  <si>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</si>
  <si>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</si>
  <si>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</si>
  <si>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</si>
  <si>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</si>
  <si>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</si>
  <si>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</si>
  <si>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</si>
  <si>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</si>
  <si>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</si>
  <si>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</si>
  <si>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</si>
  <si>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</si>
  <si>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</si>
  <si>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</si>
  <si>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</si>
  <si>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</si>
  <si>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</si>
  <si>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</si>
  <si>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</si>
  <si>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</si>
  <si>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</si>
  <si>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</si>
  <si>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</si>
  <si>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</si>
  <si>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</si>
  <si>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</si>
  <si>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</si>
  <si>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</si>
  <si>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</si>
  <si>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</si>
  <si>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</si>
  <si>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</si>
  <si>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</si>
  <si>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</si>
  <si>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</si>
  <si>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</si>
  <si>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</si>
  <si>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</si>
  <si>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</si>
  <si>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</si>
  <si>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</si>
  <si>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</si>
  <si>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</si>
  <si>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</si>
  <si>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</si>
  <si>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</si>
  <si>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</si>
  <si>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</si>
  <si>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</si>
  <si>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</si>
  <si>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</si>
  <si>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</si>
  <si>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</si>
  <si>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</si>
  <si>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</si>
  <si>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</si>
  <si>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</si>
  <si>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</si>
  <si>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</si>
  <si>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</si>
  <si>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</si>
  <si>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</si>
  <si>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</si>
  <si>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</si>
  <si>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</si>
  <si>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</si>
  <si>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</si>
  <si>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</si>
  <si>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</si>
  <si>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</si>
  <si>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</si>
  <si>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</si>
  <si>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</si>
  <si>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</si>
  <si>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</si>
  <si>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</si>
  <si>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</si>
  <si>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</si>
  <si>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</si>
  <si>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</si>
  <si>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</si>
  <si>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</si>
  <si>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</si>
  <si>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</si>
  <si>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</si>
  <si>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</si>
  <si>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</si>
  <si>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</si>
  <si>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</si>
  <si>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</si>
  <si>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</si>
  <si>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</si>
  <si>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</si>
  <si>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</si>
  <si>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</si>
  <si>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</si>
  <si>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</si>
  <si>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</si>
  <si>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</si>
  <si>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</si>
  <si>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</si>
  <si>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</si>
  <si>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</si>
  <si>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</si>
  <si>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</si>
  <si>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</si>
  <si>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</si>
  <si>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</si>
  <si>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</si>
  <si>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</si>
  <si>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</si>
  <si>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</si>
  <si>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</si>
  <si>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</si>
  <si>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</si>
  <si>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</si>
  <si>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</si>
  <si>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</si>
  <si>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</si>
  <si>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</si>
  <si>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</si>
  <si>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</si>
  <si>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</si>
  <si>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</si>
  <si>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</si>
  <si>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</si>
  <si>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</si>
  <si>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</si>
  <si>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</si>
  <si>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</si>
  <si>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</si>
  <si>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</si>
  <si>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</si>
  <si>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</si>
  <si>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</si>
  <si>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</si>
  <si>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</si>
  <si>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</si>
  <si>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</si>
  <si>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</si>
  <si>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</si>
  <si>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</si>
  <si>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</si>
  <si>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</si>
  <si>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</si>
  <si>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</si>
  <si>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</si>
  <si>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</si>
  <si>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</si>
  <si>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</si>
  <si>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</si>
  <si>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</si>
  <si>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</si>
  <si>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</si>
  <si>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</si>
  <si>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</si>
  <si>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</si>
  <si>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</si>
  <si>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</si>
  <si>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</si>
  <si>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</si>
  <si>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</si>
  <si>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</si>
  <si>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</si>
  <si>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</si>
  <si>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</si>
  <si>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</si>
  <si>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</si>
  <si>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</si>
  <si>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</si>
  <si>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</si>
  <si>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</si>
  <si>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</si>
  <si>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</si>
  <si>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</si>
  <si>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</si>
  <si>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</si>
  <si>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</si>
  <si>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</si>
  <si>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</si>
  <si>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</si>
  <si>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</si>
  <si>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</si>
  <si>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</si>
  <si>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</si>
  <si>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</si>
  <si>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</si>
  <si>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</si>
  <si>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</si>
  <si>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</si>
  <si>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</si>
  <si>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</si>
  <si>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</si>
  <si>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</si>
  <si>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</si>
  <si>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</si>
  <si>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</si>
  <si>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</si>
  <si>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</si>
  <si>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</si>
  <si>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</si>
  <si>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</si>
  <si>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</si>
  <si>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</si>
  <si>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</si>
  <si>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</si>
  <si>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</si>
  <si>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</si>
  <si>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</si>
  <si>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</si>
  <si>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</si>
  <si>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</si>
  <si>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</si>
  <si>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</si>
  <si>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</si>
  <si>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</si>
  <si>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</si>
  <si>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</si>
  <si>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</si>
  <si>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</si>
  <si>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</si>
  <si>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</si>
  <si>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</si>
  <si>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</si>
  <si>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</si>
  <si>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</si>
  <si>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</si>
  <si>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</si>
  <si>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</si>
  <si>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</si>
  <si>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</si>
  <si>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</si>
  <si>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</si>
  <si>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</si>
  <si>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</si>
  <si>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</si>
  <si>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</si>
  <si>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</si>
  <si>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</si>
  <si>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</si>
  <si>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</si>
  <si>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</si>
  <si>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</si>
  <si>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</si>
  <si>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</si>
  <si>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</si>
  <si>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</si>
  <si>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</si>
  <si>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</si>
  <si>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</si>
  <si>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</si>
  <si>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</si>
  <si>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</si>
  <si>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</si>
  <si>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</si>
  <si>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</si>
  <si>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</si>
  <si>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</si>
  <si>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</si>
  <si>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</si>
  <si>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</si>
  <si>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</si>
  <si>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</si>
  <si>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</si>
  <si>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</si>
  <si>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</si>
  <si>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</si>
  <si>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</si>
  <si>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</si>
  <si>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</si>
  <si>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</si>
  <si>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</si>
  <si>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</si>
  <si>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</si>
  <si>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</si>
  <si>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</si>
  <si>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</si>
  <si>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</si>
  <si>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</si>
  <si>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</si>
  <si>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</si>
  <si>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</si>
  <si>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</si>
  <si>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</si>
  <si>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</si>
  <si>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</si>
  <si>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</si>
  <si>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</si>
  <si>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</si>
  <si>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</si>
  <si>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</si>
  <si>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</si>
  <si>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</si>
  <si>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</si>
  <si>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</si>
  <si>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</si>
  <si>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</si>
  <si>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</si>
  <si>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</si>
  <si>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</si>
  <si>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</si>
  <si>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</si>
  <si>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</si>
  <si>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</si>
  <si>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</si>
  <si>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</si>
  <si>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</si>
  <si>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</si>
  <si>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</si>
  <si>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</si>
  <si>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</si>
  <si>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</si>
  <si>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</si>
  <si>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</si>
  <si>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</si>
  <si>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</si>
  <si>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</si>
  <si>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</si>
  <si>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</si>
  <si>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</si>
  <si>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</si>
  <si>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</si>
  <si>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</si>
  <si>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</si>
  <si>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</si>
  <si>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</si>
  <si>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</si>
  <si>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</si>
  <si>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</si>
  <si>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</si>
  <si>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</si>
  <si>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</si>
  <si>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</si>
  <si>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</si>
  <si>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</si>
  <si>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</si>
  <si>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</si>
  <si>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</si>
  <si>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</si>
  <si>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</si>
  <si>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</si>
  <si>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</si>
  <si>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</si>
  <si>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</si>
  <si>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</si>
  <si>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</si>
  <si>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</si>
  <si>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</si>
  <si>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</si>
  <si>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</si>
  <si>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</si>
  <si>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</si>
  <si>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</si>
  <si>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</si>
  <si>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</si>
  <si>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</si>
  <si>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</si>
  <si>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</si>
  <si>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</si>
  <si>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</si>
  <si>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</si>
  <si>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</si>
  <si>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</si>
  <si>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</si>
  <si>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</si>
  <si>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</si>
  <si>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</si>
  <si>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</si>
  <si>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</si>
  <si>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</si>
  <si>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</si>
  <si>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</si>
  <si>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</si>
  <si>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</si>
  <si>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</si>
  <si>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</si>
  <si>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</si>
  <si>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</si>
  <si>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</si>
  <si>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</si>
  <si>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</si>
  <si>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</si>
  <si>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</si>
  <si>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</si>
  <si>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</si>
  <si>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</si>
  <si>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</si>
  <si>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</si>
  <si>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</si>
  <si>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</si>
  <si>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</si>
  <si>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</si>
  <si>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</si>
  <si>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</si>
  <si>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</si>
  <si>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</si>
  <si>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</si>
  <si>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</si>
  <si>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</si>
  <si>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</si>
  <si>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</si>
  <si>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</si>
  <si>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</si>
  <si>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</si>
  <si>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</si>
  <si>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</si>
  <si>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</si>
  <si>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</si>
  <si>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</si>
  <si>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</si>
  <si>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</si>
  <si>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</si>
  <si>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</si>
  <si>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</si>
  <si>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</si>
  <si>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</si>
  <si>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</si>
  <si>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</si>
  <si>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</si>
  <si>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</si>
  <si>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</si>
  <si>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</si>
  <si>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</si>
  <si>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</si>
  <si>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</si>
  <si>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</si>
  <si>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</si>
  <si>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</si>
  <si>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</si>
  <si>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</si>
  <si>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</si>
  <si>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</si>
  <si>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</si>
  <si>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</si>
  <si>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</si>
  <si>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</si>
  <si>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</si>
  <si>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</si>
  <si>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</si>
  <si>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</si>
  <si>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</si>
  <si>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</si>
  <si>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</si>
  <si>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</si>
  <si>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</si>
  <si>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</si>
  <si>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</si>
  <si>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</si>
  <si>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</si>
  <si>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</si>
  <si>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</si>
  <si>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</si>
  <si>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</si>
  <si>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</si>
  <si>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</si>
  <si>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</si>
  <si>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</si>
  <si>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</si>
  <si>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</si>
  <si>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</si>
  <si>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</si>
  <si>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</si>
  <si>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</si>
  <si>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</si>
  <si>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</si>
  <si>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</si>
  <si>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</si>
  <si>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</si>
  <si>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</si>
  <si>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</si>
  <si>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</si>
  <si>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</si>
  <si>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</si>
  <si>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</si>
  <si>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</si>
  <si>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</si>
  <si>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</si>
  <si>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</si>
  <si>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</si>
  <si>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</si>
  <si>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</si>
  <si>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</si>
  <si>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</si>
  <si>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</si>
  <si>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</si>
  <si>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</si>
  <si>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</si>
  <si>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</si>
  <si>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</si>
  <si>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</si>
  <si>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</si>
  <si>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</si>
  <si>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</si>
  <si>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</si>
  <si>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</si>
  <si>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</si>
  <si>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</si>
  <si>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</si>
  <si>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</si>
  <si>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</si>
  <si>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</si>
  <si>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</si>
  <si>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</si>
  <si>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</si>
  <si>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</si>
  <si>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</si>
  <si>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</si>
  <si>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</si>
  <si>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</si>
  <si>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</si>
  <si>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</si>
  <si>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</si>
  <si>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</si>
  <si>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</si>
  <si>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</si>
  <si>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</si>
  <si>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</si>
  <si>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</si>
  <si>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</si>
  <si>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</si>
  <si>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</si>
  <si>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</si>
  <si>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</si>
  <si>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</si>
  <si>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</si>
  <si>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</si>
  <si>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</si>
  <si>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</si>
  <si>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</si>
  <si>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</si>
  <si>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</si>
  <si>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</si>
  <si>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</si>
  <si>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</si>
  <si>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</si>
  <si>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</si>
  <si>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</si>
  <si>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</si>
  <si>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</si>
  <si>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</si>
  <si>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</si>
  <si>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</si>
  <si>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</si>
  <si>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</si>
  <si>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</si>
  <si>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</si>
  <si>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</si>
  <si>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</si>
  <si>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</si>
  <si>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</si>
  <si>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</si>
  <si>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</si>
  <si>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</si>
  <si>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</si>
  <si>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</si>
  <si>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</si>
  <si>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</si>
  <si>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</si>
  <si>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</si>
  <si>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</si>
  <si>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</si>
  <si>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</si>
  <si>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</si>
  <si>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</si>
  <si>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</si>
  <si>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</si>
  <si>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</si>
  <si>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</si>
  <si>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</si>
  <si>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</si>
  <si>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</si>
  <si>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</si>
  <si>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</si>
  <si>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</si>
  <si>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</si>
  <si>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</si>
  <si>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</si>
  <si>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</si>
  <si>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</si>
  <si>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</si>
  <si>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</si>
  <si>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</si>
  <si>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</si>
  <si>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</si>
  <si>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</si>
  <si>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</si>
  <si>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</si>
  <si>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</si>
  <si>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</si>
  <si>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</si>
  <si>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</si>
  <si>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</si>
  <si>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</si>
  <si>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</si>
  <si>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</si>
  <si>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</si>
  <si>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</si>
  <si>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</si>
  <si>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</si>
  <si>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</si>
  <si>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</si>
  <si>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</si>
  <si>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</si>
  <si>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</si>
  <si>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</si>
  <si>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</si>
  <si>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</si>
  <si>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</si>
  <si>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</si>
  <si>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</si>
  <si>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</si>
  <si>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</si>
  <si>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</si>
  <si>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</si>
  <si>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</si>
  <si>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</si>
  <si>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</si>
  <si>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</si>
  <si>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</si>
  <si>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</si>
  <si>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</si>
  <si>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</si>
  <si>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</si>
  <si>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</si>
  <si>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</si>
  <si>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</si>
  <si>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</si>
  <si>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</si>
  <si>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</si>
  <si>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</si>
  <si>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</si>
  <si>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</si>
  <si>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</si>
  <si>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</si>
  <si>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</si>
  <si>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</si>
  <si>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</si>
  <si>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</si>
  <si>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</si>
  <si>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</si>
  <si>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</si>
  <si>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</si>
  <si>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</si>
  <si>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</si>
  <si>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</si>
  <si>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</si>
  <si>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</si>
  <si>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</si>
  <si>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</si>
  <si>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</si>
  <si>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</si>
  <si>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</si>
  <si>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</si>
  <si>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</si>
  <si>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</si>
  <si>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</si>
  <si>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</si>
  <si>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</si>
  <si>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</si>
  <si>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</si>
  <si>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</si>
  <si>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</si>
  <si>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</si>
  <si>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</si>
  <si>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</si>
  <si>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</si>
  <si>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</si>
  <si>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</si>
  <si>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</si>
  <si>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</si>
  <si>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</si>
  <si>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</si>
  <si>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</si>
  <si>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</si>
  <si>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</si>
  <si>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</si>
  <si>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</si>
  <si>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</si>
  <si>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</si>
  <si>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</si>
  <si>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</si>
  <si>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</si>
  <si>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</si>
  <si>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</si>
  <si>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</si>
  <si>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</si>
  <si>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</si>
  <si>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</si>
  <si>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</si>
  <si>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</si>
  <si>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</si>
  <si>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</si>
  <si>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</si>
  <si>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</si>
  <si>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</si>
  <si>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</si>
  <si>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</si>
  <si>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</si>
  <si>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</si>
  <si>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</si>
  <si>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</si>
  <si>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</si>
  <si>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</si>
  <si>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</si>
  <si>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</si>
  <si>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</si>
  <si>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</si>
  <si>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</si>
  <si>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</si>
  <si>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</si>
  <si>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</si>
  <si>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</si>
  <si>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</si>
  <si>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</si>
  <si>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</si>
  <si>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</si>
  <si>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</si>
  <si>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</si>
  <si>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</si>
  <si>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</si>
  <si>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</si>
  <si>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</si>
  <si>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</si>
  <si>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</si>
  <si>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</si>
  <si>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</si>
  <si>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</si>
  <si>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</si>
  <si>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</si>
  <si>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</si>
  <si>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</si>
  <si>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</si>
  <si>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</si>
  <si>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</si>
  <si>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</si>
  <si>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</si>
  <si>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</si>
  <si>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</si>
  <si>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</si>
  <si>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</si>
  <si>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</si>
  <si>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</si>
  <si>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</si>
  <si>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</si>
  <si>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</si>
  <si>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</si>
  <si>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</si>
  <si>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</si>
  <si>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</si>
  <si>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</si>
  <si>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</si>
  <si>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</si>
  <si>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</si>
  <si>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</si>
  <si>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</si>
  <si>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</si>
  <si>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</si>
  <si>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</si>
  <si>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</si>
  <si>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</si>
  <si>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</si>
  <si>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</si>
  <si>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</si>
  <si>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</si>
  <si>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</si>
  <si>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</si>
  <si>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</si>
  <si>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</si>
  <si>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</si>
  <si>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</si>
  <si>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</si>
  <si>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</si>
  <si>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</si>
  <si>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</si>
  <si>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</si>
  <si>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</si>
  <si>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</si>
  <si>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</si>
  <si>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</si>
  <si>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</si>
  <si>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</si>
  <si>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</si>
  <si>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</si>
  <si>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</si>
  <si>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</si>
  <si>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</si>
  <si>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</si>
  <si>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</si>
  <si>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</si>
  <si>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</si>
  <si>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</si>
  <si>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</si>
  <si>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</si>
  <si>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</si>
  <si>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</si>
  <si>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</si>
  <si>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</si>
  <si>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</si>
  <si>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</si>
  <si>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</si>
  <si>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</si>
  <si>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</si>
  <si>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</si>
  <si>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</si>
  <si>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</si>
  <si>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</si>
  <si>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</si>
  <si>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</si>
  <si>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</si>
  <si>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</si>
  <si>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</si>
  <si>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</si>
  <si>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</si>
  <si>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</si>
  <si>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</si>
  <si>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</si>
  <si>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</si>
  <si>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</si>
  <si>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</si>
  <si>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</si>
  <si>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</si>
  <si>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</si>
  <si>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</si>
  <si>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</si>
  <si>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</si>
  <si>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</si>
  <si>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</si>
  <si>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</si>
  <si>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</si>
  <si>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</si>
  <si>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</si>
  <si>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</si>
  <si>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</si>
  <si>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</si>
  <si>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</si>
  <si>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</si>
  <si>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</si>
  <si>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</si>
  <si>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</si>
  <si>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</si>
  <si>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</si>
  <si>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</si>
  <si>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</si>
  <si>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</si>
  <si>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</si>
  <si>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</si>
  <si>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</si>
  <si>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</si>
  <si>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</si>
  <si>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</si>
  <si>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</si>
  <si>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</si>
  <si>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</si>
  <si>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</si>
  <si>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</si>
  <si>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</si>
  <si>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</si>
  <si>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</si>
  <si>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</si>
  <si>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</si>
  <si>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</si>
  <si>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</si>
  <si>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</si>
  <si>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</si>
  <si>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</si>
  <si>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</si>
  <si>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</si>
  <si>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</si>
  <si>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</si>
  <si>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</si>
  <si>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</si>
  <si>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</si>
  <si>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</si>
  <si>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</si>
  <si>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</si>
  <si>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</si>
  <si>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</si>
  <si>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</si>
  <si>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</si>
  <si>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</si>
  <si>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</si>
  <si>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</si>
  <si>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</si>
  <si>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</si>
  <si>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</si>
  <si>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</si>
  <si>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</si>
  <si>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</si>
  <si>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</si>
  <si>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</si>
  <si>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</si>
  <si>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</si>
  <si>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</si>
  <si>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</si>
  <si>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</si>
  <si>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</si>
  <si>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</si>
  <si>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</si>
  <si>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</si>
  <si>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</si>
  <si>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</si>
  <si>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</si>
  <si>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</si>
  <si>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</si>
  <si>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</si>
  <si>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</si>
  <si>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</si>
  <si>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</si>
  <si>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</si>
  <si>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</si>
  <si>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</si>
  <si>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</si>
  <si>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</si>
  <si>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</si>
  <si>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</si>
  <si>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</si>
  <si>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</si>
  <si>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</si>
  <si>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</si>
  <si>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</si>
  <si>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</si>
  <si>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</si>
  <si>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</si>
  <si>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</si>
  <si>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</si>
  <si>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</si>
  <si>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</si>
  <si>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</si>
  <si>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</si>
  <si>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</si>
  <si>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</si>
  <si>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</si>
  <si>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</si>
  <si>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</si>
  <si>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</si>
  <si>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</si>
  <si>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</si>
  <si>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</si>
  <si>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</si>
  <si>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</si>
  <si>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</si>
  <si>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</si>
  <si>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</si>
  <si>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</si>
  <si>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</si>
  <si>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</si>
  <si>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</si>
  <si>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</si>
  <si>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</si>
  <si>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</si>
  <si>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</si>
  <si>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</si>
  <si>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</si>
  <si>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</si>
  <si>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</si>
  <si>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</si>
  <si>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</si>
  <si>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</si>
  <si>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</si>
  <si>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</si>
  <si>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</si>
  <si>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</si>
  <si>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</si>
  <si>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</si>
  <si>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</si>
  <si>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</si>
  <si>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</si>
  <si>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</si>
  <si>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</si>
  <si>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</si>
  <si>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</si>
  <si>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</si>
  <si>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</si>
  <si>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</si>
  <si>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</si>
  <si>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</si>
  <si>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</si>
  <si>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</si>
  <si>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</si>
  <si>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</si>
  <si>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</si>
  <si>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</si>
  <si>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</si>
  <si>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</si>
  <si>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</si>
  <si>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</si>
  <si>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</si>
  <si>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</si>
  <si>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</si>
  <si>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</si>
  <si>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</si>
  <si>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</si>
  <si>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</si>
  <si>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</si>
  <si>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</si>
  <si>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</si>
  <si>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</si>
  <si>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</si>
  <si>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</si>
  <si>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</si>
  <si>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</si>
  <si>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</si>
  <si>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</si>
  <si>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</si>
  <si>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</si>
  <si>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</si>
  <si>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</si>
  <si>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</si>
  <si>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</si>
  <si>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</si>
  <si>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</si>
  <si>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</si>
  <si>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</si>
  <si>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</si>
  <si>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</si>
  <si>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</si>
  <si>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</si>
  <si>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</si>
  <si>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</si>
  <si>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</si>
  <si>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</si>
  <si>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</si>
  <si>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</si>
  <si>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</si>
  <si>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</si>
  <si>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</si>
  <si>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</si>
  <si>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</si>
  <si>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</si>
  <si>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35000/4150 TLgr=76 - 8,43  =  67,57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</si>
  <si>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</si>
  <si>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</si>
  <si>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</si>
  <si>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</si>
  <si>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</si>
  <si>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</si>
  <si>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</si>
  <si>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</si>
  <si>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</si>
  <si>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</si>
  <si>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</si>
  <si>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</si>
  <si>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</si>
  <si>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</si>
  <si>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</si>
  <si>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</si>
  <si>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</si>
  <si>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</si>
  <si>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</si>
  <si>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</si>
  <si>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</si>
  <si>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</si>
  <si>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</si>
  <si>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</si>
  <si>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</si>
  <si>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</si>
  <si>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</si>
  <si>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</si>
  <si>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</si>
  <si>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</si>
  <si>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</si>
  <si>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</si>
  <si>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</si>
  <si>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</si>
  <si>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</si>
  <si>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</si>
  <si>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</si>
  <si>
    <t>fren disk ön  4000</t>
  </si>
  <si>
    <t>fren balata ön arka 800</t>
  </si>
  <si>
    <t>fren disk arka torna 1200 TL</t>
  </si>
  <si>
    <t>sağ rotil  500</t>
  </si>
  <si>
    <t>motor-fren işçilik</t>
  </si>
  <si>
    <t>audi motor-fren                nisan 04_25- d86</t>
  </si>
  <si>
    <t>fren disk ön  4000 trw</t>
  </si>
  <si>
    <t>fren balata ön arka 800 trw</t>
  </si>
  <si>
    <t>fren disk arka torna 1200 TL trw</t>
  </si>
  <si>
    <t>sağ rotil  febi</t>
  </si>
  <si>
    <t>aidat</t>
  </si>
  <si>
    <t>taksitlendirme</t>
  </si>
  <si>
    <t>kyusuf</t>
  </si>
  <si>
    <t>dgs osym</t>
  </si>
  <si>
    <t>mustafa ışkın</t>
  </si>
  <si>
    <t>peynir bal</t>
  </si>
  <si>
    <t>et fab</t>
  </si>
  <si>
    <t xml:space="preserve">oxkan ağıl </t>
  </si>
  <si>
    <t>basbug.com audi fren disk-balata</t>
  </si>
  <si>
    <t xml:space="preserve">audi motor-fren işçilik </t>
  </si>
  <si>
    <t>audi motor-fren işçilik havale</t>
  </si>
  <si>
    <t>fide-çorap arif ustadan emanet ödendi</t>
  </si>
  <si>
    <t>36500/4250 TLgr=67,57 - 8,58  =  58,98</t>
  </si>
  <si>
    <t>motor arızası</t>
  </si>
  <si>
    <t>audi toplam bakım masraf</t>
  </si>
  <si>
    <t>36500/42 TLgr=58,98 -  ,58  =  ,98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</si>
</sst>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4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74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164" fontId="0" fillId="40" borderId="0" xfId="0" applyNumberForma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  <xf numFmtId="0" fontId="0" fillId="0" borderId="0" xfId="0" applyFont="1" applyFill="1" applyBorder="1"/>
    <xf numFmtId="172" fontId="3" fillId="0" borderId="5" xfId="0" applyNumberFormat="1" applyFont="1" applyBorder="1"/>
    <xf numFmtId="4" fontId="3" fillId="0" borderId="14" xfId="0" applyNumberFormat="1" applyFont="1" applyBorder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72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opLeftCell="A17" zoomScale="175" zoomScaleNormal="175" workbookViewId="0">
      <selection activeCell="L34" sqref="L3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7" t="s">
        <v>1733</v>
      </c>
    </row>
    <row r="5" spans="1:6">
      <c r="A5" s="1">
        <v>45657</v>
      </c>
      <c r="B5" s="8" t="s">
        <v>1732</v>
      </c>
      <c r="F5" s="498">
        <v>257330</v>
      </c>
    </row>
    <row r="6" spans="1:6" s="11" customFormat="1">
      <c r="A6" s="529"/>
      <c r="B6" s="530" t="s">
        <v>1770</v>
      </c>
      <c r="C6" s="531">
        <f>35800/2898</f>
        <v>12.353347135955831</v>
      </c>
      <c r="D6" s="532" t="s">
        <v>233</v>
      </c>
      <c r="E6" s="532"/>
      <c r="F6" s="532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499">
        <v>45667</v>
      </c>
      <c r="B8" s="500" t="s">
        <v>5</v>
      </c>
      <c r="C8" s="501"/>
      <c r="D8" s="502">
        <v>20000</v>
      </c>
      <c r="E8" s="502"/>
      <c r="F8" s="503">
        <f t="shared" ref="F8:F19" si="0">F7+D8-E8</f>
        <v>277330</v>
      </c>
    </row>
    <row r="9" spans="1:6" s="11" customFormat="1">
      <c r="A9" s="504">
        <v>45672</v>
      </c>
      <c r="B9" s="505" t="s">
        <v>1584</v>
      </c>
      <c r="C9" s="506"/>
      <c r="D9" s="507"/>
      <c r="E9" s="508">
        <v>25000</v>
      </c>
      <c r="F9" s="135">
        <f t="shared" si="0"/>
        <v>252330</v>
      </c>
    </row>
    <row r="10" spans="1:6" ht="13.5" thickBot="1">
      <c r="A10" s="509">
        <v>45672</v>
      </c>
      <c r="B10" s="510" t="s">
        <v>1734</v>
      </c>
      <c r="C10" s="510"/>
      <c r="D10" s="511"/>
      <c r="E10" s="512">
        <v>31000</v>
      </c>
      <c r="F10" s="518">
        <f t="shared" si="0"/>
        <v>221330</v>
      </c>
    </row>
    <row r="11" spans="1:6" s="11" customFormat="1" ht="13.5" thickBot="1">
      <c r="A11" s="529"/>
      <c r="B11" s="530" t="s">
        <v>1772</v>
      </c>
      <c r="C11" s="531">
        <f>36000/3045</f>
        <v>11.822660098522167</v>
      </c>
      <c r="D11" s="532" t="s">
        <v>233</v>
      </c>
      <c r="E11" s="532"/>
      <c r="F11" s="532"/>
    </row>
    <row r="12" spans="1:6">
      <c r="A12" s="513">
        <v>45703</v>
      </c>
      <c r="B12" s="514" t="s">
        <v>1735</v>
      </c>
      <c r="C12" s="514"/>
      <c r="D12" s="131"/>
      <c r="E12" s="131"/>
      <c r="F12" s="503">
        <f>F10+D12-E12</f>
        <v>221330</v>
      </c>
    </row>
    <row r="13" spans="1:6" s="11" customFormat="1" ht="13.5" thickBot="1">
      <c r="A13" s="509">
        <v>45709</v>
      </c>
      <c r="B13" s="510" t="s">
        <v>815</v>
      </c>
      <c r="C13" s="510"/>
      <c r="D13" s="511"/>
      <c r="E13" s="512">
        <v>26000</v>
      </c>
      <c r="F13" s="518">
        <f t="shared" si="0"/>
        <v>195330</v>
      </c>
    </row>
    <row r="14" spans="1:6" s="11" customFormat="1" ht="13.5" thickBot="1">
      <c r="A14" s="529"/>
      <c r="B14" s="530" t="s">
        <v>1773</v>
      </c>
      <c r="C14" s="531">
        <f>26000/3413</f>
        <v>7.6179314386170525</v>
      </c>
      <c r="D14" s="532" t="s">
        <v>233</v>
      </c>
      <c r="E14" s="532"/>
      <c r="F14" s="532"/>
    </row>
    <row r="15" spans="1:6">
      <c r="A15" s="513">
        <v>45731</v>
      </c>
      <c r="B15" s="514" t="s">
        <v>1585</v>
      </c>
      <c r="C15" s="514"/>
      <c r="D15" s="131"/>
      <c r="E15" s="131"/>
      <c r="F15" s="503">
        <f>F13+D15-E15</f>
        <v>195330</v>
      </c>
    </row>
    <row r="16" spans="1:6" s="11" customFormat="1" ht="13.5" thickBot="1">
      <c r="A16" s="509">
        <v>45741</v>
      </c>
      <c r="B16" s="510" t="s">
        <v>815</v>
      </c>
      <c r="C16" s="510"/>
      <c r="D16" s="511"/>
      <c r="E16" s="512">
        <v>36000</v>
      </c>
      <c r="F16" s="518">
        <f t="shared" si="0"/>
        <v>159330</v>
      </c>
    </row>
    <row r="17" spans="1:9" s="11" customFormat="1" ht="13.5" thickBot="1">
      <c r="A17" s="529"/>
      <c r="B17" s="530" t="s">
        <v>1774</v>
      </c>
      <c r="C17" s="531">
        <f>36000/3650</f>
        <v>9.8630136986301373</v>
      </c>
      <c r="D17" s="532" t="s">
        <v>233</v>
      </c>
      <c r="E17" s="532"/>
      <c r="F17" s="532"/>
    </row>
    <row r="18" spans="1:9" s="11" customFormat="1">
      <c r="A18" s="513">
        <v>45757</v>
      </c>
      <c r="C18" s="514"/>
      <c r="E18" s="130"/>
      <c r="F18" s="503">
        <f>F16-E18</f>
        <v>159330</v>
      </c>
    </row>
    <row r="19" spans="1:9" ht="13.5" thickBot="1">
      <c r="A19" s="515">
        <v>45762</v>
      </c>
      <c r="B19" s="516" t="s">
        <v>1586</v>
      </c>
      <c r="C19" s="516"/>
      <c r="D19" s="517"/>
      <c r="E19" s="512">
        <v>36500</v>
      </c>
      <c r="F19" s="518">
        <f t="shared" si="0"/>
        <v>122830</v>
      </c>
    </row>
    <row r="20" spans="1:9" s="11" customFormat="1">
      <c r="A20" s="556"/>
      <c r="B20" s="557" t="s">
        <v>1804</v>
      </c>
      <c r="C20" s="558">
        <f>36000/3650</f>
        <v>9.8630136986301373</v>
      </c>
      <c r="D20" s="559" t="s">
        <v>233</v>
      </c>
      <c r="E20" s="559"/>
      <c r="F20" s="559"/>
      <c r="I20" s="11">
        <v>36500</v>
      </c>
    </row>
    <row r="21" spans="1:9">
      <c r="A21" s="554">
        <v>45792</v>
      </c>
      <c r="B21" s="392" t="s">
        <v>1587</v>
      </c>
      <c r="C21" s="392"/>
      <c r="D21" s="555"/>
      <c r="E21" s="555">
        <v>35000</v>
      </c>
      <c r="F21" s="555">
        <f>F19+D21-E21</f>
        <v>87830</v>
      </c>
      <c r="I21">
        <v>4250</v>
      </c>
    </row>
    <row r="22" spans="1:9" s="11" customFormat="1">
      <c r="A22" s="560">
        <v>45804</v>
      </c>
      <c r="B22" s="561" t="s">
        <v>1846</v>
      </c>
      <c r="C22" s="562">
        <f>35000/4150</f>
        <v>8.4337349397590362</v>
      </c>
      <c r="D22" s="563" t="s">
        <v>233</v>
      </c>
      <c r="E22" s="563"/>
      <c r="F22" s="563"/>
      <c r="I22" s="11">
        <f>I20/I21</f>
        <v>8.5882352941176467</v>
      </c>
    </row>
    <row r="23" spans="1:9">
      <c r="A23" s="1">
        <v>45823</v>
      </c>
      <c r="B23" s="8" t="s">
        <v>1588</v>
      </c>
      <c r="C23" s="8"/>
      <c r="D23" s="12"/>
      <c r="E23" s="2">
        <v>25000</v>
      </c>
      <c r="F23" s="12">
        <f>F21+D23-E23</f>
        <v>62830</v>
      </c>
      <c r="I23">
        <v>67.569999999999993</v>
      </c>
    </row>
    <row r="24" spans="1:9" s="11" customFormat="1">
      <c r="A24" s="10"/>
      <c r="B24" s="8"/>
      <c r="C24" s="8"/>
      <c r="D24" s="12"/>
      <c r="E24" s="12">
        <v>11500</v>
      </c>
      <c r="F24" s="12">
        <f>F23+D24-E24</f>
        <v>51330</v>
      </c>
    </row>
    <row r="25" spans="1:9" s="11" customFormat="1">
      <c r="A25" s="560">
        <v>45823</v>
      </c>
      <c r="B25" s="561" t="s">
        <v>1906</v>
      </c>
      <c r="C25" s="562">
        <f>36500/4250</f>
        <v>8.5882352941176467</v>
      </c>
      <c r="D25" s="563" t="s">
        <v>233</v>
      </c>
      <c r="E25" s="532"/>
      <c r="F25" s="532"/>
      <c r="I25" s="11">
        <f>I22</f>
        <v>8.5882352941176467</v>
      </c>
    </row>
    <row r="26" spans="1:9">
      <c r="A26" s="1">
        <v>45853</v>
      </c>
      <c r="B26" s="8" t="s">
        <v>1589</v>
      </c>
      <c r="C26" s="8"/>
      <c r="D26" s="12"/>
      <c r="F26" s="12">
        <f>F24+D26-E26</f>
        <v>51330</v>
      </c>
      <c r="I26">
        <f>I23-I25</f>
        <v>58.981764705882348</v>
      </c>
    </row>
    <row r="27" spans="1:9" s="11" customFormat="1">
      <c r="A27" s="10"/>
      <c r="B27" s="8" t="str">
        <f>B66</f>
        <v>audi toplam bakım masraf</v>
      </c>
      <c r="C27" s="8"/>
      <c r="D27" s="12">
        <f>D66</f>
        <v>22500</v>
      </c>
      <c r="E27" s="87"/>
      <c r="F27" s="12">
        <f>F26+D27-E27</f>
        <v>73830</v>
      </c>
    </row>
    <row r="28" spans="1:9" s="11" customFormat="1">
      <c r="A28" s="529"/>
      <c r="B28" s="530"/>
      <c r="C28" s="531"/>
      <c r="D28" s="532"/>
      <c r="E28" s="532"/>
      <c r="F28" s="12">
        <f t="shared" ref="F28:F32" si="1">F27+D28-E28</f>
        <v>73830</v>
      </c>
    </row>
    <row r="29" spans="1:9" s="11" customFormat="1">
      <c r="A29" s="560">
        <v>45823</v>
      </c>
      <c r="B29" s="561" t="s">
        <v>1909</v>
      </c>
      <c r="C29" s="562">
        <f>35000/4150</f>
        <v>8.4337349397590362</v>
      </c>
      <c r="D29" s="563"/>
      <c r="E29" s="532"/>
      <c r="F29" s="12">
        <f t="shared" si="1"/>
        <v>73830</v>
      </c>
    </row>
    <row r="30" spans="1:9" s="11" customFormat="1">
      <c r="A30" s="10">
        <v>45853</v>
      </c>
      <c r="B30" s="8"/>
      <c r="C30" s="8"/>
      <c r="D30" s="12"/>
      <c r="E30" s="12"/>
      <c r="F30" s="12">
        <f t="shared" si="1"/>
        <v>73830</v>
      </c>
    </row>
    <row r="31" spans="1:9" s="11" customFormat="1">
      <c r="A31" s="529"/>
      <c r="B31" s="530"/>
      <c r="C31" s="531"/>
      <c r="D31" s="532"/>
      <c r="E31" s="532"/>
      <c r="F31" s="12">
        <f t="shared" si="1"/>
        <v>73830</v>
      </c>
    </row>
    <row r="32" spans="1:9" s="11" customFormat="1" ht="13.5" thickBot="1">
      <c r="A32" s="529"/>
      <c r="F32" s="12">
        <f t="shared" si="1"/>
        <v>73830</v>
      </c>
    </row>
    <row r="33" spans="1:6" s="11" customFormat="1" ht="13.5" thickBot="1">
      <c r="A33" s="529"/>
      <c r="B33" s="569"/>
      <c r="C33" s="531"/>
      <c r="D33" s="532"/>
      <c r="E33" s="532"/>
      <c r="F33" s="131"/>
    </row>
    <row r="34" spans="1:6" ht="13.5" thickBot="1">
      <c r="B34" s="16" t="s">
        <v>14</v>
      </c>
      <c r="E34" s="13"/>
      <c r="F34" s="519">
        <f>D34+F32-E34</f>
        <v>73830</v>
      </c>
    </row>
    <row r="35" spans="1:6">
      <c r="B35" s="501" t="s">
        <v>1889</v>
      </c>
      <c r="C35" s="531"/>
      <c r="D35" s="532"/>
      <c r="E35" s="532"/>
      <c r="F35" s="571">
        <f>D47</f>
        <v>137100</v>
      </c>
    </row>
    <row r="40" spans="1:6" ht="13.5" thickBot="1">
      <c r="A40" s="98">
        <v>45733</v>
      </c>
      <c r="B40" s="92" t="s">
        <v>1695</v>
      </c>
      <c r="C40" s="106"/>
      <c r="D40" s="459">
        <v>2500</v>
      </c>
    </row>
    <row r="41" spans="1:6">
      <c r="A41" s="457">
        <v>45740</v>
      </c>
      <c r="B41" s="407" t="s">
        <v>1708</v>
      </c>
      <c r="C41" s="407"/>
      <c r="D41" s="464">
        <v>8500</v>
      </c>
    </row>
    <row r="42" spans="1:6">
      <c r="A42" s="457">
        <v>45740</v>
      </c>
      <c r="B42" s="407" t="s">
        <v>1709</v>
      </c>
      <c r="C42" s="407"/>
      <c r="D42" s="465">
        <v>90000</v>
      </c>
    </row>
    <row r="43" spans="1:6">
      <c r="A43" s="98">
        <v>45743</v>
      </c>
      <c r="B43" s="471" t="s">
        <v>1722</v>
      </c>
      <c r="C43" s="468"/>
      <c r="D43" s="470">
        <v>1600</v>
      </c>
    </row>
    <row r="44" spans="1:6">
      <c r="A44" s="98">
        <v>45829</v>
      </c>
      <c r="B44" s="467" t="s">
        <v>1888</v>
      </c>
      <c r="C44" s="468"/>
      <c r="D44" s="469">
        <v>30000</v>
      </c>
    </row>
    <row r="45" spans="1:6">
      <c r="A45" s="98">
        <v>45761</v>
      </c>
      <c r="B45" s="494" t="s">
        <v>1752</v>
      </c>
      <c r="C45" s="495"/>
      <c r="D45" s="496">
        <v>4500</v>
      </c>
    </row>
    <row r="46" spans="1:6" s="11" customFormat="1">
      <c r="A46" s="98"/>
      <c r="B46" s="494"/>
      <c r="C46" s="495"/>
      <c r="D46" s="496"/>
      <c r="E46" s="12"/>
      <c r="F46" s="12"/>
    </row>
    <row r="47" spans="1:6" s="11" customFormat="1">
      <c r="A47" s="98"/>
      <c r="B47" s="494" t="s">
        <v>1907</v>
      </c>
      <c r="C47" s="495"/>
      <c r="D47" s="496">
        <f>SUM(D40:D46)</f>
        <v>137100</v>
      </c>
      <c r="E47" s="12"/>
      <c r="F47" s="12"/>
    </row>
    <row r="48" spans="1:6" s="11" customFormat="1">
      <c r="A48" s="98"/>
      <c r="B48" s="494" t="s">
        <v>545</v>
      </c>
      <c r="C48" s="495"/>
      <c r="D48" s="496"/>
      <c r="E48" s="12"/>
      <c r="F48" s="12"/>
    </row>
    <row r="49" spans="1:6" s="11" customFormat="1" ht="13.5" thickBot="1">
      <c r="A49" s="98"/>
      <c r="B49" s="494"/>
      <c r="C49" s="495"/>
      <c r="D49" s="496"/>
      <c r="E49" s="12"/>
      <c r="F49" s="12"/>
    </row>
    <row r="50" spans="1:6" s="11" customFormat="1">
      <c r="A50" s="98">
        <v>45728</v>
      </c>
      <c r="B50" s="92" t="s">
        <v>1693</v>
      </c>
      <c r="C50" s="106"/>
      <c r="D50" s="458">
        <v>1400</v>
      </c>
      <c r="E50" s="12"/>
      <c r="F50" s="12"/>
    </row>
    <row r="51" spans="1:6" s="11" customFormat="1">
      <c r="A51" s="98">
        <v>45728</v>
      </c>
      <c r="B51" s="92" t="s">
        <v>1694</v>
      </c>
      <c r="C51" s="106"/>
      <c r="D51" s="459">
        <v>4150</v>
      </c>
      <c r="E51" s="12"/>
      <c r="F51" s="12"/>
    </row>
    <row r="52" spans="1:6" s="11" customFormat="1">
      <c r="A52" s="457">
        <v>45728</v>
      </c>
      <c r="B52" s="407" t="s">
        <v>1710</v>
      </c>
      <c r="C52" s="407"/>
      <c r="D52" s="465">
        <v>1500</v>
      </c>
      <c r="E52" s="12"/>
      <c r="F52" s="12"/>
    </row>
    <row r="53" spans="1:6" s="11" customFormat="1">
      <c r="A53" s="98">
        <v>45739</v>
      </c>
      <c r="B53" s="92" t="s">
        <v>1697</v>
      </c>
      <c r="C53" s="106"/>
      <c r="D53" s="459">
        <v>1200</v>
      </c>
      <c r="E53" s="12"/>
      <c r="F53" s="12"/>
    </row>
    <row r="54" spans="1:6" s="11" customFormat="1">
      <c r="A54" s="98">
        <v>45733</v>
      </c>
      <c r="B54" s="92" t="s">
        <v>1696</v>
      </c>
      <c r="C54" s="106"/>
      <c r="D54" s="459">
        <v>1400</v>
      </c>
      <c r="E54" s="12"/>
      <c r="F54" s="12"/>
    </row>
    <row r="55" spans="1:6" s="11" customFormat="1">
      <c r="A55" s="98"/>
      <c r="B55" s="466" t="s">
        <v>1714</v>
      </c>
      <c r="D55" s="459">
        <v>3750</v>
      </c>
      <c r="E55" s="12"/>
      <c r="F55" s="12"/>
    </row>
    <row r="56" spans="1:6">
      <c r="A56" s="98">
        <v>45772</v>
      </c>
      <c r="B56" s="467" t="s">
        <v>1775</v>
      </c>
      <c r="C56" s="468"/>
      <c r="D56" s="469">
        <v>700</v>
      </c>
    </row>
    <row r="57" spans="1:6">
      <c r="A57" s="98">
        <v>45772</v>
      </c>
      <c r="B57" s="11" t="s">
        <v>1789</v>
      </c>
      <c r="C57" s="11"/>
      <c r="D57" s="459">
        <v>700</v>
      </c>
    </row>
    <row r="58" spans="1:6">
      <c r="A58" s="98">
        <v>45772</v>
      </c>
      <c r="B58" s="11" t="s">
        <v>1790</v>
      </c>
      <c r="C58" s="11"/>
      <c r="D58" s="459">
        <v>1200</v>
      </c>
    </row>
    <row r="59" spans="1:6">
      <c r="A59" s="98">
        <v>45829</v>
      </c>
      <c r="B59" s="11" t="s">
        <v>1890</v>
      </c>
      <c r="C59" s="11"/>
      <c r="D59" s="459">
        <v>6500</v>
      </c>
    </row>
    <row r="60" spans="1:6">
      <c r="A60" s="98">
        <v>45829</v>
      </c>
      <c r="B60" s="11" t="s">
        <v>1891</v>
      </c>
      <c r="C60" s="11"/>
      <c r="D60" s="459"/>
    </row>
    <row r="61" spans="1:6">
      <c r="A61" s="98">
        <v>45829</v>
      </c>
      <c r="B61" s="11" t="s">
        <v>1892</v>
      </c>
      <c r="C61" s="11"/>
      <c r="D61" s="459"/>
    </row>
    <row r="62" spans="1:6">
      <c r="A62" s="98">
        <v>45829</v>
      </c>
      <c r="B62" s="11" t="s">
        <v>1893</v>
      </c>
      <c r="C62" s="11"/>
      <c r="D62" s="459"/>
    </row>
    <row r="63" spans="1:6" s="11" customFormat="1">
      <c r="A63" s="98"/>
      <c r="D63" s="459"/>
      <c r="E63" s="12"/>
      <c r="F63" s="12"/>
    </row>
    <row r="64" spans="1:6" ht="13.5" thickBot="1">
      <c r="A64" s="98"/>
      <c r="B64" s="11"/>
      <c r="C64" s="11"/>
      <c r="D64" s="460"/>
    </row>
    <row r="65" spans="1:6" s="11" customFormat="1" ht="13.5" thickBot="1">
      <c r="A65" s="98"/>
      <c r="D65" s="570"/>
      <c r="E65" s="12"/>
      <c r="F65" s="12"/>
    </row>
    <row r="66" spans="1:6" ht="13.5" thickBot="1">
      <c r="A66" s="98"/>
      <c r="B66" s="462" t="s">
        <v>1908</v>
      </c>
      <c r="C66" s="463"/>
      <c r="D66" s="461">
        <f>SUM(D50:D64)</f>
        <v>22500</v>
      </c>
    </row>
    <row r="71" spans="1:6">
      <c r="B71" s="2"/>
      <c r="C71" s="2"/>
    </row>
    <row r="72" spans="1:6">
      <c r="B72" s="2"/>
      <c r="C72" s="2"/>
    </row>
    <row r="73" spans="1:6">
      <c r="B73" s="2"/>
      <c r="C73" s="2"/>
    </row>
    <row r="74" spans="1:6">
      <c r="B74" s="2"/>
      <c r="C74" s="2"/>
    </row>
    <row r="75" spans="1:6">
      <c r="B75" s="2"/>
      <c r="C75" s="2"/>
    </row>
    <row r="76" spans="1:6">
      <c r="B76" s="2"/>
      <c r="C76" s="2"/>
    </row>
    <row r="77" spans="1:6">
      <c r="B77" s="2"/>
      <c r="C77" s="2"/>
    </row>
    <row r="78" spans="1:6">
      <c r="B78" s="17"/>
      <c r="C78" s="17"/>
    </row>
    <row r="79" spans="1:6">
      <c r="B79" s="2"/>
      <c r="C79" s="2"/>
    </row>
    <row r="80" spans="1:6">
      <c r="B80" s="18"/>
      <c r="C80" s="17"/>
    </row>
    <row r="81" spans="2:3">
      <c r="B81" s="2"/>
      <c r="C81" s="2"/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72" t="s">
        <v>26</v>
      </c>
      <c r="M1" s="572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-59780.37</v>
      </c>
      <c r="D7" s="33">
        <f t="shared" si="0"/>
        <v>41337.719999999965</v>
      </c>
      <c r="E7" s="32">
        <f>'05_25'!F2</f>
        <v>19054.879999999997</v>
      </c>
      <c r="F7" s="32">
        <f>'05_25'!G2</f>
        <v>-60755.16</v>
      </c>
      <c r="G7" s="33">
        <f t="shared" si="1"/>
        <v>-177072.99</v>
      </c>
      <c r="H7" s="34"/>
      <c r="I7" s="41" t="s">
        <v>42</v>
      </c>
      <c r="K7" s="39"/>
      <c r="L7" s="40"/>
      <c r="M7" s="42">
        <f>E19/1000</f>
        <v>0</v>
      </c>
      <c r="N7" s="8">
        <f>'05_25'!E115/1000</f>
        <v>1.159</v>
      </c>
    </row>
    <row r="8" spans="1:14">
      <c r="A8" t="s">
        <v>43</v>
      </c>
      <c r="B8" s="32">
        <f>'06_25'!D2</f>
        <v>15000</v>
      </c>
      <c r="C8" s="32">
        <f>'06_25'!E2</f>
        <v>-76228.429999999993</v>
      </c>
      <c r="D8" s="33">
        <f t="shared" si="0"/>
        <v>-19890.710000000028</v>
      </c>
      <c r="E8" s="32">
        <f>'06_25'!F2</f>
        <v>15054.88</v>
      </c>
      <c r="F8" s="32">
        <f>'06_25'!G2</f>
        <v>-109005.52</v>
      </c>
      <c r="G8" s="33">
        <f t="shared" si="1"/>
        <v>-271023.63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'06_25'!E141/1000</f>
        <v>0.87226000000000004</v>
      </c>
    </row>
    <row r="9" spans="1:14">
      <c r="A9" t="s">
        <v>45</v>
      </c>
      <c r="B9" s="32">
        <f>'07_25'!D2</f>
        <v>15000</v>
      </c>
      <c r="C9" s="32">
        <f>'07_25'!E2</f>
        <v>-93124.89</v>
      </c>
      <c r="D9" s="33">
        <f t="shared" si="0"/>
        <v>-98015.600000000035</v>
      </c>
      <c r="E9" s="32">
        <f>'07_25'!F2</f>
        <v>0</v>
      </c>
      <c r="F9" s="32">
        <f>'07_25'!G2</f>
        <v>-40707.83</v>
      </c>
      <c r="G9" s="33">
        <f t="shared" si="1"/>
        <v>-311731.46000000002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'07_25'!E189/1000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-137047.44000000003</v>
      </c>
      <c r="E10" s="32">
        <f>'08_25'!F2</f>
        <v>0</v>
      </c>
      <c r="F10" s="32">
        <f>'08_25'!G2</f>
        <v>-1614.78</v>
      </c>
      <c r="G10" s="33">
        <f t="shared" si="1"/>
        <v>-313346.24000000005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-175089.50000000003</v>
      </c>
      <c r="E11" s="32">
        <f>'09_25'!F2</f>
        <v>0</v>
      </c>
      <c r="F11" s="32">
        <f>'09_25'!G2</f>
        <v>-625</v>
      </c>
      <c r="G11" s="33">
        <f t="shared" si="1"/>
        <v>-313971.24000000005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-212506.56000000003</v>
      </c>
      <c r="E12" s="32">
        <f>'10_25'!F2</f>
        <v>0</v>
      </c>
      <c r="F12" s="32">
        <f>'10_25'!G2</f>
        <v>0</v>
      </c>
      <c r="G12" s="33">
        <f t="shared" si="1"/>
        <v>-313971.24000000005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-249923.62000000002</v>
      </c>
      <c r="E13" s="32">
        <f>'11_25'!F2</f>
        <v>0</v>
      </c>
      <c r="F13" s="32">
        <f>'11_25'!G2</f>
        <v>0</v>
      </c>
      <c r="G13" s="33">
        <f t="shared" si="1"/>
        <v>-313971.24000000005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-287340.68000000005</v>
      </c>
      <c r="E14" s="32">
        <f>'12_25'!F2</f>
        <v>0</v>
      </c>
      <c r="F14" s="32">
        <f>'12_25'!G2</f>
        <v>0</v>
      </c>
      <c r="G14" s="33">
        <f t="shared" si="1"/>
        <v>-313971.24000000005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-896004.68000000017</v>
      </c>
      <c r="D15" s="33">
        <f>B15+C15</f>
        <v>-287340.68000000017</v>
      </c>
      <c r="E15" s="33">
        <f>SUM(E3:E14)</f>
        <v>432268.59</v>
      </c>
      <c r="F15" s="33">
        <f>SUM(F3:F14)</f>
        <v>-746239.83000000007</v>
      </c>
      <c r="G15" s="33">
        <f>E15+F15</f>
        <v>-313971.24000000005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-74667.056666666685</v>
      </c>
      <c r="D16" s="55"/>
      <c r="E16" s="55">
        <f>E15/A16</f>
        <v>36022.3825</v>
      </c>
      <c r="F16" s="55">
        <f>F15/A16</f>
        <v>-62186.652500000004</v>
      </c>
      <c r="G16" s="55">
        <f>G15/A16</f>
        <v>-26164.270000000004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73">
        <f>L15+M15</f>
        <v>976.10596800000008</v>
      </c>
      <c r="M17" s="573"/>
    </row>
    <row r="18" spans="2:13">
      <c r="D18" s="64" t="s">
        <v>58</v>
      </c>
      <c r="E18" s="2">
        <f>'01_25'!F32+'02_25'!F14+'02_25'!F26+'03_25'!F18+'04_25'!F41+'05_25'!F19+'06_25'!F22+'06_25'!F34+'04_25'!F14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1719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1720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125"/>
  <sheetViews>
    <sheetView tabSelected="1" topLeftCell="A3" zoomScale="145" zoomScaleNormal="145" workbookViewId="0">
      <selection activeCell="B5" sqref="B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-93124.89</v>
      </c>
      <c r="F2" s="77">
        <f>SUM(F4:F31)</f>
        <v>0</v>
      </c>
      <c r="G2" s="77">
        <f>SUM(G4:G31)</f>
        <v>-40707.83</v>
      </c>
      <c r="H2" s="77">
        <f>F2+G2</f>
        <v>-40707.83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>
        <v>45845</v>
      </c>
      <c r="B7" s="81" t="s">
        <v>68</v>
      </c>
      <c r="C7" s="85"/>
      <c r="D7" s="86"/>
      <c r="E7" s="86">
        <f>E35</f>
        <v>-39087.630000000005</v>
      </c>
      <c r="F7" s="87"/>
      <c r="G7" s="87">
        <f>E7</f>
        <v>-39087.630000000005</v>
      </c>
      <c r="H7" s="77">
        <f t="shared" si="0"/>
        <v>-39087.630000000005</v>
      </c>
    </row>
    <row r="8" spans="1:10">
      <c r="A8" s="80"/>
      <c r="B8" s="81" t="s">
        <v>69</v>
      </c>
      <c r="C8" s="85"/>
      <c r="D8" s="86"/>
      <c r="E8" s="86">
        <f>E115</f>
        <v>-1620.2</v>
      </c>
      <c r="F8" s="87"/>
      <c r="G8" s="87">
        <f>E8</f>
        <v>-1620.2</v>
      </c>
      <c r="H8" s="77">
        <f t="shared" si="0"/>
        <v>-40707.83</v>
      </c>
    </row>
    <row r="9" spans="1:10">
      <c r="G9" s="87"/>
      <c r="H9" s="77">
        <f t="shared" si="0"/>
        <v>-40707.83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-40707.83</v>
      </c>
    </row>
    <row r="11" spans="1:10">
      <c r="A11" s="386">
        <v>45845</v>
      </c>
      <c r="B11" s="89" t="s">
        <v>509</v>
      </c>
      <c r="C11" s="89"/>
      <c r="D11" s="90"/>
      <c r="E11" s="90">
        <v>-25000</v>
      </c>
      <c r="H11" s="77">
        <f t="shared" si="0"/>
        <v>-40707.83</v>
      </c>
      <c r="J11">
        <v>67000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-40707.83</v>
      </c>
      <c r="J12">
        <v>47</v>
      </c>
    </row>
    <row r="13" spans="1:10">
      <c r="A13" s="88"/>
      <c r="B13" s="92"/>
      <c r="C13" s="92"/>
      <c r="D13" s="90"/>
      <c r="E13" s="90"/>
      <c r="H13" s="77">
        <f t="shared" si="0"/>
        <v>-40707.83</v>
      </c>
      <c r="J13">
        <f>J11/J12</f>
        <v>1425.5319148936171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-40707.83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-40707.83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-40707.83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-40707.83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-40707.83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-40707.83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-40707.83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-40707.83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-40707.83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-40707.83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-40707.83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-40707.83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-40707.83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-40707.83</v>
      </c>
    </row>
    <row r="28" spans="1:13" s="78" customFormat="1">
      <c r="D28" s="77"/>
      <c r="E28" s="77"/>
      <c r="F28" s="77"/>
      <c r="G28" s="77"/>
      <c r="H28" s="77">
        <f t="shared" si="0"/>
        <v>-40707.83</v>
      </c>
    </row>
    <row r="29" spans="1:13">
      <c r="A29" s="100"/>
      <c r="B29" s="101" t="s">
        <v>92</v>
      </c>
      <c r="C29" s="101"/>
      <c r="H29" s="77">
        <f t="shared" si="0"/>
        <v>-40707.83</v>
      </c>
      <c r="I29" s="78"/>
      <c r="J29" s="78"/>
    </row>
    <row r="30" spans="1:13">
      <c r="A30" s="100"/>
      <c r="H30" s="77">
        <f t="shared" si="0"/>
        <v>-40707.83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-40707.83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SUM(E36:E113)</f>
        <v>-39087.630000000005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523</v>
      </c>
      <c r="E37" s="90">
        <v>-989.78</v>
      </c>
      <c r="F37" s="77">
        <v>0</v>
      </c>
      <c r="K37" s="78"/>
      <c r="L37" s="78"/>
      <c r="M37" s="78"/>
      <c r="N37" s="78"/>
    </row>
    <row r="38" spans="1:14" s="90" customFormat="1">
      <c r="A38" s="88">
        <v>45811</v>
      </c>
      <c r="B38" s="90" t="s">
        <v>1844</v>
      </c>
      <c r="C38" s="90">
        <v>5250</v>
      </c>
      <c r="D38" s="90" t="s">
        <v>1843</v>
      </c>
      <c r="E38" s="90">
        <v>-1750</v>
      </c>
      <c r="F38" s="90">
        <v>0</v>
      </c>
      <c r="K38" s="78"/>
      <c r="L38" s="78"/>
      <c r="M38" s="78"/>
      <c r="N38" s="78"/>
    </row>
    <row r="39" spans="1:14" s="90" customFormat="1">
      <c r="A39" s="88">
        <v>45811</v>
      </c>
      <c r="B39" s="90" t="s">
        <v>1844</v>
      </c>
      <c r="C39" s="90">
        <v>5250</v>
      </c>
      <c r="D39" s="90" t="s">
        <v>1843</v>
      </c>
      <c r="E39" s="90">
        <v>-1750</v>
      </c>
      <c r="F39" s="90">
        <v>0</v>
      </c>
      <c r="K39" s="78"/>
      <c r="L39" s="78"/>
      <c r="M39" s="78"/>
      <c r="N39" s="78"/>
    </row>
    <row r="40" spans="1:14" s="90" customFormat="1">
      <c r="A40" s="88">
        <v>45811</v>
      </c>
      <c r="B40" s="90" t="s">
        <v>443</v>
      </c>
      <c r="C40" s="90">
        <v>5250</v>
      </c>
      <c r="D40" s="90" t="s">
        <v>1861</v>
      </c>
      <c r="E40" s="90">
        <v>-1750</v>
      </c>
      <c r="F40" s="90">
        <v>0</v>
      </c>
      <c r="K40" s="78"/>
      <c r="L40" s="78"/>
      <c r="M40" s="78"/>
      <c r="N40" s="78"/>
    </row>
    <row r="41" spans="1:14" s="90" customFormat="1">
      <c r="A41" s="88">
        <v>45811</v>
      </c>
      <c r="B41" s="90" t="s">
        <v>1842</v>
      </c>
      <c r="C41" s="90">
        <v>14500</v>
      </c>
      <c r="D41" s="90" t="s">
        <v>1861</v>
      </c>
      <c r="E41" s="90">
        <v>-4833.33</v>
      </c>
      <c r="F41" s="90">
        <v>0</v>
      </c>
      <c r="K41" s="78"/>
      <c r="L41" s="78"/>
      <c r="M41" s="78"/>
      <c r="N41" s="78"/>
    </row>
    <row r="42" spans="1:14" s="90" customFormat="1">
      <c r="A42" s="88">
        <v>45817</v>
      </c>
      <c r="B42" s="90" t="s">
        <v>1872</v>
      </c>
      <c r="D42" s="90" t="s">
        <v>1873</v>
      </c>
      <c r="E42" s="90">
        <v>-406.67</v>
      </c>
      <c r="F42" s="90">
        <v>0</v>
      </c>
      <c r="K42" s="78"/>
      <c r="L42" s="78"/>
      <c r="M42" s="78"/>
      <c r="N42" s="78"/>
    </row>
    <row r="43" spans="1:14" s="90" customFormat="1">
      <c r="A43" s="100">
        <v>45790</v>
      </c>
      <c r="B43" s="107" t="s">
        <v>338</v>
      </c>
      <c r="C43" s="90">
        <v>1407.46</v>
      </c>
      <c r="D43" s="90" t="s">
        <v>659</v>
      </c>
      <c r="E43" s="90">
        <v>-234.58</v>
      </c>
      <c r="F43" s="90">
        <v>0</v>
      </c>
      <c r="K43" s="78"/>
      <c r="L43" s="78"/>
      <c r="M43" s="78"/>
      <c r="N43" s="78"/>
    </row>
    <row r="44" spans="1:14" s="77" customFormat="1">
      <c r="A44" s="100">
        <v>45828</v>
      </c>
      <c r="B44" s="107" t="s">
        <v>1902</v>
      </c>
      <c r="C44" s="77">
        <v>6500</v>
      </c>
      <c r="D44" s="90" t="s">
        <v>1861</v>
      </c>
      <c r="E44" s="77">
        <v>-2166.67</v>
      </c>
      <c r="K44" s="78"/>
      <c r="L44" s="78"/>
      <c r="M44" s="78"/>
      <c r="N44" s="78"/>
    </row>
    <row r="45" spans="1:14" s="77" customFormat="1">
      <c r="A45" s="100">
        <v>45805</v>
      </c>
      <c r="B45" s="107" t="s">
        <v>126</v>
      </c>
      <c r="C45" s="204">
        <v>1380</v>
      </c>
      <c r="D45" s="90" t="s">
        <v>1861</v>
      </c>
      <c r="E45" s="90">
        <v>-460</v>
      </c>
      <c r="F45" s="90">
        <v>0</v>
      </c>
      <c r="K45" s="78"/>
      <c r="L45" s="78"/>
      <c r="M45" s="78"/>
      <c r="N45" s="78"/>
    </row>
    <row r="46" spans="1:14">
      <c r="A46" s="100">
        <v>45805</v>
      </c>
      <c r="B46" s="107" t="s">
        <v>126</v>
      </c>
      <c r="C46" s="204">
        <v>4373.6000000000004</v>
      </c>
      <c r="D46" s="90" t="s">
        <v>1861</v>
      </c>
      <c r="E46" s="90">
        <v>-1457.87</v>
      </c>
      <c r="F46" s="90">
        <v>0</v>
      </c>
      <c r="I46" s="77"/>
      <c r="J46" s="77"/>
    </row>
    <row r="47" spans="1:14" s="77" customFormat="1">
      <c r="A47"/>
      <c r="B47" s="90" t="s">
        <v>1837</v>
      </c>
      <c r="C47" s="90">
        <v>0</v>
      </c>
      <c r="I47"/>
      <c r="J47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90" customFormat="1">
      <c r="K49" s="78"/>
      <c r="L49" s="78"/>
      <c r="M49" s="78"/>
      <c r="N49" s="78"/>
    </row>
    <row r="50" spans="1:14" s="77" customFormat="1">
      <c r="K50" s="78"/>
      <c r="L50" s="78"/>
      <c r="M50" s="78"/>
      <c r="N50" s="78"/>
    </row>
    <row r="51" spans="1:14" s="77" customFormat="1">
      <c r="K51" s="78"/>
      <c r="L51" s="78"/>
      <c r="M51" s="78"/>
      <c r="N51" s="78"/>
    </row>
    <row r="52" spans="1:14" s="77" customFormat="1"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100">
        <v>45802</v>
      </c>
      <c r="B54" s="107" t="s">
        <v>1612</v>
      </c>
      <c r="C54" s="106"/>
      <c r="E54" s="77">
        <v>-80</v>
      </c>
      <c r="K54" s="78"/>
      <c r="L54" s="78"/>
      <c r="M54" s="78"/>
      <c r="N54" s="78"/>
    </row>
    <row r="55" spans="1:14" s="90" customFormat="1">
      <c r="A55" s="100">
        <v>45802</v>
      </c>
      <c r="B55" s="107" t="s">
        <v>1840</v>
      </c>
      <c r="C55" s="77"/>
      <c r="D55" s="77"/>
      <c r="E55" s="77">
        <v>-120</v>
      </c>
      <c r="F55" s="77">
        <v>0</v>
      </c>
      <c r="K55" s="78"/>
      <c r="L55" s="78"/>
      <c r="M55" s="78"/>
      <c r="N55" s="78"/>
    </row>
    <row r="56" spans="1:14" s="90" customFormat="1">
      <c r="A56" s="100">
        <v>45802</v>
      </c>
      <c r="B56" s="107" t="s">
        <v>1841</v>
      </c>
      <c r="C56" s="106"/>
      <c r="D56" s="77"/>
      <c r="E56" s="77">
        <v>-200</v>
      </c>
      <c r="F56" s="77">
        <v>0</v>
      </c>
      <c r="K56" s="78"/>
      <c r="L56" s="78"/>
      <c r="M56" s="78"/>
      <c r="N56" s="78"/>
    </row>
    <row r="57" spans="1:14" s="90" customFormat="1">
      <c r="A57" s="100">
        <v>45802</v>
      </c>
      <c r="B57" s="107" t="s">
        <v>1840</v>
      </c>
      <c r="C57" s="106"/>
      <c r="D57" s="77"/>
      <c r="E57" s="77">
        <v>-350</v>
      </c>
      <c r="F57" s="77">
        <v>0</v>
      </c>
      <c r="K57" s="78"/>
      <c r="L57" s="78"/>
      <c r="M57" s="78"/>
      <c r="N57" s="78"/>
    </row>
    <row r="58" spans="1:14" s="90" customFormat="1">
      <c r="A58" s="100"/>
      <c r="C58" s="106"/>
      <c r="E58" s="90">
        <v>-250</v>
      </c>
      <c r="K58" s="78"/>
      <c r="L58" s="78"/>
      <c r="M58" s="78"/>
      <c r="N58" s="78"/>
    </row>
    <row r="59" spans="1:14" s="90" customFormat="1">
      <c r="A59" s="100">
        <v>45803</v>
      </c>
      <c r="B59" s="106" t="s">
        <v>1839</v>
      </c>
      <c r="C59" s="106"/>
      <c r="D59" s="77"/>
      <c r="E59" s="77">
        <v>-250</v>
      </c>
      <c r="F59" s="77">
        <v>0</v>
      </c>
      <c r="K59" s="78"/>
      <c r="L59" s="78"/>
      <c r="M59" s="78"/>
      <c r="N59" s="78"/>
    </row>
    <row r="60" spans="1:14" s="90" customFormat="1">
      <c r="A60" s="88">
        <v>45804</v>
      </c>
      <c r="B60" s="77" t="s">
        <v>1818</v>
      </c>
      <c r="C60" s="77"/>
      <c r="D60" s="77"/>
      <c r="E60" s="77">
        <v>-1380</v>
      </c>
      <c r="F60" s="77">
        <v>0</v>
      </c>
      <c r="K60" s="78"/>
      <c r="L60" s="78"/>
      <c r="M60" s="78"/>
      <c r="N60" s="78"/>
    </row>
    <row r="61" spans="1:14" s="90" customFormat="1">
      <c r="A61" s="100">
        <v>45804</v>
      </c>
      <c r="B61" s="90" t="s">
        <v>1838</v>
      </c>
      <c r="C61" s="106"/>
      <c r="D61" s="77"/>
      <c r="E61" s="77">
        <v>-4373.6000000000004</v>
      </c>
      <c r="F61" s="77">
        <v>0</v>
      </c>
      <c r="K61" s="78"/>
      <c r="L61" s="78"/>
      <c r="M61" s="78"/>
      <c r="N61" s="78"/>
    </row>
    <row r="62" spans="1:14" s="90" customFormat="1">
      <c r="A62" s="88">
        <v>45804</v>
      </c>
      <c r="B62" s="77" t="s">
        <v>1836</v>
      </c>
      <c r="C62" s="77"/>
      <c r="D62" s="77"/>
      <c r="E62" s="77">
        <v>-234.3</v>
      </c>
      <c r="F62" s="77">
        <v>0</v>
      </c>
      <c r="K62" s="78"/>
      <c r="L62" s="78"/>
      <c r="M62" s="78"/>
      <c r="N62" s="78"/>
    </row>
    <row r="63" spans="1:14" s="90" customFormat="1">
      <c r="A63" s="88">
        <v>45805</v>
      </c>
      <c r="B63" s="77" t="s">
        <v>1612</v>
      </c>
      <c r="C63" s="77"/>
      <c r="D63" s="77"/>
      <c r="E63" s="77">
        <v>-80</v>
      </c>
      <c r="F63" s="77">
        <v>1</v>
      </c>
      <c r="G63" s="77"/>
      <c r="K63" s="78"/>
      <c r="L63" s="78"/>
      <c r="M63" s="78"/>
      <c r="N63" s="78"/>
    </row>
    <row r="64" spans="1:14" s="90" customFormat="1">
      <c r="A64" s="100"/>
      <c r="B64" s="107"/>
      <c r="C64" s="106"/>
      <c r="K64" s="78"/>
      <c r="L64" s="78"/>
      <c r="M64" s="78"/>
      <c r="N64" s="78"/>
    </row>
    <row r="65" spans="1:14" s="90" customFormat="1">
      <c r="A65" s="100">
        <v>45805</v>
      </c>
      <c r="B65" s="107" t="s">
        <v>651</v>
      </c>
      <c r="C65" s="106"/>
      <c r="E65" s="90">
        <v>-575</v>
      </c>
      <c r="F65" s="90">
        <v>0</v>
      </c>
      <c r="K65" s="78"/>
      <c r="L65" s="78"/>
      <c r="M65" s="78"/>
      <c r="N65" s="78"/>
    </row>
    <row r="66" spans="1:14" s="90" customFormat="1">
      <c r="A66" s="100">
        <v>45805</v>
      </c>
      <c r="B66" s="107" t="s">
        <v>126</v>
      </c>
      <c r="C66" s="204" t="s">
        <v>1895</v>
      </c>
      <c r="D66" s="90" t="s">
        <v>1843</v>
      </c>
      <c r="E66" s="90">
        <v>1380</v>
      </c>
      <c r="F66" s="90">
        <v>0</v>
      </c>
      <c r="K66" s="78"/>
      <c r="L66" s="78"/>
      <c r="M66" s="78"/>
      <c r="N66" s="78"/>
    </row>
    <row r="67" spans="1:14" s="90" customFormat="1">
      <c r="A67" s="100">
        <v>45805</v>
      </c>
      <c r="B67" s="107" t="s">
        <v>126</v>
      </c>
      <c r="C67" s="204" t="s">
        <v>1895</v>
      </c>
      <c r="D67" s="90" t="s">
        <v>1843</v>
      </c>
      <c r="E67" s="90">
        <v>4373.6000000000004</v>
      </c>
      <c r="F67" s="90">
        <v>0</v>
      </c>
      <c r="K67" s="78"/>
      <c r="L67" s="78"/>
      <c r="M67" s="78"/>
      <c r="N67" s="78"/>
    </row>
    <row r="68" spans="1:14" s="90" customFormat="1">
      <c r="A68" s="100">
        <v>45806</v>
      </c>
      <c r="B68" s="107" t="s">
        <v>127</v>
      </c>
      <c r="C68" s="106"/>
      <c r="E68" s="90">
        <v>-112.44</v>
      </c>
      <c r="F68" s="90">
        <v>0</v>
      </c>
      <c r="K68" s="78"/>
      <c r="L68" s="78"/>
      <c r="M68" s="78"/>
      <c r="N68" s="78"/>
    </row>
    <row r="69" spans="1:14" s="90" customFormat="1">
      <c r="A69" s="100">
        <v>45807</v>
      </c>
      <c r="B69" s="107" t="s">
        <v>651</v>
      </c>
      <c r="C69" s="106"/>
      <c r="E69" s="90">
        <v>-500</v>
      </c>
      <c r="F69" s="90">
        <v>0</v>
      </c>
      <c r="K69" s="78"/>
      <c r="L69" s="78"/>
      <c r="M69" s="78"/>
      <c r="N69" s="78"/>
    </row>
    <row r="70" spans="1:14" s="90" customFormat="1">
      <c r="A70" s="100">
        <v>45808</v>
      </c>
      <c r="B70" s="107" t="s">
        <v>127</v>
      </c>
      <c r="C70" s="106"/>
      <c r="E70" s="90">
        <v>-61.44</v>
      </c>
      <c r="F70" s="90">
        <v>0</v>
      </c>
      <c r="K70" s="78"/>
      <c r="L70" s="78"/>
      <c r="M70" s="78"/>
      <c r="N70" s="78"/>
    </row>
    <row r="71" spans="1:14" s="90" customFormat="1">
      <c r="A71" s="100">
        <v>45811</v>
      </c>
      <c r="B71" s="107" t="s">
        <v>1628</v>
      </c>
      <c r="C71" s="106"/>
      <c r="E71" s="90">
        <v>-850</v>
      </c>
      <c r="F71" s="90">
        <v>0</v>
      </c>
      <c r="K71" s="78"/>
      <c r="L71" s="78"/>
      <c r="M71" s="78"/>
      <c r="N71" s="78"/>
    </row>
    <row r="72" spans="1:14" s="90" customFormat="1">
      <c r="A72" s="100">
        <v>45811</v>
      </c>
      <c r="B72" s="107" t="s">
        <v>1877</v>
      </c>
      <c r="C72" s="106"/>
      <c r="E72" s="90">
        <v>-195</v>
      </c>
      <c r="F72" s="90">
        <v>0</v>
      </c>
      <c r="K72" s="78"/>
      <c r="L72" s="78"/>
      <c r="M72" s="78"/>
      <c r="N72" s="78"/>
    </row>
    <row r="73" spans="1:14" s="90" customFormat="1">
      <c r="A73" s="100">
        <v>45811</v>
      </c>
      <c r="B73" s="107" t="s">
        <v>1876</v>
      </c>
      <c r="C73" s="106"/>
      <c r="E73" s="90">
        <v>-494</v>
      </c>
      <c r="F73" s="90">
        <v>0</v>
      </c>
      <c r="K73" s="78"/>
      <c r="L73" s="78"/>
      <c r="M73" s="78"/>
      <c r="N73" s="78"/>
    </row>
    <row r="74" spans="1:14" s="90" customFormat="1">
      <c r="A74" s="100">
        <v>45812</v>
      </c>
      <c r="B74" s="107" t="s">
        <v>1862</v>
      </c>
      <c r="C74" s="106"/>
      <c r="E74" s="90">
        <v>-150</v>
      </c>
      <c r="F74" s="90">
        <v>0</v>
      </c>
      <c r="K74" s="78"/>
      <c r="L74" s="78"/>
      <c r="M74" s="78"/>
      <c r="N74" s="78"/>
    </row>
    <row r="75" spans="1:14" s="90" customFormat="1">
      <c r="A75" s="100">
        <v>45812</v>
      </c>
      <c r="B75" s="107" t="s">
        <v>129</v>
      </c>
      <c r="C75" s="106">
        <v>21573.62</v>
      </c>
      <c r="K75" s="78"/>
      <c r="L75" s="78"/>
      <c r="M75" s="78"/>
      <c r="N75" s="78"/>
    </row>
    <row r="76" spans="1:14" s="90" customFormat="1">
      <c r="A76" s="100">
        <v>45934</v>
      </c>
      <c r="B76" s="107" t="s">
        <v>1863</v>
      </c>
      <c r="C76" s="106"/>
      <c r="E76" s="90">
        <v>-40</v>
      </c>
      <c r="F76" s="90">
        <v>0</v>
      </c>
      <c r="K76" s="78"/>
      <c r="L76" s="78"/>
      <c r="M76" s="78"/>
      <c r="N76" s="78"/>
    </row>
    <row r="77" spans="1:14" s="90" customFormat="1">
      <c r="A77" s="100">
        <v>45813</v>
      </c>
      <c r="B77" s="107"/>
      <c r="C77" s="106"/>
      <c r="E77" s="90">
        <v>-250</v>
      </c>
      <c r="F77" s="90">
        <v>0</v>
      </c>
      <c r="K77" s="78"/>
      <c r="L77" s="78"/>
      <c r="M77" s="78"/>
      <c r="N77" s="78"/>
    </row>
    <row r="78" spans="1:14" s="90" customFormat="1">
      <c r="A78" s="100">
        <v>45813</v>
      </c>
      <c r="B78" s="107"/>
      <c r="C78" s="106"/>
      <c r="E78" s="90">
        <v>-340</v>
      </c>
      <c r="F78" s="90">
        <v>0</v>
      </c>
      <c r="K78" s="78"/>
      <c r="L78" s="78"/>
      <c r="M78" s="78"/>
      <c r="N78" s="78"/>
    </row>
    <row r="79" spans="1:14" s="90" customFormat="1">
      <c r="A79" s="100">
        <v>45813</v>
      </c>
      <c r="B79" s="107"/>
      <c r="C79" s="106"/>
      <c r="E79" s="90">
        <v>-350</v>
      </c>
      <c r="F79" s="90">
        <v>0</v>
      </c>
      <c r="K79" s="78"/>
      <c r="L79" s="78"/>
      <c r="M79" s="78"/>
      <c r="N79" s="78"/>
    </row>
    <row r="80" spans="1:14" s="90" customFormat="1">
      <c r="A80" s="100">
        <v>45813</v>
      </c>
      <c r="B80" s="107" t="s">
        <v>1875</v>
      </c>
      <c r="C80" s="106"/>
      <c r="E80" s="90">
        <v>-950</v>
      </c>
      <c r="F80" s="90">
        <v>0</v>
      </c>
      <c r="K80" s="78"/>
      <c r="L80" s="78"/>
      <c r="M80" s="78"/>
      <c r="N80" s="78"/>
    </row>
    <row r="81" spans="1:14" s="90" customFormat="1">
      <c r="A81" s="100">
        <v>45813</v>
      </c>
      <c r="B81" s="107" t="s">
        <v>1864</v>
      </c>
      <c r="C81" s="106"/>
      <c r="E81" s="90">
        <v>-160</v>
      </c>
      <c r="F81" s="90">
        <v>0</v>
      </c>
      <c r="K81" s="78"/>
      <c r="L81" s="78"/>
      <c r="M81" s="78"/>
      <c r="N81" s="78"/>
    </row>
    <row r="82" spans="1:14" s="90" customFormat="1">
      <c r="A82" s="100">
        <v>45813</v>
      </c>
      <c r="B82" s="107" t="s">
        <v>1865</v>
      </c>
      <c r="C82" s="106"/>
      <c r="E82" s="90">
        <v>-795.29</v>
      </c>
      <c r="F82" s="90">
        <v>0</v>
      </c>
      <c r="K82" s="78"/>
      <c r="L82" s="78"/>
      <c r="M82" s="78"/>
      <c r="N82" s="78"/>
    </row>
    <row r="83" spans="1:14" s="90" customFormat="1">
      <c r="A83" s="100">
        <v>45815</v>
      </c>
      <c r="B83" s="107"/>
      <c r="C83" s="106"/>
      <c r="E83" s="90">
        <v>-400</v>
      </c>
      <c r="F83" s="90">
        <v>0</v>
      </c>
      <c r="K83" s="78"/>
      <c r="L83" s="78"/>
      <c r="M83" s="78"/>
      <c r="N83" s="78"/>
    </row>
    <row r="84" spans="1:14" s="90" customFormat="1">
      <c r="A84" s="100">
        <v>45815</v>
      </c>
      <c r="B84" s="107" t="s">
        <v>1878</v>
      </c>
      <c r="C84" s="106"/>
      <c r="E84" s="90">
        <v>-3570</v>
      </c>
      <c r="F84" s="90">
        <v>0</v>
      </c>
      <c r="K84" s="78"/>
      <c r="L84" s="78"/>
      <c r="M84" s="78"/>
      <c r="N84" s="78"/>
    </row>
    <row r="85" spans="1:14" s="90" customFormat="1">
      <c r="A85" s="100">
        <v>45816</v>
      </c>
      <c r="B85" s="107" t="s">
        <v>1866</v>
      </c>
      <c r="C85" s="106"/>
      <c r="E85" s="90">
        <v>-520</v>
      </c>
      <c r="F85" s="90">
        <v>0</v>
      </c>
      <c r="K85" s="78"/>
      <c r="L85" s="78"/>
      <c r="M85" s="78"/>
      <c r="N85" s="78"/>
    </row>
    <row r="86" spans="1:14" s="90" customFormat="1">
      <c r="A86" s="100">
        <v>45816</v>
      </c>
      <c r="B86" s="107" t="s">
        <v>1867</v>
      </c>
      <c r="C86" s="106"/>
      <c r="E86" s="90">
        <v>-580</v>
      </c>
      <c r="F86" s="90">
        <v>0</v>
      </c>
      <c r="K86" s="78"/>
      <c r="L86" s="78"/>
      <c r="M86" s="78"/>
      <c r="N86" s="78"/>
    </row>
    <row r="87" spans="1:14" s="90" customFormat="1">
      <c r="A87" s="100">
        <v>45813</v>
      </c>
      <c r="B87" s="107" t="s">
        <v>1868</v>
      </c>
      <c r="C87" s="106"/>
      <c r="E87" s="90">
        <v>-1500</v>
      </c>
      <c r="F87" s="90">
        <v>0</v>
      </c>
      <c r="K87" s="78"/>
      <c r="L87" s="78"/>
      <c r="M87" s="78"/>
      <c r="N87" s="78"/>
    </row>
    <row r="88" spans="1:14" s="90" customFormat="1">
      <c r="A88" s="100"/>
      <c r="B88" s="107" t="s">
        <v>1869</v>
      </c>
      <c r="C88" s="106"/>
      <c r="E88" s="90">
        <v>-149.94999999999999</v>
      </c>
      <c r="F88" s="90">
        <v>0</v>
      </c>
      <c r="K88" s="78"/>
      <c r="L88" s="78"/>
      <c r="M88" s="78"/>
      <c r="N88" s="78"/>
    </row>
    <row r="89" spans="1:14" s="90" customFormat="1">
      <c r="A89" s="100">
        <v>45817</v>
      </c>
      <c r="B89" s="107" t="s">
        <v>1870</v>
      </c>
      <c r="C89" s="106"/>
      <c r="E89" s="90">
        <v>-1304.99</v>
      </c>
      <c r="F89" s="90">
        <v>0</v>
      </c>
      <c r="K89" s="78"/>
      <c r="L89" s="78"/>
      <c r="M89" s="78"/>
      <c r="N89" s="78"/>
    </row>
    <row r="90" spans="1:14" s="90" customFormat="1">
      <c r="A90" s="100">
        <v>45817</v>
      </c>
      <c r="B90" s="107" t="s">
        <v>1871</v>
      </c>
      <c r="C90" s="106"/>
      <c r="E90" s="90">
        <v>-1199.99</v>
      </c>
      <c r="F90" s="90">
        <v>0</v>
      </c>
      <c r="K90" s="78"/>
      <c r="L90" s="78"/>
      <c r="M90" s="78"/>
      <c r="N90" s="78"/>
    </row>
    <row r="91" spans="1:14" s="90" customFormat="1">
      <c r="A91" s="100">
        <v>45817</v>
      </c>
      <c r="B91" s="107"/>
      <c r="C91" s="106"/>
      <c r="E91" s="90">
        <v>-558</v>
      </c>
      <c r="F91" s="90">
        <v>0</v>
      </c>
      <c r="K91" s="78"/>
      <c r="L91" s="78"/>
      <c r="M91" s="78"/>
      <c r="N91" s="78"/>
    </row>
    <row r="92" spans="1:14" s="90" customFormat="1">
      <c r="A92" s="100">
        <v>45818</v>
      </c>
      <c r="B92" s="107" t="s">
        <v>1874</v>
      </c>
      <c r="C92" s="106"/>
      <c r="E92" s="90">
        <v>-240</v>
      </c>
      <c r="F92" s="90">
        <v>0</v>
      </c>
      <c r="K92" s="78"/>
      <c r="L92" s="78"/>
      <c r="M92" s="78"/>
      <c r="N92" s="78"/>
    </row>
    <row r="93" spans="1:14" s="90" customFormat="1">
      <c r="A93" s="100">
        <v>45820</v>
      </c>
      <c r="B93" s="107" t="s">
        <v>127</v>
      </c>
      <c r="C93" s="106"/>
      <c r="E93" s="90">
        <v>-101.31</v>
      </c>
      <c r="F93" s="90">
        <v>101.31</v>
      </c>
      <c r="K93" s="78"/>
      <c r="L93" s="78"/>
      <c r="M93" s="78"/>
      <c r="N93" s="78"/>
    </row>
    <row r="94" spans="1:14" s="90" customFormat="1">
      <c r="A94" s="100">
        <v>45821</v>
      </c>
      <c r="B94" s="107" t="s">
        <v>1896</v>
      </c>
      <c r="C94" s="106"/>
      <c r="E94" s="90">
        <v>-315</v>
      </c>
      <c r="K94" s="78"/>
      <c r="L94" s="78"/>
      <c r="M94" s="78"/>
      <c r="N94" s="78"/>
    </row>
    <row r="95" spans="1:14" s="90" customFormat="1">
      <c r="A95" s="100">
        <v>45913</v>
      </c>
      <c r="B95" s="107" t="s">
        <v>1896</v>
      </c>
      <c r="C95" s="106"/>
      <c r="E95" s="90">
        <v>-60</v>
      </c>
      <c r="K95" s="78"/>
      <c r="L95" s="78"/>
      <c r="M95" s="78"/>
      <c r="N95" s="78"/>
    </row>
    <row r="96" spans="1:14" s="90" customFormat="1">
      <c r="A96" s="100">
        <v>45821</v>
      </c>
      <c r="B96" s="107" t="s">
        <v>1897</v>
      </c>
      <c r="C96" s="106"/>
      <c r="E96" s="90">
        <v>-1425</v>
      </c>
      <c r="K96" s="78"/>
      <c r="L96" s="78"/>
      <c r="M96" s="78"/>
      <c r="N96" s="78"/>
    </row>
    <row r="97" spans="1:14" s="90" customFormat="1">
      <c r="A97" s="100">
        <v>45822</v>
      </c>
      <c r="B97" s="107" t="s">
        <v>127</v>
      </c>
      <c r="C97" s="106"/>
      <c r="E97" s="90">
        <v>-510.46</v>
      </c>
      <c r="K97" s="78"/>
      <c r="L97" s="78"/>
      <c r="M97" s="78"/>
      <c r="N97" s="78"/>
    </row>
    <row r="98" spans="1:14" s="90" customFormat="1">
      <c r="A98" s="100">
        <v>45824</v>
      </c>
      <c r="B98" s="107" t="s">
        <v>1898</v>
      </c>
      <c r="C98" s="106"/>
      <c r="E98" s="90">
        <v>-260</v>
      </c>
      <c r="K98" s="78"/>
      <c r="L98" s="78"/>
      <c r="M98" s="78"/>
      <c r="N98" s="78"/>
    </row>
    <row r="99" spans="1:14" s="90" customFormat="1">
      <c r="A99" s="100">
        <v>45825</v>
      </c>
      <c r="B99" s="107" t="s">
        <v>651</v>
      </c>
      <c r="C99" s="106"/>
      <c r="E99" s="90">
        <v>-300</v>
      </c>
      <c r="K99" s="78"/>
      <c r="L99" s="78"/>
      <c r="M99" s="78"/>
      <c r="N99" s="78"/>
    </row>
    <row r="100" spans="1:14" s="90" customFormat="1">
      <c r="A100" s="100">
        <v>45825</v>
      </c>
      <c r="B100" s="107" t="s">
        <v>1896</v>
      </c>
      <c r="C100" s="106"/>
      <c r="E100" s="90">
        <v>-300</v>
      </c>
      <c r="K100" s="78"/>
      <c r="L100" s="78"/>
      <c r="M100" s="78"/>
      <c r="N100" s="78"/>
    </row>
    <row r="101" spans="1:14" s="90" customFormat="1">
      <c r="A101" s="100">
        <v>45826</v>
      </c>
      <c r="B101" s="107" t="s">
        <v>1896</v>
      </c>
      <c r="C101" s="106"/>
      <c r="E101" s="90">
        <v>-280</v>
      </c>
      <c r="K101" s="78"/>
      <c r="L101" s="78"/>
      <c r="M101" s="78"/>
      <c r="N101" s="78"/>
    </row>
    <row r="102" spans="1:14" s="90" customFormat="1">
      <c r="A102" s="100">
        <v>45826</v>
      </c>
      <c r="B102" s="107" t="s">
        <v>127</v>
      </c>
      <c r="C102" s="106"/>
      <c r="E102" s="90">
        <v>-304.55</v>
      </c>
      <c r="K102" s="78"/>
      <c r="L102" s="78"/>
      <c r="M102" s="78"/>
      <c r="N102" s="78"/>
    </row>
    <row r="103" spans="1:14" s="90" customFormat="1">
      <c r="A103" s="100">
        <v>45827</v>
      </c>
      <c r="B103" s="107" t="s">
        <v>1612</v>
      </c>
      <c r="C103" s="106"/>
      <c r="E103" s="90">
        <v>-200</v>
      </c>
      <c r="K103" s="78"/>
      <c r="L103" s="78"/>
      <c r="M103" s="78"/>
      <c r="N103" s="78"/>
    </row>
    <row r="104" spans="1:14" s="90" customFormat="1">
      <c r="A104" s="100">
        <v>45827</v>
      </c>
      <c r="B104" s="107" t="s">
        <v>127</v>
      </c>
      <c r="C104" s="106"/>
      <c r="E104" s="90">
        <v>-82.01</v>
      </c>
      <c r="K104" s="78"/>
      <c r="L104" s="78"/>
      <c r="M104" s="78"/>
      <c r="N104" s="78"/>
    </row>
    <row r="105" spans="1:14" s="90" customFormat="1">
      <c r="A105" s="100">
        <v>45828</v>
      </c>
      <c r="B105" s="90" t="s">
        <v>1899</v>
      </c>
      <c r="C105" s="106"/>
      <c r="E105" s="90">
        <v>-710</v>
      </c>
      <c r="K105" s="78"/>
      <c r="L105" s="78"/>
      <c r="M105" s="78"/>
      <c r="N105" s="78"/>
    </row>
    <row r="106" spans="1:14" s="90" customFormat="1">
      <c r="A106" s="100">
        <v>45829</v>
      </c>
      <c r="B106" s="107" t="s">
        <v>1896</v>
      </c>
      <c r="C106" s="106"/>
      <c r="E106" s="90">
        <v>-280</v>
      </c>
      <c r="K106" s="78"/>
      <c r="L106" s="78"/>
      <c r="M106" s="78"/>
      <c r="N106" s="78"/>
    </row>
    <row r="107" spans="1:14" s="90" customFormat="1">
      <c r="A107" s="100">
        <v>45832</v>
      </c>
      <c r="B107" s="107" t="s">
        <v>1900</v>
      </c>
      <c r="C107" s="106"/>
      <c r="E107" s="90">
        <v>-500</v>
      </c>
      <c r="K107" s="78"/>
      <c r="L107" s="78"/>
      <c r="M107" s="78"/>
      <c r="N107" s="78"/>
    </row>
    <row r="108" spans="1:14" s="90" customFormat="1">
      <c r="A108" s="100">
        <v>45832</v>
      </c>
      <c r="B108" s="107" t="s">
        <v>1901</v>
      </c>
      <c r="C108" s="106"/>
      <c r="E108" s="90">
        <v>-250</v>
      </c>
      <c r="K108" s="78"/>
      <c r="L108" s="78"/>
      <c r="M108" s="78"/>
      <c r="N108" s="78"/>
    </row>
    <row r="109" spans="1:14" s="90" customFormat="1">
      <c r="A109" s="100"/>
      <c r="B109" s="107"/>
      <c r="C109" s="106"/>
      <c r="K109" s="78"/>
      <c r="L109" s="78"/>
      <c r="M109" s="78"/>
      <c r="N109" s="78"/>
    </row>
    <row r="110" spans="1:14" s="90" customFormat="1">
      <c r="A110" s="100"/>
      <c r="B110" s="107"/>
      <c r="C110" s="106"/>
      <c r="K110" s="78"/>
      <c r="L110" s="78"/>
      <c r="M110" s="78"/>
      <c r="N110" s="78"/>
    </row>
    <row r="111" spans="1:14" s="90" customFormat="1">
      <c r="A111" s="100"/>
      <c r="B111" s="107"/>
      <c r="C111" s="106"/>
      <c r="K111" s="78"/>
      <c r="L111" s="78"/>
      <c r="M111" s="78"/>
      <c r="N111" s="78"/>
    </row>
    <row r="112" spans="1:14" s="90" customFormat="1">
      <c r="A112" s="100"/>
      <c r="B112" s="107"/>
      <c r="C112" s="106"/>
      <c r="K112" s="78"/>
      <c r="L112" s="78"/>
      <c r="M112" s="78"/>
      <c r="N112" s="78"/>
    </row>
    <row r="113" spans="1:14" s="77" customFormat="1">
      <c r="A113" s="100"/>
      <c r="B113" s="3"/>
      <c r="K113" s="78"/>
      <c r="L113" s="78"/>
      <c r="M113" s="78"/>
      <c r="N113" s="78"/>
    </row>
    <row r="114" spans="1:14" s="77" customFormat="1">
      <c r="A114" s="100"/>
      <c r="B114" s="106"/>
      <c r="C114" s="106"/>
      <c r="K114" s="78"/>
      <c r="L114" s="78"/>
      <c r="M114" s="78"/>
      <c r="N114" s="78"/>
    </row>
    <row r="115" spans="1:14" s="77" customFormat="1">
      <c r="A115" s="103"/>
      <c r="B115" s="104" t="s">
        <v>85</v>
      </c>
      <c r="C115" s="103"/>
      <c r="E115" s="77">
        <f>SUM(E116:E119)</f>
        <v>-1620.2</v>
      </c>
      <c r="K115" s="78"/>
      <c r="L115" s="78"/>
      <c r="M115" s="78"/>
      <c r="N115" s="78"/>
    </row>
    <row r="116" spans="1:14" s="77" customFormat="1">
      <c r="A116" s="100"/>
      <c r="B116" s="106"/>
      <c r="C116" s="106"/>
      <c r="K116" s="78"/>
      <c r="L116" s="78"/>
      <c r="M116" s="78"/>
      <c r="N116" s="78"/>
    </row>
    <row r="117" spans="1:14" s="77" customFormat="1">
      <c r="A117" s="98">
        <v>45728</v>
      </c>
      <c r="B117" s="90" t="s">
        <v>1687</v>
      </c>
      <c r="C117" s="11"/>
      <c r="D117" s="90" t="s">
        <v>1721</v>
      </c>
      <c r="E117" s="90">
        <v>-625</v>
      </c>
      <c r="K117" s="78"/>
      <c r="L117" s="78"/>
      <c r="M117" s="78"/>
      <c r="N117" s="78"/>
    </row>
    <row r="118" spans="1:14" s="77" customFormat="1">
      <c r="A118" s="100"/>
      <c r="B118" s="3" t="s">
        <v>1894</v>
      </c>
      <c r="C118" s="106"/>
      <c r="E118" s="77">
        <v>-995.2</v>
      </c>
      <c r="K118" s="78"/>
      <c r="L118" s="78"/>
      <c r="M118" s="78"/>
      <c r="N118" s="78"/>
    </row>
    <row r="119" spans="1:14" s="77" customFormat="1">
      <c r="A119" s="100"/>
      <c r="B119" s="3"/>
      <c r="C119" s="106"/>
      <c r="K119" s="78"/>
      <c r="L119" s="78"/>
      <c r="M119" s="78"/>
      <c r="N119" s="78"/>
    </row>
    <row r="120" spans="1:14" s="77" customFormat="1" ht="15">
      <c r="A120" s="100"/>
      <c r="B120" s="3"/>
      <c r="C120" s="106"/>
      <c r="E120" s="105" t="s">
        <v>84</v>
      </c>
      <c r="K120" s="78"/>
      <c r="L120" s="78"/>
      <c r="M120" s="78"/>
      <c r="N120" s="78"/>
    </row>
    <row r="121" spans="1:14" s="77" customFormat="1">
      <c r="A121" s="100"/>
      <c r="B121" s="3"/>
      <c r="C121" s="106"/>
      <c r="K121" s="78"/>
      <c r="L121" s="78"/>
      <c r="M121" s="78"/>
      <c r="N121" s="78"/>
    </row>
    <row r="122" spans="1:14" s="77" customFormat="1">
      <c r="A122" s="100"/>
      <c r="B122" s="3"/>
      <c r="C122" s="106"/>
      <c r="K122" s="78"/>
      <c r="L122" s="78"/>
      <c r="M122" s="78"/>
      <c r="N122" s="78"/>
    </row>
    <row r="123" spans="1:14" s="77" customFormat="1">
      <c r="A123" s="100"/>
      <c r="B123" s="3"/>
      <c r="C123" s="106"/>
      <c r="K123" s="78"/>
      <c r="L123" s="78"/>
      <c r="M123" s="78"/>
      <c r="N123" s="78"/>
    </row>
    <row r="124" spans="1:14" s="77" customFormat="1">
      <c r="A124" s="100"/>
      <c r="B124" s="3"/>
      <c r="C124" s="106"/>
      <c r="K124" s="78"/>
      <c r="L124" s="78"/>
      <c r="M124" s="78"/>
      <c r="N124" s="78"/>
    </row>
    <row r="125" spans="1:14">
      <c r="A125" s="100"/>
      <c r="B125" s="3"/>
      <c r="C125" s="106"/>
      <c r="I125" s="77"/>
      <c r="J125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182"/>
  <sheetViews>
    <sheetView topLeftCell="A112" zoomScale="175" zoomScaleNormal="175" workbookViewId="0">
      <selection activeCell="A149" sqref="A149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7" customWidth="1"/>
    <col min="5" max="5" width="12.28515625" style="77"/>
    <col min="6" max="6" width="14" style="77" customWidth="1"/>
    <col min="7" max="7" width="13.42578125" style="77" customWidth="1"/>
    <col min="8" max="8" width="12.28515625" style="77"/>
    <col min="10" max="10" width="10.42578125" bestFit="1" customWidth="1"/>
    <col min="11" max="11" width="7.855468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93</v>
      </c>
      <c r="C2" s="79" t="s">
        <v>67</v>
      </c>
      <c r="D2" s="77">
        <f>SUM(D4:D34)</f>
        <v>15000</v>
      </c>
      <c r="E2" s="77">
        <f>SUM(E4:E34)</f>
        <v>-76228.429999999993</v>
      </c>
      <c r="F2" s="77">
        <f>SUM(F4:F34)</f>
        <v>15054.88</v>
      </c>
      <c r="G2" s="77">
        <f>SUM(G4:G34)</f>
        <v>-109005.52</v>
      </c>
      <c r="H2" s="77">
        <f>F2+G2</f>
        <v>-93950.64</v>
      </c>
    </row>
    <row r="3" spans="1:14">
      <c r="B3" s="18"/>
    </row>
    <row r="4" spans="1:14">
      <c r="B4" s="41"/>
      <c r="H4" s="77">
        <f t="shared" ref="H4:H34" si="0">H3+F4+G4</f>
        <v>0</v>
      </c>
    </row>
    <row r="5" spans="1:14" s="11" customFormat="1">
      <c r="A5" s="425">
        <v>45810</v>
      </c>
      <c r="B5" s="391" t="s">
        <v>80</v>
      </c>
      <c r="C5" s="391"/>
      <c r="D5" s="387"/>
      <c r="E5" s="387">
        <v>-600</v>
      </c>
      <c r="F5" s="87"/>
      <c r="G5" s="87">
        <v>-510</v>
      </c>
      <c r="H5" s="87">
        <f t="shared" si="0"/>
        <v>-510</v>
      </c>
      <c r="K5" s="78"/>
      <c r="L5" s="78"/>
      <c r="M5" s="78"/>
      <c r="N5" s="78"/>
    </row>
    <row r="6" spans="1:14" s="11" customFormat="1">
      <c r="A6" s="425">
        <v>45810</v>
      </c>
      <c r="B6" s="391" t="s">
        <v>81</v>
      </c>
      <c r="C6" s="391"/>
      <c r="D6" s="387"/>
      <c r="E6" s="387">
        <v>-800</v>
      </c>
      <c r="F6" s="87"/>
      <c r="G6" s="87">
        <v>-820</v>
      </c>
      <c r="H6" s="87">
        <f t="shared" si="0"/>
        <v>-1330</v>
      </c>
      <c r="K6" s="78"/>
      <c r="L6" s="78"/>
      <c r="M6" s="78"/>
      <c r="N6" s="78"/>
    </row>
    <row r="7" spans="1:14" s="11" customFormat="1">
      <c r="A7" s="425">
        <v>45810</v>
      </c>
      <c r="B7" s="387" t="s">
        <v>1636</v>
      </c>
      <c r="C7" s="387"/>
      <c r="D7" s="387"/>
      <c r="E7" s="387">
        <v>-212.75</v>
      </c>
      <c r="F7" s="87"/>
      <c r="G7" s="87">
        <v>-212.75</v>
      </c>
      <c r="H7" s="87">
        <f t="shared" si="0"/>
        <v>-1542.75</v>
      </c>
      <c r="K7" s="78"/>
      <c r="L7" s="78"/>
      <c r="M7" s="78"/>
      <c r="N7" s="78"/>
    </row>
    <row r="8" spans="1:14" s="11" customFormat="1">
      <c r="A8" s="80">
        <v>45810</v>
      </c>
      <c r="B8" s="81" t="s">
        <v>69</v>
      </c>
      <c r="C8" s="85"/>
      <c r="D8" s="86"/>
      <c r="E8" s="86">
        <f>E76</f>
        <v>-625</v>
      </c>
      <c r="F8" s="87"/>
      <c r="G8" s="87">
        <f>E8</f>
        <v>-625</v>
      </c>
      <c r="H8" s="87">
        <f t="shared" si="0"/>
        <v>-2167.75</v>
      </c>
      <c r="K8" s="78"/>
      <c r="L8" s="78"/>
      <c r="M8" s="78"/>
      <c r="N8" s="78"/>
    </row>
    <row r="9" spans="1:14">
      <c r="A9" s="84">
        <v>45812</v>
      </c>
      <c r="B9" s="81" t="s">
        <v>68</v>
      </c>
      <c r="C9" s="85"/>
      <c r="D9" s="86"/>
      <c r="E9" s="86">
        <f>E38</f>
        <v>-21573.620000000003</v>
      </c>
      <c r="F9" s="87"/>
      <c r="G9" s="87">
        <f>E9</f>
        <v>-21573.620000000003</v>
      </c>
      <c r="H9" s="87">
        <f t="shared" si="0"/>
        <v>-23741.370000000003</v>
      </c>
    </row>
    <row r="10" spans="1:14">
      <c r="A10" s="548">
        <v>45818</v>
      </c>
      <c r="B10" s="391" t="s">
        <v>1596</v>
      </c>
      <c r="C10" s="391"/>
      <c r="D10" s="387"/>
      <c r="E10" s="387">
        <v>-25000</v>
      </c>
      <c r="F10" s="87"/>
      <c r="G10" s="87">
        <v>-25000</v>
      </c>
      <c r="H10" s="87">
        <f t="shared" si="0"/>
        <v>-48741.37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-48741.37</v>
      </c>
    </row>
    <row r="12" spans="1:14">
      <c r="A12" s="390">
        <v>45819</v>
      </c>
      <c r="B12" s="391" t="s">
        <v>70</v>
      </c>
      <c r="C12" s="391"/>
      <c r="D12" s="387"/>
      <c r="E12" s="387">
        <v>-2117.06</v>
      </c>
      <c r="G12" s="87">
        <v>-2138.15</v>
      </c>
      <c r="H12" s="87">
        <f t="shared" si="0"/>
        <v>-50879.520000000004</v>
      </c>
    </row>
    <row r="13" spans="1:14">
      <c r="A13" s="548">
        <v>45819</v>
      </c>
      <c r="B13" s="391" t="s">
        <v>75</v>
      </c>
      <c r="C13" s="391"/>
      <c r="D13" s="387"/>
      <c r="E13" s="387">
        <v>-200</v>
      </c>
      <c r="G13" s="87">
        <v>-229</v>
      </c>
      <c r="H13" s="87">
        <f t="shared" si="0"/>
        <v>-51108.520000000004</v>
      </c>
    </row>
    <row r="14" spans="1:14">
      <c r="A14" s="390">
        <v>45828</v>
      </c>
      <c r="B14" s="392" t="s">
        <v>1905</v>
      </c>
      <c r="C14" s="392"/>
      <c r="D14" s="387"/>
      <c r="E14" s="387"/>
      <c r="F14" s="387"/>
      <c r="G14" s="387">
        <v>-950</v>
      </c>
      <c r="H14" s="87">
        <f t="shared" si="0"/>
        <v>-52058.520000000004</v>
      </c>
    </row>
    <row r="15" spans="1:14" s="78" customFormat="1">
      <c r="A15" s="390">
        <v>45828</v>
      </c>
      <c r="B15" s="410" t="s">
        <v>73</v>
      </c>
      <c r="C15" s="410">
        <v>316.06</v>
      </c>
      <c r="D15" s="387" t="s">
        <v>1860</v>
      </c>
      <c r="E15" s="387">
        <v>-1000</v>
      </c>
      <c r="F15" s="87"/>
      <c r="G15" s="87">
        <v>-250</v>
      </c>
      <c r="H15" s="87">
        <f t="shared" si="0"/>
        <v>-52308.520000000004</v>
      </c>
    </row>
    <row r="16" spans="1:14" s="78" customFormat="1">
      <c r="A16" s="390">
        <v>45828</v>
      </c>
      <c r="B16" s="410" t="s">
        <v>74</v>
      </c>
      <c r="C16" s="387"/>
      <c r="D16" s="387"/>
      <c r="E16" s="387">
        <v>-200</v>
      </c>
      <c r="F16" s="87"/>
      <c r="G16" s="87">
        <v>0</v>
      </c>
      <c r="H16" s="87">
        <f t="shared" si="0"/>
        <v>-52308.520000000004</v>
      </c>
    </row>
    <row r="17" spans="1:13" s="78" customFormat="1">
      <c r="A17" s="411">
        <v>45832</v>
      </c>
      <c r="B17" s="414" t="s">
        <v>1904</v>
      </c>
      <c r="C17" s="414"/>
      <c r="D17" s="414"/>
      <c r="E17" s="414"/>
      <c r="F17" s="414"/>
      <c r="G17" s="414">
        <v>-10000</v>
      </c>
      <c r="H17" s="87">
        <f t="shared" si="0"/>
        <v>-62308.520000000004</v>
      </c>
    </row>
    <row r="18" spans="1:13" s="78" customFormat="1">
      <c r="A18" s="390">
        <v>45834</v>
      </c>
      <c r="B18" s="387" t="s">
        <v>1903</v>
      </c>
      <c r="C18" s="387"/>
      <c r="D18" s="387"/>
      <c r="E18" s="387"/>
      <c r="F18" s="387"/>
      <c r="G18" s="387">
        <v>-20000</v>
      </c>
      <c r="H18" s="87">
        <f t="shared" si="0"/>
        <v>-82308.52</v>
      </c>
    </row>
    <row r="19" spans="1:13" s="78" customFormat="1">
      <c r="A19" s="390">
        <v>45834</v>
      </c>
      <c r="B19" s="392" t="s">
        <v>1879</v>
      </c>
      <c r="C19" s="392"/>
      <c r="D19" s="387"/>
      <c r="E19" s="387"/>
      <c r="F19" s="387"/>
      <c r="G19" s="387">
        <v>-3000</v>
      </c>
      <c r="H19" s="87">
        <f t="shared" si="0"/>
        <v>-85308.52</v>
      </c>
    </row>
    <row r="20" spans="1:13" s="78" customFormat="1">
      <c r="A20" s="88"/>
      <c r="H20" s="90">
        <f t="shared" si="0"/>
        <v>-85308.52</v>
      </c>
    </row>
    <row r="21" spans="1:13" s="78" customFormat="1">
      <c r="A21" s="411"/>
      <c r="B21" s="415" t="s">
        <v>76</v>
      </c>
      <c r="C21" s="415"/>
      <c r="D21" s="384">
        <v>15000</v>
      </c>
      <c r="E21" s="384"/>
      <c r="F21" s="384">
        <v>15054.88</v>
      </c>
      <c r="G21" s="77"/>
      <c r="H21" s="90">
        <f t="shared" si="0"/>
        <v>-70253.64</v>
      </c>
      <c r="J21" s="94"/>
      <c r="K21" s="94"/>
      <c r="L21" s="95"/>
      <c r="M21" s="96"/>
    </row>
    <row r="22" spans="1:13" s="78" customFormat="1">
      <c r="A22" s="414"/>
      <c r="B22" s="415" t="s">
        <v>77</v>
      </c>
      <c r="C22" s="415"/>
      <c r="D22" s="384"/>
      <c r="E22" s="384">
        <v>-7500</v>
      </c>
      <c r="F22" s="77"/>
      <c r="G22" s="77">
        <v>-7506</v>
      </c>
      <c r="H22" s="90">
        <f t="shared" si="0"/>
        <v>-77759.64</v>
      </c>
      <c r="J22" s="94"/>
      <c r="K22" s="94"/>
      <c r="L22" s="95"/>
      <c r="M22" s="96"/>
    </row>
    <row r="23" spans="1:13" s="78" customFormat="1">
      <c r="A23" s="414"/>
      <c r="B23" s="415" t="s">
        <v>78</v>
      </c>
      <c r="C23" s="415"/>
      <c r="D23" s="384"/>
      <c r="E23" s="384">
        <v>-7500</v>
      </c>
      <c r="F23" s="77"/>
      <c r="G23" s="77">
        <v>-7506</v>
      </c>
      <c r="H23" s="90">
        <f t="shared" si="0"/>
        <v>-85265.64</v>
      </c>
      <c r="J23" s="94"/>
      <c r="K23" s="94"/>
      <c r="L23" s="95"/>
      <c r="M23" s="96"/>
    </row>
    <row r="24" spans="1:13" s="78" customFormat="1">
      <c r="A24" s="414"/>
      <c r="B24" s="415" t="s">
        <v>79</v>
      </c>
      <c r="C24" s="415"/>
      <c r="D24" s="384"/>
      <c r="E24" s="384">
        <v>-7500</v>
      </c>
      <c r="F24" s="77"/>
      <c r="G24" s="77">
        <v>-7500</v>
      </c>
      <c r="H24" s="90">
        <f t="shared" si="0"/>
        <v>-92765.64</v>
      </c>
      <c r="J24" s="94"/>
      <c r="K24" s="94"/>
      <c r="L24" s="95"/>
      <c r="M24" s="96"/>
    </row>
    <row r="25" spans="1:13" s="78" customFormat="1">
      <c r="B25" s="3"/>
      <c r="C25" s="3"/>
      <c r="D25" s="77"/>
      <c r="E25" s="77"/>
      <c r="F25" s="77"/>
      <c r="G25" s="77"/>
      <c r="H25" s="90">
        <f t="shared" si="0"/>
        <v>-92765.64</v>
      </c>
      <c r="J25" s="94"/>
      <c r="K25" s="94"/>
      <c r="L25" s="95"/>
      <c r="M25" s="96"/>
    </row>
    <row r="26" spans="1:13" s="78" customFormat="1">
      <c r="A26" s="97"/>
      <c r="B26" s="92"/>
      <c r="C26" s="92"/>
      <c r="D26" s="90"/>
      <c r="E26" s="90"/>
      <c r="F26" s="77"/>
      <c r="G26" s="77"/>
      <c r="H26" s="90">
        <f t="shared" si="0"/>
        <v>-92765.64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-92765.64</v>
      </c>
      <c r="J27" s="94"/>
      <c r="K27" s="94"/>
      <c r="L27" s="95"/>
      <c r="M27" s="96"/>
    </row>
    <row r="28" spans="1:13" s="78" customFormat="1">
      <c r="A28" s="564">
        <v>45838</v>
      </c>
      <c r="B28" s="434" t="s">
        <v>80</v>
      </c>
      <c r="C28" s="434"/>
      <c r="D28" s="384"/>
      <c r="E28" s="384">
        <v>-600</v>
      </c>
      <c r="F28" s="77"/>
      <c r="G28" s="77">
        <v>-485</v>
      </c>
      <c r="H28" s="77">
        <f t="shared" si="0"/>
        <v>-93250.64</v>
      </c>
      <c r="J28" s="94"/>
      <c r="K28" s="94"/>
      <c r="L28" s="95"/>
      <c r="M28" s="96"/>
    </row>
    <row r="29" spans="1:13" s="78" customFormat="1">
      <c r="A29" s="564">
        <v>45838</v>
      </c>
      <c r="B29" s="434" t="s">
        <v>81</v>
      </c>
      <c r="C29" s="434"/>
      <c r="D29" s="384"/>
      <c r="E29" s="384">
        <v>-800</v>
      </c>
      <c r="F29" s="77"/>
      <c r="G29" s="77">
        <v>-700</v>
      </c>
      <c r="H29" s="77">
        <f t="shared" si="0"/>
        <v>-93950.64</v>
      </c>
      <c r="J29" s="94"/>
      <c r="K29" s="94"/>
      <c r="L29" s="95"/>
      <c r="M29" s="96"/>
    </row>
    <row r="30" spans="1:13" s="78" customFormat="1">
      <c r="B30" s="3"/>
      <c r="C30" s="3"/>
      <c r="D30" s="77"/>
      <c r="E30" s="77"/>
      <c r="F30" s="77"/>
      <c r="G30" s="77"/>
      <c r="H30" s="77">
        <f t="shared" si="0"/>
        <v>-93950.64</v>
      </c>
    </row>
    <row r="31" spans="1:13" s="78" customFormat="1">
      <c r="D31" s="77"/>
      <c r="E31" s="77"/>
      <c r="F31" s="77"/>
      <c r="G31" s="77"/>
      <c r="H31" s="77">
        <f t="shared" si="0"/>
        <v>-93950.64</v>
      </c>
    </row>
    <row r="32" spans="1:13">
      <c r="A32" s="100"/>
      <c r="B32" s="101" t="s">
        <v>94</v>
      </c>
      <c r="C32" s="101"/>
      <c r="H32" s="77">
        <f t="shared" si="0"/>
        <v>-93950.64</v>
      </c>
      <c r="I32" s="78"/>
      <c r="J32" s="78"/>
    </row>
    <row r="33" spans="1:14">
      <c r="A33" s="100"/>
      <c r="H33" s="77">
        <f t="shared" si="0"/>
        <v>-93950.64</v>
      </c>
    </row>
    <row r="34" spans="1:14" s="78" customFormat="1">
      <c r="A34"/>
      <c r="B34"/>
      <c r="C34"/>
      <c r="D34" s="77"/>
      <c r="E34" s="77"/>
      <c r="F34" s="77"/>
      <c r="G34" s="77"/>
      <c r="H34" s="77">
        <f t="shared" si="0"/>
        <v>-93950.64</v>
      </c>
      <c r="I34"/>
      <c r="J34"/>
    </row>
    <row r="35" spans="1:14" s="78" customFormat="1">
      <c r="A35" s="98"/>
      <c r="D35" s="77"/>
      <c r="E35" s="77"/>
      <c r="F35" s="77"/>
      <c r="G35" s="77"/>
      <c r="H35" s="77"/>
    </row>
    <row r="36" spans="1:14" s="77" customFormat="1">
      <c r="A36" s="88"/>
      <c r="B36" s="78"/>
      <c r="C36" s="78"/>
      <c r="I36" s="78"/>
      <c r="J36" s="78"/>
      <c r="K36" s="78"/>
      <c r="L36" s="78"/>
      <c r="M36" s="78"/>
      <c r="N36" s="78"/>
    </row>
    <row r="37" spans="1:14" s="77" customFormat="1">
      <c r="B37" s="102"/>
      <c r="K37" s="78"/>
      <c r="L37" s="78"/>
      <c r="M37" s="78"/>
      <c r="N37" s="78"/>
    </row>
    <row r="38" spans="1:14">
      <c r="A38" s="103"/>
      <c r="B38" s="104" t="s">
        <v>83</v>
      </c>
      <c r="C38" s="103"/>
      <c r="E38" s="77">
        <f>SUM(E39:E70)</f>
        <v>-21573.620000000003</v>
      </c>
      <c r="I38" s="77"/>
      <c r="J38" s="77"/>
    </row>
    <row r="39" spans="1:14" s="77" customFormat="1">
      <c r="A39"/>
      <c r="B39"/>
      <c r="C39"/>
      <c r="I39"/>
      <c r="J39"/>
      <c r="K39" s="78"/>
      <c r="L39" s="78"/>
      <c r="M39" s="78"/>
      <c r="N39" s="78"/>
    </row>
    <row r="40" spans="1:14" s="77" customFormat="1">
      <c r="A40" s="88">
        <v>45715</v>
      </c>
      <c r="B40" s="90" t="s">
        <v>1637</v>
      </c>
      <c r="C40" s="90">
        <v>5938.68</v>
      </c>
      <c r="D40" s="90" t="s">
        <v>567</v>
      </c>
      <c r="E40" s="90">
        <v>-989.78</v>
      </c>
      <c r="K40" s="78"/>
      <c r="L40" s="78"/>
      <c r="M40" s="78"/>
      <c r="N40" s="78"/>
    </row>
    <row r="41" spans="1:14" s="77" customFormat="1">
      <c r="A41" s="100">
        <v>45790</v>
      </c>
      <c r="B41" s="107" t="s">
        <v>338</v>
      </c>
      <c r="C41" s="90">
        <v>1407.46</v>
      </c>
      <c r="D41" s="90" t="s">
        <v>694</v>
      </c>
      <c r="E41" s="90">
        <v>-234.58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>
      <c r="A43" s="88">
        <v>45772</v>
      </c>
      <c r="B43" s="77" t="s">
        <v>1784</v>
      </c>
      <c r="C43" s="77"/>
      <c r="E43" s="77">
        <v>-700</v>
      </c>
      <c r="I43" s="77"/>
      <c r="J43" s="77"/>
    </row>
    <row r="44" spans="1:14" s="77" customFormat="1">
      <c r="A44" s="386">
        <v>45772</v>
      </c>
      <c r="B44" t="s">
        <v>1785</v>
      </c>
      <c r="C44"/>
      <c r="E44" s="77">
        <v>-1200</v>
      </c>
      <c r="I44"/>
      <c r="J44"/>
      <c r="K44" s="78"/>
      <c r="L44" s="78"/>
      <c r="M44" s="78"/>
      <c r="N44" s="78"/>
    </row>
    <row r="45" spans="1:14" s="77" customFormat="1">
      <c r="A45" s="100"/>
      <c r="B45" s="106" t="s">
        <v>1818</v>
      </c>
      <c r="C45" s="106"/>
      <c r="E45" s="77">
        <v>-2820</v>
      </c>
      <c r="K45" s="78"/>
      <c r="L45" s="78"/>
      <c r="M45" s="78"/>
      <c r="N45" s="78"/>
    </row>
    <row r="46" spans="1:14" s="90" customFormat="1">
      <c r="A46" s="100">
        <v>45777</v>
      </c>
      <c r="B46" s="106" t="s">
        <v>1612</v>
      </c>
      <c r="C46" s="106"/>
      <c r="E46" s="90">
        <v>-80</v>
      </c>
      <c r="K46" s="78"/>
      <c r="L46" s="78"/>
      <c r="M46" s="78"/>
      <c r="N46" s="78"/>
    </row>
    <row r="47" spans="1:14" s="77" customFormat="1">
      <c r="A47" s="100"/>
      <c r="B47" s="106" t="s">
        <v>129</v>
      </c>
      <c r="C47" s="106"/>
      <c r="D47" s="77">
        <v>7461.57</v>
      </c>
      <c r="K47" s="78"/>
      <c r="L47" s="78"/>
      <c r="M47" s="78"/>
      <c r="N47" s="78"/>
    </row>
    <row r="48" spans="1:14" s="77" customFormat="1">
      <c r="A48" s="100">
        <v>45783</v>
      </c>
      <c r="B48" s="107"/>
      <c r="C48" s="106"/>
      <c r="E48" s="77">
        <v>-250</v>
      </c>
      <c r="K48" s="78"/>
      <c r="L48" s="78"/>
      <c r="M48" s="78"/>
      <c r="N48" s="78"/>
    </row>
    <row r="49" spans="1:14" s="77" customFormat="1">
      <c r="A49" s="100">
        <v>45788</v>
      </c>
      <c r="B49" s="107" t="s">
        <v>1819</v>
      </c>
      <c r="C49" s="106"/>
      <c r="E49" s="77">
        <v>-300</v>
      </c>
      <c r="K49" s="78"/>
      <c r="L49" s="78"/>
      <c r="M49" s="78"/>
      <c r="N49" s="78"/>
    </row>
    <row r="50" spans="1:14" s="77" customFormat="1">
      <c r="A50" s="100">
        <v>45788</v>
      </c>
      <c r="B50" s="107" t="s">
        <v>1820</v>
      </c>
      <c r="E50" s="77">
        <v>-600</v>
      </c>
      <c r="K50" s="78"/>
      <c r="L50" s="78"/>
      <c r="M50" s="78"/>
      <c r="N50" s="78"/>
    </row>
    <row r="51" spans="1:14" s="90" customFormat="1">
      <c r="A51" s="100">
        <v>45789</v>
      </c>
      <c r="B51" s="107" t="s">
        <v>1821</v>
      </c>
      <c r="E51" s="90">
        <v>-3441</v>
      </c>
      <c r="K51" s="78"/>
      <c r="L51" s="78"/>
      <c r="M51" s="78"/>
      <c r="N51" s="78"/>
    </row>
    <row r="52" spans="1:14" s="90" customFormat="1">
      <c r="A52" s="100">
        <v>45789</v>
      </c>
      <c r="B52" s="107" t="s">
        <v>1822</v>
      </c>
      <c r="E52" s="90">
        <v>-800</v>
      </c>
      <c r="K52" s="78"/>
      <c r="L52" s="78"/>
      <c r="M52" s="78"/>
      <c r="N52" s="78"/>
    </row>
    <row r="53" spans="1:14" s="90" customFormat="1">
      <c r="A53" s="100">
        <v>45791</v>
      </c>
      <c r="B53" s="107" t="s">
        <v>1823</v>
      </c>
      <c r="E53" s="90">
        <v>-800</v>
      </c>
      <c r="K53" s="78"/>
      <c r="L53" s="78"/>
      <c r="M53" s="78"/>
      <c r="N53" s="78"/>
    </row>
    <row r="54" spans="1:14" s="90" customFormat="1">
      <c r="A54" s="100">
        <v>45791</v>
      </c>
      <c r="B54" s="107" t="s">
        <v>1829</v>
      </c>
      <c r="E54" s="90">
        <v>-25</v>
      </c>
      <c r="K54" s="78"/>
      <c r="L54" s="78"/>
      <c r="M54" s="78"/>
      <c r="N54" s="78"/>
    </row>
    <row r="55" spans="1:14" s="90" customFormat="1">
      <c r="A55" s="100">
        <v>45791</v>
      </c>
      <c r="B55" s="107" t="s">
        <v>1830</v>
      </c>
      <c r="E55" s="90">
        <v>-25</v>
      </c>
      <c r="K55" s="78"/>
      <c r="L55" s="78"/>
      <c r="M55" s="78"/>
      <c r="N55" s="78"/>
    </row>
    <row r="56" spans="1:14" s="90" customFormat="1">
      <c r="A56" s="100">
        <v>45792</v>
      </c>
      <c r="B56" s="107" t="s">
        <v>1825</v>
      </c>
      <c r="E56" s="90">
        <v>-200</v>
      </c>
      <c r="K56" s="78"/>
      <c r="L56" s="78"/>
      <c r="M56" s="78"/>
      <c r="N56" s="78"/>
    </row>
    <row r="57" spans="1:14" s="90" customFormat="1">
      <c r="A57" s="100">
        <v>45792</v>
      </c>
      <c r="B57" s="107" t="s">
        <v>1826</v>
      </c>
      <c r="E57" s="90">
        <v>-1610</v>
      </c>
      <c r="K57" s="78"/>
      <c r="L57" s="78"/>
      <c r="M57" s="78"/>
      <c r="N57" s="78"/>
    </row>
    <row r="58" spans="1:14" s="90" customFormat="1">
      <c r="A58" s="100">
        <v>45793</v>
      </c>
      <c r="B58" s="107" t="s">
        <v>591</v>
      </c>
      <c r="E58" s="90">
        <v>-491</v>
      </c>
      <c r="K58" s="78"/>
      <c r="L58" s="78"/>
      <c r="M58" s="78"/>
      <c r="N58" s="78"/>
    </row>
    <row r="59" spans="1:14" s="90" customFormat="1">
      <c r="A59" s="100">
        <v>45794</v>
      </c>
      <c r="B59" s="107" t="s">
        <v>1825</v>
      </c>
      <c r="E59" s="90">
        <v>-240</v>
      </c>
      <c r="K59" s="78"/>
      <c r="L59" s="78"/>
      <c r="M59" s="78"/>
      <c r="N59" s="78"/>
    </row>
    <row r="60" spans="1:14" s="77" customFormat="1">
      <c r="A60" s="100">
        <v>45795</v>
      </c>
      <c r="B60" s="107" t="s">
        <v>1824</v>
      </c>
      <c r="C60" s="106"/>
      <c r="E60" s="77">
        <v>-25</v>
      </c>
      <c r="K60" s="78"/>
      <c r="L60" s="78"/>
      <c r="M60" s="78"/>
      <c r="N60" s="78"/>
    </row>
    <row r="61" spans="1:14" s="90" customFormat="1">
      <c r="A61" s="100">
        <v>45795</v>
      </c>
      <c r="B61" s="107" t="s">
        <v>1827</v>
      </c>
      <c r="C61" s="106"/>
      <c r="E61" s="90">
        <v>-660</v>
      </c>
      <c r="K61" s="78"/>
      <c r="L61" s="78"/>
      <c r="M61" s="78"/>
      <c r="N61" s="78"/>
    </row>
    <row r="62" spans="1:14" s="90" customFormat="1">
      <c r="A62" s="100">
        <v>45795</v>
      </c>
      <c r="B62" s="107" t="s">
        <v>1831</v>
      </c>
      <c r="C62" s="106"/>
      <c r="E62" s="90">
        <v>-95</v>
      </c>
      <c r="K62" s="78"/>
      <c r="L62" s="78"/>
      <c r="M62" s="78"/>
      <c r="N62" s="78"/>
    </row>
    <row r="63" spans="1:14" s="90" customFormat="1">
      <c r="A63" s="100">
        <v>45795</v>
      </c>
      <c r="B63" s="107" t="s">
        <v>1828</v>
      </c>
      <c r="C63" s="106"/>
      <c r="E63" s="90">
        <v>-25</v>
      </c>
      <c r="K63" s="78"/>
      <c r="L63" s="78"/>
      <c r="M63" s="78"/>
      <c r="N63" s="78"/>
    </row>
    <row r="64" spans="1:14" s="90" customFormat="1">
      <c r="A64" s="100">
        <v>45796</v>
      </c>
      <c r="B64" s="107" t="s">
        <v>127</v>
      </c>
      <c r="C64" s="106"/>
      <c r="E64" s="90">
        <v>-576.58000000000004</v>
      </c>
      <c r="K64" s="78"/>
      <c r="L64" s="78"/>
      <c r="M64" s="78"/>
      <c r="N64" s="78"/>
    </row>
    <row r="65" spans="1:14" s="90" customFormat="1">
      <c r="A65" s="100">
        <v>45796</v>
      </c>
      <c r="B65" s="107" t="s">
        <v>651</v>
      </c>
      <c r="C65" s="106"/>
      <c r="E65" s="90">
        <v>-370</v>
      </c>
      <c r="K65" s="78"/>
      <c r="L65" s="78"/>
      <c r="M65" s="78"/>
      <c r="N65" s="78"/>
    </row>
    <row r="66" spans="1:14" s="77" customFormat="1">
      <c r="A66" s="100">
        <v>45797</v>
      </c>
      <c r="B66" s="3" t="s">
        <v>1612</v>
      </c>
      <c r="E66" s="77">
        <v>-80</v>
      </c>
      <c r="K66" s="78"/>
      <c r="L66" s="78"/>
      <c r="M66" s="78"/>
      <c r="N66" s="78"/>
    </row>
    <row r="67" spans="1:14" s="90" customFormat="1">
      <c r="A67" s="100">
        <v>45799</v>
      </c>
      <c r="B67" s="92" t="s">
        <v>1834</v>
      </c>
      <c r="E67" s="90">
        <v>-2345</v>
      </c>
      <c r="K67" s="78"/>
      <c r="L67" s="78"/>
      <c r="M67" s="78"/>
      <c r="N67" s="78"/>
    </row>
    <row r="68" spans="1:14" s="90" customFormat="1">
      <c r="A68" s="100">
        <v>45799</v>
      </c>
      <c r="B68" s="92" t="s">
        <v>1832</v>
      </c>
      <c r="E68" s="90">
        <v>-54</v>
      </c>
      <c r="K68" s="78"/>
      <c r="L68" s="78"/>
      <c r="M68" s="78"/>
      <c r="N68" s="78"/>
    </row>
    <row r="69" spans="1:14" s="90" customFormat="1">
      <c r="A69" s="100">
        <v>45800</v>
      </c>
      <c r="B69" s="92" t="s">
        <v>1833</v>
      </c>
      <c r="E69" s="90">
        <v>-2345</v>
      </c>
      <c r="K69" s="78"/>
      <c r="L69" s="78"/>
      <c r="M69" s="78"/>
      <c r="N69" s="78"/>
    </row>
    <row r="70" spans="1:14" s="90" customFormat="1">
      <c r="A70" s="100">
        <v>45802</v>
      </c>
      <c r="B70" s="92" t="s">
        <v>127</v>
      </c>
      <c r="E70" s="90">
        <v>-191.68</v>
      </c>
      <c r="K70" s="78"/>
      <c r="L70" s="78"/>
      <c r="M70" s="78"/>
      <c r="N70" s="78"/>
    </row>
    <row r="71" spans="1:14" s="90" customFormat="1" ht="15">
      <c r="A71" s="100"/>
      <c r="B71" s="92"/>
      <c r="E71" s="105" t="s">
        <v>84</v>
      </c>
      <c r="K71" s="78"/>
      <c r="L71" s="78"/>
      <c r="M71" s="78"/>
      <c r="N71" s="78"/>
    </row>
    <row r="72" spans="1:14" s="90" customFormat="1">
      <c r="A72" s="100"/>
      <c r="B72" s="92"/>
      <c r="K72" s="78"/>
      <c r="L72" s="78"/>
      <c r="M72" s="78"/>
      <c r="N72" s="78"/>
    </row>
    <row r="73" spans="1:14" s="90" customFormat="1">
      <c r="A73" s="100"/>
      <c r="B73" s="92"/>
      <c r="K73" s="78"/>
      <c r="L73" s="78"/>
      <c r="M73" s="78"/>
      <c r="N73" s="78"/>
    </row>
    <row r="74" spans="1:14" s="90" customFormat="1">
      <c r="A74" s="100"/>
      <c r="B74" s="92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3"/>
      <c r="B76" s="104" t="s">
        <v>85</v>
      </c>
      <c r="C76" s="103"/>
      <c r="E76" s="77">
        <f>SUM(E77:E82)</f>
        <v>-625</v>
      </c>
      <c r="K76" s="78"/>
      <c r="L76" s="78"/>
      <c r="M76" s="78"/>
      <c r="N76" s="78"/>
    </row>
    <row r="77" spans="1:14" s="77" customFormat="1">
      <c r="A77" s="100"/>
      <c r="B77" s="106"/>
      <c r="C77" s="106"/>
      <c r="K77" s="78"/>
      <c r="L77" s="78"/>
      <c r="M77" s="78"/>
      <c r="N77" s="78"/>
    </row>
    <row r="78" spans="1:14" s="77" customFormat="1">
      <c r="K78" s="78"/>
      <c r="L78" s="78"/>
      <c r="M78" s="78"/>
      <c r="N78" s="78"/>
    </row>
    <row r="79" spans="1:14" s="77" customFormat="1">
      <c r="A79" s="98">
        <v>45728</v>
      </c>
      <c r="B79" s="90" t="s">
        <v>1687</v>
      </c>
      <c r="C79" s="11"/>
      <c r="D79" s="90" t="s">
        <v>1718</v>
      </c>
      <c r="E79" s="90">
        <v>-625</v>
      </c>
      <c r="K79" s="78"/>
      <c r="L79" s="78"/>
      <c r="M79" s="78"/>
      <c r="N79" s="78"/>
    </row>
    <row r="80" spans="1:14" s="77" customFormat="1" ht="15">
      <c r="A80" s="100"/>
      <c r="B80" s="3"/>
      <c r="C80" s="106"/>
      <c r="E80" s="105" t="s">
        <v>84</v>
      </c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 s="77" customFormat="1">
      <c r="A89" s="113" t="s">
        <v>1847</v>
      </c>
      <c r="B89" s="104" t="s">
        <v>136</v>
      </c>
      <c r="C89" s="103">
        <v>2025</v>
      </c>
      <c r="D89" s="90"/>
      <c r="E89" s="90"/>
      <c r="F89" s="90"/>
      <c r="G89" s="90">
        <f>SUM(G93:G118)</f>
        <v>547410.19500000007</v>
      </c>
      <c r="H89" s="90"/>
      <c r="I89" s="90"/>
      <c r="J89" s="11"/>
      <c r="K89" s="78"/>
      <c r="L89" s="78"/>
      <c r="M89" s="78"/>
      <c r="N89" s="78"/>
    </row>
    <row r="90" spans="1:14" s="77" customFormat="1">
      <c r="A90" s="113"/>
      <c r="B90" s="104"/>
      <c r="C90" s="103"/>
      <c r="D90" s="90"/>
      <c r="E90" s="90"/>
      <c r="F90" s="90"/>
      <c r="G90" s="90"/>
      <c r="H90" s="90"/>
      <c r="I90" s="90"/>
      <c r="J90" s="11"/>
      <c r="K90" s="78"/>
      <c r="L90" s="78"/>
      <c r="M90" s="78"/>
      <c r="N90" s="78"/>
    </row>
    <row r="91" spans="1:14" s="77" customFormat="1">
      <c r="A91" s="113"/>
      <c r="B91" s="104"/>
      <c r="C91" s="103"/>
      <c r="D91" s="90"/>
      <c r="E91" s="90" t="s">
        <v>137</v>
      </c>
      <c r="F91" s="90"/>
      <c r="G91" s="90"/>
      <c r="H91" s="90"/>
      <c r="I91" s="90"/>
      <c r="J91" s="11"/>
      <c r="K91" s="78"/>
      <c r="L91" s="78"/>
      <c r="M91" s="78"/>
      <c r="N91" s="78"/>
    </row>
    <row r="92" spans="1:14" s="77" customFormat="1">
      <c r="A92" s="100"/>
      <c r="B92" s="90" t="s">
        <v>77</v>
      </c>
      <c r="C92" s="90"/>
      <c r="D92" s="90"/>
      <c r="E92" s="90"/>
      <c r="F92" s="90"/>
      <c r="G92" s="90">
        <v>0</v>
      </c>
      <c r="H92" s="90"/>
      <c r="I92" s="90"/>
      <c r="J92" s="11"/>
      <c r="K92" s="78"/>
      <c r="L92" s="78"/>
      <c r="M92" s="78"/>
      <c r="N92" s="78"/>
    </row>
    <row r="93" spans="1:14" s="77" customFormat="1">
      <c r="A93" s="100"/>
      <c r="B93" s="90" t="s">
        <v>78</v>
      </c>
      <c r="C93" s="90"/>
      <c r="D93" s="90"/>
      <c r="E93" s="90"/>
      <c r="F93" s="90"/>
      <c r="G93" s="90">
        <v>0</v>
      </c>
      <c r="H93" s="90"/>
      <c r="I93" s="90"/>
      <c r="J93" s="11"/>
      <c r="K93" s="78"/>
      <c r="L93" s="78"/>
      <c r="M93" s="78"/>
      <c r="N93" s="78"/>
    </row>
    <row r="94" spans="1:14" s="77" customFormat="1">
      <c r="A94" s="539">
        <v>45838</v>
      </c>
      <c r="B94" s="90" t="s">
        <v>1737</v>
      </c>
      <c r="C94" s="90"/>
      <c r="D94" s="90"/>
      <c r="E94" s="90">
        <v>87830</v>
      </c>
      <c r="F94" s="90">
        <v>-36500</v>
      </c>
      <c r="G94" s="90">
        <f>E94+F94</f>
        <v>51330</v>
      </c>
      <c r="H94" s="90"/>
      <c r="I94" s="90"/>
      <c r="J94" s="11"/>
      <c r="K94" s="78"/>
      <c r="L94" s="78"/>
      <c r="M94" s="78"/>
      <c r="N94" s="78"/>
    </row>
    <row r="95" spans="1:14" s="77" customFormat="1">
      <c r="A95" s="539"/>
      <c r="B95" s="90" t="s">
        <v>1738</v>
      </c>
      <c r="C95" s="90"/>
      <c r="D95" s="90"/>
      <c r="E95" s="90"/>
      <c r="F95" s="90"/>
      <c r="G95" s="90">
        <f>D75</f>
        <v>0</v>
      </c>
      <c r="H95" s="90"/>
      <c r="I95" s="90"/>
      <c r="J95" s="11"/>
      <c r="K95" s="78"/>
      <c r="L95" s="78"/>
      <c r="M95" s="78"/>
      <c r="N95" s="78"/>
    </row>
    <row r="96" spans="1:14">
      <c r="A96" s="539">
        <v>45777</v>
      </c>
      <c r="B96" s="90" t="s">
        <v>139</v>
      </c>
      <c r="C96" s="12"/>
      <c r="D96" s="12"/>
      <c r="E96" s="90"/>
      <c r="F96" s="90"/>
      <c r="G96" s="17">
        <v>225</v>
      </c>
      <c r="H96" s="90"/>
      <c r="I96" s="90"/>
      <c r="J96" s="11"/>
    </row>
    <row r="97" spans="1:10">
      <c r="A97" s="539">
        <v>45777</v>
      </c>
      <c r="B97" s="90" t="s">
        <v>140</v>
      </c>
      <c r="C97" s="12"/>
      <c r="D97" s="12"/>
      <c r="E97" s="90"/>
      <c r="F97" s="90"/>
      <c r="G97" s="17">
        <v>0</v>
      </c>
      <c r="H97" s="90"/>
      <c r="I97" s="90"/>
      <c r="J97" s="11"/>
    </row>
    <row r="98" spans="1:10">
      <c r="A98" s="100"/>
      <c r="B98" s="90"/>
      <c r="C98" s="12"/>
      <c r="D98" s="12"/>
      <c r="E98" s="90"/>
      <c r="F98" s="90"/>
      <c r="G98" s="17"/>
      <c r="H98" s="90"/>
      <c r="I98" s="90" t="s">
        <v>1686</v>
      </c>
      <c r="J98" s="11"/>
    </row>
    <row r="99" spans="1:10">
      <c r="A99" s="100">
        <v>45620</v>
      </c>
      <c r="B99" s="82" t="s">
        <v>1604</v>
      </c>
      <c r="C99" s="114"/>
      <c r="D99" s="114">
        <v>32.549999999999997</v>
      </c>
      <c r="E99" s="116">
        <f t="shared" ref="E99:E102" si="1">D99*C99</f>
        <v>0</v>
      </c>
      <c r="F99" s="90">
        <v>46.68</v>
      </c>
      <c r="G99" s="17">
        <f t="shared" ref="G99" si="2">F99*C99</f>
        <v>0</v>
      </c>
      <c r="H99" s="90"/>
      <c r="I99" s="90">
        <f t="shared" ref="I99" si="3">G99-E99</f>
        <v>0</v>
      </c>
      <c r="J99" s="11"/>
    </row>
    <row r="100" spans="1:10">
      <c r="A100" s="100">
        <v>45620</v>
      </c>
      <c r="B100" s="82" t="s">
        <v>1604</v>
      </c>
      <c r="C100" s="114">
        <v>1000</v>
      </c>
      <c r="D100" s="114">
        <v>32.549999999999997</v>
      </c>
      <c r="E100" s="116">
        <f t="shared" si="1"/>
        <v>32549.999999999996</v>
      </c>
      <c r="F100" s="90">
        <f>F99</f>
        <v>46.68</v>
      </c>
      <c r="G100" s="17">
        <f>F100*C100</f>
        <v>46680</v>
      </c>
      <c r="H100" s="90"/>
      <c r="I100" s="90">
        <f>G100-E100</f>
        <v>14130.000000000004</v>
      </c>
      <c r="J100" s="11"/>
    </row>
    <row r="101" spans="1:10">
      <c r="A101" s="100">
        <v>45659</v>
      </c>
      <c r="B101" s="82" t="s">
        <v>1603</v>
      </c>
      <c r="C101" s="114">
        <v>4000</v>
      </c>
      <c r="D101" s="115">
        <v>30.86</v>
      </c>
      <c r="E101" s="116">
        <f t="shared" si="1"/>
        <v>123440</v>
      </c>
      <c r="F101" s="90">
        <f>F100</f>
        <v>46.68</v>
      </c>
      <c r="G101" s="17">
        <f t="shared" ref="G101" si="4">F101*C101</f>
        <v>186720</v>
      </c>
      <c r="H101" s="419">
        <f>SUM(G100:G101)</f>
        <v>233400</v>
      </c>
      <c r="I101" s="90">
        <f t="shared" ref="I101" si="5">G101-E101</f>
        <v>63280</v>
      </c>
      <c r="J101" s="11"/>
    </row>
    <row r="102" spans="1:10" ht="13.5" thickBot="1">
      <c r="A102" s="100">
        <v>45804</v>
      </c>
      <c r="B102" s="82" t="s">
        <v>236</v>
      </c>
      <c r="C102" s="114">
        <v>35</v>
      </c>
      <c r="D102" s="115">
        <v>1025.3286370000001</v>
      </c>
      <c r="E102" s="116">
        <f t="shared" si="1"/>
        <v>35886.502295000006</v>
      </c>
      <c r="F102" s="90"/>
      <c r="G102" s="17"/>
      <c r="H102" s="419"/>
      <c r="I102" s="90"/>
      <c r="J102" s="11"/>
    </row>
    <row r="103" spans="1:10" ht="13.5" thickBot="1">
      <c r="A103" s="100"/>
      <c r="B103" s="90"/>
      <c r="C103" s="12"/>
      <c r="D103" s="12"/>
      <c r="E103" s="90">
        <f>SUM(E99:E101)</f>
        <v>155990</v>
      </c>
      <c r="F103" s="90"/>
      <c r="G103" s="90"/>
      <c r="H103" s="117">
        <f>(SUM(G99:G101))-(SUM(E99:E101))</f>
        <v>77410</v>
      </c>
      <c r="I103" s="117">
        <f>SUM(I99:I101)</f>
        <v>77410</v>
      </c>
      <c r="J103" s="11"/>
    </row>
    <row r="104" spans="1:10">
      <c r="A104" s="100"/>
      <c r="B104" s="90"/>
      <c r="C104" s="12"/>
      <c r="D104" s="12"/>
      <c r="E104" s="90"/>
      <c r="F104" s="90"/>
      <c r="G104" s="90"/>
      <c r="H104" s="90"/>
      <c r="I104" s="90"/>
      <c r="J104" s="11"/>
    </row>
    <row r="105" spans="1:10">
      <c r="A105" s="100">
        <v>45345</v>
      </c>
      <c r="B105" s="82" t="s">
        <v>143</v>
      </c>
      <c r="C105" s="118">
        <v>125000</v>
      </c>
      <c r="D105" s="83">
        <v>1.0399430000000001</v>
      </c>
      <c r="E105" s="116">
        <f>D105*C105</f>
        <v>129992.87500000001</v>
      </c>
      <c r="F105" s="404">
        <v>0.87497100000000005</v>
      </c>
      <c r="G105" s="17">
        <f>F105*C105</f>
        <v>109371.375</v>
      </c>
      <c r="H105" s="90"/>
      <c r="I105" s="90">
        <f t="shared" ref="I105:I108" si="6">G105-E105</f>
        <v>-20621.500000000015</v>
      </c>
      <c r="J105" s="11"/>
    </row>
    <row r="106" spans="1:10">
      <c r="A106" s="100">
        <v>45400</v>
      </c>
      <c r="B106" s="82" t="s">
        <v>144</v>
      </c>
      <c r="C106" s="114">
        <v>10</v>
      </c>
      <c r="D106" s="83">
        <v>135</v>
      </c>
      <c r="E106" s="116">
        <f>D106*C106</f>
        <v>1350</v>
      </c>
      <c r="F106" s="90">
        <v>136.5</v>
      </c>
      <c r="G106" s="17">
        <f>F106*C106</f>
        <v>1365</v>
      </c>
      <c r="H106" s="90"/>
      <c r="I106" s="90">
        <f t="shared" si="6"/>
        <v>15</v>
      </c>
      <c r="J106" s="11"/>
    </row>
    <row r="107" spans="1:10">
      <c r="A107" s="100">
        <v>45418</v>
      </c>
      <c r="B107" s="82" t="s">
        <v>145</v>
      </c>
      <c r="C107" s="114">
        <v>38</v>
      </c>
      <c r="D107" s="83">
        <v>30.5</v>
      </c>
      <c r="E107" s="116">
        <f>D107*C107</f>
        <v>1159</v>
      </c>
      <c r="F107" s="90">
        <v>14.73</v>
      </c>
      <c r="G107" s="17">
        <f>F107*C107</f>
        <v>559.74</v>
      </c>
      <c r="H107" s="90"/>
      <c r="I107" s="90">
        <f t="shared" si="6"/>
        <v>-599.26</v>
      </c>
      <c r="J107" s="11"/>
    </row>
    <row r="108" spans="1:10" ht="13.5" thickBot="1">
      <c r="A108" s="100">
        <v>45418</v>
      </c>
      <c r="B108" s="82" t="s">
        <v>146</v>
      </c>
      <c r="C108" s="114">
        <v>26</v>
      </c>
      <c r="D108" s="83">
        <v>37.115000000000002</v>
      </c>
      <c r="E108" s="116">
        <f>D108*C108</f>
        <v>964.99</v>
      </c>
      <c r="F108" s="90">
        <v>24.58</v>
      </c>
      <c r="G108" s="17">
        <f>F108*C108</f>
        <v>639.07999999999993</v>
      </c>
      <c r="H108" s="419">
        <f>SUM(G105:G108)</f>
        <v>111935.19500000001</v>
      </c>
      <c r="I108" s="90">
        <f t="shared" si="6"/>
        <v>-325.91000000000008</v>
      </c>
      <c r="J108" s="11"/>
    </row>
    <row r="109" spans="1:10" ht="13.5" thickBot="1">
      <c r="A109" s="100"/>
      <c r="B109" s="90"/>
      <c r="C109" s="12"/>
      <c r="D109" s="12"/>
      <c r="E109" s="90">
        <f>SUM(E105:E108)</f>
        <v>133466.86499999999</v>
      </c>
      <c r="F109" s="90"/>
      <c r="G109" s="90"/>
      <c r="H109" s="117">
        <f>(SUM(G105:G108))-(SUM(E105:E108))</f>
        <v>-21531.669999999984</v>
      </c>
      <c r="I109" s="90"/>
      <c r="J109" s="11"/>
    </row>
    <row r="110" spans="1:10">
      <c r="A110" s="100"/>
      <c r="B110" s="90"/>
      <c r="C110" s="90"/>
      <c r="D110" s="90"/>
      <c r="E110" s="17"/>
      <c r="F110" s="90"/>
      <c r="G110" s="90"/>
      <c r="H110" s="90"/>
      <c r="I110" s="90"/>
      <c r="J110" s="11"/>
    </row>
    <row r="111" spans="1:10">
      <c r="A111" s="100">
        <v>45509</v>
      </c>
      <c r="B111" s="82" t="s">
        <v>1731</v>
      </c>
      <c r="C111" s="114">
        <v>1</v>
      </c>
      <c r="D111" s="83">
        <v>2500</v>
      </c>
      <c r="E111" s="116">
        <f>D111*C111</f>
        <v>2500</v>
      </c>
      <c r="F111" s="90">
        <v>4200</v>
      </c>
      <c r="G111" s="17">
        <f>C111*F111</f>
        <v>4200</v>
      </c>
      <c r="H111" s="90"/>
      <c r="I111" s="90">
        <f t="shared" ref="I111:I113" si="7">G111-E111</f>
        <v>1700</v>
      </c>
      <c r="J111" s="11"/>
    </row>
    <row r="112" spans="1:10">
      <c r="A112" s="100">
        <v>45509</v>
      </c>
      <c r="B112" s="82" t="s">
        <v>148</v>
      </c>
      <c r="C112" s="114">
        <v>16</v>
      </c>
      <c r="D112" s="83">
        <v>4100</v>
      </c>
      <c r="E112" s="116">
        <f>D112*C112</f>
        <v>65600</v>
      </c>
      <c r="F112" s="90">
        <f>F111*1.73</f>
        <v>7266</v>
      </c>
      <c r="G112" s="17">
        <f>C112*F112</f>
        <v>116256</v>
      </c>
      <c r="H112" s="90"/>
      <c r="I112" s="90">
        <f t="shared" si="7"/>
        <v>50656</v>
      </c>
      <c r="J112" s="11"/>
    </row>
    <row r="113" spans="1:12" ht="13.5" thickBot="1">
      <c r="A113" s="100">
        <v>45509</v>
      </c>
      <c r="B113" s="82" t="s">
        <v>149</v>
      </c>
      <c r="C113" s="114">
        <v>1</v>
      </c>
      <c r="D113" s="83">
        <v>16200</v>
      </c>
      <c r="E113" s="116">
        <f>D113*C113</f>
        <v>16200</v>
      </c>
      <c r="F113" s="90">
        <f>F112*4</f>
        <v>29064</v>
      </c>
      <c r="G113" s="17">
        <f>C113*F113</f>
        <v>29064</v>
      </c>
      <c r="H113" s="419">
        <f>SUM(G111:G113)</f>
        <v>149520</v>
      </c>
      <c r="I113" s="90">
        <f t="shared" si="7"/>
        <v>12864</v>
      </c>
      <c r="J113" s="11"/>
    </row>
    <row r="114" spans="1:12" ht="13.5" thickBot="1">
      <c r="A114" s="100"/>
      <c r="B114" s="90"/>
      <c r="C114" s="12"/>
      <c r="D114" s="12"/>
      <c r="E114" s="90">
        <f>SUM(E111:E113)</f>
        <v>84300</v>
      </c>
      <c r="F114" s="90"/>
      <c r="G114" s="90"/>
      <c r="H114" s="117">
        <f>(SUM(G111:G113))-(SUM(E111:E113))</f>
        <v>65220</v>
      </c>
      <c r="I114" s="90"/>
      <c r="J114" s="11"/>
    </row>
    <row r="115" spans="1:12">
      <c r="A115" s="100"/>
      <c r="B115" s="90" t="s">
        <v>150</v>
      </c>
      <c r="C115" s="120">
        <v>33.250599999999999</v>
      </c>
      <c r="D115" s="12"/>
      <c r="E115" s="90"/>
      <c r="F115" s="90"/>
      <c r="G115" s="17"/>
      <c r="H115" s="90"/>
      <c r="I115" s="90"/>
      <c r="J115" s="11"/>
    </row>
    <row r="116" spans="1:12">
      <c r="A116" s="100"/>
      <c r="B116" s="90" t="s">
        <v>151</v>
      </c>
      <c r="C116" s="120">
        <v>36.854999999999997</v>
      </c>
      <c r="D116" s="12"/>
      <c r="E116" s="90"/>
      <c r="F116" s="90"/>
      <c r="G116" s="17"/>
      <c r="H116" s="90"/>
      <c r="I116" s="90"/>
      <c r="J116" s="11"/>
    </row>
    <row r="117" spans="1:12">
      <c r="A117" s="100"/>
      <c r="B117" s="90" t="s">
        <v>152</v>
      </c>
      <c r="C117" s="12"/>
      <c r="D117" s="12"/>
      <c r="E117" s="90"/>
      <c r="F117" s="90"/>
      <c r="G117" s="17">
        <v>0</v>
      </c>
      <c r="H117" s="90"/>
      <c r="I117" s="90"/>
      <c r="J117" s="11"/>
    </row>
    <row r="118" spans="1:12" ht="13.5" thickBot="1">
      <c r="A118" s="100"/>
      <c r="B118" s="90" t="s">
        <v>153</v>
      </c>
      <c r="C118" s="12"/>
      <c r="D118" s="12"/>
      <c r="E118" s="90"/>
      <c r="F118" s="90"/>
      <c r="G118" s="17">
        <v>1000</v>
      </c>
      <c r="H118" s="90"/>
      <c r="I118" s="90"/>
      <c r="J118" s="11"/>
    </row>
    <row r="119" spans="1:12" ht="13.5" thickBot="1">
      <c r="A119" s="100"/>
      <c r="B119" s="90"/>
      <c r="C119" s="90"/>
      <c r="D119" s="90"/>
      <c r="E119" s="121"/>
      <c r="F119" s="122"/>
      <c r="G119" s="123" t="s">
        <v>154</v>
      </c>
      <c r="H119" s="429">
        <f>H114+H109+H103</f>
        <v>121098.33000000002</v>
      </c>
      <c r="I119" s="90"/>
      <c r="J119" s="11"/>
    </row>
    <row r="120" spans="1:12" ht="13.5" thickBot="1">
      <c r="A120" s="100"/>
      <c r="B120" s="90"/>
      <c r="C120" s="124"/>
      <c r="D120" s="92"/>
      <c r="E120" s="90"/>
      <c r="F120" s="90"/>
      <c r="G120" s="124"/>
      <c r="H120" s="90"/>
      <c r="I120" s="90"/>
      <c r="J120" s="11"/>
    </row>
    <row r="121" spans="1:12" ht="13.5" thickBot="1">
      <c r="A121" s="100"/>
      <c r="B121" s="90"/>
      <c r="C121" s="124"/>
      <c r="D121" s="18" t="s">
        <v>155</v>
      </c>
      <c r="E121" s="90"/>
      <c r="F121" s="90"/>
      <c r="G121" s="482">
        <f>SUM(G93:G118)</f>
        <v>547410.19500000007</v>
      </c>
      <c r="H121" s="90"/>
      <c r="I121" s="90"/>
      <c r="J121" s="11"/>
    </row>
    <row r="122" spans="1:12">
      <c r="A122" s="100"/>
      <c r="B122" s="90"/>
      <c r="C122" s="126" t="str">
        <f>A89</f>
        <v>TEMMUZ  2025 e</v>
      </c>
      <c r="D122" s="126" t="s">
        <v>156</v>
      </c>
      <c r="E122" s="90"/>
      <c r="F122" s="90"/>
      <c r="G122" s="127"/>
      <c r="H122" s="90"/>
      <c r="I122" s="90"/>
      <c r="J122" s="11"/>
    </row>
    <row r="123" spans="1:12">
      <c r="A123" s="100"/>
      <c r="B123" s="11"/>
      <c r="C123" s="438"/>
      <c r="D123" s="439"/>
      <c r="E123" s="405"/>
      <c r="F123" s="405"/>
      <c r="G123" s="409"/>
      <c r="H123" s="90"/>
      <c r="I123" s="90"/>
      <c r="J123" s="11"/>
    </row>
    <row r="124" spans="1:12">
      <c r="A124" s="90"/>
      <c r="B124" s="90" t="s">
        <v>1685</v>
      </c>
      <c r="C124" s="90"/>
      <c r="D124" s="90"/>
      <c r="E124" s="90"/>
      <c r="F124" s="90"/>
      <c r="G124" s="90"/>
      <c r="H124" s="90"/>
      <c r="I124" s="11"/>
      <c r="J124" s="78"/>
    </row>
    <row r="125" spans="1:12">
      <c r="A125" s="100">
        <v>45620</v>
      </c>
      <c r="B125" s="82"/>
      <c r="C125" s="114"/>
      <c r="D125" s="114"/>
      <c r="E125" s="116"/>
      <c r="F125" s="90"/>
      <c r="G125" s="17"/>
      <c r="H125" s="90"/>
      <c r="I125" s="443"/>
      <c r="J125" s="100"/>
      <c r="L125" s="443"/>
    </row>
    <row r="126" spans="1:12">
      <c r="A126" s="100"/>
      <c r="B126" s="82"/>
      <c r="C126" s="114" t="s">
        <v>1730</v>
      </c>
      <c r="D126" s="115"/>
      <c r="E126" s="116"/>
      <c r="F126" s="90" t="s">
        <v>1729</v>
      </c>
      <c r="G126" s="17">
        <v>-257.16000000000003</v>
      </c>
      <c r="H126" s="90"/>
      <c r="I126" s="90"/>
      <c r="J126" s="475"/>
      <c r="L126" s="443"/>
    </row>
    <row r="127" spans="1:12">
      <c r="A127" s="100">
        <v>45812</v>
      </c>
      <c r="B127" s="82" t="s">
        <v>236</v>
      </c>
      <c r="C127" s="114">
        <v>10</v>
      </c>
      <c r="D127" s="115">
        <v>1025.3286370000001</v>
      </c>
      <c r="E127" s="116">
        <f t="shared" ref="E127" si="8">D127*C127</f>
        <v>10253.286370000002</v>
      </c>
      <c r="F127" s="115">
        <v>1035.7262459999999</v>
      </c>
      <c r="G127" s="17">
        <f t="shared" ref="G127" si="9">F127*C127</f>
        <v>10357.26246</v>
      </c>
      <c r="H127" s="90">
        <f>G127-E127</f>
        <v>103.97608999999829</v>
      </c>
      <c r="I127" s="11"/>
      <c r="J127" s="78"/>
    </row>
    <row r="128" spans="1:12">
      <c r="A128" s="100"/>
      <c r="B128" s="82" t="s">
        <v>1729</v>
      </c>
      <c r="C128" s="114"/>
      <c r="D128" s="115"/>
      <c r="E128" s="116"/>
      <c r="F128" s="404"/>
      <c r="G128" s="17"/>
      <c r="H128" s="90">
        <v>-163.46</v>
      </c>
      <c r="I128" s="443"/>
      <c r="J128" s="100"/>
      <c r="L128" s="443"/>
    </row>
    <row r="129" spans="1:10">
      <c r="A129" s="406">
        <v>45818</v>
      </c>
      <c r="B129" s="82" t="s">
        <v>1814</v>
      </c>
      <c r="C129" s="114">
        <v>25</v>
      </c>
      <c r="D129" s="115">
        <v>1025.3286370000001</v>
      </c>
      <c r="E129" s="116">
        <f t="shared" ref="E129" si="10">D129*C129</f>
        <v>25633.215925</v>
      </c>
      <c r="F129" s="90">
        <v>1043.4576589999999</v>
      </c>
      <c r="G129" s="17">
        <f t="shared" ref="G129" si="11">F129*C129</f>
        <v>26086.441475</v>
      </c>
      <c r="H129" s="90">
        <f>G129-E129</f>
        <v>453.2255499999992</v>
      </c>
      <c r="I129" s="90"/>
      <c r="J129" s="475"/>
    </row>
    <row r="130" spans="1:10" ht="13.5" thickBot="1">
      <c r="A130" s="407"/>
      <c r="B130" s="82" t="s">
        <v>1729</v>
      </c>
      <c r="C130" s="407" t="s">
        <v>1815</v>
      </c>
      <c r="D130" s="405"/>
      <c r="E130" s="405"/>
      <c r="F130" s="405"/>
      <c r="G130" s="405"/>
      <c r="H130" s="407">
        <v>-427.99</v>
      </c>
      <c r="I130" s="11"/>
      <c r="J130" s="78"/>
    </row>
    <row r="131" spans="1:10">
      <c r="A131" s="428"/>
      <c r="B131" s="428"/>
      <c r="C131" s="428"/>
      <c r="D131" s="417"/>
      <c r="E131" s="417"/>
      <c r="F131" s="417"/>
      <c r="G131" s="417">
        <f>SUM(G125:G130)</f>
        <v>36186.543935000002</v>
      </c>
      <c r="H131" s="480">
        <f>SUM(H125:H130)</f>
        <v>-34.248360000002549</v>
      </c>
      <c r="I131" s="11"/>
      <c r="J131" s="78"/>
    </row>
    <row r="132" spans="1:10">
      <c r="A132" s="11"/>
      <c r="B132" s="11"/>
      <c r="C132" s="11"/>
      <c r="D132" s="90"/>
      <c r="E132" s="90"/>
      <c r="F132" s="90"/>
      <c r="G132" s="90"/>
      <c r="H132" s="90"/>
      <c r="I132" s="11"/>
      <c r="J132" s="11"/>
    </row>
    <row r="133" spans="1:10">
      <c r="A133" s="98"/>
      <c r="B133" s="11"/>
      <c r="C133" s="11"/>
      <c r="D133" s="90"/>
      <c r="E133" s="90"/>
      <c r="F133" s="90"/>
      <c r="G133" s="90"/>
      <c r="H133" s="90"/>
      <c r="I133" s="11"/>
      <c r="J133" s="11"/>
    </row>
    <row r="134" spans="1:10" ht="18">
      <c r="A134" s="493" t="s">
        <v>1743</v>
      </c>
      <c r="B134" s="11"/>
      <c r="C134" s="11"/>
      <c r="D134" s="90"/>
      <c r="E134" s="90"/>
      <c r="F134" s="90"/>
      <c r="G134" s="90"/>
      <c r="H134" s="90"/>
      <c r="I134" s="11"/>
      <c r="J134" s="11"/>
    </row>
    <row r="135" spans="1:10" ht="15.75">
      <c r="A135" s="98"/>
      <c r="B135" s="476">
        <f>1-76.4616%</f>
        <v>0.23538399999999993</v>
      </c>
      <c r="C135" s="477">
        <v>0.76461599999999996</v>
      </c>
      <c r="D135" s="404"/>
      <c r="E135" s="90"/>
      <c r="F135" s="90"/>
      <c r="G135" s="90"/>
      <c r="H135" s="90"/>
      <c r="I135" s="11"/>
      <c r="J135" s="11"/>
    </row>
    <row r="136" spans="1:10" ht="15.75">
      <c r="A136" s="98"/>
      <c r="B136" s="476" t="s">
        <v>1883</v>
      </c>
      <c r="C136" s="477"/>
      <c r="D136" s="404"/>
      <c r="E136" s="90"/>
      <c r="F136" s="90"/>
      <c r="G136" s="90"/>
      <c r="H136" s="90"/>
      <c r="I136" s="11"/>
      <c r="J136" s="11"/>
    </row>
    <row r="137" spans="1:10" ht="15.75">
      <c r="A137" s="98"/>
      <c r="B137" s="476" t="s">
        <v>1744</v>
      </c>
      <c r="C137" s="477"/>
      <c r="D137" s="404"/>
      <c r="E137" s="90"/>
      <c r="F137" s="90"/>
      <c r="G137" s="90"/>
      <c r="H137" s="90"/>
      <c r="I137" s="11"/>
      <c r="J137" s="11"/>
    </row>
    <row r="138" spans="1:10" ht="15.75">
      <c r="A138" s="98"/>
      <c r="B138" s="476" t="s">
        <v>1747</v>
      </c>
      <c r="C138" s="477"/>
      <c r="D138" s="404"/>
      <c r="E138" s="90"/>
      <c r="F138" s="90"/>
      <c r="G138" s="90"/>
      <c r="H138" s="90"/>
      <c r="I138" s="11"/>
      <c r="J138" s="11"/>
    </row>
    <row r="139" spans="1:10" ht="15.75">
      <c r="A139" s="98"/>
      <c r="B139" s="476" t="s">
        <v>1746</v>
      </c>
      <c r="C139" s="477"/>
      <c r="D139" s="404"/>
      <c r="E139" s="90"/>
      <c r="F139" s="90"/>
      <c r="G139" s="90"/>
      <c r="H139" s="90"/>
      <c r="I139" s="11"/>
      <c r="J139" s="11"/>
    </row>
    <row r="140" spans="1:10" ht="16.5" thickBot="1">
      <c r="A140" s="98"/>
      <c r="B140" s="476"/>
      <c r="C140" s="11" t="s">
        <v>1749</v>
      </c>
      <c r="D140" s="11" t="s">
        <v>1748</v>
      </c>
      <c r="E140" s="90" t="s">
        <v>1740</v>
      </c>
      <c r="F140" s="490">
        <v>138749.76000000001</v>
      </c>
      <c r="G140" s="11" t="s">
        <v>1741</v>
      </c>
      <c r="H140" s="90" t="s">
        <v>3</v>
      </c>
      <c r="I140" s="11"/>
      <c r="J140" s="11"/>
    </row>
    <row r="141" spans="1:10" ht="13.5" thickBot="1">
      <c r="A141" s="100"/>
      <c r="B141" s="82" t="s">
        <v>1881</v>
      </c>
      <c r="C141" s="118">
        <v>160</v>
      </c>
      <c r="D141" s="384">
        <f>C141</f>
        <v>160</v>
      </c>
      <c r="E141" s="83">
        <v>872.26</v>
      </c>
      <c r="F141" s="491">
        <f>E141*D141</f>
        <v>139561.60000000001</v>
      </c>
      <c r="G141" s="481">
        <v>962.89330700000005</v>
      </c>
      <c r="H141" s="567">
        <f>G141*C141</f>
        <v>154062.92912000002</v>
      </c>
      <c r="I141" s="12">
        <f>H141</f>
        <v>154062.92912000002</v>
      </c>
      <c r="J141" s="11"/>
    </row>
    <row r="142" spans="1:10" ht="13.5" thickBot="1">
      <c r="A142" s="100"/>
      <c r="B142" s="82" t="s">
        <v>1880</v>
      </c>
      <c r="C142" s="118">
        <v>78</v>
      </c>
      <c r="D142" s="384">
        <f>D141+C142</f>
        <v>238</v>
      </c>
      <c r="E142" s="83">
        <v>872.26</v>
      </c>
      <c r="F142" s="491">
        <f t="shared" ref="F142:F148" si="12">E142*D142</f>
        <v>207597.88</v>
      </c>
      <c r="G142" s="403">
        <f>G143</f>
        <v>962.89330700000005</v>
      </c>
      <c r="H142" s="567">
        <f>G142*C142</f>
        <v>75105.677946000011</v>
      </c>
      <c r="I142" s="12">
        <f>I141+H142</f>
        <v>229168.60706600003</v>
      </c>
      <c r="J142" s="11"/>
    </row>
    <row r="143" spans="1:10" ht="13.5" thickBot="1">
      <c r="A143" s="489">
        <v>45755</v>
      </c>
      <c r="B143" s="492" t="s">
        <v>1848</v>
      </c>
      <c r="C143" s="118">
        <v>-21</v>
      </c>
      <c r="D143" s="384">
        <f>D142+C143</f>
        <v>217</v>
      </c>
      <c r="E143" s="83">
        <v>872.26</v>
      </c>
      <c r="F143" s="491">
        <f t="shared" si="12"/>
        <v>189280.41999999998</v>
      </c>
      <c r="G143" s="403">
        <f>G141</f>
        <v>962.89330700000005</v>
      </c>
      <c r="H143" s="568">
        <f>G143*C143</f>
        <v>-20220.759447</v>
      </c>
      <c r="I143" s="12">
        <f>I142+H143</f>
        <v>208947.84761900004</v>
      </c>
      <c r="J143" s="11"/>
    </row>
    <row r="144" spans="1:10" ht="13.5" thickBot="1">
      <c r="A144" s="100"/>
      <c r="B144" s="82" t="s">
        <v>1742</v>
      </c>
      <c r="C144" s="565"/>
      <c r="D144" s="384">
        <f t="shared" ref="D144:D148" si="13">D143+C144</f>
        <v>217</v>
      </c>
      <c r="E144" s="83">
        <v>872.26</v>
      </c>
      <c r="F144" s="491">
        <f t="shared" si="12"/>
        <v>189280.41999999998</v>
      </c>
      <c r="G144" s="403">
        <f>G142</f>
        <v>962.89330700000005</v>
      </c>
      <c r="H144" s="384">
        <v>-300.32</v>
      </c>
      <c r="I144" s="12">
        <f>I143+H144</f>
        <v>208647.52761900003</v>
      </c>
      <c r="J144" s="11"/>
    </row>
    <row r="145" spans="1:14" s="11" customFormat="1" ht="13.5" thickBot="1">
      <c r="A145" s="489">
        <v>45786</v>
      </c>
      <c r="B145" s="492" t="s">
        <v>1849</v>
      </c>
      <c r="C145" s="566">
        <v>-20</v>
      </c>
      <c r="D145" s="384">
        <f t="shared" si="13"/>
        <v>197</v>
      </c>
      <c r="E145" s="83">
        <v>872.26</v>
      </c>
      <c r="F145" s="491">
        <f t="shared" si="12"/>
        <v>171835.22</v>
      </c>
      <c r="G145" s="403">
        <v>1000.86</v>
      </c>
      <c r="H145" s="568">
        <f>G145*C145</f>
        <v>-20017.2</v>
      </c>
      <c r="I145" s="12">
        <f>I144+H145</f>
        <v>188630.32761900002</v>
      </c>
      <c r="K145" s="78"/>
      <c r="L145" s="78"/>
      <c r="M145" s="78"/>
      <c r="N145" s="78"/>
    </row>
    <row r="146" spans="1:14" s="11" customFormat="1" ht="13.5" thickBot="1">
      <c r="A146" s="489"/>
      <c r="B146" s="492"/>
      <c r="C146" s="566"/>
      <c r="D146" s="384">
        <f t="shared" si="13"/>
        <v>197</v>
      </c>
      <c r="E146" s="83">
        <v>872.26</v>
      </c>
      <c r="F146" s="491">
        <f t="shared" si="12"/>
        <v>171835.22</v>
      </c>
      <c r="G146" s="403">
        <v>1000.86</v>
      </c>
      <c r="H146" s="568">
        <v>-257.18</v>
      </c>
      <c r="I146" s="12">
        <f t="shared" ref="I146:I148" si="14">I145+H146</f>
        <v>188373.14761900002</v>
      </c>
      <c r="K146" s="78"/>
      <c r="L146" s="78"/>
      <c r="M146" s="78"/>
      <c r="N146" s="78"/>
    </row>
    <row r="147" spans="1:14" s="11" customFormat="1" ht="13.5" thickBot="1">
      <c r="A147" s="100">
        <v>45818</v>
      </c>
      <c r="B147" s="492" t="s">
        <v>1850</v>
      </c>
      <c r="C147" s="565">
        <v>-20</v>
      </c>
      <c r="D147" s="384">
        <f t="shared" si="13"/>
        <v>177</v>
      </c>
      <c r="E147" s="83">
        <v>872.26</v>
      </c>
      <c r="F147" s="491">
        <f t="shared" si="12"/>
        <v>154390.01999999999</v>
      </c>
      <c r="G147" s="403">
        <v>1043.4576589999999</v>
      </c>
      <c r="H147" s="568">
        <f>G147*C147</f>
        <v>-20869.153179999998</v>
      </c>
      <c r="I147" s="12">
        <f t="shared" si="14"/>
        <v>167503.99443900003</v>
      </c>
      <c r="K147" s="78"/>
      <c r="L147" s="78"/>
      <c r="M147" s="78"/>
      <c r="N147" s="78"/>
    </row>
    <row r="148" spans="1:14" s="11" customFormat="1" ht="13.5" thickBot="1">
      <c r="A148" s="100"/>
      <c r="B148" s="82"/>
      <c r="C148" s="565"/>
      <c r="D148" s="384">
        <f t="shared" si="13"/>
        <v>177</v>
      </c>
      <c r="E148" s="83">
        <v>872.26</v>
      </c>
      <c r="F148" s="491">
        <f t="shared" si="12"/>
        <v>154390.01999999999</v>
      </c>
      <c r="G148" s="403">
        <v>1043.4576589999999</v>
      </c>
      <c r="H148" s="384">
        <v>-342.39</v>
      </c>
      <c r="I148" s="12">
        <f t="shared" si="14"/>
        <v>167161.60443900002</v>
      </c>
      <c r="K148" s="78"/>
      <c r="L148" s="78"/>
      <c r="M148" s="78"/>
      <c r="N148" s="78"/>
    </row>
    <row r="149" spans="1:14" s="11" customFormat="1" ht="13.5" thickBot="1">
      <c r="A149" s="100">
        <v>45838</v>
      </c>
      <c r="B149" s="492" t="s">
        <v>1851</v>
      </c>
      <c r="C149" s="388">
        <v>-19</v>
      </c>
      <c r="D149" s="90">
        <f t="shared" ref="D149:D150" si="15">D148+C149</f>
        <v>158</v>
      </c>
      <c r="E149" s="83">
        <v>872.26</v>
      </c>
      <c r="F149" s="491">
        <f t="shared" ref="F149:F150" si="16">E149*D149</f>
        <v>137817.07999999999</v>
      </c>
      <c r="G149" s="403">
        <v>1069.852729</v>
      </c>
      <c r="H149" s="141">
        <f>G149*C149</f>
        <v>-20327.201850999998</v>
      </c>
      <c r="I149" s="12">
        <f t="shared" ref="I149:I150" si="17">I148+H149</f>
        <v>146834.40258800003</v>
      </c>
      <c r="K149" s="78"/>
      <c r="L149" s="78"/>
      <c r="M149" s="78"/>
      <c r="N149" s="78"/>
    </row>
    <row r="150" spans="1:14" s="11" customFormat="1" ht="13.5" thickBot="1">
      <c r="A150" s="100"/>
      <c r="B150" s="82"/>
      <c r="C150" s="388"/>
      <c r="D150" s="90">
        <f t="shared" si="15"/>
        <v>158</v>
      </c>
      <c r="E150" s="83">
        <v>872.26</v>
      </c>
      <c r="F150" s="491">
        <f t="shared" si="16"/>
        <v>137817.07999999999</v>
      </c>
      <c r="G150" s="403">
        <v>1080</v>
      </c>
      <c r="H150" s="90"/>
      <c r="I150" s="12">
        <f t="shared" si="17"/>
        <v>146834.40258800003</v>
      </c>
      <c r="K150" s="78"/>
      <c r="L150" s="78"/>
      <c r="M150" s="78"/>
      <c r="N150" s="78"/>
    </row>
    <row r="151" spans="1:14" s="11" customFormat="1" ht="13.5" thickBot="1">
      <c r="A151" s="100"/>
      <c r="B151" s="492" t="s">
        <v>1852</v>
      </c>
      <c r="C151" s="388">
        <v>-20</v>
      </c>
      <c r="D151" s="90">
        <f t="shared" ref="D151:D162" si="18">D150+C151</f>
        <v>138</v>
      </c>
      <c r="E151" s="83">
        <v>872.26</v>
      </c>
      <c r="F151" s="491">
        <f t="shared" ref="F151:F162" si="19">E151*D151</f>
        <v>120371.88</v>
      </c>
      <c r="G151" s="403">
        <v>1120</v>
      </c>
      <c r="H151" s="141">
        <f>G151*C151</f>
        <v>-22400</v>
      </c>
      <c r="I151" s="12">
        <f t="shared" ref="I151:I162" si="20">I150+H151</f>
        <v>124434.40258800003</v>
      </c>
      <c r="K151" s="78"/>
      <c r="L151" s="78"/>
      <c r="M151" s="78"/>
      <c r="N151" s="78"/>
    </row>
    <row r="152" spans="1:14" s="11" customFormat="1" ht="13.5" thickBot="1">
      <c r="A152" s="100"/>
      <c r="B152" s="82"/>
      <c r="C152" s="388"/>
      <c r="D152" s="90">
        <f t="shared" si="18"/>
        <v>138</v>
      </c>
      <c r="E152" s="83">
        <v>872.26</v>
      </c>
      <c r="F152" s="491">
        <f t="shared" si="19"/>
        <v>120371.88</v>
      </c>
      <c r="G152" s="403">
        <v>1120</v>
      </c>
      <c r="H152" s="90"/>
      <c r="I152" s="12">
        <f t="shared" si="20"/>
        <v>124434.40258800003</v>
      </c>
      <c r="K152" s="78"/>
      <c r="L152" s="78"/>
      <c r="M152" s="78"/>
      <c r="N152" s="78"/>
    </row>
    <row r="153" spans="1:14" s="11" customFormat="1" ht="13.5" thickBot="1">
      <c r="A153" s="100"/>
      <c r="B153" s="492" t="s">
        <v>1853</v>
      </c>
      <c r="C153" s="388">
        <v>-20</v>
      </c>
      <c r="D153" s="90">
        <f t="shared" si="18"/>
        <v>118</v>
      </c>
      <c r="E153" s="83">
        <v>872.26</v>
      </c>
      <c r="F153" s="491">
        <f t="shared" si="19"/>
        <v>102926.68</v>
      </c>
      <c r="G153" s="403">
        <v>1160</v>
      </c>
      <c r="H153" s="141">
        <f>G153*C153</f>
        <v>-23200</v>
      </c>
      <c r="I153" s="12">
        <f t="shared" si="20"/>
        <v>101234.40258800003</v>
      </c>
      <c r="K153" s="78"/>
      <c r="L153" s="78"/>
      <c r="M153" s="78"/>
      <c r="N153" s="78"/>
    </row>
    <row r="154" spans="1:14" s="11" customFormat="1" ht="13.5" thickBot="1">
      <c r="A154" s="100"/>
      <c r="B154" s="82"/>
      <c r="C154" s="388"/>
      <c r="D154" s="90">
        <f t="shared" si="18"/>
        <v>118</v>
      </c>
      <c r="E154" s="83">
        <v>872.26</v>
      </c>
      <c r="F154" s="491">
        <f t="shared" si="19"/>
        <v>102926.68</v>
      </c>
      <c r="G154" s="403">
        <v>1160</v>
      </c>
      <c r="H154" s="90"/>
      <c r="I154" s="12">
        <f t="shared" si="20"/>
        <v>101234.40258800003</v>
      </c>
      <c r="K154" s="78"/>
      <c r="L154" s="78"/>
      <c r="M154" s="78"/>
      <c r="N154" s="78"/>
    </row>
    <row r="155" spans="1:14" s="11" customFormat="1" ht="13.5" thickBot="1">
      <c r="A155" s="100"/>
      <c r="B155" s="492" t="s">
        <v>1854</v>
      </c>
      <c r="C155" s="388">
        <v>-17</v>
      </c>
      <c r="D155" s="90">
        <f t="shared" si="18"/>
        <v>101</v>
      </c>
      <c r="E155" s="83">
        <v>872.26</v>
      </c>
      <c r="F155" s="491">
        <f t="shared" si="19"/>
        <v>88098.26</v>
      </c>
      <c r="G155" s="403">
        <v>1200</v>
      </c>
      <c r="H155" s="141">
        <f>G155*C155</f>
        <v>-20400</v>
      </c>
      <c r="I155" s="12">
        <f t="shared" si="20"/>
        <v>80834.402588000026</v>
      </c>
      <c r="K155" s="78"/>
      <c r="L155" s="78"/>
      <c r="M155" s="78"/>
      <c r="N155" s="78"/>
    </row>
    <row r="156" spans="1:14" s="11" customFormat="1" ht="13.5" thickBot="1">
      <c r="A156" s="100"/>
      <c r="B156" s="82"/>
      <c r="C156" s="388"/>
      <c r="D156" s="90">
        <f t="shared" si="18"/>
        <v>101</v>
      </c>
      <c r="E156" s="83">
        <v>872.26</v>
      </c>
      <c r="F156" s="491">
        <f t="shared" si="19"/>
        <v>88098.26</v>
      </c>
      <c r="G156" s="403">
        <v>1200</v>
      </c>
      <c r="H156" s="90"/>
      <c r="I156" s="12">
        <f t="shared" si="20"/>
        <v>80834.402588000026</v>
      </c>
      <c r="K156" s="78"/>
      <c r="L156" s="78"/>
      <c r="M156" s="78"/>
      <c r="N156" s="78"/>
    </row>
    <row r="157" spans="1:14" s="11" customFormat="1" ht="13.5" thickBot="1">
      <c r="A157" s="100"/>
      <c r="B157" s="492" t="s">
        <v>1855</v>
      </c>
      <c r="C157" s="388">
        <v>-20</v>
      </c>
      <c r="D157" s="90">
        <f t="shared" si="18"/>
        <v>81</v>
      </c>
      <c r="E157" s="83">
        <v>872.26</v>
      </c>
      <c r="F157" s="491">
        <f t="shared" si="19"/>
        <v>70653.06</v>
      </c>
      <c r="G157" s="403">
        <v>1240</v>
      </c>
      <c r="H157" s="141">
        <f>G157*C157</f>
        <v>-24800</v>
      </c>
      <c r="I157" s="12">
        <f t="shared" si="20"/>
        <v>56034.402588000026</v>
      </c>
      <c r="K157" s="78"/>
      <c r="L157" s="78"/>
      <c r="M157" s="78"/>
      <c r="N157" s="78"/>
    </row>
    <row r="158" spans="1:14" s="11" customFormat="1" ht="13.5" thickBot="1">
      <c r="A158" s="100"/>
      <c r="B158" s="82"/>
      <c r="C158" s="388"/>
      <c r="D158" s="90">
        <f t="shared" si="18"/>
        <v>81</v>
      </c>
      <c r="E158" s="83">
        <v>872.26</v>
      </c>
      <c r="F158" s="491">
        <f t="shared" si="19"/>
        <v>70653.06</v>
      </c>
      <c r="G158" s="403">
        <v>1240</v>
      </c>
      <c r="H158" s="90"/>
      <c r="I158" s="12">
        <f t="shared" si="20"/>
        <v>56034.402588000026</v>
      </c>
      <c r="K158" s="78"/>
      <c r="L158" s="78"/>
      <c r="M158" s="78"/>
      <c r="N158" s="78"/>
    </row>
    <row r="159" spans="1:14" s="11" customFormat="1" ht="13.5" thickBot="1">
      <c r="A159" s="100"/>
      <c r="B159" s="492" t="s">
        <v>1856</v>
      </c>
      <c r="C159" s="388">
        <v>-20</v>
      </c>
      <c r="D159" s="90">
        <f t="shared" si="18"/>
        <v>61</v>
      </c>
      <c r="E159" s="83">
        <v>872.26</v>
      </c>
      <c r="F159" s="491">
        <f t="shared" si="19"/>
        <v>53207.86</v>
      </c>
      <c r="G159" s="403">
        <v>1280</v>
      </c>
      <c r="H159" s="141">
        <f>G159*C159</f>
        <v>-25600</v>
      </c>
      <c r="I159" s="12">
        <f t="shared" si="20"/>
        <v>30434.402588000026</v>
      </c>
      <c r="K159" s="78"/>
      <c r="L159" s="78"/>
      <c r="M159" s="78"/>
      <c r="N159" s="78"/>
    </row>
    <row r="160" spans="1:14" s="11" customFormat="1" ht="13.5" thickBot="1">
      <c r="A160" s="100"/>
      <c r="B160" s="82"/>
      <c r="C160" s="388"/>
      <c r="D160" s="90">
        <f t="shared" si="18"/>
        <v>61</v>
      </c>
      <c r="E160" s="83">
        <v>872.26</v>
      </c>
      <c r="F160" s="491">
        <f t="shared" si="19"/>
        <v>53207.86</v>
      </c>
      <c r="G160" s="403">
        <v>1280</v>
      </c>
      <c r="H160" s="90"/>
      <c r="I160" s="12">
        <f t="shared" si="20"/>
        <v>30434.402588000026</v>
      </c>
      <c r="K160" s="78"/>
      <c r="L160" s="78"/>
      <c r="M160" s="78"/>
      <c r="N160" s="78"/>
    </row>
    <row r="161" spans="1:14" s="11" customFormat="1" ht="13.5" thickBot="1">
      <c r="A161" s="100"/>
      <c r="B161" s="492" t="s">
        <v>1857</v>
      </c>
      <c r="C161" s="388">
        <v>-20</v>
      </c>
      <c r="D161" s="90">
        <f t="shared" si="18"/>
        <v>41</v>
      </c>
      <c r="E161" s="83">
        <v>872.26</v>
      </c>
      <c r="F161" s="491">
        <f t="shared" si="19"/>
        <v>35762.659999999996</v>
      </c>
      <c r="G161" s="403">
        <v>1300</v>
      </c>
      <c r="H161" s="141">
        <f>G161*C161</f>
        <v>-26000</v>
      </c>
      <c r="I161" s="12">
        <f t="shared" si="20"/>
        <v>4434.4025880000263</v>
      </c>
      <c r="K161" s="78"/>
      <c r="L161" s="78"/>
      <c r="M161" s="78"/>
      <c r="N161" s="78"/>
    </row>
    <row r="162" spans="1:14" s="11" customFormat="1" ht="13.5" thickBot="1">
      <c r="A162" s="100"/>
      <c r="B162" s="82"/>
      <c r="C162" s="388"/>
      <c r="D162" s="90">
        <f t="shared" si="18"/>
        <v>41</v>
      </c>
      <c r="E162" s="83">
        <v>872.26</v>
      </c>
      <c r="F162" s="491">
        <f t="shared" si="19"/>
        <v>35762.659999999996</v>
      </c>
      <c r="G162" s="403">
        <v>1300</v>
      </c>
      <c r="H162" s="90"/>
      <c r="I162" s="12">
        <f t="shared" si="20"/>
        <v>4434.4025880000263</v>
      </c>
      <c r="K162" s="78"/>
      <c r="L162" s="78"/>
      <c r="M162" s="78"/>
      <c r="N162" s="78"/>
    </row>
    <row r="163" spans="1:14" s="11" customFormat="1" ht="13.5" thickBot="1">
      <c r="A163" s="100"/>
      <c r="B163" s="492" t="s">
        <v>1858</v>
      </c>
      <c r="C163" s="388">
        <v>-20</v>
      </c>
      <c r="D163" s="90">
        <f t="shared" ref="D163:D166" si="21">D162+C163</f>
        <v>21</v>
      </c>
      <c r="E163" s="83">
        <v>872.26</v>
      </c>
      <c r="F163" s="491">
        <f t="shared" ref="F163:F166" si="22">E163*D163</f>
        <v>18317.46</v>
      </c>
      <c r="G163" s="403">
        <v>1330</v>
      </c>
      <c r="H163" s="141">
        <f>G163*C163</f>
        <v>-26600</v>
      </c>
      <c r="I163" s="12">
        <f t="shared" ref="I163:I166" si="23">I162+H163</f>
        <v>-22165.597411999974</v>
      </c>
      <c r="K163" s="78"/>
      <c r="L163" s="78"/>
      <c r="M163" s="78"/>
      <c r="N163" s="78"/>
    </row>
    <row r="164" spans="1:14" s="11" customFormat="1" ht="13.5" thickBot="1">
      <c r="A164" s="100"/>
      <c r="B164" s="82"/>
      <c r="C164" s="388"/>
      <c r="D164" s="90">
        <f t="shared" si="21"/>
        <v>21</v>
      </c>
      <c r="E164" s="83">
        <v>872.26</v>
      </c>
      <c r="F164" s="491">
        <f t="shared" si="22"/>
        <v>18317.46</v>
      </c>
      <c r="G164" s="403">
        <v>1330</v>
      </c>
      <c r="H164" s="90"/>
      <c r="I164" s="12">
        <f t="shared" si="23"/>
        <v>-22165.597411999974</v>
      </c>
      <c r="K164" s="78"/>
      <c r="L164" s="78"/>
      <c r="M164" s="78"/>
      <c r="N164" s="78"/>
    </row>
    <row r="165" spans="1:14" s="11" customFormat="1" ht="13.5" thickBot="1">
      <c r="A165" s="100"/>
      <c r="B165" s="492" t="s">
        <v>1859</v>
      </c>
      <c r="C165" s="388">
        <v>-20</v>
      </c>
      <c r="D165" s="90">
        <f t="shared" si="21"/>
        <v>1</v>
      </c>
      <c r="E165" s="83">
        <v>872.26</v>
      </c>
      <c r="F165" s="491">
        <f t="shared" si="22"/>
        <v>872.26</v>
      </c>
      <c r="G165" s="403">
        <v>1360</v>
      </c>
      <c r="H165" s="141">
        <f>G165*C165</f>
        <v>-27200</v>
      </c>
      <c r="I165" s="12">
        <f t="shared" si="23"/>
        <v>-49365.597411999974</v>
      </c>
      <c r="K165" s="78"/>
      <c r="L165" s="78"/>
      <c r="M165" s="78"/>
      <c r="N165" s="78"/>
    </row>
    <row r="166" spans="1:14" s="11" customFormat="1">
      <c r="A166" s="100"/>
      <c r="B166" s="82"/>
      <c r="C166" s="388"/>
      <c r="D166" s="90">
        <f t="shared" si="21"/>
        <v>1</v>
      </c>
      <c r="E166" s="83">
        <v>872.26</v>
      </c>
      <c r="F166" s="491">
        <f t="shared" si="22"/>
        <v>872.26</v>
      </c>
      <c r="G166" s="403">
        <v>1360</v>
      </c>
      <c r="H166" s="90"/>
      <c r="I166" s="12">
        <f t="shared" si="23"/>
        <v>-49365.597411999974</v>
      </c>
      <c r="K166" s="78"/>
      <c r="L166" s="78"/>
      <c r="M166" s="78"/>
      <c r="N166" s="78"/>
    </row>
    <row r="167" spans="1:14" s="11" customFormat="1">
      <c r="A167" s="100"/>
      <c r="B167" s="82"/>
      <c r="C167" s="388"/>
      <c r="D167" s="90"/>
      <c r="E167" s="83"/>
      <c r="F167" s="491"/>
      <c r="G167" s="403"/>
      <c r="H167" s="90"/>
      <c r="I167" s="12"/>
      <c r="K167" s="78"/>
      <c r="L167" s="78"/>
      <c r="M167" s="78"/>
      <c r="N167" s="78"/>
    </row>
    <row r="168" spans="1:14" s="11" customFormat="1">
      <c r="A168" s="549"/>
      <c r="B168" s="466"/>
      <c r="C168" s="550"/>
      <c r="D168" s="551"/>
      <c r="E168" s="405"/>
      <c r="F168" s="409"/>
      <c r="G168" s="551"/>
      <c r="H168" s="552">
        <f>SUM(H143:H167)</f>
        <v>-278534.204478</v>
      </c>
      <c r="I168" s="440"/>
      <c r="K168" s="78"/>
      <c r="L168" s="78"/>
      <c r="M168" s="78"/>
      <c r="N168" s="78"/>
    </row>
    <row r="169" spans="1:14">
      <c r="A169" s="553"/>
      <c r="B169" s="407"/>
      <c r="C169" s="408"/>
      <c r="D169" s="405"/>
      <c r="E169" s="405"/>
      <c r="F169" s="405"/>
      <c r="G169" s="405"/>
      <c r="H169" s="409"/>
      <c r="I169" s="90"/>
      <c r="J169" s="11"/>
    </row>
    <row r="170" spans="1:14">
      <c r="A170" s="100"/>
      <c r="B170" s="90" t="s">
        <v>1882</v>
      </c>
      <c r="C170" s="438"/>
      <c r="D170" s="439"/>
      <c r="E170" s="405"/>
      <c r="F170" s="405"/>
      <c r="G170" s="409"/>
      <c r="H170" s="90"/>
      <c r="I170" s="90"/>
      <c r="J170" s="11"/>
    </row>
    <row r="171" spans="1:14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4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  <row r="173" spans="1:14">
      <c r="A173" s="98"/>
      <c r="B173" s="11"/>
      <c r="C173" s="11"/>
      <c r="D173" s="90"/>
      <c r="E173" s="90"/>
      <c r="F173" s="90"/>
      <c r="G173" s="90"/>
      <c r="H173" s="90"/>
      <c r="I173" s="11"/>
      <c r="J173" s="11"/>
    </row>
    <row r="174" spans="1:14">
      <c r="A174" s="98"/>
      <c r="B174" s="11"/>
      <c r="C174" s="11"/>
      <c r="D174" s="90"/>
      <c r="E174" s="90"/>
      <c r="F174" s="90"/>
      <c r="G174" s="90"/>
      <c r="H174" s="90"/>
      <c r="I174" s="11"/>
      <c r="J174" s="11"/>
    </row>
    <row r="175" spans="1:14">
      <c r="A175" s="98"/>
      <c r="B175" s="11"/>
      <c r="C175" s="11"/>
      <c r="D175" s="90"/>
      <c r="E175" s="90"/>
      <c r="F175" s="90"/>
      <c r="G175" s="90"/>
      <c r="H175" s="90"/>
      <c r="I175" s="11"/>
      <c r="J175" s="11"/>
    </row>
    <row r="176" spans="1:14">
      <c r="A176" s="98"/>
      <c r="B176" s="11"/>
      <c r="C176" s="11"/>
      <c r="D176" s="90"/>
      <c r="E176" s="90"/>
      <c r="F176" s="90"/>
      <c r="G176" s="90"/>
      <c r="H176" s="90"/>
      <c r="I176" s="11"/>
      <c r="J176" s="11"/>
    </row>
    <row r="177" spans="1:10">
      <c r="A177" s="98"/>
      <c r="B177" s="11"/>
      <c r="C177" s="11"/>
      <c r="D177" s="90"/>
      <c r="E177" s="90"/>
      <c r="F177" s="90"/>
      <c r="G177" s="90"/>
      <c r="H177" s="90"/>
      <c r="I177" s="11"/>
      <c r="J177" s="11"/>
    </row>
    <row r="178" spans="1:10">
      <c r="A178" s="98"/>
      <c r="B178" s="11"/>
      <c r="C178" s="11"/>
      <c r="D178" s="90"/>
      <c r="E178" s="90"/>
      <c r="F178" s="90"/>
      <c r="G178" s="90"/>
      <c r="H178" s="90"/>
      <c r="I178" s="11"/>
      <c r="J178" s="11"/>
    </row>
    <row r="179" spans="1:10">
      <c r="A179" s="98"/>
      <c r="B179" s="11"/>
      <c r="C179" s="11"/>
      <c r="D179" s="90"/>
      <c r="E179" s="90"/>
      <c r="F179" s="90"/>
      <c r="G179" s="90"/>
      <c r="H179" s="90"/>
      <c r="I179" s="11"/>
      <c r="J179" s="11"/>
    </row>
    <row r="180" spans="1:10">
      <c r="A180" s="98"/>
      <c r="B180" s="11"/>
      <c r="C180" s="11"/>
      <c r="D180" s="90"/>
      <c r="E180" s="90"/>
      <c r="F180" s="90"/>
      <c r="G180" s="90"/>
      <c r="H180" s="90"/>
      <c r="I180" s="11"/>
      <c r="J180" s="11"/>
    </row>
    <row r="181" spans="1:10">
      <c r="A181" s="98"/>
      <c r="B181" s="11"/>
      <c r="C181" s="11"/>
      <c r="D181" s="90"/>
      <c r="E181" s="90"/>
      <c r="F181" s="90"/>
      <c r="G181" s="90"/>
      <c r="H181" s="90"/>
      <c r="I181" s="11"/>
      <c r="J181" s="11"/>
    </row>
    <row r="182" spans="1:10">
      <c r="A182" s="98"/>
      <c r="B182" s="11"/>
      <c r="C182" s="11"/>
      <c r="D182" s="90"/>
      <c r="E182" s="90"/>
      <c r="F182" s="90"/>
      <c r="G182" s="90"/>
      <c r="H182" s="90"/>
      <c r="I182" s="11"/>
      <c r="J182" s="11"/>
    </row>
  </sheetData>
  <conditionalFormatting sqref="F111:F113">
    <cfRule type="cellIs" dxfId="71" priority="12" operator="lessThan">
      <formula>D111</formula>
    </cfRule>
  </conditionalFormatting>
  <conditionalFormatting sqref="F106:F108">
    <cfRule type="cellIs" dxfId="70" priority="13" operator="lessThan">
      <formula>D106</formula>
    </cfRule>
  </conditionalFormatting>
  <conditionalFormatting sqref="F101">
    <cfRule type="cellIs" dxfId="69" priority="14" operator="lessThan">
      <formula>D101</formula>
    </cfRule>
  </conditionalFormatting>
  <conditionalFormatting sqref="F100">
    <cfRule type="cellIs" dxfId="68" priority="15" operator="lessThan">
      <formula>D100</formula>
    </cfRule>
  </conditionalFormatting>
  <conditionalFormatting sqref="F126">
    <cfRule type="cellIs" dxfId="67" priority="11" operator="lessThan">
      <formula>D126</formula>
    </cfRule>
  </conditionalFormatting>
  <conditionalFormatting sqref="F128">
    <cfRule type="cellIs" dxfId="66" priority="10" operator="lessThan">
      <formula>D128</formula>
    </cfRule>
  </conditionalFormatting>
  <conditionalFormatting sqref="F99">
    <cfRule type="cellIs" dxfId="65" priority="9" operator="lessThan">
      <formula>D99</formula>
    </cfRule>
  </conditionalFormatting>
  <conditionalFormatting sqref="F125">
    <cfRule type="cellIs" dxfId="64" priority="8" operator="lessThan">
      <formula>D125</formula>
    </cfRule>
  </conditionalFormatting>
  <conditionalFormatting sqref="F105">
    <cfRule type="cellIs" dxfId="63" priority="7" operator="lessThan">
      <formula>D105</formula>
    </cfRule>
  </conditionalFormatting>
  <conditionalFormatting sqref="F102">
    <cfRule type="cellIs" dxfId="62" priority="4" operator="lessThan">
      <formula>D102</formula>
    </cfRule>
  </conditionalFormatting>
  <conditionalFormatting sqref="F129">
    <cfRule type="cellIs" dxfId="61" priority="3" operator="lessThan">
      <formula>D129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109" zoomScale="175" zoomScaleNormal="175" workbookViewId="0">
      <selection activeCell="F100" sqref="F10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9.1406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SUM(D4:D25)</f>
        <v>15000</v>
      </c>
      <c r="E2" s="77">
        <f>SUM(E4:E25)</f>
        <v>-59780.37</v>
      </c>
      <c r="F2" s="77">
        <f>SUM(F4:F25)</f>
        <v>19054.879999999997</v>
      </c>
      <c r="G2" s="77">
        <f>SUM(G4:G25)</f>
        <v>-60755.16</v>
      </c>
      <c r="H2" s="77">
        <f>F2+G2</f>
        <v>-41700.280000000006</v>
      </c>
    </row>
    <row r="3" spans="1:14">
      <c r="B3" s="18"/>
    </row>
    <row r="4" spans="1:14">
      <c r="B4" s="41"/>
      <c r="H4" s="77">
        <f t="shared" ref="H4:H14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 t="shared" si="0"/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E31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390">
        <v>45782</v>
      </c>
      <c r="B8" s="393" t="s">
        <v>1808</v>
      </c>
      <c r="C8" s="392">
        <v>24.09</v>
      </c>
      <c r="D8" s="387"/>
      <c r="E8" s="387">
        <f>E32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547">
        <v>45782</v>
      </c>
      <c r="B9" s="393" t="s">
        <v>69</v>
      </c>
      <c r="C9" s="392"/>
      <c r="D9" s="387"/>
      <c r="E9" s="387">
        <f>E56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A10" s="548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-36945.160000000003</v>
      </c>
    </row>
    <row r="12" spans="1:14" s="78" customFormat="1">
      <c r="A12" s="390">
        <v>45797</v>
      </c>
      <c r="B12" s="410" t="s">
        <v>73</v>
      </c>
      <c r="C12" s="387">
        <v>1604.97</v>
      </c>
      <c r="D12" s="387" t="s">
        <v>323</v>
      </c>
      <c r="E12" s="387">
        <v>-1000</v>
      </c>
      <c r="F12" s="87"/>
      <c r="G12" s="87">
        <v>-1265</v>
      </c>
      <c r="H12" s="87">
        <f t="shared" si="0"/>
        <v>-38210.160000000003</v>
      </c>
    </row>
    <row r="13" spans="1:14" s="78" customFormat="1">
      <c r="A13" s="390">
        <v>45797</v>
      </c>
      <c r="B13" s="410" t="s">
        <v>74</v>
      </c>
      <c r="C13" s="410">
        <v>47.55</v>
      </c>
      <c r="D13" s="387" t="s">
        <v>323</v>
      </c>
      <c r="E13" s="387">
        <v>-200</v>
      </c>
      <c r="F13" s="87"/>
      <c r="G13" s="87">
        <v>-35</v>
      </c>
      <c r="H13" s="87">
        <f t="shared" si="0"/>
        <v>-38245.160000000003</v>
      </c>
    </row>
    <row r="14" spans="1:14" s="78" customFormat="1">
      <c r="A14" s="390"/>
      <c r="B14" s="391" t="s">
        <v>75</v>
      </c>
      <c r="C14" s="391"/>
      <c r="D14" s="387"/>
      <c r="E14" s="387">
        <v>-200</v>
      </c>
      <c r="F14" s="87"/>
      <c r="G14" s="87"/>
      <c r="H14" s="87">
        <f t="shared" si="0"/>
        <v>-38245.160000000003</v>
      </c>
    </row>
    <row r="15" spans="1:14" s="78" customFormat="1">
      <c r="A15" s="390"/>
      <c r="B15" s="392" t="s">
        <v>76</v>
      </c>
      <c r="C15" s="392"/>
      <c r="D15" s="387">
        <v>15000</v>
      </c>
      <c r="E15" s="387"/>
      <c r="F15" s="87">
        <v>15054.88</v>
      </c>
      <c r="G15" s="87"/>
      <c r="H15" s="87">
        <f t="shared" ref="H15:H25" si="1">H14+F15+G15</f>
        <v>-23190.280000000006</v>
      </c>
      <c r="J15" s="94"/>
      <c r="K15" s="94"/>
      <c r="L15" s="95"/>
      <c r="M15" s="96"/>
    </row>
    <row r="16" spans="1:14" s="78" customFormat="1">
      <c r="A16" s="425">
        <v>45804</v>
      </c>
      <c r="B16" s="392" t="s">
        <v>77</v>
      </c>
      <c r="C16" s="392"/>
      <c r="D16" s="387"/>
      <c r="E16" s="387">
        <v>-7500</v>
      </c>
      <c r="F16" s="87"/>
      <c r="G16" s="87">
        <v>-7505</v>
      </c>
      <c r="H16" s="87">
        <f t="shared" si="1"/>
        <v>-30695.280000000006</v>
      </c>
      <c r="J16" s="94"/>
      <c r="K16" s="94"/>
      <c r="L16" s="95"/>
      <c r="M16" s="96"/>
    </row>
    <row r="17" spans="1:14" s="78" customFormat="1">
      <c r="A17" s="425">
        <v>45804</v>
      </c>
      <c r="B17" s="392" t="s">
        <v>78</v>
      </c>
      <c r="C17" s="392"/>
      <c r="D17" s="387"/>
      <c r="E17" s="387">
        <v>-7500</v>
      </c>
      <c r="F17" s="87"/>
      <c r="G17" s="87">
        <v>-7505</v>
      </c>
      <c r="H17" s="87">
        <f t="shared" si="1"/>
        <v>-38200.280000000006</v>
      </c>
      <c r="J17" s="94"/>
      <c r="K17" s="94"/>
      <c r="L17" s="95"/>
      <c r="M17" s="96"/>
    </row>
    <row r="18" spans="1:14" s="78" customFormat="1">
      <c r="A18" s="387"/>
      <c r="B18" s="392" t="s">
        <v>79</v>
      </c>
      <c r="C18" s="392"/>
      <c r="D18" s="387"/>
      <c r="E18" s="387">
        <v>-7500</v>
      </c>
      <c r="F18" s="87"/>
      <c r="G18" s="87">
        <v>-7500</v>
      </c>
      <c r="H18" s="87">
        <f t="shared" si="1"/>
        <v>-45700.280000000006</v>
      </c>
      <c r="J18" s="94"/>
      <c r="K18" s="94"/>
      <c r="L18" s="95"/>
      <c r="M18" s="96"/>
    </row>
    <row r="19" spans="1:14" s="78" customFormat="1">
      <c r="A19" s="413">
        <v>45804</v>
      </c>
      <c r="B19" s="415" t="s">
        <v>98</v>
      </c>
      <c r="C19" s="415" t="s">
        <v>1788</v>
      </c>
      <c r="D19" s="384" t="s">
        <v>1835</v>
      </c>
      <c r="E19" s="384"/>
      <c r="F19" s="77"/>
      <c r="G19" s="77"/>
      <c r="H19" s="87">
        <f t="shared" si="1"/>
        <v>-45700.280000000006</v>
      </c>
      <c r="J19" s="94"/>
      <c r="K19" s="94"/>
      <c r="L19" s="95"/>
      <c r="M19" s="96"/>
    </row>
    <row r="20" spans="1:14" s="78" customFormat="1">
      <c r="A20" s="413"/>
      <c r="B20" s="415"/>
      <c r="C20" s="415"/>
      <c r="D20" s="384"/>
      <c r="E20" s="384"/>
      <c r="F20" s="90"/>
      <c r="G20" s="90"/>
      <c r="H20" s="87">
        <f t="shared" si="1"/>
        <v>-45700.280000000006</v>
      </c>
      <c r="J20" s="94"/>
      <c r="K20" s="94"/>
      <c r="L20" s="95"/>
      <c r="M20" s="96"/>
    </row>
    <row r="21" spans="1:14" s="78" customFormat="1">
      <c r="A21" s="413">
        <v>45808</v>
      </c>
      <c r="B21" s="415" t="s">
        <v>1845</v>
      </c>
      <c r="C21" s="415"/>
      <c r="D21" s="384"/>
      <c r="E21" s="384"/>
      <c r="F21" s="90">
        <v>4000</v>
      </c>
      <c r="G21" s="90"/>
      <c r="H21" s="87">
        <f t="shared" si="1"/>
        <v>-41700.280000000006</v>
      </c>
      <c r="J21" s="94"/>
      <c r="K21" s="94"/>
      <c r="L21" s="95"/>
      <c r="M21" s="96"/>
    </row>
    <row r="22" spans="1:14" s="78" customFormat="1">
      <c r="A22" s="98"/>
      <c r="B22" s="3"/>
      <c r="C22" s="3"/>
      <c r="D22" s="77"/>
      <c r="E22" s="77"/>
      <c r="F22" s="77"/>
      <c r="G22" s="77"/>
      <c r="H22" s="87">
        <f t="shared" si="1"/>
        <v>-41700.280000000006</v>
      </c>
      <c r="J22" s="94"/>
      <c r="K22" s="94"/>
      <c r="L22" s="95"/>
      <c r="M22" s="96"/>
    </row>
    <row r="23" spans="1:14">
      <c r="A23" s="100"/>
      <c r="B23" s="101" t="s">
        <v>96</v>
      </c>
      <c r="C23" s="101"/>
      <c r="H23" s="87">
        <f t="shared" si="1"/>
        <v>-41700.280000000006</v>
      </c>
      <c r="I23" s="78"/>
      <c r="J23" s="78"/>
    </row>
    <row r="24" spans="1:14">
      <c r="A24" s="100"/>
      <c r="H24" s="87">
        <f t="shared" si="1"/>
        <v>-41700.280000000006</v>
      </c>
    </row>
    <row r="25" spans="1:14" s="78" customFormat="1">
      <c r="A25"/>
      <c r="B25"/>
      <c r="C25"/>
      <c r="D25" s="77"/>
      <c r="E25" s="77"/>
      <c r="F25" s="77"/>
      <c r="G25" s="77"/>
      <c r="H25" s="87">
        <f t="shared" si="1"/>
        <v>-41700.280000000006</v>
      </c>
      <c r="I25"/>
      <c r="J25"/>
    </row>
    <row r="26" spans="1:14" s="78" customFormat="1">
      <c r="B26" s="101"/>
      <c r="C26" s="101"/>
      <c r="D26" s="77"/>
      <c r="E26" s="77"/>
      <c r="F26" s="77"/>
      <c r="G26" s="77"/>
      <c r="H26" s="77"/>
      <c r="J26" s="94"/>
      <c r="K26" s="94"/>
      <c r="L26" s="95"/>
      <c r="M26" s="96"/>
    </row>
    <row r="27" spans="1:14" s="78" customFormat="1">
      <c r="B27" s="101"/>
      <c r="C27" s="101"/>
      <c r="D27" s="77"/>
      <c r="E27" s="77"/>
      <c r="F27" s="77"/>
      <c r="G27" s="77"/>
      <c r="H27" s="77"/>
      <c r="J27" s="94"/>
      <c r="K27" s="94"/>
      <c r="L27" s="95"/>
      <c r="M27" s="96"/>
    </row>
    <row r="28" spans="1:14" s="78" customFormat="1">
      <c r="A28" s="98"/>
      <c r="D28" s="77"/>
      <c r="E28" s="77"/>
      <c r="F28" s="77"/>
      <c r="G28" s="77"/>
      <c r="H28" s="77"/>
    </row>
    <row r="29" spans="1:14" s="77" customFormat="1">
      <c r="A29" s="88"/>
      <c r="B29" s="78"/>
      <c r="C29" s="78"/>
      <c r="I29" s="78"/>
      <c r="J29" s="78"/>
      <c r="K29" s="78"/>
      <c r="L29" s="78"/>
      <c r="M29" s="78"/>
      <c r="N29" s="78"/>
    </row>
    <row r="30" spans="1:14" s="77" customFormat="1">
      <c r="B30" s="102"/>
      <c r="I30" s="77" t="s">
        <v>1816</v>
      </c>
      <c r="K30" s="78"/>
      <c r="L30" s="78"/>
      <c r="M30" s="78"/>
      <c r="N30" s="78"/>
    </row>
    <row r="31" spans="1:14">
      <c r="A31" s="103"/>
      <c r="B31" s="104" t="s">
        <v>83</v>
      </c>
      <c r="C31" s="103"/>
      <c r="E31" s="77">
        <f>SUM(E32:E47)</f>
        <v>-7461.47</v>
      </c>
      <c r="I31" s="77">
        <v>8850</v>
      </c>
      <c r="J31" s="77" t="s">
        <v>1809</v>
      </c>
    </row>
    <row r="32" spans="1:14" s="77" customFormat="1">
      <c r="A32"/>
      <c r="B32"/>
      <c r="C32"/>
      <c r="I32" s="77">
        <v>48000</v>
      </c>
      <c r="J32" t="s">
        <v>1810</v>
      </c>
      <c r="K32" s="78"/>
      <c r="L32" s="78"/>
      <c r="M32" s="78"/>
      <c r="N32" s="78"/>
    </row>
    <row r="33" spans="1:14" s="77" customFormat="1">
      <c r="A33" s="88"/>
      <c r="I33" s="77">
        <v>6000</v>
      </c>
      <c r="J33" s="77" t="s">
        <v>1811</v>
      </c>
      <c r="K33" s="78"/>
      <c r="L33" s="78"/>
      <c r="M33" s="78"/>
      <c r="N33" s="78"/>
    </row>
    <row r="34" spans="1:14" s="77" customFormat="1">
      <c r="A34" s="88">
        <v>45715</v>
      </c>
      <c r="B34" s="90" t="s">
        <v>1637</v>
      </c>
      <c r="C34" s="90">
        <v>5938.68</v>
      </c>
      <c r="D34" s="90" t="s">
        <v>615</v>
      </c>
      <c r="E34" s="90">
        <v>-989.78</v>
      </c>
      <c r="I34" s="77">
        <v>3000</v>
      </c>
      <c r="J34" s="77" t="s">
        <v>1812</v>
      </c>
      <c r="K34" s="78"/>
      <c r="L34" s="78"/>
      <c r="M34" s="78"/>
      <c r="N34" s="78"/>
    </row>
    <row r="35" spans="1:14" s="77" customFormat="1">
      <c r="A35" s="88"/>
      <c r="I35" s="77">
        <v>5000</v>
      </c>
      <c r="J35" s="77" t="s">
        <v>1813</v>
      </c>
      <c r="K35" s="78"/>
      <c r="L35" s="78"/>
      <c r="M35" s="78"/>
      <c r="N35" s="78"/>
    </row>
    <row r="36" spans="1:14">
      <c r="A36" s="88">
        <v>45751</v>
      </c>
      <c r="B36" s="77" t="s">
        <v>129</v>
      </c>
      <c r="D36" s="77">
        <v>123984.02</v>
      </c>
      <c r="I36" s="77">
        <f>SUM(I31:I35)</f>
        <v>70850</v>
      </c>
      <c r="J36" s="77"/>
    </row>
    <row r="37" spans="1:14" s="77" customFormat="1">
      <c r="A37" s="386">
        <v>45751</v>
      </c>
      <c r="B37" t="s">
        <v>445</v>
      </c>
      <c r="C37"/>
      <c r="E37" s="77">
        <v>-672.4</v>
      </c>
      <c r="I37" s="90">
        <v>2</v>
      </c>
      <c r="J37" s="540">
        <v>0.5</v>
      </c>
      <c r="K37" s="78"/>
      <c r="L37" s="78"/>
      <c r="M37" s="78"/>
      <c r="N37" s="78"/>
    </row>
    <row r="38" spans="1:14" s="77" customFormat="1">
      <c r="A38" s="100">
        <v>45754</v>
      </c>
      <c r="B38" s="106" t="s">
        <v>1777</v>
      </c>
      <c r="C38" s="106"/>
      <c r="E38" s="77">
        <v>-3740</v>
      </c>
      <c r="I38" s="77">
        <f>I36/I37</f>
        <v>35425</v>
      </c>
      <c r="K38" s="78"/>
      <c r="L38" s="78"/>
      <c r="M38" s="78"/>
      <c r="N38" s="78"/>
    </row>
    <row r="39" spans="1:14" s="77" customFormat="1">
      <c r="A39" s="100">
        <v>45756</v>
      </c>
      <c r="B39" s="106" t="s">
        <v>1778</v>
      </c>
      <c r="C39" s="106"/>
      <c r="E39" s="77">
        <v>-390</v>
      </c>
      <c r="I39" s="77">
        <f>I38/J39</f>
        <v>5060.7142857142853</v>
      </c>
      <c r="J39" s="77">
        <v>7</v>
      </c>
      <c r="K39" s="78"/>
      <c r="L39" s="78"/>
      <c r="M39" s="78"/>
      <c r="N39" s="78"/>
    </row>
    <row r="40" spans="1:14" s="77" customFormat="1">
      <c r="A40" s="100">
        <v>45764</v>
      </c>
      <c r="B40" s="107" t="s">
        <v>1779</v>
      </c>
      <c r="C40" s="106"/>
      <c r="E40" s="77">
        <v>-138.81</v>
      </c>
      <c r="I40" s="90">
        <f>I38/J40</f>
        <v>8856.25</v>
      </c>
      <c r="J40" s="77">
        <v>4</v>
      </c>
      <c r="K40" s="78"/>
      <c r="L40" s="78"/>
      <c r="M40" s="78"/>
      <c r="N40" s="78"/>
    </row>
    <row r="41" spans="1:14" s="77" customFormat="1">
      <c r="A41" s="100">
        <v>45766</v>
      </c>
      <c r="B41" s="107" t="s">
        <v>1612</v>
      </c>
      <c r="C41" s="106"/>
      <c r="E41" s="77">
        <v>-80</v>
      </c>
      <c r="J41" s="77" t="s">
        <v>1817</v>
      </c>
      <c r="K41" s="78"/>
      <c r="L41" s="78"/>
      <c r="M41" s="78"/>
      <c r="N41" s="78"/>
    </row>
    <row r="42" spans="1:14" s="77" customFormat="1">
      <c r="A42" s="100">
        <v>45767</v>
      </c>
      <c r="B42" s="107" t="s">
        <v>1780</v>
      </c>
      <c r="E42" s="77">
        <v>-140</v>
      </c>
      <c r="K42" s="78"/>
      <c r="L42" s="78"/>
      <c r="M42" s="78"/>
      <c r="N42" s="78"/>
    </row>
    <row r="43" spans="1:14" s="77" customFormat="1">
      <c r="A43" s="100">
        <v>45770</v>
      </c>
      <c r="B43" s="107" t="s">
        <v>1781</v>
      </c>
      <c r="C43" s="106"/>
      <c r="E43" s="77">
        <v>-300</v>
      </c>
      <c r="K43" s="78"/>
      <c r="L43" s="78"/>
      <c r="M43" s="78"/>
      <c r="N43" s="78"/>
    </row>
    <row r="44" spans="1:14" s="77" customFormat="1">
      <c r="A44" s="100">
        <v>45770</v>
      </c>
      <c r="B44" s="3" t="s">
        <v>1779</v>
      </c>
      <c r="E44" s="77">
        <v>-372.15</v>
      </c>
      <c r="K44" s="78"/>
      <c r="L44" s="78"/>
      <c r="M44" s="78"/>
      <c r="N44" s="78"/>
    </row>
    <row r="45" spans="1:14" s="90" customFormat="1">
      <c r="A45" s="100">
        <v>45771</v>
      </c>
      <c r="B45" s="92" t="s">
        <v>1782</v>
      </c>
      <c r="E45" s="90">
        <v>-250</v>
      </c>
      <c r="K45" s="78"/>
      <c r="L45" s="78"/>
      <c r="M45" s="78"/>
      <c r="N45" s="78"/>
    </row>
    <row r="46" spans="1:14" s="90" customFormat="1">
      <c r="A46" s="100">
        <v>45771</v>
      </c>
      <c r="B46" s="92" t="s">
        <v>1779</v>
      </c>
      <c r="E46" s="90">
        <v>-208.33</v>
      </c>
      <c r="K46" s="78"/>
      <c r="L46" s="78"/>
      <c r="M46" s="78"/>
      <c r="N46" s="78"/>
    </row>
    <row r="47" spans="1:14" s="90" customFormat="1">
      <c r="A47" s="100">
        <v>45772</v>
      </c>
      <c r="B47" s="92" t="s">
        <v>1783</v>
      </c>
      <c r="E47" s="90">
        <v>-180</v>
      </c>
      <c r="K47" s="78"/>
      <c r="L47" s="78"/>
      <c r="M47" s="78"/>
      <c r="N47" s="78"/>
    </row>
    <row r="48" spans="1:14" s="90" customFormat="1" ht="15">
      <c r="A48" s="100"/>
      <c r="B48" s="92"/>
      <c r="E48" s="105" t="s">
        <v>84</v>
      </c>
      <c r="K48" s="78"/>
      <c r="L48" s="78"/>
      <c r="M48" s="78"/>
      <c r="N48" s="78"/>
    </row>
    <row r="49" spans="1:14" s="90" customFormat="1">
      <c r="A49" s="100"/>
      <c r="B49" s="92"/>
      <c r="C49" s="90" t="s">
        <v>807</v>
      </c>
      <c r="K49" s="78"/>
      <c r="L49" s="78"/>
      <c r="M49" s="78"/>
      <c r="N49" s="78"/>
    </row>
    <row r="50" spans="1:14" s="90" customFormat="1">
      <c r="A50" s="100">
        <v>45752</v>
      </c>
      <c r="B50" s="92" t="s">
        <v>1786</v>
      </c>
      <c r="C50" s="90">
        <v>-15.6</v>
      </c>
      <c r="K50" s="78"/>
      <c r="L50" s="78"/>
      <c r="M50" s="78"/>
      <c r="N50" s="78"/>
    </row>
    <row r="51" spans="1:14" s="90" customFormat="1">
      <c r="A51" s="100">
        <v>45752</v>
      </c>
      <c r="B51" s="92" t="s">
        <v>1787</v>
      </c>
      <c r="C51" s="90">
        <v>-8.49</v>
      </c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90" customFormat="1">
      <c r="A53" s="100"/>
      <c r="B53" s="92"/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SUM(E57:E82)</f>
        <v>-8801.84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0"/>
      <c r="B58" s="106"/>
      <c r="C58" s="106"/>
      <c r="K58" s="78"/>
      <c r="L58" s="78"/>
      <c r="M58" s="78"/>
      <c r="N58" s="78"/>
    </row>
    <row r="59" spans="1:14" s="77" customFormat="1">
      <c r="K59" s="78"/>
      <c r="L59" s="78"/>
      <c r="M59" s="78"/>
      <c r="N59" s="78"/>
    </row>
    <row r="60" spans="1:14" s="77" customFormat="1">
      <c r="A60" s="98">
        <v>45728</v>
      </c>
      <c r="B60" s="90" t="s">
        <v>1687</v>
      </c>
      <c r="C60" s="11"/>
      <c r="D60" s="90" t="s">
        <v>1717</v>
      </c>
      <c r="E60" s="90">
        <v>-625</v>
      </c>
      <c r="K60" s="78"/>
      <c r="L60" s="78"/>
      <c r="M60" s="78"/>
      <c r="N60" s="78"/>
    </row>
    <row r="61" spans="1:14" s="77" customFormat="1">
      <c r="A61" s="430">
        <v>45692</v>
      </c>
      <c r="B61" s="90" t="s">
        <v>1662</v>
      </c>
      <c r="C61" s="90"/>
      <c r="D61" s="90" t="s">
        <v>954</v>
      </c>
      <c r="E61" s="90">
        <v>-600.14</v>
      </c>
      <c r="K61" s="78"/>
      <c r="L61" s="78"/>
      <c r="M61" s="78"/>
      <c r="N61" s="78"/>
    </row>
    <row r="62" spans="1:14" s="77" customFormat="1">
      <c r="A62" s="430">
        <v>45692</v>
      </c>
      <c r="B62" s="90" t="s">
        <v>1662</v>
      </c>
      <c r="C62" s="90"/>
      <c r="D62" s="90" t="s">
        <v>954</v>
      </c>
      <c r="E62" s="90">
        <v>-2500.3000000000002</v>
      </c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>
        <v>45743</v>
      </c>
      <c r="B64" s="3" t="s">
        <v>129</v>
      </c>
      <c r="C64" s="106"/>
      <c r="D64" s="77">
        <v>19953.18</v>
      </c>
      <c r="K64" s="78"/>
      <c r="L64" s="78"/>
      <c r="M64" s="78"/>
      <c r="N64" s="78"/>
    </row>
    <row r="65" spans="1:14" s="77" customFormat="1">
      <c r="A65" s="100">
        <v>45744</v>
      </c>
      <c r="B65" s="3" t="s">
        <v>1793</v>
      </c>
      <c r="C65" s="106"/>
      <c r="E65" s="77">
        <v>-1300</v>
      </c>
      <c r="K65" s="78"/>
      <c r="L65" s="78"/>
      <c r="M65" s="78"/>
      <c r="N65" s="78"/>
    </row>
    <row r="66" spans="1:14" s="77" customFormat="1">
      <c r="A66" s="100">
        <v>45749</v>
      </c>
      <c r="B66" s="3"/>
      <c r="C66" s="106"/>
      <c r="E66" s="77">
        <v>-335</v>
      </c>
      <c r="K66" s="78"/>
      <c r="L66" s="78"/>
      <c r="M66" s="78"/>
      <c r="N66" s="78"/>
    </row>
    <row r="67" spans="1:14" s="77" customFormat="1">
      <c r="A67" s="100">
        <v>45750</v>
      </c>
      <c r="B67" s="3" t="s">
        <v>1794</v>
      </c>
      <c r="C67" s="106"/>
      <c r="E67" s="77">
        <v>-129.99</v>
      </c>
      <c r="K67" s="78"/>
      <c r="L67" s="78"/>
      <c r="M67" s="78"/>
      <c r="N67" s="78"/>
    </row>
    <row r="68" spans="1:14" s="77" customFormat="1">
      <c r="A68" s="100">
        <v>45756</v>
      </c>
      <c r="B68" s="3" t="s">
        <v>1796</v>
      </c>
      <c r="C68" s="106"/>
      <c r="E68" s="77">
        <v>-360</v>
      </c>
      <c r="K68" s="78"/>
      <c r="L68" s="78"/>
      <c r="M68" s="78"/>
      <c r="N68" s="78"/>
    </row>
    <row r="69" spans="1:14" s="77" customFormat="1">
      <c r="A69" s="100">
        <v>45756</v>
      </c>
      <c r="B69" s="3" t="s">
        <v>1795</v>
      </c>
      <c r="C69" s="106"/>
      <c r="E69" s="77">
        <v>-1425</v>
      </c>
      <c r="K69" s="78"/>
      <c r="L69" s="78"/>
      <c r="M69" s="78"/>
      <c r="N69" s="78"/>
    </row>
    <row r="70" spans="1:14" s="90" customFormat="1">
      <c r="A70" s="100">
        <v>45757</v>
      </c>
      <c r="B70" s="92" t="s">
        <v>1797</v>
      </c>
      <c r="C70" s="106"/>
      <c r="E70" s="90">
        <v>-120</v>
      </c>
      <c r="K70" s="78"/>
      <c r="L70" s="78"/>
      <c r="M70" s="78"/>
      <c r="N70" s="78"/>
    </row>
    <row r="71" spans="1:14" s="90" customFormat="1">
      <c r="A71" s="100">
        <v>45758</v>
      </c>
      <c r="B71" s="92" t="s">
        <v>1798</v>
      </c>
      <c r="C71" s="106"/>
      <c r="E71" s="90">
        <v>-406.41</v>
      </c>
      <c r="K71" s="78"/>
      <c r="L71" s="78"/>
      <c r="M71" s="78"/>
      <c r="N71" s="78"/>
    </row>
    <row r="72" spans="1:14" s="90" customFormat="1">
      <c r="A72" s="100">
        <v>45759</v>
      </c>
      <c r="B72" s="92" t="s">
        <v>1799</v>
      </c>
      <c r="C72" s="106"/>
      <c r="E72" s="90">
        <v>-50</v>
      </c>
      <c r="K72" s="78"/>
      <c r="L72" s="78"/>
      <c r="M72" s="78"/>
      <c r="N72" s="78"/>
    </row>
    <row r="73" spans="1:14" s="90" customFormat="1">
      <c r="A73" s="100">
        <v>45757</v>
      </c>
      <c r="B73" s="92" t="s">
        <v>1780</v>
      </c>
      <c r="C73" s="106"/>
      <c r="E73" s="90">
        <v>-210</v>
      </c>
      <c r="K73" s="78"/>
      <c r="L73" s="78"/>
      <c r="M73" s="78"/>
      <c r="N73" s="78"/>
    </row>
    <row r="74" spans="1:14" s="90" customFormat="1">
      <c r="A74" s="100">
        <v>45762</v>
      </c>
      <c r="B74" s="92" t="s">
        <v>131</v>
      </c>
      <c r="C74" s="106"/>
      <c r="E74" s="90">
        <v>-250</v>
      </c>
      <c r="K74" s="78"/>
      <c r="L74" s="78"/>
      <c r="M74" s="78"/>
      <c r="N74" s="78"/>
    </row>
    <row r="75" spans="1:14" s="90" customFormat="1">
      <c r="A75" s="100">
        <v>45764</v>
      </c>
      <c r="B75" s="92" t="s">
        <v>1800</v>
      </c>
      <c r="C75" s="106"/>
      <c r="E75" s="90">
        <v>-120</v>
      </c>
      <c r="K75" s="78"/>
      <c r="L75" s="78"/>
      <c r="M75" s="78"/>
      <c r="N75" s="78"/>
    </row>
    <row r="76" spans="1:14" s="90" customFormat="1">
      <c r="A76" s="100">
        <v>45764</v>
      </c>
      <c r="B76" s="92" t="s">
        <v>651</v>
      </c>
      <c r="C76" s="106"/>
      <c r="E76" s="90">
        <v>-370</v>
      </c>
      <c r="K76" s="78"/>
      <c r="L76" s="78"/>
      <c r="M76" s="78"/>
      <c r="N76" s="78"/>
    </row>
    <row r="77" spans="1:14" s="77" customFormat="1" ht="15">
      <c r="A77" s="100"/>
      <c r="B77" s="3"/>
      <c r="C77" s="106"/>
      <c r="E77" s="105" t="s">
        <v>84</v>
      </c>
      <c r="K77" s="78"/>
      <c r="L77" s="78"/>
      <c r="M77" s="78"/>
      <c r="N77" s="78"/>
    </row>
    <row r="78" spans="1:14" s="77" customFormat="1">
      <c r="A78" s="100"/>
      <c r="B78" s="3"/>
      <c r="C78" s="106"/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>
      <c r="A83" s="100"/>
      <c r="B83" s="3"/>
      <c r="C83" s="77"/>
      <c r="I83" s="77"/>
      <c r="J83" s="77"/>
    </row>
    <row r="94" spans="1:14">
      <c r="A94" s="113" t="s">
        <v>1802</v>
      </c>
      <c r="B94" s="104" t="s">
        <v>136</v>
      </c>
      <c r="C94" s="103">
        <v>2025</v>
      </c>
      <c r="D94" s="90"/>
      <c r="E94" s="90"/>
      <c r="F94" s="90"/>
      <c r="G94" s="90">
        <f>SUM(G98:G126)</f>
        <v>593200.125</v>
      </c>
      <c r="H94" s="90"/>
      <c r="I94" s="90"/>
      <c r="J94" s="11"/>
    </row>
    <row r="95" spans="1:14">
      <c r="A95" s="113"/>
      <c r="B95" s="104"/>
      <c r="C95" s="103"/>
      <c r="D95" s="90"/>
      <c r="E95" s="90"/>
      <c r="F95" s="90"/>
      <c r="G95" s="90"/>
      <c r="H95" s="90"/>
      <c r="I95" s="90"/>
      <c r="J95" s="11"/>
    </row>
    <row r="96" spans="1:14">
      <c r="A96" s="113"/>
      <c r="B96" s="104"/>
      <c r="C96" s="103"/>
      <c r="D96" s="90"/>
      <c r="E96" s="90" t="s">
        <v>137</v>
      </c>
      <c r="F96" s="90"/>
      <c r="G96" s="90"/>
      <c r="H96" s="90"/>
      <c r="I96" s="90"/>
      <c r="J96" s="11"/>
    </row>
    <row r="97" spans="1:14">
      <c r="A97" s="100"/>
      <c r="B97" s="90" t="s">
        <v>77</v>
      </c>
      <c r="C97" s="90"/>
      <c r="D97" s="90"/>
      <c r="E97" s="90"/>
      <c r="F97" s="90"/>
      <c r="G97" s="90">
        <v>0</v>
      </c>
      <c r="H97" s="90"/>
      <c r="I97" s="90"/>
      <c r="J97" s="11"/>
    </row>
    <row r="98" spans="1:14">
      <c r="A98" s="100"/>
      <c r="B98" s="90" t="s">
        <v>78</v>
      </c>
      <c r="C98" s="90"/>
      <c r="D98" s="90"/>
      <c r="E98" s="90"/>
      <c r="F98" s="90"/>
      <c r="G98" s="90">
        <v>0</v>
      </c>
      <c r="H98" s="90"/>
      <c r="I98" s="90"/>
      <c r="J98" s="11"/>
    </row>
    <row r="99" spans="1:14">
      <c r="A99" s="539">
        <v>45807</v>
      </c>
      <c r="B99" s="90" t="s">
        <v>1737</v>
      </c>
      <c r="C99" s="90"/>
      <c r="D99" s="90"/>
      <c r="E99" s="90">
        <v>122830</v>
      </c>
      <c r="F99" s="90">
        <v>-35000</v>
      </c>
      <c r="G99" s="90">
        <f>E99+F99</f>
        <v>87830</v>
      </c>
      <c r="H99" s="90"/>
      <c r="I99" s="90"/>
      <c r="J99" s="11"/>
    </row>
    <row r="100" spans="1:14">
      <c r="A100" s="539"/>
      <c r="B100" s="90" t="s">
        <v>1738</v>
      </c>
      <c r="C100" s="90"/>
      <c r="D100" s="90"/>
      <c r="E100" s="90"/>
      <c r="F100" s="90"/>
      <c r="G100" s="90">
        <f>D80</f>
        <v>0</v>
      </c>
      <c r="H100" s="90"/>
      <c r="I100" s="90"/>
      <c r="J100" s="11"/>
    </row>
    <row r="101" spans="1:14">
      <c r="A101" s="539">
        <v>45777</v>
      </c>
      <c r="B101" s="90" t="s">
        <v>139</v>
      </c>
      <c r="C101" s="12"/>
      <c r="D101" s="12"/>
      <c r="E101" s="90"/>
      <c r="F101" s="90"/>
      <c r="G101" s="17">
        <v>6171</v>
      </c>
      <c r="H101" s="90"/>
      <c r="I101" s="90"/>
      <c r="J101" s="11"/>
    </row>
    <row r="102" spans="1:14">
      <c r="A102" s="539">
        <v>45777</v>
      </c>
      <c r="B102" s="90" t="s">
        <v>140</v>
      </c>
      <c r="C102" s="12"/>
      <c r="D102" s="12"/>
      <c r="E102" s="90"/>
      <c r="F102" s="90"/>
      <c r="G102" s="17">
        <v>300</v>
      </c>
      <c r="H102" s="90"/>
      <c r="I102" s="90"/>
      <c r="J102" s="11"/>
    </row>
    <row r="103" spans="1:14">
      <c r="A103" s="100"/>
      <c r="B103" s="90"/>
      <c r="C103" s="12"/>
      <c r="D103" s="12"/>
      <c r="E103" s="90"/>
      <c r="F103" s="90"/>
      <c r="G103" s="17"/>
      <c r="H103" s="90"/>
      <c r="I103" s="90" t="s">
        <v>1686</v>
      </c>
      <c r="J103" s="11"/>
    </row>
    <row r="104" spans="1:14">
      <c r="A104" s="100">
        <v>45620</v>
      </c>
      <c r="B104" s="82" t="s">
        <v>1604</v>
      </c>
      <c r="C104" s="114"/>
      <c r="D104" s="114">
        <v>32.549999999999997</v>
      </c>
      <c r="E104" s="116">
        <f t="shared" ref="E104:E107" si="2">D104*C104</f>
        <v>0</v>
      </c>
      <c r="F104" s="90">
        <v>47</v>
      </c>
      <c r="G104" s="17">
        <f t="shared" ref="G104" si="3">F104*C104</f>
        <v>0</v>
      </c>
      <c r="H104" s="90"/>
      <c r="I104" s="90">
        <f t="shared" ref="I104" si="4">G104-E104</f>
        <v>0</v>
      </c>
      <c r="J104" s="11"/>
    </row>
    <row r="105" spans="1:14">
      <c r="A105" s="100">
        <v>45620</v>
      </c>
      <c r="B105" s="82" t="s">
        <v>1604</v>
      </c>
      <c r="C105" s="114">
        <v>1000</v>
      </c>
      <c r="D105" s="114">
        <v>32.549999999999997</v>
      </c>
      <c r="E105" s="116">
        <f t="shared" si="2"/>
        <v>32549.999999999996</v>
      </c>
      <c r="F105" s="90">
        <f>F104</f>
        <v>47</v>
      </c>
      <c r="G105" s="17">
        <f>F105*C105</f>
        <v>47000</v>
      </c>
      <c r="H105" s="90"/>
      <c r="I105" s="90">
        <f>G105-E105</f>
        <v>14450.000000000004</v>
      </c>
      <c r="J105" s="11"/>
    </row>
    <row r="106" spans="1:14">
      <c r="A106" s="100">
        <v>45659</v>
      </c>
      <c r="B106" s="82" t="s">
        <v>1603</v>
      </c>
      <c r="C106" s="114">
        <v>4000</v>
      </c>
      <c r="D106" s="115">
        <v>30.86</v>
      </c>
      <c r="E106" s="116">
        <f t="shared" si="2"/>
        <v>123440</v>
      </c>
      <c r="F106" s="90">
        <f>F105</f>
        <v>47</v>
      </c>
      <c r="G106" s="17">
        <f t="shared" ref="G106:G107" si="5">F106*C106</f>
        <v>188000</v>
      </c>
      <c r="H106" s="419">
        <f>SUM(G105:G106)</f>
        <v>235000</v>
      </c>
      <c r="I106" s="90">
        <f t="shared" ref="I106:I107" si="6">G106-E106</f>
        <v>64560</v>
      </c>
      <c r="J106" s="11"/>
    </row>
    <row r="107" spans="1:14">
      <c r="A107" s="100">
        <v>45772</v>
      </c>
      <c r="B107" s="82" t="s">
        <v>236</v>
      </c>
      <c r="C107" s="114">
        <v>0</v>
      </c>
      <c r="D107" s="115">
        <v>983.06700000000001</v>
      </c>
      <c r="E107" s="116">
        <f t="shared" si="2"/>
        <v>0</v>
      </c>
      <c r="F107" s="90">
        <v>1000.855116</v>
      </c>
      <c r="G107" s="17">
        <f t="shared" si="5"/>
        <v>0</v>
      </c>
      <c r="H107" s="419"/>
      <c r="I107" s="90">
        <f t="shared" si="6"/>
        <v>0</v>
      </c>
      <c r="J107" s="11"/>
    </row>
    <row r="108" spans="1:14" s="11" customFormat="1">
      <c r="A108" s="100">
        <v>45772</v>
      </c>
      <c r="B108" s="82" t="s">
        <v>236</v>
      </c>
      <c r="C108" s="114">
        <v>0</v>
      </c>
      <c r="D108" s="115">
        <v>983.06700000000001</v>
      </c>
      <c r="E108" s="116">
        <f t="shared" ref="E108" si="7">D108*C108</f>
        <v>0</v>
      </c>
      <c r="F108" s="90">
        <v>1000.855116</v>
      </c>
      <c r="G108" s="17">
        <f t="shared" ref="G108" si="8">F108*C108</f>
        <v>0</v>
      </c>
      <c r="H108" s="419"/>
      <c r="I108" s="90"/>
      <c r="K108" s="78"/>
      <c r="L108" s="78"/>
      <c r="M108" s="78"/>
      <c r="N108" s="78"/>
    </row>
    <row r="109" spans="1:14" s="11" customFormat="1">
      <c r="A109" s="100">
        <v>45786</v>
      </c>
      <c r="B109" s="82" t="s">
        <v>1814</v>
      </c>
      <c r="C109" s="114">
        <v>24</v>
      </c>
      <c r="D109" s="115">
        <v>983.06700000000001</v>
      </c>
      <c r="E109" s="116">
        <f t="shared" ref="E109" si="9">D109*C109</f>
        <v>23593.608</v>
      </c>
      <c r="F109" s="90">
        <v>1000.855116</v>
      </c>
      <c r="G109" s="17"/>
      <c r="H109" s="419"/>
      <c r="I109" s="90"/>
      <c r="K109" s="78"/>
      <c r="L109" s="78"/>
      <c r="M109" s="78"/>
      <c r="N109" s="78"/>
    </row>
    <row r="110" spans="1:14" s="11" customFormat="1" ht="13.5" thickBot="1">
      <c r="A110" s="100">
        <v>45782</v>
      </c>
      <c r="B110" s="82" t="s">
        <v>1807</v>
      </c>
      <c r="C110" s="114">
        <v>16</v>
      </c>
      <c r="D110" s="115">
        <v>983.06700000000001</v>
      </c>
      <c r="E110" s="116">
        <f t="shared" ref="E110" si="10">D110*C110</f>
        <v>15729.072</v>
      </c>
      <c r="F110" s="90">
        <v>1000.855116</v>
      </c>
      <c r="G110" s="17"/>
      <c r="H110" s="419"/>
      <c r="I110" s="90"/>
      <c r="K110" s="78"/>
      <c r="L110" s="78"/>
      <c r="M110" s="78"/>
      <c r="N110" s="78"/>
    </row>
    <row r="111" spans="1:14" ht="13.5" thickBot="1">
      <c r="A111" s="100"/>
      <c r="B111" s="90"/>
      <c r="C111" s="12"/>
      <c r="D111" s="12"/>
      <c r="E111" s="90">
        <f>SUM(E104:E106)</f>
        <v>155990</v>
      </c>
      <c r="F111" s="90"/>
      <c r="G111" s="90"/>
      <c r="H111" s="117">
        <f>(SUM(G104:G106))-(SUM(E104:E106))</f>
        <v>79010</v>
      </c>
      <c r="I111" s="117">
        <f>SUM(I104:I106)</f>
        <v>79010</v>
      </c>
      <c r="J111" s="11"/>
    </row>
    <row r="112" spans="1:14">
      <c r="A112" s="100"/>
      <c r="B112" s="90"/>
      <c r="C112" s="12"/>
      <c r="D112" s="12"/>
      <c r="E112" s="90"/>
      <c r="F112" s="90"/>
      <c r="G112" s="90"/>
      <c r="H112" s="90"/>
      <c r="I112" s="90"/>
      <c r="J112" s="11"/>
    </row>
    <row r="113" spans="1:10">
      <c r="A113" s="100">
        <v>45345</v>
      </c>
      <c r="B113" s="82" t="s">
        <v>143</v>
      </c>
      <c r="C113" s="118">
        <v>125000</v>
      </c>
      <c r="D113" s="83">
        <v>1.0399430000000001</v>
      </c>
      <c r="E113" s="116">
        <f>D113*C113</f>
        <v>129992.87500000001</v>
      </c>
      <c r="F113" s="404">
        <v>0.91677699999999995</v>
      </c>
      <c r="G113" s="17">
        <f>F113*C113</f>
        <v>114597.125</v>
      </c>
      <c r="H113" s="90"/>
      <c r="I113" s="90">
        <f t="shared" ref="I113:I116" si="11">G113-E113</f>
        <v>-15395.750000000015</v>
      </c>
      <c r="J113" s="11"/>
    </row>
    <row r="114" spans="1:10">
      <c r="A114" s="100">
        <v>45400</v>
      </c>
      <c r="B114" s="82" t="s">
        <v>144</v>
      </c>
      <c r="C114" s="114">
        <v>10</v>
      </c>
      <c r="D114" s="83">
        <v>135</v>
      </c>
      <c r="E114" s="116">
        <f>D114*C114</f>
        <v>1350</v>
      </c>
      <c r="F114" s="90">
        <v>120</v>
      </c>
      <c r="G114" s="17">
        <f>F114*C114</f>
        <v>1200</v>
      </c>
      <c r="H114" s="90"/>
      <c r="I114" s="90">
        <f t="shared" si="11"/>
        <v>-150</v>
      </c>
      <c r="J114" s="11"/>
    </row>
    <row r="115" spans="1:10">
      <c r="A115" s="100">
        <v>45418</v>
      </c>
      <c r="B115" s="82" t="s">
        <v>145</v>
      </c>
      <c r="C115" s="114">
        <v>38</v>
      </c>
      <c r="D115" s="83">
        <v>30.5</v>
      </c>
      <c r="E115" s="116">
        <f>D115*C115</f>
        <v>1159</v>
      </c>
      <c r="F115" s="90">
        <v>15</v>
      </c>
      <c r="G115" s="17">
        <f>F115*C115</f>
        <v>570</v>
      </c>
      <c r="H115" s="90"/>
      <c r="I115" s="90">
        <f t="shared" si="11"/>
        <v>-589</v>
      </c>
      <c r="J115" s="11"/>
    </row>
    <row r="116" spans="1:10" ht="13.5" thickBot="1">
      <c r="A116" s="100">
        <v>45418</v>
      </c>
      <c r="B116" s="82" t="s">
        <v>146</v>
      </c>
      <c r="C116" s="114">
        <v>26</v>
      </c>
      <c r="D116" s="83">
        <v>37.115000000000002</v>
      </c>
      <c r="E116" s="116">
        <f>D116*C116</f>
        <v>964.99</v>
      </c>
      <c r="F116" s="90">
        <v>22</v>
      </c>
      <c r="G116" s="17">
        <f>F116*C116</f>
        <v>572</v>
      </c>
      <c r="H116" s="419">
        <f>SUM(G113:G116)</f>
        <v>116939.125</v>
      </c>
      <c r="I116" s="90">
        <f t="shared" si="11"/>
        <v>-392.99</v>
      </c>
      <c r="J116" s="11"/>
    </row>
    <row r="117" spans="1:10" ht="13.5" thickBot="1">
      <c r="A117" s="100"/>
      <c r="B117" s="90"/>
      <c r="C117" s="12"/>
      <c r="D117" s="12"/>
      <c r="E117" s="90">
        <f>SUM(E113:E116)</f>
        <v>133466.86499999999</v>
      </c>
      <c r="F117" s="90"/>
      <c r="G117" s="90"/>
      <c r="H117" s="117">
        <f>(SUM(G113:G116))-(SUM(E113:E116))</f>
        <v>-16527.739999999991</v>
      </c>
      <c r="I117" s="90"/>
      <c r="J117" s="11"/>
    </row>
    <row r="118" spans="1:10">
      <c r="A118" s="100"/>
      <c r="B118" s="90"/>
      <c r="C118" s="90"/>
      <c r="D118" s="90"/>
      <c r="E118" s="17"/>
      <c r="F118" s="90"/>
      <c r="G118" s="90"/>
      <c r="H118" s="90"/>
      <c r="I118" s="90"/>
      <c r="J118" s="11"/>
    </row>
    <row r="119" spans="1:10">
      <c r="A119" s="100">
        <v>45509</v>
      </c>
      <c r="B119" s="82" t="s">
        <v>1731</v>
      </c>
      <c r="C119" s="114">
        <v>1</v>
      </c>
      <c r="D119" s="83">
        <v>2500</v>
      </c>
      <c r="E119" s="116">
        <f>D119*C119</f>
        <v>2500</v>
      </c>
      <c r="F119" s="90">
        <v>4100</v>
      </c>
      <c r="G119" s="17">
        <f>C119*F119</f>
        <v>4100</v>
      </c>
      <c r="H119" s="90"/>
      <c r="I119" s="90">
        <f t="shared" ref="I119:I121" si="12">G119-E119</f>
        <v>1600</v>
      </c>
      <c r="J119" s="11"/>
    </row>
    <row r="120" spans="1:10">
      <c r="A120" s="100">
        <v>45509</v>
      </c>
      <c r="B120" s="82" t="s">
        <v>148</v>
      </c>
      <c r="C120" s="114">
        <v>16</v>
      </c>
      <c r="D120" s="83">
        <v>4100</v>
      </c>
      <c r="E120" s="116">
        <f>D120*C120</f>
        <v>65600</v>
      </c>
      <c r="F120" s="90">
        <f>F119*1.73</f>
        <v>7093</v>
      </c>
      <c r="G120" s="17">
        <f>C120*F120</f>
        <v>113488</v>
      </c>
      <c r="H120" s="90"/>
      <c r="I120" s="90">
        <f t="shared" si="12"/>
        <v>47888</v>
      </c>
      <c r="J120" s="11"/>
    </row>
    <row r="121" spans="1:10" ht="13.5" thickBot="1">
      <c r="A121" s="100">
        <v>45509</v>
      </c>
      <c r="B121" s="82" t="s">
        <v>149</v>
      </c>
      <c r="C121" s="114">
        <v>1</v>
      </c>
      <c r="D121" s="83">
        <v>16200</v>
      </c>
      <c r="E121" s="116">
        <f>D121*C121</f>
        <v>16200</v>
      </c>
      <c r="F121" s="90">
        <f>F120*4</f>
        <v>28372</v>
      </c>
      <c r="G121" s="17">
        <f>C121*F121</f>
        <v>28372</v>
      </c>
      <c r="H121" s="419">
        <f>SUM(G119:G121)</f>
        <v>145960</v>
      </c>
      <c r="I121" s="90">
        <f t="shared" si="12"/>
        <v>12172</v>
      </c>
      <c r="J121" s="11"/>
    </row>
    <row r="122" spans="1:10" ht="13.5" thickBot="1">
      <c r="A122" s="100"/>
      <c r="B122" s="90"/>
      <c r="C122" s="12"/>
      <c r="D122" s="12"/>
      <c r="E122" s="90">
        <f>SUM(E119:E121)</f>
        <v>84300</v>
      </c>
      <c r="F122" s="90"/>
      <c r="G122" s="90"/>
      <c r="H122" s="117">
        <f>(SUM(G119:G121))-(SUM(E119:E121))</f>
        <v>61660</v>
      </c>
      <c r="I122" s="90"/>
      <c r="J122" s="11"/>
    </row>
    <row r="123" spans="1:10">
      <c r="A123" s="100"/>
      <c r="B123" s="90" t="s">
        <v>150</v>
      </c>
      <c r="C123" s="120">
        <v>33.250599999999999</v>
      </c>
      <c r="D123" s="12"/>
      <c r="E123" s="90"/>
      <c r="F123" s="90"/>
      <c r="G123" s="17"/>
      <c r="H123" s="90"/>
      <c r="I123" s="90"/>
      <c r="J123" s="11"/>
    </row>
    <row r="124" spans="1:10">
      <c r="A124" s="100"/>
      <c r="B124" s="90" t="s">
        <v>151</v>
      </c>
      <c r="C124" s="120">
        <v>36.854999999999997</v>
      </c>
      <c r="D124" s="12"/>
      <c r="E124" s="90"/>
      <c r="F124" s="90"/>
      <c r="G124" s="17"/>
      <c r="H124" s="90"/>
      <c r="I124" s="90"/>
      <c r="J124" s="11"/>
    </row>
    <row r="125" spans="1:10">
      <c r="A125" s="100"/>
      <c r="B125" s="90" t="s">
        <v>152</v>
      </c>
      <c r="C125" s="12"/>
      <c r="D125" s="12"/>
      <c r="E125" s="90"/>
      <c r="F125" s="90"/>
      <c r="G125" s="17">
        <v>0</v>
      </c>
      <c r="H125" s="90"/>
      <c r="I125" s="90"/>
      <c r="J125" s="11"/>
    </row>
    <row r="126" spans="1:10" ht="13.5" thickBot="1">
      <c r="A126" s="100"/>
      <c r="B126" s="90" t="s">
        <v>153</v>
      </c>
      <c r="C126" s="12"/>
      <c r="D126" s="12"/>
      <c r="E126" s="90"/>
      <c r="F126" s="90"/>
      <c r="G126" s="17">
        <v>1000</v>
      </c>
      <c r="H126" s="90"/>
      <c r="I126" s="90"/>
      <c r="J126" s="11"/>
    </row>
    <row r="127" spans="1:10" ht="13.5" thickBot="1">
      <c r="A127" s="100"/>
      <c r="B127" s="90"/>
      <c r="C127" s="90"/>
      <c r="D127" s="90"/>
      <c r="E127" s="121"/>
      <c r="F127" s="122"/>
      <c r="G127" s="123" t="s">
        <v>154</v>
      </c>
      <c r="H127" s="429">
        <f>H122+H117+H111</f>
        <v>124142.26000000001</v>
      </c>
      <c r="I127" s="90"/>
      <c r="J127" s="11"/>
    </row>
    <row r="128" spans="1:10" ht="13.5" thickBot="1">
      <c r="A128" s="100"/>
      <c r="B128" s="90"/>
      <c r="C128" s="124"/>
      <c r="D128" s="92"/>
      <c r="E128" s="90"/>
      <c r="F128" s="90"/>
      <c r="G128" s="124"/>
      <c r="H128" s="90"/>
      <c r="I128" s="90"/>
      <c r="J128" s="11"/>
    </row>
    <row r="129" spans="1:13" ht="13.5" thickBot="1">
      <c r="A129" s="100"/>
      <c r="B129" s="90"/>
      <c r="C129" s="124"/>
      <c r="D129" s="18" t="s">
        <v>155</v>
      </c>
      <c r="E129" s="90"/>
      <c r="F129" s="90"/>
      <c r="G129" s="482">
        <f>SUM(G98:G126)</f>
        <v>593200.125</v>
      </c>
      <c r="H129" s="90"/>
      <c r="I129" s="90"/>
      <c r="J129" s="11"/>
    </row>
    <row r="130" spans="1:13">
      <c r="A130" s="100"/>
      <c r="B130" s="90"/>
      <c r="C130" s="126" t="str">
        <f>A94</f>
        <v>HAZİRAN 2025 e</v>
      </c>
      <c r="D130" s="126" t="s">
        <v>156</v>
      </c>
      <c r="E130" s="90"/>
      <c r="F130" s="90"/>
      <c r="G130" s="127"/>
      <c r="H130" s="90"/>
      <c r="I130" s="90"/>
      <c r="J130" s="11"/>
    </row>
    <row r="131" spans="1:13">
      <c r="A131" s="100"/>
      <c r="B131" s="11"/>
      <c r="C131" s="438"/>
      <c r="D131" s="439"/>
      <c r="E131" s="405"/>
      <c r="F131" s="405"/>
      <c r="G131" s="409"/>
      <c r="H131" s="90"/>
      <c r="I131" s="90"/>
      <c r="J131" s="11"/>
    </row>
    <row r="132" spans="1:13">
      <c r="A132" s="90"/>
      <c r="B132" s="90" t="s">
        <v>1685</v>
      </c>
      <c r="C132" s="90"/>
      <c r="D132" s="90"/>
      <c r="E132" s="90"/>
      <c r="F132" s="90"/>
      <c r="G132" s="90"/>
      <c r="H132" s="90"/>
      <c r="I132" s="90" t="s">
        <v>1676</v>
      </c>
      <c r="J132" s="11" t="s">
        <v>1676</v>
      </c>
      <c r="K132" s="78" t="s">
        <v>1677</v>
      </c>
      <c r="L132" s="78" t="s">
        <v>1678</v>
      </c>
      <c r="M132" s="78" t="s">
        <v>1679</v>
      </c>
    </row>
    <row r="133" spans="1:13">
      <c r="A133" s="100">
        <v>45620</v>
      </c>
      <c r="B133" s="82" t="s">
        <v>1604</v>
      </c>
      <c r="C133" s="114">
        <v>3000</v>
      </c>
      <c r="D133" s="114">
        <v>32.549999999999997</v>
      </c>
      <c r="E133" s="116">
        <f t="shared" ref="E133" si="13">D133*C133</f>
        <v>97649.999999999985</v>
      </c>
      <c r="F133" s="90">
        <v>42.86</v>
      </c>
      <c r="G133" s="17">
        <f t="shared" ref="G133" si="14">F133*C133</f>
        <v>128580</v>
      </c>
      <c r="H133" s="90"/>
      <c r="I133" s="90">
        <f t="shared" ref="I133" si="15">G133-E133</f>
        <v>30930.000000000015</v>
      </c>
      <c r="J133" s="443">
        <f>(I133-I134)/E133</f>
        <v>0.31674347158218147</v>
      </c>
      <c r="K133" s="100">
        <v>45721</v>
      </c>
      <c r="L133" s="78">
        <f>K133-A133</f>
        <v>101</v>
      </c>
      <c r="M133" s="443">
        <f>J133/L133*30</f>
        <v>9.4082219281836091E-2</v>
      </c>
    </row>
    <row r="134" spans="1:13">
      <c r="A134" s="100"/>
      <c r="B134" s="82"/>
      <c r="C134" s="114" t="s">
        <v>1730</v>
      </c>
      <c r="D134" s="115"/>
      <c r="E134" s="116"/>
      <c r="F134" s="90" t="s">
        <v>1729</v>
      </c>
      <c r="G134" s="17">
        <v>-257.16000000000003</v>
      </c>
      <c r="H134" s="90"/>
      <c r="I134" s="90"/>
      <c r="J134" s="90"/>
      <c r="K134" s="475"/>
      <c r="M134" s="443"/>
    </row>
    <row r="135" spans="1:13">
      <c r="A135" s="100">
        <v>45772</v>
      </c>
      <c r="B135" s="82" t="s">
        <v>236</v>
      </c>
      <c r="C135" s="114">
        <v>16</v>
      </c>
      <c r="D135" s="115">
        <v>983.06700000000001</v>
      </c>
      <c r="E135" s="116">
        <f t="shared" ref="E135" si="16">D135*C135</f>
        <v>15729.072</v>
      </c>
      <c r="F135" s="90">
        <v>995.40553</v>
      </c>
      <c r="G135" s="17">
        <f t="shared" ref="G135" si="17">F135*C135</f>
        <v>15926.48848</v>
      </c>
      <c r="H135" s="419"/>
      <c r="I135" s="90">
        <f t="shared" ref="I135" si="18">G135-E135</f>
        <v>197.41647999999986</v>
      </c>
      <c r="J135" s="11"/>
    </row>
    <row r="136" spans="1:13">
      <c r="A136" s="100"/>
      <c r="B136" s="82" t="s">
        <v>1729</v>
      </c>
      <c r="C136" s="114"/>
      <c r="D136" s="115"/>
      <c r="E136" s="116"/>
      <c r="F136" s="404"/>
      <c r="G136" s="17"/>
      <c r="H136" s="90"/>
      <c r="I136" s="90">
        <v>-197.03</v>
      </c>
      <c r="J136" s="443"/>
      <c r="K136" s="100"/>
      <c r="M136" s="443"/>
    </row>
    <row r="137" spans="1:13">
      <c r="A137" s="406"/>
      <c r="B137" s="82" t="s">
        <v>1814</v>
      </c>
      <c r="C137" s="114">
        <v>24</v>
      </c>
      <c r="D137" s="115">
        <v>983.06700000000001</v>
      </c>
      <c r="E137" s="116">
        <f t="shared" ref="E137" si="19">D137*C137</f>
        <v>23593.608</v>
      </c>
      <c r="F137" s="90">
        <v>1000.855116</v>
      </c>
      <c r="G137" s="17">
        <f t="shared" ref="G137" si="20">F137*C137</f>
        <v>24020.522784000001</v>
      </c>
      <c r="H137" s="419"/>
      <c r="I137" s="90">
        <f t="shared" ref="I137" si="21">G137-E137</f>
        <v>426.91478400000051</v>
      </c>
      <c r="J137" s="90"/>
      <c r="K137" s="475"/>
    </row>
    <row r="138" spans="1:13" ht="13.5" thickBot="1">
      <c r="A138" s="407"/>
      <c r="B138" s="82" t="s">
        <v>1729</v>
      </c>
      <c r="C138" s="407" t="s">
        <v>1815</v>
      </c>
      <c r="D138" s="405"/>
      <c r="E138" s="405"/>
      <c r="F138" s="405"/>
      <c r="G138" s="405"/>
      <c r="H138" s="405"/>
      <c r="I138" s="407">
        <v>-308.62</v>
      </c>
      <c r="J138" s="11"/>
    </row>
    <row r="139" spans="1:13">
      <c r="A139" s="428"/>
      <c r="B139" s="428"/>
      <c r="C139" s="428"/>
      <c r="D139" s="417"/>
      <c r="E139" s="417"/>
      <c r="F139" s="417"/>
      <c r="G139" s="417">
        <f>SUM(G133:G138)</f>
        <v>168269.851264</v>
      </c>
      <c r="H139" s="417"/>
      <c r="I139" s="480">
        <f>SUM(I133:I138)</f>
        <v>31048.681264000017</v>
      </c>
      <c r="J139" s="11"/>
    </row>
    <row r="140" spans="1:13">
      <c r="A140" s="11"/>
      <c r="B140" s="11"/>
      <c r="C140" s="11"/>
      <c r="D140" s="90"/>
      <c r="E140" s="90"/>
      <c r="F140" s="90"/>
      <c r="G140" s="90"/>
      <c r="H140" s="90"/>
      <c r="I140" s="11"/>
      <c r="J140" s="11"/>
    </row>
    <row r="141" spans="1:13">
      <c r="A141" s="98"/>
      <c r="B141" s="11"/>
      <c r="C141" s="11"/>
      <c r="D141" s="90"/>
      <c r="E141" s="90"/>
      <c r="F141" s="90"/>
      <c r="G141" s="90"/>
      <c r="H141" s="90"/>
      <c r="I141" s="11"/>
      <c r="J141" s="11"/>
    </row>
    <row r="142" spans="1:13" ht="18">
      <c r="A142" s="493" t="s">
        <v>1743</v>
      </c>
      <c r="B142" s="11"/>
      <c r="C142" s="11"/>
      <c r="D142" s="90"/>
      <c r="E142" s="90"/>
      <c r="F142" s="90"/>
      <c r="G142" s="90"/>
      <c r="H142" s="90"/>
      <c r="I142" s="11"/>
      <c r="J142" s="11"/>
    </row>
    <row r="143" spans="1:13" ht="15.75">
      <c r="A143" s="98"/>
      <c r="B143" s="476">
        <f>1-76.4616%</f>
        <v>0.23538399999999993</v>
      </c>
      <c r="C143" s="477">
        <v>0.76461599999999996</v>
      </c>
      <c r="D143" s="404"/>
      <c r="E143" s="90"/>
      <c r="F143" s="90"/>
      <c r="G143" s="90"/>
      <c r="H143" s="90"/>
      <c r="I143" s="11"/>
      <c r="J143" s="11"/>
    </row>
    <row r="144" spans="1:13" ht="15.75">
      <c r="A144" s="98"/>
      <c r="B144" s="476" t="s">
        <v>1745</v>
      </c>
      <c r="C144" s="477"/>
      <c r="D144" s="404"/>
      <c r="E144" s="90"/>
      <c r="F144" s="90"/>
      <c r="G144" s="90"/>
      <c r="H144" s="90"/>
      <c r="I144" s="11"/>
      <c r="J144" s="11"/>
    </row>
    <row r="145" spans="1:14" ht="15.75">
      <c r="A145" s="98"/>
      <c r="B145" s="476" t="s">
        <v>1744</v>
      </c>
      <c r="C145" s="477"/>
      <c r="D145" s="404"/>
      <c r="E145" s="90"/>
      <c r="F145" s="90"/>
      <c r="G145" s="90"/>
      <c r="H145" s="90"/>
      <c r="I145" s="11"/>
      <c r="J145" s="11"/>
    </row>
    <row r="146" spans="1:14" ht="15.75">
      <c r="A146" s="98"/>
      <c r="B146" s="476" t="s">
        <v>1747</v>
      </c>
      <c r="C146" s="477"/>
      <c r="D146" s="404"/>
      <c r="E146" s="90"/>
      <c r="F146" s="90"/>
      <c r="G146" s="90"/>
      <c r="H146" s="90"/>
      <c r="I146" s="11"/>
      <c r="J146" s="11"/>
    </row>
    <row r="147" spans="1:14" ht="15.75">
      <c r="A147" s="98"/>
      <c r="B147" s="476" t="s">
        <v>1746</v>
      </c>
      <c r="C147" s="477"/>
      <c r="D147" s="404"/>
      <c r="E147" s="90"/>
      <c r="F147" s="90"/>
      <c r="G147" s="90"/>
      <c r="H147" s="90"/>
      <c r="I147" s="11"/>
      <c r="J147" s="11"/>
    </row>
    <row r="148" spans="1:14" ht="16.5" thickBot="1">
      <c r="A148" s="98"/>
      <c r="B148" s="476"/>
      <c r="C148" s="11" t="s">
        <v>1749</v>
      </c>
      <c r="D148" s="11" t="s">
        <v>1748</v>
      </c>
      <c r="E148" s="90" t="s">
        <v>1740</v>
      </c>
      <c r="F148" s="490">
        <v>138749.76000000001</v>
      </c>
      <c r="G148" s="11" t="s">
        <v>1741</v>
      </c>
      <c r="H148" s="90" t="s">
        <v>3</v>
      </c>
      <c r="I148" s="11"/>
      <c r="J148" s="11"/>
    </row>
    <row r="149" spans="1:14" ht="13.5" thickBot="1">
      <c r="A149" s="100"/>
      <c r="B149" s="82" t="s">
        <v>1750</v>
      </c>
      <c r="C149" s="118">
        <v>160</v>
      </c>
      <c r="D149" s="90">
        <f>C149</f>
        <v>160</v>
      </c>
      <c r="E149" s="83">
        <v>872.26</v>
      </c>
      <c r="F149" s="491">
        <f>E149*C149</f>
        <v>139561.60000000001</v>
      </c>
      <c r="G149" s="481">
        <v>962.89330700000005</v>
      </c>
      <c r="H149" s="17">
        <f>G149*C149</f>
        <v>154062.92912000002</v>
      </c>
      <c r="I149" s="12">
        <f>H149</f>
        <v>154062.92912000002</v>
      </c>
      <c r="J149" s="11"/>
    </row>
    <row r="150" spans="1:14" ht="13.5" thickBot="1">
      <c r="A150" s="100"/>
      <c r="B150" s="82" t="s">
        <v>1751</v>
      </c>
      <c r="C150" s="118">
        <v>78</v>
      </c>
      <c r="D150" s="90">
        <f>D149+C150</f>
        <v>238</v>
      </c>
      <c r="E150" s="83">
        <v>872.26</v>
      </c>
      <c r="F150" s="491">
        <f>E150*C150</f>
        <v>68036.28</v>
      </c>
      <c r="G150" s="403">
        <f>G151</f>
        <v>962.89330700000005</v>
      </c>
      <c r="H150" s="17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89">
        <v>45755</v>
      </c>
      <c r="B151" s="492" t="s">
        <v>1739</v>
      </c>
      <c r="C151" s="118">
        <v>-21</v>
      </c>
      <c r="D151" s="90">
        <f>D150+C151</f>
        <v>217</v>
      </c>
      <c r="E151" s="83">
        <v>872.26</v>
      </c>
      <c r="F151" s="449">
        <f>E151*C151</f>
        <v>-18317.46</v>
      </c>
      <c r="G151" s="403">
        <f>G149</f>
        <v>962.89330700000005</v>
      </c>
      <c r="H151" s="141">
        <f>G151*C151</f>
        <v>-20220.759447</v>
      </c>
      <c r="I151" s="12">
        <f>I150+H151</f>
        <v>208947.84761900004</v>
      </c>
      <c r="J151" s="11"/>
    </row>
    <row r="152" spans="1:14" ht="13.5" thickBot="1">
      <c r="A152" s="100"/>
      <c r="B152" s="82" t="s">
        <v>1742</v>
      </c>
      <c r="C152" s="388"/>
      <c r="D152" s="90"/>
      <c r="E152" s="83"/>
      <c r="F152" s="90"/>
      <c r="G152" s="90"/>
      <c r="H152" s="90">
        <v>-300.32</v>
      </c>
      <c r="I152" s="12">
        <f>I151+H152</f>
        <v>208647.52761900003</v>
      </c>
      <c r="J152" s="11"/>
    </row>
    <row r="153" spans="1:14" ht="13.5" thickBot="1">
      <c r="A153" s="542">
        <v>45777</v>
      </c>
      <c r="B153" s="543" t="s">
        <v>1801</v>
      </c>
      <c r="C153" s="544">
        <v>219</v>
      </c>
      <c r="D153" s="545"/>
      <c r="E153" s="545"/>
      <c r="F153" s="545"/>
      <c r="G153" s="481">
        <f>G151</f>
        <v>962.89330700000005</v>
      </c>
      <c r="H153" s="546">
        <f>G153*C153</f>
        <v>210873.63423300002</v>
      </c>
      <c r="I153" s="461"/>
      <c r="J153" s="11"/>
    </row>
    <row r="154" spans="1:14" s="11" customFormat="1" ht="13.5" thickBot="1">
      <c r="A154" s="489">
        <v>45786</v>
      </c>
      <c r="B154" s="492" t="s">
        <v>1739</v>
      </c>
      <c r="C154" s="118">
        <v>-20</v>
      </c>
      <c r="D154" s="90">
        <f>D153+C154</f>
        <v>-20</v>
      </c>
      <c r="E154" s="83">
        <v>872.26</v>
      </c>
      <c r="F154" s="449">
        <f>E154*C154</f>
        <v>-17445.2</v>
      </c>
      <c r="G154" s="90">
        <v>1000.86</v>
      </c>
      <c r="H154" s="541">
        <f>G154*C154</f>
        <v>-20017.2</v>
      </c>
      <c r="I154" s="12">
        <f>I152+H154</f>
        <v>188630.32761900002</v>
      </c>
      <c r="K154" s="78"/>
      <c r="L154" s="78"/>
      <c r="M154" s="78"/>
      <c r="N154" s="78"/>
    </row>
    <row r="155" spans="1:14" s="11" customFormat="1" ht="13.5" thickBot="1">
      <c r="A155" s="539"/>
      <c r="B155" s="82" t="s">
        <v>1742</v>
      </c>
      <c r="C155" s="118"/>
      <c r="D155" s="90"/>
      <c r="E155" s="90"/>
      <c r="F155" s="90"/>
      <c r="G155" s="90"/>
      <c r="H155" s="17">
        <v>-257.18</v>
      </c>
      <c r="I155" s="90"/>
      <c r="K155" s="78"/>
      <c r="L155" s="78"/>
      <c r="M155" s="78"/>
      <c r="N155" s="78"/>
    </row>
    <row r="156" spans="1:14" s="11" customFormat="1" ht="13.5" thickBot="1">
      <c r="A156" s="542">
        <v>45786</v>
      </c>
      <c r="B156" s="543" t="s">
        <v>1801</v>
      </c>
      <c r="C156" s="544">
        <v>199</v>
      </c>
      <c r="D156" s="545"/>
      <c r="E156" s="545"/>
      <c r="F156" s="545"/>
      <c r="G156" s="545">
        <v>1000.86</v>
      </c>
      <c r="H156" s="546">
        <f>G156*C156</f>
        <v>199171.14</v>
      </c>
      <c r="I156" s="461"/>
      <c r="K156" s="78"/>
      <c r="L156" s="78"/>
      <c r="M156" s="78"/>
      <c r="N156" s="78"/>
    </row>
    <row r="157" spans="1:14" s="11" customFormat="1">
      <c r="A157" s="539"/>
      <c r="B157" s="82"/>
      <c r="C157" s="118"/>
      <c r="D157" s="90"/>
      <c r="E157" s="90"/>
      <c r="F157" s="90"/>
      <c r="G157" s="90"/>
      <c r="H157" s="17"/>
      <c r="I157" s="90"/>
      <c r="K157" s="78"/>
      <c r="L157" s="78"/>
      <c r="M157" s="78"/>
      <c r="N157" s="78"/>
    </row>
    <row r="158" spans="1:14">
      <c r="A158" s="100"/>
      <c r="B158" s="90" t="s">
        <v>1684</v>
      </c>
      <c r="C158" s="438"/>
      <c r="D158" s="439"/>
      <c r="E158" s="405"/>
      <c r="F158" s="405"/>
      <c r="G158" s="409"/>
      <c r="H158" s="90"/>
      <c r="I158" s="90"/>
      <c r="J158" s="11"/>
    </row>
    <row r="159" spans="1:14">
      <c r="A159" s="98"/>
      <c r="B159" s="11"/>
      <c r="C159" s="11"/>
      <c r="D159" s="90"/>
      <c r="E159" s="90"/>
      <c r="F159" s="90"/>
      <c r="G159" s="90"/>
      <c r="H159" s="90"/>
      <c r="I159" s="11"/>
      <c r="J159" s="11"/>
    </row>
    <row r="160" spans="1:14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topLeftCell="A116" zoomScale="145" zoomScaleNormal="145" workbookViewId="0">
      <selection activeCell="I99" sqref="I99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1716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1723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38" t="s">
        <v>73</v>
      </c>
      <c r="C14" s="538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38" t="s">
        <v>74</v>
      </c>
      <c r="C15" s="538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1776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1803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1713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1714</v>
      </c>
      <c r="D79" s="459">
        <v>3750</v>
      </c>
    </row>
    <row r="80" spans="1:14">
      <c r="A80" s="98">
        <v>45743</v>
      </c>
      <c r="B80" s="471" t="s">
        <v>1722</v>
      </c>
      <c r="C80" s="468"/>
      <c r="D80" s="470">
        <v>1600</v>
      </c>
    </row>
    <row r="81" spans="1:14">
      <c r="A81" s="98">
        <v>45829</v>
      </c>
      <c r="B81" s="467" t="s">
        <v>1888</v>
      </c>
      <c r="C81" s="468"/>
      <c r="D81" s="469">
        <v>30000</v>
      </c>
    </row>
    <row r="82" spans="1:14" s="11" customFormat="1">
      <c r="A82" s="98">
        <v>45761</v>
      </c>
      <c r="B82" s="494" t="s">
        <v>1752</v>
      </c>
      <c r="C82" s="495"/>
      <c r="D82" s="496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1775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1789</v>
      </c>
      <c r="D84" s="459">
        <v>700</v>
      </c>
    </row>
    <row r="85" spans="1:14" s="11" customFormat="1">
      <c r="A85" s="98">
        <v>45772</v>
      </c>
      <c r="B85" s="11" t="s">
        <v>1790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>
        <v>45829</v>
      </c>
      <c r="B86" s="11" t="s">
        <v>1884</v>
      </c>
      <c r="D86" s="459">
        <v>6500</v>
      </c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>
        <v>45829</v>
      </c>
      <c r="B87" s="11" t="s">
        <v>1885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>
        <v>45829</v>
      </c>
      <c r="B88" s="11" t="s">
        <v>1886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>
        <v>45829</v>
      </c>
      <c r="B89" s="11" t="s">
        <v>1791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>
        <v>45829</v>
      </c>
      <c r="B90" s="11" t="s">
        <v>1887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B91" t="s">
        <v>1792</v>
      </c>
      <c r="D91" s="460"/>
    </row>
    <row r="92" spans="1:14" ht="13.5" thickBot="1">
      <c r="B92" s="462" t="s">
        <v>1711</v>
      </c>
      <c r="C92" s="463"/>
      <c r="D92" s="461">
        <f>SUM(D75:D91)</f>
        <v>159600</v>
      </c>
    </row>
    <row r="106" spans="1:23">
      <c r="A106" s="113" t="s">
        <v>1728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809746.41619999986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1737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1738</v>
      </c>
      <c r="C112" s="90"/>
      <c r="D112" s="90"/>
      <c r="E112" s="90"/>
      <c r="F112" s="90"/>
      <c r="G112" s="90">
        <f>D92</f>
        <v>159600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1731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2">
        <f>SUM(G110:G135)</f>
        <v>809746.41619999986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1730</v>
      </c>
      <c r="D143" s="115"/>
      <c r="E143" s="116"/>
      <c r="F143" s="90" t="s">
        <v>1729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0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3" t="s">
        <v>1743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1745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1744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1747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1746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1749</v>
      </c>
      <c r="D157" s="11" t="s">
        <v>1748</v>
      </c>
      <c r="E157" s="90" t="s">
        <v>1740</v>
      </c>
      <c r="F157" s="490">
        <v>138749.76000000001</v>
      </c>
      <c r="G157" s="11" t="s">
        <v>1741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1750</v>
      </c>
      <c r="C158" s="118">
        <v>160</v>
      </c>
      <c r="D158" s="77">
        <f>C158</f>
        <v>160</v>
      </c>
      <c r="E158" s="83">
        <v>872.26</v>
      </c>
      <c r="F158" s="491">
        <f>E158*C158</f>
        <v>139561.60000000001</v>
      </c>
      <c r="G158" s="481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1751</v>
      </c>
      <c r="C159" s="118">
        <v>78</v>
      </c>
      <c r="D159" s="77">
        <f>D158+C159</f>
        <v>238</v>
      </c>
      <c r="E159" s="83">
        <v>872.26</v>
      </c>
      <c r="F159" s="491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89">
        <v>45755</v>
      </c>
      <c r="B160" s="492" t="s">
        <v>1739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1742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1801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27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1715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1725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1712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1737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1724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1726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1727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8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0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23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1737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79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25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1737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79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topLeftCell="A65"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0" t="s">
        <v>1805</v>
      </c>
      <c r="C52" s="130"/>
      <c r="D52" s="131"/>
      <c r="E52" s="131"/>
      <c r="F52" s="503"/>
    </row>
    <row r="53" spans="1:6" s="11" customFormat="1">
      <c r="A53" s="10"/>
      <c r="B53" s="521" t="s">
        <v>1806</v>
      </c>
      <c r="C53" s="522"/>
      <c r="D53" s="523"/>
      <c r="E53" s="523"/>
      <c r="F53" s="135"/>
    </row>
    <row r="54" spans="1:6">
      <c r="B54" s="521" t="s">
        <v>1754</v>
      </c>
      <c r="C54" s="522"/>
      <c r="D54" s="523"/>
      <c r="E54" s="523"/>
      <c r="F54" s="135"/>
    </row>
    <row r="55" spans="1:6" s="11" customFormat="1">
      <c r="A55" s="10"/>
      <c r="B55" s="521" t="s">
        <v>1755</v>
      </c>
      <c r="C55" s="522"/>
      <c r="D55" s="523"/>
      <c r="E55" s="523"/>
      <c r="F55" s="135"/>
    </row>
    <row r="56" spans="1:6" s="11" customFormat="1">
      <c r="A56" s="10"/>
      <c r="B56" s="521" t="s">
        <v>1753</v>
      </c>
      <c r="C56" s="522"/>
      <c r="D56" s="523"/>
      <c r="E56" s="523"/>
      <c r="F56" s="135"/>
    </row>
    <row r="57" spans="1:6" s="11" customFormat="1" ht="13.5" thickBot="1">
      <c r="A57" s="10"/>
      <c r="B57" s="528"/>
      <c r="C57" s="522">
        <v>2637</v>
      </c>
      <c r="D57" s="521" t="s">
        <v>1756</v>
      </c>
      <c r="E57" s="523"/>
      <c r="F57" s="135"/>
    </row>
    <row r="58" spans="1:6" s="11" customFormat="1" ht="13.5" thickBot="1">
      <c r="A58" s="533"/>
      <c r="B58" s="534" t="s">
        <v>1757</v>
      </c>
      <c r="C58" s="535">
        <f>F59/C57</f>
        <v>166.09783845278727</v>
      </c>
      <c r="D58" s="534" t="s">
        <v>233</v>
      </c>
      <c r="E58" s="536"/>
      <c r="F58" s="537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29"/>
      <c r="B64" s="530" t="s">
        <v>1767</v>
      </c>
      <c r="C64" s="531">
        <f>36500/2626</f>
        <v>13.8994668697639</v>
      </c>
      <c r="D64" s="532" t="s">
        <v>233</v>
      </c>
      <c r="E64" s="532"/>
      <c r="F64" s="532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3">
        <v>45565</v>
      </c>
      <c r="B66" s="484" t="s">
        <v>208</v>
      </c>
      <c r="C66" s="484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29"/>
      <c r="B67" s="530" t="s">
        <v>1768</v>
      </c>
      <c r="C67" s="531">
        <f>36000/2801</f>
        <v>12.85255265976437</v>
      </c>
      <c r="D67" s="532" t="s">
        <v>233</v>
      </c>
      <c r="E67" s="532"/>
      <c r="F67" s="532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3">
        <v>45595</v>
      </c>
      <c r="B69" s="484" t="s">
        <v>211</v>
      </c>
      <c r="C69" s="484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29"/>
      <c r="B70" s="530" t="s">
        <v>1769</v>
      </c>
      <c r="C70" s="531">
        <f>36000/2905</f>
        <v>12.392426850258175</v>
      </c>
      <c r="D70" s="532" t="s">
        <v>233</v>
      </c>
      <c r="E70" s="532"/>
      <c r="F70" s="532"/>
    </row>
    <row r="71" spans="1:6">
      <c r="A71" s="486">
        <v>45611</v>
      </c>
      <c r="B71" s="8" t="s">
        <v>212</v>
      </c>
      <c r="C71" s="67" t="s">
        <v>213</v>
      </c>
      <c r="D71" s="487"/>
      <c r="E71" s="487">
        <v>35800</v>
      </c>
      <c r="F71" s="487">
        <f>F69+D71-E71</f>
        <v>293700</v>
      </c>
    </row>
    <row r="72" spans="1:6">
      <c r="A72" s="486"/>
      <c r="B72" s="8" t="s">
        <v>214</v>
      </c>
      <c r="C72" s="67"/>
      <c r="D72" s="487">
        <v>630</v>
      </c>
      <c r="E72" s="487"/>
      <c r="F72" s="487">
        <f t="shared" si="1"/>
        <v>294330</v>
      </c>
    </row>
    <row r="73" spans="1:6" s="11" customFormat="1">
      <c r="A73" s="485"/>
      <c r="B73" s="92" t="s">
        <v>1590</v>
      </c>
      <c r="C73" s="484"/>
      <c r="D73" s="17">
        <v>1000</v>
      </c>
      <c r="E73" s="17"/>
      <c r="F73" s="17">
        <f t="shared" si="1"/>
        <v>295330</v>
      </c>
    </row>
    <row r="74" spans="1:6" s="11" customFormat="1">
      <c r="A74" s="529"/>
      <c r="B74" s="530" t="s">
        <v>1770</v>
      </c>
      <c r="C74" s="531">
        <f>35800/2898</f>
        <v>12.353347135955831</v>
      </c>
      <c r="D74" s="532" t="s">
        <v>233</v>
      </c>
      <c r="E74" s="532"/>
      <c r="F74" s="532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29"/>
      <c r="B76" s="530" t="s">
        <v>1771</v>
      </c>
      <c r="C76" s="531">
        <f>38000/2970</f>
        <v>12.794612794612794</v>
      </c>
      <c r="D76" s="532" t="s">
        <v>233</v>
      </c>
      <c r="E76" s="532"/>
      <c r="F76" s="532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1760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1759</v>
      </c>
      <c r="C111" s="8" t="s">
        <v>1761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1758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1763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1762</v>
      </c>
      <c r="C118" s="524" t="s">
        <v>230</v>
      </c>
      <c r="E118" s="2">
        <v>68000</v>
      </c>
      <c r="F118" s="17">
        <f>F117-E118</f>
        <v>0</v>
      </c>
    </row>
    <row r="119" spans="1:6">
      <c r="B119" s="134" t="s">
        <v>1764</v>
      </c>
      <c r="C119" s="525"/>
    </row>
    <row r="120" spans="1:6">
      <c r="B120" s="134" t="s">
        <v>1765</v>
      </c>
      <c r="C120" s="525"/>
    </row>
    <row r="121" spans="1:6" ht="13.5" thickBot="1">
      <c r="B121" s="526" t="s">
        <v>1766</v>
      </c>
      <c r="C121" s="527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72" t="s">
        <v>26</v>
      </c>
      <c r="M1" s="572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73">
        <f>L15+M15</f>
        <v>1080.7929879999999</v>
      </c>
      <c r="M17" s="573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88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88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88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1736</v>
      </c>
      <c r="C114" s="488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2025-06-30T19:48:33Z</dcterms:modified>
  <dc:language>tr-TR</dc:language>
</cp:coreProperties>
</file>