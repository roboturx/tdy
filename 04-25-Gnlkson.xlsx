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9BB54184-0068-47DE-8D7D-777DBBC9CE76}" xr6:coauthVersionLast="47" xr6:coauthVersionMax="47" xr10:uidLastSave="{00000000-0000-0000-0000-000000000000}"/>
  <bookViews>
    <workbookView xWindow="-120" yWindow="-120" windowWidth="29040" windowHeight="15720" tabRatio="839" activeTab="8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0" i="10" l="1"/>
  <c r="H21" i="10"/>
  <c r="H22" i="10"/>
  <c r="H23" i="10"/>
  <c r="H160" i="10"/>
  <c r="H158" i="10"/>
  <c r="F158" i="10"/>
  <c r="D158" i="10"/>
  <c r="G112" i="10" l="1"/>
  <c r="E112" i="10"/>
  <c r="G141" i="10"/>
  <c r="E141" i="10"/>
  <c r="G113" i="10"/>
  <c r="E113" i="10"/>
  <c r="I40" i="10"/>
  <c r="I42" i="10" s="1"/>
  <c r="E8" i="10"/>
  <c r="G139" i="10"/>
  <c r="E139" i="10"/>
  <c r="E114" i="10"/>
  <c r="I25" i="1"/>
  <c r="I22" i="1"/>
  <c r="C20" i="1"/>
  <c r="G155" i="10"/>
  <c r="F155" i="10"/>
  <c r="G154" i="10"/>
  <c r="H154" i="10" s="1"/>
  <c r="F154" i="10"/>
  <c r="H153" i="10"/>
  <c r="I153" i="10" s="1"/>
  <c r="I154" i="10" s="1"/>
  <c r="F153" i="10"/>
  <c r="D153" i="10"/>
  <c r="D154" i="10" s="1"/>
  <c r="D155" i="10" s="1"/>
  <c r="B147" i="10"/>
  <c r="L137" i="10"/>
  <c r="G137" i="10"/>
  <c r="E137" i="10"/>
  <c r="C134" i="10"/>
  <c r="E125" i="10"/>
  <c r="F124" i="10"/>
  <c r="F125" i="10" s="1"/>
  <c r="G125" i="10" s="1"/>
  <c r="I125" i="10" s="1"/>
  <c r="E124" i="10"/>
  <c r="G123" i="10"/>
  <c r="E123" i="10"/>
  <c r="G120" i="10"/>
  <c r="E120" i="10"/>
  <c r="G119" i="10"/>
  <c r="E119" i="10"/>
  <c r="G118" i="10"/>
  <c r="E118" i="10"/>
  <c r="G117" i="10"/>
  <c r="E117" i="10"/>
  <c r="G111" i="10"/>
  <c r="E111" i="10"/>
  <c r="E110" i="10"/>
  <c r="F109" i="10"/>
  <c r="F110" i="10" s="1"/>
  <c r="G110" i="10" s="1"/>
  <c r="I110" i="10" s="1"/>
  <c r="E109" i="10"/>
  <c r="G108" i="10"/>
  <c r="E108" i="10"/>
  <c r="G104" i="10"/>
  <c r="G103" i="10"/>
  <c r="G128" i="11"/>
  <c r="G119" i="11"/>
  <c r="E119" i="11"/>
  <c r="H162" i="11"/>
  <c r="G111" i="11"/>
  <c r="E35" i="10"/>
  <c r="H155" i="10" l="1"/>
  <c r="I155" i="10" s="1"/>
  <c r="I156" i="10" s="1"/>
  <c r="I158" i="10" s="1"/>
  <c r="G157" i="10"/>
  <c r="H157" i="10" s="1"/>
  <c r="I137" i="10"/>
  <c r="I113" i="10"/>
  <c r="I141" i="10"/>
  <c r="I44" i="10"/>
  <c r="I43" i="10"/>
  <c r="E121" i="10"/>
  <c r="I139" i="10"/>
  <c r="I143" i="10" s="1"/>
  <c r="I108" i="10"/>
  <c r="I117" i="10"/>
  <c r="G143" i="10"/>
  <c r="H121" i="10"/>
  <c r="I111" i="10"/>
  <c r="E115" i="10"/>
  <c r="I118" i="10"/>
  <c r="I119" i="10"/>
  <c r="E126" i="10"/>
  <c r="G109" i="10"/>
  <c r="H120" i="10"/>
  <c r="J137" i="10"/>
  <c r="M137" i="10" s="1"/>
  <c r="I120" i="10"/>
  <c r="I123" i="10"/>
  <c r="G124" i="10"/>
  <c r="I124" i="10" s="1"/>
  <c r="I119" i="11"/>
  <c r="C17" i="1"/>
  <c r="C14" i="1"/>
  <c r="C11" i="1"/>
  <c r="C6" i="1"/>
  <c r="C76" i="15"/>
  <c r="C74" i="15"/>
  <c r="C70" i="15"/>
  <c r="C67" i="15"/>
  <c r="C64" i="15"/>
  <c r="H158" i="11"/>
  <c r="I158" i="11" s="1"/>
  <c r="F160" i="11"/>
  <c r="F159" i="11"/>
  <c r="F158" i="11"/>
  <c r="H125" i="10" l="1"/>
  <c r="G98" i="10"/>
  <c r="H115" i="10"/>
  <c r="H110" i="10"/>
  <c r="I109" i="10"/>
  <c r="I115" i="10" s="1"/>
  <c r="G133" i="10"/>
  <c r="H126" i="10"/>
  <c r="H131" i="10" s="1"/>
  <c r="B152" i="11"/>
  <c r="D158" i="11"/>
  <c r="D159" i="11" s="1"/>
  <c r="D160" i="11" s="1"/>
  <c r="G170" i="18"/>
  <c r="E128" i="18"/>
  <c r="E114" i="19"/>
  <c r="E114" i="20"/>
  <c r="I144" i="11"/>
  <c r="I153" i="14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I130" i="11" l="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D92" i="11" s="1"/>
  <c r="F170" i="12"/>
  <c r="G170" i="12" s="1"/>
  <c r="E170" i="12"/>
  <c r="G169" i="12"/>
  <c r="E169" i="12"/>
  <c r="E33" i="11"/>
  <c r="E50" i="11"/>
  <c r="G129" i="12"/>
  <c r="E129" i="12"/>
  <c r="L167" i="12"/>
  <c r="C143" i="14"/>
  <c r="E145" i="14"/>
  <c r="E150" i="14"/>
  <c r="I150" i="14" s="1"/>
  <c r="G150" i="14"/>
  <c r="I151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I160" i="11" l="1"/>
  <c r="I161" i="11" s="1"/>
  <c r="D18" i="1"/>
  <c r="G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7" i="1"/>
  <c r="F8" i="1" s="1"/>
  <c r="F9" i="1" s="1"/>
  <c r="F10" i="1" s="1"/>
  <c r="F12" i="1" s="1"/>
  <c r="F13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41" i="15"/>
  <c r="F142" i="15" s="1"/>
  <c r="F143" i="15" s="1"/>
  <c r="F144" i="15" s="1"/>
  <c r="F145" i="15" s="1"/>
  <c r="E101" i="15"/>
  <c r="F91" i="15"/>
  <c r="F92" i="15" s="1"/>
  <c r="F93" i="15" s="1"/>
  <c r="F94" i="15" s="1"/>
  <c r="F95" i="15" s="1"/>
  <c r="F96" i="15" s="1"/>
  <c r="F99" i="15" s="1"/>
  <c r="F100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60" i="10"/>
  <c r="E9" i="10" s="1"/>
  <c r="G9" i="10" s="1"/>
  <c r="E7" i="10"/>
  <c r="H4" i="10"/>
  <c r="H5" i="10" s="1"/>
  <c r="H6" i="10" s="1"/>
  <c r="F2" i="10"/>
  <c r="D2" i="10"/>
  <c r="B7" i="2" s="1"/>
  <c r="E50" i="9"/>
  <c r="E8" i="9" s="1"/>
  <c r="G8" i="9" s="1"/>
  <c r="E35" i="9"/>
  <c r="E7" i="9" s="1"/>
  <c r="G7" i="9" s="1"/>
  <c r="H5" i="9"/>
  <c r="H6" i="9" s="1"/>
  <c r="H4" i="9"/>
  <c r="F2" i="9"/>
  <c r="D2" i="9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B8" i="2"/>
  <c r="N7" i="2"/>
  <c r="E7" i="2"/>
  <c r="N6" i="2"/>
  <c r="N5" i="2"/>
  <c r="M5" i="2"/>
  <c r="L4" i="2"/>
  <c r="K4" i="2"/>
  <c r="M3" i="2"/>
  <c r="N2" i="2"/>
  <c r="L2" i="2"/>
  <c r="F49" i="1"/>
  <c r="F50" i="1" s="1"/>
  <c r="F51" i="1" s="1"/>
  <c r="F52" i="1" s="1"/>
  <c r="F53" i="1" s="1"/>
  <c r="E2" i="10" l="1"/>
  <c r="C7" i="2" s="1"/>
  <c r="G138" i="11"/>
  <c r="H136" i="11"/>
  <c r="J171" i="12"/>
  <c r="J170" i="12"/>
  <c r="M170" i="12" s="1"/>
  <c r="H7" i="9"/>
  <c r="G2" i="12"/>
  <c r="F15" i="1"/>
  <c r="F16" i="1" s="1"/>
  <c r="F18" i="1" s="1"/>
  <c r="I133" i="12"/>
  <c r="I118" i="14"/>
  <c r="H9" i="12"/>
  <c r="H10" i="12" s="1"/>
  <c r="H11" i="12" s="1"/>
  <c r="I173" i="12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7"/>
  <c r="C10" i="2" s="1"/>
  <c r="E2" i="9"/>
  <c r="C8" i="2" s="1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101" i="15"/>
  <c r="F102" i="15" s="1"/>
  <c r="F103" i="15" s="1"/>
  <c r="F104" i="15" s="1"/>
  <c r="F105" i="15" s="1"/>
  <c r="F106" i="15" s="1"/>
  <c r="F107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46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107" i="15"/>
  <c r="E122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54" i="1"/>
  <c r="D55" i="1"/>
  <c r="F55" i="1" s="1"/>
  <c r="F56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47" i="15"/>
  <c r="F147" i="15" s="1"/>
  <c r="F148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G2" i="10" l="1"/>
  <c r="F7" i="2" s="1"/>
  <c r="H7" i="10"/>
  <c r="F19" i="1"/>
  <c r="F21" i="1" s="1"/>
  <c r="F23" i="1" s="1"/>
  <c r="F25" i="1" s="1"/>
  <c r="F27" i="1" s="1"/>
  <c r="F110" i="15"/>
  <c r="F111" i="15" s="1"/>
  <c r="F112" i="15" s="1"/>
  <c r="F113" i="15" s="1"/>
  <c r="F114" i="15" s="1"/>
  <c r="F115" i="15" s="1"/>
  <c r="F116" i="15" s="1"/>
  <c r="E108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H8" i="10" l="1"/>
  <c r="H9" i="10" s="1"/>
  <c r="H2" i="10"/>
  <c r="F60" i="15"/>
  <c r="F61" i="15" s="1"/>
  <c r="F62" i="15" s="1"/>
  <c r="F63" i="15" s="1"/>
  <c r="F65" i="15" s="1"/>
  <c r="F66" i="15" s="1"/>
  <c r="F68" i="15" s="1"/>
  <c r="F69" i="15" s="1"/>
  <c r="F71" i="15" s="1"/>
  <c r="F72" i="15" s="1"/>
  <c r="F73" i="15" s="1"/>
  <c r="F75" i="15" s="1"/>
  <c r="F77" i="15" s="1"/>
  <c r="F78" i="15" s="1"/>
  <c r="F79" i="15" s="1"/>
  <c r="F80" i="15" s="1"/>
  <c r="F81" i="15" s="1"/>
  <c r="F82" i="15" s="1"/>
  <c r="F83" i="15" s="1"/>
  <c r="F84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0" i="10" l="1"/>
  <c r="H11" i="10" s="1"/>
  <c r="H12" i="10" s="1"/>
  <c r="H13" i="10" s="1"/>
  <c r="H14" i="10" s="1"/>
  <c r="H15" i="10" s="1"/>
  <c r="H16" i="10" s="1"/>
  <c r="H17" i="10" s="1"/>
  <c r="H18" i="10" s="1"/>
  <c r="H19" i="10" s="1"/>
  <c r="H24" i="10" s="1"/>
  <c r="H25" i="10" s="1"/>
  <c r="H26" i="10" s="1"/>
  <c r="H27" i="10" s="1"/>
  <c r="H28" i="10" s="1"/>
  <c r="H29" i="10" s="1"/>
  <c r="H18" i="12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F117" i="15" l="1"/>
  <c r="F118" i="15" s="1"/>
  <c r="G8" i="17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<sst xmlns="http://schemas.openxmlformats.org/spreadsheetml/2006/main" count="4836" uniqueCount="1821">
  <si>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</si>
  <si>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</si>
  <si>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</si>
  <si>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</si>
  <si>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</si>
  <si>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</si>
  <si>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</si>
  <si>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</si>
  <si>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</si>
  <si>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</si>
  <si>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</si>
  <si>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</si>
  <si>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</si>
  <si>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</si>
  <si>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</si>
  <si>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</si>
  <si>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</si>
  <si>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</si>
  <si>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</si>
  <si>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</si>
  <si>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</si>
  <si>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</si>
  <si>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</si>
  <si>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</si>
  <si>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</si>
  <si>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</si>
  <si>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</si>
  <si>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</si>
  <si>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</si>
  <si>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</si>
  <si>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</si>
  <si>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</si>
  <si>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</si>
  <si>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</si>
  <si>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</si>
  <si>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</si>
  <si>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</si>
  <si>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</si>
  <si>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</si>
  <si>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</si>
  <si>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</si>
  <si>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</si>
  <si>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</si>
  <si>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</si>
  <si>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</si>
  <si>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</si>
  <si>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</si>
  <si>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</si>
  <si>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</si>
  <si>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</si>
  <si>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</si>
  <si>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</si>
  <si>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</si>
  <si>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</si>
  <si>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</si>
  <si>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</si>
  <si>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</si>
  <si>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</si>
  <si>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</si>
  <si>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</si>
  <si>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</si>
  <si>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</si>
  <si>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</si>
  <si>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</si>
  <si>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</si>
  <si>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</si>
  <si>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</si>
  <si>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</si>
  <si>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</si>
  <si>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</si>
  <si>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</si>
  <si>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</si>
  <si>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</si>
  <si>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</si>
  <si>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</si>
  <si>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</si>
  <si>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</si>
  <si>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</si>
  <si>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</si>
  <si>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</si>
  <si>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</si>
  <si>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</si>
  <si>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</si>
  <si>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</si>
  <si>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</si>
  <si>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</si>
  <si>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</si>
  <si>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</si>
  <si>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</si>
  <si>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</si>
  <si>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</si>
  <si>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</si>
  <si>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</si>
  <si>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</si>
  <si>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</si>
  <si>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</si>
  <si>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</si>
  <si>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</si>
  <si>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</si>
  <si>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</si>
  <si>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</si>
  <si>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</si>
  <si>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</si>
  <si>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</si>
  <si>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</si>
  <si>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</si>
  <si>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</si>
  <si>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</si>
  <si>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</si>
  <si>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</si>
  <si>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</si>
  <si>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</si>
  <si>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</si>
  <si>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</si>
  <si>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</si>
  <si>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</si>
  <si>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</si>
  <si>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</si>
  <si>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</si>
  <si>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</si>
  <si>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</si>
  <si>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</si>
  <si>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</si>
  <si>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</si>
  <si>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</si>
  <si>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</si>
  <si>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</si>
  <si>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</si>
  <si>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</si>
  <si>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</si>
  <si>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</si>
  <si>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</si>
  <si>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</si>
  <si>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</si>
  <si>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</si>
  <si>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</si>
  <si>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</si>
  <si>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</si>
  <si>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</si>
  <si>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</si>
  <si>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</si>
  <si>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</si>
  <si>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</si>
  <si>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</si>
  <si>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</si>
  <si>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</si>
  <si>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</si>
  <si>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</si>
  <si>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</si>
  <si>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</si>
  <si>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</si>
  <si>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</si>
  <si>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</si>
  <si>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</si>
  <si>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</si>
  <si>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</si>
  <si>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</si>
  <si>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</si>
  <si>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</si>
  <si>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</si>
  <si>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</si>
  <si>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</si>
  <si>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</si>
  <si>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</si>
  <si>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</si>
  <si>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</si>
  <si>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</si>
  <si>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</si>
  <si>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</si>
  <si>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</si>
  <si>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</si>
  <si>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</si>
  <si>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</si>
  <si>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</si>
  <si>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</si>
  <si>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</si>
  <si>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</si>
  <si>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</si>
  <si>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</si>
  <si>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</si>
  <si>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</si>
  <si>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</si>
  <si>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</si>
  <si>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</si>
  <si>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</si>
  <si>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</si>
  <si>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</si>
  <si>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</si>
  <si>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</si>
  <si>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</si>
  <si>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</si>
  <si>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</si>
  <si>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</si>
  <si>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</si>
  <si>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</si>
  <si>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</si>
  <si>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</si>
  <si>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</si>
  <si>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</si>
  <si>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</si>
  <si>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</si>
  <si>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</si>
  <si>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</si>
  <si>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</si>
  <si>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</si>
  <si>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</si>
  <si>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</si>
  <si>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</si>
  <si>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</si>
  <si>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</si>
  <si>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</si>
  <si>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</si>
  <si>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</si>
  <si>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</si>
  <si>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</si>
  <si>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</si>
  <si>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</si>
  <si>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</si>
  <si>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</si>
  <si>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</si>
  <si>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</si>
  <si>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</si>
  <si>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</si>
  <si>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</si>
  <si>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</si>
  <si>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</si>
  <si>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</si>
  <si>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</si>
  <si>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</si>
  <si>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</si>
  <si>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</si>
  <si>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</si>
  <si>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</si>
  <si>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</si>
  <si>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</si>
  <si>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</si>
  <si>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</si>
  <si>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</si>
  <si>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</si>
  <si>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</si>
  <si>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</si>
  <si>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</si>
  <si>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</si>
  <si>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</si>
  <si>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</si>
  <si>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</si>
  <si>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</si>
  <si>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</si>
  <si>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</si>
  <si>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</si>
  <si>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</si>
  <si>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</si>
  <si>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</si>
  <si>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</si>
  <si>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</si>
  <si>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</si>
  <si>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</si>
  <si>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</si>
  <si>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</si>
  <si>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</si>
  <si>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</si>
  <si>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</si>
  <si>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</si>
  <si>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</si>
  <si>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</si>
  <si>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</si>
  <si>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</si>
  <si>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</si>
  <si>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</si>
  <si>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</si>
  <si>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</si>
  <si>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</si>
  <si>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</si>
  <si>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</si>
  <si>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</si>
  <si>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</si>
  <si>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</si>
  <si>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</si>
  <si>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</si>
  <si>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</si>
  <si>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</si>
  <si>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</si>
  <si>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</si>
  <si>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</si>
  <si>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</si>
  <si>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</si>
  <si>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</si>
  <si>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</si>
  <si>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</si>
  <si>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</si>
  <si>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</si>
  <si>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</si>
  <si>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</si>
  <si>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</si>
  <si>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</si>
  <si>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</si>
  <si>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</si>
  <si>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</si>
  <si>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</si>
  <si>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</si>
  <si>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</si>
  <si>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</si>
  <si>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</si>
  <si>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</si>
  <si>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</si>
  <si>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</si>
  <si>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</si>
  <si>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</si>
  <si>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</si>
  <si>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</si>
  <si>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</si>
  <si>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</si>
  <si>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</si>
  <si>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</si>
  <si>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</si>
  <si>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</si>
  <si>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</si>
  <si>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</si>
  <si>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</si>
  <si>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</si>
  <si>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</si>
  <si>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</si>
  <si>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</si>
  <si>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</si>
  <si>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</si>
  <si>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</si>
  <si>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</si>
  <si>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</si>
  <si>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</si>
  <si>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</si>
  <si>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</si>
  <si>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</si>
  <si>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</si>
  <si>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</si>
  <si>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</si>
  <si>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</si>
  <si>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</si>
  <si>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</si>
  <si>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</si>
  <si>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</si>
  <si>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</si>
  <si>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</si>
  <si>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</si>
  <si>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</si>
  <si>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</si>
  <si>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</si>
  <si>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</si>
  <si>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</si>
  <si>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</si>
  <si>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</si>
  <si>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</si>
  <si>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</si>
  <si>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</si>
  <si>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</si>
  <si>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</si>
  <si>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</si>
  <si>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</si>
  <si>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</si>
  <si>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</si>
  <si>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</si>
  <si>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</si>
  <si>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</si>
  <si>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</si>
  <si>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</si>
  <si>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</si>
  <si>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</si>
  <si>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</si>
  <si>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</si>
  <si>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</si>
  <si>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</si>
  <si>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</si>
  <si>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</si>
  <si>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</si>
  <si>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</si>
  <si>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</si>
  <si>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</si>
  <si>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</si>
  <si>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</si>
  <si>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</si>
  <si>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</si>
  <si>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</si>
  <si>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</si>
  <si>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</si>
  <si>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</si>
  <si>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</si>
  <si>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</si>
  <si>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</si>
  <si>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</si>
  <si>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</si>
  <si>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</si>
  <si>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</si>
  <si>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</si>
  <si>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</si>
  <si>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</si>
  <si>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</si>
  <si>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</si>
  <si>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</si>
  <si>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</si>
  <si>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</si>
  <si>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</si>
  <si>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</si>
  <si>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</si>
  <si>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</si>
  <si>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</si>
  <si>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</si>
  <si>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</si>
  <si>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</si>
  <si>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</si>
  <si>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</si>
  <si>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</si>
  <si>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</si>
  <si>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</si>
  <si>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</si>
  <si>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</si>
  <si>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</si>
  <si>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</si>
  <si>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</si>
  <si>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</si>
  <si>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</si>
  <si>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</si>
  <si>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</si>
  <si>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</si>
  <si>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</si>
  <si>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</si>
  <si>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</si>
  <si>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</si>
  <si>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</si>
  <si>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</si>
  <si>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</si>
  <si>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</si>
  <si>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</si>
  <si>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</si>
  <si>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</si>
  <si>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</si>
  <si>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</si>
  <si>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</si>
  <si>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</si>
  <si>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</si>
  <si>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</si>
  <si>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</si>
  <si>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</si>
  <si>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</si>
  <si>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</si>
  <si>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</si>
  <si>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</si>
  <si>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</si>
  <si>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</si>
  <si>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</si>
  <si>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</si>
  <si>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</si>
  <si>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</si>
  <si>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</si>
  <si>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</si>
  <si>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</si>
  <si>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</si>
  <si>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</si>
  <si>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</si>
  <si>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</si>
  <si>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</si>
  <si>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</si>
  <si>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</si>
  <si>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</si>
  <si>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</si>
  <si>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</si>
  <si>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</si>
  <si>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</si>
  <si>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</si>
  <si>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</si>
  <si>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</si>
  <si>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</si>
  <si>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</si>
  <si>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</si>
  <si>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</si>
  <si>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</si>
  <si>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</si>
  <si>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</si>
  <si>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</si>
  <si>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</si>
  <si>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</si>
  <si>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</si>
  <si>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</si>
  <si>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</si>
  <si>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</si>
  <si>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</si>
  <si>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</si>
  <si>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</si>
  <si>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</si>
  <si>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</si>
  <si>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</si>
  <si>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</si>
  <si>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</si>
  <si>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</si>
  <si>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</si>
  <si>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</si>
  <si>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</si>
  <si>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</si>
  <si>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</si>
  <si>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</si>
  <si>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</si>
  <si>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</si>
  <si>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</si>
  <si>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</si>
  <si>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</si>
  <si>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</si>
  <si>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</si>
  <si>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</si>
  <si>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</si>
  <si>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</si>
  <si>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</si>
  <si>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</si>
  <si>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</si>
  <si>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</si>
  <si>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</si>
  <si>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</si>
  <si>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</si>
  <si>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</si>
  <si>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</si>
  <si>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</si>
  <si>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</si>
  <si>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</si>
  <si>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</si>
  <si>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</si>
  <si>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</si>
  <si>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</si>
  <si>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</si>
  <si>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</si>
  <si>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</si>
  <si>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</si>
  <si>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</si>
  <si>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</si>
  <si>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</si>
  <si>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</si>
  <si>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</si>
  <si>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</si>
  <si>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</si>
  <si>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</si>
  <si>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</si>
  <si>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</si>
  <si>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</si>
  <si>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</si>
  <si>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</si>
  <si>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</si>
  <si>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</si>
  <si>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</si>
  <si>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</si>
  <si>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</si>
  <si>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</si>
  <si>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</si>
  <si>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</si>
  <si>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</si>
  <si>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</si>
  <si>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</si>
  <si>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</si>
  <si>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</si>
  <si>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</si>
  <si>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</si>
  <si>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</si>
  <si>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</si>
  <si>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</si>
  <si>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</si>
  <si>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</si>
  <si>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</si>
  <si>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</si>
  <si>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</si>
  <si>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</si>
  <si>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</si>
  <si>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</si>
  <si>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</si>
  <si>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</si>
  <si>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</si>
  <si>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</si>
  <si>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</si>
  <si>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</si>
  <si>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</si>
  <si>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</si>
  <si>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</si>
  <si>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</si>
  <si>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</si>
  <si>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</si>
  <si>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</si>
  <si>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</si>
  <si>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</si>
  <si>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</si>
  <si>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</si>
  <si>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</si>
  <si>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</si>
  <si>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</si>
  <si>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</si>
  <si>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</si>
  <si>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</si>
  <si>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</si>
  <si>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</si>
  <si>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</si>
  <si>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</si>
  <si>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</si>
  <si>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</si>
  <si>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</si>
  <si>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</si>
  <si>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</si>
  <si>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</si>
  <si>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</si>
  <si>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</si>
  <si>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</si>
  <si>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</si>
  <si>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</si>
  <si>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</si>
  <si>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</si>
  <si>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</si>
  <si>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</si>
  <si>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</si>
  <si>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</si>
  <si>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</si>
  <si>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</si>
  <si>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</si>
  <si>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</si>
  <si>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</si>
  <si>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</si>
  <si>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</si>
  <si>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</si>
  <si>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</si>
  <si>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</si>
  <si>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</si>
  <si>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</si>
  <si>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</si>
  <si>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</si>
  <si>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</si>
  <si>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</si>
  <si>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</si>
  <si>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</si>
  <si>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</si>
  <si>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</si>
  <si>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</si>
  <si>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</si>
  <si>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</si>
  <si>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</si>
  <si>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</si>
  <si>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</si>
  <si>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</si>
  <si>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</si>
  <si>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</si>
  <si>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</si>
  <si>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</si>
  <si>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</si>
  <si>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</si>
  <si>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</si>
  <si>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</si>
  <si>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</si>
  <si>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</si>
  <si>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</si>
  <si>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</si>
  <si>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</si>
  <si>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</si>
  <si>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</si>
  <si>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</si>
  <si>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</si>
  <si>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</si>
  <si>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</si>
  <si>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</si>
  <si>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</si>
  <si>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</si>
  <si>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</si>
  <si>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</si>
  <si>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</si>
  <si>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</si>
  <si>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</si>
  <si>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</si>
  <si>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</si>
  <si>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</si>
  <si>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</si>
  <si>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</si>
  <si>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</si>
  <si>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</si>
  <si>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</si>
  <si>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</si>
  <si>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</si>
  <si>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</si>
  <si>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</si>
  <si>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</si>
  <si>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</si>
  <si>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</si>
  <si>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</si>
  <si>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</si>
  <si>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</si>
  <si>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</si>
  <si>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</si>
  <si>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</si>
  <si>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</si>
  <si>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</si>
  <si>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</si>
  <si>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</si>
  <si>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</si>
  <si>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</si>
  <si>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</si>
  <si>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</si>
  <si>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</si>
  <si>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</si>
  <si>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</si>
  <si>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</si>
  <si>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</si>
  <si>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</si>
  <si>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</si>
  <si>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</si>
  <si>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</si>
  <si>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</si>
  <si>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</si>
  <si>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</si>
  <si>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</si>
  <si>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</si>
  <si>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</si>
  <si>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</si>
  <si>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</si>
  <si>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</si>
  <si>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</si>
  <si>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</si>
  <si>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</si>
  <si>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</si>
  <si>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</si>
  <si>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</si>
  <si>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</si>
  <si>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</si>
  <si>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</si>
  <si>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</si>
  <si>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</si>
  <si>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</si>
  <si>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</si>
  <si>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</si>
  <si>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</si>
  <si>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</si>
  <si>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</si>
  <si>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</si>
  <si>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</si>
  <si>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</si>
  <si>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</si>
  <si>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</si>
  <si>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</si>
  <si>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</si>
  <si>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</si>
  <si>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</si>
  <si>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</si>
  <si>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</si>
  <si>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</si>
  <si>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</si>
  <si>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</si>
  <si>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</si>
  <si>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</si>
  <si>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</si>
  <si>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</si>
  <si>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</si>
  <si>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</si>
  <si>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</si>
  <si>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</si>
  <si>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</si>
  <si>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</si>
  <si>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</si>
  <si>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</si>
  <si>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</si>
  <si>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</si>
  <si>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</si>
  <si>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</si>
  <si>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</si>
  <si>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</si>
  <si>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</si>
  <si>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</si>
  <si>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</si>
  <si>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</si>
  <si>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</si>
  <si>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</si>
  <si>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</si>
  <si>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</si>
  <si>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</si>
  <si>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</si>
  <si>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</si>
  <si>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</si>
  <si>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</si>
  <si>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</si>
  <si>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</si>
  <si>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</si>
  <si>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</si>
  <si>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</si>
  <si>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</si>
  <si>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</si>
  <si>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</si>
  <si>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</si>
  <si>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</si>
  <si>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</si>
  <si>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</si>
  <si>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</si>
  <si>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</si>
  <si>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</si>
  <si>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</si>
  <si>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</si>
  <si>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</si>
  <si>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</si>
  <si>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</si>
  <si>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</si>
  <si>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</si>
  <si>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</si>
  <si>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</si>
  <si>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</si>
  <si>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</si>
  <si>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</si>
  <si>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</si>
  <si>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</si>
  <si>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</si>
  <si>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</si>
  <si>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</si>
  <si>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</si>
  <si>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</si>
  <si>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</si>
  <si>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</si>
  <si>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</si>
  <si>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</si>
  <si>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</si>
  <si>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</si>
  <si>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</si>
  <si>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</si>
  <si>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</si>
  <si>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</si>
  <si>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</si>
  <si>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</si>
  <si>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</si>
  <si>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</si>
  <si>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</si>
  <si>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</si>
  <si>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</si>
  <si>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</si>
  <si>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</si>
  <si>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</si>
  <si>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</si>
  <si>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</si>
  <si>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</si>
  <si>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</si>
  <si>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</si>
  <si>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</si>
  <si>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</si>
  <si>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</si>
  <si>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</si>
  <si>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</si>
  <si>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</si>
  <si>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</si>
  <si>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</si>
  <si>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</si>
  <si>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</si>
  <si>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</si>
  <si>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</si>
  <si>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</si>
  <si>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</si>
  <si>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</si>
  <si>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</si>
  <si>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</si>
  <si>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</si>
  <si>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</si>
  <si>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</si>
  <si>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</si>
  <si>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</si>
  <si>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</si>
  <si>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</si>
  <si>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</si>
  <si>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</si>
  <si>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</si>
  <si>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</si>
  <si>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</si>
  <si>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</si>
  <si>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</si>
  <si>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</si>
  <si>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</si>
  <si>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</si>
  <si>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</si>
  <si>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</si>
  <si>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</si>
  <si>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</si>
  <si>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</si>
  <si>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</si>
  <si>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</si>
  <si>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</si>
  <si>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</si>
  <si>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</si>
  <si>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</si>
  <si>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</si>
  <si>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</si>
  <si>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</si>
  <si>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</si>
  <si>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</si>
  <si>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</si>
  <si>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</si>
  <si>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</si>
  <si>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</si>
  <si>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</si>
  <si>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</si>
  <si>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</si>
  <si>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</si>
  <si>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</si>
  <si>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</si>
  <si>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</si>
  <si>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</si>
  <si>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</si>
  <si>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</si>
  <si>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</si>
  <si>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</si>
  <si>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</si>
  <si>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</si>
  <si>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</si>
  <si>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</si>
  <si>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</si>
  <si>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</si>
  <si>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</si>
  <si>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</si>
  <si>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</si>
  <si>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</si>
  <si>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</si>
  <si>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</si>
  <si>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</si>
  <si>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</si>
  <si>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</si>
  <si>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</si>
  <si>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</si>
  <si>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</si>
  <si>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</si>
  <si>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</si>
  <si>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</si>
  <si>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</si>
  <si>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</si>
  <si>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</si>
  <si>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</si>
  <si>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</si>
  <si>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</si>
  <si>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</si>
  <si>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</si>
  <si>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</si>
  <si>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</si>
  <si>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</si>
  <si>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</si>
  <si>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</si>
  <si>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</si>
  <si>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</si>
  <si>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</si>
  <si>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</si>
  <si>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</si>
  <si>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</si>
  <si>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</si>
  <si>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</si>
  <si>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</si>
  <si>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</si>
  <si>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</si>
  <si>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</si>
  <si>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</si>
  <si>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</si>
  <si>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</si>
  <si>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</si>
  <si>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</si>
  <si>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</si>
  <si>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</si>
  <si>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</si>
  <si>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</si>
  <si>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</si>
  <si>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</si>
  <si>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</si>
  <si>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</si>
  <si>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</si>
  <si>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</si>
  <si>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</si>
  <si>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</si>
  <si>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</si>
  <si>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</si>
  <si>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</si>
  <si>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</si>
  <si>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</si>
  <si>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</si>
  <si>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</si>
  <si>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</si>
  <si>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</si>
  <si>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</si>
  <si>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</si>
  <si>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</si>
  <si>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</si>
  <si>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</si>
  <si>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</si>
  <si>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</si>
  <si>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</si>
  <si>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</si>
  <si>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</si>
  <si>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</si>
  <si>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</si>
  <si>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</si>
  <si>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</si>
  <si>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</si>
  <si>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</si>
  <si>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</si>
  <si>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</si>
  <si>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</si>
  <si>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</si>
  <si>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</si>
  <si>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</si>
  <si>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</si>
  <si>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</si>
  <si>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</si>
  <si>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</si>
  <si>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</si>
  <si>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</si>
  <si>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</si>
  <si>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</si>
  <si>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</si>
  <si>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</si>
  <si>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</si>
  <si>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</si>
  <si>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</si>
  <si>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</si>
  <si>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</si>
  <si>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</si>
  <si>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</si>
  <si>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</si>
  <si>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</si>
  <si>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</si>
  <si>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</si>
  <si>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</si>
  <si>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</si>
  <si>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</si>
  <si>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</si>
  <si>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</si>
  <si>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</si>
  <si>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</si>
  <si>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</si>
  <si>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</si>
  <si>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</si>
  <si>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</si>
  <si>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</si>
  <si>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</si>
  <si>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</si>
  <si>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</si>
  <si>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</si>
  <si>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</si>
  <si>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</si>
  <si>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</si>
  <si>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</si>
  <si>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</si>
  <si>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</si>
  <si>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</si>
  <si>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</si>
  <si>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</si>
  <si>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</si>
  <si>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</si>
  <si>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</si>
  <si>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</si>
  <si>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</si>
  <si>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</si>
  <si>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</si>
  <si>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</si>
  <si>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</si>
  <si>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</si>
  <si>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</si>
  <si>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</si>
  <si>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</si>
  <si>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</si>
  <si>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</si>
  <si>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</si>
  <si>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</si>
  <si>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</si>
  <si>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</si>
  <si>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</si>
  <si>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</si>
  <si>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</si>
  <si>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</si>
  <si>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</si>
  <si>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</si>
  <si>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</si>
  <si>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</si>
  <si>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</si>
  <si>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</si>
  <si>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</si>
  <si>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</si>
  <si>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</si>
  <si>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</si>
  <si>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</si>
  <si>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</si>
  <si>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</si>
  <si>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</si>
  <si>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</si>
  <si>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</si>
  <si>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</si>
  <si>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</si>
  <si>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</si>
  <si>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</si>
  <si>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</si>
  <si>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</si>
  <si>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</si>
  <si>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</si>
  <si>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</si>
  <si>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</si>
  <si>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</si>
  <si>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</si>
  <si>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</si>
  <si>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</si>
  <si>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</si>
  <si>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</si>
  <si>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</si>
  <si>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</si>
  <si>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</si>
  <si>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</si>
  <si>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</si>
  <si>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</si>
  <si>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</si>
  <si>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</si>
  <si>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</si>
  <si>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</si>
  <si>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</si>
  <si>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</si>
  <si>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</si>
  <si>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</si>
  <si>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</si>
  <si>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</si>
  <si>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</si>
  <si>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</si>
  <si>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</si>
  <si>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</si>
  <si>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</si>
  <si>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</si>
  <si>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</si>
  <si>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</si>
  <si>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</si>
  <si>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</si>
  <si>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</si>
  <si>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</si>
  <si>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</si>
  <si>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</si>
  <si>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</si>
  <si>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</si>
  <si>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</si>
  <si>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</si>
  <si>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</si>
  <si>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</si>
  <si>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</si>
  <si>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</si>
  <si>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</si>
  <si>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</si>
  <si>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</si>
  <si>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</si>
  <si>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</si>
  <si>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</si>
  <si>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</si>
  <si>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</si>
  <si>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</si>
  <si>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</si>
  <si>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</si>
  <si>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</si>
  <si>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</si>
  <si>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</si>
  <si>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</si>
  <si>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</si>
  <si>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</si>
  <si>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</si>
  <si>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</si>
  <si>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</si>
  <si>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</si>
  <si>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</si>
  <si>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</si>
  <si>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</si>
  <si>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</si>
  <si>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</si>
  <si>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</si>
  <si>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</si>
  <si>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</si>
  <si>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</si>
  <si>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</si>
  <si>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</si>
  <si>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</si>
  <si>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</si>
  <si>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</si>
  <si>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</si>
  <si>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</si>
  <si>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</si>
  <si>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</si>
  <si>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</si>
  <si>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</si>
  <si>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</si>
  <si>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</si>
  <si>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</si>
  <si>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</si>
  <si>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</si>
  <si>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</si>
  <si>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</si>
  <si>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</si>
  <si>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</si>
  <si>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</si>
  <si>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</si>
  <si>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</si>
  <si>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</si>
  <si>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</si>
  <si>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</si>
  <si>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</si>
  <si>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</si>
  <si>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</si>
  <si>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</si>
  <si>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</si>
  <si>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</si>
  <si>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</si>
  <si>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</si>
  <si>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</si>
  <si>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</si>
  <si>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</si>
  <si>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</si>
  <si>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</si>
  <si>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</si>
  <si>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</si>
  <si>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</si>
  <si>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</si>
  <si>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</si>
  <si>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</si>
  <si>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</si>
  <si>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</si>
  <si>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</si>
  <si>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</si>
  <si>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</si>
  <si>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</si>
  <si>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</si>
  <si>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</si>
  <si>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</si>
  <si>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</si>
  <si>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</si>
  <si>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</si>
  <si>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</si>
  <si>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</si>
  <si>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</si>
  <si>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</si>
  <si>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</si>
  <si>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</si>
  <si>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</si>
  <si>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</si>
  <si>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</si>
  <si>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</si>
  <si>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</si>
  <si>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</si>
  <si>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</si>
  <si>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</si>
  <si>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</si>
  <si>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</si>
  <si>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</si>
  <si>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</si>
  <si>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</si>
  <si>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</si>
  <si>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</si>
  <si>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</si>
  <si>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</si>
  <si>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</si>
  <si>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</si>
  <si>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</si>
  <si>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</si>
  <si>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</si>
  <si>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</si>
  <si>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</si>
  <si>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</si>
  <si>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</si>
  <si>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</si>
  <si>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</si>
  <si>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</si>
  <si>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</si>
  <si>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</si>
  <si>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</si>
  <si>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</si>
  <si>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</si>
  <si>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</si>
  <si>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</si>
  <si>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</si>
  <si>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</si>
  <si>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</si>
  <si>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</si>
  <si>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</si>
  <si>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</si>
  <si>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</si>
  <si>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</si>
  <si>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</si>
  <si>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</si>
  <si>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</si>
  <si>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</si>
  <si>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</si>
  <si>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</si>
  <si>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</si>
  <si>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</si>
  <si>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</si>
  <si>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</si>
  <si>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</si>
  <si>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</si>
  <si>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</si>
  <si>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</si>
  <si>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</si>
  <si>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</si>
  <si>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</si>
  <si>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</si>
  <si>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</si>
  <si>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</si>
  <si>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</si>
  <si>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</si>
  <si>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</si>
  <si>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</si>
  <si>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</si>
  <si>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</si>
  <si>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</si>
  <si>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</si>
  <si>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</si>
  <si>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</si>
  <si>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</si>
  <si>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</si>
  <si>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</si>
  <si>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</si>
  <si>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</si>
  <si>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</si>
  <si>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</si>
  <si>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</si>
  <si>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</si>
  <si>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</si>
  <si>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</si>
  <si>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</si>
  <si>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</si>
  <si>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</si>
  <si>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</si>
  <si>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</si>
  <si>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</si>
  <si>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</si>
  <si>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</si>
  <si>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</si>
  <si>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</si>
  <si>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</si>
  <si>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</si>
  <si>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</si>
  <si>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</si>
  <si>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</si>
  <si>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</si>
  <si>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</si>
  <si>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</si>
  <si>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</si>
  <si>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</si>
  <si>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</si>
  <si>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</si>
  <si>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</si>
  <si>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</si>
  <si>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</si>
  <si>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</si>
  <si>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</si>
  <si>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</si>
  <si>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</si>
  <si>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</si>
  <si>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</si>
  <si>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</si>
  <si>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</si>
  <si>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</si>
  <si>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</si>
  <si>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</si>
  <si>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</si>
  <si>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</si>
  <si>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</si>
  <si>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</si>
  <si>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</si>
  <si>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</si>
  <si>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</si>
  <si>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</si>
  <si>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</si>
  <si>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</si>
  <si>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</si>
  <si>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</si>
  <si>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</si>
  <si>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</si>
  <si>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</si>
  <si>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</si>
  <si>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</si>
  <si>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</si>
  <si>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</si>
  <si>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</si>
  <si>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</si>
  <si>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</si>
  <si>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</si>
  <si>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</si>
  <si>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</si>
  <si>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</si>
  <si>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</si>
  <si>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</si>
  <si>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</si>
  <si>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</si>
  <si>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</si>
  <si>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</si>
  <si>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</si>
  <si>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</si>
  <si>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</si>
  <si>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</si>
  <si>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</si>
  <si>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</si>
  <si>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</si>
  <si>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</si>
  <si>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</si>
  <si>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</si>
  <si>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</si>
  <si>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</si>
  <si>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</si>
  <si>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</si>
  <si>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</si>
  <si>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</si>
  <si>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</si>
  <si>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</si>
  <si>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</si>
  <si>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</si>
  <si>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</si>
  <si>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</si>
  <si>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</si>
  <si>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</si>
  <si>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</si>
  <si>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</si>
  <si>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</si>
  <si>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</si>
  <si>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</si>
  <si>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</si>
  <si>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</si>
  <si>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</si>
  <si>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</si>
  <si>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</si>
  <si>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</si>
  <si>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</si>
  <si>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</si>
  <si>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</si>
  <si>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</si>
  <si>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</si>
  <si>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</si>
  <si>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</si>
  <si>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</si>
  <si>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</si>
  <si>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</si>
  <si>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</si>
  <si>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</si>
  <si>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</si>
  <si>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</si>
  <si>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</si>
  <si>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</si>
  <si>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</si>
  <si>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</si>
  <si>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</si>
  <si>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</si>
  <si>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</si>
  <si>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</si>
  <si>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</si>
  <si>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</si>
  <si>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</si>
  <si>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</si>
  <si>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</si>
  <si>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</si>
  <si>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</si>
  <si>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</si>
  <si>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</si>
  <si>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</si>
  <si>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</si>
  <si>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</si>
  <si>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</si>
  <si>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</si>
  <si>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</si>
  <si>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</si>
  <si>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</si>
  <si>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</si>
  <si>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</si>
  <si>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</si>
  <si>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</si>
  <si>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</si>
  <si>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</si>
  <si>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</si>
  <si>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</si>
  <si>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</si>
  <si>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</si>
  <si>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</si>
  <si>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</si>
  <si>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</si>
  <si>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</si>
  <si>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</si>
  <si>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</si>
  <si>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</si>
  <si>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</si>
  <si>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</si>
  <si>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</si>
  <si>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</si>
  <si>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</si>
  <si>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</si>
  <si>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</si>
  <si>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</si>
  <si>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</si>
  <si>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</si>
  <si>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</si>
  <si>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</si>
  <si>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</si>
  <si>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</si>
  <si>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</si>
  <si>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</si>
  <si>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</si>
  <si>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</si>
  <si>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</si>
  <si>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</si>
  <si>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</si>
  <si>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</si>
  <si>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</si>
  <si>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</si>
  <si>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</si>
  <si>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</si>
  <si>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</si>
  <si>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</si>
  <si>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</si>
  <si>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</si>
  <si>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</si>
  <si>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</si>
  <si>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</si>
  <si>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</si>
  <si>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</si>
  <si>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</si>
  <si>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</si>
  <si>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</si>
  <si>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</si>
  <si>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</si>
  <si>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</si>
  <si>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</si>
  <si>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</si>
  <si>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</si>
  <si>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</si>
  <si>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</si>
  <si>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</si>
  <si>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</si>
  <si>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</si>
  <si>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</si>
  <si>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</si>
  <si>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</si>
  <si>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</si>
  <si>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</si>
  <si>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</si>
  <si>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</si>
  <si>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</si>
  <si>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</si>
  <si>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</si>
  <si>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</si>
  <si>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</si>
  <si>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</si>
  <si>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</si>
  <si>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</si>
  <si>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</si>
  <si>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</si>
  <si>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</si>
  <si>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</si>
  <si>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</si>
  <si>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</si>
  <si>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</si>
  <si>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</si>
  <si>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</si>
  <si>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</si>
  <si>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</si>
  <si>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</si>
  <si>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</si>
  <si>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</si>
  <si>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</si>
  <si>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</si>
  <si>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</si>
  <si>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</si>
  <si>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</si>
  <si>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</si>
  <si>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</si>
  <si>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</si>
  <si>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</si>
  <si>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</si>
  <si>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</si>
  <si>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</si>
  <si>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</si>
  <si>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</si>
  <si>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</si>
  <si>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</si>
  <si>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</si>
  <si>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</si>
  <si>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</si>
  <si>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</si>
  <si>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</si>
  <si>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</si>
  <si>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</si>
  <si>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</si>
  <si>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</si>
  <si>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</si>
  <si>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</si>
  <si>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</si>
  <si>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</si>
  <si>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</si>
  <si>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</si>
  <si>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</si>
  <si>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</si>
  <si>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</si>
  <si>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</si>
  <si>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</si>
  <si>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</si>
  <si>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</si>
  <si>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</si>
  <si>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</si>
  <si>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</si>
  <si>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</si>
  <si>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</si>
  <si>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</si>
  <si>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</si>
  <si>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</si>
  <si>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</si>
  <si>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</si>
  <si>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</si>
  <si>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</si>
  <si>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</si>
  <si>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</si>
  <si>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</si>
  <si>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</si>
  <si>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</si>
  <si>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</si>
  <si>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</si>
  <si>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</si>
  <si>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</si>
  <si>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</si>
  <si>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</si>
  <si>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</si>
  <si>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</si>
  <si>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</si>
  <si>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</si>
  <si>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</si>
  <si>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</si>
  <si>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</si>
  <si>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</si>
  <si>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</si>
  <si>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</si>
  <si>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</si>
  <si>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</si>
  <si>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</si>
  <si>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</si>
  <si>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</si>
  <si>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</si>
  <si>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</si>
  <si>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</si>
  <si>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</si>
  <si>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</si>
  <si>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</si>
  <si>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</si>
  <si>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</si>
  <si>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</si>
  <si>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</si>
  <si>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</si>
  <si>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</si>
  <si>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</si>
  <si>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</si>
  <si>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</si>
  <si>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</si>
  <si>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</si>
  <si>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</si>
  <si>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</si>
  <si>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</si>
  <si>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</si>
  <si>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</si>
  <si>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</si>
  <si>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</si>
  <si>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</si>
  <si>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</si>
  <si>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</si>
  <si>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</si>
  <si>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</si>
  <si>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</si>
  <si>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</si>
  <si>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</si>
  <si>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</si>
  <si>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</si>
  <si>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</si>
  <si>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</si>
  <si>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</si>
  <si>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</si>
  <si>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</si>
  <si>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</si>
  <si>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</si>
  <si>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</si>
  <si>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</si>
  <si>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</si>
  <si>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</si>
  <si>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</si>
  <si>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</si>
  <si>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</si>
  <si>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</si>
  <si>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</si>
  <si>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</si>
  <si>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</si>
  <si>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</si>
  <si>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</si>
  <si>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</si>
  <si>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</si>
  <si>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</si>
  <si>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</si>
  <si>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</si>
  <si>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</si>
  <si>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</si>
  <si>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</si>
  <si>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</si>
  <si>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</si>
  <si>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</si>
  <si>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</si>
  <si>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</si>
  <si>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</si>
  <si>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</si>
  <si>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</si>
  <si>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</si>
  <si>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</si>
  <si>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</si>
  <si>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</si>
  <si>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</si>
  <si>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</si>
  <si>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</si>
  <si>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</si>
  <si>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</si>
  <si>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</si>
  <si>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</si>
  <si>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</si>
  <si>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</si>
  <si>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</si>
  <si>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</si>
  <si>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</si>
  <si>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</si>
  <si>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</si>
  <si>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</si>
  <si>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motor işçilik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</si>
  <si>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</si>
  <si>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</si>
  <si>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</si>
  <si>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</si>
  <si>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</si>
  <si>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</si>
  <si>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</si>
  <si>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</si>
  <si>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</si>
  <si>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</si>
  <si>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</si>
  <si>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</si>
  <si>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</si>
  <si>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</si>
  <si>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</si>
  <si>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</si>
  <si>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</si>
  <si>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</si>
  <si>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</si>
  <si>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</si>
  <si>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</si>
  <si>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</si>
  <si>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audi motor                nisan 04_25- d86</t>
  </si>
  <si>
    <t>Taksit 6/12 - 36500 peri havale</t>
  </si>
  <si>
    <t xml:space="preserve">Taksit 7/12 - 36500 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</si>
  <si>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</si>
  <si>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</si>
  <si>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</si>
  <si>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</si>
  <si>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</si>
  <si>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</si>
  <si>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</si>
  <si>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</si>
  <si>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</si>
  <si>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</si>
  <si>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</si>
  <si>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</si>
  <si>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</si>
  <si>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</si>
  <si>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</si>
  <si>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</si>
  <si>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</si>
  <si>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</si>
  <si>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</si>
  <si>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</si>
  <si>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</si>
  <si>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</si>
  <si>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hacı - Pervin</t>
  </si>
  <si>
    <t>ALTIN (yasemin ev kirası)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</si>
  <si>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</si>
  <si>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</si>
  <si>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</si>
  <si>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</si>
  <si>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</si>
  <si>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</si>
  <si>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</si>
  <si>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 xml:space="preserve">36500/2626 TLgr=166,10-13,90=142,20 </t>
  </si>
  <si>
    <t xml:space="preserve">36000/2801 TLgr=142,2-12,85=139,35 </t>
  </si>
  <si>
    <t xml:space="preserve">36000/2905 TLgr=139,35-12,39=126,96 </t>
  </si>
  <si>
    <t xml:space="preserve">35800/2898 TLgr=126,96-12,35=114,54 </t>
  </si>
  <si>
    <t xml:space="preserve">38000/2970 TLgr=114,54-12,79=101,75 </t>
  </si>
  <si>
    <t xml:space="preserve">36000/3045 TLgr=114,54-11,82=102,72 </t>
  </si>
  <si>
    <t>26000/3413 TLgr=102,72-7,62= 95,10</t>
  </si>
  <si>
    <t xml:space="preserve">36000/3650 TLgr=95,10-9,86= 85,24 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</si>
  <si>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</si>
  <si>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</si>
  <si>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</si>
  <si>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</si>
  <si>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</si>
  <si>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</si>
  <si>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</si>
  <si>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</si>
  <si>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</si>
  <si>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</si>
  <si>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</si>
  <si>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</si>
  <si>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</si>
  <si>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</si>
  <si>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</si>
  <si>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</si>
  <si>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disk ön</t>
  </si>
  <si>
    <t>fren balata ön arka</t>
  </si>
  <si>
    <t>fren disk arka torna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</si>
  <si>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</si>
  <si>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</si>
  <si>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</si>
  <si>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</si>
  <si>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</si>
  <si>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</si>
  <si>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</si>
  <si>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</si>
  <si>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</si>
  <si>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</si>
  <si>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</si>
  <si>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</si>
  <si>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</si>
  <si>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 xml:space="preserve">36500/3950 TLgr=85,24-9,24 = 76 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</si>
  <si>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</si>
  <si>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</si>
  <si>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</si>
  <si>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</si>
  <si>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</si>
  <si>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</si>
  <si>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</si>
  <si>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</si>
  <si>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</si>
  <si>
    <t>iş 801 stış</t>
  </si>
  <si>
    <t>yasemin kira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</si>
</sst>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55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</fonts>
  <fills count="5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553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0" fontId="0" fillId="0" borderId="0" xfId="0" applyFont="1" applyFill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64" fontId="0" fillId="0" borderId="0" xfId="0" applyNumberFormat="1" applyFill="1"/>
    <xf numFmtId="164" fontId="15" fillId="20" borderId="0" xfId="0" applyNumberFormat="1" applyFont="1" applyFill="1"/>
    <xf numFmtId="0" fontId="15" fillId="0" borderId="0" xfId="0" applyFont="1"/>
    <xf numFmtId="164" fontId="3" fillId="20" borderId="0" xfId="0" applyNumberFormat="1" applyFont="1" applyFill="1"/>
    <xf numFmtId="164" fontId="0" fillId="20" borderId="0" xfId="0" applyNumberFormat="1" applyFont="1" applyFill="1"/>
    <xf numFmtId="4" fontId="0" fillId="0" borderId="0" xfId="0" applyNumberFormat="1" applyFont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4" fontId="3" fillId="12" borderId="0" xfId="0" applyNumberFormat="1" applyFont="1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14" xfId="0" applyNumberForma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4" fontId="3" fillId="40" borderId="27" xfId="0" applyNumberFormat="1" applyFont="1" applyFill="1" applyBorder="1"/>
    <xf numFmtId="4" fontId="15" fillId="40" borderId="27" xfId="0" applyNumberFormat="1" applyFont="1" applyFill="1" applyBorder="1"/>
    <xf numFmtId="164" fontId="0" fillId="0" borderId="2" xfId="0" applyNumberFormat="1" applyBorder="1"/>
    <xf numFmtId="0" fontId="0" fillId="0" borderId="14" xfId="0" applyFont="1" applyBorder="1"/>
    <xf numFmtId="164" fontId="0" fillId="40" borderId="4" xfId="0" applyNumberFormat="1" applyFill="1" applyBorder="1"/>
    <xf numFmtId="0" fontId="0" fillId="40" borderId="27" xfId="0" applyFont="1" applyFill="1" applyBorder="1"/>
    <xf numFmtId="4" fontId="0" fillId="40" borderId="27" xfId="0" applyNumberFormat="1" applyFill="1" applyBorder="1"/>
    <xf numFmtId="4" fontId="3" fillId="40" borderId="5" xfId="0" applyNumberFormat="1" applyFont="1" applyFill="1" applyBorder="1"/>
    <xf numFmtId="4" fontId="3" fillId="42" borderId="3" xfId="0" applyNumberFormat="1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164" fontId="0" fillId="43" borderId="0" xfId="0" applyNumberForma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9" fontId="0" fillId="0" borderId="0" xfId="0" applyNumberFormat="1" applyAlignment="1">
      <alignment horizontal="left"/>
    </xf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4" fontId="3" fillId="0" borderId="31" xfId="0" applyNumberFormat="1" applyFont="1" applyBorder="1"/>
    <xf numFmtId="175" fontId="3" fillId="52" borderId="24" xfId="0" applyNumberFormat="1" applyFont="1" applyFill="1" applyBorder="1"/>
    <xf numFmtId="0" fontId="0" fillId="20" borderId="25" xfId="0" applyFill="1" applyBorder="1"/>
    <xf numFmtId="3" fontId="0" fillId="20" borderId="25" xfId="0" applyNumberFormat="1" applyFill="1" applyBorder="1"/>
    <xf numFmtId="172" fontId="3" fillId="0" borderId="25" xfId="0" applyNumberFormat="1" applyFont="1" applyBorder="1"/>
    <xf numFmtId="4" fontId="3" fillId="0" borderId="25" xfId="0" applyNumberFormat="1" applyFont="1" applyBorder="1"/>
    <xf numFmtId="173" fontId="0" fillId="40" borderId="0" xfId="0" applyNumberFormat="1" applyFont="1" applyFill="1"/>
    <xf numFmtId="16" fontId="0" fillId="40" borderId="0" xfId="0" applyNumberFormat="1" applyFont="1" applyFill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64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"/>
  <sheetViews>
    <sheetView zoomScale="175" zoomScaleNormal="175" workbookViewId="0">
      <selection activeCell="J15" sqref="J1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4" spans="1:6">
      <c r="F4" s="499" t="s">
        <v>1734</v>
      </c>
    </row>
    <row r="5" spans="1:6">
      <c r="A5" s="1">
        <v>45657</v>
      </c>
      <c r="B5" s="8" t="s">
        <v>1733</v>
      </c>
      <c r="F5" s="500">
        <v>257330</v>
      </c>
    </row>
    <row r="6" spans="1:6" s="11" customFormat="1">
      <c r="A6" s="531"/>
      <c r="B6" s="532" t="s">
        <v>1772</v>
      </c>
      <c r="C6" s="533">
        <f>35800/2898</f>
        <v>12.353347135955831</v>
      </c>
      <c r="D6" s="534" t="s">
        <v>233</v>
      </c>
      <c r="E6" s="534"/>
      <c r="F6" s="534"/>
    </row>
    <row r="7" spans="1:6" ht="13.5" thickBot="1">
      <c r="A7" s="10"/>
      <c r="B7" s="11"/>
      <c r="C7" s="11"/>
      <c r="D7" s="12"/>
      <c r="E7" s="12"/>
      <c r="F7" s="2">
        <f>F5</f>
        <v>257330</v>
      </c>
    </row>
    <row r="8" spans="1:6">
      <c r="A8" s="501">
        <v>45667</v>
      </c>
      <c r="B8" s="502" t="s">
        <v>5</v>
      </c>
      <c r="C8" s="503"/>
      <c r="D8" s="504">
        <v>20000</v>
      </c>
      <c r="E8" s="504"/>
      <c r="F8" s="505">
        <f t="shared" ref="F8:F19" si="0">F7+D8-E8</f>
        <v>277330</v>
      </c>
    </row>
    <row r="9" spans="1:6" s="11" customFormat="1">
      <c r="A9" s="506">
        <v>45672</v>
      </c>
      <c r="B9" s="507" t="s">
        <v>1584</v>
      </c>
      <c r="C9" s="508"/>
      <c r="D9" s="509"/>
      <c r="E9" s="510">
        <v>25000</v>
      </c>
      <c r="F9" s="135">
        <f t="shared" si="0"/>
        <v>252330</v>
      </c>
    </row>
    <row r="10" spans="1:6" ht="13.5" thickBot="1">
      <c r="A10" s="511">
        <v>45672</v>
      </c>
      <c r="B10" s="512" t="s">
        <v>1736</v>
      </c>
      <c r="C10" s="512"/>
      <c r="D10" s="513"/>
      <c r="E10" s="514">
        <v>31000</v>
      </c>
      <c r="F10" s="520">
        <f t="shared" si="0"/>
        <v>221330</v>
      </c>
    </row>
    <row r="11" spans="1:6" s="11" customFormat="1" ht="13.5" thickBot="1">
      <c r="A11" s="531"/>
      <c r="B11" s="532" t="s">
        <v>1774</v>
      </c>
      <c r="C11" s="533">
        <f>36000/3045</f>
        <v>11.822660098522167</v>
      </c>
      <c r="D11" s="534" t="s">
        <v>233</v>
      </c>
      <c r="E11" s="534"/>
      <c r="F11" s="534"/>
    </row>
    <row r="12" spans="1:6">
      <c r="A12" s="515">
        <v>45703</v>
      </c>
      <c r="B12" s="516" t="s">
        <v>1737</v>
      </c>
      <c r="C12" s="516"/>
      <c r="D12" s="131"/>
      <c r="E12" s="131"/>
      <c r="F12" s="505">
        <f>F10+D12-E12</f>
        <v>221330</v>
      </c>
    </row>
    <row r="13" spans="1:6" s="11" customFormat="1" ht="13.5" thickBot="1">
      <c r="A13" s="511">
        <v>45709</v>
      </c>
      <c r="B13" s="512" t="s">
        <v>815</v>
      </c>
      <c r="C13" s="512"/>
      <c r="D13" s="513"/>
      <c r="E13" s="514">
        <v>26000</v>
      </c>
      <c r="F13" s="520">
        <f t="shared" si="0"/>
        <v>195330</v>
      </c>
    </row>
    <row r="14" spans="1:6" s="11" customFormat="1" ht="13.5" thickBot="1">
      <c r="A14" s="531"/>
      <c r="B14" s="532" t="s">
        <v>1775</v>
      </c>
      <c r="C14" s="533">
        <f>26000/3413</f>
        <v>7.6179314386170525</v>
      </c>
      <c r="D14" s="534" t="s">
        <v>233</v>
      </c>
      <c r="E14" s="534"/>
      <c r="F14" s="534"/>
    </row>
    <row r="15" spans="1:6">
      <c r="A15" s="515">
        <v>45731</v>
      </c>
      <c r="B15" s="516" t="s">
        <v>1585</v>
      </c>
      <c r="C15" s="516"/>
      <c r="D15" s="131"/>
      <c r="E15" s="131"/>
      <c r="F15" s="505">
        <f>F13+D15-E15</f>
        <v>195330</v>
      </c>
    </row>
    <row r="16" spans="1:6" s="11" customFormat="1" ht="13.5" thickBot="1">
      <c r="A16" s="511">
        <v>45741</v>
      </c>
      <c r="B16" s="512" t="s">
        <v>815</v>
      </c>
      <c r="C16" s="512"/>
      <c r="D16" s="513"/>
      <c r="E16" s="514">
        <v>36000</v>
      </c>
      <c r="F16" s="520">
        <f t="shared" si="0"/>
        <v>159330</v>
      </c>
    </row>
    <row r="17" spans="1:9" s="11" customFormat="1" ht="13.5" thickBot="1">
      <c r="A17" s="531"/>
      <c r="B17" s="532" t="s">
        <v>1776</v>
      </c>
      <c r="C17" s="533">
        <f>36000/3650</f>
        <v>9.8630136986301373</v>
      </c>
      <c r="D17" s="534" t="s">
        <v>233</v>
      </c>
      <c r="E17" s="534"/>
      <c r="F17" s="534"/>
    </row>
    <row r="18" spans="1:9" s="11" customFormat="1">
      <c r="A18" s="515">
        <v>45757</v>
      </c>
      <c r="B18" s="503" t="s">
        <v>1735</v>
      </c>
      <c r="C18" s="516"/>
      <c r="D18" s="131">
        <f>'04_25'!D92</f>
        <v>148100</v>
      </c>
      <c r="E18" s="130"/>
      <c r="F18" s="505">
        <f>F16+D18-E18</f>
        <v>307430</v>
      </c>
    </row>
    <row r="19" spans="1:9" ht="13.5" thickBot="1">
      <c r="A19" s="517">
        <v>45762</v>
      </c>
      <c r="B19" s="518" t="s">
        <v>1586</v>
      </c>
      <c r="C19" s="518"/>
      <c r="D19" s="519"/>
      <c r="E19" s="514">
        <v>36500</v>
      </c>
      <c r="F19" s="520">
        <f t="shared" si="0"/>
        <v>270930</v>
      </c>
    </row>
    <row r="20" spans="1:9" s="11" customFormat="1">
      <c r="A20" s="531"/>
      <c r="B20" s="532" t="s">
        <v>1809</v>
      </c>
      <c r="C20" s="533">
        <f>36000/3650</f>
        <v>9.8630136986301373</v>
      </c>
      <c r="D20" s="534" t="s">
        <v>233</v>
      </c>
      <c r="E20" s="534"/>
      <c r="F20" s="534"/>
      <c r="I20" s="11">
        <v>36500</v>
      </c>
    </row>
    <row r="21" spans="1:9">
      <c r="A21" s="484">
        <v>45792</v>
      </c>
      <c r="B21" s="478" t="s">
        <v>1587</v>
      </c>
      <c r="C21" s="478"/>
      <c r="D21" s="455"/>
      <c r="F21" s="12">
        <f>F19+D21-E21</f>
        <v>270930</v>
      </c>
      <c r="I21">
        <v>3950</v>
      </c>
    </row>
    <row r="22" spans="1:9" s="11" customFormat="1">
      <c r="A22" s="531"/>
      <c r="B22" s="532"/>
      <c r="C22" s="533"/>
      <c r="D22" s="534" t="s">
        <v>233</v>
      </c>
      <c r="E22" s="534"/>
      <c r="F22" s="534"/>
      <c r="I22" s="11">
        <f>I20/I21</f>
        <v>9.2405063291139236</v>
      </c>
    </row>
    <row r="23" spans="1:9">
      <c r="A23" s="1">
        <v>45823</v>
      </c>
      <c r="B23" s="8" t="s">
        <v>1588</v>
      </c>
      <c r="C23" s="8"/>
      <c r="D23" s="12"/>
      <c r="F23" s="12">
        <f>F21+D23-E23</f>
        <v>270930</v>
      </c>
      <c r="I23">
        <v>8524</v>
      </c>
    </row>
    <row r="24" spans="1:9" s="11" customFormat="1">
      <c r="A24" s="531"/>
      <c r="B24" s="532"/>
      <c r="C24" s="533"/>
      <c r="D24" s="534" t="s">
        <v>233</v>
      </c>
      <c r="E24" s="534"/>
      <c r="F24" s="534"/>
      <c r="I24" s="11">
        <v>924</v>
      </c>
    </row>
    <row r="25" spans="1:9">
      <c r="A25" s="1">
        <v>45853</v>
      </c>
      <c r="B25" s="8" t="s">
        <v>1589</v>
      </c>
      <c r="C25" s="8"/>
      <c r="D25" s="12"/>
      <c r="F25" s="12">
        <f>F23+D25-E25</f>
        <v>270930</v>
      </c>
      <c r="I25">
        <f>I23-I24</f>
        <v>7600</v>
      </c>
    </row>
    <row r="26" spans="1:9" s="11" customFormat="1" ht="13.5" thickBot="1">
      <c r="A26" s="531"/>
      <c r="B26" s="532"/>
      <c r="C26" s="533"/>
      <c r="D26" s="534" t="s">
        <v>233</v>
      </c>
      <c r="E26" s="534"/>
      <c r="F26" s="534"/>
    </row>
    <row r="27" spans="1:9">
      <c r="E27" s="13"/>
      <c r="F27" s="521">
        <f>F25+D27-E27</f>
        <v>270930</v>
      </c>
    </row>
    <row r="28" spans="1:9" ht="13.5" thickBot="1">
      <c r="E28" s="15"/>
      <c r="F28" s="16" t="s">
        <v>14</v>
      </c>
    </row>
    <row r="47" spans="2:2">
      <c r="B47" s="8" t="s">
        <v>15</v>
      </c>
    </row>
    <row r="49" spans="2:6">
      <c r="F49" s="2">
        <f t="shared" ref="F49:F54" si="1">F48+D49-E49</f>
        <v>0</v>
      </c>
    </row>
    <row r="50" spans="2:6">
      <c r="B50" s="8" t="s">
        <v>16</v>
      </c>
      <c r="D50" s="2">
        <v>50000</v>
      </c>
      <c r="F50" s="2">
        <f t="shared" si="1"/>
        <v>50000</v>
      </c>
    </row>
    <row r="51" spans="2:6">
      <c r="B51" s="8" t="s">
        <v>17</v>
      </c>
      <c r="D51" s="2">
        <v>140000</v>
      </c>
      <c r="F51" s="2">
        <f t="shared" si="1"/>
        <v>190000</v>
      </c>
    </row>
    <row r="52" spans="2:6">
      <c r="B52" s="8" t="s">
        <v>18</v>
      </c>
      <c r="D52" s="2">
        <v>195000</v>
      </c>
      <c r="F52" s="2">
        <f t="shared" si="1"/>
        <v>385000</v>
      </c>
    </row>
    <row r="53" spans="2:6">
      <c r="B53" s="8" t="s">
        <v>19</v>
      </c>
      <c r="E53" s="2">
        <v>310000</v>
      </c>
      <c r="F53" s="2">
        <f t="shared" si="1"/>
        <v>75000</v>
      </c>
    </row>
    <row r="54" spans="2:6">
      <c r="B54" s="3" t="s">
        <v>20</v>
      </c>
      <c r="C54" s="3"/>
      <c r="D54" s="17"/>
      <c r="E54" s="17"/>
      <c r="F54" s="17">
        <f t="shared" si="1"/>
        <v>75000</v>
      </c>
    </row>
    <row r="55" spans="2:6">
      <c r="B55" s="3" t="s">
        <v>21</v>
      </c>
      <c r="C55" s="3"/>
      <c r="D55" s="17" t="e">
        <f>#REF!-F53</f>
        <v>#REF!</v>
      </c>
      <c r="F55" s="2" t="e">
        <f>F53+D55-E55</f>
        <v>#REF!</v>
      </c>
    </row>
    <row r="56" spans="2:6">
      <c r="E56" s="18" t="s">
        <v>22</v>
      </c>
      <c r="F56" s="17" t="e">
        <f>F55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43" t="s">
        <v>26</v>
      </c>
      <c r="M1" s="543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32994.19</v>
      </c>
      <c r="F5" s="32">
        <f>'03_25'!G2</f>
        <v>-186074.69999999998</v>
      </c>
      <c r="G5" s="33">
        <f t="shared" si="1"/>
        <v>41381.660000000033</v>
      </c>
      <c r="H5" s="34"/>
      <c r="I5" s="35" t="s">
        <v>38</v>
      </c>
      <c r="K5" s="39"/>
      <c r="L5" s="37"/>
      <c r="M5" s="38">
        <f>J5</f>
        <v>0</v>
      </c>
      <c r="N5" s="8">
        <f>'03_25'!E146/1000</f>
        <v>0</v>
      </c>
    </row>
    <row r="6" spans="1:14">
      <c r="A6" t="s">
        <v>39</v>
      </c>
      <c r="B6" s="32">
        <f>'04_25'!D2</f>
        <v>15000</v>
      </c>
      <c r="C6" s="32">
        <f>'04_25'!E2</f>
        <v>-191614.26</v>
      </c>
      <c r="D6" s="33">
        <f t="shared" si="0"/>
        <v>86118.089999999967</v>
      </c>
      <c r="E6" s="32">
        <f>'04_25'!F2</f>
        <v>15054.88</v>
      </c>
      <c r="F6" s="32">
        <f>'04_25'!G2</f>
        <v>-191809.25000000003</v>
      </c>
      <c r="G6" s="33">
        <f t="shared" si="1"/>
        <v>-135372.71</v>
      </c>
      <c r="H6" s="34"/>
      <c r="I6" s="41" t="s">
        <v>40</v>
      </c>
      <c r="K6" s="39"/>
      <c r="L6" s="37"/>
      <c r="M6" s="42">
        <f>E18/1000</f>
        <v>15</v>
      </c>
      <c r="N6" s="8">
        <f>'04_25'!E117/1000</f>
        <v>32.549999999999997</v>
      </c>
    </row>
    <row r="7" spans="1:14">
      <c r="A7" t="s">
        <v>41</v>
      </c>
      <c r="B7" s="32">
        <f>'05_25'!D2</f>
        <v>15000</v>
      </c>
      <c r="C7" s="32">
        <f>'05_25'!E2</f>
        <v>-62560.37</v>
      </c>
      <c r="D7" s="33">
        <f t="shared" si="0"/>
        <v>38557.719999999965</v>
      </c>
      <c r="E7" s="32">
        <f>'05_25'!F2</f>
        <v>0</v>
      </c>
      <c r="F7" s="32">
        <f>'05_25'!G2</f>
        <v>-36945.160000000003</v>
      </c>
      <c r="G7" s="33">
        <f t="shared" si="1"/>
        <v>-172317.87</v>
      </c>
      <c r="H7" s="34"/>
      <c r="I7" s="41" t="s">
        <v>42</v>
      </c>
      <c r="K7" s="39"/>
      <c r="L7" s="40"/>
      <c r="M7" s="42">
        <f>E19/1000</f>
        <v>0</v>
      </c>
      <c r="N7" s="8">
        <f>'05_25'!E119/1000</f>
        <v>1.159</v>
      </c>
    </row>
    <row r="8" spans="1:14">
      <c r="A8" t="s">
        <v>43</v>
      </c>
      <c r="B8" s="32">
        <f>'06_25'!D2</f>
        <v>15000</v>
      </c>
      <c r="C8" s="32">
        <f>'06_25'!E2</f>
        <v>-55931.839999999997</v>
      </c>
      <c r="D8" s="33">
        <f t="shared" si="0"/>
        <v>-2374.1200000000317</v>
      </c>
      <c r="E8" s="32">
        <f>'06_25'!F2</f>
        <v>0</v>
      </c>
      <c r="F8" s="32">
        <f>'06_25'!G2</f>
        <v>-3514.7799999999997</v>
      </c>
      <c r="G8" s="33">
        <f t="shared" si="1"/>
        <v>-175832.65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-54031.839999999997</v>
      </c>
      <c r="D9" s="33">
        <f t="shared" si="0"/>
        <v>-41405.960000000028</v>
      </c>
      <c r="E9" s="32">
        <f>'07_25'!F2</f>
        <v>0</v>
      </c>
      <c r="F9" s="32">
        <f>'07_25'!G2</f>
        <v>-1614.78</v>
      </c>
      <c r="G9" s="33">
        <f t="shared" si="1"/>
        <v>-177447.43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-54031.839999999997</v>
      </c>
      <c r="D10" s="33">
        <f t="shared" si="0"/>
        <v>-80437.800000000017</v>
      </c>
      <c r="E10" s="32">
        <f>'08_25'!F2</f>
        <v>0</v>
      </c>
      <c r="F10" s="32">
        <f>'08_25'!G2</f>
        <v>-1614.78</v>
      </c>
      <c r="G10" s="33">
        <f t="shared" si="1"/>
        <v>-179062.21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-53042.06</v>
      </c>
      <c r="D11" s="33">
        <f t="shared" si="0"/>
        <v>-118479.86000000002</v>
      </c>
      <c r="E11" s="32">
        <f>'09_25'!F2</f>
        <v>0</v>
      </c>
      <c r="F11" s="32">
        <f>'09_25'!G2</f>
        <v>-625</v>
      </c>
      <c r="G11" s="33">
        <f t="shared" si="1"/>
        <v>-179687.21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-155896.92000000001</v>
      </c>
      <c r="E12" s="32">
        <f>'10_25'!F2</f>
        <v>0</v>
      </c>
      <c r="F12" s="32">
        <f>'10_25'!G2</f>
        <v>0</v>
      </c>
      <c r="G12" s="33">
        <f t="shared" si="1"/>
        <v>-179687.21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-193313.98</v>
      </c>
      <c r="E13" s="32">
        <f>'11_25'!F2</f>
        <v>0</v>
      </c>
      <c r="F13" s="32">
        <f>'11_25'!G2</f>
        <v>0</v>
      </c>
      <c r="G13" s="33">
        <f t="shared" si="1"/>
        <v>-179687.21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-230731.04</v>
      </c>
      <c r="E14" s="32">
        <f>'12_25'!F2</f>
        <v>0</v>
      </c>
      <c r="F14" s="32">
        <f>'12_25'!G2</f>
        <v>0</v>
      </c>
      <c r="G14" s="33">
        <f t="shared" si="1"/>
        <v>-179687.21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-839395.04</v>
      </c>
      <c r="D15" s="33">
        <f>B15+C15</f>
        <v>-230731.04000000004</v>
      </c>
      <c r="E15" s="33">
        <f>SUM(E3:E14)</f>
        <v>398158.83</v>
      </c>
      <c r="F15" s="33">
        <f>SUM(F3:F14)</f>
        <v>-577846.04000000015</v>
      </c>
      <c r="G15" s="33">
        <f>E15+F15</f>
        <v>-179687.21000000014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-69949.58666666667</v>
      </c>
      <c r="D16" s="55"/>
      <c r="E16" s="55">
        <f>E15/A16</f>
        <v>33179.902500000004</v>
      </c>
      <c r="F16" s="55">
        <f>F15/A16</f>
        <v>-48153.836666666677</v>
      </c>
      <c r="G16" s="55">
        <f>G15/A16</f>
        <v>-14973.934166666679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544">
        <f>L15+M15</f>
        <v>976.10596800000008</v>
      </c>
      <c r="M17" s="544"/>
    </row>
    <row r="18" spans="2:13">
      <c r="D18" s="64" t="s">
        <v>58</v>
      </c>
      <c r="E18" s="2">
        <f>'01_25'!F32+'02_25'!F14+'02_25'!F26+'03_25'!F18+'04_25'!F41+'05_25'!F21+'06_25'!F19+'06_25'!F31+'04_25'!F14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35" zoomScale="145" zoomScaleNormal="145" workbookViewId="0">
      <selection activeCell="D57" sqref="D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-53042.06</v>
      </c>
      <c r="F2" s="77">
        <f>SUM(F4:F34)</f>
        <v>0</v>
      </c>
      <c r="G2" s="77">
        <f>SUM(G4:G33)</f>
        <v>-625</v>
      </c>
      <c r="H2" s="77">
        <f>F2+G2</f>
        <v>-625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-625</v>
      </c>
      <c r="F8" s="87"/>
      <c r="G8" s="87">
        <f>E8</f>
        <v>-625</v>
      </c>
      <c r="H8" s="77">
        <f t="shared" si="0"/>
        <v>-625</v>
      </c>
    </row>
    <row r="9" spans="1:10">
      <c r="G9" s="87"/>
      <c r="H9" s="77">
        <f t="shared" si="0"/>
        <v>-625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-625</v>
      </c>
    </row>
    <row r="11" spans="1:10">
      <c r="B11" s="89" t="s">
        <v>426</v>
      </c>
      <c r="C11" s="89"/>
      <c r="D11" s="90"/>
      <c r="E11" s="90">
        <v>-25000</v>
      </c>
      <c r="H11" s="77">
        <f t="shared" si="0"/>
        <v>-625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-625</v>
      </c>
    </row>
    <row r="13" spans="1:10">
      <c r="A13" s="88"/>
      <c r="B13" s="92"/>
      <c r="C13" s="92"/>
      <c r="D13" s="90"/>
      <c r="E13" s="90"/>
      <c r="H13" s="77">
        <f t="shared" si="0"/>
        <v>-625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-625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-625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-625</v>
      </c>
    </row>
    <row r="28" spans="1:13" s="78" customFormat="1">
      <c r="D28" s="77"/>
      <c r="E28" s="77"/>
      <c r="F28" s="77"/>
      <c r="G28" s="77"/>
      <c r="H28" s="77">
        <f t="shared" si="0"/>
        <v>-625</v>
      </c>
    </row>
    <row r="29" spans="1:13">
      <c r="A29" s="100"/>
      <c r="B29" s="101" t="s">
        <v>88</v>
      </c>
      <c r="C29" s="101"/>
      <c r="H29" s="77">
        <f t="shared" si="0"/>
        <v>-625</v>
      </c>
      <c r="I29" s="78"/>
      <c r="J29" s="78"/>
    </row>
    <row r="30" spans="1:13">
      <c r="A30" s="100"/>
      <c r="H30" s="77">
        <f t="shared" si="0"/>
        <v>-625</v>
      </c>
    </row>
    <row r="31" spans="1:13">
      <c r="H31" s="77">
        <f t="shared" si="0"/>
        <v>-625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-625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98">
        <v>45728</v>
      </c>
      <c r="B56" s="90" t="s">
        <v>1687</v>
      </c>
      <c r="C56" s="11"/>
      <c r="D56" s="90" t="s">
        <v>1720</v>
      </c>
      <c r="E56" s="90">
        <v>-625</v>
      </c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3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-54031.839999999997</v>
      </c>
      <c r="F2" s="77">
        <f>SUM(F4:F32)</f>
        <v>0</v>
      </c>
      <c r="G2" s="77">
        <f>SUM(G4:G32)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453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90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>
      <c r="H31" s="77">
        <f t="shared" si="0"/>
        <v>-1614.78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477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1687</v>
      </c>
      <c r="C52" s="11"/>
      <c r="D52" s="90" t="s">
        <v>1721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-54031.839999999997</v>
      </c>
      <c r="F2" s="77">
        <f>SUM(F4:F31)</f>
        <v>0</v>
      </c>
      <c r="G2" s="77">
        <f>SUM(G4:G31)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509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92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-1614.78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523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1687</v>
      </c>
      <c r="C52" s="11"/>
      <c r="D52" s="90" t="s">
        <v>1722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abSelected="1" zoomScale="145" zoomScaleNormal="145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-55931.839999999997</v>
      </c>
      <c r="F2" s="77">
        <f>SUM(F4:F31)</f>
        <v>0</v>
      </c>
      <c r="G2" s="77">
        <f>SUM(G4:G31)</f>
        <v>-3514.7799999999997</v>
      </c>
      <c r="H2" s="77">
        <f>F2+G2</f>
        <v>-3514.7799999999997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-2889.7799999999997</v>
      </c>
      <c r="F7" s="87"/>
      <c r="G7" s="87">
        <f>E7</f>
        <v>-2889.7799999999997</v>
      </c>
      <c r="H7" s="77">
        <f t="shared" si="0"/>
        <v>-2889.7799999999997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-3514.7799999999997</v>
      </c>
    </row>
    <row r="9" spans="1:10">
      <c r="G9" s="87"/>
      <c r="H9" s="77">
        <f t="shared" si="0"/>
        <v>-3514.7799999999997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-3514.7799999999997</v>
      </c>
    </row>
    <row r="11" spans="1:10">
      <c r="B11" s="89" t="s">
        <v>1596</v>
      </c>
      <c r="C11" s="89"/>
      <c r="D11" s="90"/>
      <c r="E11" s="90">
        <v>-25000</v>
      </c>
      <c r="H11" s="77">
        <f t="shared" si="0"/>
        <v>-3514.7799999999997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-3514.7799999999997</v>
      </c>
    </row>
    <row r="13" spans="1:10">
      <c r="A13" s="88"/>
      <c r="B13" s="92"/>
      <c r="C13" s="92"/>
      <c r="D13" s="90"/>
      <c r="E13" s="90"/>
      <c r="H13" s="77">
        <f t="shared" si="0"/>
        <v>-3514.7799999999997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-3514.7799999999997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-3514.7799999999997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-3514.7799999999997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-3514.7799999999997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-3514.7799999999997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-3514.7799999999997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-3514.7799999999997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-3514.7799999999997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-3514.7799999999997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-3514.7799999999997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-3514.7799999999997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-3514.7799999999997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-3514.7799999999997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-3514.7799999999997</v>
      </c>
    </row>
    <row r="28" spans="1:13" s="78" customFormat="1">
      <c r="D28" s="77"/>
      <c r="E28" s="77"/>
      <c r="F28" s="77"/>
      <c r="G28" s="77"/>
      <c r="H28" s="77">
        <f t="shared" si="0"/>
        <v>-3514.7799999999997</v>
      </c>
    </row>
    <row r="29" spans="1:13">
      <c r="A29" s="100"/>
      <c r="B29" s="101" t="s">
        <v>94</v>
      </c>
      <c r="C29" s="101"/>
      <c r="H29" s="77">
        <f t="shared" si="0"/>
        <v>-3514.7799999999997</v>
      </c>
      <c r="I29" s="78"/>
      <c r="J29" s="78"/>
    </row>
    <row r="30" spans="1:13">
      <c r="A30" s="100"/>
      <c r="H30" s="77">
        <f t="shared" si="0"/>
        <v>-3514.7799999999997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-3514.7799999999997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-2889.7799999999997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567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>
        <v>45772</v>
      </c>
      <c r="B40" s="77" t="s">
        <v>1786</v>
      </c>
      <c r="C40" s="77"/>
      <c r="E40" s="77">
        <v>-700</v>
      </c>
      <c r="I40" s="77"/>
      <c r="J40" s="77"/>
    </row>
    <row r="41" spans="1:14" s="77" customFormat="1">
      <c r="A41" s="386">
        <v>45772</v>
      </c>
      <c r="B41" t="s">
        <v>1787</v>
      </c>
      <c r="C41"/>
      <c r="E41" s="77">
        <v>-1200</v>
      </c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K52" s="78"/>
      <c r="L52" s="78"/>
      <c r="M52" s="78"/>
      <c r="N52" s="78"/>
    </row>
    <row r="53" spans="1:14" s="77" customFormat="1">
      <c r="A53" s="98">
        <v>45728</v>
      </c>
      <c r="B53" s="90" t="s">
        <v>1687</v>
      </c>
      <c r="C53" s="11"/>
      <c r="D53" s="90" t="s">
        <v>1719</v>
      </c>
      <c r="E53" s="90">
        <v>-625</v>
      </c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176"/>
  <sheetViews>
    <sheetView topLeftCell="A5" zoomScale="175" zoomScaleNormal="175" workbookViewId="0">
      <selection activeCell="I21" sqref="I2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95</v>
      </c>
      <c r="C2" s="79" t="s">
        <v>67</v>
      </c>
      <c r="D2" s="77">
        <f>SUM(D4:D29)</f>
        <v>15000</v>
      </c>
      <c r="E2" s="77">
        <f>SUM(E4:E29)</f>
        <v>-62560.37</v>
      </c>
      <c r="F2" s="77">
        <f>SUM(F4:F29)</f>
        <v>0</v>
      </c>
      <c r="G2" s="77">
        <f>SUM(G4:G29)</f>
        <v>-36945.160000000003</v>
      </c>
      <c r="H2" s="77">
        <f>F2+G2</f>
        <v>-36945.160000000003</v>
      </c>
    </row>
    <row r="3" spans="1:14">
      <c r="B3" s="18"/>
    </row>
    <row r="4" spans="1:14">
      <c r="B4" s="41"/>
      <c r="H4" s="77">
        <f t="shared" ref="H4:H29" si="0">H3+F4+G4</f>
        <v>0</v>
      </c>
    </row>
    <row r="5" spans="1:14">
      <c r="B5" s="41"/>
      <c r="C5" s="8"/>
      <c r="D5" s="87"/>
      <c r="E5" s="87"/>
      <c r="F5" s="87"/>
      <c r="G5" s="87"/>
      <c r="H5" s="87">
        <f t="shared" si="0"/>
        <v>0</v>
      </c>
    </row>
    <row r="6" spans="1:14">
      <c r="A6" s="411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 t="shared" si="0"/>
        <v>-2116.98</v>
      </c>
    </row>
    <row r="7" spans="1:14">
      <c r="A7" s="390">
        <v>45782</v>
      </c>
      <c r="B7" s="393" t="s">
        <v>68</v>
      </c>
      <c r="C7" s="392"/>
      <c r="D7" s="387"/>
      <c r="E7" s="387">
        <f>E35</f>
        <v>-7461.47</v>
      </c>
      <c r="F7" s="87"/>
      <c r="G7" s="87">
        <f>E7</f>
        <v>-7461.47</v>
      </c>
      <c r="H7" s="87">
        <f t="shared" si="0"/>
        <v>-9578.4500000000007</v>
      </c>
    </row>
    <row r="8" spans="1:14" s="11" customFormat="1">
      <c r="A8" s="390">
        <v>45782</v>
      </c>
      <c r="B8" s="393" t="s">
        <v>1813</v>
      </c>
      <c r="C8" s="392">
        <v>24.09</v>
      </c>
      <c r="D8" s="387"/>
      <c r="E8" s="387">
        <f>E36</f>
        <v>0</v>
      </c>
      <c r="F8" s="87"/>
      <c r="G8" s="87">
        <v>-1064.8699999999999</v>
      </c>
      <c r="H8" s="87">
        <f t="shared" si="0"/>
        <v>-10643.32</v>
      </c>
      <c r="K8" s="78"/>
      <c r="L8" s="78"/>
      <c r="M8" s="78"/>
      <c r="N8" s="78"/>
    </row>
    <row r="9" spans="1:14">
      <c r="A9" s="551">
        <v>45782</v>
      </c>
      <c r="B9" s="393" t="s">
        <v>69</v>
      </c>
      <c r="C9" s="392"/>
      <c r="D9" s="387"/>
      <c r="E9" s="387">
        <f>E60</f>
        <v>-8801.84</v>
      </c>
      <c r="F9" s="87"/>
      <c r="G9" s="87">
        <f>E9</f>
        <v>-8801.84</v>
      </c>
      <c r="H9" s="87">
        <f t="shared" si="0"/>
        <v>-19445.16</v>
      </c>
      <c r="I9" s="78"/>
    </row>
    <row r="10" spans="1:14">
      <c r="A10" s="552">
        <v>45786</v>
      </c>
      <c r="B10" s="391" t="s">
        <v>1595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-36945.160000000003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90">
        <f t="shared" si="0"/>
        <v>-36945.160000000003</v>
      </c>
    </row>
    <row r="12" spans="1:14">
      <c r="A12" s="88"/>
      <c r="B12" s="92"/>
      <c r="C12" s="92"/>
      <c r="D12" s="90"/>
      <c r="E12" s="90"/>
      <c r="H12" s="90">
        <f t="shared" si="0"/>
        <v>-36945.160000000003</v>
      </c>
    </row>
    <row r="13" spans="1:14" s="78" customFormat="1">
      <c r="A13" s="88"/>
      <c r="B13" s="3"/>
      <c r="C13" s="3"/>
      <c r="D13" s="77"/>
      <c r="E13" s="77"/>
      <c r="F13" s="77"/>
      <c r="G13" s="77"/>
      <c r="H13" s="90">
        <f t="shared" si="0"/>
        <v>-36945.160000000003</v>
      </c>
      <c r="I13"/>
      <c r="J13"/>
    </row>
    <row r="14" spans="1:14" s="78" customFormat="1">
      <c r="A14" s="88"/>
      <c r="B14" s="93" t="s">
        <v>73</v>
      </c>
      <c r="C14" s="93"/>
      <c r="D14" s="90"/>
      <c r="E14" s="90">
        <v>-1000</v>
      </c>
      <c r="F14" s="77"/>
      <c r="G14" s="77"/>
      <c r="H14" s="90">
        <f t="shared" si="0"/>
        <v>-36945.160000000003</v>
      </c>
    </row>
    <row r="15" spans="1:14" s="78" customFormat="1">
      <c r="A15" s="88"/>
      <c r="B15" s="93" t="s">
        <v>74</v>
      </c>
      <c r="C15" s="93"/>
      <c r="D15" s="90"/>
      <c r="E15" s="90">
        <v>-200</v>
      </c>
      <c r="F15" s="77"/>
      <c r="G15" s="77"/>
      <c r="H15" s="90">
        <f t="shared" si="0"/>
        <v>-36945.160000000003</v>
      </c>
    </row>
    <row r="16" spans="1:14" s="78" customFormat="1">
      <c r="A16" s="88"/>
      <c r="B16" s="89" t="s">
        <v>75</v>
      </c>
      <c r="C16" s="89"/>
      <c r="D16" s="90"/>
      <c r="E16" s="90">
        <v>-200</v>
      </c>
      <c r="F16" s="77"/>
      <c r="G16" s="77"/>
      <c r="H16" s="90">
        <f t="shared" si="0"/>
        <v>-36945.160000000003</v>
      </c>
    </row>
    <row r="17" spans="1:13" s="78" customFormat="1">
      <c r="A17" s="88"/>
      <c r="B17" s="92" t="s">
        <v>76</v>
      </c>
      <c r="C17" s="92"/>
      <c r="D17" s="90">
        <v>15000</v>
      </c>
      <c r="E17" s="90"/>
      <c r="F17" s="77"/>
      <c r="G17" s="77"/>
      <c r="H17" s="90">
        <f t="shared" si="0"/>
        <v>-36945.160000000003</v>
      </c>
      <c r="J17" s="94"/>
      <c r="K17" s="94"/>
      <c r="L17" s="95"/>
      <c r="M17" s="96"/>
    </row>
    <row r="18" spans="1:13" s="78" customFormat="1">
      <c r="B18" s="92" t="s">
        <v>77</v>
      </c>
      <c r="C18" s="92"/>
      <c r="D18" s="90"/>
      <c r="E18" s="90">
        <v>-7500</v>
      </c>
      <c r="F18" s="77"/>
      <c r="G18" s="77"/>
      <c r="H18" s="90">
        <f t="shared" si="0"/>
        <v>-36945.160000000003</v>
      </c>
      <c r="J18" s="94"/>
      <c r="K18" s="94"/>
      <c r="L18" s="95"/>
      <c r="M18" s="96"/>
    </row>
    <row r="19" spans="1:13" s="78" customFormat="1">
      <c r="B19" s="92" t="s">
        <v>78</v>
      </c>
      <c r="C19" s="92"/>
      <c r="D19" s="90"/>
      <c r="E19" s="90">
        <v>-7500</v>
      </c>
      <c r="F19" s="77"/>
      <c r="G19" s="77"/>
      <c r="H19" s="90">
        <f t="shared" si="0"/>
        <v>-36945.160000000003</v>
      </c>
      <c r="J19" s="94"/>
      <c r="K19" s="94"/>
      <c r="L19" s="95"/>
      <c r="M19" s="96"/>
    </row>
    <row r="20" spans="1:13" s="78" customFormat="1">
      <c r="B20" s="92" t="s">
        <v>79</v>
      </c>
      <c r="C20" s="92"/>
      <c r="D20" s="90"/>
      <c r="E20" s="90">
        <v>-7500</v>
      </c>
      <c r="F20" s="77"/>
      <c r="G20" s="77"/>
      <c r="H20" s="90">
        <f t="shared" si="0"/>
        <v>-36945.160000000003</v>
      </c>
      <c r="J20" s="94"/>
      <c r="K20" s="94"/>
      <c r="L20" s="95"/>
      <c r="M20" s="96"/>
    </row>
    <row r="21" spans="1:13" s="78" customFormat="1">
      <c r="A21" s="98">
        <v>45776</v>
      </c>
      <c r="B21" s="92" t="s">
        <v>98</v>
      </c>
      <c r="C21" s="92" t="s">
        <v>1790</v>
      </c>
      <c r="D21" s="90" t="s">
        <v>390</v>
      </c>
      <c r="E21" s="90">
        <v>-1380</v>
      </c>
      <c r="F21" s="77"/>
      <c r="G21" s="77"/>
      <c r="H21" s="90">
        <f t="shared" si="0"/>
        <v>-36945.160000000003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90">
        <f t="shared" si="0"/>
        <v>-36945.160000000003</v>
      </c>
      <c r="J22" s="94"/>
      <c r="K22" s="94"/>
      <c r="L22" s="95"/>
      <c r="M22" s="96"/>
    </row>
    <row r="23" spans="1:13" s="78" customFormat="1">
      <c r="B23" s="99" t="s">
        <v>80</v>
      </c>
      <c r="C23" s="99"/>
      <c r="D23" s="77"/>
      <c r="E23" s="77">
        <v>-600</v>
      </c>
      <c r="F23" s="77"/>
      <c r="G23" s="77"/>
      <c r="H23" s="87">
        <f t="shared" si="0"/>
        <v>-36945.160000000003</v>
      </c>
      <c r="J23" s="94"/>
      <c r="K23" s="94"/>
      <c r="L23" s="95"/>
      <c r="M23" s="96"/>
    </row>
    <row r="24" spans="1:13" s="78" customFormat="1">
      <c r="B24" s="99" t="s">
        <v>81</v>
      </c>
      <c r="C24" s="99"/>
      <c r="D24" s="77"/>
      <c r="E24" s="77">
        <v>-800</v>
      </c>
      <c r="F24" s="77"/>
      <c r="G24" s="77"/>
      <c r="H24" s="77">
        <f t="shared" si="0"/>
        <v>-36945.160000000003</v>
      </c>
      <c r="J24" s="94"/>
      <c r="K24" s="94"/>
      <c r="L24" s="95"/>
      <c r="M24" s="96"/>
    </row>
    <row r="25" spans="1:13" s="78" customFormat="1">
      <c r="B25" s="3"/>
      <c r="C25" s="3"/>
      <c r="D25" s="77"/>
      <c r="E25" s="77"/>
      <c r="F25" s="77"/>
      <c r="G25" s="77"/>
      <c r="H25" s="77">
        <f t="shared" si="0"/>
        <v>-36945.160000000003</v>
      </c>
    </row>
    <row r="26" spans="1:13" s="78" customFormat="1">
      <c r="D26" s="77"/>
      <c r="E26" s="77"/>
      <c r="F26" s="77"/>
      <c r="G26" s="77"/>
      <c r="H26" s="77">
        <f t="shared" si="0"/>
        <v>-36945.160000000003</v>
      </c>
    </row>
    <row r="27" spans="1:13">
      <c r="A27" s="100"/>
      <c r="B27" s="101" t="s">
        <v>96</v>
      </c>
      <c r="C27" s="101"/>
      <c r="H27" s="77">
        <f t="shared" si="0"/>
        <v>-36945.160000000003</v>
      </c>
      <c r="I27" s="78"/>
      <c r="J27" s="78"/>
    </row>
    <row r="28" spans="1:13">
      <c r="A28" s="100"/>
      <c r="H28" s="77">
        <f t="shared" si="0"/>
        <v>-36945.160000000003</v>
      </c>
    </row>
    <row r="29" spans="1:13" s="78" customFormat="1">
      <c r="A29"/>
      <c r="B29"/>
      <c r="C29"/>
      <c r="D29" s="77"/>
      <c r="E29" s="77"/>
      <c r="F29" s="77"/>
      <c r="G29" s="77"/>
      <c r="H29" s="77">
        <f t="shared" si="0"/>
        <v>-36945.160000000003</v>
      </c>
      <c r="I29"/>
      <c r="J29"/>
    </row>
    <row r="30" spans="1:13" s="78" customFormat="1">
      <c r="B30" s="101"/>
      <c r="C30" s="101"/>
      <c r="D30" s="77"/>
      <c r="E30" s="77"/>
      <c r="F30" s="77"/>
      <c r="G30" s="77"/>
      <c r="H30" s="77"/>
      <c r="J30" s="94"/>
      <c r="K30" s="94"/>
      <c r="L30" s="95"/>
      <c r="M30" s="96"/>
    </row>
    <row r="31" spans="1:13" s="78" customFormat="1">
      <c r="B31" s="101"/>
      <c r="C31" s="101"/>
      <c r="D31" s="77"/>
      <c r="E31" s="77"/>
      <c r="F31" s="77"/>
      <c r="G31" s="77"/>
      <c r="H31" s="77"/>
      <c r="J31" s="94"/>
      <c r="K31" s="94"/>
      <c r="L31" s="95"/>
      <c r="M31" s="96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SUM(E36:E51)</f>
        <v>-7461.47</v>
      </c>
      <c r="I35" s="77">
        <v>8850</v>
      </c>
      <c r="J35" s="77" t="s">
        <v>1814</v>
      </c>
    </row>
    <row r="36" spans="1:14" s="77" customFormat="1">
      <c r="A36"/>
      <c r="B36"/>
      <c r="C36"/>
      <c r="I36" s="77">
        <v>48000</v>
      </c>
      <c r="J36" t="s">
        <v>1815</v>
      </c>
      <c r="K36" s="78"/>
      <c r="L36" s="78"/>
      <c r="M36" s="78"/>
      <c r="N36" s="78"/>
    </row>
    <row r="37" spans="1:14" s="77" customFormat="1">
      <c r="A37" s="88"/>
      <c r="I37" s="77">
        <v>6000</v>
      </c>
      <c r="J37" s="77" t="s">
        <v>1816</v>
      </c>
      <c r="K37" s="78"/>
      <c r="L37" s="78"/>
      <c r="M37" s="78"/>
      <c r="N37" s="78"/>
    </row>
    <row r="38" spans="1:14" s="77" customFormat="1">
      <c r="A38" s="88">
        <v>45715</v>
      </c>
      <c r="B38" s="90" t="s">
        <v>1637</v>
      </c>
      <c r="C38" s="90">
        <v>5938.68</v>
      </c>
      <c r="D38" s="90" t="s">
        <v>615</v>
      </c>
      <c r="E38" s="90">
        <v>-989.78</v>
      </c>
      <c r="I38" s="77">
        <v>3000</v>
      </c>
      <c r="J38" s="77" t="s">
        <v>1817</v>
      </c>
      <c r="K38" s="78"/>
      <c r="L38" s="78"/>
      <c r="M38" s="78"/>
      <c r="N38" s="78"/>
    </row>
    <row r="39" spans="1:14" s="77" customFormat="1">
      <c r="A39" s="88"/>
      <c r="I39" s="77">
        <v>5000</v>
      </c>
      <c r="J39" s="77" t="s">
        <v>1818</v>
      </c>
      <c r="K39" s="78"/>
      <c r="L39" s="78"/>
      <c r="M39" s="78"/>
      <c r="N39" s="78"/>
    </row>
    <row r="40" spans="1:14">
      <c r="A40" s="88">
        <v>45751</v>
      </c>
      <c r="B40" s="77" t="s">
        <v>129</v>
      </c>
      <c r="D40" s="77">
        <v>123984.02</v>
      </c>
      <c r="I40" s="77">
        <f>SUM(I35:I39)</f>
        <v>70850</v>
      </c>
      <c r="J40" s="77"/>
    </row>
    <row r="41" spans="1:14" s="77" customFormat="1">
      <c r="A41" s="386">
        <v>45751</v>
      </c>
      <c r="B41" t="s">
        <v>445</v>
      </c>
      <c r="C41"/>
      <c r="E41" s="77">
        <v>-672.4</v>
      </c>
      <c r="I41" s="90">
        <v>2</v>
      </c>
      <c r="J41" s="542">
        <v>0.5</v>
      </c>
      <c r="K41" s="78"/>
      <c r="L41" s="78"/>
      <c r="M41" s="78"/>
      <c r="N41" s="78"/>
    </row>
    <row r="42" spans="1:14" s="77" customFormat="1">
      <c r="A42" s="100">
        <v>45754</v>
      </c>
      <c r="B42" s="106" t="s">
        <v>1779</v>
      </c>
      <c r="C42" s="106"/>
      <c r="E42" s="77">
        <v>-3740</v>
      </c>
      <c r="I42" s="77">
        <f>I40/I41</f>
        <v>35425</v>
      </c>
      <c r="K42" s="78"/>
      <c r="L42" s="78"/>
      <c r="M42" s="78"/>
      <c r="N42" s="78"/>
    </row>
    <row r="43" spans="1:14" s="77" customFormat="1">
      <c r="A43" s="100">
        <v>45756</v>
      </c>
      <c r="B43" s="106" t="s">
        <v>1780</v>
      </c>
      <c r="C43" s="106"/>
      <c r="E43" s="77">
        <v>-390</v>
      </c>
      <c r="I43" s="77">
        <f>I42/J43</f>
        <v>5060.7142857142853</v>
      </c>
      <c r="J43" s="77">
        <v>7</v>
      </c>
      <c r="K43" s="78"/>
      <c r="L43" s="78"/>
      <c r="M43" s="78"/>
      <c r="N43" s="78"/>
    </row>
    <row r="44" spans="1:14" s="77" customFormat="1">
      <c r="A44" s="100">
        <v>45764</v>
      </c>
      <c r="B44" s="107" t="s">
        <v>1781</v>
      </c>
      <c r="C44" s="106"/>
      <c r="E44" s="77">
        <v>-138.81</v>
      </c>
      <c r="I44" s="90">
        <f>I42/J44</f>
        <v>8856.25</v>
      </c>
      <c r="J44" s="77">
        <v>4</v>
      </c>
      <c r="K44" s="78"/>
      <c r="L44" s="78"/>
      <c r="M44" s="78"/>
      <c r="N44" s="78"/>
    </row>
    <row r="45" spans="1:14" s="77" customFormat="1">
      <c r="A45" s="100">
        <v>45766</v>
      </c>
      <c r="B45" s="107" t="s">
        <v>1612</v>
      </c>
      <c r="C45" s="106"/>
      <c r="E45" s="77">
        <v>-80</v>
      </c>
      <c r="K45" s="78"/>
      <c r="L45" s="78"/>
      <c r="M45" s="78"/>
      <c r="N45" s="78"/>
    </row>
    <row r="46" spans="1:14" s="77" customFormat="1">
      <c r="A46" s="100">
        <v>45767</v>
      </c>
      <c r="B46" s="107" t="s">
        <v>1782</v>
      </c>
      <c r="E46" s="77">
        <v>-140</v>
      </c>
      <c r="K46" s="78"/>
      <c r="L46" s="78"/>
      <c r="M46" s="78"/>
      <c r="N46" s="78"/>
    </row>
    <row r="47" spans="1:14" s="77" customFormat="1">
      <c r="A47" s="100">
        <v>45770</v>
      </c>
      <c r="B47" s="107" t="s">
        <v>1783</v>
      </c>
      <c r="C47" s="106"/>
      <c r="E47" s="77">
        <v>-300</v>
      </c>
      <c r="K47" s="78"/>
      <c r="L47" s="78"/>
      <c r="M47" s="78"/>
      <c r="N47" s="78"/>
    </row>
    <row r="48" spans="1:14" s="77" customFormat="1">
      <c r="A48" s="100">
        <v>45770</v>
      </c>
      <c r="B48" s="3" t="s">
        <v>1781</v>
      </c>
      <c r="E48" s="77">
        <v>-372.15</v>
      </c>
      <c r="K48" s="78"/>
      <c r="L48" s="78"/>
      <c r="M48" s="78"/>
      <c r="N48" s="78"/>
    </row>
    <row r="49" spans="1:14" s="90" customFormat="1">
      <c r="A49" s="100">
        <v>45771</v>
      </c>
      <c r="B49" s="92" t="s">
        <v>1784</v>
      </c>
      <c r="E49" s="90">
        <v>-250</v>
      </c>
      <c r="K49" s="78"/>
      <c r="L49" s="78"/>
      <c r="M49" s="78"/>
      <c r="N49" s="78"/>
    </row>
    <row r="50" spans="1:14" s="90" customFormat="1">
      <c r="A50" s="100">
        <v>45771</v>
      </c>
      <c r="B50" s="92" t="s">
        <v>1781</v>
      </c>
      <c r="E50" s="90">
        <v>-208.33</v>
      </c>
      <c r="K50" s="78"/>
      <c r="L50" s="78"/>
      <c r="M50" s="78"/>
      <c r="N50" s="78"/>
    </row>
    <row r="51" spans="1:14" s="90" customFormat="1">
      <c r="A51" s="100">
        <v>45772</v>
      </c>
      <c r="B51" s="92" t="s">
        <v>1785</v>
      </c>
      <c r="E51" s="90">
        <v>-180</v>
      </c>
      <c r="K51" s="78"/>
      <c r="L51" s="78"/>
      <c r="M51" s="78"/>
      <c r="N51" s="78"/>
    </row>
    <row r="52" spans="1:14" s="90" customFormat="1" ht="15">
      <c r="A52" s="100"/>
      <c r="B52" s="92"/>
      <c r="E52" s="105" t="s">
        <v>84</v>
      </c>
      <c r="K52" s="78"/>
      <c r="L52" s="78"/>
      <c r="M52" s="78"/>
      <c r="N52" s="78"/>
    </row>
    <row r="53" spans="1:14" s="90" customFormat="1">
      <c r="A53" s="100"/>
      <c r="B53" s="92"/>
      <c r="C53" s="90" t="s">
        <v>807</v>
      </c>
      <c r="K53" s="78"/>
      <c r="L53" s="78"/>
      <c r="M53" s="78"/>
      <c r="N53" s="78"/>
    </row>
    <row r="54" spans="1:14" s="90" customFormat="1">
      <c r="A54" s="100">
        <v>45752</v>
      </c>
      <c r="B54" s="92" t="s">
        <v>1788</v>
      </c>
      <c r="C54" s="90">
        <v>-15.6</v>
      </c>
      <c r="K54" s="78"/>
      <c r="L54" s="78"/>
      <c r="M54" s="78"/>
      <c r="N54" s="78"/>
    </row>
    <row r="55" spans="1:14" s="90" customFormat="1">
      <c r="A55" s="100">
        <v>45752</v>
      </c>
      <c r="B55" s="92" t="s">
        <v>1789</v>
      </c>
      <c r="C55" s="90">
        <v>-8.49</v>
      </c>
      <c r="K55" s="78"/>
      <c r="L55" s="78"/>
      <c r="M55" s="78"/>
      <c r="N55" s="78"/>
    </row>
    <row r="56" spans="1:14" s="90" customFormat="1">
      <c r="A56" s="100"/>
      <c r="B56" s="92"/>
      <c r="K56" s="78"/>
      <c r="L56" s="78"/>
      <c r="M56" s="78"/>
      <c r="N56" s="78"/>
    </row>
    <row r="57" spans="1:14" s="90" customFormat="1">
      <c r="A57" s="100"/>
      <c r="B57" s="92"/>
      <c r="K57" s="78"/>
      <c r="L57" s="78"/>
      <c r="M57" s="78"/>
      <c r="N57" s="78"/>
    </row>
    <row r="58" spans="1:14" s="90" customFormat="1">
      <c r="A58" s="100"/>
      <c r="B58" s="92"/>
      <c r="K58" s="78"/>
      <c r="L58" s="78"/>
      <c r="M58" s="78"/>
      <c r="N58" s="78"/>
    </row>
    <row r="59" spans="1:14" s="77" customFormat="1">
      <c r="A59" s="100"/>
      <c r="B59" s="106"/>
      <c r="C59" s="106"/>
      <c r="K59" s="78"/>
      <c r="L59" s="78"/>
      <c r="M59" s="78"/>
      <c r="N59" s="78"/>
    </row>
    <row r="60" spans="1:14" s="77" customFormat="1">
      <c r="A60" s="103"/>
      <c r="B60" s="104" t="s">
        <v>85</v>
      </c>
      <c r="C60" s="103"/>
      <c r="E60" s="77">
        <f>SUM(E61:E86)</f>
        <v>-8801.84</v>
      </c>
      <c r="K60" s="78"/>
      <c r="L60" s="78"/>
      <c r="M60" s="78"/>
      <c r="N60" s="78"/>
    </row>
    <row r="61" spans="1:14" s="77" customFormat="1">
      <c r="A61" s="100"/>
      <c r="B61" s="106"/>
      <c r="C61" s="106"/>
      <c r="K61" s="78"/>
      <c r="L61" s="78"/>
      <c r="M61" s="78"/>
      <c r="N61" s="78"/>
    </row>
    <row r="62" spans="1:14" s="77" customFormat="1">
      <c r="A62" s="100"/>
      <c r="B62" s="106"/>
      <c r="C62" s="106"/>
      <c r="K62" s="78"/>
      <c r="L62" s="78"/>
      <c r="M62" s="78"/>
      <c r="N62" s="78"/>
    </row>
    <row r="63" spans="1:14" s="77" customFormat="1">
      <c r="K63" s="78"/>
      <c r="L63" s="78"/>
      <c r="M63" s="78"/>
      <c r="N63" s="78"/>
    </row>
    <row r="64" spans="1:14" s="77" customFormat="1">
      <c r="A64" s="98">
        <v>45728</v>
      </c>
      <c r="B64" s="90" t="s">
        <v>1687</v>
      </c>
      <c r="C64" s="11"/>
      <c r="D64" s="90" t="s">
        <v>1718</v>
      </c>
      <c r="E64" s="90">
        <v>-625</v>
      </c>
      <c r="K64" s="78"/>
      <c r="L64" s="78"/>
      <c r="M64" s="78"/>
      <c r="N64" s="78"/>
    </row>
    <row r="65" spans="1:14" s="77" customFormat="1">
      <c r="A65" s="430">
        <v>45692</v>
      </c>
      <c r="B65" s="90" t="s">
        <v>1662</v>
      </c>
      <c r="C65" s="90"/>
      <c r="D65" s="90" t="s">
        <v>954</v>
      </c>
      <c r="E65" s="90">
        <v>-600.14</v>
      </c>
      <c r="K65" s="78"/>
      <c r="L65" s="78"/>
      <c r="M65" s="78"/>
      <c r="N65" s="78"/>
    </row>
    <row r="66" spans="1:14" s="77" customFormat="1">
      <c r="A66" s="430">
        <v>45692</v>
      </c>
      <c r="B66" s="90" t="s">
        <v>1662</v>
      </c>
      <c r="C66" s="90"/>
      <c r="D66" s="90" t="s">
        <v>954</v>
      </c>
      <c r="E66" s="90">
        <v>-2500.3000000000002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>
        <v>45743</v>
      </c>
      <c r="B68" s="3" t="s">
        <v>129</v>
      </c>
      <c r="C68" s="106"/>
      <c r="D68" s="77">
        <v>19953.18</v>
      </c>
      <c r="K68" s="78"/>
      <c r="L68" s="78"/>
      <c r="M68" s="78"/>
      <c r="N68" s="78"/>
    </row>
    <row r="69" spans="1:14" s="77" customFormat="1">
      <c r="A69" s="100">
        <v>45744</v>
      </c>
      <c r="B69" s="3" t="s">
        <v>1798</v>
      </c>
      <c r="C69" s="106"/>
      <c r="E69" s="77">
        <v>-1300</v>
      </c>
      <c r="K69" s="78"/>
      <c r="L69" s="78"/>
      <c r="M69" s="78"/>
      <c r="N69" s="78"/>
    </row>
    <row r="70" spans="1:14" s="77" customFormat="1">
      <c r="A70" s="100">
        <v>45749</v>
      </c>
      <c r="B70" s="3"/>
      <c r="C70" s="106"/>
      <c r="E70" s="77">
        <v>-335</v>
      </c>
      <c r="K70" s="78"/>
      <c r="L70" s="78"/>
      <c r="M70" s="78"/>
      <c r="N70" s="78"/>
    </row>
    <row r="71" spans="1:14" s="77" customFormat="1">
      <c r="A71" s="100">
        <v>45750</v>
      </c>
      <c r="B71" s="3" t="s">
        <v>1799</v>
      </c>
      <c r="C71" s="106"/>
      <c r="E71" s="77">
        <v>-129.99</v>
      </c>
      <c r="K71" s="78"/>
      <c r="L71" s="78"/>
      <c r="M71" s="78"/>
      <c r="N71" s="78"/>
    </row>
    <row r="72" spans="1:14" s="77" customFormat="1">
      <c r="A72" s="100">
        <v>45756</v>
      </c>
      <c r="B72" s="3" t="s">
        <v>1801</v>
      </c>
      <c r="C72" s="106"/>
      <c r="E72" s="77">
        <v>-360</v>
      </c>
      <c r="K72" s="78"/>
      <c r="L72" s="78"/>
      <c r="M72" s="78"/>
      <c r="N72" s="78"/>
    </row>
    <row r="73" spans="1:14" s="77" customFormat="1">
      <c r="A73" s="100">
        <v>45756</v>
      </c>
      <c r="B73" s="3" t="s">
        <v>1800</v>
      </c>
      <c r="C73" s="106"/>
      <c r="E73" s="77">
        <v>-1425</v>
      </c>
      <c r="K73" s="78"/>
      <c r="L73" s="78"/>
      <c r="M73" s="78"/>
      <c r="N73" s="78"/>
    </row>
    <row r="74" spans="1:14" s="90" customFormat="1">
      <c r="A74" s="100">
        <v>45757</v>
      </c>
      <c r="B74" s="92" t="s">
        <v>1802</v>
      </c>
      <c r="C74" s="106"/>
      <c r="E74" s="90">
        <v>-120</v>
      </c>
      <c r="K74" s="78"/>
      <c r="L74" s="78"/>
      <c r="M74" s="78"/>
      <c r="N74" s="78"/>
    </row>
    <row r="75" spans="1:14" s="90" customFormat="1">
      <c r="A75" s="100">
        <v>45758</v>
      </c>
      <c r="B75" s="92" t="s">
        <v>1803</v>
      </c>
      <c r="C75" s="106"/>
      <c r="E75" s="90">
        <v>-406.41</v>
      </c>
      <c r="K75" s="78"/>
      <c r="L75" s="78"/>
      <c r="M75" s="78"/>
      <c r="N75" s="78"/>
    </row>
    <row r="76" spans="1:14" s="90" customFormat="1">
      <c r="A76" s="100">
        <v>45759</v>
      </c>
      <c r="B76" s="92" t="s">
        <v>1804</v>
      </c>
      <c r="C76" s="106"/>
      <c r="E76" s="90">
        <v>-50</v>
      </c>
      <c r="K76" s="78"/>
      <c r="L76" s="78"/>
      <c r="M76" s="78"/>
      <c r="N76" s="78"/>
    </row>
    <row r="77" spans="1:14" s="90" customFormat="1">
      <c r="A77" s="100">
        <v>45757</v>
      </c>
      <c r="B77" s="92" t="s">
        <v>1782</v>
      </c>
      <c r="C77" s="106"/>
      <c r="E77" s="90">
        <v>-210</v>
      </c>
      <c r="K77" s="78"/>
      <c r="L77" s="78"/>
      <c r="M77" s="78"/>
      <c r="N77" s="78"/>
    </row>
    <row r="78" spans="1:14" s="90" customFormat="1">
      <c r="A78" s="100">
        <v>45762</v>
      </c>
      <c r="B78" s="92" t="s">
        <v>131</v>
      </c>
      <c r="C78" s="106"/>
      <c r="E78" s="90">
        <v>-250</v>
      </c>
      <c r="K78" s="78"/>
      <c r="L78" s="78"/>
      <c r="M78" s="78"/>
      <c r="N78" s="78"/>
    </row>
    <row r="79" spans="1:14" s="90" customFormat="1">
      <c r="A79" s="100">
        <v>45764</v>
      </c>
      <c r="B79" s="92" t="s">
        <v>1805</v>
      </c>
      <c r="C79" s="106"/>
      <c r="E79" s="90">
        <v>-120</v>
      </c>
      <c r="K79" s="78"/>
      <c r="L79" s="78"/>
      <c r="M79" s="78"/>
      <c r="N79" s="78"/>
    </row>
    <row r="80" spans="1:14" s="90" customFormat="1">
      <c r="A80" s="100">
        <v>45764</v>
      </c>
      <c r="B80" s="92" t="s">
        <v>651</v>
      </c>
      <c r="C80" s="106"/>
      <c r="E80" s="90">
        <v>-370</v>
      </c>
      <c r="K80" s="78"/>
      <c r="L80" s="78"/>
      <c r="M80" s="78"/>
      <c r="N80" s="78"/>
    </row>
    <row r="81" spans="1:14" s="77" customFormat="1" ht="15">
      <c r="A81" s="100"/>
      <c r="B81" s="3"/>
      <c r="C81" s="106"/>
      <c r="E81" s="105" t="s">
        <v>84</v>
      </c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 s="77" customFormat="1">
      <c r="A83" s="100"/>
      <c r="B83" s="3"/>
      <c r="C83" s="106"/>
      <c r="K83" s="78"/>
      <c r="L83" s="78"/>
      <c r="M83" s="78"/>
      <c r="N83" s="78"/>
    </row>
    <row r="84" spans="1:14" s="77" customFormat="1">
      <c r="A84" s="100"/>
      <c r="B84" s="3"/>
      <c r="C84" s="106"/>
      <c r="K84" s="78"/>
      <c r="L84" s="78"/>
      <c r="M84" s="78"/>
      <c r="N84" s="78"/>
    </row>
    <row r="85" spans="1:14" s="77" customFormat="1">
      <c r="A85" s="100"/>
      <c r="B85" s="3"/>
      <c r="C85" s="106"/>
      <c r="K85" s="78"/>
      <c r="L85" s="78"/>
      <c r="M85" s="78"/>
      <c r="N85" s="78"/>
    </row>
    <row r="86" spans="1:14" s="77" customFormat="1">
      <c r="A86" s="100"/>
      <c r="B86" s="3"/>
      <c r="C86" s="106"/>
      <c r="K86" s="78"/>
      <c r="L86" s="78"/>
      <c r="M86" s="78"/>
      <c r="N86" s="78"/>
    </row>
    <row r="87" spans="1:14">
      <c r="A87" s="100"/>
      <c r="B87" s="3"/>
      <c r="C87" s="77"/>
      <c r="I87" s="77"/>
      <c r="J87" s="77"/>
    </row>
    <row r="98" spans="1:14">
      <c r="A98" s="113" t="s">
        <v>1807</v>
      </c>
      <c r="B98" s="104" t="s">
        <v>136</v>
      </c>
      <c r="C98" s="103">
        <v>2025</v>
      </c>
      <c r="D98" s="90"/>
      <c r="E98" s="90"/>
      <c r="F98" s="90"/>
      <c r="G98" s="90">
        <f>SUM(G102:G130)</f>
        <v>652220.64778400003</v>
      </c>
      <c r="H98" s="90"/>
      <c r="I98" s="90"/>
      <c r="J98" s="11"/>
    </row>
    <row r="99" spans="1:14">
      <c r="A99" s="113"/>
      <c r="B99" s="104"/>
      <c r="C99" s="103"/>
      <c r="D99" s="90"/>
      <c r="E99" s="90"/>
      <c r="F99" s="90"/>
      <c r="G99" s="90"/>
      <c r="H99" s="90"/>
      <c r="I99" s="90"/>
      <c r="J99" s="11"/>
    </row>
    <row r="100" spans="1:14">
      <c r="A100" s="113"/>
      <c r="B100" s="104"/>
      <c r="C100" s="103"/>
      <c r="D100" s="90"/>
      <c r="E100" s="90" t="s">
        <v>137</v>
      </c>
      <c r="F100" s="90"/>
      <c r="G100" s="90"/>
      <c r="H100" s="90"/>
      <c r="I100" s="90"/>
      <c r="J100" s="11"/>
    </row>
    <row r="101" spans="1:14">
      <c r="A101" s="100"/>
      <c r="B101" s="90" t="s">
        <v>77</v>
      </c>
      <c r="C101" s="90"/>
      <c r="D101" s="90"/>
      <c r="E101" s="90"/>
      <c r="F101" s="90"/>
      <c r="G101" s="90">
        <v>0</v>
      </c>
      <c r="H101" s="90"/>
      <c r="I101" s="90"/>
      <c r="J101" s="11"/>
    </row>
    <row r="102" spans="1:14">
      <c r="A102" s="100"/>
      <c r="B102" s="90" t="s">
        <v>78</v>
      </c>
      <c r="C102" s="90"/>
      <c r="D102" s="90"/>
      <c r="E102" s="90"/>
      <c r="F102" s="90"/>
      <c r="G102" s="90">
        <v>0</v>
      </c>
      <c r="H102" s="90"/>
      <c r="I102" s="90"/>
      <c r="J102" s="11"/>
    </row>
    <row r="103" spans="1:14">
      <c r="A103" s="541">
        <v>45777</v>
      </c>
      <c r="B103" s="90" t="s">
        <v>1739</v>
      </c>
      <c r="C103" s="90"/>
      <c r="D103" s="90"/>
      <c r="E103" s="90">
        <v>122830</v>
      </c>
      <c r="F103" s="90"/>
      <c r="G103" s="90">
        <f>E103+F103</f>
        <v>122830</v>
      </c>
      <c r="H103" s="90"/>
      <c r="I103" s="90"/>
      <c r="J103" s="11"/>
    </row>
    <row r="104" spans="1:14">
      <c r="A104" s="541"/>
      <c r="B104" s="90" t="s">
        <v>1740</v>
      </c>
      <c r="C104" s="90"/>
      <c r="D104" s="90"/>
      <c r="E104" s="90"/>
      <c r="F104" s="90"/>
      <c r="G104" s="90">
        <f>D84</f>
        <v>0</v>
      </c>
      <c r="H104" s="90"/>
      <c r="I104" s="90"/>
      <c r="J104" s="11"/>
    </row>
    <row r="105" spans="1:14">
      <c r="A105" s="541">
        <v>45777</v>
      </c>
      <c r="B105" s="90" t="s">
        <v>139</v>
      </c>
      <c r="C105" s="12"/>
      <c r="D105" s="12"/>
      <c r="E105" s="90"/>
      <c r="F105" s="90"/>
      <c r="G105" s="17">
        <v>6171</v>
      </c>
      <c r="H105" s="90"/>
      <c r="I105" s="90"/>
      <c r="J105" s="11"/>
    </row>
    <row r="106" spans="1:14">
      <c r="A106" s="541">
        <v>45777</v>
      </c>
      <c r="B106" s="90" t="s">
        <v>140</v>
      </c>
      <c r="C106" s="12"/>
      <c r="D106" s="12"/>
      <c r="E106" s="90"/>
      <c r="F106" s="90"/>
      <c r="G106" s="17">
        <v>300</v>
      </c>
      <c r="H106" s="90"/>
      <c r="I106" s="90"/>
      <c r="J106" s="11"/>
    </row>
    <row r="107" spans="1:14">
      <c r="A107" s="100"/>
      <c r="B107" s="90"/>
      <c r="C107" s="12"/>
      <c r="D107" s="12"/>
      <c r="E107" s="90"/>
      <c r="F107" s="90"/>
      <c r="G107" s="17"/>
      <c r="H107" s="90"/>
      <c r="I107" s="90" t="s">
        <v>1686</v>
      </c>
      <c r="J107" s="11"/>
    </row>
    <row r="108" spans="1:14">
      <c r="A108" s="100">
        <v>45620</v>
      </c>
      <c r="B108" s="82" t="s">
        <v>1604</v>
      </c>
      <c r="C108" s="114"/>
      <c r="D108" s="114">
        <v>32.549999999999997</v>
      </c>
      <c r="E108" s="116">
        <f t="shared" ref="E108:E111" si="1">D108*C108</f>
        <v>0</v>
      </c>
      <c r="F108" s="90">
        <v>47</v>
      </c>
      <c r="G108" s="17">
        <f t="shared" ref="G108" si="2">F108*C108</f>
        <v>0</v>
      </c>
      <c r="H108" s="90"/>
      <c r="I108" s="90">
        <f t="shared" ref="I108" si="3">G108-E108</f>
        <v>0</v>
      </c>
      <c r="J108" s="11"/>
    </row>
    <row r="109" spans="1:14">
      <c r="A109" s="100">
        <v>45620</v>
      </c>
      <c r="B109" s="82" t="s">
        <v>1604</v>
      </c>
      <c r="C109" s="114">
        <v>1000</v>
      </c>
      <c r="D109" s="114">
        <v>32.549999999999997</v>
      </c>
      <c r="E109" s="116">
        <f t="shared" si="1"/>
        <v>32549.999999999996</v>
      </c>
      <c r="F109" s="90">
        <f>F108</f>
        <v>47</v>
      </c>
      <c r="G109" s="17">
        <f>F109*C109</f>
        <v>47000</v>
      </c>
      <c r="H109" s="90"/>
      <c r="I109" s="90">
        <f>G109-E109</f>
        <v>14450.000000000004</v>
      </c>
      <c r="J109" s="11"/>
    </row>
    <row r="110" spans="1:14">
      <c r="A110" s="100">
        <v>45659</v>
      </c>
      <c r="B110" s="82" t="s">
        <v>1603</v>
      </c>
      <c r="C110" s="114">
        <v>4000</v>
      </c>
      <c r="D110" s="115">
        <v>30.86</v>
      </c>
      <c r="E110" s="116">
        <f t="shared" si="1"/>
        <v>123440</v>
      </c>
      <c r="F110" s="90">
        <f>F109</f>
        <v>47</v>
      </c>
      <c r="G110" s="17">
        <f t="shared" ref="G110:G111" si="4">F110*C110</f>
        <v>188000</v>
      </c>
      <c r="H110" s="419">
        <f>SUM(G109:G110)</f>
        <v>235000</v>
      </c>
      <c r="I110" s="90">
        <f t="shared" ref="I110:I111" si="5">G110-E110</f>
        <v>64560</v>
      </c>
      <c r="J110" s="11"/>
    </row>
    <row r="111" spans="1:14">
      <c r="A111" s="100">
        <v>45772</v>
      </c>
      <c r="B111" s="82" t="s">
        <v>236</v>
      </c>
      <c r="C111" s="114">
        <v>0</v>
      </c>
      <c r="D111" s="115">
        <v>983.06700000000001</v>
      </c>
      <c r="E111" s="116">
        <f t="shared" si="1"/>
        <v>0</v>
      </c>
      <c r="F111" s="90">
        <v>1000.855116</v>
      </c>
      <c r="G111" s="17">
        <f t="shared" si="4"/>
        <v>0</v>
      </c>
      <c r="H111" s="419"/>
      <c r="I111" s="90">
        <f t="shared" si="5"/>
        <v>0</v>
      </c>
      <c r="J111" s="11"/>
    </row>
    <row r="112" spans="1:14" s="11" customFormat="1">
      <c r="A112" s="100">
        <v>45772</v>
      </c>
      <c r="B112" s="82" t="s">
        <v>236</v>
      </c>
      <c r="C112" s="114">
        <v>0</v>
      </c>
      <c r="D112" s="115">
        <v>983.06700000000001</v>
      </c>
      <c r="E112" s="116">
        <f t="shared" ref="E112" si="6">D112*C112</f>
        <v>0</v>
      </c>
      <c r="F112" s="90">
        <v>1000.855116</v>
      </c>
      <c r="G112" s="17">
        <f t="shared" ref="G112" si="7">F112*C112</f>
        <v>0</v>
      </c>
      <c r="H112" s="419"/>
      <c r="I112" s="90"/>
      <c r="K112" s="78"/>
      <c r="L112" s="78"/>
      <c r="M112" s="78"/>
      <c r="N112" s="78"/>
    </row>
    <row r="113" spans="1:14" s="11" customFormat="1">
      <c r="A113" s="100">
        <v>45786</v>
      </c>
      <c r="B113" s="82" t="s">
        <v>1819</v>
      </c>
      <c r="C113" s="114">
        <v>24</v>
      </c>
      <c r="D113" s="115">
        <v>983.06700000000001</v>
      </c>
      <c r="E113" s="116">
        <f t="shared" ref="E113" si="8">D113*C113</f>
        <v>23593.608</v>
      </c>
      <c r="F113" s="90">
        <v>1000.855116</v>
      </c>
      <c r="G113" s="17">
        <f t="shared" ref="G113" si="9">F113*C113</f>
        <v>24020.522784000001</v>
      </c>
      <c r="H113" s="419"/>
      <c r="I113" s="90">
        <f t="shared" ref="I113" si="10">G113-E113</f>
        <v>426.91478400000051</v>
      </c>
      <c r="K113" s="78"/>
      <c r="L113" s="78"/>
      <c r="M113" s="78"/>
      <c r="N113" s="78"/>
    </row>
    <row r="114" spans="1:14" s="11" customFormat="1" ht="13.5" thickBot="1">
      <c r="A114" s="100">
        <v>45782</v>
      </c>
      <c r="B114" s="82" t="s">
        <v>1812</v>
      </c>
      <c r="C114" s="114">
        <v>16</v>
      </c>
      <c r="D114" s="115">
        <v>983.06700000000001</v>
      </c>
      <c r="E114" s="116">
        <f t="shared" ref="E114" si="11">D114*C114</f>
        <v>15729.072</v>
      </c>
      <c r="F114" s="90">
        <v>1000.855116</v>
      </c>
      <c r="G114" s="17"/>
      <c r="H114" s="419"/>
      <c r="I114" s="90"/>
      <c r="K114" s="78"/>
      <c r="L114" s="78"/>
      <c r="M114" s="78"/>
      <c r="N114" s="78"/>
    </row>
    <row r="115" spans="1:14" ht="13.5" thickBot="1">
      <c r="A115" s="100"/>
      <c r="B115" s="90"/>
      <c r="C115" s="12"/>
      <c r="D115" s="12"/>
      <c r="E115" s="90">
        <f>SUM(E108:E110)</f>
        <v>155990</v>
      </c>
      <c r="F115" s="90"/>
      <c r="G115" s="90"/>
      <c r="H115" s="117">
        <f>(SUM(G108:G110))-(SUM(E108:E110))</f>
        <v>79010</v>
      </c>
      <c r="I115" s="117">
        <f>SUM(I108:I110)</f>
        <v>79010</v>
      </c>
      <c r="J115" s="11"/>
    </row>
    <row r="116" spans="1:14">
      <c r="A116" s="100"/>
      <c r="B116" s="90"/>
      <c r="C116" s="12"/>
      <c r="D116" s="12"/>
      <c r="E116" s="90"/>
      <c r="F116" s="90"/>
      <c r="G116" s="90"/>
      <c r="H116" s="90"/>
      <c r="I116" s="90"/>
      <c r="J116" s="11"/>
    </row>
    <row r="117" spans="1:14">
      <c r="A117" s="100">
        <v>45345</v>
      </c>
      <c r="B117" s="82" t="s">
        <v>143</v>
      </c>
      <c r="C117" s="118">
        <v>125000</v>
      </c>
      <c r="D117" s="83">
        <v>1.0399430000000001</v>
      </c>
      <c r="E117" s="116">
        <f>D117*C117</f>
        <v>129992.87500000001</v>
      </c>
      <c r="F117" s="404">
        <v>0.91677699999999995</v>
      </c>
      <c r="G117" s="17">
        <f>F117*C117</f>
        <v>114597.125</v>
      </c>
      <c r="H117" s="90"/>
      <c r="I117" s="90">
        <f t="shared" ref="I117:I120" si="12">G117-E117</f>
        <v>-15395.750000000015</v>
      </c>
      <c r="J117" s="11"/>
    </row>
    <row r="118" spans="1:14">
      <c r="A118" s="100">
        <v>45400</v>
      </c>
      <c r="B118" s="82" t="s">
        <v>144</v>
      </c>
      <c r="C118" s="114">
        <v>10</v>
      </c>
      <c r="D118" s="83">
        <v>135</v>
      </c>
      <c r="E118" s="116">
        <f>D118*C118</f>
        <v>1350</v>
      </c>
      <c r="F118" s="90">
        <v>120</v>
      </c>
      <c r="G118" s="17">
        <f>F118*C118</f>
        <v>1200</v>
      </c>
      <c r="H118" s="90"/>
      <c r="I118" s="90">
        <f t="shared" si="12"/>
        <v>-150</v>
      </c>
      <c r="J118" s="11"/>
    </row>
    <row r="119" spans="1:14">
      <c r="A119" s="100">
        <v>45418</v>
      </c>
      <c r="B119" s="82" t="s">
        <v>145</v>
      </c>
      <c r="C119" s="114">
        <v>38</v>
      </c>
      <c r="D119" s="83">
        <v>30.5</v>
      </c>
      <c r="E119" s="116">
        <f>D119*C119</f>
        <v>1159</v>
      </c>
      <c r="F119" s="90">
        <v>15</v>
      </c>
      <c r="G119" s="17">
        <f>F119*C119</f>
        <v>570</v>
      </c>
      <c r="H119" s="90"/>
      <c r="I119" s="90">
        <f t="shared" si="12"/>
        <v>-589</v>
      </c>
      <c r="J119" s="11"/>
    </row>
    <row r="120" spans="1:14" ht="13.5" thickBot="1">
      <c r="A120" s="100">
        <v>45418</v>
      </c>
      <c r="B120" s="82" t="s">
        <v>146</v>
      </c>
      <c r="C120" s="114">
        <v>26</v>
      </c>
      <c r="D120" s="83">
        <v>37.115000000000002</v>
      </c>
      <c r="E120" s="116">
        <f>D120*C120</f>
        <v>964.99</v>
      </c>
      <c r="F120" s="90">
        <v>22</v>
      </c>
      <c r="G120" s="17">
        <f>F120*C120</f>
        <v>572</v>
      </c>
      <c r="H120" s="419">
        <f>SUM(G117:G120)</f>
        <v>116939.125</v>
      </c>
      <c r="I120" s="90">
        <f t="shared" si="12"/>
        <v>-392.99</v>
      </c>
      <c r="J120" s="11"/>
    </row>
    <row r="121" spans="1:14" ht="13.5" thickBot="1">
      <c r="A121" s="100"/>
      <c r="B121" s="90"/>
      <c r="C121" s="12"/>
      <c r="D121" s="12"/>
      <c r="E121" s="90">
        <f>SUM(E117:E120)</f>
        <v>133466.86499999999</v>
      </c>
      <c r="F121" s="90"/>
      <c r="G121" s="90"/>
      <c r="H121" s="117">
        <f>(SUM(G117:G120))-(SUM(E117:E120))</f>
        <v>-16527.739999999991</v>
      </c>
      <c r="I121" s="90"/>
      <c r="J121" s="11"/>
    </row>
    <row r="122" spans="1:14">
      <c r="A122" s="100"/>
      <c r="B122" s="90"/>
      <c r="C122" s="90"/>
      <c r="D122" s="90"/>
      <c r="E122" s="17"/>
      <c r="F122" s="90"/>
      <c r="G122" s="90"/>
      <c r="H122" s="90"/>
      <c r="I122" s="90"/>
      <c r="J122" s="11"/>
    </row>
    <row r="123" spans="1:14">
      <c r="A123" s="100">
        <v>45509</v>
      </c>
      <c r="B123" s="82" t="s">
        <v>1732</v>
      </c>
      <c r="C123" s="114">
        <v>1</v>
      </c>
      <c r="D123" s="83">
        <v>2500</v>
      </c>
      <c r="E123" s="116">
        <f>D123*C123</f>
        <v>2500</v>
      </c>
      <c r="F123" s="90">
        <v>4100</v>
      </c>
      <c r="G123" s="17">
        <f>C123*F123</f>
        <v>4100</v>
      </c>
      <c r="H123" s="90"/>
      <c r="I123" s="90">
        <f t="shared" ref="I123:I125" si="13">G123-E123</f>
        <v>1600</v>
      </c>
      <c r="J123" s="11"/>
    </row>
    <row r="124" spans="1:14">
      <c r="A124" s="100">
        <v>45509</v>
      </c>
      <c r="B124" s="82" t="s">
        <v>148</v>
      </c>
      <c r="C124" s="114">
        <v>16</v>
      </c>
      <c r="D124" s="83">
        <v>4100</v>
      </c>
      <c r="E124" s="116">
        <f>D124*C124</f>
        <v>65600</v>
      </c>
      <c r="F124" s="90">
        <f>F123*1.73</f>
        <v>7093</v>
      </c>
      <c r="G124" s="17">
        <f>C124*F124</f>
        <v>113488</v>
      </c>
      <c r="H124" s="90"/>
      <c r="I124" s="90">
        <f t="shared" si="13"/>
        <v>47888</v>
      </c>
      <c r="J124" s="11"/>
    </row>
    <row r="125" spans="1:14" ht="13.5" thickBot="1">
      <c r="A125" s="100">
        <v>45509</v>
      </c>
      <c r="B125" s="82" t="s">
        <v>149</v>
      </c>
      <c r="C125" s="114">
        <v>1</v>
      </c>
      <c r="D125" s="83">
        <v>16200</v>
      </c>
      <c r="E125" s="116">
        <f>D125*C125</f>
        <v>16200</v>
      </c>
      <c r="F125" s="90">
        <f>F124*4</f>
        <v>28372</v>
      </c>
      <c r="G125" s="17">
        <f>C125*F125</f>
        <v>28372</v>
      </c>
      <c r="H125" s="419">
        <f>SUM(G123:G125)</f>
        <v>145960</v>
      </c>
      <c r="I125" s="90">
        <f t="shared" si="13"/>
        <v>12172</v>
      </c>
      <c r="J125" s="11"/>
    </row>
    <row r="126" spans="1:14" ht="13.5" thickBot="1">
      <c r="A126" s="100"/>
      <c r="B126" s="90"/>
      <c r="C126" s="12"/>
      <c r="D126" s="12"/>
      <c r="E126" s="90">
        <f>SUM(E123:E125)</f>
        <v>84300</v>
      </c>
      <c r="F126" s="90"/>
      <c r="G126" s="90"/>
      <c r="H126" s="117">
        <f>(SUM(G123:G125))-(SUM(E123:E125))</f>
        <v>61660</v>
      </c>
      <c r="I126" s="90"/>
      <c r="J126" s="11"/>
    </row>
    <row r="127" spans="1:14">
      <c r="A127" s="100"/>
      <c r="B127" s="90" t="s">
        <v>150</v>
      </c>
      <c r="C127" s="120">
        <v>33.250599999999999</v>
      </c>
      <c r="D127" s="12"/>
      <c r="E127" s="90"/>
      <c r="F127" s="90"/>
      <c r="G127" s="17"/>
      <c r="H127" s="90"/>
      <c r="I127" s="90"/>
      <c r="J127" s="11"/>
    </row>
    <row r="128" spans="1:14">
      <c r="A128" s="100"/>
      <c r="B128" s="90" t="s">
        <v>151</v>
      </c>
      <c r="C128" s="120">
        <v>36.854999999999997</v>
      </c>
      <c r="D128" s="12"/>
      <c r="E128" s="90"/>
      <c r="F128" s="90"/>
      <c r="G128" s="17"/>
      <c r="H128" s="90"/>
      <c r="I128" s="90"/>
      <c r="J128" s="11"/>
    </row>
    <row r="129" spans="1:13">
      <c r="A129" s="100"/>
      <c r="B129" s="90" t="s">
        <v>152</v>
      </c>
      <c r="C129" s="12"/>
      <c r="D129" s="12"/>
      <c r="E129" s="90"/>
      <c r="F129" s="90"/>
      <c r="G129" s="17">
        <v>0</v>
      </c>
      <c r="H129" s="90"/>
      <c r="I129" s="90"/>
      <c r="J129" s="11"/>
    </row>
    <row r="130" spans="1:13" ht="13.5" thickBot="1">
      <c r="A130" s="100"/>
      <c r="B130" s="90" t="s">
        <v>153</v>
      </c>
      <c r="C130" s="12"/>
      <c r="D130" s="12"/>
      <c r="E130" s="90"/>
      <c r="F130" s="90"/>
      <c r="G130" s="17">
        <v>1000</v>
      </c>
      <c r="H130" s="90"/>
      <c r="I130" s="90"/>
      <c r="J130" s="11"/>
    </row>
    <row r="131" spans="1:13" ht="13.5" thickBot="1">
      <c r="A131" s="100"/>
      <c r="B131" s="90"/>
      <c r="C131" s="90"/>
      <c r="D131" s="90"/>
      <c r="E131" s="121"/>
      <c r="F131" s="122"/>
      <c r="G131" s="123" t="s">
        <v>154</v>
      </c>
      <c r="H131" s="429">
        <f>H126+H121+H115</f>
        <v>124142.26000000001</v>
      </c>
      <c r="I131" s="90"/>
      <c r="J131" s="11"/>
    </row>
    <row r="132" spans="1:13" ht="13.5" thickBot="1">
      <c r="A132" s="100"/>
      <c r="B132" s="90"/>
      <c r="C132" s="124"/>
      <c r="D132" s="92"/>
      <c r="E132" s="90"/>
      <c r="F132" s="90"/>
      <c r="G132" s="124"/>
      <c r="H132" s="90"/>
      <c r="I132" s="90"/>
      <c r="J132" s="11"/>
    </row>
    <row r="133" spans="1:13" ht="13.5" thickBot="1">
      <c r="A133" s="100"/>
      <c r="B133" s="90"/>
      <c r="C133" s="124"/>
      <c r="D133" s="18" t="s">
        <v>155</v>
      </c>
      <c r="E133" s="90"/>
      <c r="F133" s="90"/>
      <c r="G133" s="483">
        <f>SUM(G102:G130)</f>
        <v>652220.64778400003</v>
      </c>
      <c r="H133" s="90"/>
      <c r="I133" s="90"/>
      <c r="J133" s="11"/>
    </row>
    <row r="134" spans="1:13">
      <c r="A134" s="100"/>
      <c r="B134" s="90"/>
      <c r="C134" s="126" t="str">
        <f>A98</f>
        <v>HAZİRAN 2025 e</v>
      </c>
      <c r="D134" s="126" t="s">
        <v>156</v>
      </c>
      <c r="E134" s="90"/>
      <c r="F134" s="90"/>
      <c r="G134" s="127"/>
      <c r="H134" s="90"/>
      <c r="I134" s="90"/>
      <c r="J134" s="11"/>
    </row>
    <row r="135" spans="1:13">
      <c r="A135" s="100"/>
      <c r="B135" s="11"/>
      <c r="C135" s="438"/>
      <c r="D135" s="439"/>
      <c r="E135" s="405"/>
      <c r="F135" s="405"/>
      <c r="G135" s="409"/>
      <c r="H135" s="90"/>
      <c r="I135" s="90"/>
      <c r="J135" s="11"/>
    </row>
    <row r="136" spans="1:13">
      <c r="A136" s="90"/>
      <c r="B136" s="90" t="s">
        <v>1685</v>
      </c>
      <c r="C136" s="90"/>
      <c r="D136" s="90"/>
      <c r="E136" s="90"/>
      <c r="F136" s="90"/>
      <c r="G136" s="90"/>
      <c r="H136" s="90"/>
      <c r="I136" s="90" t="s">
        <v>1676</v>
      </c>
      <c r="J136" s="11" t="s">
        <v>1676</v>
      </c>
      <c r="K136" s="78" t="s">
        <v>1677</v>
      </c>
      <c r="L136" s="78" t="s">
        <v>1678</v>
      </c>
      <c r="M136" s="78" t="s">
        <v>1679</v>
      </c>
    </row>
    <row r="137" spans="1:13">
      <c r="A137" s="100">
        <v>45620</v>
      </c>
      <c r="B137" s="82" t="s">
        <v>1604</v>
      </c>
      <c r="C137" s="114">
        <v>3000</v>
      </c>
      <c r="D137" s="114">
        <v>32.549999999999997</v>
      </c>
      <c r="E137" s="116">
        <f t="shared" ref="E137" si="14">D137*C137</f>
        <v>97649.999999999985</v>
      </c>
      <c r="F137" s="90">
        <v>42.86</v>
      </c>
      <c r="G137" s="17">
        <f t="shared" ref="G137" si="15">F137*C137</f>
        <v>128580</v>
      </c>
      <c r="H137" s="90"/>
      <c r="I137" s="90">
        <f t="shared" ref="I137" si="16">G137-E137</f>
        <v>30930.000000000015</v>
      </c>
      <c r="J137" s="443">
        <f>(I137-I138)/E137</f>
        <v>0.31674347158218147</v>
      </c>
      <c r="K137" s="100">
        <v>45721</v>
      </c>
      <c r="L137" s="78">
        <f>K137-A137</f>
        <v>101</v>
      </c>
      <c r="M137" s="443">
        <f>J137/L137*30</f>
        <v>9.4082219281836091E-2</v>
      </c>
    </row>
    <row r="138" spans="1:13">
      <c r="A138" s="100"/>
      <c r="B138" s="82"/>
      <c r="C138" s="114" t="s">
        <v>1731</v>
      </c>
      <c r="D138" s="115"/>
      <c r="E138" s="116"/>
      <c r="F138" s="90" t="s">
        <v>1730</v>
      </c>
      <c r="G138" s="17">
        <v>-257.16000000000003</v>
      </c>
      <c r="H138" s="90"/>
      <c r="I138" s="90"/>
      <c r="J138" s="90"/>
      <c r="K138" s="475"/>
      <c r="M138" s="443"/>
    </row>
    <row r="139" spans="1:13">
      <c r="A139" s="100">
        <v>45772</v>
      </c>
      <c r="B139" s="82" t="s">
        <v>236</v>
      </c>
      <c r="C139" s="114">
        <v>16</v>
      </c>
      <c r="D139" s="115">
        <v>983.06700000000001</v>
      </c>
      <c r="E139" s="116">
        <f t="shared" ref="E139" si="17">D139*C139</f>
        <v>15729.072</v>
      </c>
      <c r="F139" s="90">
        <v>995.40553</v>
      </c>
      <c r="G139" s="17">
        <f t="shared" ref="G139" si="18">F139*C139</f>
        <v>15926.48848</v>
      </c>
      <c r="H139" s="419"/>
      <c r="I139" s="90">
        <f t="shared" ref="I139" si="19">G139-E139</f>
        <v>197.41647999999986</v>
      </c>
      <c r="J139" s="11"/>
    </row>
    <row r="140" spans="1:13">
      <c r="A140" s="100"/>
      <c r="B140" s="82" t="s">
        <v>1730</v>
      </c>
      <c r="C140" s="114"/>
      <c r="D140" s="115"/>
      <c r="E140" s="116"/>
      <c r="F140" s="404"/>
      <c r="G140" s="17"/>
      <c r="H140" s="90"/>
      <c r="I140" s="90">
        <v>-197.03</v>
      </c>
      <c r="J140" s="443"/>
      <c r="K140" s="100"/>
      <c r="M140" s="443"/>
    </row>
    <row r="141" spans="1:13">
      <c r="A141" s="406"/>
      <c r="B141" s="82" t="s">
        <v>1819</v>
      </c>
      <c r="C141" s="114">
        <v>24</v>
      </c>
      <c r="D141" s="115">
        <v>983.06700000000001</v>
      </c>
      <c r="E141" s="116">
        <f t="shared" ref="E141" si="20">D141*C141</f>
        <v>23593.608</v>
      </c>
      <c r="F141" s="90">
        <v>1000.855116</v>
      </c>
      <c r="G141" s="17">
        <f t="shared" ref="G141" si="21">F141*C141</f>
        <v>24020.522784000001</v>
      </c>
      <c r="H141" s="419"/>
      <c r="I141" s="90">
        <f t="shared" ref="I141" si="22">G141-E141</f>
        <v>426.91478400000051</v>
      </c>
      <c r="J141" s="90"/>
      <c r="K141" s="475"/>
    </row>
    <row r="142" spans="1:13" ht="13.5" thickBot="1">
      <c r="A142" s="407"/>
      <c r="B142" s="82" t="s">
        <v>1730</v>
      </c>
      <c r="C142" s="407" t="s">
        <v>1820</v>
      </c>
      <c r="D142" s="405"/>
      <c r="E142" s="405"/>
      <c r="F142" s="405"/>
      <c r="G142" s="405"/>
      <c r="H142" s="405"/>
      <c r="I142" s="407">
        <v>-308.62</v>
      </c>
      <c r="J142" s="11"/>
    </row>
    <row r="143" spans="1:13">
      <c r="A143" s="428"/>
      <c r="B143" s="428"/>
      <c r="C143" s="428"/>
      <c r="D143" s="417"/>
      <c r="E143" s="417"/>
      <c r="F143" s="417"/>
      <c r="G143" s="417">
        <f>SUM(G137:G142)</f>
        <v>168269.851264</v>
      </c>
      <c r="H143" s="417"/>
      <c r="I143" s="481">
        <f>SUM(I137:I142)</f>
        <v>31048.681264000017</v>
      </c>
      <c r="J143" s="11"/>
    </row>
    <row r="144" spans="1:13">
      <c r="A144" s="11"/>
      <c r="B144" s="11"/>
      <c r="C144" s="11"/>
      <c r="D144" s="90"/>
      <c r="E144" s="90"/>
      <c r="F144" s="90"/>
      <c r="G144" s="90"/>
      <c r="H144" s="90"/>
      <c r="I144" s="11"/>
      <c r="J144" s="11"/>
    </row>
    <row r="145" spans="1:14">
      <c r="A145" s="98"/>
      <c r="B145" s="11"/>
      <c r="C145" s="11"/>
      <c r="D145" s="90"/>
      <c r="E145" s="90"/>
      <c r="F145" s="90"/>
      <c r="G145" s="90"/>
      <c r="H145" s="90"/>
      <c r="I145" s="11"/>
      <c r="J145" s="11"/>
    </row>
    <row r="146" spans="1:14" ht="18">
      <c r="A146" s="495" t="s">
        <v>1745</v>
      </c>
      <c r="B146" s="11"/>
      <c r="C146" s="11"/>
      <c r="D146" s="90"/>
      <c r="E146" s="90"/>
      <c r="F146" s="90"/>
      <c r="G146" s="90"/>
      <c r="H146" s="90"/>
      <c r="I146" s="11"/>
      <c r="J146" s="11"/>
    </row>
    <row r="147" spans="1:14" ht="15.75">
      <c r="A147" s="98"/>
      <c r="B147" s="476">
        <f>1-76.4616%</f>
        <v>0.23538399999999993</v>
      </c>
      <c r="C147" s="477">
        <v>0.76461599999999996</v>
      </c>
      <c r="D147" s="404"/>
      <c r="E147" s="90"/>
      <c r="F147" s="90"/>
      <c r="G147" s="90"/>
      <c r="H147" s="90"/>
      <c r="I147" s="11"/>
      <c r="J147" s="11"/>
    </row>
    <row r="148" spans="1:14" ht="15.75">
      <c r="A148" s="98"/>
      <c r="B148" s="476" t="s">
        <v>1747</v>
      </c>
      <c r="C148" s="477"/>
      <c r="D148" s="404"/>
      <c r="E148" s="90"/>
      <c r="F148" s="90"/>
      <c r="G148" s="90"/>
      <c r="H148" s="90"/>
      <c r="I148" s="11"/>
      <c r="J148" s="11"/>
    </row>
    <row r="149" spans="1:14" ht="15.75">
      <c r="A149" s="98"/>
      <c r="B149" s="476" t="s">
        <v>1746</v>
      </c>
      <c r="C149" s="477"/>
      <c r="D149" s="404"/>
      <c r="E149" s="90"/>
      <c r="F149" s="90"/>
      <c r="G149" s="90"/>
      <c r="H149" s="90"/>
      <c r="I149" s="11"/>
      <c r="J149" s="11"/>
    </row>
    <row r="150" spans="1:14" ht="15.75">
      <c r="A150" s="98"/>
      <c r="B150" s="476" t="s">
        <v>1749</v>
      </c>
      <c r="C150" s="477"/>
      <c r="D150" s="404"/>
      <c r="E150" s="90"/>
      <c r="F150" s="90"/>
      <c r="G150" s="90"/>
      <c r="H150" s="90"/>
      <c r="I150" s="11"/>
      <c r="J150" s="11"/>
    </row>
    <row r="151" spans="1:14" ht="15.75">
      <c r="A151" s="98"/>
      <c r="B151" s="476" t="s">
        <v>1748</v>
      </c>
      <c r="C151" s="477"/>
      <c r="D151" s="404"/>
      <c r="E151" s="90"/>
      <c r="F151" s="90"/>
      <c r="G151" s="90"/>
      <c r="H151" s="90"/>
      <c r="I151" s="11"/>
      <c r="J151" s="11"/>
    </row>
    <row r="152" spans="1:14" ht="16.5" thickBot="1">
      <c r="A152" s="98"/>
      <c r="B152" s="476"/>
      <c r="C152" s="11" t="s">
        <v>1751</v>
      </c>
      <c r="D152" s="11" t="s">
        <v>1750</v>
      </c>
      <c r="E152" s="90" t="s">
        <v>1742</v>
      </c>
      <c r="F152" s="492">
        <v>138749.76000000001</v>
      </c>
      <c r="G152" s="11" t="s">
        <v>1743</v>
      </c>
      <c r="H152" s="90" t="s">
        <v>3</v>
      </c>
      <c r="I152" s="11"/>
      <c r="J152" s="11"/>
    </row>
    <row r="153" spans="1:14" ht="13.5" thickBot="1">
      <c r="A153" s="100"/>
      <c r="B153" s="82" t="s">
        <v>1752</v>
      </c>
      <c r="C153" s="118">
        <v>160</v>
      </c>
      <c r="D153" s="90">
        <f>C153</f>
        <v>160</v>
      </c>
      <c r="E153" s="83">
        <v>872.26</v>
      </c>
      <c r="F153" s="493">
        <f>E153*C153</f>
        <v>139561.60000000001</v>
      </c>
      <c r="G153" s="482">
        <v>962.89330700000005</v>
      </c>
      <c r="H153" s="17">
        <f>G153*C153</f>
        <v>154062.92912000002</v>
      </c>
      <c r="I153" s="12">
        <f>H153</f>
        <v>154062.92912000002</v>
      </c>
      <c r="J153" s="11"/>
    </row>
    <row r="154" spans="1:14" ht="13.5" thickBot="1">
      <c r="A154" s="100"/>
      <c r="B154" s="82" t="s">
        <v>1753</v>
      </c>
      <c r="C154" s="118">
        <v>78</v>
      </c>
      <c r="D154" s="90">
        <f>D153+C154</f>
        <v>238</v>
      </c>
      <c r="E154" s="83">
        <v>872.26</v>
      </c>
      <c r="F154" s="493">
        <f>E154*C154</f>
        <v>68036.28</v>
      </c>
      <c r="G154" s="403">
        <f>G155</f>
        <v>962.89330700000005</v>
      </c>
      <c r="H154" s="17">
        <f>G154*C154</f>
        <v>75105.677946000011</v>
      </c>
      <c r="I154" s="12">
        <f>I153+H154</f>
        <v>229168.60706600003</v>
      </c>
      <c r="J154" s="11"/>
    </row>
    <row r="155" spans="1:14" ht="13.5" thickBot="1">
      <c r="A155" s="491">
        <v>45755</v>
      </c>
      <c r="B155" s="494" t="s">
        <v>1741</v>
      </c>
      <c r="C155" s="118">
        <v>-21</v>
      </c>
      <c r="D155" s="90">
        <f>D154+C155</f>
        <v>217</v>
      </c>
      <c r="E155" s="83">
        <v>872.26</v>
      </c>
      <c r="F155" s="449">
        <f>E155*C155</f>
        <v>-18317.46</v>
      </c>
      <c r="G155" s="403">
        <f>G153</f>
        <v>962.89330700000005</v>
      </c>
      <c r="H155" s="141">
        <f>G155*C155</f>
        <v>-20220.759447</v>
      </c>
      <c r="I155" s="12">
        <f>I154+H155</f>
        <v>208947.84761900004</v>
      </c>
      <c r="J155" s="11"/>
    </row>
    <row r="156" spans="1:14" ht="13.5" thickBot="1">
      <c r="A156" s="100"/>
      <c r="B156" s="82" t="s">
        <v>1744</v>
      </c>
      <c r="C156" s="388"/>
      <c r="D156" s="90"/>
      <c r="E156" s="83"/>
      <c r="F156" s="90"/>
      <c r="G156" s="90"/>
      <c r="H156" s="90">
        <v>-300.32</v>
      </c>
      <c r="I156" s="12">
        <f>I155+H156</f>
        <v>208647.52761900003</v>
      </c>
      <c r="J156" s="11"/>
    </row>
    <row r="157" spans="1:14" ht="13.5" thickBot="1">
      <c r="A157" s="546">
        <v>45777</v>
      </c>
      <c r="B157" s="547" t="s">
        <v>1806</v>
      </c>
      <c r="C157" s="548">
        <v>219</v>
      </c>
      <c r="D157" s="549"/>
      <c r="E157" s="549"/>
      <c r="F157" s="549"/>
      <c r="G157" s="482">
        <f>G155</f>
        <v>962.89330700000005</v>
      </c>
      <c r="H157" s="550">
        <f>G157*C157</f>
        <v>210873.63423300002</v>
      </c>
      <c r="I157" s="461"/>
      <c r="J157" s="11"/>
    </row>
    <row r="158" spans="1:14" s="11" customFormat="1" ht="13.5" thickBot="1">
      <c r="A158" s="491">
        <v>45786</v>
      </c>
      <c r="B158" s="494" t="s">
        <v>1741</v>
      </c>
      <c r="C158" s="118">
        <v>-20</v>
      </c>
      <c r="D158" s="90">
        <f>D157+C158</f>
        <v>-20</v>
      </c>
      <c r="E158" s="83">
        <v>872.26</v>
      </c>
      <c r="F158" s="449">
        <f>E158*C158</f>
        <v>-17445.2</v>
      </c>
      <c r="G158" s="90">
        <v>1000.86</v>
      </c>
      <c r="H158" s="545">
        <f>G158*C158</f>
        <v>-20017.2</v>
      </c>
      <c r="I158" s="12">
        <f>I156+H158</f>
        <v>188630.32761900002</v>
      </c>
      <c r="K158" s="78"/>
      <c r="L158" s="78"/>
      <c r="M158" s="78"/>
      <c r="N158" s="78"/>
    </row>
    <row r="159" spans="1:14" s="11" customFormat="1" ht="13.5" thickBot="1">
      <c r="A159" s="541"/>
      <c r="B159" s="82" t="s">
        <v>1744</v>
      </c>
      <c r="C159" s="118"/>
      <c r="D159" s="90"/>
      <c r="E159" s="90"/>
      <c r="F159" s="90"/>
      <c r="G159" s="90"/>
      <c r="H159" s="17">
        <v>-257.18</v>
      </c>
      <c r="I159" s="90"/>
      <c r="K159" s="78"/>
      <c r="L159" s="78"/>
      <c r="M159" s="78"/>
      <c r="N159" s="78"/>
    </row>
    <row r="160" spans="1:14" s="11" customFormat="1" ht="13.5" thickBot="1">
      <c r="A160" s="546">
        <v>45786</v>
      </c>
      <c r="B160" s="547" t="s">
        <v>1806</v>
      </c>
      <c r="C160" s="548">
        <v>199</v>
      </c>
      <c r="D160" s="549"/>
      <c r="E160" s="549"/>
      <c r="F160" s="549"/>
      <c r="G160" s="549">
        <v>1000.86</v>
      </c>
      <c r="H160" s="550">
        <f>G160*C160</f>
        <v>199171.14</v>
      </c>
      <c r="I160" s="461"/>
      <c r="K160" s="78"/>
      <c r="L160" s="78"/>
      <c r="M160" s="78"/>
      <c r="N160" s="78"/>
    </row>
    <row r="161" spans="1:14" s="11" customFormat="1">
      <c r="A161" s="541"/>
      <c r="B161" s="82"/>
      <c r="C161" s="118"/>
      <c r="D161" s="90"/>
      <c r="E161" s="90"/>
      <c r="F161" s="90"/>
      <c r="G161" s="90"/>
      <c r="H161" s="17"/>
      <c r="I161" s="90"/>
      <c r="K161" s="78"/>
      <c r="L161" s="78"/>
      <c r="M161" s="78"/>
      <c r="N161" s="78"/>
    </row>
    <row r="162" spans="1:14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  <c r="J162" s="11"/>
    </row>
    <row r="163" spans="1:14">
      <c r="A163" s="98"/>
      <c r="B163" s="11"/>
      <c r="C163" s="11"/>
      <c r="D163" s="90"/>
      <c r="E163" s="90"/>
      <c r="F163" s="90"/>
      <c r="G163" s="90"/>
      <c r="H163" s="90"/>
      <c r="I163" s="11"/>
      <c r="J163" s="11"/>
    </row>
    <row r="164" spans="1:14">
      <c r="A164" s="98"/>
      <c r="B164" s="11"/>
      <c r="C164" s="11"/>
      <c r="D164" s="90"/>
      <c r="E164" s="90"/>
      <c r="F164" s="90"/>
      <c r="G164" s="90"/>
      <c r="H164" s="90"/>
      <c r="I164" s="11"/>
      <c r="J164" s="11"/>
    </row>
    <row r="165" spans="1:14">
      <c r="A165" s="98"/>
      <c r="B165" s="11"/>
      <c r="C165" s="11"/>
      <c r="D165" s="90"/>
      <c r="E165" s="90"/>
      <c r="F165" s="90"/>
      <c r="G165" s="90"/>
      <c r="H165" s="90"/>
      <c r="I165" s="11"/>
      <c r="J165" s="11"/>
    </row>
    <row r="166" spans="1:14">
      <c r="A166" s="98"/>
      <c r="B166" s="11"/>
      <c r="C166" s="11"/>
      <c r="D166" s="90"/>
      <c r="E166" s="90"/>
      <c r="F166" s="90"/>
      <c r="G166" s="90"/>
      <c r="H166" s="90"/>
      <c r="I166" s="11"/>
      <c r="J166" s="11"/>
    </row>
    <row r="167" spans="1:14">
      <c r="A167" s="98"/>
      <c r="B167" s="11"/>
      <c r="C167" s="11"/>
      <c r="D167" s="90"/>
      <c r="E167" s="90"/>
      <c r="F167" s="90"/>
      <c r="G167" s="90"/>
      <c r="H167" s="90"/>
      <c r="I167" s="11"/>
      <c r="J167" s="11"/>
    </row>
    <row r="168" spans="1:14">
      <c r="A168" s="98"/>
      <c r="B168" s="11"/>
      <c r="C168" s="11"/>
      <c r="D168" s="90"/>
      <c r="E168" s="90"/>
      <c r="F168" s="90"/>
      <c r="G168" s="90"/>
      <c r="H168" s="90"/>
      <c r="I168" s="11"/>
      <c r="J168" s="11"/>
    </row>
    <row r="169" spans="1:14">
      <c r="A169" s="98"/>
      <c r="B169" s="11"/>
      <c r="C169" s="11"/>
      <c r="D169" s="90"/>
      <c r="E169" s="90"/>
      <c r="F169" s="90"/>
      <c r="G169" s="90"/>
      <c r="H169" s="90"/>
      <c r="I169" s="11"/>
      <c r="J169" s="11"/>
    </row>
    <row r="170" spans="1:14">
      <c r="A170" s="98"/>
      <c r="B170" s="11"/>
      <c r="C170" s="11"/>
      <c r="D170" s="90"/>
      <c r="E170" s="90"/>
      <c r="F170" s="90"/>
      <c r="G170" s="90"/>
      <c r="H170" s="90"/>
      <c r="I170" s="11"/>
      <c r="J170" s="11"/>
    </row>
    <row r="171" spans="1:14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4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  <row r="173" spans="1:14">
      <c r="A173" s="98"/>
      <c r="B173" s="11"/>
      <c r="C173" s="11"/>
      <c r="D173" s="90"/>
      <c r="E173" s="90"/>
      <c r="F173" s="90"/>
      <c r="G173" s="90"/>
      <c r="H173" s="90"/>
      <c r="I173" s="11"/>
      <c r="J173" s="11"/>
    </row>
    <row r="174" spans="1:14">
      <c r="A174" s="98"/>
      <c r="B174" s="11"/>
      <c r="C174" s="11"/>
      <c r="D174" s="90"/>
      <c r="E174" s="90"/>
      <c r="F174" s="90"/>
      <c r="G174" s="90"/>
      <c r="H174" s="90"/>
      <c r="I174" s="11"/>
      <c r="J174" s="11"/>
    </row>
    <row r="175" spans="1:14">
      <c r="A175" s="98"/>
      <c r="B175" s="11"/>
      <c r="C175" s="11"/>
      <c r="D175" s="90"/>
      <c r="E175" s="90"/>
      <c r="F175" s="90"/>
      <c r="G175" s="90"/>
      <c r="H175" s="90"/>
      <c r="I175" s="11"/>
      <c r="J175" s="11"/>
    </row>
    <row r="176" spans="1:14">
      <c r="A176" s="98"/>
      <c r="B176" s="11"/>
      <c r="C176" s="11"/>
      <c r="D176" s="90"/>
      <c r="E176" s="90"/>
      <c r="F176" s="90"/>
      <c r="G176" s="90"/>
      <c r="H176" s="90"/>
      <c r="I176" s="11"/>
      <c r="J176" s="11"/>
    </row>
  </sheetData>
  <conditionalFormatting sqref="F123:F125">
    <cfRule type="cellIs" dxfId="63" priority="16" operator="lessThan">
      <formula>D123</formula>
    </cfRule>
  </conditionalFormatting>
  <conditionalFormatting sqref="F118:F120">
    <cfRule type="cellIs" dxfId="62" priority="17" operator="lessThan">
      <formula>D118</formula>
    </cfRule>
  </conditionalFormatting>
  <conditionalFormatting sqref="F110">
    <cfRule type="cellIs" dxfId="61" priority="18" operator="lessThan">
      <formula>D110</formula>
    </cfRule>
  </conditionalFormatting>
  <conditionalFormatting sqref="F109">
    <cfRule type="cellIs" dxfId="60" priority="19" operator="lessThan">
      <formula>D109</formula>
    </cfRule>
  </conditionalFormatting>
  <conditionalFormatting sqref="F138">
    <cfRule type="cellIs" dxfId="59" priority="15" operator="lessThan">
      <formula>D138</formula>
    </cfRule>
  </conditionalFormatting>
  <conditionalFormatting sqref="F140">
    <cfRule type="cellIs" dxfId="58" priority="13" operator="lessThan">
      <formula>D140</formula>
    </cfRule>
  </conditionalFormatting>
  <conditionalFormatting sqref="F108">
    <cfRule type="cellIs" dxfId="57" priority="11" operator="lessThan">
      <formula>D108</formula>
    </cfRule>
  </conditionalFormatting>
  <conditionalFormatting sqref="F137">
    <cfRule type="cellIs" dxfId="55" priority="10" operator="lessThan">
      <formula>D137</formula>
    </cfRule>
  </conditionalFormatting>
  <conditionalFormatting sqref="F117">
    <cfRule type="cellIs" dxfId="54" priority="9" operator="lessThan">
      <formula>D117</formula>
    </cfRule>
  </conditionalFormatting>
  <conditionalFormatting sqref="F139">
    <cfRule type="cellIs" dxfId="53" priority="6" operator="lessThan">
      <formula>D139</formula>
    </cfRule>
  </conditionalFormatting>
  <conditionalFormatting sqref="F111">
    <cfRule type="cellIs" dxfId="51" priority="4" operator="lessThan">
      <formula>D111</formula>
    </cfRule>
  </conditionalFormatting>
  <conditionalFormatting sqref="F113">
    <cfRule type="cellIs" dxfId="50" priority="5" operator="lessThan">
      <formula>D113</formula>
    </cfRule>
  </conditionalFormatting>
  <conditionalFormatting sqref="F141">
    <cfRule type="cellIs" dxfId="48" priority="3" operator="lessThan">
      <formula>D141</formula>
    </cfRule>
  </conditionalFormatting>
  <conditionalFormatting sqref="F112">
    <cfRule type="cellIs" dxfId="47" priority="2" operator="lessThan">
      <formula>D112</formula>
    </cfRule>
  </conditionalFormatting>
  <conditionalFormatting sqref="F114">
    <cfRule type="cellIs" dxfId="46" priority="1" operator="lessThan">
      <formula>D114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topLeftCell="A113" zoomScale="145" zoomScaleNormal="145" workbookViewId="0">
      <selection activeCell="E22" sqref="E22"/>
    </sheetView>
  </sheetViews>
  <sheetFormatPr defaultColWidth="12.28515625" defaultRowHeight="12.75"/>
  <cols>
    <col min="1" max="1" width="12.28515625" style="98"/>
    <col min="2" max="2" width="34.140625" customWidth="1"/>
    <col min="3" max="3" width="9.42578125" customWidth="1"/>
    <col min="4" max="4" width="11" style="77" customWidth="1"/>
    <col min="5" max="5" width="11.42578125" style="77" customWidth="1"/>
    <col min="6" max="6" width="11.7109375" style="77" customWidth="1"/>
    <col min="7" max="7" width="12.42578125" style="77" customWidth="1"/>
    <col min="8" max="8" width="11.140625" style="77" bestFit="1" customWidth="1"/>
    <col min="9" max="9" width="11" customWidth="1"/>
    <col min="10" max="10" width="8.5703125" bestFit="1" customWidth="1"/>
    <col min="11" max="11" width="10.5703125" style="78" bestFit="1" customWidth="1"/>
    <col min="12" max="12" width="7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97</v>
      </c>
      <c r="C2" s="79" t="s">
        <v>67</v>
      </c>
      <c r="D2" s="77">
        <f>SUM(D4:D30)</f>
        <v>15000</v>
      </c>
      <c r="E2" s="77">
        <f>SUM(E4:E30)</f>
        <v>-191614.26</v>
      </c>
      <c r="F2" s="77">
        <f>SUM(F4:F30)</f>
        <v>15054.88</v>
      </c>
      <c r="G2" s="77">
        <f>SUM(G4:G30)</f>
        <v>-191809.25000000003</v>
      </c>
      <c r="H2" s="77">
        <f>F2+G2</f>
        <v>-176754.37000000002</v>
      </c>
    </row>
    <row r="3" spans="1:14">
      <c r="B3" s="18"/>
    </row>
    <row r="4" spans="1:14">
      <c r="B4" s="41"/>
      <c r="H4" s="77">
        <f>H3+F4+G4</f>
        <v>0</v>
      </c>
    </row>
    <row r="5" spans="1:14">
      <c r="A5" s="430"/>
      <c r="F5" s="90"/>
      <c r="G5" s="90"/>
      <c r="H5" s="90">
        <f>H4+F5+G5</f>
        <v>0</v>
      </c>
    </row>
    <row r="6" spans="1:14">
      <c r="A6" s="425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425">
        <v>45750</v>
      </c>
      <c r="B7" s="393" t="s">
        <v>1717</v>
      </c>
      <c r="C7" s="392"/>
      <c r="D7" s="387"/>
      <c r="E7" s="387">
        <f>E50</f>
        <v>-19953.18</v>
      </c>
      <c r="F7" s="87"/>
      <c r="G7" s="87">
        <f>E7</f>
        <v>-19953.18</v>
      </c>
      <c r="H7" s="87">
        <f t="shared" ref="H7:H12" si="0">H6+F7+G7</f>
        <v>-22070.16</v>
      </c>
    </row>
    <row r="8" spans="1:14" s="11" customFormat="1">
      <c r="A8" s="425">
        <v>45720</v>
      </c>
      <c r="B8" s="393" t="s">
        <v>68</v>
      </c>
      <c r="C8" s="392"/>
      <c r="D8" s="387"/>
      <c r="E8" s="387">
        <f>E33</f>
        <v>-123984.02000000002</v>
      </c>
      <c r="F8" s="87"/>
      <c r="G8" s="87">
        <f>E8</f>
        <v>-123984.02000000002</v>
      </c>
      <c r="H8" s="87">
        <f t="shared" si="0"/>
        <v>-146054.18000000002</v>
      </c>
      <c r="K8" s="78"/>
      <c r="L8" s="78"/>
      <c r="M8" s="78"/>
      <c r="N8" s="78"/>
    </row>
    <row r="9" spans="1:14">
      <c r="A9" s="425">
        <v>45754</v>
      </c>
      <c r="B9" s="391" t="s">
        <v>1724</v>
      </c>
      <c r="C9" s="392"/>
      <c r="D9" s="387"/>
      <c r="E9" s="387"/>
      <c r="F9" s="87"/>
      <c r="G9" s="87">
        <v>-672.4</v>
      </c>
      <c r="H9" s="87">
        <f t="shared" si="0"/>
        <v>-146726.58000000002</v>
      </c>
    </row>
    <row r="10" spans="1:14">
      <c r="A10" s="425">
        <v>45755</v>
      </c>
      <c r="B10" s="391" t="s">
        <v>1594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-164226.58000000002</v>
      </c>
    </row>
    <row r="11" spans="1:14">
      <c r="A11" s="472"/>
      <c r="B11" s="8"/>
      <c r="C11" s="8"/>
      <c r="D11" s="87"/>
      <c r="E11" s="87"/>
      <c r="F11" s="87"/>
      <c r="G11" s="87"/>
      <c r="H11" s="87">
        <f t="shared" si="0"/>
        <v>-164226.58000000002</v>
      </c>
    </row>
    <row r="12" spans="1:14">
      <c r="A12" s="472"/>
      <c r="B12" s="8"/>
      <c r="C12" s="8"/>
      <c r="D12" s="87"/>
      <c r="E12" s="87"/>
      <c r="F12" s="87"/>
      <c r="G12" s="87"/>
      <c r="H12" s="87">
        <f t="shared" si="0"/>
        <v>-164226.58000000002</v>
      </c>
    </row>
    <row r="13" spans="1:14" s="78" customFormat="1">
      <c r="A13" s="413"/>
      <c r="B13" s="393" t="s">
        <v>72</v>
      </c>
      <c r="C13" s="392"/>
      <c r="D13" s="387"/>
      <c r="E13" s="387">
        <v>0</v>
      </c>
      <c r="F13" s="77"/>
      <c r="G13" s="77"/>
      <c r="H13" s="90">
        <f t="shared" ref="H13" si="1">H12+F13+G13</f>
        <v>-164226.58000000002</v>
      </c>
      <c r="I13"/>
      <c r="J13"/>
    </row>
    <row r="14" spans="1:14" s="78" customFormat="1">
      <c r="A14" s="413">
        <v>45763</v>
      </c>
      <c r="B14" s="540" t="s">
        <v>73</v>
      </c>
      <c r="C14" s="540"/>
      <c r="D14" s="384"/>
      <c r="E14" s="384">
        <v>-1000</v>
      </c>
      <c r="F14" s="77"/>
      <c r="G14" s="77">
        <v>-1175</v>
      </c>
      <c r="H14" s="90">
        <f t="shared" ref="H14:H18" si="2">H13+F14+G14</f>
        <v>-165401.58000000002</v>
      </c>
    </row>
    <row r="15" spans="1:14" s="78" customFormat="1">
      <c r="A15" s="413">
        <v>45763</v>
      </c>
      <c r="B15" s="540" t="s">
        <v>74</v>
      </c>
      <c r="C15" s="540"/>
      <c r="D15" s="384"/>
      <c r="E15" s="384">
        <v>-200</v>
      </c>
      <c r="F15" s="77"/>
      <c r="G15" s="77">
        <v>-30</v>
      </c>
      <c r="H15" s="90">
        <f t="shared" si="2"/>
        <v>-165431.58000000002</v>
      </c>
    </row>
    <row r="16" spans="1:14" s="78" customFormat="1">
      <c r="A16" s="413">
        <v>45777</v>
      </c>
      <c r="B16" s="434" t="s">
        <v>75</v>
      </c>
      <c r="C16" s="434"/>
      <c r="D16" s="384"/>
      <c r="E16" s="384">
        <v>-200</v>
      </c>
      <c r="F16" s="384"/>
      <c r="G16" s="384">
        <v>-185.67</v>
      </c>
      <c r="H16" s="90">
        <f t="shared" si="2"/>
        <v>-165617.25000000003</v>
      </c>
    </row>
    <row r="17" spans="1:14" s="78" customFormat="1">
      <c r="A17" s="425"/>
      <c r="B17" s="392" t="s">
        <v>76</v>
      </c>
      <c r="C17" s="392"/>
      <c r="D17" s="387">
        <v>15000</v>
      </c>
      <c r="E17" s="387"/>
      <c r="F17" s="387">
        <v>15054.88</v>
      </c>
      <c r="G17" s="77"/>
      <c r="H17" s="77">
        <f t="shared" si="2"/>
        <v>-150562.37000000002</v>
      </c>
      <c r="J17" s="94"/>
      <c r="K17" s="94"/>
      <c r="L17" s="95"/>
      <c r="M17" s="96"/>
    </row>
    <row r="18" spans="1:14" s="78" customFormat="1">
      <c r="A18" s="413"/>
      <c r="B18" s="392" t="s">
        <v>77</v>
      </c>
      <c r="C18" s="392"/>
      <c r="D18" s="387"/>
      <c r="E18" s="387">
        <v>-7500</v>
      </c>
      <c r="F18" s="87"/>
      <c r="G18" s="87">
        <v>-7504</v>
      </c>
      <c r="H18" s="87">
        <f t="shared" si="2"/>
        <v>-158066.37000000002</v>
      </c>
      <c r="J18" s="94"/>
      <c r="K18" s="94"/>
      <c r="L18" s="95"/>
      <c r="M18" s="96"/>
    </row>
    <row r="19" spans="1:14" s="78" customFormat="1">
      <c r="A19" s="413"/>
      <c r="B19" s="392" t="s">
        <v>78</v>
      </c>
      <c r="C19" s="392"/>
      <c r="D19" s="387"/>
      <c r="E19" s="387">
        <v>-7500</v>
      </c>
      <c r="F19" s="87"/>
      <c r="G19" s="87">
        <v>-7504</v>
      </c>
      <c r="H19" s="87">
        <f t="shared" ref="H19:H23" si="3">H18+F19+G19</f>
        <v>-165570.37000000002</v>
      </c>
      <c r="J19" s="94"/>
      <c r="K19" s="94"/>
      <c r="L19" s="95"/>
      <c r="M19" s="96"/>
    </row>
    <row r="20" spans="1:14" s="78" customFormat="1">
      <c r="A20" s="413"/>
      <c r="B20" s="392" t="s">
        <v>79</v>
      </c>
      <c r="C20" s="392"/>
      <c r="D20" s="387"/>
      <c r="E20" s="387">
        <v>-7500</v>
      </c>
      <c r="F20" s="87"/>
      <c r="G20" s="87">
        <v>-7500</v>
      </c>
      <c r="H20" s="87">
        <f t="shared" si="3"/>
        <v>-173070.37000000002</v>
      </c>
      <c r="J20" s="94"/>
      <c r="K20" s="94"/>
      <c r="L20" s="95"/>
      <c r="M20" s="96"/>
    </row>
    <row r="21" spans="1:14" s="78" customFormat="1">
      <c r="A21" s="425">
        <v>45744</v>
      </c>
      <c r="B21" s="392" t="s">
        <v>98</v>
      </c>
      <c r="C21" s="392" t="s">
        <v>101</v>
      </c>
      <c r="D21" s="387" t="s">
        <v>390</v>
      </c>
      <c r="E21" s="387">
        <v>-1380</v>
      </c>
      <c r="F21" s="77"/>
      <c r="G21" s="77"/>
      <c r="H21" s="90">
        <f t="shared" si="3"/>
        <v>-173070.37000000002</v>
      </c>
      <c r="J21" s="94"/>
      <c r="K21" s="94"/>
      <c r="L21" s="95"/>
      <c r="M21" s="96"/>
    </row>
    <row r="22" spans="1:14" s="78" customFormat="1">
      <c r="A22" s="425">
        <v>45776</v>
      </c>
      <c r="B22" s="392" t="s">
        <v>98</v>
      </c>
      <c r="C22" s="392" t="s">
        <v>324</v>
      </c>
      <c r="D22" s="387" t="s">
        <v>390</v>
      </c>
      <c r="E22" s="387">
        <v>-1380</v>
      </c>
      <c r="F22" s="77"/>
      <c r="G22" s="77"/>
      <c r="H22" s="90">
        <f t="shared" si="3"/>
        <v>-173070.37000000002</v>
      </c>
      <c r="J22" s="94"/>
      <c r="K22" s="94"/>
      <c r="L22" s="95"/>
      <c r="M22" s="96"/>
    </row>
    <row r="23" spans="1:14" s="78" customFormat="1">
      <c r="A23" s="413">
        <v>45775</v>
      </c>
      <c r="B23" s="434" t="s">
        <v>80</v>
      </c>
      <c r="C23" s="434"/>
      <c r="D23" s="384"/>
      <c r="E23" s="384">
        <v>-600</v>
      </c>
      <c r="F23" s="77"/>
      <c r="G23" s="77">
        <v>-335</v>
      </c>
      <c r="H23" s="90">
        <f t="shared" si="3"/>
        <v>-173405.37000000002</v>
      </c>
      <c r="J23" s="94"/>
      <c r="K23" s="94"/>
      <c r="L23" s="95"/>
      <c r="M23" s="96"/>
    </row>
    <row r="24" spans="1:14" s="78" customFormat="1">
      <c r="A24" s="413">
        <v>45775</v>
      </c>
      <c r="B24" s="434" t="s">
        <v>81</v>
      </c>
      <c r="C24" s="434"/>
      <c r="D24" s="384"/>
      <c r="E24" s="384">
        <v>-800</v>
      </c>
      <c r="F24" s="77"/>
      <c r="G24" s="77">
        <v>-560</v>
      </c>
      <c r="H24" s="77">
        <f t="shared" ref="H24:H29" si="4">H23+F24+G24</f>
        <v>-173965.37000000002</v>
      </c>
      <c r="J24" s="94"/>
      <c r="K24" s="94"/>
      <c r="L24" s="95"/>
      <c r="M24" s="96"/>
    </row>
    <row r="25" spans="1:14" s="78" customFormat="1">
      <c r="A25" s="413">
        <v>45764</v>
      </c>
      <c r="B25" s="434" t="s">
        <v>455</v>
      </c>
      <c r="C25" s="415"/>
      <c r="D25" s="384"/>
      <c r="E25" s="384"/>
      <c r="F25" s="77"/>
      <c r="G25" s="77">
        <v>-70</v>
      </c>
      <c r="H25" s="77">
        <f t="shared" si="4"/>
        <v>-174035.37000000002</v>
      </c>
    </row>
    <row r="26" spans="1:14" s="78" customFormat="1">
      <c r="A26" s="98"/>
      <c r="D26" s="77"/>
      <c r="E26" s="77"/>
      <c r="F26" s="77"/>
      <c r="G26" s="77"/>
      <c r="H26" s="77">
        <f t="shared" si="4"/>
        <v>-174035.37000000002</v>
      </c>
    </row>
    <row r="27" spans="1:14">
      <c r="B27" s="101" t="s">
        <v>99</v>
      </c>
      <c r="C27" s="101"/>
      <c r="H27" s="77">
        <f t="shared" si="4"/>
        <v>-174035.37000000002</v>
      </c>
      <c r="I27" s="78"/>
      <c r="J27" s="78"/>
    </row>
    <row r="28" spans="1:14">
      <c r="A28" s="413">
        <v>45764</v>
      </c>
      <c r="B28" s="420" t="s">
        <v>1778</v>
      </c>
      <c r="C28" s="420"/>
      <c r="D28" s="384"/>
      <c r="E28" s="384"/>
      <c r="F28" s="384"/>
      <c r="G28" s="384">
        <v>-2500</v>
      </c>
      <c r="H28" s="77">
        <f t="shared" si="4"/>
        <v>-176535.37000000002</v>
      </c>
    </row>
    <row r="29" spans="1:14">
      <c r="A29" s="413">
        <v>45777</v>
      </c>
      <c r="B29" s="420" t="s">
        <v>1808</v>
      </c>
      <c r="C29" s="420"/>
      <c r="D29" s="384"/>
      <c r="E29" s="384"/>
      <c r="G29" s="77">
        <v>-219</v>
      </c>
      <c r="H29" s="77">
        <f t="shared" si="4"/>
        <v>-176754.37000000002</v>
      </c>
    </row>
    <row r="30" spans="1:14" s="78" customFormat="1">
      <c r="A30" s="98"/>
      <c r="B30"/>
      <c r="C30"/>
      <c r="D30" s="77"/>
      <c r="E30" s="77"/>
      <c r="F30" s="77"/>
      <c r="G30" s="77"/>
      <c r="H30" s="77"/>
      <c r="I30"/>
      <c r="J30"/>
    </row>
    <row r="31" spans="1:14" s="77" customFormat="1">
      <c r="A31" s="9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A32" s="430"/>
      <c r="B32" s="102"/>
      <c r="K32" s="78"/>
      <c r="L32" s="78"/>
      <c r="M32" s="78"/>
      <c r="N32" s="78"/>
    </row>
    <row r="33" spans="1:14">
      <c r="A33" s="431"/>
      <c r="B33" s="104" t="s">
        <v>83</v>
      </c>
      <c r="C33" s="103"/>
      <c r="E33" s="77">
        <f>SUM(E35:E45)</f>
        <v>-123984.02000000002</v>
      </c>
      <c r="I33" s="77"/>
      <c r="J33" s="77"/>
    </row>
    <row r="34" spans="1:14" s="77" customFormat="1">
      <c r="A34" s="98"/>
      <c r="B34"/>
      <c r="C34"/>
      <c r="I34"/>
      <c r="J34"/>
      <c r="K34" s="78"/>
      <c r="L34" s="78"/>
      <c r="M34" s="78"/>
      <c r="N34" s="78"/>
    </row>
    <row r="35" spans="1:14" s="90" customFormat="1">
      <c r="A35" s="98">
        <v>45713</v>
      </c>
      <c r="B35" s="11" t="s">
        <v>1714</v>
      </c>
      <c r="C35" s="11" t="s">
        <v>1700</v>
      </c>
      <c r="E35" s="90">
        <v>-291.36</v>
      </c>
      <c r="F35" s="90">
        <v>1</v>
      </c>
      <c r="I35" s="11"/>
      <c r="J35" s="11"/>
      <c r="K35" s="78"/>
      <c r="L35" s="78"/>
      <c r="M35" s="78"/>
      <c r="N35" s="78"/>
    </row>
    <row r="36" spans="1:14" s="90" customFormat="1">
      <c r="A36" s="98"/>
      <c r="B36" s="11"/>
      <c r="C36" s="11"/>
      <c r="I36" s="11"/>
      <c r="J36" s="11"/>
      <c r="K36" s="78"/>
      <c r="L36" s="78"/>
      <c r="M36" s="78"/>
      <c r="N36" s="78"/>
    </row>
    <row r="37" spans="1:14" s="77" customFormat="1">
      <c r="A37" s="98">
        <v>45715</v>
      </c>
      <c r="B37" s="90" t="s">
        <v>1637</v>
      </c>
      <c r="C37" s="90">
        <v>5938.68</v>
      </c>
      <c r="D37" s="90" t="s">
        <v>659</v>
      </c>
      <c r="E37" s="90">
        <v>-989.78</v>
      </c>
      <c r="F37" s="77">
        <v>1</v>
      </c>
      <c r="K37" s="78"/>
      <c r="L37" s="78"/>
      <c r="M37" s="78"/>
      <c r="N37" s="78"/>
    </row>
    <row r="38" spans="1:14" s="77" customFormat="1">
      <c r="A38" s="98">
        <v>45716</v>
      </c>
      <c r="B38" s="77" t="s">
        <v>1672</v>
      </c>
      <c r="E38" s="77">
        <v>-1023.05</v>
      </c>
      <c r="F38" s="77">
        <v>1</v>
      </c>
      <c r="K38" s="78"/>
      <c r="L38" s="78"/>
      <c r="M38" s="78"/>
      <c r="N38" s="78"/>
    </row>
    <row r="39" spans="1:14" s="77" customFormat="1">
      <c r="A39" s="98">
        <v>45716</v>
      </c>
      <c r="B39" s="90" t="s">
        <v>1672</v>
      </c>
      <c r="E39" s="77">
        <v>-118966.5</v>
      </c>
      <c r="F39" s="77">
        <v>1</v>
      </c>
      <c r="K39" s="78"/>
      <c r="L39" s="78"/>
      <c r="M39" s="78"/>
      <c r="N39" s="78"/>
    </row>
    <row r="40" spans="1:14">
      <c r="A40" s="98">
        <v>45716</v>
      </c>
      <c r="B40" s="90" t="s">
        <v>1701</v>
      </c>
      <c r="C40" s="90"/>
      <c r="D40" s="90"/>
      <c r="E40" s="90">
        <v>-1380</v>
      </c>
      <c r="F40" s="90">
        <v>1</v>
      </c>
      <c r="I40" s="77"/>
      <c r="J40" s="77"/>
    </row>
    <row r="41" spans="1:14" s="77" customFormat="1">
      <c r="A41" s="430">
        <v>45723</v>
      </c>
      <c r="B41" s="77" t="s">
        <v>129</v>
      </c>
      <c r="D41" s="77">
        <v>19043.61</v>
      </c>
      <c r="I41"/>
      <c r="J41"/>
      <c r="K41" s="78"/>
      <c r="L41" s="78"/>
      <c r="M41" s="78"/>
      <c r="N41" s="78"/>
    </row>
    <row r="42" spans="1:14" s="77" customFormat="1">
      <c r="A42" s="98">
        <v>45741</v>
      </c>
      <c r="B42" s="106" t="s">
        <v>539</v>
      </c>
      <c r="C42" s="106"/>
      <c r="E42" s="77">
        <v>-1262</v>
      </c>
      <c r="F42" s="77">
        <v>1</v>
      </c>
      <c r="K42" s="78"/>
      <c r="L42" s="78"/>
      <c r="M42" s="78"/>
      <c r="N42" s="78"/>
    </row>
    <row r="43" spans="1:14" s="77" customFormat="1">
      <c r="B43" s="77" t="s">
        <v>544</v>
      </c>
      <c r="E43" s="77">
        <v>-4.7699999999999996</v>
      </c>
      <c r="K43" s="78"/>
      <c r="L43" s="78"/>
      <c r="M43" s="78"/>
      <c r="N43" s="78"/>
    </row>
    <row r="44" spans="1:14" s="77" customFormat="1">
      <c r="A44" s="98"/>
      <c r="B44" s="107" t="s">
        <v>544</v>
      </c>
      <c r="C44" s="106"/>
      <c r="E44" s="77">
        <v>-3.46</v>
      </c>
      <c r="K44" s="78"/>
      <c r="L44" s="78"/>
      <c r="M44" s="78"/>
      <c r="N44" s="78"/>
    </row>
    <row r="45" spans="1:14" s="77" customFormat="1">
      <c r="A45" s="98"/>
      <c r="B45" s="107" t="s">
        <v>1066</v>
      </c>
      <c r="C45" s="106"/>
      <c r="E45" s="77">
        <v>-63.1</v>
      </c>
      <c r="K45" s="78"/>
      <c r="L45" s="78"/>
      <c r="M45" s="78"/>
      <c r="N45" s="78"/>
    </row>
    <row r="46" spans="1:14" s="77" customFormat="1" ht="15">
      <c r="A46" s="98"/>
      <c r="B46" s="107"/>
      <c r="E46" s="105" t="s">
        <v>84</v>
      </c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77" customFormat="1">
      <c r="A49" s="98"/>
      <c r="B49" s="106"/>
      <c r="C49" s="106"/>
      <c r="K49" s="78"/>
      <c r="L49" s="78"/>
      <c r="M49" s="78"/>
      <c r="N49" s="78"/>
    </row>
    <row r="50" spans="1:14" s="77" customFormat="1">
      <c r="A50" s="431"/>
      <c r="B50" s="104" t="s">
        <v>85</v>
      </c>
      <c r="C50" s="103"/>
      <c r="E50" s="77">
        <f>SUM(E51:E74)</f>
        <v>-19953.18</v>
      </c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98">
        <v>45728</v>
      </c>
      <c r="B54" s="90" t="s">
        <v>1687</v>
      </c>
      <c r="C54"/>
      <c r="D54" s="77" t="s">
        <v>1688</v>
      </c>
      <c r="E54" s="77">
        <v>-625</v>
      </c>
      <c r="K54" s="78"/>
      <c r="L54" s="78"/>
      <c r="M54" s="78"/>
      <c r="N54" s="78"/>
    </row>
    <row r="55" spans="1:14" s="77" customFormat="1">
      <c r="A55" s="430">
        <v>45692</v>
      </c>
      <c r="B55" s="90" t="s">
        <v>1662</v>
      </c>
      <c r="C55" s="90"/>
      <c r="D55" s="90" t="s">
        <v>990</v>
      </c>
      <c r="E55" s="90">
        <v>-600.13</v>
      </c>
      <c r="K55" s="78"/>
      <c r="L55" s="78"/>
      <c r="M55" s="78"/>
      <c r="N55" s="78"/>
    </row>
    <row r="56" spans="1:14" s="90" customFormat="1">
      <c r="A56" s="430">
        <v>45692</v>
      </c>
      <c r="B56" s="90" t="s">
        <v>1662</v>
      </c>
      <c r="D56" s="90" t="s">
        <v>990</v>
      </c>
      <c r="E56" s="90">
        <v>-2500.3000000000002</v>
      </c>
      <c r="K56" s="78"/>
      <c r="L56" s="78"/>
      <c r="M56" s="78"/>
      <c r="N56" s="78"/>
    </row>
    <row r="57" spans="1:14" s="90" customFormat="1">
      <c r="A57" s="98"/>
      <c r="B57" s="92"/>
      <c r="C57" s="106"/>
      <c r="K57" s="78"/>
      <c r="L57" s="78"/>
      <c r="M57" s="78"/>
      <c r="N57" s="78"/>
    </row>
    <row r="58" spans="1:14" s="77" customFormat="1">
      <c r="A58" s="98">
        <v>45737</v>
      </c>
      <c r="B58" s="77" t="s">
        <v>1689</v>
      </c>
      <c r="E58" s="77">
        <v>-2350</v>
      </c>
      <c r="K58" s="78"/>
      <c r="L58" s="78"/>
      <c r="M58" s="78"/>
      <c r="N58" s="78"/>
    </row>
    <row r="59" spans="1:14" s="77" customFormat="1">
      <c r="A59" s="98">
        <v>45737</v>
      </c>
      <c r="B59" s="77" t="s">
        <v>1690</v>
      </c>
      <c r="E59" s="77">
        <v>-1800</v>
      </c>
      <c r="K59" s="78"/>
      <c r="L59" s="78"/>
      <c r="M59" s="78"/>
      <c r="N59" s="78"/>
    </row>
    <row r="60" spans="1:14" s="77" customFormat="1">
      <c r="A60" s="98">
        <v>45714</v>
      </c>
      <c r="B60" s="3" t="s">
        <v>1612</v>
      </c>
      <c r="C60" s="106"/>
      <c r="E60" s="77">
        <v>-80</v>
      </c>
      <c r="K60" s="78"/>
      <c r="L60" s="78"/>
      <c r="M60" s="78"/>
      <c r="N60" s="78"/>
    </row>
    <row r="61" spans="1:14" s="77" customFormat="1">
      <c r="A61" s="98">
        <v>45716</v>
      </c>
      <c r="B61" s="3" t="s">
        <v>1691</v>
      </c>
      <c r="C61" s="106"/>
      <c r="E61" s="77">
        <v>-120</v>
      </c>
      <c r="K61" s="78"/>
      <c r="L61" s="78"/>
      <c r="M61" s="78"/>
      <c r="N61" s="78"/>
    </row>
    <row r="62" spans="1:14" s="77" customFormat="1">
      <c r="A62" s="98">
        <v>45716</v>
      </c>
      <c r="B62" s="77" t="s">
        <v>1612</v>
      </c>
      <c r="E62" s="77">
        <v>-360</v>
      </c>
      <c r="K62" s="78"/>
      <c r="L62" s="78"/>
      <c r="M62" s="78"/>
      <c r="N62" s="78"/>
    </row>
    <row r="63" spans="1:14" s="77" customFormat="1">
      <c r="A63" s="430">
        <v>45717</v>
      </c>
      <c r="B63" s="77" t="s">
        <v>1692</v>
      </c>
      <c r="E63" s="77">
        <v>-500</v>
      </c>
      <c r="K63" s="78"/>
      <c r="L63" s="78"/>
      <c r="M63" s="78"/>
      <c r="N63" s="78"/>
    </row>
    <row r="64" spans="1:14" s="77" customFormat="1">
      <c r="A64" s="98">
        <v>45721</v>
      </c>
      <c r="B64" s="3" t="s">
        <v>129</v>
      </c>
      <c r="C64" s="106"/>
      <c r="D64" s="77">
        <v>14628.183000000001</v>
      </c>
      <c r="K64" s="78"/>
      <c r="L64" s="78"/>
      <c r="M64" s="78"/>
      <c r="N64" s="78"/>
    </row>
    <row r="65" spans="1:14" s="77" customFormat="1" ht="13.5" thickBot="1">
      <c r="A65" s="98"/>
      <c r="B65" s="3"/>
      <c r="C65" s="106"/>
      <c r="K65" s="78"/>
      <c r="L65" s="78"/>
      <c r="M65" s="78"/>
      <c r="N65" s="78"/>
    </row>
    <row r="66" spans="1:14" s="77" customFormat="1">
      <c r="A66" s="98">
        <v>45728</v>
      </c>
      <c r="B66" s="3" t="s">
        <v>1693</v>
      </c>
      <c r="C66" s="106"/>
      <c r="D66" s="458">
        <v>1400</v>
      </c>
      <c r="E66" s="77">
        <v>-1400</v>
      </c>
      <c r="K66" s="78"/>
      <c r="L66" s="78"/>
      <c r="M66" s="78"/>
      <c r="N66" s="78"/>
    </row>
    <row r="67" spans="1:14" s="77" customFormat="1">
      <c r="A67" s="98">
        <v>45728</v>
      </c>
      <c r="B67" s="3" t="s">
        <v>1694</v>
      </c>
      <c r="C67" s="106"/>
      <c r="D67" s="459">
        <v>4150</v>
      </c>
      <c r="E67" s="77">
        <v>-4150</v>
      </c>
      <c r="K67" s="78"/>
      <c r="L67" s="78"/>
      <c r="M67" s="78"/>
      <c r="N67" s="78"/>
    </row>
    <row r="68" spans="1:14" s="77" customFormat="1">
      <c r="A68" s="98">
        <v>45733</v>
      </c>
      <c r="B68" s="92" t="s">
        <v>1695</v>
      </c>
      <c r="C68" s="106"/>
      <c r="D68" s="459">
        <v>2500</v>
      </c>
      <c r="E68" s="77">
        <v>-2500</v>
      </c>
      <c r="K68" s="78"/>
      <c r="L68" s="78"/>
      <c r="M68" s="78"/>
      <c r="N68" s="78"/>
    </row>
    <row r="69" spans="1:14" s="77" customFormat="1">
      <c r="A69" s="98">
        <v>45733</v>
      </c>
      <c r="B69" s="3" t="s">
        <v>1696</v>
      </c>
      <c r="C69" s="106"/>
      <c r="D69" s="459">
        <v>1400</v>
      </c>
      <c r="E69" s="77">
        <v>-1400</v>
      </c>
      <c r="K69" s="78"/>
      <c r="L69" s="78"/>
      <c r="M69" s="78"/>
      <c r="N69" s="78"/>
    </row>
    <row r="70" spans="1:14" s="77" customFormat="1">
      <c r="A70" s="98">
        <v>45739</v>
      </c>
      <c r="B70" s="3" t="s">
        <v>1697</v>
      </c>
      <c r="C70" s="106"/>
      <c r="D70" s="459">
        <v>1200</v>
      </c>
      <c r="E70" s="77">
        <v>-1000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1698</v>
      </c>
      <c r="C71" s="106"/>
      <c r="D71" s="459"/>
      <c r="E71" s="77">
        <v>-550</v>
      </c>
      <c r="K71" s="78"/>
      <c r="L71" s="78"/>
      <c r="M71" s="78"/>
      <c r="N71" s="78"/>
    </row>
    <row r="72" spans="1:14" s="77" customFormat="1">
      <c r="A72" s="98"/>
      <c r="B72" s="3" t="s">
        <v>1699</v>
      </c>
      <c r="D72" s="459"/>
      <c r="E72" s="77">
        <v>-17.75</v>
      </c>
      <c r="K72" s="78"/>
      <c r="L72" s="78"/>
      <c r="M72" s="78"/>
      <c r="N72" s="78"/>
    </row>
    <row r="73" spans="1:14" ht="15">
      <c r="B73" s="3"/>
      <c r="C73" s="106"/>
      <c r="D73" s="459"/>
      <c r="E73" s="105" t="s">
        <v>84</v>
      </c>
      <c r="I73" s="77"/>
      <c r="J73" s="77"/>
    </row>
    <row r="74" spans="1:14" ht="13.5" thickBot="1">
      <c r="D74" s="459"/>
    </row>
    <row r="75" spans="1:14" ht="13.5" thickBot="1">
      <c r="B75" s="462" t="s">
        <v>1707</v>
      </c>
      <c r="C75" s="151"/>
      <c r="D75" s="117">
        <f>SUM(D66:D74)</f>
        <v>10650</v>
      </c>
    </row>
    <row r="76" spans="1:14">
      <c r="A76" s="457">
        <v>45740</v>
      </c>
      <c r="B76" s="407" t="s">
        <v>1708</v>
      </c>
      <c r="C76" s="407"/>
      <c r="D76" s="464">
        <v>8500</v>
      </c>
      <c r="E76" s="405"/>
      <c r="F76" s="405"/>
    </row>
    <row r="77" spans="1:14">
      <c r="A77" s="457">
        <v>45740</v>
      </c>
      <c r="B77" s="407" t="s">
        <v>1709</v>
      </c>
      <c r="C77" s="407"/>
      <c r="D77" s="465">
        <v>90000</v>
      </c>
      <c r="E77" s="405"/>
      <c r="F77" s="405"/>
    </row>
    <row r="78" spans="1:14">
      <c r="A78" s="457">
        <v>45728</v>
      </c>
      <c r="B78" s="407" t="s">
        <v>1710</v>
      </c>
      <c r="C78" s="407"/>
      <c r="D78" s="465">
        <v>1500</v>
      </c>
      <c r="E78" s="405"/>
      <c r="F78" s="405"/>
    </row>
    <row r="79" spans="1:14">
      <c r="B79" s="466" t="s">
        <v>1715</v>
      </c>
      <c r="D79" s="459">
        <v>3750</v>
      </c>
    </row>
    <row r="80" spans="1:14">
      <c r="A80" s="98">
        <v>45743</v>
      </c>
      <c r="B80" s="471" t="s">
        <v>1723</v>
      </c>
      <c r="C80" s="468"/>
      <c r="D80" s="470">
        <v>1600</v>
      </c>
    </row>
    <row r="81" spans="1:14">
      <c r="B81" s="467" t="s">
        <v>1712</v>
      </c>
      <c r="C81" s="468"/>
      <c r="D81" s="469">
        <v>25000</v>
      </c>
    </row>
    <row r="82" spans="1:14" s="11" customFormat="1">
      <c r="A82" s="98">
        <v>45761</v>
      </c>
      <c r="B82" s="496" t="s">
        <v>1754</v>
      </c>
      <c r="C82" s="497"/>
      <c r="D82" s="498">
        <v>4500</v>
      </c>
      <c r="E82" s="90"/>
      <c r="F82" s="90"/>
      <c r="G82" s="90"/>
      <c r="H82" s="90"/>
      <c r="K82" s="78"/>
      <c r="L82" s="78"/>
      <c r="M82" s="78"/>
      <c r="N82" s="78"/>
    </row>
    <row r="83" spans="1:14" s="11" customFormat="1">
      <c r="A83" s="98">
        <v>45772</v>
      </c>
      <c r="B83" s="467" t="s">
        <v>1777</v>
      </c>
      <c r="C83" s="468"/>
      <c r="D83" s="469">
        <v>700</v>
      </c>
      <c r="E83" s="90"/>
      <c r="F83" s="90"/>
      <c r="G83" s="90"/>
      <c r="H83" s="90"/>
      <c r="K83" s="78"/>
      <c r="L83" s="78"/>
      <c r="M83" s="78"/>
      <c r="N83" s="78"/>
    </row>
    <row r="84" spans="1:14">
      <c r="A84" s="98">
        <v>45772</v>
      </c>
      <c r="B84" t="s">
        <v>1791</v>
      </c>
      <c r="D84" s="459">
        <v>700</v>
      </c>
    </row>
    <row r="85" spans="1:14" s="11" customFormat="1">
      <c r="A85" s="98">
        <v>45772</v>
      </c>
      <c r="B85" s="11" t="s">
        <v>1792</v>
      </c>
      <c r="D85" s="459">
        <v>1200</v>
      </c>
      <c r="E85" s="90"/>
      <c r="F85" s="90"/>
      <c r="G85" s="90"/>
      <c r="H85" s="90"/>
      <c r="K85" s="78"/>
      <c r="L85" s="78"/>
      <c r="M85" s="78"/>
      <c r="N85" s="78"/>
    </row>
    <row r="86" spans="1:14" s="11" customFormat="1">
      <c r="A86" s="98"/>
      <c r="B86" s="11" t="s">
        <v>1793</v>
      </c>
      <c r="D86" s="459"/>
      <c r="E86" s="90"/>
      <c r="F86" s="90"/>
      <c r="G86" s="90"/>
      <c r="H86" s="90"/>
      <c r="K86" s="78"/>
      <c r="L86" s="78"/>
      <c r="M86" s="78"/>
      <c r="N86" s="78"/>
    </row>
    <row r="87" spans="1:14" s="11" customFormat="1">
      <c r="A87" s="98"/>
      <c r="B87" s="11" t="s">
        <v>1794</v>
      </c>
      <c r="D87" s="459"/>
      <c r="E87" s="90"/>
      <c r="F87" s="90"/>
      <c r="G87" s="90"/>
      <c r="H87" s="90"/>
      <c r="K87" s="78"/>
      <c r="L87" s="78"/>
      <c r="M87" s="78"/>
      <c r="N87" s="78"/>
    </row>
    <row r="88" spans="1:14" s="11" customFormat="1">
      <c r="A88" s="98"/>
      <c r="B88" s="11" t="s">
        <v>1795</v>
      </c>
      <c r="D88" s="459"/>
      <c r="E88" s="90"/>
      <c r="F88" s="90"/>
      <c r="G88" s="90"/>
      <c r="H88" s="90"/>
      <c r="K88" s="78"/>
      <c r="L88" s="78"/>
      <c r="M88" s="78"/>
      <c r="N88" s="78"/>
    </row>
    <row r="89" spans="1:14" s="11" customFormat="1">
      <c r="A89" s="98"/>
      <c r="B89" s="11" t="s">
        <v>1796</v>
      </c>
      <c r="D89" s="459"/>
      <c r="E89" s="90"/>
      <c r="F89" s="90"/>
      <c r="G89" s="90"/>
      <c r="H89" s="90"/>
      <c r="K89" s="78"/>
      <c r="L89" s="78"/>
      <c r="M89" s="78"/>
      <c r="N89" s="78"/>
    </row>
    <row r="90" spans="1:14" s="11" customFormat="1">
      <c r="A90" s="98"/>
      <c r="B90" s="11" t="s">
        <v>1797</v>
      </c>
      <c r="D90" s="459"/>
      <c r="E90" s="90"/>
      <c r="F90" s="90"/>
      <c r="G90" s="90"/>
      <c r="H90" s="90"/>
      <c r="K90" s="78"/>
      <c r="L90" s="78"/>
      <c r="M90" s="78"/>
      <c r="N90" s="78"/>
    </row>
    <row r="91" spans="1:14" ht="13.5" thickBot="1">
      <c r="D91" s="460"/>
    </row>
    <row r="92" spans="1:14" ht="13.5" thickBot="1">
      <c r="B92" s="462" t="s">
        <v>1711</v>
      </c>
      <c r="C92" s="463"/>
      <c r="D92" s="461">
        <f>SUM(D75:D91)</f>
        <v>148100</v>
      </c>
    </row>
    <row r="106" spans="1:23">
      <c r="A106" s="113" t="s">
        <v>1729</v>
      </c>
      <c r="B106" s="104" t="s">
        <v>136</v>
      </c>
      <c r="C106" s="103">
        <v>2025</v>
      </c>
      <c r="D106" s="90"/>
      <c r="E106" s="90"/>
      <c r="F106" s="90"/>
      <c r="G106" s="90">
        <f>SUM(G110:G135)</f>
        <v>798246.41619999986</v>
      </c>
      <c r="H106" s="90"/>
      <c r="I106" s="90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13"/>
      <c r="B107" s="104"/>
      <c r="C107" s="103"/>
      <c r="D107" s="90"/>
      <c r="E107" s="90"/>
      <c r="F107" s="90"/>
      <c r="G107" s="90"/>
      <c r="H107" s="90"/>
      <c r="I107" s="90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13"/>
      <c r="B108" s="104"/>
      <c r="C108" s="103"/>
      <c r="D108" s="90"/>
      <c r="E108" s="90" t="s">
        <v>137</v>
      </c>
      <c r="F108" s="90"/>
      <c r="G108" s="90"/>
      <c r="H108" s="90"/>
      <c r="I108" s="90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100"/>
      <c r="B109" s="90" t="s">
        <v>77</v>
      </c>
      <c r="C109" s="90"/>
      <c r="D109" s="90"/>
      <c r="E109" s="90"/>
      <c r="F109" s="90"/>
      <c r="G109" s="90">
        <v>0</v>
      </c>
      <c r="H109" s="90"/>
      <c r="I109" s="90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100"/>
      <c r="B110" s="90" t="s">
        <v>78</v>
      </c>
      <c r="C110" s="90"/>
      <c r="D110" s="90"/>
      <c r="E110" s="90"/>
      <c r="F110" s="90"/>
      <c r="G110" s="90">
        <v>0</v>
      </c>
      <c r="H110" s="90"/>
      <c r="I110" s="90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100">
        <v>45777</v>
      </c>
      <c r="B111" s="90" t="s">
        <v>1739</v>
      </c>
      <c r="C111" s="90"/>
      <c r="D111" s="90"/>
      <c r="E111" s="90">
        <v>159330</v>
      </c>
      <c r="F111" s="90">
        <v>-36500</v>
      </c>
      <c r="G111" s="90">
        <f>E111+F111</f>
        <v>122830</v>
      </c>
      <c r="H111" s="90"/>
      <c r="I111" s="90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100"/>
      <c r="B112" s="90" t="s">
        <v>1740</v>
      </c>
      <c r="C112" s="90"/>
      <c r="D112" s="90"/>
      <c r="E112" s="90"/>
      <c r="F112" s="90"/>
      <c r="G112" s="90">
        <f>D92</f>
        <v>148100</v>
      </c>
      <c r="H112" s="90"/>
      <c r="I112" s="90"/>
      <c r="K112" s="78"/>
      <c r="L112" s="78"/>
      <c r="M112" s="78"/>
      <c r="N112" s="78"/>
    </row>
    <row r="113" spans="1:23">
      <c r="A113" s="100">
        <v>45749</v>
      </c>
      <c r="B113" s="90" t="s">
        <v>139</v>
      </c>
      <c r="C113" s="12"/>
      <c r="D113" s="12"/>
      <c r="E113" s="90"/>
      <c r="F113" s="90"/>
      <c r="G113" s="17">
        <v>6171</v>
      </c>
      <c r="H113" s="90"/>
      <c r="I113" s="90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100">
        <v>45749</v>
      </c>
      <c r="B114" s="90" t="s">
        <v>140</v>
      </c>
      <c r="C114" s="12"/>
      <c r="D114" s="12"/>
      <c r="E114" s="90"/>
      <c r="F114" s="90"/>
      <c r="G114" s="17">
        <v>300</v>
      </c>
      <c r="H114" s="90"/>
      <c r="I114" s="90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100"/>
      <c r="B115" s="90"/>
      <c r="C115" s="12"/>
      <c r="D115" s="12"/>
      <c r="E115" s="90"/>
      <c r="F115" s="90"/>
      <c r="G115" s="17"/>
      <c r="H115" s="90"/>
      <c r="I115" s="90" t="s">
        <v>1686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100">
        <v>45620</v>
      </c>
      <c r="B116" s="82" t="s">
        <v>1604</v>
      </c>
      <c r="C116" s="114"/>
      <c r="D116" s="114">
        <v>32.549999999999997</v>
      </c>
      <c r="E116" s="116">
        <f t="shared" ref="E116" si="5">D116*C116</f>
        <v>0</v>
      </c>
      <c r="F116" s="90">
        <v>45.3</v>
      </c>
      <c r="G116" s="17">
        <f t="shared" ref="G116" si="6">F116*C116</f>
        <v>0</v>
      </c>
      <c r="H116" s="90"/>
      <c r="I116" s="90">
        <f t="shared" ref="I116" si="7">G116-E116</f>
        <v>0</v>
      </c>
      <c r="K116" s="78"/>
      <c r="L116" s="78"/>
      <c r="M116" s="78"/>
      <c r="N116" s="78"/>
    </row>
    <row r="117" spans="1:23">
      <c r="A117" s="100">
        <v>45620</v>
      </c>
      <c r="B117" s="82" t="s">
        <v>1604</v>
      </c>
      <c r="C117" s="114">
        <v>1000</v>
      </c>
      <c r="D117" s="114">
        <v>32.549999999999997</v>
      </c>
      <c r="E117" s="116">
        <f t="shared" ref="E117:E118" si="8">D117*C117</f>
        <v>32549.999999999996</v>
      </c>
      <c r="F117" s="90">
        <f>F116</f>
        <v>45.3</v>
      </c>
      <c r="G117" s="17">
        <f>F117*C117</f>
        <v>45300</v>
      </c>
      <c r="H117" s="90"/>
      <c r="I117" s="90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100">
        <v>45659</v>
      </c>
      <c r="B118" s="82" t="s">
        <v>1603</v>
      </c>
      <c r="C118" s="114">
        <v>4000</v>
      </c>
      <c r="D118" s="115">
        <v>30.86</v>
      </c>
      <c r="E118" s="116">
        <f t="shared" si="8"/>
        <v>123440</v>
      </c>
      <c r="F118" s="90">
        <f>F117</f>
        <v>45.3</v>
      </c>
      <c r="G118" s="17">
        <f t="shared" ref="G118" si="9">F118*C118</f>
        <v>181200</v>
      </c>
      <c r="H118" s="419">
        <f>SUM(G117:G118)</f>
        <v>226500</v>
      </c>
      <c r="I118" s="90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100">
        <v>45772</v>
      </c>
      <c r="B119" s="82" t="s">
        <v>236</v>
      </c>
      <c r="C119" s="114">
        <v>40</v>
      </c>
      <c r="D119" s="115">
        <v>983.06700000000001</v>
      </c>
      <c r="E119" s="116">
        <f t="shared" ref="E119" si="11">D119*C119</f>
        <v>39322.68</v>
      </c>
      <c r="F119" s="90">
        <v>988.94078000000002</v>
      </c>
      <c r="G119" s="17">
        <f t="shared" ref="G119" si="12">F119*C119</f>
        <v>39557.631200000003</v>
      </c>
      <c r="H119" s="419"/>
      <c r="I119" s="90">
        <f t="shared" ref="I119" si="13">G119-E119</f>
        <v>234.95120000000315</v>
      </c>
      <c r="K119" s="78"/>
      <c r="L119" s="78"/>
      <c r="M119" s="78"/>
      <c r="N119" s="78"/>
    </row>
    <row r="120" spans="1:23" ht="13.5" thickBot="1">
      <c r="A120" s="100"/>
      <c r="B120" s="90"/>
      <c r="C120" s="12"/>
      <c r="D120" s="12"/>
      <c r="E120" s="90">
        <f>SUM(E116:E118)</f>
        <v>155990</v>
      </c>
      <c r="F120" s="90"/>
      <c r="G120" s="90"/>
      <c r="H120" s="117">
        <f>(SUM(G116:G118))-(SUM(E116:E118))</f>
        <v>70510</v>
      </c>
      <c r="I120" s="117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100"/>
      <c r="B121" s="90"/>
      <c r="C121" s="12"/>
      <c r="D121" s="12"/>
      <c r="E121" s="90"/>
      <c r="F121" s="90"/>
      <c r="G121" s="90"/>
      <c r="H121" s="90"/>
      <c r="I121" s="90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100">
        <v>45345</v>
      </c>
      <c r="B122" s="82" t="s">
        <v>143</v>
      </c>
      <c r="C122" s="118">
        <v>125000</v>
      </c>
      <c r="D122" s="83">
        <v>1.0399430000000001</v>
      </c>
      <c r="E122" s="116">
        <f>D122*C122</f>
        <v>129992.87500000001</v>
      </c>
      <c r="F122" s="404">
        <v>0.90134499999999995</v>
      </c>
      <c r="G122" s="17">
        <f>F122*C122</f>
        <v>112668.125</v>
      </c>
      <c r="H122" s="90"/>
      <c r="I122" s="90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100">
        <v>45400</v>
      </c>
      <c r="B123" s="82" t="s">
        <v>144</v>
      </c>
      <c r="C123" s="114">
        <v>10</v>
      </c>
      <c r="D123" s="83">
        <v>135</v>
      </c>
      <c r="E123" s="116">
        <f>D123*C123</f>
        <v>1350</v>
      </c>
      <c r="F123" s="90">
        <v>109.4</v>
      </c>
      <c r="G123" s="17">
        <f>F123*C123</f>
        <v>1094</v>
      </c>
      <c r="H123" s="90"/>
      <c r="I123" s="90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100">
        <v>45418</v>
      </c>
      <c r="B124" s="82" t="s">
        <v>145</v>
      </c>
      <c r="C124" s="114">
        <v>38</v>
      </c>
      <c r="D124" s="83">
        <v>30.5</v>
      </c>
      <c r="E124" s="116">
        <f>D124*C124</f>
        <v>1159</v>
      </c>
      <c r="F124" s="90">
        <v>15.67</v>
      </c>
      <c r="G124" s="17">
        <f>F124*C124</f>
        <v>595.46</v>
      </c>
      <c r="H124" s="90"/>
      <c r="I124" s="90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100">
        <v>45418</v>
      </c>
      <c r="B125" s="82" t="s">
        <v>146</v>
      </c>
      <c r="C125" s="114">
        <v>26</v>
      </c>
      <c r="D125" s="83">
        <v>37.115000000000002</v>
      </c>
      <c r="E125" s="116">
        <f>D125*C125</f>
        <v>964.99</v>
      </c>
      <c r="F125" s="90">
        <v>22.7</v>
      </c>
      <c r="G125" s="17">
        <f>F125*C125</f>
        <v>590.19999999999993</v>
      </c>
      <c r="H125" s="419">
        <f>SUM(G122:G125)</f>
        <v>114947.785</v>
      </c>
      <c r="I125" s="90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100"/>
      <c r="B126" s="90"/>
      <c r="C126" s="12"/>
      <c r="D126" s="12"/>
      <c r="E126" s="90">
        <f>SUM(E122:E125)</f>
        <v>133466.86499999999</v>
      </c>
      <c r="F126" s="90"/>
      <c r="G126" s="90"/>
      <c r="H126" s="117">
        <f>(SUM(G122:G125))-(SUM(E122:E125))</f>
        <v>-18519.079999999987</v>
      </c>
      <c r="I126" s="90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100"/>
      <c r="B127" s="90"/>
      <c r="C127" s="90"/>
      <c r="D127" s="90"/>
      <c r="E127" s="17"/>
      <c r="F127" s="90"/>
      <c r="G127" s="90"/>
      <c r="H127" s="90"/>
      <c r="I127" s="90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100">
        <v>45509</v>
      </c>
      <c r="B128" s="82" t="s">
        <v>1732</v>
      </c>
      <c r="C128" s="114">
        <v>1</v>
      </c>
      <c r="D128" s="83">
        <v>2500</v>
      </c>
      <c r="E128" s="116">
        <f>D128*C128</f>
        <v>2500</v>
      </c>
      <c r="F128" s="90">
        <v>3900</v>
      </c>
      <c r="G128" s="17">
        <f>C128*F128</f>
        <v>3900</v>
      </c>
      <c r="H128" s="90"/>
      <c r="I128" s="90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6747</v>
      </c>
      <c r="G129" s="17">
        <f>C129*F129</f>
        <v>107952</v>
      </c>
      <c r="H129" s="90"/>
      <c r="I129" s="90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26988</v>
      </c>
      <c r="G130" s="17">
        <f>C130*F130</f>
        <v>26988</v>
      </c>
      <c r="H130" s="419">
        <f>SUM(G128:G130)</f>
        <v>138840</v>
      </c>
      <c r="I130" s="90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54540</v>
      </c>
      <c r="I131" s="90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100"/>
      <c r="B132" s="90" t="s">
        <v>150</v>
      </c>
      <c r="C132" s="120">
        <v>33.250599999999999</v>
      </c>
      <c r="D132" s="12"/>
      <c r="E132" s="90"/>
      <c r="F132" s="90"/>
      <c r="G132" s="17"/>
      <c r="H132" s="90"/>
      <c r="I132" s="90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100"/>
      <c r="B133" s="90" t="s">
        <v>151</v>
      </c>
      <c r="C133" s="120">
        <v>36.854999999999997</v>
      </c>
      <c r="D133" s="12"/>
      <c r="E133" s="90"/>
      <c r="F133" s="90"/>
      <c r="G133" s="17"/>
      <c r="H133" s="90"/>
      <c r="I133" s="90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100"/>
      <c r="B134" s="90" t="s">
        <v>152</v>
      </c>
      <c r="C134" s="12"/>
      <c r="D134" s="12"/>
      <c r="E134" s="90"/>
      <c r="F134" s="90"/>
      <c r="G134" s="17">
        <v>0</v>
      </c>
      <c r="H134" s="90"/>
      <c r="I134" s="90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100"/>
      <c r="B135" s="90" t="s">
        <v>153</v>
      </c>
      <c r="C135" s="12"/>
      <c r="D135" s="12"/>
      <c r="E135" s="90"/>
      <c r="F135" s="90"/>
      <c r="G135" s="17">
        <v>1000</v>
      </c>
      <c r="H135" s="90"/>
      <c r="I135" s="90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100"/>
      <c r="B136" s="90"/>
      <c r="C136" s="90"/>
      <c r="D136" s="90"/>
      <c r="E136" s="121"/>
      <c r="F136" s="122"/>
      <c r="G136" s="123" t="s">
        <v>154</v>
      </c>
      <c r="H136" s="429">
        <f>H131+H126+H120</f>
        <v>106530.92000000001</v>
      </c>
      <c r="I136" s="90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100"/>
      <c r="B137" s="90"/>
      <c r="C137" s="124"/>
      <c r="D137" s="92"/>
      <c r="E137" s="90"/>
      <c r="F137" s="90"/>
      <c r="G137" s="124"/>
      <c r="H137" s="90"/>
      <c r="I137" s="90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100"/>
      <c r="B138" s="90"/>
      <c r="C138" s="124"/>
      <c r="D138" s="18" t="s">
        <v>155</v>
      </c>
      <c r="E138" s="90"/>
      <c r="F138" s="90"/>
      <c r="G138" s="483">
        <f>SUM(G110:G135)</f>
        <v>798246.41619999986</v>
      </c>
      <c r="H138" s="90"/>
      <c r="I138" s="90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100"/>
      <c r="B139" s="90"/>
      <c r="C139" s="126" t="str">
        <f>A106</f>
        <v>MAYIS 2025 e</v>
      </c>
      <c r="D139" s="126" t="s">
        <v>156</v>
      </c>
      <c r="E139" s="90"/>
      <c r="F139" s="90"/>
      <c r="G139" s="127"/>
      <c r="H139" s="90"/>
      <c r="I139" s="90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100"/>
      <c r="B140" s="11"/>
      <c r="C140" s="438"/>
      <c r="D140" s="439"/>
      <c r="E140" s="405"/>
      <c r="F140" s="405"/>
      <c r="G140" s="409"/>
      <c r="H140" s="90"/>
      <c r="I140" s="90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90"/>
      <c r="B141" s="90" t="s">
        <v>1685</v>
      </c>
      <c r="C141" s="90"/>
      <c r="D141" s="90"/>
      <c r="E141" s="90"/>
      <c r="F141" s="90"/>
      <c r="G141" s="90"/>
      <c r="H141" s="90"/>
      <c r="I141" s="90" t="s">
        <v>1676</v>
      </c>
      <c r="J141" s="11" t="s">
        <v>1676</v>
      </c>
      <c r="K141" s="78" t="s">
        <v>1677</v>
      </c>
      <c r="L141" s="78" t="s">
        <v>1678</v>
      </c>
      <c r="M141" s="78" t="s">
        <v>1679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100">
        <v>45620</v>
      </c>
      <c r="B142" s="82" t="s">
        <v>1604</v>
      </c>
      <c r="C142" s="114">
        <v>3000</v>
      </c>
      <c r="D142" s="114">
        <v>32.549999999999997</v>
      </c>
      <c r="E142" s="116">
        <f t="shared" ref="E142" si="16">D142*C142</f>
        <v>97649.999999999985</v>
      </c>
      <c r="F142" s="90">
        <v>42.86</v>
      </c>
      <c r="G142" s="17">
        <f t="shared" ref="G142" si="17">F142*C142</f>
        <v>128580</v>
      </c>
      <c r="H142" s="90"/>
      <c r="I142" s="90">
        <f t="shared" ref="I142" si="18">G142-E142</f>
        <v>30930.000000000015</v>
      </c>
      <c r="J142" s="443">
        <f>(I142-I143)/E142</f>
        <v>0.31674347158218147</v>
      </c>
      <c r="K142" s="100">
        <v>45721</v>
      </c>
      <c r="L142" s="78">
        <f>K142-A142</f>
        <v>101</v>
      </c>
      <c r="M142" s="443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100"/>
      <c r="B143" s="82"/>
      <c r="C143" s="114" t="s">
        <v>1731</v>
      </c>
      <c r="D143" s="115"/>
      <c r="E143" s="116"/>
      <c r="F143" s="90" t="s">
        <v>1730</v>
      </c>
      <c r="G143" s="17">
        <v>-257.16000000000003</v>
      </c>
      <c r="H143" s="90"/>
      <c r="I143" s="90"/>
      <c r="J143" s="90"/>
      <c r="K143" s="475"/>
      <c r="M143" s="443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100"/>
      <c r="B144" s="82"/>
      <c r="C144" s="114"/>
      <c r="D144" s="115"/>
      <c r="E144" s="116"/>
      <c r="F144" s="404"/>
      <c r="G144" s="17">
        <v>-12.86</v>
      </c>
      <c r="H144" s="90"/>
      <c r="I144" s="90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100"/>
      <c r="B145" s="82"/>
      <c r="C145" s="114"/>
      <c r="D145" s="115"/>
      <c r="E145" s="116"/>
      <c r="F145" s="404"/>
      <c r="G145" s="17"/>
      <c r="H145" s="90"/>
      <c r="I145" s="90"/>
      <c r="J145" s="443"/>
      <c r="K145" s="100"/>
      <c r="M145" s="443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406"/>
      <c r="B146" s="407"/>
      <c r="C146" s="455"/>
      <c r="D146" s="456"/>
      <c r="E146" s="409"/>
      <c r="F146" s="405"/>
      <c r="G146" s="409"/>
      <c r="H146" s="405"/>
      <c r="I146" s="405"/>
      <c r="J146" s="90"/>
      <c r="K146" s="475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407"/>
      <c r="B147" s="407"/>
      <c r="C147" s="407"/>
      <c r="D147" s="405"/>
      <c r="E147" s="405"/>
      <c r="F147" s="405"/>
      <c r="G147" s="405"/>
      <c r="H147" s="405"/>
      <c r="I147" s="407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28"/>
      <c r="B148" s="428"/>
      <c r="C148" s="428"/>
      <c r="D148" s="417"/>
      <c r="E148" s="417"/>
      <c r="F148" s="417"/>
      <c r="G148" s="417">
        <f>SUM(G142:G147)</f>
        <v>128309.98</v>
      </c>
      <c r="H148" s="417"/>
      <c r="I148" s="481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90"/>
      <c r="E149" s="90"/>
      <c r="F149" s="90"/>
      <c r="G149" s="90"/>
      <c r="H149" s="90"/>
      <c r="I149" s="11"/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90"/>
      <c r="E150" s="90"/>
      <c r="F150" s="90"/>
      <c r="G150" s="90"/>
      <c r="H150" s="90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495" t="s">
        <v>1745</v>
      </c>
    </row>
    <row r="152" spans="1:23" ht="15.75">
      <c r="B152" s="476">
        <f>1-76.4616%</f>
        <v>0.23538399999999993</v>
      </c>
      <c r="C152" s="477">
        <v>0.76461599999999996</v>
      </c>
      <c r="D152" s="404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8"/>
      <c r="B153" s="476" t="s">
        <v>1747</v>
      </c>
      <c r="C153" s="477"/>
      <c r="D153" s="404"/>
      <c r="E153" s="90"/>
      <c r="F153" s="90"/>
      <c r="G153" s="90"/>
      <c r="H153" s="90"/>
      <c r="K153" s="78"/>
      <c r="L153" s="78"/>
      <c r="M153" s="78"/>
      <c r="N153" s="78"/>
    </row>
    <row r="154" spans="1:23" s="11" customFormat="1" ht="15.75">
      <c r="A154" s="98"/>
      <c r="B154" s="476" t="s">
        <v>1746</v>
      </c>
      <c r="C154" s="477"/>
      <c r="D154" s="404"/>
      <c r="E154" s="90"/>
      <c r="F154" s="90"/>
      <c r="G154" s="90"/>
      <c r="H154" s="90"/>
      <c r="K154" s="78"/>
      <c r="L154" s="78"/>
      <c r="M154" s="78"/>
      <c r="N154" s="78"/>
    </row>
    <row r="155" spans="1:23" s="11" customFormat="1" ht="15.75">
      <c r="A155" s="98"/>
      <c r="B155" s="476" t="s">
        <v>1749</v>
      </c>
      <c r="C155" s="477"/>
      <c r="D155" s="404"/>
      <c r="E155" s="90"/>
      <c r="F155" s="90"/>
      <c r="G155" s="90"/>
      <c r="H155" s="90"/>
      <c r="K155" s="78"/>
      <c r="L155" s="78"/>
      <c r="M155" s="78"/>
      <c r="N155" s="78"/>
    </row>
    <row r="156" spans="1:23" s="11" customFormat="1" ht="15.75">
      <c r="A156" s="98"/>
      <c r="B156" s="476" t="s">
        <v>1748</v>
      </c>
      <c r="C156" s="477"/>
      <c r="D156" s="404"/>
      <c r="E156" s="90"/>
      <c r="F156" s="90"/>
      <c r="G156" s="90"/>
      <c r="H156" s="90"/>
      <c r="K156" s="78"/>
      <c r="L156" s="78"/>
      <c r="M156" s="78"/>
      <c r="N156" s="78"/>
    </row>
    <row r="157" spans="1:23" s="11" customFormat="1" ht="16.5" thickBot="1">
      <c r="A157" s="98"/>
      <c r="B157" s="476"/>
      <c r="C157" s="11" t="s">
        <v>1751</v>
      </c>
      <c r="D157" s="11" t="s">
        <v>1750</v>
      </c>
      <c r="E157" s="90" t="s">
        <v>1742</v>
      </c>
      <c r="F157" s="492">
        <v>138749.76000000001</v>
      </c>
      <c r="G157" s="11" t="s">
        <v>1743</v>
      </c>
      <c r="H157" s="90" t="s">
        <v>3</v>
      </c>
      <c r="K157" s="78"/>
      <c r="L157" s="78"/>
      <c r="M157" s="78"/>
      <c r="N157" s="78"/>
    </row>
    <row r="158" spans="1:23" ht="13.5" thickBot="1">
      <c r="A158" s="100"/>
      <c r="B158" s="82" t="s">
        <v>1752</v>
      </c>
      <c r="C158" s="118">
        <v>160</v>
      </c>
      <c r="D158" s="77">
        <f>C158</f>
        <v>160</v>
      </c>
      <c r="E158" s="83">
        <v>872.26</v>
      </c>
      <c r="F158" s="493">
        <f>E158*C158</f>
        <v>139561.60000000001</v>
      </c>
      <c r="G158" s="482">
        <v>962.89330700000005</v>
      </c>
      <c r="H158" s="17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100"/>
      <c r="B159" s="82" t="s">
        <v>1753</v>
      </c>
      <c r="C159" s="118">
        <v>78</v>
      </c>
      <c r="D159" s="77">
        <f>D158+C159</f>
        <v>238</v>
      </c>
      <c r="E159" s="83">
        <v>872.26</v>
      </c>
      <c r="F159" s="493">
        <f>E159*C159</f>
        <v>68036.28</v>
      </c>
      <c r="G159" s="403">
        <f>G160</f>
        <v>962.89330700000005</v>
      </c>
      <c r="H159" s="17">
        <f>G159*C159</f>
        <v>75105.677946000011</v>
      </c>
      <c r="I159" s="12">
        <f>I158+H159</f>
        <v>229168.60706600003</v>
      </c>
      <c r="K159" s="78"/>
      <c r="L159" s="78"/>
      <c r="M159" s="78"/>
      <c r="N159" s="78"/>
    </row>
    <row r="160" spans="1:23">
      <c r="A160" s="491">
        <v>45755</v>
      </c>
      <c r="B160" s="494" t="s">
        <v>1741</v>
      </c>
      <c r="C160" s="118">
        <v>-21</v>
      </c>
      <c r="D160" s="90">
        <f>D159+C160</f>
        <v>217</v>
      </c>
      <c r="E160" s="83">
        <v>872.26</v>
      </c>
      <c r="F160" s="449">
        <f>E160*C160</f>
        <v>-18317.46</v>
      </c>
      <c r="G160" s="403">
        <f>G158</f>
        <v>962.89330700000005</v>
      </c>
      <c r="H160" s="17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100"/>
      <c r="B161" s="82" t="s">
        <v>1744</v>
      </c>
      <c r="C161" s="388"/>
      <c r="E161" s="83"/>
      <c r="H161" s="77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100">
        <v>45777</v>
      </c>
      <c r="B162" s="82" t="s">
        <v>1806</v>
      </c>
      <c r="C162" s="118">
        <v>219</v>
      </c>
      <c r="G162" s="77">
        <v>988.94078000000002</v>
      </c>
      <c r="H162" s="17">
        <f>G162*C162</f>
        <v>216578.03082000001</v>
      </c>
      <c r="I162" s="90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100"/>
      <c r="B163" s="90" t="s">
        <v>1684</v>
      </c>
      <c r="C163" s="438"/>
      <c r="D163" s="439"/>
      <c r="E163" s="405"/>
      <c r="F163" s="405"/>
      <c r="G163" s="409"/>
      <c r="H163" s="90"/>
      <c r="I163" s="90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90"/>
      <c r="E164" s="90"/>
      <c r="F164" s="90"/>
      <c r="G164" s="90"/>
      <c r="H164" s="90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90"/>
      <c r="E165" s="90"/>
      <c r="F165" s="90"/>
      <c r="G165" s="90"/>
      <c r="H165" s="90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90"/>
      <c r="E166" s="90"/>
      <c r="F166" s="90"/>
      <c r="G166" s="90"/>
      <c r="H166" s="90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90"/>
      <c r="E167" s="90"/>
      <c r="F167" s="90"/>
      <c r="G167" s="90"/>
      <c r="H167" s="90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90"/>
      <c r="E168" s="90"/>
      <c r="F168" s="90"/>
      <c r="G168" s="90"/>
      <c r="H168" s="90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90"/>
      <c r="E169" s="90"/>
      <c r="F169" s="90"/>
      <c r="G169" s="90"/>
      <c r="H169" s="90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90"/>
      <c r="E170" s="90"/>
      <c r="F170" s="90"/>
      <c r="G170" s="90"/>
      <c r="H170" s="90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90"/>
      <c r="E171" s="90"/>
      <c r="F171" s="90"/>
      <c r="G171" s="90"/>
      <c r="H171" s="90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90"/>
      <c r="E172" s="90"/>
      <c r="F172" s="90"/>
      <c r="G172" s="90"/>
      <c r="H172" s="90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90"/>
      <c r="E173" s="90"/>
      <c r="F173" s="90"/>
      <c r="G173" s="90"/>
      <c r="H173" s="90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90"/>
      <c r="E174" s="90"/>
      <c r="F174" s="90"/>
      <c r="G174" s="90"/>
      <c r="H174" s="90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90"/>
      <c r="E175" s="90"/>
      <c r="F175" s="90"/>
      <c r="G175" s="90"/>
      <c r="H175" s="90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90"/>
      <c r="E176" s="90"/>
      <c r="F176" s="90"/>
      <c r="G176" s="90"/>
      <c r="H176" s="90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90"/>
      <c r="E177" s="90"/>
      <c r="F177" s="90"/>
      <c r="G177" s="90"/>
      <c r="H177" s="90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90"/>
      <c r="E178" s="90"/>
      <c r="F178" s="90"/>
      <c r="G178" s="90"/>
      <c r="H178" s="90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90"/>
      <c r="E179" s="90"/>
      <c r="F179" s="90"/>
      <c r="G179" s="90"/>
      <c r="H179" s="90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90"/>
      <c r="E180" s="90"/>
      <c r="F180" s="90"/>
      <c r="G180" s="90"/>
      <c r="H180" s="90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90"/>
      <c r="E181" s="90"/>
      <c r="F181" s="90"/>
      <c r="G181" s="90"/>
      <c r="H181" s="90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90"/>
      <c r="E182" s="90"/>
      <c r="F182" s="90"/>
      <c r="G182" s="90"/>
      <c r="H182" s="90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90"/>
      <c r="E183" s="90"/>
      <c r="F183" s="90"/>
      <c r="G183" s="90"/>
      <c r="H183" s="90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90"/>
      <c r="E184" s="90"/>
      <c r="F184" s="90"/>
      <c r="G184" s="90"/>
      <c r="H184" s="90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90"/>
      <c r="E185" s="90"/>
      <c r="F185" s="90"/>
      <c r="G185" s="90"/>
      <c r="H185" s="90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90"/>
      <c r="E186" s="90"/>
      <c r="F186" s="90"/>
      <c r="G186" s="90"/>
      <c r="H186" s="90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90"/>
      <c r="E187" s="90"/>
      <c r="F187" s="90"/>
      <c r="G187" s="90"/>
      <c r="H187" s="90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90"/>
      <c r="E188" s="90"/>
      <c r="F188" s="90"/>
      <c r="G188" s="90"/>
      <c r="H188" s="90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90"/>
      <c r="E189" s="90"/>
      <c r="F189" s="90"/>
      <c r="G189" s="90"/>
      <c r="H189" s="90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90"/>
      <c r="E190" s="90"/>
      <c r="F190" s="90"/>
      <c r="G190" s="90"/>
      <c r="H190" s="90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90"/>
      <c r="E191" s="90"/>
      <c r="F191" s="90"/>
      <c r="G191" s="90"/>
      <c r="H191" s="90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90"/>
      <c r="E192" s="90"/>
      <c r="F192" s="90"/>
      <c r="G192" s="90"/>
      <c r="H192" s="90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90"/>
      <c r="E193" s="90"/>
      <c r="F193" s="90"/>
      <c r="G193" s="90"/>
      <c r="H193" s="90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90"/>
      <c r="E194" s="90"/>
      <c r="F194" s="90"/>
      <c r="G194" s="90"/>
      <c r="H194" s="90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90"/>
      <c r="E195" s="90"/>
      <c r="F195" s="90"/>
      <c r="G195" s="90"/>
      <c r="H195" s="90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90"/>
      <c r="E196" s="90"/>
      <c r="F196" s="90"/>
      <c r="G196" s="90"/>
      <c r="H196" s="90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90"/>
      <c r="E197" s="90"/>
      <c r="F197" s="90"/>
      <c r="G197" s="90"/>
      <c r="H197" s="90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90"/>
      <c r="E198" s="90"/>
      <c r="F198" s="90"/>
      <c r="G198" s="90"/>
      <c r="H198" s="90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90"/>
      <c r="E199" s="90"/>
      <c r="F199" s="90"/>
      <c r="G199" s="90"/>
      <c r="H199" s="90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90"/>
      <c r="E200" s="90"/>
      <c r="F200" s="90"/>
      <c r="G200" s="90"/>
      <c r="H200" s="90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90"/>
      <c r="E201" s="90"/>
      <c r="F201" s="90"/>
      <c r="G201" s="90"/>
      <c r="H201" s="90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90"/>
      <c r="E202" s="90"/>
      <c r="F202" s="90"/>
      <c r="G202" s="90"/>
      <c r="H202" s="90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90"/>
      <c r="E203" s="90"/>
      <c r="F203" s="90"/>
      <c r="G203" s="90"/>
      <c r="H203" s="90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90"/>
      <c r="E204" s="90"/>
      <c r="F204" s="90"/>
      <c r="G204" s="90"/>
      <c r="H204" s="90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90"/>
      <c r="E205" s="90"/>
      <c r="F205" s="90"/>
      <c r="G205" s="90"/>
      <c r="H205" s="90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90"/>
      <c r="E206" s="90"/>
      <c r="F206" s="90"/>
      <c r="G206" s="90"/>
      <c r="H206" s="90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90"/>
      <c r="E207" s="90"/>
      <c r="F207" s="90"/>
      <c r="G207" s="90"/>
      <c r="H207" s="90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90"/>
      <c r="E208" s="90"/>
      <c r="F208" s="90"/>
      <c r="G208" s="90"/>
      <c r="H208" s="90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90"/>
      <c r="E209" s="90"/>
      <c r="F209" s="90"/>
      <c r="G209" s="90"/>
      <c r="H209" s="90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90"/>
      <c r="E210" s="90"/>
      <c r="F210" s="90"/>
      <c r="G210" s="90"/>
      <c r="H210" s="90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90"/>
      <c r="E211" s="90"/>
      <c r="F211" s="90"/>
      <c r="G211" s="90"/>
      <c r="H211" s="90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90"/>
      <c r="E212" s="90"/>
      <c r="F212" s="90"/>
      <c r="G212" s="90"/>
      <c r="H212" s="90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90"/>
      <c r="E213" s="90"/>
      <c r="F213" s="90"/>
      <c r="G213" s="90"/>
      <c r="H213" s="90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90"/>
      <c r="E214" s="90"/>
      <c r="F214" s="90"/>
      <c r="G214" s="90"/>
      <c r="H214" s="90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90"/>
      <c r="E215" s="90"/>
      <c r="F215" s="90"/>
      <c r="G215" s="90"/>
      <c r="H215" s="90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90"/>
      <c r="E216" s="90"/>
      <c r="F216" s="90"/>
      <c r="G216" s="90"/>
      <c r="H216" s="90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90"/>
      <c r="E217" s="90"/>
      <c r="F217" s="90"/>
      <c r="G217" s="90"/>
      <c r="H217" s="90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90"/>
      <c r="E218" s="90"/>
      <c r="F218" s="90"/>
      <c r="G218" s="90"/>
      <c r="H218" s="90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90"/>
      <c r="E219" s="90"/>
      <c r="F219" s="90"/>
      <c r="G219" s="90"/>
      <c r="H219" s="90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90"/>
      <c r="E220" s="90"/>
      <c r="F220" s="90"/>
      <c r="G220" s="90"/>
      <c r="H220" s="90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90"/>
      <c r="E221" s="90"/>
      <c r="F221" s="90"/>
      <c r="G221" s="90"/>
      <c r="H221" s="90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90"/>
      <c r="E222" s="90"/>
      <c r="F222" s="90"/>
      <c r="G222" s="90"/>
      <c r="H222" s="90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90"/>
      <c r="E223" s="90"/>
      <c r="F223" s="90"/>
      <c r="G223" s="90"/>
      <c r="H223" s="90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90"/>
      <c r="E224" s="90"/>
      <c r="F224" s="90"/>
      <c r="G224" s="90"/>
      <c r="H224" s="90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90"/>
      <c r="E225" s="90"/>
      <c r="F225" s="90"/>
      <c r="G225" s="90"/>
      <c r="H225" s="90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90"/>
      <c r="E226" s="90"/>
      <c r="F226" s="90"/>
      <c r="G226" s="90"/>
      <c r="H226" s="90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90"/>
      <c r="E227" s="90"/>
      <c r="F227" s="90"/>
      <c r="G227" s="90"/>
      <c r="H227" s="90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90"/>
      <c r="E228" s="90"/>
      <c r="F228" s="90"/>
      <c r="G228" s="90"/>
      <c r="H228" s="90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90"/>
      <c r="E229" s="90"/>
      <c r="F229" s="90"/>
      <c r="G229" s="90"/>
      <c r="H229" s="90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90"/>
      <c r="E230" s="90"/>
      <c r="F230" s="90"/>
      <c r="G230" s="90"/>
      <c r="H230" s="90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90"/>
      <c r="E231" s="90"/>
      <c r="F231" s="90"/>
      <c r="G231" s="90"/>
      <c r="H231" s="90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90"/>
      <c r="E232" s="90"/>
      <c r="F232" s="90"/>
      <c r="G232" s="90"/>
      <c r="H232" s="90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90"/>
      <c r="E233" s="90"/>
      <c r="F233" s="90"/>
      <c r="G233" s="90"/>
      <c r="H233" s="90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90"/>
      <c r="E234" s="90"/>
      <c r="F234" s="90"/>
      <c r="G234" s="90"/>
      <c r="H234" s="90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90"/>
      <c r="E235" s="90"/>
      <c r="F235" s="90"/>
      <c r="G235" s="90"/>
      <c r="H235" s="90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90"/>
      <c r="E236" s="90"/>
      <c r="F236" s="90"/>
      <c r="G236" s="90"/>
      <c r="H236" s="90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90"/>
      <c r="E237" s="90"/>
      <c r="F237" s="90"/>
      <c r="G237" s="90"/>
      <c r="H237" s="90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90"/>
      <c r="E238" s="90"/>
      <c r="F238" s="90"/>
      <c r="G238" s="90"/>
      <c r="H238" s="90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90"/>
      <c r="E239" s="90"/>
      <c r="F239" s="90"/>
      <c r="G239" s="90"/>
      <c r="H239" s="90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07" zoomScale="160" zoomScaleNormal="160" workbookViewId="0">
      <selection activeCell="G123" sqref="G123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100</v>
      </c>
      <c r="C2" s="79" t="s">
        <v>67</v>
      </c>
      <c r="D2" s="77">
        <f>SUM(D4:D36)</f>
        <v>30000</v>
      </c>
      <c r="E2" s="77">
        <f>SUM(E4:E36)</f>
        <v>-79968.850000000006</v>
      </c>
      <c r="F2" s="77">
        <f>SUM(F4:F36)</f>
        <v>32994.19</v>
      </c>
      <c r="G2" s="77">
        <f>SUM(G4:G40)</f>
        <v>-186074.69999999998</v>
      </c>
      <c r="H2" s="77">
        <f>F2+G2</f>
        <v>-153080.50999999998</v>
      </c>
    </row>
    <row r="3" spans="1:14">
      <c r="B3" s="18"/>
    </row>
    <row r="4" spans="1:14">
      <c r="B4" s="41"/>
      <c r="H4" s="77">
        <f t="shared" ref="H4:H37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5">
        <v>45718</v>
      </c>
      <c r="B6" s="451" t="s">
        <v>1675</v>
      </c>
      <c r="C6" s="392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5"/>
      <c r="B7" s="393" t="s">
        <v>72</v>
      </c>
      <c r="C7" s="392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5">
        <v>45721</v>
      </c>
      <c r="B8" s="391" t="s">
        <v>70</v>
      </c>
      <c r="C8" s="391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5">
        <v>45722</v>
      </c>
      <c r="B9" s="393" t="s">
        <v>69</v>
      </c>
      <c r="C9" s="392"/>
      <c r="D9" s="387"/>
      <c r="E9" s="387">
        <f>E67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5">
        <v>45723</v>
      </c>
      <c r="B10" s="393" t="s">
        <v>68</v>
      </c>
      <c r="C10" s="392"/>
      <c r="D10" s="387"/>
      <c r="E10" s="387">
        <f>E43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2">
        <v>45721</v>
      </c>
      <c r="B11" s="453" t="s">
        <v>106</v>
      </c>
      <c r="C11" s="453"/>
      <c r="D11" s="454">
        <v>15000</v>
      </c>
      <c r="E11" s="454"/>
      <c r="F11" s="454">
        <v>15000</v>
      </c>
      <c r="G11" s="87"/>
      <c r="H11" s="87">
        <f t="shared" si="0"/>
        <v>-21002.019999999997</v>
      </c>
    </row>
    <row r="12" spans="1:14">
      <c r="A12" s="425">
        <v>45723</v>
      </c>
      <c r="B12" s="391" t="s">
        <v>1593</v>
      </c>
      <c r="C12" s="391"/>
      <c r="D12" s="387"/>
      <c r="E12" s="387">
        <v>-17500</v>
      </c>
      <c r="F12" s="87"/>
      <c r="G12" s="87">
        <v>-17500</v>
      </c>
      <c r="H12" s="87">
        <f t="shared" si="0"/>
        <v>-38502.019999999997</v>
      </c>
    </row>
    <row r="13" spans="1:14" s="78" customFormat="1">
      <c r="A13" s="425">
        <v>45734</v>
      </c>
      <c r="B13" s="410" t="s">
        <v>73</v>
      </c>
      <c r="C13" s="410"/>
      <c r="D13" s="387"/>
      <c r="E13" s="387">
        <v>-1000</v>
      </c>
      <c r="F13" s="87"/>
      <c r="G13" s="87">
        <v>-2645</v>
      </c>
      <c r="H13" s="87">
        <f t="shared" si="0"/>
        <v>-41147.019999999997</v>
      </c>
    </row>
    <row r="14" spans="1:14" s="78" customFormat="1">
      <c r="A14" s="425">
        <v>45733</v>
      </c>
      <c r="B14" s="410" t="s">
        <v>74</v>
      </c>
      <c r="C14" s="410"/>
      <c r="D14" s="387"/>
      <c r="E14" s="387">
        <v>-200</v>
      </c>
      <c r="F14" s="87"/>
      <c r="G14" s="87">
        <v>-25</v>
      </c>
      <c r="H14" s="87">
        <f t="shared" si="0"/>
        <v>-41172.019999999997</v>
      </c>
    </row>
    <row r="15" spans="1:14" s="78" customFormat="1">
      <c r="A15" s="87"/>
      <c r="B15" s="87"/>
      <c r="C15" s="87"/>
      <c r="D15" s="87"/>
      <c r="E15" s="87"/>
      <c r="F15" s="87"/>
      <c r="G15" s="87"/>
      <c r="H15" s="87">
        <f t="shared" si="0"/>
        <v>-41172.019999999997</v>
      </c>
    </row>
    <row r="16" spans="1:14" s="78" customFormat="1">
      <c r="A16" s="425"/>
      <c r="B16" s="392" t="s">
        <v>76</v>
      </c>
      <c r="C16" s="392"/>
      <c r="D16" s="387">
        <v>15000</v>
      </c>
      <c r="E16" s="87"/>
      <c r="F16" s="87">
        <v>14994.19</v>
      </c>
      <c r="G16" s="87"/>
      <c r="H16" s="87">
        <f t="shared" si="0"/>
        <v>-26177.829999999994</v>
      </c>
      <c r="J16" s="94"/>
      <c r="K16" s="94"/>
      <c r="L16" s="95"/>
      <c r="M16" s="96"/>
    </row>
    <row r="17" spans="1:13" s="78" customFormat="1">
      <c r="A17" s="425"/>
      <c r="B17" s="392" t="s">
        <v>1716</v>
      </c>
      <c r="C17" s="392"/>
      <c r="D17" s="387"/>
      <c r="E17" s="387"/>
      <c r="F17" s="387">
        <v>3000</v>
      </c>
      <c r="G17" s="87"/>
      <c r="H17" s="87">
        <f t="shared" si="0"/>
        <v>-23177.829999999994</v>
      </c>
      <c r="J17" s="94"/>
      <c r="K17" s="94"/>
      <c r="L17" s="95"/>
      <c r="M17" s="96"/>
    </row>
    <row r="18" spans="1:13" s="78" customFormat="1">
      <c r="A18" s="472"/>
      <c r="B18" s="392" t="s">
        <v>77</v>
      </c>
      <c r="C18" s="392"/>
      <c r="D18" s="387"/>
      <c r="E18" s="387">
        <v>-7500</v>
      </c>
      <c r="F18" s="87"/>
      <c r="G18" s="87">
        <v>-9003</v>
      </c>
      <c r="H18" s="87">
        <f t="shared" si="0"/>
        <v>-32180.829999999994</v>
      </c>
      <c r="J18" s="94"/>
      <c r="K18" s="94"/>
      <c r="L18" s="95"/>
      <c r="M18" s="96"/>
    </row>
    <row r="19" spans="1:13" s="78" customFormat="1">
      <c r="A19" s="472"/>
      <c r="B19" s="392" t="s">
        <v>78</v>
      </c>
      <c r="C19" s="392"/>
      <c r="D19" s="387"/>
      <c r="E19" s="387">
        <v>-7500</v>
      </c>
      <c r="F19" s="87"/>
      <c r="G19" s="87">
        <v>-7503</v>
      </c>
      <c r="H19" s="87">
        <f t="shared" si="0"/>
        <v>-39683.829999999994</v>
      </c>
      <c r="J19" s="94"/>
      <c r="K19" s="94"/>
      <c r="L19" s="95"/>
      <c r="M19" s="96"/>
    </row>
    <row r="20" spans="1:13" s="78" customFormat="1">
      <c r="A20" s="472"/>
      <c r="B20" s="392" t="s">
        <v>1726</v>
      </c>
      <c r="C20" s="392"/>
      <c r="D20" s="387"/>
      <c r="E20" s="387"/>
      <c r="F20" s="387"/>
      <c r="G20" s="387">
        <v>-1400</v>
      </c>
      <c r="H20" s="87">
        <f t="shared" si="0"/>
        <v>-41083.829999999994</v>
      </c>
      <c r="J20" s="94"/>
      <c r="K20" s="94"/>
      <c r="L20" s="95"/>
      <c r="M20" s="96"/>
    </row>
    <row r="21" spans="1:13" s="78" customFormat="1">
      <c r="A21" s="472"/>
      <c r="B21" s="392" t="s">
        <v>79</v>
      </c>
      <c r="C21" s="392"/>
      <c r="D21" s="387"/>
      <c r="E21" s="387">
        <v>-7500</v>
      </c>
      <c r="F21" s="87"/>
      <c r="G21" s="87">
        <v>-7500</v>
      </c>
      <c r="H21" s="87">
        <f t="shared" si="0"/>
        <v>-48583.829999999994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-48583.829999999994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-48583.829999999994</v>
      </c>
      <c r="J23" s="94"/>
      <c r="K23" s="94"/>
      <c r="L23" s="95"/>
      <c r="M23" s="96"/>
    </row>
    <row r="24" spans="1:13" s="78" customFormat="1">
      <c r="A24" s="474">
        <v>45716</v>
      </c>
      <c r="B24" s="416" t="s">
        <v>98</v>
      </c>
      <c r="C24" s="416" t="s">
        <v>1597</v>
      </c>
      <c r="D24" s="417"/>
      <c r="E24" s="417">
        <v>-1380</v>
      </c>
      <c r="F24" s="90"/>
      <c r="G24" s="90"/>
      <c r="H24" s="90">
        <f t="shared" si="0"/>
        <v>-48583.829999999994</v>
      </c>
      <c r="J24" s="94"/>
      <c r="K24" s="94"/>
      <c r="L24" s="95"/>
      <c r="M24" s="96"/>
    </row>
    <row r="25" spans="1:13" s="78" customFormat="1">
      <c r="A25" s="425">
        <v>45744</v>
      </c>
      <c r="B25" s="391" t="s">
        <v>80</v>
      </c>
      <c r="C25" s="391"/>
      <c r="D25" s="387"/>
      <c r="E25" s="387">
        <v>-600</v>
      </c>
      <c r="F25" s="87"/>
      <c r="G25" s="87">
        <v>-340</v>
      </c>
      <c r="H25" s="87">
        <f t="shared" si="0"/>
        <v>-48923.829999999994</v>
      </c>
      <c r="J25" s="94"/>
      <c r="K25" s="94"/>
      <c r="L25" s="95"/>
      <c r="M25" s="96"/>
    </row>
    <row r="26" spans="1:13" s="78" customFormat="1">
      <c r="A26" s="425">
        <v>45744</v>
      </c>
      <c r="B26" s="391" t="s">
        <v>81</v>
      </c>
      <c r="C26" s="391"/>
      <c r="D26" s="387"/>
      <c r="E26" s="387">
        <v>-800</v>
      </c>
      <c r="F26" s="87"/>
      <c r="G26" s="87">
        <v>-565</v>
      </c>
      <c r="H26" s="87">
        <f t="shared" si="0"/>
        <v>-49488.829999999994</v>
      </c>
      <c r="J26" s="94"/>
      <c r="K26" s="94"/>
      <c r="L26" s="95"/>
      <c r="M26" s="96"/>
    </row>
    <row r="27" spans="1:13" s="78" customFormat="1">
      <c r="A27" s="472"/>
      <c r="B27" s="101" t="s">
        <v>102</v>
      </c>
      <c r="C27" s="8"/>
      <c r="D27" s="87"/>
      <c r="E27" s="87"/>
      <c r="F27" s="87"/>
      <c r="G27" s="87"/>
      <c r="H27" s="87">
        <f t="shared" si="0"/>
        <v>-49488.829999999994</v>
      </c>
    </row>
    <row r="28" spans="1:13" s="78" customFormat="1">
      <c r="A28" s="472"/>
      <c r="B28" s="101"/>
      <c r="C28" s="8"/>
      <c r="D28" s="87"/>
      <c r="E28" s="87"/>
      <c r="F28" s="87"/>
      <c r="G28" s="87"/>
      <c r="H28" s="87">
        <f t="shared" si="0"/>
        <v>-49488.829999999994</v>
      </c>
    </row>
    <row r="29" spans="1:13" s="78" customFormat="1">
      <c r="A29" s="472"/>
      <c r="B29" s="101"/>
      <c r="C29" s="8"/>
      <c r="D29" s="87"/>
      <c r="E29" s="87"/>
      <c r="F29" s="87"/>
      <c r="G29" s="87"/>
      <c r="H29" s="87">
        <f t="shared" si="0"/>
        <v>-49488.829999999994</v>
      </c>
    </row>
    <row r="30" spans="1:13" s="78" customFormat="1">
      <c r="A30" s="425">
        <v>45741</v>
      </c>
      <c r="B30" s="391" t="s">
        <v>75</v>
      </c>
      <c r="C30" s="391"/>
      <c r="D30" s="387"/>
      <c r="E30" s="387">
        <v>-200</v>
      </c>
      <c r="F30" s="87"/>
      <c r="G30" s="87">
        <v>-565.88</v>
      </c>
      <c r="H30" s="87">
        <f t="shared" si="0"/>
        <v>-50054.709999999992</v>
      </c>
    </row>
    <row r="31" spans="1:13" s="78" customFormat="1">
      <c r="A31" s="425"/>
      <c r="B31" s="387" t="s">
        <v>1706</v>
      </c>
      <c r="C31" s="387"/>
      <c r="D31" s="387"/>
      <c r="E31" s="387"/>
      <c r="F31" s="387"/>
      <c r="G31" s="387">
        <v>-2800</v>
      </c>
      <c r="H31" s="87">
        <f t="shared" si="0"/>
        <v>-52854.709999999992</v>
      </c>
    </row>
    <row r="32" spans="1:13">
      <c r="A32" s="425">
        <v>45743</v>
      </c>
      <c r="B32" s="393" t="s">
        <v>1675</v>
      </c>
      <c r="C32" s="392"/>
      <c r="D32" s="423"/>
      <c r="E32" s="423"/>
      <c r="F32" s="87"/>
      <c r="G32" s="87">
        <v>-213</v>
      </c>
      <c r="H32" s="87">
        <f t="shared" si="0"/>
        <v>-53067.709999999992</v>
      </c>
      <c r="I32" s="78"/>
      <c r="J32" s="78"/>
    </row>
    <row r="33" spans="1:14">
      <c r="A33" s="425">
        <v>45740</v>
      </c>
      <c r="B33" s="392" t="s">
        <v>1703</v>
      </c>
      <c r="C33" s="392"/>
      <c r="D33" s="387"/>
      <c r="E33" s="387"/>
      <c r="F33" s="387"/>
      <c r="G33" s="387">
        <v>-8500</v>
      </c>
      <c r="H33" s="87">
        <f t="shared" si="0"/>
        <v>-61567.709999999992</v>
      </c>
    </row>
    <row r="34" spans="1:14">
      <c r="A34" s="425">
        <v>45740</v>
      </c>
      <c r="B34" s="392" t="s">
        <v>1702</v>
      </c>
      <c r="C34" s="392"/>
      <c r="D34" s="387"/>
      <c r="E34" s="387"/>
      <c r="F34" s="387"/>
      <c r="G34" s="387">
        <v>-90000</v>
      </c>
      <c r="H34" s="87">
        <f t="shared" si="0"/>
        <v>-151567.71</v>
      </c>
    </row>
    <row r="35" spans="1:14">
      <c r="A35" s="425"/>
      <c r="B35" s="392" t="s">
        <v>1704</v>
      </c>
      <c r="C35" s="392" t="s">
        <v>1713</v>
      </c>
      <c r="D35" s="387"/>
      <c r="E35" s="387"/>
      <c r="F35" s="387"/>
      <c r="G35" s="387">
        <v>-12.8</v>
      </c>
      <c r="H35" s="87">
        <f t="shared" si="0"/>
        <v>-151580.50999999998</v>
      </c>
    </row>
    <row r="36" spans="1:14" s="78" customFormat="1">
      <c r="A36" s="425">
        <v>45728</v>
      </c>
      <c r="B36" s="392" t="s">
        <v>1705</v>
      </c>
      <c r="C36" s="392"/>
      <c r="D36" s="387"/>
      <c r="E36" s="387"/>
      <c r="F36" s="387"/>
      <c r="G36" s="387">
        <v>-1500</v>
      </c>
      <c r="H36" s="87">
        <f t="shared" si="0"/>
        <v>-153080.50999999998</v>
      </c>
      <c r="I36"/>
      <c r="J36"/>
    </row>
    <row r="37" spans="1:14" s="78" customFormat="1">
      <c r="A37" s="472"/>
      <c r="B37" s="87"/>
      <c r="C37" s="87"/>
      <c r="D37" s="87"/>
      <c r="E37" s="87"/>
      <c r="F37" s="87"/>
      <c r="G37" s="87"/>
      <c r="H37" s="87">
        <f t="shared" si="0"/>
        <v>-153080.50999999998</v>
      </c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90" customFormat="1">
      <c r="A40" s="98"/>
      <c r="B40" s="78"/>
      <c r="C40" s="78"/>
      <c r="I40" s="78"/>
      <c r="J40" s="78"/>
      <c r="K40" s="78"/>
      <c r="L40" s="78"/>
      <c r="M40" s="78"/>
      <c r="N40" s="78"/>
    </row>
    <row r="41" spans="1:14" s="90" customFormat="1">
      <c r="A41" s="98"/>
      <c r="B41" s="78"/>
      <c r="C41" s="78"/>
      <c r="I41" s="78"/>
      <c r="J41" s="78"/>
      <c r="K41" s="78"/>
      <c r="L41" s="78"/>
      <c r="M41" s="78"/>
      <c r="N41" s="78"/>
    </row>
    <row r="42" spans="1:14" s="77" customFormat="1">
      <c r="A42" s="430"/>
      <c r="B42" s="102"/>
      <c r="K42" s="78"/>
      <c r="L42" s="78"/>
      <c r="M42" s="78"/>
      <c r="N42" s="78"/>
    </row>
    <row r="43" spans="1:14">
      <c r="A43" s="431"/>
      <c r="B43" s="104" t="s">
        <v>83</v>
      </c>
      <c r="C43" s="103"/>
      <c r="E43" s="77">
        <f>SUM(E44:E61)</f>
        <v>-19043.61</v>
      </c>
      <c r="I43" s="77"/>
      <c r="J43" s="77"/>
    </row>
    <row r="44" spans="1:14" s="77" customFormat="1">
      <c r="A44" s="98"/>
      <c r="B44"/>
      <c r="C44"/>
      <c r="I44"/>
      <c r="J44"/>
      <c r="K44" s="78"/>
      <c r="L44" s="78"/>
      <c r="M44" s="78"/>
      <c r="N44" s="78"/>
    </row>
    <row r="45" spans="1:14" s="77" customFormat="1">
      <c r="A45" s="98">
        <v>45715</v>
      </c>
      <c r="B45" s="90" t="s">
        <v>1637</v>
      </c>
      <c r="C45" s="90">
        <v>5938.7</v>
      </c>
      <c r="D45" s="90" t="s">
        <v>694</v>
      </c>
      <c r="E45" s="90">
        <v>-989.78</v>
      </c>
      <c r="F45" s="77">
        <v>0</v>
      </c>
      <c r="K45" s="78"/>
      <c r="L45" s="78"/>
      <c r="M45" s="78"/>
      <c r="N45" s="78"/>
    </row>
    <row r="46" spans="1:14" s="77" customFormat="1">
      <c r="A46" s="98">
        <v>45715</v>
      </c>
      <c r="B46" s="77" t="s">
        <v>1631</v>
      </c>
      <c r="E46" s="77">
        <v>-2820</v>
      </c>
      <c r="F46" s="77">
        <v>0</v>
      </c>
      <c r="K46" s="78"/>
      <c r="L46" s="78"/>
      <c r="M46" s="78"/>
      <c r="N46" s="78"/>
    </row>
    <row r="47" spans="1:14" s="77" customFormat="1">
      <c r="A47" s="98">
        <v>45715</v>
      </c>
      <c r="B47" s="77" t="s">
        <v>1633</v>
      </c>
      <c r="E47" s="77">
        <v>-3196.34</v>
      </c>
      <c r="F47" s="77">
        <v>0</v>
      </c>
      <c r="K47" s="78"/>
      <c r="L47" s="78"/>
      <c r="M47" s="78"/>
      <c r="N47" s="78"/>
    </row>
    <row r="48" spans="1:14">
      <c r="A48" s="98">
        <v>45715</v>
      </c>
      <c r="B48" s="90" t="s">
        <v>1632</v>
      </c>
      <c r="C48" s="77"/>
      <c r="E48" s="77">
        <v>-467.95</v>
      </c>
      <c r="F48" s="77">
        <v>0</v>
      </c>
      <c r="I48" s="77"/>
      <c r="J48" s="77"/>
    </row>
    <row r="49" spans="1:14" s="77" customFormat="1">
      <c r="A49" s="98">
        <v>45715</v>
      </c>
      <c r="B49" s="90" t="s">
        <v>1635</v>
      </c>
      <c r="C49"/>
      <c r="I49"/>
      <c r="J49"/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98">
        <v>45691</v>
      </c>
      <c r="B51" s="106" t="s">
        <v>1650</v>
      </c>
      <c r="C51" s="106"/>
      <c r="E51" s="77">
        <v>-1580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1649</v>
      </c>
      <c r="C52" s="106"/>
      <c r="E52" s="77">
        <v>-1338</v>
      </c>
      <c r="F52" s="77">
        <v>0</v>
      </c>
      <c r="K52" s="78"/>
      <c r="L52" s="78"/>
      <c r="M52" s="78"/>
      <c r="N52" s="78"/>
    </row>
    <row r="53" spans="1:14" s="77" customFormat="1">
      <c r="A53" s="98">
        <v>45691</v>
      </c>
      <c r="B53" s="107" t="s">
        <v>1651</v>
      </c>
      <c r="C53" s="106"/>
      <c r="E53" s="77">
        <v>-1200</v>
      </c>
      <c r="F53" s="77">
        <v>0</v>
      </c>
      <c r="K53" s="78"/>
      <c r="L53" s="78"/>
      <c r="M53" s="78"/>
      <c r="N53" s="78"/>
    </row>
    <row r="54" spans="1:14" s="77" customFormat="1">
      <c r="A54" s="98">
        <v>45691</v>
      </c>
      <c r="B54" s="107" t="s">
        <v>1657</v>
      </c>
      <c r="E54" s="77">
        <v>-1300.54</v>
      </c>
      <c r="F54" s="77">
        <v>0</v>
      </c>
      <c r="K54" s="78"/>
      <c r="L54" s="78"/>
      <c r="M54" s="78"/>
      <c r="N54" s="78"/>
    </row>
    <row r="55" spans="1:14" s="77" customFormat="1">
      <c r="A55" s="98">
        <v>45689</v>
      </c>
      <c r="B55" s="107" t="s">
        <v>1652</v>
      </c>
      <c r="C55" s="106"/>
      <c r="E55" s="77">
        <v>-3720</v>
      </c>
      <c r="F55" s="77">
        <v>0</v>
      </c>
      <c r="K55" s="78"/>
      <c r="L55" s="78"/>
      <c r="M55" s="78"/>
      <c r="N55" s="78"/>
    </row>
    <row r="56" spans="1:14" s="77" customFormat="1">
      <c r="A56" s="98">
        <v>45699</v>
      </c>
      <c r="B56" s="3" t="s">
        <v>1665</v>
      </c>
      <c r="E56" s="77">
        <v>-2235</v>
      </c>
      <c r="F56" s="77">
        <v>0</v>
      </c>
      <c r="K56" s="78"/>
      <c r="L56" s="78"/>
      <c r="M56" s="78"/>
      <c r="N56" s="78"/>
    </row>
    <row r="57" spans="1:14" s="90" customFormat="1">
      <c r="A57" s="98">
        <v>45703</v>
      </c>
      <c r="B57" s="92" t="s">
        <v>1667</v>
      </c>
      <c r="E57" s="90">
        <v>-196</v>
      </c>
      <c r="F57" s="90">
        <v>0</v>
      </c>
      <c r="K57" s="78"/>
      <c r="L57" s="78"/>
      <c r="M57" s="78"/>
      <c r="N57" s="78"/>
    </row>
    <row r="58" spans="1:14" s="90" customFormat="1" ht="15">
      <c r="A58" s="98"/>
      <c r="B58" s="92"/>
      <c r="E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90" customFormat="1">
      <c r="A64" s="98"/>
      <c r="K64" s="78"/>
      <c r="L64" s="78"/>
      <c r="M64" s="78"/>
      <c r="N64" s="78"/>
    </row>
    <row r="65" spans="1:14" s="90" customFormat="1">
      <c r="A65" s="98"/>
      <c r="B65" s="92"/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1"/>
      <c r="B67" s="104" t="s">
        <v>85</v>
      </c>
      <c r="C67" s="103"/>
      <c r="E67" s="77">
        <f>SUM(E68:E101)</f>
        <v>-14628.179999999997</v>
      </c>
      <c r="K67" s="78"/>
      <c r="L67" s="78"/>
      <c r="M67" s="78"/>
      <c r="N67" s="78"/>
    </row>
    <row r="68" spans="1:14" s="77" customFormat="1">
      <c r="A68" s="98"/>
      <c r="B68" s="106"/>
      <c r="C68" s="106"/>
      <c r="K68" s="78"/>
      <c r="L68" s="78"/>
      <c r="M68" s="78"/>
      <c r="N68" s="78"/>
    </row>
    <row r="69" spans="1:14" s="77" customFormat="1">
      <c r="A69" s="430"/>
      <c r="F69" s="90"/>
      <c r="K69" s="78"/>
      <c r="L69" s="78"/>
      <c r="M69" s="78"/>
      <c r="N69" s="78"/>
    </row>
    <row r="70" spans="1:14" s="90" customFormat="1">
      <c r="A70" s="430">
        <v>45692</v>
      </c>
      <c r="B70" s="90" t="s">
        <v>1662</v>
      </c>
      <c r="D70" s="90" t="s">
        <v>1042</v>
      </c>
      <c r="E70" s="90">
        <v>-600.13</v>
      </c>
      <c r="K70" s="78"/>
      <c r="L70" s="78"/>
      <c r="M70" s="78"/>
      <c r="N70" s="78"/>
    </row>
    <row r="71" spans="1:14" s="90" customFormat="1">
      <c r="A71" s="430">
        <v>45692</v>
      </c>
      <c r="B71" s="90" t="s">
        <v>1662</v>
      </c>
      <c r="D71" s="90" t="s">
        <v>1042</v>
      </c>
      <c r="E71" s="90">
        <v>-2500.3000000000002</v>
      </c>
      <c r="K71" s="78"/>
      <c r="L71" s="78"/>
      <c r="M71" s="78"/>
      <c r="N71" s="78"/>
    </row>
    <row r="72" spans="1:14" s="90" customFormat="1">
      <c r="A72" s="430"/>
      <c r="K72" s="78"/>
      <c r="L72" s="78"/>
      <c r="M72" s="78"/>
      <c r="N72" s="78"/>
    </row>
    <row r="73" spans="1:14" s="90" customFormat="1">
      <c r="A73" s="430"/>
      <c r="K73" s="78"/>
      <c r="L73" s="78"/>
      <c r="M73" s="78"/>
      <c r="N73" s="78"/>
    </row>
    <row r="74" spans="1:14" s="90" customFormat="1">
      <c r="A74" s="430"/>
      <c r="K74" s="78"/>
      <c r="L74" s="78"/>
      <c r="M74" s="78"/>
      <c r="N74" s="78"/>
    </row>
    <row r="75" spans="1:14" s="90" customFormat="1">
      <c r="A75" s="98">
        <v>45681</v>
      </c>
      <c r="B75" s="92" t="s">
        <v>1623</v>
      </c>
      <c r="C75" s="106"/>
      <c r="E75" s="90">
        <v>-1798</v>
      </c>
      <c r="F75" s="77"/>
      <c r="K75" s="78"/>
      <c r="L75" s="78"/>
      <c r="M75" s="78"/>
      <c r="N75" s="78"/>
    </row>
    <row r="76" spans="1:14" s="90" customFormat="1">
      <c r="A76" s="98"/>
      <c r="B76" s="92" t="s">
        <v>533</v>
      </c>
      <c r="C76" s="106"/>
      <c r="E76" s="90">
        <v>1.8</v>
      </c>
      <c r="K76" s="78"/>
      <c r="L76" s="78"/>
      <c r="M76" s="78"/>
      <c r="N76" s="78"/>
    </row>
    <row r="77" spans="1:14" s="90" customFormat="1">
      <c r="A77" s="98">
        <v>45681</v>
      </c>
      <c r="B77" s="92" t="s">
        <v>1624</v>
      </c>
      <c r="C77" s="106"/>
      <c r="E77" s="90">
        <v>-700</v>
      </c>
      <c r="K77" s="78"/>
      <c r="L77" s="78"/>
      <c r="M77" s="78"/>
      <c r="N77" s="78"/>
    </row>
    <row r="78" spans="1:14" s="90" customFormat="1">
      <c r="A78" s="98">
        <v>45681</v>
      </c>
      <c r="B78" s="92" t="s">
        <v>1622</v>
      </c>
      <c r="C78" s="106"/>
      <c r="E78" s="90">
        <v>-120</v>
      </c>
      <c r="K78" s="78"/>
      <c r="L78" s="78"/>
      <c r="M78" s="78"/>
      <c r="N78" s="78"/>
    </row>
    <row r="79" spans="1:14" s="90" customFormat="1">
      <c r="A79" s="98">
        <v>45682</v>
      </c>
      <c r="B79" s="92" t="s">
        <v>1612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45682</v>
      </c>
      <c r="B80" s="92" t="s">
        <v>1625</v>
      </c>
      <c r="C80" s="106"/>
      <c r="E80" s="90">
        <v>-699.99</v>
      </c>
      <c r="K80" s="78"/>
      <c r="L80" s="78"/>
      <c r="M80" s="78"/>
      <c r="N80" s="78"/>
    </row>
    <row r="81" spans="1:14" s="90" customFormat="1">
      <c r="A81" s="98">
        <v>45684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98">
        <v>45686</v>
      </c>
      <c r="B82" s="90" t="s">
        <v>1660</v>
      </c>
      <c r="E82" s="90">
        <v>-3600</v>
      </c>
      <c r="K82" s="78"/>
      <c r="L82" s="78"/>
      <c r="M82" s="78"/>
      <c r="N82" s="78"/>
    </row>
    <row r="83" spans="1:14" s="90" customFormat="1">
      <c r="A83" s="98">
        <v>45691</v>
      </c>
      <c r="B83" s="3" t="s">
        <v>129</v>
      </c>
      <c r="C83" s="106">
        <v>18950.04</v>
      </c>
      <c r="K83" s="78"/>
      <c r="L83" s="78"/>
      <c r="M83" s="78"/>
      <c r="N83" s="78"/>
    </row>
    <row r="84" spans="1:14" s="90" customFormat="1">
      <c r="A84" s="98">
        <v>45691</v>
      </c>
      <c r="B84" s="92" t="s">
        <v>129</v>
      </c>
      <c r="C84" s="106">
        <v>10153.299999999999</v>
      </c>
      <c r="K84" s="78"/>
      <c r="L84" s="78"/>
      <c r="M84" s="78"/>
      <c r="N84" s="78"/>
    </row>
    <row r="85" spans="1:14" s="90" customFormat="1">
      <c r="A85" s="430">
        <v>45694</v>
      </c>
      <c r="B85" s="90" t="s">
        <v>1612</v>
      </c>
      <c r="E85" s="90">
        <v>-70</v>
      </c>
      <c r="K85" s="78"/>
      <c r="L85" s="78"/>
      <c r="M85" s="78"/>
      <c r="N85" s="78"/>
    </row>
    <row r="86" spans="1:14" s="90" customFormat="1">
      <c r="A86" s="430">
        <v>45695</v>
      </c>
      <c r="B86" s="90" t="s">
        <v>1661</v>
      </c>
      <c r="E86" s="90">
        <v>-200</v>
      </c>
      <c r="K86" s="78"/>
      <c r="L86" s="78"/>
      <c r="M86" s="78"/>
      <c r="N86" s="78"/>
    </row>
    <row r="87" spans="1:14" s="77" customFormat="1">
      <c r="A87" s="430">
        <v>45696</v>
      </c>
      <c r="B87" s="77" t="s">
        <v>1663</v>
      </c>
      <c r="E87" s="77">
        <v>-550</v>
      </c>
      <c r="K87" s="78"/>
      <c r="L87" s="78"/>
      <c r="M87" s="78"/>
      <c r="N87" s="78"/>
    </row>
    <row r="88" spans="1:14" s="77" customFormat="1">
      <c r="A88" s="430">
        <v>45697</v>
      </c>
      <c r="B88" s="77" t="s">
        <v>1664</v>
      </c>
      <c r="E88" s="77">
        <v>-329.97</v>
      </c>
      <c r="K88" s="78"/>
      <c r="L88" s="78"/>
      <c r="M88" s="78"/>
      <c r="N88" s="78"/>
    </row>
    <row r="89" spans="1:14" s="77" customFormat="1">
      <c r="A89" s="430">
        <v>45699</v>
      </c>
      <c r="B89" s="77" t="s">
        <v>1668</v>
      </c>
      <c r="E89" s="77">
        <v>-200</v>
      </c>
      <c r="K89" s="78"/>
      <c r="L89" s="78"/>
      <c r="M89" s="78"/>
      <c r="N89" s="78"/>
    </row>
    <row r="90" spans="1:14" s="77" customFormat="1">
      <c r="A90" s="430">
        <v>45700</v>
      </c>
      <c r="B90" s="77" t="s">
        <v>1612</v>
      </c>
      <c r="E90" s="77">
        <v>-70</v>
      </c>
      <c r="K90" s="78"/>
      <c r="L90" s="78"/>
      <c r="M90" s="78"/>
      <c r="N90" s="78"/>
    </row>
    <row r="91" spans="1:14" s="77" customFormat="1">
      <c r="A91" s="430">
        <v>45701</v>
      </c>
      <c r="B91" s="77" t="s">
        <v>1613</v>
      </c>
      <c r="E91" s="77">
        <v>-230</v>
      </c>
      <c r="K91" s="78"/>
      <c r="L91" s="78"/>
      <c r="M91" s="78"/>
      <c r="N91" s="78"/>
    </row>
    <row r="92" spans="1:14" s="77" customFormat="1">
      <c r="A92" s="430">
        <v>45702</v>
      </c>
      <c r="B92" s="77" t="s">
        <v>483</v>
      </c>
      <c r="E92" s="77">
        <v>-250</v>
      </c>
      <c r="K92" s="78"/>
      <c r="L92" s="78"/>
      <c r="M92" s="78"/>
      <c r="N92" s="78"/>
    </row>
    <row r="93" spans="1:14" s="77" customFormat="1">
      <c r="A93" s="430">
        <v>45703</v>
      </c>
      <c r="B93" s="77" t="s">
        <v>1669</v>
      </c>
      <c r="E93" s="77">
        <v>-210</v>
      </c>
      <c r="K93" s="78"/>
      <c r="L93" s="78"/>
      <c r="M93" s="78"/>
      <c r="N93" s="78"/>
    </row>
    <row r="94" spans="1:14" s="77" customFormat="1">
      <c r="A94" s="98">
        <v>45704</v>
      </c>
      <c r="B94" s="3" t="s">
        <v>127</v>
      </c>
      <c r="C94" s="106"/>
      <c r="E94" s="77">
        <v>-467.38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1670</v>
      </c>
      <c r="C95" s="106"/>
      <c r="E95" s="90">
        <v>-350</v>
      </c>
      <c r="K95" s="78"/>
      <c r="L95" s="78"/>
      <c r="M95" s="78"/>
      <c r="N95" s="78"/>
    </row>
    <row r="96" spans="1:14" s="90" customFormat="1">
      <c r="A96" s="98">
        <v>45704</v>
      </c>
      <c r="B96" s="92"/>
      <c r="C96" s="106"/>
      <c r="E96" s="90">
        <v>-33</v>
      </c>
      <c r="K96" s="78"/>
      <c r="L96" s="78"/>
      <c r="M96" s="78"/>
      <c r="N96" s="78"/>
    </row>
    <row r="97" spans="1:14" s="90" customFormat="1">
      <c r="A97" s="98">
        <v>45705</v>
      </c>
      <c r="B97" s="92" t="s">
        <v>410</v>
      </c>
      <c r="C97" s="106"/>
      <c r="E97" s="90">
        <v>-380</v>
      </c>
      <c r="K97" s="78"/>
      <c r="L97" s="78"/>
      <c r="M97" s="78"/>
      <c r="N97" s="78"/>
    </row>
    <row r="98" spans="1:14" s="90" customFormat="1">
      <c r="A98" s="98">
        <v>45706</v>
      </c>
      <c r="B98" s="92" t="s">
        <v>1612</v>
      </c>
      <c r="C98" s="106"/>
      <c r="E98" s="90">
        <v>-400</v>
      </c>
      <c r="K98" s="78"/>
      <c r="L98" s="78"/>
      <c r="M98" s="78"/>
      <c r="N98" s="78"/>
    </row>
    <row r="99" spans="1:14" s="90" customFormat="1">
      <c r="A99" s="98">
        <v>45706</v>
      </c>
      <c r="B99" s="92" t="s">
        <v>127</v>
      </c>
      <c r="C99" s="106"/>
      <c r="E99" s="90">
        <v>-215.21</v>
      </c>
      <c r="K99" s="78"/>
      <c r="L99" s="78"/>
      <c r="M99" s="78"/>
      <c r="N99" s="78"/>
    </row>
    <row r="100" spans="1:14" s="77" customFormat="1">
      <c r="A100" s="98">
        <v>45709</v>
      </c>
      <c r="B100" s="3" t="s">
        <v>1671</v>
      </c>
      <c r="C100" s="106"/>
      <c r="E100" s="77">
        <v>-120</v>
      </c>
      <c r="K100" s="78"/>
      <c r="L100" s="78"/>
      <c r="M100" s="78"/>
      <c r="N100" s="78"/>
    </row>
    <row r="101" spans="1:14" s="77" customFormat="1">
      <c r="A101" s="98">
        <v>45710</v>
      </c>
      <c r="B101" s="3" t="s">
        <v>127</v>
      </c>
      <c r="C101" s="106"/>
      <c r="E101" s="77">
        <v>-396</v>
      </c>
      <c r="K101" s="78"/>
      <c r="L101" s="78"/>
      <c r="M101" s="78"/>
      <c r="N101" s="78"/>
    </row>
    <row r="102" spans="1:14" s="77" customFormat="1" ht="15">
      <c r="A102" s="98"/>
      <c r="B102" s="3"/>
      <c r="C102" s="106"/>
      <c r="E102" s="105" t="s">
        <v>84</v>
      </c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 s="77" customFormat="1">
      <c r="A106" s="98"/>
      <c r="B106" s="3"/>
      <c r="C106" s="106"/>
      <c r="K106" s="78"/>
      <c r="L106" s="78"/>
      <c r="M106" s="78"/>
      <c r="N106" s="78"/>
    </row>
    <row r="107" spans="1:14" s="77" customFormat="1">
      <c r="A107" s="98"/>
      <c r="B107" s="3"/>
      <c r="C107" s="106"/>
      <c r="K107" s="78"/>
      <c r="L107" s="78"/>
      <c r="M107" s="78"/>
      <c r="N107" s="78"/>
    </row>
    <row r="108" spans="1:14">
      <c r="B108" s="3"/>
      <c r="C108" s="106"/>
      <c r="I108" s="77"/>
      <c r="J108" s="77"/>
    </row>
    <row r="117" spans="1:14">
      <c r="A117" s="113" t="s">
        <v>1674</v>
      </c>
      <c r="B117" s="104" t="s">
        <v>136</v>
      </c>
      <c r="C117" s="103">
        <v>2025</v>
      </c>
      <c r="D117" s="90"/>
      <c r="E117" s="90"/>
      <c r="F117" s="90"/>
      <c r="G117" s="90">
        <f>SUM(G121:G148)</f>
        <v>773509.50500000012</v>
      </c>
      <c r="H117" s="90"/>
      <c r="I117" s="90"/>
    </row>
    <row r="118" spans="1:14">
      <c r="A118" s="113"/>
      <c r="B118" s="104"/>
      <c r="C118" s="103"/>
      <c r="D118" s="90"/>
      <c r="E118" s="90"/>
      <c r="F118" s="90"/>
      <c r="G118" s="90"/>
      <c r="H118" s="90"/>
      <c r="I118" s="90"/>
    </row>
    <row r="119" spans="1:14">
      <c r="A119" s="113"/>
      <c r="B119" s="104"/>
      <c r="C119" s="103"/>
      <c r="D119" s="90"/>
      <c r="E119" s="90" t="s">
        <v>137</v>
      </c>
      <c r="F119" s="90"/>
      <c r="G119" s="90"/>
      <c r="H119" s="90"/>
      <c r="I119" s="90"/>
    </row>
    <row r="120" spans="1:14">
      <c r="A120" s="100"/>
      <c r="B120" s="90" t="s">
        <v>77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/>
      <c r="B121" s="90" t="s">
        <v>78</v>
      </c>
      <c r="C121" s="90"/>
      <c r="D121" s="90"/>
      <c r="E121" s="90"/>
      <c r="F121" s="90"/>
      <c r="G121" s="90">
        <v>0</v>
      </c>
      <c r="H121" s="90"/>
      <c r="I121" s="90"/>
    </row>
    <row r="122" spans="1:14">
      <c r="A122" s="100">
        <v>45747</v>
      </c>
      <c r="B122" s="90" t="s">
        <v>1739</v>
      </c>
      <c r="C122" s="90"/>
      <c r="D122" s="90"/>
      <c r="E122" s="90"/>
      <c r="F122" s="90"/>
      <c r="G122" s="90">
        <v>159330</v>
      </c>
      <c r="H122" s="90"/>
      <c r="I122" s="90"/>
    </row>
    <row r="123" spans="1:14">
      <c r="A123" s="100">
        <v>45721</v>
      </c>
      <c r="B123" s="90" t="s">
        <v>139</v>
      </c>
      <c r="C123" s="12"/>
      <c r="D123" s="12"/>
      <c r="E123" s="90"/>
      <c r="F123" s="90"/>
      <c r="G123" s="17">
        <v>34010.300000000003</v>
      </c>
      <c r="H123" s="90"/>
      <c r="I123" s="90"/>
    </row>
    <row r="124" spans="1:14" s="11" customFormat="1">
      <c r="A124" s="100">
        <v>45721</v>
      </c>
      <c r="B124" s="90"/>
      <c r="C124" s="12"/>
      <c r="D124" s="12"/>
      <c r="E124" s="90"/>
      <c r="F124" s="90" t="s">
        <v>1681</v>
      </c>
      <c r="G124" s="17">
        <v>0</v>
      </c>
      <c r="H124" s="90"/>
      <c r="I124" s="90"/>
      <c r="K124" s="78"/>
      <c r="L124" s="78"/>
      <c r="M124" s="78"/>
      <c r="N124" s="78"/>
    </row>
    <row r="125" spans="1:14">
      <c r="A125" s="100">
        <v>45721</v>
      </c>
      <c r="B125" s="90" t="s">
        <v>140</v>
      </c>
      <c r="C125" s="12"/>
      <c r="D125" s="12"/>
      <c r="E125" s="90"/>
      <c r="F125" s="90"/>
      <c r="G125" s="17">
        <v>500</v>
      </c>
      <c r="H125" s="90"/>
      <c r="I125" s="90"/>
    </row>
    <row r="126" spans="1:14">
      <c r="A126" s="100"/>
      <c r="B126" s="90"/>
      <c r="C126" s="12"/>
      <c r="D126" s="12"/>
      <c r="E126" s="90"/>
      <c r="F126" s="90"/>
      <c r="G126" s="17"/>
      <c r="H126" s="90"/>
      <c r="I126" s="90" t="s">
        <v>1686</v>
      </c>
    </row>
    <row r="127" spans="1:14">
      <c r="A127" s="445">
        <v>45667</v>
      </c>
      <c r="B127" s="446" t="s">
        <v>141</v>
      </c>
      <c r="C127" s="447"/>
      <c r="D127" s="448">
        <v>872.26366499999995</v>
      </c>
      <c r="E127" s="449">
        <f t="shared" ref="E127:E132" si="1">D127*C127</f>
        <v>0</v>
      </c>
      <c r="F127" s="473">
        <v>949.42488000000003</v>
      </c>
      <c r="G127" s="450">
        <f t="shared" ref="G127:G132" si="2">F127*C127</f>
        <v>0</v>
      </c>
      <c r="H127" s="417"/>
      <c r="I127" s="417">
        <f t="shared" ref="I127:I132" si="3">G127-E127</f>
        <v>0</v>
      </c>
      <c r="M127" s="444"/>
    </row>
    <row r="128" spans="1:14">
      <c r="A128" s="445">
        <v>45672</v>
      </c>
      <c r="B128" s="446" t="s">
        <v>141</v>
      </c>
      <c r="C128" s="447"/>
      <c r="D128" s="448">
        <v>877.65409299999999</v>
      </c>
      <c r="E128" s="449">
        <f t="shared" si="1"/>
        <v>0</v>
      </c>
      <c r="F128" s="473">
        <f>F127</f>
        <v>949.42488000000003</v>
      </c>
      <c r="G128" s="450">
        <f t="shared" si="2"/>
        <v>0</v>
      </c>
      <c r="H128" s="417"/>
      <c r="I128" s="417">
        <f t="shared" si="3"/>
        <v>0</v>
      </c>
    </row>
    <row r="129" spans="1:14">
      <c r="A129" s="445">
        <v>45680</v>
      </c>
      <c r="B129" s="446" t="s">
        <v>1602</v>
      </c>
      <c r="C129" s="447"/>
      <c r="D129" s="448">
        <v>305</v>
      </c>
      <c r="E129" s="449">
        <f>D129*C129</f>
        <v>0</v>
      </c>
      <c r="F129" s="417">
        <v>323.75</v>
      </c>
      <c r="G129" s="450">
        <f>F129*C129</f>
        <v>0</v>
      </c>
      <c r="H129" s="417"/>
      <c r="I129" s="417">
        <f>G129-E129</f>
        <v>0</v>
      </c>
      <c r="J129" s="443"/>
      <c r="K129" s="100"/>
      <c r="M129" s="443"/>
    </row>
    <row r="130" spans="1:14" s="11" customFormat="1">
      <c r="A130" s="445">
        <v>45721</v>
      </c>
      <c r="B130" s="446" t="s">
        <v>1602</v>
      </c>
      <c r="C130" s="447"/>
      <c r="D130" s="448"/>
      <c r="E130" s="449"/>
      <c r="F130" s="417"/>
      <c r="G130" s="450"/>
      <c r="H130" s="417"/>
      <c r="I130" s="417">
        <v>-81.59</v>
      </c>
      <c r="J130" s="78"/>
      <c r="K130" s="443"/>
      <c r="L130" s="78"/>
      <c r="M130" s="443"/>
      <c r="N130" s="78"/>
    </row>
    <row r="131" spans="1:14">
      <c r="A131" s="100">
        <v>45620</v>
      </c>
      <c r="B131" s="82" t="s">
        <v>1604</v>
      </c>
      <c r="C131" s="114">
        <v>4000</v>
      </c>
      <c r="D131" s="114">
        <v>32.549999999999997</v>
      </c>
      <c r="E131" s="116">
        <f t="shared" si="1"/>
        <v>130199.99999999999</v>
      </c>
      <c r="F131" s="90">
        <v>41.73</v>
      </c>
      <c r="G131" s="17">
        <f t="shared" si="2"/>
        <v>166920</v>
      </c>
      <c r="H131" s="90"/>
      <c r="I131" s="90">
        <f t="shared" si="3"/>
        <v>36720.000000000015</v>
      </c>
    </row>
    <row r="132" spans="1:14" ht="13.5" thickBot="1">
      <c r="A132" s="100">
        <v>45659</v>
      </c>
      <c r="B132" s="82" t="s">
        <v>1603</v>
      </c>
      <c r="C132" s="114">
        <v>4000</v>
      </c>
      <c r="D132" s="115">
        <v>30.86</v>
      </c>
      <c r="E132" s="116">
        <f t="shared" si="1"/>
        <v>123440</v>
      </c>
      <c r="F132" s="90">
        <f>F131</f>
        <v>41.73</v>
      </c>
      <c r="G132" s="17">
        <f t="shared" si="2"/>
        <v>166920</v>
      </c>
      <c r="H132" s="419">
        <f>SUM(G127:G132)</f>
        <v>333840</v>
      </c>
      <c r="I132" s="90">
        <f t="shared" si="3"/>
        <v>43480</v>
      </c>
    </row>
    <row r="133" spans="1:14" ht="13.5" thickBot="1">
      <c r="A133" s="100"/>
      <c r="B133" s="90"/>
      <c r="C133" s="12"/>
      <c r="D133" s="12"/>
      <c r="E133" s="90">
        <f>SUM(E127:E132)</f>
        <v>253640</v>
      </c>
      <c r="F133" s="90"/>
      <c r="G133" s="17"/>
      <c r="H133" s="117">
        <f>(SUM(G127:G132))-(SUM(E127:E132))</f>
        <v>80200</v>
      </c>
      <c r="I133" s="117">
        <f>SUM(I127:I132)</f>
        <v>80118.410000000018</v>
      </c>
    </row>
    <row r="134" spans="1:14">
      <c r="A134" s="100"/>
      <c r="B134" s="90"/>
      <c r="C134" s="12"/>
      <c r="D134" s="12"/>
      <c r="E134" s="90"/>
      <c r="F134" s="90"/>
      <c r="G134" s="90"/>
      <c r="H134" s="90"/>
      <c r="I134" s="90"/>
    </row>
    <row r="135" spans="1:14">
      <c r="A135" s="100">
        <v>45345</v>
      </c>
      <c r="B135" s="82" t="s">
        <v>143</v>
      </c>
      <c r="C135" s="118">
        <v>125000</v>
      </c>
      <c r="D135" s="83">
        <v>1.0399430000000001</v>
      </c>
      <c r="E135" s="116">
        <f>D135*C135</f>
        <v>129992.87500000001</v>
      </c>
      <c r="F135" s="119">
        <v>0.88676500000000003</v>
      </c>
      <c r="G135" s="17">
        <f>F135*C135</f>
        <v>110845.625</v>
      </c>
      <c r="H135" s="90"/>
      <c r="I135" s="90">
        <f t="shared" ref="I135:I138" si="4">G135-E135</f>
        <v>-19147.250000000015</v>
      </c>
    </row>
    <row r="136" spans="1:14">
      <c r="A136" s="100">
        <v>45400</v>
      </c>
      <c r="B136" s="82" t="s">
        <v>144</v>
      </c>
      <c r="C136" s="114">
        <v>10</v>
      </c>
      <c r="D136" s="83">
        <v>135</v>
      </c>
      <c r="E136" s="116">
        <f>D136*C136</f>
        <v>1350</v>
      </c>
      <c r="F136" s="90">
        <v>106.3</v>
      </c>
      <c r="G136" s="17">
        <f>F136*C136</f>
        <v>1063</v>
      </c>
      <c r="H136" s="90"/>
      <c r="I136" s="90">
        <f t="shared" si="4"/>
        <v>-287</v>
      </c>
    </row>
    <row r="137" spans="1:14">
      <c r="A137" s="100">
        <v>45418</v>
      </c>
      <c r="B137" s="82" t="s">
        <v>145</v>
      </c>
      <c r="C137" s="114">
        <v>38</v>
      </c>
      <c r="D137" s="83">
        <v>30.5</v>
      </c>
      <c r="E137" s="116">
        <f>D137*C137</f>
        <v>1159</v>
      </c>
      <c r="F137" s="90">
        <v>15.31</v>
      </c>
      <c r="G137" s="17">
        <f>F137*C137</f>
        <v>581.78</v>
      </c>
      <c r="H137" s="90"/>
      <c r="I137" s="90">
        <f t="shared" si="4"/>
        <v>-577.22</v>
      </c>
    </row>
    <row r="138" spans="1:14" ht="13.5" thickBot="1">
      <c r="A138" s="100">
        <v>45418</v>
      </c>
      <c r="B138" s="82" t="s">
        <v>146</v>
      </c>
      <c r="C138" s="114">
        <v>26</v>
      </c>
      <c r="D138" s="83">
        <v>37.115000000000002</v>
      </c>
      <c r="E138" s="116">
        <f>D138*C138</f>
        <v>964.99</v>
      </c>
      <c r="F138" s="90">
        <v>23.8</v>
      </c>
      <c r="G138" s="17">
        <f>F138*C138</f>
        <v>618.80000000000007</v>
      </c>
      <c r="H138" s="419">
        <f>SUM(G135:G138)</f>
        <v>113109.205</v>
      </c>
      <c r="I138" s="90">
        <f t="shared" si="4"/>
        <v>-346.18999999999994</v>
      </c>
    </row>
    <row r="139" spans="1:14" ht="13.5" thickBot="1">
      <c r="A139" s="100"/>
      <c r="B139" s="90"/>
      <c r="C139" s="12"/>
      <c r="D139" s="12"/>
      <c r="E139" s="90">
        <f>SUM(E135:E138)</f>
        <v>133466.86499999999</v>
      </c>
      <c r="F139" s="90"/>
      <c r="G139" s="90"/>
      <c r="H139" s="117">
        <f>(SUM(G135:G138))-(SUM(E135:E138))</f>
        <v>-20357.659999999989</v>
      </c>
      <c r="I139" s="90"/>
    </row>
    <row r="140" spans="1:14">
      <c r="A140" s="100"/>
      <c r="B140" s="90"/>
      <c r="C140" s="90"/>
      <c r="D140" s="90"/>
      <c r="E140" s="17"/>
      <c r="F140" s="90"/>
      <c r="G140" s="90"/>
      <c r="H140" s="90"/>
      <c r="I140" s="90"/>
    </row>
    <row r="141" spans="1:14">
      <c r="A141" s="100">
        <v>45509</v>
      </c>
      <c r="B141" s="82" t="s">
        <v>1725</v>
      </c>
      <c r="C141" s="114">
        <v>1</v>
      </c>
      <c r="D141" s="83">
        <v>2500</v>
      </c>
      <c r="E141" s="116">
        <f>D141*C141</f>
        <v>2500</v>
      </c>
      <c r="F141" s="90">
        <v>3700</v>
      </c>
      <c r="G141" s="17">
        <f>C141*F141</f>
        <v>3700</v>
      </c>
      <c r="H141" s="90"/>
      <c r="I141" s="90">
        <f t="shared" ref="I141:I143" si="5">G141-E141</f>
        <v>1200</v>
      </c>
    </row>
    <row r="142" spans="1:14">
      <c r="A142" s="100">
        <v>45509</v>
      </c>
      <c r="B142" s="82" t="s">
        <v>148</v>
      </c>
      <c r="C142" s="114">
        <v>16</v>
      </c>
      <c r="D142" s="83">
        <v>4100</v>
      </c>
      <c r="E142" s="116">
        <f>D142*C142</f>
        <v>65600</v>
      </c>
      <c r="F142" s="90">
        <f>F141*1.73</f>
        <v>6401</v>
      </c>
      <c r="G142" s="17">
        <f>C142*F142</f>
        <v>102416</v>
      </c>
      <c r="H142" s="90"/>
      <c r="I142" s="90">
        <f t="shared" si="5"/>
        <v>36816</v>
      </c>
    </row>
    <row r="143" spans="1:14" ht="13.5" thickBot="1">
      <c r="A143" s="100">
        <v>45509</v>
      </c>
      <c r="B143" s="82" t="s">
        <v>149</v>
      </c>
      <c r="C143" s="114">
        <v>1</v>
      </c>
      <c r="D143" s="83">
        <v>16200</v>
      </c>
      <c r="E143" s="116">
        <f>D143*C143</f>
        <v>16200</v>
      </c>
      <c r="F143" s="90">
        <f>F142*4</f>
        <v>25604</v>
      </c>
      <c r="G143" s="17">
        <f>C143*F143</f>
        <v>25604</v>
      </c>
      <c r="H143" s="419">
        <f>SUM(G141:G143)</f>
        <v>131720</v>
      </c>
      <c r="I143" s="90">
        <f t="shared" si="5"/>
        <v>9404</v>
      </c>
    </row>
    <row r="144" spans="1:14" ht="13.5" thickBot="1">
      <c r="A144" s="100"/>
      <c r="B144" s="90"/>
      <c r="C144" s="12"/>
      <c r="D144" s="12"/>
      <c r="E144" s="90">
        <f>SUM(E141:E143)</f>
        <v>84300</v>
      </c>
      <c r="F144" s="90"/>
      <c r="G144" s="90"/>
      <c r="H144" s="117">
        <f>(SUM(G141:G143))-(SUM(E141:E143))</f>
        <v>47420</v>
      </c>
      <c r="I144" s="90"/>
    </row>
    <row r="145" spans="1:14">
      <c r="A145" s="100"/>
      <c r="B145" s="90" t="s">
        <v>150</v>
      </c>
      <c r="C145" s="120">
        <v>33.250599999999999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151</v>
      </c>
      <c r="C146" s="120">
        <v>36.854999999999997</v>
      </c>
      <c r="D146" s="12"/>
      <c r="E146" s="90"/>
      <c r="F146" s="90"/>
      <c r="G146" s="17"/>
      <c r="H146" s="90"/>
      <c r="I146" s="90"/>
    </row>
    <row r="147" spans="1:14">
      <c r="A147" s="100"/>
      <c r="B147" s="90" t="s">
        <v>152</v>
      </c>
      <c r="C147" s="12"/>
      <c r="D147" s="12"/>
      <c r="E147" s="90"/>
      <c r="F147" s="90"/>
      <c r="G147" s="17">
        <v>0</v>
      </c>
      <c r="H147" s="90"/>
      <c r="I147" s="90"/>
    </row>
    <row r="148" spans="1:14" ht="13.5" thickBot="1">
      <c r="A148" s="100"/>
      <c r="B148" s="90" t="s">
        <v>153</v>
      </c>
      <c r="C148" s="12"/>
      <c r="D148" s="12"/>
      <c r="E148" s="90"/>
      <c r="F148" s="90"/>
      <c r="G148" s="17">
        <v>1000</v>
      </c>
      <c r="H148" s="90"/>
      <c r="I148" s="90"/>
    </row>
    <row r="149" spans="1:14" ht="13.5" thickBot="1">
      <c r="A149" s="100"/>
      <c r="B149" s="90"/>
      <c r="C149" s="90"/>
      <c r="D149" s="90"/>
      <c r="E149" s="121"/>
      <c r="F149" s="122"/>
      <c r="G149" s="123" t="s">
        <v>154</v>
      </c>
      <c r="H149" s="429">
        <f>H144+H139+H133</f>
        <v>107262.34000000001</v>
      </c>
      <c r="I149" s="90"/>
    </row>
    <row r="150" spans="1:14">
      <c r="A150" s="100"/>
      <c r="B150" s="90"/>
      <c r="C150" s="124"/>
      <c r="D150" s="92"/>
      <c r="E150" s="90"/>
      <c r="F150" s="90"/>
      <c r="G150" s="124"/>
      <c r="H150" s="90"/>
      <c r="I150" s="90"/>
    </row>
    <row r="151" spans="1:14">
      <c r="A151" s="100"/>
      <c r="B151" s="90"/>
      <c r="C151" s="124"/>
      <c r="D151" s="18" t="s">
        <v>155</v>
      </c>
      <c r="E151" s="90"/>
      <c r="F151" s="90"/>
      <c r="G151" s="9">
        <f>SUM(G121:G148)</f>
        <v>773509.50500000012</v>
      </c>
      <c r="H151" s="90"/>
      <c r="I151" s="90"/>
    </row>
    <row r="152" spans="1:14">
      <c r="A152" s="100"/>
      <c r="B152" s="90"/>
      <c r="C152" s="126" t="str">
        <f>A117</f>
        <v>NİSAN 2025 e</v>
      </c>
      <c r="D152" s="126" t="s">
        <v>156</v>
      </c>
      <c r="E152" s="90"/>
      <c r="F152" s="90"/>
      <c r="G152" s="127"/>
      <c r="H152" s="90"/>
      <c r="I152" s="90"/>
    </row>
    <row r="153" spans="1:14">
      <c r="A153" s="100"/>
      <c r="B153" s="405"/>
      <c r="C153" s="438"/>
      <c r="D153" s="439"/>
      <c r="E153" s="405"/>
      <c r="F153" s="405"/>
      <c r="G153" s="409"/>
      <c r="H153" s="405"/>
      <c r="I153" s="90"/>
    </row>
    <row r="154" spans="1:14">
      <c r="A154" s="100">
        <v>45747</v>
      </c>
      <c r="B154" s="82" t="s">
        <v>1683</v>
      </c>
      <c r="C154" s="118">
        <v>240</v>
      </c>
      <c r="D154" s="83">
        <v>872.26366499999995</v>
      </c>
      <c r="E154" s="116">
        <f>D154*C154</f>
        <v>209343.27959999998</v>
      </c>
      <c r="F154" s="403">
        <f>F128</f>
        <v>949.42488000000003</v>
      </c>
      <c r="H154" s="90"/>
    </row>
    <row r="155" spans="1:14" s="11" customFormat="1">
      <c r="A155" s="100"/>
      <c r="B155" s="82">
        <v>2024</v>
      </c>
      <c r="C155" s="118">
        <v>100</v>
      </c>
      <c r="D155" s="83">
        <v>872.26</v>
      </c>
      <c r="E155" s="116">
        <f>D155*C155</f>
        <v>87226</v>
      </c>
      <c r="F155" s="403">
        <f>F154</f>
        <v>949.42488000000003</v>
      </c>
      <c r="G155" s="17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82" t="s">
        <v>1727</v>
      </c>
      <c r="C156" s="118">
        <v>25</v>
      </c>
      <c r="D156" s="83">
        <v>872.26</v>
      </c>
      <c r="E156" s="116">
        <f>D156*C156</f>
        <v>21806.5</v>
      </c>
      <c r="F156" s="403">
        <f>F155</f>
        <v>949.42488000000003</v>
      </c>
      <c r="G156" s="17"/>
      <c r="H156" s="90"/>
      <c r="I156" s="90"/>
      <c r="K156" s="78"/>
      <c r="L156" s="78"/>
      <c r="M156" s="78"/>
      <c r="N156" s="78"/>
    </row>
    <row r="157" spans="1:14" s="11" customFormat="1" ht="15.75">
      <c r="A157" s="100"/>
      <c r="B157" s="476">
        <f>1-76.4616%</f>
        <v>0.23538399999999993</v>
      </c>
      <c r="C157" s="388">
        <f>219/12*B157</f>
        <v>4.2957579999999984</v>
      </c>
      <c r="D157" s="83">
        <v>5</v>
      </c>
      <c r="E157" s="116">
        <f>C157*D157</f>
        <v>21.478789999999993</v>
      </c>
      <c r="F157" s="403"/>
      <c r="G157" s="17"/>
      <c r="H157" s="90"/>
      <c r="I157" s="90"/>
      <c r="K157" s="78"/>
      <c r="L157" s="78"/>
      <c r="M157" s="78"/>
      <c r="N157" s="78"/>
    </row>
    <row r="158" spans="1:14" s="11" customFormat="1">
      <c r="A158" s="100"/>
      <c r="B158" s="82" t="s">
        <v>1728</v>
      </c>
      <c r="C158" s="118">
        <v>25</v>
      </c>
      <c r="D158" s="83">
        <v>872.26</v>
      </c>
      <c r="E158" s="116">
        <f>D158*C158</f>
        <v>21806.5</v>
      </c>
      <c r="F158" s="403">
        <f>F156</f>
        <v>949.42488000000003</v>
      </c>
      <c r="G158" s="17"/>
      <c r="H158" s="90"/>
      <c r="I158" s="90"/>
      <c r="K158" s="78"/>
      <c r="L158" s="78"/>
      <c r="M158" s="78"/>
      <c r="N158" s="78"/>
    </row>
    <row r="159" spans="1:14" s="11" customFormat="1">
      <c r="A159" s="100"/>
      <c r="B159" s="82"/>
      <c r="C159" s="388">
        <f>290/12*B157</f>
        <v>5.6884466666666649</v>
      </c>
      <c r="D159" s="83">
        <v>4</v>
      </c>
      <c r="E159" s="116">
        <f>C159*D159</f>
        <v>22.753786666666659</v>
      </c>
      <c r="F159" s="403"/>
      <c r="G159" s="17"/>
      <c r="H159" s="90"/>
      <c r="I159" s="90"/>
      <c r="K159" s="78"/>
      <c r="L159" s="78"/>
      <c r="M159" s="78"/>
      <c r="N159" s="78"/>
    </row>
    <row r="160" spans="1:14" s="11" customFormat="1">
      <c r="A160" s="100"/>
      <c r="B160" s="82"/>
      <c r="C160" s="116">
        <f>C158+C156+C155</f>
        <v>150</v>
      </c>
      <c r="D160" s="83">
        <v>872.26</v>
      </c>
      <c r="E160" s="116">
        <f>E158+E156+E155</f>
        <v>130839</v>
      </c>
      <c r="F160" s="403">
        <f>F158</f>
        <v>949.42488000000003</v>
      </c>
      <c r="G160" s="17">
        <f>F160*C160</f>
        <v>142413.73200000002</v>
      </c>
      <c r="H160" s="90"/>
      <c r="I160" s="90">
        <f>G160-E160</f>
        <v>11574.732000000018</v>
      </c>
      <c r="K160" s="78"/>
      <c r="L160" s="78"/>
      <c r="M160" s="78"/>
      <c r="N160" s="78"/>
    </row>
    <row r="161" spans="1:14" s="11" customFormat="1">
      <c r="A161" s="100"/>
      <c r="B161" s="82"/>
      <c r="C161" s="388"/>
      <c r="D161" s="83"/>
      <c r="E161" s="116"/>
      <c r="F161" s="403"/>
      <c r="G161" s="17"/>
      <c r="H161" s="90"/>
      <c r="I161" s="90"/>
      <c r="K161" s="78"/>
      <c r="L161" s="78"/>
      <c r="M161" s="78"/>
      <c r="N161" s="78"/>
    </row>
    <row r="162" spans="1:14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</row>
    <row r="163" spans="1:14" s="11" customFormat="1">
      <c r="A163" s="100"/>
      <c r="B163" s="90"/>
      <c r="C163" s="438"/>
      <c r="D163" s="439"/>
      <c r="E163" s="405"/>
      <c r="F163" s="405"/>
      <c r="G163" s="409"/>
      <c r="H163" s="90"/>
      <c r="I163" s="90"/>
      <c r="K163" s="78"/>
      <c r="L163" s="78"/>
      <c r="M163" s="78"/>
      <c r="N163" s="78"/>
    </row>
    <row r="164" spans="1:14" s="11" customFormat="1">
      <c r="A164" s="100"/>
      <c r="B164" s="90"/>
      <c r="C164" s="479">
        <v>0.76461599999999996</v>
      </c>
      <c r="D164" s="439"/>
      <c r="E164" s="405"/>
      <c r="F164" s="405"/>
      <c r="G164" s="409"/>
      <c r="H164" s="90"/>
      <c r="I164" s="90"/>
      <c r="K164" s="78"/>
      <c r="L164" s="78"/>
      <c r="M164" s="78"/>
      <c r="N164" s="78"/>
    </row>
    <row r="165" spans="1:14" s="11" customFormat="1">
      <c r="A165" s="100"/>
      <c r="C165" s="438"/>
      <c r="D165" s="439"/>
      <c r="E165" s="405"/>
      <c r="F165" s="405"/>
      <c r="G165" s="409"/>
      <c r="H165" s="90"/>
      <c r="I165" s="90"/>
      <c r="K165" s="78"/>
      <c r="L165" s="78"/>
      <c r="M165" s="78"/>
      <c r="N165" s="78"/>
    </row>
    <row r="166" spans="1:14">
      <c r="A166" s="90"/>
      <c r="B166" s="90" t="s">
        <v>1685</v>
      </c>
      <c r="C166" s="90"/>
      <c r="D166" s="90"/>
      <c r="E166" s="90"/>
      <c r="F166" s="90"/>
      <c r="G166" s="90"/>
      <c r="H166" s="90"/>
      <c r="I166" s="90" t="s">
        <v>1676</v>
      </c>
      <c r="J166" t="s">
        <v>1676</v>
      </c>
      <c r="K166" s="78" t="s">
        <v>1677</v>
      </c>
      <c r="L166" s="78" t="s">
        <v>1678</v>
      </c>
      <c r="M166" s="78" t="s">
        <v>1679</v>
      </c>
    </row>
    <row r="167" spans="1:14">
      <c r="A167" s="100">
        <v>45680</v>
      </c>
      <c r="B167" s="82" t="s">
        <v>1682</v>
      </c>
      <c r="C167" s="114">
        <v>120</v>
      </c>
      <c r="D167" s="115">
        <v>305</v>
      </c>
      <c r="E167" s="116">
        <f>D167*C167</f>
        <v>36600</v>
      </c>
      <c r="F167" s="90">
        <v>323.75</v>
      </c>
      <c r="G167" s="17">
        <f>F167*C167</f>
        <v>38850</v>
      </c>
      <c r="H167" s="90"/>
      <c r="I167" s="90">
        <f>G167-E167</f>
        <v>2250</v>
      </c>
      <c r="J167" s="443">
        <f>(I167-I168)/E167</f>
        <v>6.3704644808743174E-2</v>
      </c>
      <c r="K167" s="100">
        <v>45721</v>
      </c>
      <c r="L167" s="78">
        <f>K167-A167</f>
        <v>41</v>
      </c>
      <c r="M167" s="443">
        <f>J167/L167*30</f>
        <v>4.6613154738104762E-2</v>
      </c>
    </row>
    <row r="168" spans="1:14">
      <c r="A168" s="100">
        <v>45721</v>
      </c>
      <c r="B168" s="82" t="s">
        <v>1602</v>
      </c>
      <c r="C168" s="114"/>
      <c r="D168" s="115"/>
      <c r="E168" s="116"/>
      <c r="F168" s="90"/>
      <c r="G168" s="17"/>
      <c r="H168" s="90"/>
      <c r="I168" s="90">
        <v>-81.59</v>
      </c>
      <c r="J168" s="90">
        <f>I167-I168</f>
        <v>2331.59</v>
      </c>
      <c r="K168" s="475" t="s">
        <v>1680</v>
      </c>
      <c r="M168" s="443"/>
    </row>
    <row r="169" spans="1:14">
      <c r="A169" s="100">
        <v>45667</v>
      </c>
      <c r="B169" s="82" t="s">
        <v>141</v>
      </c>
      <c r="C169" s="114">
        <v>50</v>
      </c>
      <c r="D169" s="115">
        <v>872.26366499999995</v>
      </c>
      <c r="E169" s="116">
        <f t="shared" ref="E169:E170" si="6">D169*C169</f>
        <v>43613.183249999995</v>
      </c>
      <c r="F169" s="404">
        <v>948.605186</v>
      </c>
      <c r="G169" s="17">
        <f t="shared" ref="G169:G170" si="7">F169*C169</f>
        <v>47430.259299999998</v>
      </c>
      <c r="H169" s="90"/>
      <c r="I169" s="90">
        <f t="shared" ref="I169:I170" si="8">G169-E169</f>
        <v>3817.0760500000033</v>
      </c>
    </row>
    <row r="170" spans="1:14">
      <c r="A170" s="100">
        <v>45672</v>
      </c>
      <c r="B170" s="82" t="s">
        <v>141</v>
      </c>
      <c r="C170" s="114">
        <v>50</v>
      </c>
      <c r="D170" s="115">
        <v>877.65409299999999</v>
      </c>
      <c r="E170" s="116">
        <f t="shared" si="6"/>
        <v>43882.70465</v>
      </c>
      <c r="F170" s="404">
        <f>F169</f>
        <v>948.605186</v>
      </c>
      <c r="G170" s="17">
        <f t="shared" si="7"/>
        <v>47430.259299999998</v>
      </c>
      <c r="H170" s="90"/>
      <c r="I170" s="90">
        <f t="shared" si="8"/>
        <v>3547.5546499999982</v>
      </c>
      <c r="J170" s="443">
        <f>(I169+I170-I171)/(E170+E169)</f>
        <v>9.2896373704895008E-2</v>
      </c>
      <c r="K170" s="100">
        <v>45736</v>
      </c>
      <c r="L170" s="78">
        <f>K170-A170</f>
        <v>64</v>
      </c>
      <c r="M170" s="443">
        <f>J170/L170*30</f>
        <v>4.3545175174169531E-2</v>
      </c>
    </row>
    <row r="171" spans="1:14">
      <c r="A171" s="406"/>
      <c r="B171" s="407"/>
      <c r="C171" s="455"/>
      <c r="D171" s="456"/>
      <c r="E171" s="409"/>
      <c r="F171" s="405"/>
      <c r="G171" s="409"/>
      <c r="H171" s="405"/>
      <c r="I171" s="405">
        <v>-763.42</v>
      </c>
      <c r="J171" s="90">
        <f>I170+I169-I171</f>
        <v>8128.0507000000016</v>
      </c>
      <c r="K171" s="475" t="s">
        <v>1680</v>
      </c>
    </row>
    <row r="172" spans="1:14" ht="13.5" thickBot="1">
      <c r="A172" s="407"/>
      <c r="B172" s="407"/>
      <c r="C172" s="407"/>
      <c r="D172" s="405"/>
      <c r="E172" s="405"/>
      <c r="F172" s="405"/>
      <c r="G172" s="405"/>
      <c r="H172" s="405"/>
      <c r="I172" s="407"/>
    </row>
    <row r="173" spans="1:14">
      <c r="A173" s="428"/>
      <c r="B173" s="428"/>
      <c r="C173" s="428"/>
      <c r="D173" s="417"/>
      <c r="E173" s="417"/>
      <c r="F173" s="417"/>
      <c r="G173" s="417"/>
      <c r="H173" s="417"/>
      <c r="I173" s="481">
        <f>SUM(I167:I172)</f>
        <v>8769.6207000000013</v>
      </c>
    </row>
    <row r="174" spans="1:14">
      <c r="A174" s="11"/>
      <c r="B174" s="11"/>
      <c r="C174" s="11"/>
      <c r="D174" s="90"/>
      <c r="E174" s="90"/>
      <c r="F174" s="90"/>
      <c r="G174" s="90"/>
      <c r="H174" s="90"/>
      <c r="I174" s="11"/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25" zoomScale="145" zoomScaleNormal="145" workbookViewId="0">
      <selection activeCell="E54" sqref="E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103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2">
        <v>45873</v>
      </c>
      <c r="B9" s="428" t="s">
        <v>1648</v>
      </c>
      <c r="C9" s="420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0">
        <v>45692</v>
      </c>
      <c r="B10" s="391" t="s">
        <v>70</v>
      </c>
      <c r="C10" s="391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0">
        <v>45699</v>
      </c>
      <c r="B11" s="391" t="s">
        <v>1592</v>
      </c>
      <c r="C11" s="391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0">
        <v>45699</v>
      </c>
      <c r="B12" s="391" t="s">
        <v>75</v>
      </c>
      <c r="C12" s="391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1"/>
      <c r="B13" s="432" t="s">
        <v>72</v>
      </c>
      <c r="C13" s="415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0">
        <v>45705</v>
      </c>
      <c r="B14" s="435" t="s">
        <v>113</v>
      </c>
      <c r="C14" s="435"/>
      <c r="D14" s="436">
        <v>15000</v>
      </c>
      <c r="E14" s="436"/>
      <c r="F14" s="436">
        <v>15000</v>
      </c>
      <c r="G14" s="87"/>
      <c r="H14" s="87">
        <f t="shared" si="0"/>
        <v>-52111.33</v>
      </c>
      <c r="I14"/>
      <c r="J14"/>
    </row>
    <row r="15" spans="1:14" s="78" customFormat="1">
      <c r="A15" s="390">
        <v>45705</v>
      </c>
      <c r="B15" s="410" t="s">
        <v>73</v>
      </c>
      <c r="C15" s="410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0">
        <v>45705</v>
      </c>
      <c r="B16" s="410" t="s">
        <v>74</v>
      </c>
      <c r="C16" s="410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0">
        <v>45709</v>
      </c>
      <c r="B17" s="433" t="s">
        <v>1666</v>
      </c>
      <c r="C17" s="433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1"/>
      <c r="B19" s="415" t="s">
        <v>76</v>
      </c>
      <c r="C19" s="415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4"/>
      <c r="B20" s="415" t="s">
        <v>77</v>
      </c>
      <c r="C20" s="415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4"/>
      <c r="B21" s="415" t="s">
        <v>78</v>
      </c>
      <c r="C21" s="415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4"/>
      <c r="B22" s="415" t="s">
        <v>79</v>
      </c>
      <c r="C22" s="415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4"/>
      <c r="B23" s="415"/>
      <c r="C23" s="415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2"/>
      <c r="B24" s="415"/>
      <c r="C24" s="415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3">
        <v>45716</v>
      </c>
      <c r="B25" s="415" t="s">
        <v>98</v>
      </c>
      <c r="C25" s="415" t="s">
        <v>1673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3">
        <v>45716</v>
      </c>
      <c r="B26" s="434" t="s">
        <v>80</v>
      </c>
      <c r="C26" s="434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3">
        <v>45716</v>
      </c>
      <c r="B27" s="434" t="s">
        <v>81</v>
      </c>
      <c r="C27" s="434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6" t="s">
        <v>106</v>
      </c>
      <c r="C28" s="416"/>
      <c r="D28" s="417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1654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1655</v>
      </c>
      <c r="H36" s="424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1656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1628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1627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1626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1608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1607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1610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1609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1611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127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1629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127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1612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129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1613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1612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1614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1615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1616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1617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1618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1619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1615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1621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1620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1607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410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134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1613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127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1622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1643</v>
      </c>
      <c r="B112" s="104" t="s">
        <v>136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137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1739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139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140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141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4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141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4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1602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1604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1603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19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147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19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143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144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145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146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19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150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151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152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153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154</v>
      </c>
      <c r="H143" s="441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155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156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38"/>
      <c r="D147" s="439"/>
      <c r="E147" s="405"/>
      <c r="F147" s="405"/>
      <c r="G147" s="409"/>
      <c r="H147" s="405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1606</v>
      </c>
      <c r="C148" s="118">
        <v>240</v>
      </c>
      <c r="D148" s="83">
        <v>872.26366499999995</v>
      </c>
      <c r="E148" s="116">
        <f>D148*C148</f>
        <v>209343.27959999998</v>
      </c>
      <c r="F148" s="403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1684</v>
      </c>
      <c r="C149" s="438"/>
      <c r="D149" s="439"/>
      <c r="E149" s="405"/>
      <c r="F149" s="405"/>
      <c r="G149" s="409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1644</v>
      </c>
      <c r="C151" s="114"/>
      <c r="D151" s="115">
        <v>752.55561799999998</v>
      </c>
      <c r="E151" s="116">
        <f>D151*C151</f>
        <v>0</v>
      </c>
      <c r="F151" s="403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6">
        <v>45680</v>
      </c>
      <c r="B152" s="397" t="s">
        <v>1647</v>
      </c>
      <c r="C152" s="398">
        <v>-25</v>
      </c>
      <c r="D152" s="399">
        <v>752.55561799999998</v>
      </c>
      <c r="E152" s="400">
        <f>D152*C152</f>
        <v>-18813.890449999999</v>
      </c>
      <c r="F152" s="401">
        <v>899.26057400000002</v>
      </c>
      <c r="G152" s="402">
        <f>F152*C152</f>
        <v>-22481.514350000001</v>
      </c>
      <c r="H152" s="401"/>
      <c r="I152" s="401">
        <f>E152-G152</f>
        <v>3667.6239000000023</v>
      </c>
    </row>
    <row r="153" spans="1:14">
      <c r="A153" s="396">
        <v>45680</v>
      </c>
      <c r="B153" s="397" t="s">
        <v>1605</v>
      </c>
      <c r="C153" s="398"/>
      <c r="D153" s="399"/>
      <c r="E153" s="400">
        <v>299.37</v>
      </c>
      <c r="F153" s="401"/>
      <c r="G153" s="402"/>
      <c r="H153" s="401"/>
      <c r="I153" s="401">
        <f>G153-E153</f>
        <v>-299.37</v>
      </c>
    </row>
    <row r="154" spans="1:14" s="11" customFormat="1">
      <c r="A154" s="100">
        <v>45691</v>
      </c>
      <c r="B154" s="82" t="s">
        <v>1645</v>
      </c>
      <c r="C154" s="114"/>
      <c r="D154" s="115">
        <v>872.26366499999995</v>
      </c>
      <c r="E154" s="116">
        <f>D154*C154</f>
        <v>0</v>
      </c>
      <c r="F154" s="404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6">
        <v>45680</v>
      </c>
      <c r="B155" s="397" t="s">
        <v>141</v>
      </c>
      <c r="C155" s="398">
        <v>-9</v>
      </c>
      <c r="D155" s="115">
        <v>872.26366499999995</v>
      </c>
      <c r="E155" s="400">
        <f>D155*C155</f>
        <v>-7850.372985</v>
      </c>
      <c r="F155" s="401">
        <v>899.26057400000002</v>
      </c>
      <c r="G155" s="402">
        <f>F155*C155</f>
        <v>-8093.3451660000001</v>
      </c>
      <c r="H155" s="401"/>
      <c r="I155" s="401">
        <f>E155-G155</f>
        <v>242.97218100000009</v>
      </c>
    </row>
    <row r="156" spans="1:14">
      <c r="A156" s="396">
        <v>45680</v>
      </c>
      <c r="B156" s="397" t="s">
        <v>1605</v>
      </c>
      <c r="C156" s="398"/>
      <c r="D156" s="399"/>
      <c r="E156" s="400"/>
      <c r="F156" s="401"/>
      <c r="G156" s="402"/>
      <c r="H156" s="401"/>
      <c r="I156" s="401"/>
    </row>
    <row r="157" spans="1:14" s="11" customFormat="1">
      <c r="A157" s="100">
        <v>45692</v>
      </c>
      <c r="B157" s="82" t="s">
        <v>1645</v>
      </c>
      <c r="C157" s="114"/>
      <c r="D157" s="115">
        <v>872.26366499999995</v>
      </c>
      <c r="E157" s="116">
        <f>D157*C157</f>
        <v>0</v>
      </c>
      <c r="F157" s="404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6">
        <v>45692</v>
      </c>
      <c r="B158" s="397" t="s">
        <v>1646</v>
      </c>
      <c r="C158" s="398">
        <v>-25</v>
      </c>
      <c r="D158" s="399">
        <v>872.26366499999995</v>
      </c>
      <c r="E158" s="400">
        <f t="shared" ref="E158" si="9">D158*C158</f>
        <v>-21806.591624999997</v>
      </c>
      <c r="F158" s="421">
        <v>900.29758900000002</v>
      </c>
      <c r="G158" s="402">
        <f t="shared" ref="G158" si="10">F158*C158</f>
        <v>-22507.439725</v>
      </c>
      <c r="H158" s="401"/>
      <c r="I158" s="401">
        <f>E158-G158</f>
        <v>700.84810000000289</v>
      </c>
      <c r="K158" s="78"/>
      <c r="L158" s="78"/>
      <c r="M158" s="78"/>
      <c r="N158" s="78"/>
    </row>
    <row r="159" spans="1:14" s="11" customFormat="1">
      <c r="A159" s="396">
        <v>45680</v>
      </c>
      <c r="B159" s="397" t="s">
        <v>1605</v>
      </c>
      <c r="C159" s="398"/>
      <c r="D159" s="399"/>
      <c r="E159" s="400"/>
      <c r="F159" s="401"/>
      <c r="G159" s="402"/>
      <c r="H159" s="401"/>
      <c r="I159" s="401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1659</v>
      </c>
      <c r="C160" s="114"/>
      <c r="D160" s="115">
        <v>872.26366499999995</v>
      </c>
      <c r="E160" s="116">
        <f>D160*C160</f>
        <v>0</v>
      </c>
      <c r="F160" s="404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6">
        <v>45692</v>
      </c>
      <c r="B161" s="397" t="s">
        <v>1658</v>
      </c>
      <c r="C161" s="398">
        <v>-21</v>
      </c>
      <c r="D161" s="399">
        <v>872.26366499999995</v>
      </c>
      <c r="E161" s="400">
        <f t="shared" ref="E161" si="11">D161*C161</f>
        <v>-18317.536964999999</v>
      </c>
      <c r="F161" s="421">
        <v>907.06739800000003</v>
      </c>
      <c r="G161" s="402">
        <f t="shared" ref="G161" si="12">F161*C161</f>
        <v>-19048.415358000002</v>
      </c>
      <c r="H161" s="401"/>
      <c r="I161" s="401">
        <f>E161-G161</f>
        <v>730.87839300000269</v>
      </c>
      <c r="K161" s="78"/>
      <c r="L161" s="78"/>
      <c r="M161" s="78"/>
      <c r="N161" s="78"/>
    </row>
    <row r="162" spans="1:14" s="11" customFormat="1">
      <c r="A162" s="396">
        <v>45699</v>
      </c>
      <c r="B162" s="397" t="s">
        <v>1605</v>
      </c>
      <c r="C162" s="398"/>
      <c r="D162" s="399"/>
      <c r="E162" s="400"/>
      <c r="F162" s="401"/>
      <c r="G162" s="402"/>
      <c r="H162" s="401"/>
      <c r="I162" s="401">
        <v>-73.09</v>
      </c>
      <c r="K162" s="78"/>
      <c r="L162" s="78"/>
      <c r="M162" s="78"/>
      <c r="N162" s="78"/>
    </row>
    <row r="163" spans="1:14" s="11" customFormat="1">
      <c r="A163" s="396"/>
      <c r="B163" s="397"/>
      <c r="C163" s="398"/>
      <c r="D163" s="399"/>
      <c r="E163" s="400"/>
      <c r="F163" s="401"/>
      <c r="G163" s="402"/>
      <c r="H163" s="401"/>
      <c r="I163" s="401"/>
      <c r="K163" s="78"/>
      <c r="L163" s="78"/>
      <c r="M163" s="78"/>
      <c r="N163" s="78"/>
    </row>
    <row r="164" spans="1:14" s="11" customFormat="1">
      <c r="A164" s="396"/>
      <c r="B164" s="397"/>
      <c r="C164" s="398"/>
      <c r="D164" s="399"/>
      <c r="E164" s="400"/>
      <c r="F164" s="401"/>
      <c r="G164" s="402"/>
      <c r="H164" s="401"/>
      <c r="I164" s="401"/>
      <c r="K164" s="78"/>
      <c r="L164" s="78"/>
      <c r="M164" s="78"/>
      <c r="N164" s="78"/>
    </row>
    <row r="166" spans="1:14">
      <c r="A166" s="428"/>
      <c r="B166" s="428"/>
      <c r="C166" s="428"/>
      <c r="D166" s="417"/>
      <c r="E166" s="417"/>
      <c r="F166" s="417"/>
      <c r="G166" s="417"/>
      <c r="H166" s="417"/>
      <c r="I166" s="480">
        <f>SUM(I152:I165)</f>
        <v>4899.7725740000078</v>
      </c>
    </row>
    <row r="173" spans="1:14">
      <c r="F173" s="404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1" zoomScale="160" zoomScaleNormal="160" workbookViewId="0">
      <selection activeCell="B112" sqref="B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107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104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108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109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0"/>
      <c r="B12" s="391" t="s">
        <v>70</v>
      </c>
      <c r="C12" s="391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2"/>
      <c r="B13" s="391" t="s">
        <v>1591</v>
      </c>
      <c r="C13" s="391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2"/>
      <c r="B14" s="393" t="s">
        <v>72</v>
      </c>
      <c r="C14" s="392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0">
        <v>45671</v>
      </c>
      <c r="B15" s="385" t="s">
        <v>1583</v>
      </c>
      <c r="C15" s="394"/>
      <c r="D15" s="395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0">
        <v>45677</v>
      </c>
      <c r="B17" s="410" t="s">
        <v>73</v>
      </c>
      <c r="C17" s="410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0">
        <v>45677</v>
      </c>
      <c r="B18" s="410" t="s">
        <v>74</v>
      </c>
      <c r="C18" s="410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0">
        <v>45677</v>
      </c>
      <c r="B19" s="391" t="s">
        <v>75</v>
      </c>
      <c r="C19" s="391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1">
        <v>45684</v>
      </c>
      <c r="B21" s="392" t="s">
        <v>1601</v>
      </c>
      <c r="C21" s="392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1">
        <v>45684</v>
      </c>
      <c r="B22" s="392" t="s">
        <v>77</v>
      </c>
      <c r="C22" s="392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1">
        <v>45684</v>
      </c>
      <c r="B23" s="392" t="s">
        <v>78</v>
      </c>
      <c r="C23" s="392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1">
        <v>45684</v>
      </c>
      <c r="B24" s="392" t="s">
        <v>79</v>
      </c>
      <c r="C24" s="392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1">
        <v>45684</v>
      </c>
      <c r="B25" s="392" t="s">
        <v>1630</v>
      </c>
      <c r="C25" s="392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2">
        <v>45655</v>
      </c>
      <c r="B26" s="392" t="s">
        <v>98</v>
      </c>
      <c r="C26" s="392" t="s">
        <v>1598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3">
        <v>45686</v>
      </c>
      <c r="B27" s="392" t="s">
        <v>98</v>
      </c>
      <c r="C27" s="392" t="s">
        <v>1599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1">
        <v>45684</v>
      </c>
      <c r="B28" s="392" t="s">
        <v>1634</v>
      </c>
      <c r="C28" s="392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2" t="s">
        <v>1600</v>
      </c>
      <c r="C29" s="415" t="s">
        <v>625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5">
        <v>45688</v>
      </c>
      <c r="B31" s="391" t="s">
        <v>80</v>
      </c>
      <c r="C31" s="391"/>
      <c r="D31" s="387"/>
      <c r="E31" s="387">
        <v>-600</v>
      </c>
      <c r="F31" s="423"/>
      <c r="G31" s="423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5">
        <v>45688</v>
      </c>
      <c r="B32" s="391" t="s">
        <v>81</v>
      </c>
      <c r="C32" s="391"/>
      <c r="D32" s="387"/>
      <c r="E32" s="387">
        <v>-800</v>
      </c>
      <c r="F32" s="423"/>
      <c r="G32" s="423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5">
        <v>45688</v>
      </c>
      <c r="B33" s="387" t="s">
        <v>1636</v>
      </c>
      <c r="C33" s="387"/>
      <c r="D33" s="387"/>
      <c r="E33" s="387"/>
      <c r="F33" s="423"/>
      <c r="G33" s="423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6" t="s">
        <v>113</v>
      </c>
      <c r="C34" s="416"/>
      <c r="D34" s="417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4"/>
      <c r="B35" s="392" t="s">
        <v>76</v>
      </c>
      <c r="C35" s="392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6"/>
      <c r="B36" s="426" t="s">
        <v>1653</v>
      </c>
      <c r="C36" s="427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114</v>
      </c>
      <c r="C47" s="101"/>
    </row>
    <row r="48" spans="1:13">
      <c r="B48" s="99" t="s">
        <v>115</v>
      </c>
      <c r="C48" s="101"/>
    </row>
    <row r="49" spans="1:13">
      <c r="B49" s="101" t="s">
        <v>116</v>
      </c>
      <c r="C49" s="101"/>
    </row>
    <row r="50" spans="1:13">
      <c r="B50" s="101" t="s">
        <v>117</v>
      </c>
      <c r="C50" s="101"/>
    </row>
    <row r="51" spans="1:13">
      <c r="B51" s="101" t="s">
        <v>118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119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120</v>
      </c>
      <c r="H54" s="77"/>
      <c r="J54" s="94"/>
      <c r="K54" s="94"/>
      <c r="L54" s="95"/>
      <c r="M54" s="96"/>
    </row>
    <row r="55" spans="1:13" s="78" customFormat="1">
      <c r="B55" s="110" t="s">
        <v>121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120</v>
      </c>
      <c r="H55" s="77"/>
      <c r="J55" s="94"/>
      <c r="K55" s="94"/>
      <c r="L55" s="95"/>
      <c r="M55" s="96"/>
    </row>
    <row r="56" spans="1:13" s="78" customFormat="1">
      <c r="B56" s="110" t="s">
        <v>122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120</v>
      </c>
      <c r="H56" s="77"/>
      <c r="J56" s="94"/>
      <c r="K56" s="94"/>
      <c r="L56" s="95"/>
      <c r="M56" s="96"/>
    </row>
    <row r="57" spans="1:13" s="78" customFormat="1">
      <c r="B57" s="110" t="s">
        <v>123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124</v>
      </c>
      <c r="H57" s="77"/>
      <c r="J57" s="94"/>
      <c r="K57" s="94"/>
      <c r="L57" s="95"/>
      <c r="M57" s="96"/>
    </row>
    <row r="58" spans="1:13" s="78" customFormat="1">
      <c r="B58" s="110" t="s">
        <v>123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124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1143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1145</v>
      </c>
      <c r="C62" s="388">
        <v>3085.73</v>
      </c>
      <c r="D62" s="388" t="s">
        <v>806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1146</v>
      </c>
      <c r="C63" s="388">
        <v>49.12</v>
      </c>
      <c r="D63" s="388" t="s">
        <v>233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1147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1148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125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1642</v>
      </c>
      <c r="C70" s="77">
        <v>5938.68</v>
      </c>
      <c r="D70" s="77" t="s">
        <v>1638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1640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1639</v>
      </c>
      <c r="K75" s="78"/>
      <c r="L75" s="78"/>
      <c r="M75" s="78"/>
      <c r="N75" s="78"/>
    </row>
    <row r="76" spans="1:14" s="77" customFormat="1">
      <c r="A76" s="100"/>
      <c r="B76" s="77" t="s">
        <v>1641</v>
      </c>
      <c r="D76" s="418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126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127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128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129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127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130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131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132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133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134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132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135</v>
      </c>
      <c r="B107" s="104" t="s">
        <v>136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137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1739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139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140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141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3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141</v>
      </c>
      <c r="C118" s="114">
        <v>100</v>
      </c>
      <c r="D118" s="115">
        <v>872.26366499999995</v>
      </c>
      <c r="E118" s="116">
        <f t="shared" si="3"/>
        <v>87226.366499999989</v>
      </c>
      <c r="F118" s="404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141</v>
      </c>
      <c r="C119" s="114">
        <v>55</v>
      </c>
      <c r="D119" s="115">
        <v>877.65409299999999</v>
      </c>
      <c r="E119" s="116">
        <f t="shared" si="3"/>
        <v>48270.975115000001</v>
      </c>
      <c r="F119" s="404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1602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1604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1603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19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147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148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149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19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0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143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144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145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146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19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150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151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152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153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154</v>
      </c>
      <c r="H140" s="442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155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156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1606</v>
      </c>
      <c r="C145" s="118">
        <v>240</v>
      </c>
      <c r="D145" s="83">
        <v>872.26366499999995</v>
      </c>
      <c r="E145" s="116">
        <f>D145*C145</f>
        <v>209343.27959999998</v>
      </c>
      <c r="F145" s="403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1684</v>
      </c>
      <c r="C146" s="408"/>
      <c r="D146" s="405"/>
      <c r="E146" s="409"/>
      <c r="F146" s="437"/>
      <c r="G146" s="17"/>
      <c r="K146" s="78"/>
      <c r="L146" s="78"/>
      <c r="M146" s="78"/>
      <c r="N146" s="78"/>
    </row>
    <row r="147" spans="1:14" s="90" customFormat="1">
      <c r="A147" s="100"/>
      <c r="C147" s="408"/>
      <c r="D147" s="405"/>
      <c r="E147" s="409"/>
      <c r="F147" s="437"/>
      <c r="G147" s="17"/>
      <c r="K147" s="78"/>
      <c r="L147" s="78"/>
      <c r="M147" s="78"/>
      <c r="N147" s="78"/>
    </row>
    <row r="148" spans="1:14" s="90" customFormat="1">
      <c r="A148" s="100"/>
      <c r="C148" s="408"/>
      <c r="D148" s="405"/>
      <c r="E148" s="409"/>
      <c r="F148" s="437"/>
      <c r="G148" s="17"/>
      <c r="K148" s="78"/>
      <c r="L148" s="78"/>
      <c r="M148" s="78"/>
      <c r="N148" s="78"/>
    </row>
    <row r="149" spans="1:14" s="90" customFormat="1">
      <c r="A149" s="100"/>
      <c r="C149" s="408"/>
      <c r="D149" s="405"/>
      <c r="E149" s="409"/>
      <c r="F149" s="437"/>
      <c r="G149" s="17"/>
      <c r="K149" s="78"/>
      <c r="L149" s="78"/>
      <c r="M149" s="78"/>
      <c r="N149" s="78"/>
    </row>
    <row r="150" spans="1:14" s="90" customFormat="1">
      <c r="A150" s="396">
        <v>45680</v>
      </c>
      <c r="B150" s="397" t="s">
        <v>141</v>
      </c>
      <c r="C150" s="398">
        <v>-15</v>
      </c>
      <c r="D150" s="399">
        <v>752.55561799999998</v>
      </c>
      <c r="E150" s="400">
        <f>D150*C150</f>
        <v>-11288.334269999999</v>
      </c>
      <c r="F150" s="401">
        <v>886.51320299999998</v>
      </c>
      <c r="G150" s="402">
        <f>F150*C150</f>
        <v>-13297.698044999999</v>
      </c>
      <c r="H150" s="401"/>
      <c r="I150" s="401">
        <f>E150-G150</f>
        <v>2009.3637749999998</v>
      </c>
      <c r="K150" s="78"/>
      <c r="L150" s="78"/>
      <c r="M150" s="78"/>
      <c r="N150" s="78"/>
    </row>
    <row r="151" spans="1:14" s="90" customFormat="1">
      <c r="A151" s="396">
        <v>45680</v>
      </c>
      <c r="B151" s="397" t="s">
        <v>1605</v>
      </c>
      <c r="C151" s="398"/>
      <c r="D151" s="399"/>
      <c r="E151" s="400">
        <v>150.77000000000001</v>
      </c>
      <c r="F151" s="401"/>
      <c r="G151" s="402"/>
      <c r="H151" s="401"/>
      <c r="I151" s="401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A153" s="428"/>
      <c r="B153" s="428"/>
      <c r="C153" s="428"/>
      <c r="D153" s="417"/>
      <c r="E153" s="417"/>
      <c r="F153" s="417"/>
      <c r="G153" s="417"/>
      <c r="H153" s="417"/>
      <c r="I153" s="480">
        <f>SUM(I150:I152)</f>
        <v>1858.5937749999998</v>
      </c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5"/>
      <c r="B155" s="405"/>
      <c r="C155" s="405"/>
      <c r="D155" s="405"/>
      <c r="E155" s="405"/>
      <c r="F155" s="405"/>
      <c r="G155" s="405"/>
      <c r="K155" s="78"/>
      <c r="L155" s="78"/>
      <c r="M155" s="78"/>
      <c r="N155" s="78"/>
    </row>
    <row r="156" spans="1:14" s="90" customFormat="1">
      <c r="A156" s="405"/>
      <c r="B156" s="405"/>
      <c r="C156" s="405"/>
      <c r="D156" s="405"/>
      <c r="E156" s="405"/>
      <c r="F156" s="405"/>
      <c r="G156" s="405"/>
      <c r="K156" s="78"/>
      <c r="L156" s="78"/>
      <c r="M156" s="78"/>
      <c r="N156" s="78"/>
    </row>
    <row r="157" spans="1:14" s="77" customFormat="1">
      <c r="A157" s="405"/>
      <c r="B157" s="405"/>
      <c r="C157" s="405"/>
      <c r="D157" s="405"/>
      <c r="E157" s="405"/>
      <c r="F157" s="405"/>
      <c r="G157" s="405"/>
      <c r="K157" s="78"/>
      <c r="L157" s="78"/>
      <c r="M157" s="78"/>
      <c r="N157" s="78"/>
    </row>
    <row r="158" spans="1:14" s="77" customFormat="1">
      <c r="A158" s="405"/>
      <c r="B158" s="405"/>
      <c r="C158" s="405"/>
      <c r="D158" s="405"/>
      <c r="E158" s="405"/>
      <c r="F158" s="405"/>
      <c r="G158" s="405"/>
      <c r="K158" s="78"/>
      <c r="L158" s="78"/>
      <c r="M158" s="78"/>
      <c r="N158" s="78"/>
    </row>
    <row r="159" spans="1:14" s="77" customFormat="1">
      <c r="A159" s="406"/>
      <c r="B159" s="407"/>
      <c r="C159" s="408"/>
      <c r="D159" s="405"/>
      <c r="E159" s="409"/>
      <c r="F159" s="405"/>
      <c r="G159" s="409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157</v>
      </c>
      <c r="E161" s="77">
        <v>13006</v>
      </c>
    </row>
    <row r="162" spans="1:12">
      <c r="B162" t="s">
        <v>158</v>
      </c>
      <c r="D162" s="76">
        <v>0.1575</v>
      </c>
      <c r="E162" s="77">
        <f>E161*D162</f>
        <v>2048.4450000000002</v>
      </c>
    </row>
    <row r="163" spans="1:12">
      <c r="B163" t="s">
        <v>159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8"/>
  <sheetViews>
    <sheetView zoomScale="175" zoomScaleNormal="175" workbookViewId="0">
      <selection activeCell="B54" sqref="B5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160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161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162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163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164</v>
      </c>
      <c r="C10">
        <v>713.25</v>
      </c>
      <c r="F10" s="2">
        <f t="shared" si="0"/>
        <v>614.65000000000009</v>
      </c>
    </row>
    <row r="11" spans="1:6">
      <c r="B11" s="8" t="s">
        <v>165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166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167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168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169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170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171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168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172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173</v>
      </c>
      <c r="F20" s="2">
        <f t="shared" si="0"/>
        <v>-8570.35</v>
      </c>
    </row>
    <row r="21" spans="1:6">
      <c r="A21" s="1">
        <v>45442</v>
      </c>
      <c r="B21" s="8" t="s">
        <v>174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175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176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177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178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179</v>
      </c>
      <c r="C26">
        <v>1500</v>
      </c>
      <c r="F26" s="2">
        <f t="shared" si="0"/>
        <v>-108087.35</v>
      </c>
    </row>
    <row r="27" spans="1:6">
      <c r="B27" s="8" t="s">
        <v>180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181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182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183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184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185</v>
      </c>
      <c r="D32" s="69"/>
      <c r="E32" s="69">
        <v>3000</v>
      </c>
      <c r="F32" s="69">
        <f t="shared" si="0"/>
        <v>-91403.16</v>
      </c>
    </row>
    <row r="33" spans="1:6">
      <c r="B33" s="3" t="s">
        <v>186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187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188</v>
      </c>
      <c r="D36" s="2">
        <v>11631</v>
      </c>
      <c r="E36" s="69"/>
      <c r="F36" s="135">
        <f t="shared" ref="F36:F84" si="1">F35+D36-E36</f>
        <v>1478131</v>
      </c>
    </row>
    <row r="37" spans="1:6">
      <c r="B37" s="134" t="s">
        <v>189</v>
      </c>
      <c r="D37" s="2">
        <v>15500</v>
      </c>
      <c r="E37" s="69"/>
      <c r="F37" s="135">
        <f t="shared" si="1"/>
        <v>1493631</v>
      </c>
    </row>
    <row r="38" spans="1:6">
      <c r="B38" s="136" t="s">
        <v>190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191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192</v>
      </c>
      <c r="E41" s="2">
        <v>11631</v>
      </c>
      <c r="F41" s="2">
        <f t="shared" si="1"/>
        <v>1390596.84</v>
      </c>
    </row>
    <row r="42" spans="1:6">
      <c r="B42" s="8" t="s">
        <v>193</v>
      </c>
      <c r="E42" s="2">
        <v>15500</v>
      </c>
      <c r="F42" s="2">
        <f t="shared" si="1"/>
        <v>1375096.84</v>
      </c>
    </row>
    <row r="43" spans="1:6">
      <c r="B43" s="8" t="s">
        <v>194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195</v>
      </c>
      <c r="E44" s="2">
        <v>75000</v>
      </c>
      <c r="F44" s="2">
        <f t="shared" si="1"/>
        <v>1200096.8400000001</v>
      </c>
    </row>
    <row r="45" spans="1:6">
      <c r="B45" s="8" t="s">
        <v>196</v>
      </c>
      <c r="E45" s="2">
        <v>59783.839999999997</v>
      </c>
      <c r="F45" s="2">
        <f t="shared" si="1"/>
        <v>1140313</v>
      </c>
    </row>
    <row r="46" spans="1:6">
      <c r="B46" s="8" t="s">
        <v>197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198</v>
      </c>
      <c r="F47" s="2">
        <f t="shared" si="1"/>
        <v>590313</v>
      </c>
    </row>
    <row r="48" spans="1:6">
      <c r="B48" s="3" t="s">
        <v>199</v>
      </c>
      <c r="F48" s="2">
        <f t="shared" si="1"/>
        <v>590313</v>
      </c>
    </row>
    <row r="49" spans="1:6">
      <c r="B49" s="3" t="s">
        <v>200</v>
      </c>
      <c r="F49" s="2">
        <f t="shared" si="1"/>
        <v>590313</v>
      </c>
    </row>
    <row r="50" spans="1:6">
      <c r="B50" s="142" t="s">
        <v>201</v>
      </c>
      <c r="C50" s="142"/>
      <c r="D50" s="143"/>
      <c r="E50" s="143">
        <v>84313</v>
      </c>
      <c r="F50" s="2">
        <f t="shared" si="1"/>
        <v>506000</v>
      </c>
    </row>
    <row r="51" spans="1:6" ht="13.5" thickBot="1">
      <c r="B51" s="8" t="s">
        <v>202</v>
      </c>
      <c r="E51" s="2">
        <v>68000</v>
      </c>
      <c r="F51" s="2">
        <f t="shared" si="1"/>
        <v>438000</v>
      </c>
    </row>
    <row r="52" spans="1:6">
      <c r="B52" s="522" t="s">
        <v>1810</v>
      </c>
      <c r="C52" s="130"/>
      <c r="D52" s="131"/>
      <c r="E52" s="131"/>
      <c r="F52" s="505"/>
    </row>
    <row r="53" spans="1:6" s="11" customFormat="1">
      <c r="A53" s="10"/>
      <c r="B53" s="523" t="s">
        <v>1811</v>
      </c>
      <c r="C53" s="524"/>
      <c r="D53" s="525"/>
      <c r="E53" s="525"/>
      <c r="F53" s="135"/>
    </row>
    <row r="54" spans="1:6">
      <c r="B54" s="523" t="s">
        <v>1756</v>
      </c>
      <c r="C54" s="524"/>
      <c r="D54" s="525"/>
      <c r="E54" s="525"/>
      <c r="F54" s="135"/>
    </row>
    <row r="55" spans="1:6" s="11" customFormat="1">
      <c r="A55" s="10"/>
      <c r="B55" s="523" t="s">
        <v>1757</v>
      </c>
      <c r="C55" s="524"/>
      <c r="D55" s="525"/>
      <c r="E55" s="525"/>
      <c r="F55" s="135"/>
    </row>
    <row r="56" spans="1:6" s="11" customFormat="1">
      <c r="A56" s="10"/>
      <c r="B56" s="523" t="s">
        <v>1755</v>
      </c>
      <c r="C56" s="524"/>
      <c r="D56" s="525"/>
      <c r="E56" s="525"/>
      <c r="F56" s="135"/>
    </row>
    <row r="57" spans="1:6" s="11" customFormat="1" ht="13.5" thickBot="1">
      <c r="A57" s="10"/>
      <c r="B57" s="530"/>
      <c r="C57" s="524">
        <v>2637</v>
      </c>
      <c r="D57" s="523" t="s">
        <v>1758</v>
      </c>
      <c r="E57" s="525"/>
      <c r="F57" s="135"/>
    </row>
    <row r="58" spans="1:6" s="11" customFormat="1" ht="13.5" thickBot="1">
      <c r="A58" s="535"/>
      <c r="B58" s="536" t="s">
        <v>1759</v>
      </c>
      <c r="C58" s="537">
        <f>F59/C57</f>
        <v>166.09783845278727</v>
      </c>
      <c r="D58" s="536" t="s">
        <v>233</v>
      </c>
      <c r="E58" s="538"/>
      <c r="F58" s="539"/>
    </row>
    <row r="59" spans="1:6" s="11" customFormat="1">
      <c r="A59" s="10"/>
      <c r="D59" s="12"/>
      <c r="E59" s="12"/>
      <c r="F59" s="12">
        <f>F51+D59-E59</f>
        <v>438000</v>
      </c>
    </row>
    <row r="60" spans="1:6">
      <c r="A60" s="1">
        <v>45519</v>
      </c>
      <c r="B60" s="8" t="s">
        <v>203</v>
      </c>
      <c r="C60" s="8" t="s">
        <v>120</v>
      </c>
      <c r="E60" s="2">
        <v>30000</v>
      </c>
      <c r="F60" s="12">
        <f t="shared" si="1"/>
        <v>408000</v>
      </c>
    </row>
    <row r="61" spans="1:6">
      <c r="B61" s="8" t="s">
        <v>204</v>
      </c>
      <c r="D61" s="2">
        <v>200</v>
      </c>
      <c r="F61" s="12">
        <f t="shared" si="1"/>
        <v>408200</v>
      </c>
    </row>
    <row r="62" spans="1:6">
      <c r="A62" s="233"/>
      <c r="B62" s="92" t="s">
        <v>205</v>
      </c>
      <c r="C62" s="92"/>
      <c r="D62" s="17"/>
      <c r="E62" s="17">
        <v>1100</v>
      </c>
      <c r="F62" s="17">
        <f t="shared" si="1"/>
        <v>407100</v>
      </c>
    </row>
    <row r="63" spans="1:6">
      <c r="A63" s="144">
        <v>45536</v>
      </c>
      <c r="B63" s="145" t="s">
        <v>206</v>
      </c>
      <c r="C63" s="145" t="s">
        <v>120</v>
      </c>
      <c r="D63" s="146"/>
      <c r="E63" s="146">
        <v>5600</v>
      </c>
      <c r="F63" s="146">
        <f t="shared" si="1"/>
        <v>401500</v>
      </c>
    </row>
    <row r="64" spans="1:6" s="11" customFormat="1">
      <c r="A64" s="531"/>
      <c r="B64" s="532" t="s">
        <v>1769</v>
      </c>
      <c r="C64" s="533">
        <f>36500/2626</f>
        <v>13.8994668697639</v>
      </c>
      <c r="D64" s="534" t="s">
        <v>233</v>
      </c>
      <c r="E64" s="534"/>
      <c r="F64" s="534"/>
    </row>
    <row r="65" spans="1:6">
      <c r="A65" s="144">
        <v>45550</v>
      </c>
      <c r="B65" s="145" t="s">
        <v>207</v>
      </c>
      <c r="C65" s="145" t="s">
        <v>120</v>
      </c>
      <c r="D65" s="146"/>
      <c r="E65" s="146">
        <v>30000</v>
      </c>
      <c r="F65" s="146">
        <f>F63+D65-E65</f>
        <v>371500</v>
      </c>
    </row>
    <row r="66" spans="1:6">
      <c r="A66" s="485">
        <v>45565</v>
      </c>
      <c r="B66" s="486" t="s">
        <v>208</v>
      </c>
      <c r="C66" s="486" t="s">
        <v>209</v>
      </c>
      <c r="D66" s="128"/>
      <c r="E66" s="128">
        <v>6000</v>
      </c>
      <c r="F66" s="128">
        <f t="shared" si="1"/>
        <v>365500</v>
      </c>
    </row>
    <row r="67" spans="1:6" s="11" customFormat="1">
      <c r="A67" s="531"/>
      <c r="B67" s="532" t="s">
        <v>1770</v>
      </c>
      <c r="C67" s="533">
        <f>36000/2801</f>
        <v>12.85255265976437</v>
      </c>
      <c r="D67" s="534" t="s">
        <v>233</v>
      </c>
      <c r="E67" s="534"/>
      <c r="F67" s="534"/>
    </row>
    <row r="68" spans="1:6">
      <c r="A68" s="144">
        <v>45580</v>
      </c>
      <c r="B68" s="145" t="s">
        <v>210</v>
      </c>
      <c r="C68" s="145" t="s">
        <v>120</v>
      </c>
      <c r="D68" s="146"/>
      <c r="E68" s="146">
        <v>30000</v>
      </c>
      <c r="F68" s="146">
        <f>F66+D68-E68</f>
        <v>335500</v>
      </c>
    </row>
    <row r="69" spans="1:6">
      <c r="A69" s="485">
        <v>45595</v>
      </c>
      <c r="B69" s="486" t="s">
        <v>211</v>
      </c>
      <c r="C69" s="486" t="s">
        <v>209</v>
      </c>
      <c r="D69" s="128"/>
      <c r="E69" s="128">
        <v>6000</v>
      </c>
      <c r="F69" s="128">
        <f t="shared" si="1"/>
        <v>329500</v>
      </c>
    </row>
    <row r="70" spans="1:6" s="11" customFormat="1">
      <c r="A70" s="531"/>
      <c r="B70" s="532" t="s">
        <v>1771</v>
      </c>
      <c r="C70" s="533">
        <f>36000/2905</f>
        <v>12.392426850258175</v>
      </c>
      <c r="D70" s="534" t="s">
        <v>233</v>
      </c>
      <c r="E70" s="534"/>
      <c r="F70" s="534"/>
    </row>
    <row r="71" spans="1:6">
      <c r="A71" s="488">
        <v>45611</v>
      </c>
      <c r="B71" s="8" t="s">
        <v>212</v>
      </c>
      <c r="C71" s="67" t="s">
        <v>213</v>
      </c>
      <c r="D71" s="489"/>
      <c r="E71" s="489">
        <v>35800</v>
      </c>
      <c r="F71" s="489">
        <f>F69+D71-E71</f>
        <v>293700</v>
      </c>
    </row>
    <row r="72" spans="1:6">
      <c r="A72" s="488"/>
      <c r="B72" s="8" t="s">
        <v>214</v>
      </c>
      <c r="C72" s="67"/>
      <c r="D72" s="489">
        <v>630</v>
      </c>
      <c r="E72" s="489"/>
      <c r="F72" s="489">
        <f t="shared" si="1"/>
        <v>294330</v>
      </c>
    </row>
    <row r="73" spans="1:6" s="11" customFormat="1">
      <c r="A73" s="487"/>
      <c r="B73" s="92" t="s">
        <v>1590</v>
      </c>
      <c r="C73" s="486"/>
      <c r="D73" s="17">
        <v>1000</v>
      </c>
      <c r="E73" s="17"/>
      <c r="F73" s="17">
        <f t="shared" si="1"/>
        <v>295330</v>
      </c>
    </row>
    <row r="74" spans="1:6" s="11" customFormat="1">
      <c r="A74" s="531"/>
      <c r="B74" s="532" t="s">
        <v>1772</v>
      </c>
      <c r="C74" s="533">
        <f>35800/2898</f>
        <v>12.353347135955831</v>
      </c>
      <c r="D74" s="534" t="s">
        <v>233</v>
      </c>
      <c r="E74" s="534"/>
      <c r="F74" s="534"/>
    </row>
    <row r="75" spans="1:6">
      <c r="A75" s="147">
        <v>45641</v>
      </c>
      <c r="B75" s="82" t="s">
        <v>215</v>
      </c>
      <c r="C75" s="82" t="s">
        <v>216</v>
      </c>
      <c r="D75" s="114"/>
      <c r="E75" s="114">
        <v>38000</v>
      </c>
      <c r="F75" s="389">
        <f>F73+D75-E75</f>
        <v>257330</v>
      </c>
    </row>
    <row r="76" spans="1:6" s="11" customFormat="1">
      <c r="A76" s="531"/>
      <c r="B76" s="532" t="s">
        <v>1773</v>
      </c>
      <c r="C76" s="533">
        <f>38000/2970</f>
        <v>12.794612794612794</v>
      </c>
      <c r="D76" s="534" t="s">
        <v>233</v>
      </c>
      <c r="E76" s="534"/>
      <c r="F76" s="534"/>
    </row>
    <row r="77" spans="1:6">
      <c r="A77" s="1">
        <v>45672</v>
      </c>
      <c r="B77" s="8" t="s">
        <v>7</v>
      </c>
      <c r="C77" s="8" t="s">
        <v>6</v>
      </c>
      <c r="E77" s="2">
        <v>36500</v>
      </c>
      <c r="F77" s="2">
        <f>F75+D77-E77</f>
        <v>220830</v>
      </c>
    </row>
    <row r="78" spans="1:6">
      <c r="A78" s="1">
        <v>45703</v>
      </c>
      <c r="B78" s="8" t="s">
        <v>8</v>
      </c>
      <c r="C78" s="8" t="s">
        <v>6</v>
      </c>
      <c r="E78" s="2">
        <v>36500</v>
      </c>
      <c r="F78" s="2">
        <f t="shared" si="1"/>
        <v>184330</v>
      </c>
    </row>
    <row r="79" spans="1:6">
      <c r="A79" s="1">
        <v>45731</v>
      </c>
      <c r="B79" s="8" t="s">
        <v>9</v>
      </c>
      <c r="C79" s="8" t="s">
        <v>6</v>
      </c>
      <c r="E79" s="2">
        <v>36500</v>
      </c>
      <c r="F79" s="2">
        <f t="shared" si="1"/>
        <v>147830</v>
      </c>
    </row>
    <row r="80" spans="1:6">
      <c r="A80" s="1">
        <v>45762</v>
      </c>
      <c r="B80" s="8" t="s">
        <v>10</v>
      </c>
      <c r="C80" s="8" t="s">
        <v>6</v>
      </c>
      <c r="E80" s="2">
        <v>36500</v>
      </c>
      <c r="F80" s="2">
        <f t="shared" si="1"/>
        <v>111330</v>
      </c>
    </row>
    <row r="81" spans="1:6">
      <c r="A81" s="1">
        <v>45792</v>
      </c>
      <c r="B81" s="8" t="s">
        <v>11</v>
      </c>
      <c r="C81" s="8" t="s">
        <v>6</v>
      </c>
      <c r="E81" s="2">
        <v>36500</v>
      </c>
      <c r="F81" s="2">
        <f t="shared" si="1"/>
        <v>74830</v>
      </c>
    </row>
    <row r="82" spans="1:6">
      <c r="A82" s="1">
        <v>45823</v>
      </c>
      <c r="B82" s="8" t="s">
        <v>12</v>
      </c>
      <c r="C82" s="8" t="s">
        <v>6</v>
      </c>
      <c r="E82" s="2">
        <v>36500</v>
      </c>
      <c r="F82" s="2">
        <f t="shared" si="1"/>
        <v>38330</v>
      </c>
    </row>
    <row r="83" spans="1:6">
      <c r="A83" s="1">
        <v>45853</v>
      </c>
      <c r="B83" s="8" t="s">
        <v>13</v>
      </c>
      <c r="C83" s="8" t="s">
        <v>6</v>
      </c>
      <c r="E83" s="2">
        <v>36500</v>
      </c>
      <c r="F83" s="2">
        <f t="shared" si="1"/>
        <v>1830</v>
      </c>
    </row>
    <row r="84" spans="1:6">
      <c r="E84" s="13"/>
      <c r="F84" s="14">
        <f t="shared" si="1"/>
        <v>1830</v>
      </c>
    </row>
    <row r="85" spans="1:6">
      <c r="E85" s="15"/>
      <c r="F85" s="16" t="s">
        <v>14</v>
      </c>
    </row>
    <row r="91" spans="1:6">
      <c r="B91" s="8" t="s">
        <v>217</v>
      </c>
      <c r="D91" s="2">
        <v>1466500</v>
      </c>
      <c r="F91" s="2">
        <f t="shared" ref="F91:F96" si="2">F90+D91-E91</f>
        <v>1466500</v>
      </c>
    </row>
    <row r="92" spans="1:6">
      <c r="B92" s="8" t="s">
        <v>192</v>
      </c>
      <c r="D92" s="2">
        <v>11631</v>
      </c>
      <c r="F92" s="2">
        <f t="shared" si="2"/>
        <v>1478131</v>
      </c>
    </row>
    <row r="93" spans="1:6">
      <c r="B93" s="8" t="s">
        <v>218</v>
      </c>
      <c r="D93" s="2">
        <v>15500</v>
      </c>
      <c r="F93" s="2">
        <f t="shared" si="2"/>
        <v>1493631</v>
      </c>
    </row>
    <row r="94" spans="1:6">
      <c r="F94" s="2">
        <f t="shared" si="2"/>
        <v>1493631</v>
      </c>
    </row>
    <row r="95" spans="1:6">
      <c r="F95" s="2">
        <f t="shared" si="2"/>
        <v>1493631</v>
      </c>
    </row>
    <row r="96" spans="1:6">
      <c r="B96" s="3" t="s">
        <v>219</v>
      </c>
      <c r="C96" s="3"/>
      <c r="D96" s="17"/>
      <c r="E96" s="17"/>
      <c r="F96" s="17">
        <f t="shared" si="2"/>
        <v>1493631</v>
      </c>
    </row>
    <row r="98" spans="1:6">
      <c r="B98" s="148" t="s">
        <v>220</v>
      </c>
      <c r="C98" s="148" t="s">
        <v>221</v>
      </c>
      <c r="D98" s="149"/>
      <c r="E98" s="150" t="s">
        <v>222</v>
      </c>
      <c r="F98" s="150" t="s">
        <v>223</v>
      </c>
    </row>
    <row r="99" spans="1:6">
      <c r="F99" s="128">
        <f>F96+D99-E99</f>
        <v>1493631</v>
      </c>
    </row>
    <row r="100" spans="1:6">
      <c r="F100" s="2">
        <f t="shared" ref="F100:F106" si="3">F99-E100</f>
        <v>1493631</v>
      </c>
    </row>
    <row r="101" spans="1:6">
      <c r="B101" s="8" t="s">
        <v>224</v>
      </c>
      <c r="C101" s="8" t="s">
        <v>225</v>
      </c>
      <c r="E101" s="2">
        <f>E44+E45</f>
        <v>134783.84</v>
      </c>
      <c r="F101" s="2">
        <f t="shared" si="3"/>
        <v>1358847.16</v>
      </c>
    </row>
    <row r="102" spans="1:6">
      <c r="F102" s="2">
        <f t="shared" si="3"/>
        <v>1358847.16</v>
      </c>
    </row>
    <row r="103" spans="1:6">
      <c r="B103" s="8" t="s">
        <v>226</v>
      </c>
      <c r="C103" s="8" t="s">
        <v>227</v>
      </c>
      <c r="E103" s="2">
        <v>100000</v>
      </c>
      <c r="F103" s="2">
        <f t="shared" si="3"/>
        <v>1258847.1599999999</v>
      </c>
    </row>
    <row r="104" spans="1:6">
      <c r="F104" s="2">
        <f t="shared" si="3"/>
        <v>1258847.1599999999</v>
      </c>
    </row>
    <row r="105" spans="1:6">
      <c r="B105" s="8" t="s">
        <v>188</v>
      </c>
      <c r="C105" s="8" t="s">
        <v>228</v>
      </c>
      <c r="E105" s="2">
        <v>11631</v>
      </c>
      <c r="F105" s="2">
        <f t="shared" si="3"/>
        <v>1247216.1599999999</v>
      </c>
    </row>
    <row r="106" spans="1:6">
      <c r="B106" s="8" t="s">
        <v>189</v>
      </c>
      <c r="C106" s="8" t="s">
        <v>228</v>
      </c>
      <c r="E106" s="2">
        <v>15500</v>
      </c>
      <c r="F106" s="17">
        <f t="shared" si="3"/>
        <v>1231716.1599999999</v>
      </c>
    </row>
    <row r="107" spans="1:6" s="11" customFormat="1" ht="13.5" thickBot="1">
      <c r="A107" s="10"/>
      <c r="B107" s="8" t="s">
        <v>1762</v>
      </c>
      <c r="C107" s="8"/>
      <c r="D107" s="2"/>
      <c r="E107" s="2">
        <f>F33*-1</f>
        <v>91403.16</v>
      </c>
      <c r="F107" s="17">
        <f>F106-E107</f>
        <v>1140313</v>
      </c>
    </row>
    <row r="108" spans="1:6" ht="13.5" thickBot="1">
      <c r="B108" s="121"/>
      <c r="C108" s="151"/>
      <c r="D108" s="152" t="s">
        <v>229</v>
      </c>
      <c r="E108" s="141">
        <f>SUM(E101:E107)</f>
        <v>353318</v>
      </c>
    </row>
    <row r="110" spans="1:6" s="11" customFormat="1">
      <c r="A110" s="10"/>
      <c r="D110" s="12"/>
      <c r="E110" s="12"/>
      <c r="F110" s="17">
        <f>F107</f>
        <v>1140313</v>
      </c>
    </row>
    <row r="111" spans="1:6" s="11" customFormat="1">
      <c r="A111" s="10"/>
      <c r="B111" s="8" t="s">
        <v>1761</v>
      </c>
      <c r="C111" s="8" t="s">
        <v>1763</v>
      </c>
      <c r="D111" s="2"/>
      <c r="E111" s="2">
        <v>550000</v>
      </c>
      <c r="F111" s="17">
        <f>F110-E111</f>
        <v>590313</v>
      </c>
    </row>
    <row r="112" spans="1:6" s="11" customFormat="1">
      <c r="A112" s="10"/>
      <c r="D112" s="12"/>
      <c r="E112" s="12"/>
      <c r="F112" s="17">
        <f t="shared" ref="F112:F116" si="4">F111-E112</f>
        <v>590313</v>
      </c>
    </row>
    <row r="113" spans="1:6" s="11" customFormat="1">
      <c r="A113" s="10"/>
      <c r="D113" s="12"/>
      <c r="E113" s="12"/>
      <c r="F113" s="17">
        <f t="shared" si="4"/>
        <v>590313</v>
      </c>
    </row>
    <row r="114" spans="1:6" s="11" customFormat="1">
      <c r="A114" s="10"/>
      <c r="B114" s="8" t="s">
        <v>231</v>
      </c>
      <c r="C114" s="8" t="s">
        <v>1760</v>
      </c>
      <c r="D114" s="2"/>
      <c r="E114" s="2">
        <v>438000</v>
      </c>
      <c r="F114" s="17">
        <f>F113-E114</f>
        <v>152313</v>
      </c>
    </row>
    <row r="115" spans="1:6" s="11" customFormat="1">
      <c r="A115" s="10"/>
      <c r="B115" s="8"/>
      <c r="C115" s="8"/>
      <c r="D115" s="12"/>
      <c r="E115" s="12"/>
      <c r="F115" s="17">
        <f t="shared" si="4"/>
        <v>152313</v>
      </c>
    </row>
    <row r="116" spans="1:6">
      <c r="F116" s="17">
        <f t="shared" si="4"/>
        <v>152313</v>
      </c>
    </row>
    <row r="117" spans="1:6" ht="13.5" thickBot="1">
      <c r="B117" s="8" t="s">
        <v>1765</v>
      </c>
      <c r="C117" s="8" t="s">
        <v>230</v>
      </c>
      <c r="E117" s="2">
        <v>84313</v>
      </c>
      <c r="F117" s="17">
        <f>F116-E117</f>
        <v>68000</v>
      </c>
    </row>
    <row r="118" spans="1:6">
      <c r="B118" s="129" t="s">
        <v>1764</v>
      </c>
      <c r="C118" s="526" t="s">
        <v>230</v>
      </c>
      <c r="E118" s="2">
        <v>68000</v>
      </c>
      <c r="F118" s="17">
        <f>F117-E118</f>
        <v>0</v>
      </c>
    </row>
    <row r="119" spans="1:6">
      <c r="B119" s="134" t="s">
        <v>1766</v>
      </c>
      <c r="C119" s="527"/>
    </row>
    <row r="120" spans="1:6">
      <c r="B120" s="134" t="s">
        <v>1767</v>
      </c>
      <c r="C120" s="527"/>
    </row>
    <row r="121" spans="1:6" ht="13.5" thickBot="1">
      <c r="B121" s="528" t="s">
        <v>1768</v>
      </c>
      <c r="C121" s="529"/>
    </row>
    <row r="122" spans="1:6" ht="13.5" thickBot="1">
      <c r="B122" s="121"/>
      <c r="C122" s="151"/>
      <c r="D122" s="152" t="s">
        <v>232</v>
      </c>
      <c r="E122" s="141">
        <f>SUM(E117:E121)</f>
        <v>152313</v>
      </c>
    </row>
    <row r="139" spans="2:6">
      <c r="B139" s="8" t="s">
        <v>15</v>
      </c>
    </row>
    <row r="141" spans="2:6">
      <c r="F141" s="2">
        <f t="shared" ref="F141:F146" si="5">F140+D141-E141</f>
        <v>0</v>
      </c>
    </row>
    <row r="142" spans="2:6">
      <c r="B142" s="8" t="s">
        <v>16</v>
      </c>
      <c r="D142" s="2">
        <v>50000</v>
      </c>
      <c r="F142" s="2">
        <f t="shared" si="5"/>
        <v>50000</v>
      </c>
    </row>
    <row r="143" spans="2:6">
      <c r="B143" s="8" t="s">
        <v>17</v>
      </c>
      <c r="D143" s="2">
        <v>140000</v>
      </c>
      <c r="F143" s="2">
        <f t="shared" si="5"/>
        <v>190000</v>
      </c>
    </row>
    <row r="144" spans="2:6">
      <c r="B144" s="8" t="s">
        <v>18</v>
      </c>
      <c r="D144" s="2">
        <v>195000</v>
      </c>
      <c r="F144" s="2">
        <f t="shared" si="5"/>
        <v>385000</v>
      </c>
    </row>
    <row r="145" spans="2:6">
      <c r="B145" s="8" t="s">
        <v>19</v>
      </c>
      <c r="E145" s="2">
        <v>310000</v>
      </c>
      <c r="F145" s="2">
        <f t="shared" si="5"/>
        <v>75000</v>
      </c>
    </row>
    <row r="146" spans="2:6">
      <c r="B146" s="3" t="s">
        <v>20</v>
      </c>
      <c r="C146" s="3"/>
      <c r="D146" s="17"/>
      <c r="E146" s="17"/>
      <c r="F146" s="17">
        <f t="shared" si="5"/>
        <v>75000</v>
      </c>
    </row>
    <row r="147" spans="2:6">
      <c r="B147" s="3" t="s">
        <v>21</v>
      </c>
      <c r="C147" s="3"/>
      <c r="D147" s="17">
        <f>E101-F145</f>
        <v>59783.839999999997</v>
      </c>
      <c r="F147" s="2">
        <f>F145+D147-E147</f>
        <v>134783.84</v>
      </c>
    </row>
    <row r="148" spans="2:6">
      <c r="E148" s="18" t="s">
        <v>22</v>
      </c>
      <c r="F148" s="17">
        <f>F147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233</v>
      </c>
      <c r="F2">
        <v>2513</v>
      </c>
    </row>
    <row r="3" spans="1:8">
      <c r="E3" t="s">
        <v>234</v>
      </c>
      <c r="F3">
        <v>4100</v>
      </c>
    </row>
    <row r="4" spans="1:8">
      <c r="E4" t="s">
        <v>235</v>
      </c>
      <c r="F4">
        <v>26.15</v>
      </c>
    </row>
    <row r="5" spans="1:8">
      <c r="E5" t="s">
        <v>236</v>
      </c>
    </row>
    <row r="7" spans="1:8">
      <c r="D7" s="153" t="s">
        <v>237</v>
      </c>
      <c r="E7" s="153" t="s">
        <v>238</v>
      </c>
      <c r="F7" s="153" t="s">
        <v>239</v>
      </c>
      <c r="G7" s="153"/>
      <c r="H7" s="153" t="s">
        <v>240</v>
      </c>
    </row>
    <row r="8" spans="1:8">
      <c r="A8" t="s">
        <v>241</v>
      </c>
      <c r="B8" s="1">
        <v>44562</v>
      </c>
      <c r="C8" s="8" t="s">
        <v>242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243</v>
      </c>
      <c r="B9" s="1">
        <v>44562</v>
      </c>
      <c r="C9" s="8" t="s">
        <v>244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245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246</v>
      </c>
      <c r="B14" s="1">
        <v>45509</v>
      </c>
      <c r="C14" s="8" t="s">
        <v>247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248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250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251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228</v>
      </c>
      <c r="B20" s="1">
        <v>45509</v>
      </c>
      <c r="C20" s="8" t="s">
        <v>252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253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254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255</v>
      </c>
    </row>
    <row r="23" spans="1:9">
      <c r="B23" s="1"/>
      <c r="C23" s="8" t="s">
        <v>256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255</v>
      </c>
    </row>
    <row r="24" spans="1:9">
      <c r="B24" s="1"/>
      <c r="C24" s="8" t="s">
        <v>257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255</v>
      </c>
    </row>
    <row r="25" spans="1:9">
      <c r="B25" s="1"/>
      <c r="C25" s="8" t="s">
        <v>258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255</v>
      </c>
    </row>
    <row r="26" spans="1:9">
      <c r="B26" s="1"/>
      <c r="H26" s="2"/>
    </row>
    <row r="27" spans="1:9">
      <c r="A27" t="s">
        <v>77</v>
      </c>
      <c r="B27" t="s">
        <v>259</v>
      </c>
      <c r="C27" t="s">
        <v>235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260</v>
      </c>
    </row>
    <row r="28" spans="1:9">
      <c r="C28" t="s">
        <v>261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262</v>
      </c>
    </row>
    <row r="29" spans="1:9">
      <c r="B29" t="s">
        <v>259</v>
      </c>
      <c r="C29" t="s">
        <v>263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260</v>
      </c>
    </row>
    <row r="30" spans="1:9">
      <c r="C30" t="s">
        <v>264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265</v>
      </c>
    </row>
    <row r="31" spans="1:9">
      <c r="B31" t="s">
        <v>259</v>
      </c>
      <c r="C31" t="s">
        <v>266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227</v>
      </c>
      <c r="C33" t="s">
        <v>153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267</v>
      </c>
    </row>
    <row r="34" spans="1:10">
      <c r="A34" t="s">
        <v>268</v>
      </c>
      <c r="C34" t="s">
        <v>153</v>
      </c>
      <c r="F34" s="155">
        <v>68000</v>
      </c>
      <c r="G34" s="155">
        <v>68000</v>
      </c>
      <c r="H34" s="2">
        <f>H33+F34</f>
        <v>1488308.4482339998</v>
      </c>
      <c r="I34" s="8" t="s">
        <v>267</v>
      </c>
    </row>
    <row r="42" spans="1:10">
      <c r="G42" t="s">
        <v>269</v>
      </c>
      <c r="J42" t="s">
        <v>270</v>
      </c>
    </row>
    <row r="43" spans="1:10">
      <c r="J43">
        <v>1500000</v>
      </c>
    </row>
    <row r="44" spans="1:10">
      <c r="C44" t="s">
        <v>271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272</v>
      </c>
      <c r="F45" s="155">
        <v>155000</v>
      </c>
      <c r="H45" s="2">
        <f t="shared" si="1"/>
        <v>177058</v>
      </c>
    </row>
    <row r="46" spans="1:10">
      <c r="C46" t="s">
        <v>273</v>
      </c>
      <c r="F46" s="155"/>
      <c r="G46" s="156">
        <v>50000</v>
      </c>
      <c r="H46" s="2">
        <f t="shared" si="1"/>
        <v>127058</v>
      </c>
      <c r="I46" s="8" t="s">
        <v>120</v>
      </c>
      <c r="J46" s="8">
        <f>J43-G46</f>
        <v>1450000</v>
      </c>
    </row>
    <row r="47" spans="1:10">
      <c r="C47" t="s">
        <v>274</v>
      </c>
      <c r="F47" s="155">
        <v>722</v>
      </c>
      <c r="H47" s="2">
        <f t="shared" si="1"/>
        <v>127780</v>
      </c>
      <c r="I47" s="8" t="s">
        <v>275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276</v>
      </c>
      <c r="F50" s="155">
        <v>12290</v>
      </c>
      <c r="G50" s="2"/>
      <c r="H50" s="17">
        <f t="shared" si="1"/>
        <v>140070</v>
      </c>
      <c r="I50" s="157" t="s">
        <v>267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277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275</v>
      </c>
    </row>
    <row r="56" spans="2:10">
      <c r="H56" s="2">
        <f t="shared" si="2"/>
        <v>554317.39240000001</v>
      </c>
    </row>
    <row r="57" spans="2:10">
      <c r="C57" t="s">
        <v>233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267</v>
      </c>
    </row>
    <row r="58" spans="2:10">
      <c r="C58" t="s">
        <v>278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267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279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267</v>
      </c>
    </row>
    <row r="61" spans="2:10">
      <c r="C61" t="s">
        <v>280</v>
      </c>
      <c r="F61">
        <v>100000</v>
      </c>
      <c r="H61" s="2">
        <f t="shared" si="2"/>
        <v>1244192.3924</v>
      </c>
      <c r="I61" s="157" t="s">
        <v>267</v>
      </c>
    </row>
    <row r="62" spans="2:10">
      <c r="C62" t="s">
        <v>281</v>
      </c>
      <c r="F62">
        <v>68000</v>
      </c>
      <c r="H62" s="17">
        <f t="shared" si="2"/>
        <v>1312192.3924</v>
      </c>
      <c r="I62" s="157" t="s">
        <v>267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282</v>
      </c>
    </row>
    <row r="69" spans="2:9">
      <c r="C69" t="s">
        <v>271</v>
      </c>
      <c r="F69" s="155">
        <v>127500</v>
      </c>
      <c r="H69" s="17">
        <f t="shared" ref="H69:H82" si="3">H68+F69-G69</f>
        <v>127500</v>
      </c>
    </row>
    <row r="70" spans="2:9">
      <c r="C70" t="s">
        <v>272</v>
      </c>
      <c r="F70" s="155"/>
      <c r="H70" s="17">
        <f t="shared" si="3"/>
        <v>127500</v>
      </c>
    </row>
    <row r="71" spans="2:9">
      <c r="C71" t="s">
        <v>273</v>
      </c>
      <c r="F71" s="155"/>
      <c r="G71" s="156">
        <v>50000</v>
      </c>
      <c r="H71" s="17">
        <f t="shared" si="3"/>
        <v>77500</v>
      </c>
      <c r="I71" s="8" t="s">
        <v>120</v>
      </c>
    </row>
    <row r="72" spans="2:9">
      <c r="C72" t="s">
        <v>274</v>
      </c>
      <c r="F72" s="155">
        <v>722</v>
      </c>
      <c r="H72" s="17">
        <f t="shared" si="3"/>
        <v>78222</v>
      </c>
      <c r="I72" s="8" t="s">
        <v>275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277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275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267</v>
      </c>
    </row>
    <row r="77" spans="2:9">
      <c r="C77" t="s">
        <v>283</v>
      </c>
      <c r="F77" s="155">
        <v>12290</v>
      </c>
      <c r="G77" s="2"/>
      <c r="H77" s="17">
        <f t="shared" si="3"/>
        <v>1164307.8659999999</v>
      </c>
      <c r="I77" s="157" t="s">
        <v>267</v>
      </c>
    </row>
    <row r="78" spans="2:9">
      <c r="C78" t="s">
        <v>280</v>
      </c>
      <c r="F78">
        <v>100000</v>
      </c>
      <c r="H78" s="17">
        <f t="shared" si="3"/>
        <v>1264307.8659999999</v>
      </c>
      <c r="I78" s="157" t="s">
        <v>267</v>
      </c>
    </row>
    <row r="79" spans="2:9">
      <c r="C79" t="s">
        <v>281</v>
      </c>
      <c r="F79">
        <v>100000</v>
      </c>
      <c r="H79" s="17">
        <f t="shared" si="3"/>
        <v>1364307.8659999999</v>
      </c>
      <c r="I79" s="157" t="s">
        <v>267</v>
      </c>
    </row>
    <row r="80" spans="2:9">
      <c r="H80" s="17">
        <f t="shared" si="3"/>
        <v>1364307.8659999999</v>
      </c>
    </row>
    <row r="81" spans="3:9">
      <c r="C81" t="s">
        <v>284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267</v>
      </c>
    </row>
    <row r="82" spans="3:9">
      <c r="C82" t="s">
        <v>278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43" t="s">
        <v>26</v>
      </c>
      <c r="M1" s="543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676.38337999999999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804.89460712999994</v>
      </c>
    </row>
    <row r="17" spans="2:13">
      <c r="C17" s="2"/>
      <c r="D17" s="2"/>
      <c r="G17" s="63"/>
      <c r="H17" s="63"/>
      <c r="I17" s="35"/>
      <c r="K17" s="2" t="s">
        <v>57</v>
      </c>
      <c r="L17" s="544">
        <f>L15+M15</f>
        <v>1080.7929879999999</v>
      </c>
      <c r="M17" s="544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285</v>
      </c>
    </row>
    <row r="31" spans="2:13">
      <c r="C31" t="s">
        <v>286</v>
      </c>
    </row>
    <row r="32" spans="2:13">
      <c r="C32" t="s">
        <v>287</v>
      </c>
    </row>
    <row r="34" spans="2:3">
      <c r="B34" t="s">
        <v>288</v>
      </c>
    </row>
    <row r="35" spans="2:3">
      <c r="C35" t="s">
        <v>289</v>
      </c>
    </row>
    <row r="36" spans="2:3">
      <c r="C36" t="s">
        <v>290</v>
      </c>
    </row>
    <row r="37" spans="2:3">
      <c r="B37" t="s">
        <v>291</v>
      </c>
    </row>
    <row r="38" spans="2:3">
      <c r="C38" t="s">
        <v>292</v>
      </c>
    </row>
    <row r="39" spans="2:3">
      <c r="C39" t="s">
        <v>293</v>
      </c>
    </row>
    <row r="40" spans="2:3">
      <c r="C40" t="s">
        <v>294</v>
      </c>
    </row>
    <row r="41" spans="2:3">
      <c r="C41" t="s">
        <v>295</v>
      </c>
    </row>
    <row r="42" spans="2:3">
      <c r="C42" t="s">
        <v>296</v>
      </c>
    </row>
    <row r="43" spans="2:3">
      <c r="B43" t="s">
        <v>297</v>
      </c>
    </row>
    <row r="44" spans="2:3">
      <c r="C44" t="s">
        <v>298</v>
      </c>
    </row>
    <row r="115" spans="2:7">
      <c r="B115" s="113" t="s">
        <v>299</v>
      </c>
      <c r="C115" s="104" t="s">
        <v>136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300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301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302</v>
      </c>
      <c r="E120" s="2"/>
      <c r="F120" s="17">
        <v>6267.13</v>
      </c>
    </row>
    <row r="121" spans="2:7">
      <c r="B121" s="160">
        <f t="shared" si="2"/>
        <v>45290</v>
      </c>
      <c r="C121" s="8" t="s">
        <v>236</v>
      </c>
      <c r="D121" s="2" t="s">
        <v>303</v>
      </c>
      <c r="E121" s="2"/>
      <c r="F121" s="17">
        <v>21088.49</v>
      </c>
    </row>
    <row r="122" spans="2:7">
      <c r="B122" s="160">
        <f t="shared" si="2"/>
        <v>45290</v>
      </c>
      <c r="C122" s="8" t="s">
        <v>304</v>
      </c>
      <c r="D122" s="2" t="s">
        <v>305</v>
      </c>
      <c r="E122" s="2"/>
      <c r="F122" s="17">
        <v>5587.73</v>
      </c>
    </row>
    <row r="123" spans="2:7">
      <c r="B123" s="160">
        <f t="shared" si="2"/>
        <v>45290</v>
      </c>
      <c r="C123" s="8" t="s">
        <v>306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307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308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309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140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310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311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312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152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153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156</v>
      </c>
      <c r="F133" s="163">
        <f>H33</f>
        <v>0</v>
      </c>
    </row>
    <row r="134" spans="2:6">
      <c r="E134" s="3"/>
    </row>
    <row r="135" spans="2:6">
      <c r="E135" s="18" t="s">
        <v>155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313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314</v>
      </c>
      <c r="D11" s="83" t="s">
        <v>315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316</v>
      </c>
      <c r="D12" s="83" t="s">
        <v>315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317</v>
      </c>
      <c r="C13" s="82"/>
      <c r="D13" s="83" t="s">
        <v>315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318</v>
      </c>
      <c r="C14" s="82"/>
      <c r="D14" s="83" t="s">
        <v>315</v>
      </c>
      <c r="E14" s="167">
        <v>-141.5</v>
      </c>
      <c r="H14" s="77">
        <f t="shared" si="0"/>
        <v>-30048.39</v>
      </c>
    </row>
    <row r="15" spans="1:8">
      <c r="B15" s="82" t="s">
        <v>319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320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321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322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323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323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323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112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110</v>
      </c>
      <c r="E36" s="77">
        <v>-1380</v>
      </c>
    </row>
    <row r="37" spans="1:8">
      <c r="A37" s="98">
        <v>45686</v>
      </c>
      <c r="B37" s="8" t="s">
        <v>98</v>
      </c>
      <c r="C37" s="8" t="s">
        <v>111</v>
      </c>
      <c r="E37" s="77">
        <v>-1380</v>
      </c>
    </row>
    <row r="38" spans="1:8">
      <c r="A38" s="98">
        <v>45716</v>
      </c>
      <c r="B38" s="8" t="s">
        <v>98</v>
      </c>
      <c r="C38" s="8" t="s">
        <v>105</v>
      </c>
      <c r="E38" s="77">
        <v>-1380</v>
      </c>
    </row>
    <row r="39" spans="1:8">
      <c r="A39" s="98">
        <v>45745</v>
      </c>
      <c r="B39" s="8" t="s">
        <v>98</v>
      </c>
      <c r="C39" s="8" t="s">
        <v>101</v>
      </c>
      <c r="E39" s="77">
        <v>-1380</v>
      </c>
    </row>
    <row r="40" spans="1:8">
      <c r="A40" s="98">
        <v>45776</v>
      </c>
      <c r="B40" s="8" t="s">
        <v>98</v>
      </c>
      <c r="C40" s="8" t="s">
        <v>324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114</v>
      </c>
      <c r="C43" s="101"/>
    </row>
    <row r="44" spans="1:8">
      <c r="B44" s="99" t="s">
        <v>115</v>
      </c>
      <c r="C44" s="101"/>
    </row>
    <row r="45" spans="1:8">
      <c r="B45" s="101" t="s">
        <v>116</v>
      </c>
      <c r="C45" s="101"/>
    </row>
    <row r="46" spans="1:8">
      <c r="B46" s="101" t="s">
        <v>117</v>
      </c>
      <c r="C46" s="101"/>
    </row>
    <row r="47" spans="1:8">
      <c r="B47" s="101" t="s">
        <v>118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119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120</v>
      </c>
      <c r="J50" s="94"/>
      <c r="K50" s="94"/>
      <c r="L50" s="95"/>
      <c r="M50" s="96"/>
    </row>
    <row r="51" spans="1:13">
      <c r="B51" s="110" t="s">
        <v>121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120</v>
      </c>
      <c r="J51" s="94"/>
      <c r="K51" s="94"/>
      <c r="L51" s="95"/>
      <c r="M51" s="96"/>
    </row>
    <row r="52" spans="1:13">
      <c r="B52" s="110" t="s">
        <v>122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120</v>
      </c>
      <c r="J52" s="94"/>
      <c r="K52" s="94"/>
      <c r="L52" s="95"/>
      <c r="M52" s="96"/>
    </row>
    <row r="53" spans="1:13">
      <c r="B53" s="110" t="s">
        <v>123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124</v>
      </c>
      <c r="J53" s="94"/>
      <c r="K53" s="94"/>
      <c r="L53" s="95"/>
      <c r="M53" s="96"/>
    </row>
    <row r="54" spans="1:13">
      <c r="B54" s="110" t="s">
        <v>123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124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325</v>
      </c>
    </row>
    <row r="63" spans="1:13">
      <c r="A63" s="103" t="s">
        <v>326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327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328</v>
      </c>
    </row>
    <row r="67" spans="1:5">
      <c r="B67" t="s">
        <v>329</v>
      </c>
    </row>
    <row r="68" spans="1:5">
      <c r="B68" t="s">
        <v>330</v>
      </c>
    </row>
    <row r="69" spans="1:5">
      <c r="B69" t="s">
        <v>331</v>
      </c>
    </row>
    <row r="70" spans="1:5">
      <c r="B70" t="s">
        <v>332</v>
      </c>
    </row>
    <row r="71" spans="1:5">
      <c r="B71" t="s">
        <v>333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334</v>
      </c>
      <c r="C78">
        <v>10176.39</v>
      </c>
      <c r="D78" s="77" t="s">
        <v>335</v>
      </c>
      <c r="E78" s="77">
        <v>-1130.71</v>
      </c>
    </row>
    <row r="79" spans="1:5">
      <c r="A79" s="88">
        <v>45375</v>
      </c>
      <c r="B79" s="8" t="s">
        <v>336</v>
      </c>
      <c r="C79">
        <v>5999</v>
      </c>
      <c r="D79" s="77" t="s">
        <v>335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337</v>
      </c>
      <c r="C94" s="106"/>
      <c r="E94" s="77">
        <v>-429.88</v>
      </c>
    </row>
    <row r="95" spans="1:5">
      <c r="A95" s="100"/>
      <c r="B95" s="3" t="s">
        <v>338</v>
      </c>
      <c r="C95" s="106"/>
      <c r="E95" s="77">
        <v>-654.99</v>
      </c>
    </row>
    <row r="96" spans="1:5">
      <c r="A96" s="100"/>
      <c r="B96" s="3" t="s">
        <v>339</v>
      </c>
      <c r="C96" s="106"/>
      <c r="E96" s="77">
        <v>-1600</v>
      </c>
    </row>
    <row r="97" spans="1:5">
      <c r="A97" s="100"/>
      <c r="B97" s="3" t="s">
        <v>127</v>
      </c>
      <c r="C97" s="106"/>
      <c r="E97" s="77">
        <v>-125.48</v>
      </c>
    </row>
    <row r="98" spans="1:5">
      <c r="A98" s="100"/>
      <c r="B98" s="3" t="s">
        <v>127</v>
      </c>
      <c r="C98" s="106"/>
      <c r="E98" s="77">
        <v>-297.45</v>
      </c>
    </row>
    <row r="99" spans="1:5">
      <c r="A99" s="100"/>
      <c r="B99" s="3" t="s">
        <v>127</v>
      </c>
      <c r="C99" s="106"/>
      <c r="E99" s="77">
        <v>-174</v>
      </c>
    </row>
    <row r="100" spans="1:5">
      <c r="A100" s="100"/>
      <c r="B100" s="3" t="s">
        <v>127</v>
      </c>
      <c r="C100" s="106"/>
      <c r="E100" s="77">
        <v>-49</v>
      </c>
    </row>
    <row r="101" spans="1:5">
      <c r="A101" s="100"/>
      <c r="B101" s="3" t="s">
        <v>127</v>
      </c>
      <c r="C101" s="106"/>
      <c r="E101" s="77">
        <v>-29.9</v>
      </c>
    </row>
    <row r="102" spans="1:5">
      <c r="A102" s="100"/>
      <c r="B102" s="3" t="s">
        <v>340</v>
      </c>
      <c r="C102" s="106"/>
      <c r="E102" s="77">
        <v>-525</v>
      </c>
    </row>
    <row r="103" spans="1:5">
      <c r="A103" s="100"/>
      <c r="B103" s="3" t="s">
        <v>127</v>
      </c>
      <c r="C103" s="106"/>
      <c r="E103" s="77">
        <v>-257.33</v>
      </c>
    </row>
    <row r="104" spans="1:5">
      <c r="A104" s="100"/>
      <c r="B104" s="3" t="s">
        <v>341</v>
      </c>
      <c r="C104" s="106"/>
      <c r="E104" s="77">
        <v>-84.95</v>
      </c>
    </row>
    <row r="105" spans="1:5">
      <c r="A105" s="100"/>
      <c r="B105" s="3" t="s">
        <v>129</v>
      </c>
      <c r="C105" s="106">
        <v>129000.63</v>
      </c>
    </row>
    <row r="106" spans="1:5">
      <c r="A106" s="100"/>
      <c r="B106" s="3" t="s">
        <v>342</v>
      </c>
      <c r="C106" s="106"/>
      <c r="E106" s="77">
        <v>-500</v>
      </c>
    </row>
    <row r="107" spans="1:5">
      <c r="A107" s="100"/>
      <c r="B107" s="3" t="s">
        <v>341</v>
      </c>
      <c r="C107" s="106"/>
      <c r="E107" s="77">
        <v>-886.3</v>
      </c>
    </row>
    <row r="108" spans="1:5">
      <c r="A108" s="100"/>
      <c r="B108" s="3" t="s">
        <v>341</v>
      </c>
      <c r="C108" s="106"/>
      <c r="E108" s="77">
        <v>-99.75</v>
      </c>
    </row>
    <row r="109" spans="1:5">
      <c r="A109" s="100">
        <v>45606</v>
      </c>
      <c r="B109" s="3" t="s">
        <v>343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344</v>
      </c>
      <c r="B125" s="104" t="s">
        <v>136</v>
      </c>
      <c r="C125" s="103">
        <v>2024</v>
      </c>
      <c r="E125" s="77">
        <f>SUM(E126:E148)</f>
        <v>676383.38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138</v>
      </c>
      <c r="C128" s="490">
        <v>329500</v>
      </c>
      <c r="D128" s="12">
        <v>34170</v>
      </c>
      <c r="E128" s="12">
        <f>C128-D128</f>
        <v>295330</v>
      </c>
    </row>
    <row r="129" spans="1:6">
      <c r="A129" s="100"/>
    </row>
    <row r="130" spans="1:6">
      <c r="A130" s="100"/>
      <c r="B130" s="8" t="s">
        <v>139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141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142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143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144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145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146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140</v>
      </c>
      <c r="C139" s="2"/>
      <c r="D139" s="2"/>
    </row>
    <row r="140" spans="1:6">
      <c r="A140" s="100"/>
    </row>
    <row r="141" spans="1:6">
      <c r="A141" s="100"/>
      <c r="B141" s="8" t="s">
        <v>345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148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149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150</v>
      </c>
      <c r="C145" s="120">
        <v>33.250599999999999</v>
      </c>
      <c r="D145" s="2"/>
      <c r="E145" s="17"/>
    </row>
    <row r="146" spans="1:5">
      <c r="A146" s="100"/>
      <c r="B146" s="8" t="s">
        <v>151</v>
      </c>
      <c r="C146" s="120">
        <v>36.854999999999997</v>
      </c>
      <c r="D146" s="2"/>
      <c r="E146" s="17"/>
    </row>
    <row r="147" spans="1:5">
      <c r="A147" s="100"/>
      <c r="B147" s="8" t="s">
        <v>152</v>
      </c>
      <c r="C147" s="2"/>
      <c r="D147" s="2"/>
      <c r="E147" s="17">
        <v>0</v>
      </c>
    </row>
    <row r="148" spans="1:5">
      <c r="A148" s="100"/>
      <c r="B148" s="8" t="s">
        <v>153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155</v>
      </c>
      <c r="E151" s="9">
        <f>SUM(E126:E148)</f>
        <v>676383.38</v>
      </c>
    </row>
    <row r="152" spans="1:5">
      <c r="A152" s="100"/>
      <c r="C152" s="125" t="str">
        <f>A125</f>
        <v>ARALIKa</v>
      </c>
      <c r="D152" s="126" t="s">
        <v>156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346</v>
      </c>
    </row>
    <row r="161" spans="1:8">
      <c r="B161" s="3" t="s">
        <v>347</v>
      </c>
    </row>
    <row r="162" spans="1:8">
      <c r="B162" s="3" t="s">
        <v>348</v>
      </c>
    </row>
    <row r="163" spans="1:8">
      <c r="B163" s="142"/>
    </row>
    <row r="165" spans="1:8">
      <c r="A165" s="113" t="s">
        <v>349</v>
      </c>
      <c r="B165" s="104" t="s">
        <v>136</v>
      </c>
      <c r="C165" s="103">
        <v>2024</v>
      </c>
      <c r="G165" s="77">
        <f>SUM(G169:G192)</f>
        <v>815483.7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137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246</v>
      </c>
      <c r="E170" s="490">
        <v>295330</v>
      </c>
      <c r="F170" s="12">
        <v>38000</v>
      </c>
      <c r="G170" s="12">
        <f>E170-F170</f>
        <v>257330</v>
      </c>
    </row>
    <row r="171" spans="1:8">
      <c r="A171" s="100"/>
    </row>
    <row r="172" spans="1:8">
      <c r="A172" s="100"/>
      <c r="B172" s="8" t="s">
        <v>139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141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142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143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144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145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146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140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147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148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149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150</v>
      </c>
      <c r="C189" s="120">
        <v>33.250599999999999</v>
      </c>
      <c r="D189" s="2"/>
      <c r="G189" s="17"/>
    </row>
    <row r="190" spans="1:8">
      <c r="A190" s="100"/>
      <c r="B190" s="8" t="s">
        <v>151</v>
      </c>
      <c r="C190" s="120">
        <v>36.854999999999997</v>
      </c>
      <c r="D190" s="2"/>
      <c r="G190" s="17"/>
    </row>
    <row r="191" spans="1:8">
      <c r="A191" s="100"/>
      <c r="B191" s="8" t="s">
        <v>152</v>
      </c>
      <c r="C191" s="2"/>
      <c r="D191" s="2"/>
      <c r="G191" s="17">
        <v>0</v>
      </c>
    </row>
    <row r="192" spans="1:8">
      <c r="A192" s="100"/>
      <c r="B192" s="8" t="s">
        <v>153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155</v>
      </c>
      <c r="G195" s="9">
        <f>SUM(G169:G192)</f>
        <v>815483.7</v>
      </c>
    </row>
    <row r="196" spans="1:7">
      <c r="A196" s="100"/>
      <c r="C196" s="125" t="str">
        <f>A165</f>
        <v>OCAK 2025 e</v>
      </c>
      <c r="D196" s="126" t="s">
        <v>156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350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351</v>
      </c>
      <c r="C6" s="101" t="s">
        <v>352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353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354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355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356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357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358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316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317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318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359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360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322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361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325</v>
      </c>
    </row>
    <row r="41" spans="1:8">
      <c r="A41" s="103" t="s">
        <v>326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327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328</v>
      </c>
    </row>
    <row r="45" spans="1:8">
      <c r="B45" t="s">
        <v>329</v>
      </c>
    </row>
    <row r="46" spans="1:8">
      <c r="B46" t="s">
        <v>330</v>
      </c>
    </row>
    <row r="47" spans="1:8">
      <c r="B47" t="s">
        <v>331</v>
      </c>
    </row>
    <row r="48" spans="1:8">
      <c r="B48" t="s">
        <v>332</v>
      </c>
    </row>
    <row r="49" spans="1:5">
      <c r="B49" t="s">
        <v>333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334</v>
      </c>
      <c r="C56">
        <v>10176.39</v>
      </c>
      <c r="D56" s="77" t="s">
        <v>362</v>
      </c>
      <c r="E56" s="77">
        <v>-1130.71</v>
      </c>
    </row>
    <row r="57" spans="1:5">
      <c r="A57" s="88">
        <v>45375</v>
      </c>
      <c r="B57" s="8" t="s">
        <v>336</v>
      </c>
      <c r="C57">
        <v>5999</v>
      </c>
      <c r="D57" s="77" t="s">
        <v>363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364</v>
      </c>
      <c r="C71" s="106"/>
      <c r="E71" s="77">
        <v>-118966.5</v>
      </c>
    </row>
    <row r="72" spans="1:5">
      <c r="A72" s="100"/>
      <c r="B72" s="106" t="s">
        <v>364</v>
      </c>
      <c r="C72" s="106"/>
      <c r="E72" s="77">
        <v>-277.72000000000003</v>
      </c>
    </row>
    <row r="73" spans="1:5">
      <c r="A73" s="100"/>
      <c r="B73" s="3" t="s">
        <v>365</v>
      </c>
      <c r="C73" s="106"/>
      <c r="E73" s="77">
        <v>-1398.6</v>
      </c>
    </row>
    <row r="74" spans="1:5">
      <c r="A74" s="100"/>
      <c r="B74" s="3" t="s">
        <v>366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367</v>
      </c>
      <c r="C76" s="106"/>
      <c r="E76" s="77">
        <v>-480</v>
      </c>
    </row>
    <row r="77" spans="1:5">
      <c r="A77" s="100"/>
      <c r="B77" s="3" t="s">
        <v>368</v>
      </c>
      <c r="C77" s="106"/>
      <c r="E77" s="77">
        <v>-147.80000000000001</v>
      </c>
    </row>
    <row r="78" spans="1:5">
      <c r="A78" s="100"/>
      <c r="B78" s="3" t="s">
        <v>368</v>
      </c>
      <c r="C78" s="106">
        <v>17.59</v>
      </c>
      <c r="E78" s="77">
        <v>-17.59</v>
      </c>
    </row>
    <row r="79" spans="1:5">
      <c r="A79" s="100"/>
      <c r="B79" s="3" t="s">
        <v>369</v>
      </c>
      <c r="C79" s="106">
        <v>330</v>
      </c>
      <c r="E79" s="77">
        <v>-330</v>
      </c>
    </row>
    <row r="80" spans="1:5">
      <c r="A80" s="100"/>
      <c r="B80" s="3" t="s">
        <v>370</v>
      </c>
      <c r="C80" s="106">
        <v>-130</v>
      </c>
      <c r="E80" s="77">
        <v>-130</v>
      </c>
    </row>
    <row r="81" spans="1:5">
      <c r="A81" s="100"/>
      <c r="B81" s="3" t="s">
        <v>269</v>
      </c>
      <c r="C81" s="106"/>
      <c r="D81" s="77">
        <v>71389.3</v>
      </c>
    </row>
    <row r="82" spans="1:5">
      <c r="A82" s="100"/>
      <c r="B82" s="3" t="s">
        <v>371</v>
      </c>
      <c r="C82" s="106"/>
      <c r="E82" s="77">
        <v>-140</v>
      </c>
    </row>
    <row r="83" spans="1:5">
      <c r="A83" s="100"/>
      <c r="B83" s="3" t="s">
        <v>369</v>
      </c>
      <c r="C83" s="106">
        <v>750</v>
      </c>
      <c r="E83" s="77">
        <v>-750</v>
      </c>
    </row>
    <row r="84" spans="1:5">
      <c r="A84" s="100"/>
      <c r="B84" s="3" t="s">
        <v>368</v>
      </c>
      <c r="C84" s="106"/>
      <c r="E84" s="77">
        <v>-253.55</v>
      </c>
    </row>
    <row r="85" spans="1:5">
      <c r="A85" s="100"/>
      <c r="B85" s="3" t="s">
        <v>372</v>
      </c>
      <c r="C85" s="106"/>
      <c r="E85" s="77">
        <v>-250</v>
      </c>
    </row>
    <row r="86" spans="1:5">
      <c r="A86" s="100"/>
      <c r="B86" s="3" t="s">
        <v>373</v>
      </c>
      <c r="C86" s="106"/>
      <c r="E86" s="77">
        <v>-400</v>
      </c>
    </row>
    <row r="87" spans="1:5">
      <c r="A87" s="100"/>
      <c r="B87" s="3" t="s">
        <v>373</v>
      </c>
      <c r="C87" s="106"/>
      <c r="E87" s="77">
        <v>-100</v>
      </c>
    </row>
    <row r="88" spans="1:5">
      <c r="A88" s="100"/>
      <c r="B88" s="3" t="s">
        <v>368</v>
      </c>
      <c r="C88" s="106"/>
      <c r="E88" s="77">
        <v>-68.5</v>
      </c>
    </row>
    <row r="89" spans="1:5">
      <c r="A89" s="100"/>
      <c r="B89" s="3" t="s">
        <v>368</v>
      </c>
      <c r="C89" s="106">
        <v>43.13</v>
      </c>
      <c r="E89" s="77">
        <v>-43.13</v>
      </c>
    </row>
    <row r="90" spans="1:5">
      <c r="A90" s="100"/>
      <c r="B90" s="3" t="s">
        <v>369</v>
      </c>
      <c r="C90" s="106">
        <v>235</v>
      </c>
      <c r="E90" s="77">
        <v>-235</v>
      </c>
    </row>
    <row r="91" spans="1:5">
      <c r="A91" s="100"/>
      <c r="B91" s="3" t="s">
        <v>370</v>
      </c>
      <c r="C91" s="106">
        <v>375</v>
      </c>
      <c r="E91" s="77">
        <v>-375</v>
      </c>
    </row>
    <row r="92" spans="1:5">
      <c r="A92" s="100"/>
      <c r="B92" s="3" t="s">
        <v>368</v>
      </c>
      <c r="C92" s="106">
        <v>79.84</v>
      </c>
      <c r="E92" s="77">
        <v>-79.84</v>
      </c>
    </row>
    <row r="93" spans="1:5">
      <c r="A93" s="100"/>
      <c r="B93" s="3" t="s">
        <v>369</v>
      </c>
      <c r="C93" s="106">
        <v>235</v>
      </c>
      <c r="E93" s="77">
        <v>-235</v>
      </c>
    </row>
    <row r="94" spans="1:5">
      <c r="A94" s="100"/>
      <c r="B94" s="3" t="s">
        <v>370</v>
      </c>
      <c r="C94" s="106">
        <v>210</v>
      </c>
      <c r="E94" s="77">
        <v>-210</v>
      </c>
    </row>
    <row r="95" spans="1:5">
      <c r="A95" s="100"/>
      <c r="B95" s="3" t="s">
        <v>368</v>
      </c>
      <c r="C95" s="106"/>
      <c r="E95" s="77">
        <v>-112.3</v>
      </c>
    </row>
    <row r="96" spans="1:5">
      <c r="A96" s="100"/>
      <c r="B96" s="3" t="s">
        <v>373</v>
      </c>
      <c r="C96" s="106"/>
      <c r="E96" s="77">
        <v>-230</v>
      </c>
    </row>
    <row r="97" spans="1:5">
      <c r="A97" s="100"/>
      <c r="B97" s="3" t="s">
        <v>368</v>
      </c>
      <c r="C97" s="106"/>
      <c r="E97" s="77">
        <v>-187.2</v>
      </c>
    </row>
    <row r="98" spans="1:5">
      <c r="A98" s="100"/>
      <c r="B98" s="3" t="s">
        <v>374</v>
      </c>
      <c r="C98" s="106">
        <v>1062.9000000000001</v>
      </c>
      <c r="E98" s="77">
        <v>-1062.9000000000001</v>
      </c>
    </row>
    <row r="99" spans="1:5">
      <c r="A99" s="100"/>
      <c r="B99" s="3" t="s">
        <v>375</v>
      </c>
      <c r="C99" s="106"/>
      <c r="E99" s="77">
        <v>-240</v>
      </c>
    </row>
    <row r="100" spans="1:5">
      <c r="A100" s="100"/>
      <c r="B100" s="3" t="s">
        <v>376</v>
      </c>
      <c r="C100" s="106"/>
      <c r="E100" s="77">
        <v>-280</v>
      </c>
    </row>
    <row r="101" spans="1:5">
      <c r="B101" s="3" t="s">
        <v>370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377</v>
      </c>
      <c r="B111" s="104" t="s">
        <v>136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379</v>
      </c>
      <c r="C114" s="490">
        <v>365500</v>
      </c>
      <c r="D114" s="12">
        <v>36000</v>
      </c>
      <c r="E114" s="12">
        <f>C114-D114</f>
        <v>329500</v>
      </c>
    </row>
    <row r="115" spans="1:5">
      <c r="A115" s="160">
        <f>A113</f>
        <v>45595</v>
      </c>
      <c r="B115" s="8" t="s">
        <v>139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141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380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143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144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145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146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140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345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148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149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150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151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156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381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382</v>
      </c>
      <c r="C5" s="101" t="s">
        <v>352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383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384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385</v>
      </c>
      <c r="C12" s="101" t="s">
        <v>386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387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388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323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389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314</v>
      </c>
      <c r="D23" s="78" t="s">
        <v>390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391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392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354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393</v>
      </c>
      <c r="C33" s="171">
        <v>0.234011</v>
      </c>
      <c r="H33" s="77">
        <f t="shared" si="0"/>
        <v>-59035.210000000014</v>
      </c>
    </row>
    <row r="34" spans="1:8">
      <c r="B34" s="170" t="s">
        <v>394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325</v>
      </c>
    </row>
    <row r="38" spans="1:8">
      <c r="A38" s="103" t="s">
        <v>326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327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328</v>
      </c>
    </row>
    <row r="42" spans="1:8">
      <c r="B42" t="s">
        <v>329</v>
      </c>
    </row>
    <row r="43" spans="1:8">
      <c r="B43" t="s">
        <v>330</v>
      </c>
    </row>
    <row r="44" spans="1:8">
      <c r="B44" t="s">
        <v>331</v>
      </c>
    </row>
    <row r="45" spans="1:8">
      <c r="B45" t="s">
        <v>332</v>
      </c>
    </row>
    <row r="46" spans="1:8">
      <c r="B46" t="s">
        <v>333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334</v>
      </c>
      <c r="C53">
        <v>10176.39</v>
      </c>
      <c r="D53" s="77" t="s">
        <v>395</v>
      </c>
      <c r="E53" s="77">
        <v>-1130.71</v>
      </c>
    </row>
    <row r="54" spans="1:5">
      <c r="A54" s="88">
        <v>45375</v>
      </c>
      <c r="B54" s="8" t="s">
        <v>336</v>
      </c>
      <c r="C54">
        <v>5999</v>
      </c>
      <c r="D54" s="77" t="s">
        <v>395</v>
      </c>
      <c r="E54" s="77">
        <v>-666.56</v>
      </c>
    </row>
    <row r="55" spans="1:5">
      <c r="A55" s="88"/>
      <c r="B55" s="8" t="s">
        <v>396</v>
      </c>
      <c r="E55" s="77">
        <v>-363.83</v>
      </c>
    </row>
    <row r="56" spans="1:5">
      <c r="B56" t="s">
        <v>397</v>
      </c>
      <c r="E56" s="77">
        <v>-905.47</v>
      </c>
    </row>
    <row r="57" spans="1:5">
      <c r="B57" t="s">
        <v>129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126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398</v>
      </c>
      <c r="C72" s="106"/>
      <c r="E72" s="77">
        <v>-1500</v>
      </c>
    </row>
    <row r="73" spans="1:5">
      <c r="A73" s="100"/>
      <c r="B73" s="3" t="s">
        <v>399</v>
      </c>
      <c r="C73" s="106"/>
      <c r="E73" s="77">
        <v>-385</v>
      </c>
    </row>
    <row r="74" spans="1:5">
      <c r="A74" s="100"/>
      <c r="B74" s="3" t="s">
        <v>400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401</v>
      </c>
      <c r="C76" s="106"/>
      <c r="E76" s="77">
        <v>-1865</v>
      </c>
    </row>
    <row r="77" spans="1:5">
      <c r="A77" s="100"/>
      <c r="B77" s="3" t="s">
        <v>402</v>
      </c>
      <c r="C77" s="106"/>
      <c r="E77" s="77">
        <v>-80</v>
      </c>
    </row>
    <row r="78" spans="1:5">
      <c r="A78" s="100"/>
      <c r="B78" s="3" t="s">
        <v>403</v>
      </c>
      <c r="C78" s="106"/>
      <c r="E78" s="77">
        <v>-19.5</v>
      </c>
    </row>
    <row r="79" spans="1:5">
      <c r="A79" s="100"/>
      <c r="B79" s="3" t="s">
        <v>404</v>
      </c>
      <c r="C79" s="106"/>
      <c r="E79" s="77">
        <v>-706.97</v>
      </c>
    </row>
    <row r="80" spans="1:5">
      <c r="A80" s="100"/>
      <c r="B80" s="3" t="s">
        <v>405</v>
      </c>
      <c r="C80" s="106"/>
      <c r="E80" s="77">
        <v>-299.99</v>
      </c>
    </row>
    <row r="81" spans="1:5">
      <c r="A81" s="100"/>
      <c r="B81" s="3" t="s">
        <v>406</v>
      </c>
      <c r="C81" s="106"/>
      <c r="E81" s="77">
        <v>-1620</v>
      </c>
    </row>
    <row r="82" spans="1:5">
      <c r="A82" s="100"/>
      <c r="B82" s="3" t="s">
        <v>407</v>
      </c>
      <c r="C82" s="106"/>
      <c r="E82" s="77">
        <v>-66.7</v>
      </c>
    </row>
    <row r="83" spans="1:5">
      <c r="A83" s="100"/>
      <c r="B83" s="3" t="s">
        <v>408</v>
      </c>
      <c r="C83" s="106"/>
      <c r="E83" s="77">
        <v>-45</v>
      </c>
    </row>
    <row r="84" spans="1:5">
      <c r="A84" s="100"/>
      <c r="B84" s="3" t="s">
        <v>409</v>
      </c>
      <c r="C84" s="106">
        <v>69</v>
      </c>
      <c r="E84" s="77">
        <v>-69.66</v>
      </c>
    </row>
    <row r="85" spans="1:5">
      <c r="A85" s="100"/>
      <c r="B85" s="3" t="s">
        <v>410</v>
      </c>
      <c r="C85" s="106">
        <v>250</v>
      </c>
      <c r="E85" s="77">
        <v>-250</v>
      </c>
    </row>
    <row r="86" spans="1:5">
      <c r="A86" s="100"/>
      <c r="B86" s="3" t="s">
        <v>411</v>
      </c>
      <c r="C86" s="106">
        <v>145</v>
      </c>
      <c r="E86" s="77">
        <v>-145</v>
      </c>
    </row>
    <row r="87" spans="1:5">
      <c r="A87" s="100"/>
      <c r="B87" s="3" t="s">
        <v>409</v>
      </c>
      <c r="C87" s="106">
        <v>80</v>
      </c>
      <c r="E87" s="77">
        <v>-79.58</v>
      </c>
    </row>
    <row r="88" spans="1:5">
      <c r="A88" s="100"/>
      <c r="B88" s="3" t="s">
        <v>410</v>
      </c>
      <c r="C88" s="106">
        <v>300</v>
      </c>
      <c r="E88" s="77">
        <v>-300</v>
      </c>
    </row>
    <row r="89" spans="1:5">
      <c r="A89" s="100"/>
      <c r="B89" s="3" t="s">
        <v>129</v>
      </c>
      <c r="C89" s="106"/>
      <c r="D89" s="77">
        <v>21576.400000000001</v>
      </c>
    </row>
    <row r="90" spans="1:5">
      <c r="A90" s="100"/>
      <c r="B90" s="3" t="s">
        <v>409</v>
      </c>
      <c r="C90" s="106">
        <v>50</v>
      </c>
      <c r="E90" s="77">
        <v>-49.3</v>
      </c>
    </row>
    <row r="91" spans="1:5">
      <c r="A91" s="100"/>
      <c r="B91" s="3" t="s">
        <v>412</v>
      </c>
      <c r="C91" s="106"/>
      <c r="E91" s="77">
        <v>-190</v>
      </c>
    </row>
    <row r="92" spans="1:5">
      <c r="A92" s="100"/>
      <c r="B92" s="3" t="s">
        <v>409</v>
      </c>
      <c r="C92" s="106"/>
      <c r="E92" s="77">
        <v>-375.55</v>
      </c>
    </row>
    <row r="93" spans="1:5">
      <c r="A93" s="100"/>
      <c r="B93" s="3" t="s">
        <v>410</v>
      </c>
      <c r="C93" s="106">
        <v>260</v>
      </c>
      <c r="E93" s="77">
        <v>-260</v>
      </c>
    </row>
    <row r="94" spans="1:5">
      <c r="A94" s="100"/>
      <c r="B94" s="3" t="s">
        <v>409</v>
      </c>
      <c r="C94" s="106">
        <v>65.790000000000006</v>
      </c>
      <c r="E94" s="77">
        <v>-65.790000000000006</v>
      </c>
    </row>
    <row r="95" spans="1:5">
      <c r="A95" s="100"/>
      <c r="B95" s="3" t="s">
        <v>410</v>
      </c>
      <c r="C95" s="106">
        <v>330</v>
      </c>
      <c r="E95" s="77">
        <v>-330</v>
      </c>
    </row>
    <row r="96" spans="1:5">
      <c r="A96" s="100"/>
      <c r="B96" s="3" t="s">
        <v>411</v>
      </c>
      <c r="C96" s="106">
        <v>225</v>
      </c>
      <c r="E96" s="77">
        <v>-225</v>
      </c>
    </row>
    <row r="97" spans="1:5">
      <c r="A97" s="100"/>
      <c r="B97" s="3" t="s">
        <v>413</v>
      </c>
      <c r="C97" s="106"/>
      <c r="E97" s="77">
        <v>-410</v>
      </c>
    </row>
    <row r="98" spans="1:5">
      <c r="B98" s="3" t="s">
        <v>414</v>
      </c>
      <c r="E98" s="77">
        <v>-27.25</v>
      </c>
    </row>
    <row r="99" spans="1:5">
      <c r="B99" s="3" t="s">
        <v>415</v>
      </c>
      <c r="E99" s="77">
        <v>-70</v>
      </c>
    </row>
    <row r="100" spans="1:5">
      <c r="B100" s="3" t="s">
        <v>416</v>
      </c>
      <c r="E100" s="77">
        <v>-350</v>
      </c>
    </row>
    <row r="101" spans="1:5">
      <c r="B101" s="3" t="s">
        <v>412</v>
      </c>
      <c r="E101" s="77">
        <v>-420</v>
      </c>
    </row>
    <row r="102" spans="1:5">
      <c r="B102" s="3" t="s">
        <v>417</v>
      </c>
      <c r="E102" s="77">
        <v>-154.5</v>
      </c>
    </row>
    <row r="103" spans="1:5">
      <c r="B103" s="3" t="s">
        <v>412</v>
      </c>
      <c r="E103" s="77">
        <v>-290</v>
      </c>
    </row>
    <row r="104" spans="1:5">
      <c r="B104" s="3" t="s">
        <v>410</v>
      </c>
      <c r="C104">
        <v>415</v>
      </c>
      <c r="E104" s="77">
        <v>-415</v>
      </c>
    </row>
    <row r="105" spans="1:5">
      <c r="B105" s="35" t="s">
        <v>418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419</v>
      </c>
      <c r="B111" s="104" t="s">
        <v>136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1738</v>
      </c>
      <c r="C114" s="490">
        <v>407100</v>
      </c>
      <c r="D114" s="2">
        <v>41600</v>
      </c>
      <c r="E114" s="2">
        <f>C114-D114</f>
        <v>365500</v>
      </c>
    </row>
    <row r="115" spans="1:5">
      <c r="A115" s="160">
        <f>A113</f>
        <v>45565</v>
      </c>
      <c r="B115" s="8" t="s">
        <v>139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141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380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143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144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145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146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140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420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421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422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150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151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156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423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424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425</v>
      </c>
      <c r="C5" s="101" t="s">
        <v>352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426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427</v>
      </c>
      <c r="C11" s="8" t="s">
        <v>428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323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323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429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430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431</v>
      </c>
      <c r="D22" s="78" t="s">
        <v>432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433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434</v>
      </c>
      <c r="G24" s="78">
        <v>-197.4</v>
      </c>
      <c r="H24" s="77">
        <f t="shared" si="0"/>
        <v>28142.839999999997</v>
      </c>
    </row>
    <row r="25" spans="1:8">
      <c r="B25" s="170" t="s">
        <v>435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385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394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323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436</v>
      </c>
      <c r="G29" s="78">
        <v>-10000</v>
      </c>
      <c r="H29" s="77">
        <f t="shared" si="0"/>
        <v>18142.839999999997</v>
      </c>
    </row>
    <row r="30" spans="1:8">
      <c r="B30" t="s">
        <v>437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325</v>
      </c>
    </row>
    <row r="33" spans="1:5">
      <c r="A33" s="103" t="s">
        <v>326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327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328</v>
      </c>
    </row>
    <row r="37" spans="1:5">
      <c r="B37" t="s">
        <v>329</v>
      </c>
    </row>
    <row r="38" spans="1:5">
      <c r="B38" t="s">
        <v>330</v>
      </c>
    </row>
    <row r="39" spans="1:5">
      <c r="B39" t="s">
        <v>331</v>
      </c>
    </row>
    <row r="40" spans="1:5">
      <c r="B40" t="s">
        <v>332</v>
      </c>
    </row>
    <row r="41" spans="1:5">
      <c r="B41" t="s">
        <v>333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438</v>
      </c>
      <c r="C48">
        <v>1406</v>
      </c>
      <c r="D48" s="77" t="s">
        <v>439</v>
      </c>
      <c r="E48" s="77">
        <v>-234.35</v>
      </c>
    </row>
    <row r="49" spans="1:5">
      <c r="A49" s="88">
        <v>45373</v>
      </c>
      <c r="B49" s="8" t="s">
        <v>334</v>
      </c>
      <c r="C49">
        <v>10176.39</v>
      </c>
      <c r="D49" s="77" t="s">
        <v>440</v>
      </c>
      <c r="E49" s="77">
        <v>-1130.71</v>
      </c>
    </row>
    <row r="50" spans="1:5">
      <c r="A50" s="88">
        <v>45375</v>
      </c>
      <c r="B50" s="8" t="s">
        <v>336</v>
      </c>
      <c r="C50">
        <v>5999</v>
      </c>
      <c r="D50" s="77" t="s">
        <v>440</v>
      </c>
      <c r="E50" s="77">
        <v>-666.56</v>
      </c>
    </row>
    <row r="51" spans="1:5">
      <c r="A51" s="88">
        <v>45358</v>
      </c>
      <c r="B51" s="8" t="s">
        <v>441</v>
      </c>
      <c r="C51">
        <v>2273</v>
      </c>
      <c r="D51" s="77" t="s">
        <v>439</v>
      </c>
      <c r="E51" s="77">
        <v>-378.87</v>
      </c>
    </row>
    <row r="52" spans="1:5">
      <c r="A52" s="88">
        <v>45371</v>
      </c>
      <c r="B52" s="8" t="s">
        <v>442</v>
      </c>
      <c r="D52" s="77" t="s">
        <v>439</v>
      </c>
      <c r="E52" s="77">
        <v>101.79</v>
      </c>
    </row>
    <row r="53" spans="1:5">
      <c r="A53" s="100">
        <v>45456</v>
      </c>
      <c r="B53" s="107" t="s">
        <v>443</v>
      </c>
      <c r="C53" s="106"/>
      <c r="D53" s="77" t="s">
        <v>444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129</v>
      </c>
      <c r="C55" s="106">
        <v>8154.2</v>
      </c>
    </row>
    <row r="56" spans="1:5">
      <c r="A56" s="100"/>
      <c r="B56" s="107" t="s">
        <v>445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446</v>
      </c>
      <c r="B101" s="104" t="s">
        <v>136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378</v>
      </c>
      <c r="C103" s="2"/>
      <c r="D103" s="2"/>
      <c r="E103" s="2">
        <v>0</v>
      </c>
    </row>
    <row r="104" spans="1:5">
      <c r="A104" s="160"/>
      <c r="B104" s="8" t="s">
        <v>447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139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141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380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143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144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145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146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140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345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148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149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150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151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152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153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155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156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448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424</v>
      </c>
      <c r="C4" s="8" t="s">
        <v>449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450</v>
      </c>
      <c r="C5" s="101" t="s">
        <v>352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451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452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453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454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455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456</v>
      </c>
      <c r="C28" s="171"/>
      <c r="D28" s="77" t="s">
        <v>457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458</v>
      </c>
      <c r="C29" s="171"/>
      <c r="D29" s="77" t="s">
        <v>457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459</v>
      </c>
      <c r="C30" s="171"/>
      <c r="D30" s="77" t="s">
        <v>457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460</v>
      </c>
      <c r="C31" s="171"/>
      <c r="D31" s="77" t="s">
        <v>457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461</v>
      </c>
      <c r="C32" s="171"/>
      <c r="D32" s="77" t="s">
        <v>457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462</v>
      </c>
      <c r="C33" s="171"/>
      <c r="D33" s="77" t="s">
        <v>457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463</v>
      </c>
      <c r="C35" s="77" t="s">
        <v>457</v>
      </c>
      <c r="D35" s="78" t="s">
        <v>464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465</v>
      </c>
      <c r="C36" s="77" t="s">
        <v>457</v>
      </c>
      <c r="D36" s="78" t="s">
        <v>464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466</v>
      </c>
      <c r="C37" s="77" t="s">
        <v>457</v>
      </c>
      <c r="D37" s="78" t="s">
        <v>464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467</v>
      </c>
      <c r="C38" s="77" t="s">
        <v>457</v>
      </c>
      <c r="D38" s="78" t="s">
        <v>464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468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427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435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394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469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323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325</v>
      </c>
    </row>
    <row r="50" spans="1:5">
      <c r="A50" s="103" t="s">
        <v>326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327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328</v>
      </c>
    </row>
    <row r="54" spans="1:5">
      <c r="B54" t="s">
        <v>329</v>
      </c>
    </row>
    <row r="55" spans="1:5">
      <c r="B55" t="s">
        <v>330</v>
      </c>
    </row>
    <row r="56" spans="1:5">
      <c r="B56" t="s">
        <v>331</v>
      </c>
    </row>
    <row r="57" spans="1:5">
      <c r="B57" t="s">
        <v>332</v>
      </c>
    </row>
    <row r="58" spans="1:5">
      <c r="B58" t="s">
        <v>333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438</v>
      </c>
      <c r="C65">
        <v>1406</v>
      </c>
      <c r="D65" s="77" t="s">
        <v>470</v>
      </c>
      <c r="E65" s="77">
        <v>-234.33</v>
      </c>
      <c r="F65" s="77">
        <v>0</v>
      </c>
    </row>
    <row r="66" spans="1:6">
      <c r="A66" s="88">
        <v>45373</v>
      </c>
      <c r="B66" s="8" t="s">
        <v>334</v>
      </c>
      <c r="C66">
        <v>10176.39</v>
      </c>
      <c r="D66" s="77" t="s">
        <v>471</v>
      </c>
      <c r="E66" s="77">
        <v>-1130.71</v>
      </c>
      <c r="F66" s="77">
        <v>0</v>
      </c>
    </row>
    <row r="67" spans="1:6">
      <c r="A67" s="88">
        <v>45375</v>
      </c>
      <c r="B67" s="8" t="s">
        <v>336</v>
      </c>
      <c r="C67">
        <v>5999</v>
      </c>
      <c r="D67" s="77" t="s">
        <v>471</v>
      </c>
      <c r="E67" s="77">
        <v>-666.56</v>
      </c>
      <c r="F67" s="77">
        <v>0</v>
      </c>
    </row>
    <row r="68" spans="1:6">
      <c r="A68" s="88">
        <v>45358</v>
      </c>
      <c r="B68" s="8" t="s">
        <v>441</v>
      </c>
      <c r="C68">
        <v>2273</v>
      </c>
      <c r="D68" s="77" t="s">
        <v>470</v>
      </c>
      <c r="E68" s="77">
        <v>-378.87</v>
      </c>
      <c r="F68" s="77">
        <v>0</v>
      </c>
    </row>
    <row r="69" spans="1:6">
      <c r="A69" s="88">
        <v>45371</v>
      </c>
      <c r="B69" s="8" t="s">
        <v>442</v>
      </c>
      <c r="D69" s="77" t="s">
        <v>470</v>
      </c>
      <c r="E69" s="77">
        <v>101.77</v>
      </c>
      <c r="F69" s="77">
        <v>0</v>
      </c>
    </row>
    <row r="70" spans="1:6">
      <c r="A70" s="100">
        <v>45442</v>
      </c>
      <c r="B70" s="181" t="s">
        <v>472</v>
      </c>
      <c r="C70" s="106"/>
      <c r="D70" s="77" t="s">
        <v>473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443</v>
      </c>
      <c r="C71" s="106"/>
      <c r="D71" s="77" t="s">
        <v>474</v>
      </c>
      <c r="E71" s="77">
        <v>-3923.33</v>
      </c>
      <c r="F71" s="77">
        <v>0</v>
      </c>
    </row>
    <row r="72" spans="1:6">
      <c r="A72" s="100">
        <v>45470</v>
      </c>
      <c r="B72" s="107" t="s">
        <v>475</v>
      </c>
      <c r="C72" s="106"/>
      <c r="E72" s="77">
        <v>-868.03</v>
      </c>
    </row>
    <row r="73" spans="1:6">
      <c r="A73" s="100">
        <v>45478</v>
      </c>
      <c r="B73" s="107" t="s">
        <v>129</v>
      </c>
      <c r="C73" s="106"/>
      <c r="D73" s="77">
        <v>2700.47</v>
      </c>
    </row>
    <row r="74" spans="1:6" ht="15">
      <c r="A74" s="100">
        <v>45478</v>
      </c>
      <c r="B74" s="107" t="s">
        <v>129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476</v>
      </c>
      <c r="C80" s="106"/>
      <c r="D80" s="77" t="s">
        <v>477</v>
      </c>
      <c r="E80" s="77">
        <v>-649.79999999999995</v>
      </c>
    </row>
    <row r="81" spans="1:5">
      <c r="A81" s="100"/>
      <c r="B81" s="3" t="s">
        <v>478</v>
      </c>
      <c r="C81" s="106">
        <v>50</v>
      </c>
      <c r="D81" s="77" t="s">
        <v>477</v>
      </c>
    </row>
    <row r="82" spans="1:5">
      <c r="A82" s="100"/>
      <c r="B82" s="3"/>
      <c r="C82" s="106"/>
    </row>
    <row r="83" spans="1:5">
      <c r="A83" s="100">
        <v>45456</v>
      </c>
      <c r="B83" s="8" t="s">
        <v>479</v>
      </c>
      <c r="C83" s="106"/>
      <c r="D83" s="77" t="s">
        <v>473</v>
      </c>
      <c r="E83" s="77">
        <v>-5875</v>
      </c>
    </row>
    <row r="84" spans="1:5">
      <c r="A84" s="100">
        <v>45456</v>
      </c>
      <c r="B84" s="8" t="s">
        <v>480</v>
      </c>
      <c r="C84" s="106"/>
      <c r="D84" s="77" t="s">
        <v>473</v>
      </c>
      <c r="E84" s="77">
        <v>-4300</v>
      </c>
    </row>
    <row r="85" spans="1:5">
      <c r="A85" s="100">
        <v>45475</v>
      </c>
      <c r="B85" s="3" t="s">
        <v>481</v>
      </c>
      <c r="C85" s="106"/>
      <c r="E85" s="77">
        <v>-1129.5</v>
      </c>
    </row>
    <row r="86" spans="1:5">
      <c r="A86" s="100">
        <v>45478</v>
      </c>
      <c r="B86" s="3" t="s">
        <v>482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483</v>
      </c>
      <c r="C88" s="106">
        <v>120</v>
      </c>
      <c r="E88" s="77">
        <v>-120</v>
      </c>
    </row>
    <row r="89" spans="1:5">
      <c r="A89" s="100">
        <v>45467</v>
      </c>
      <c r="B89" s="3" t="s">
        <v>484</v>
      </c>
      <c r="C89" s="106"/>
      <c r="E89" s="77">
        <v>-70</v>
      </c>
    </row>
    <row r="90" spans="1:5">
      <c r="A90" s="100">
        <v>45467</v>
      </c>
      <c r="B90" s="3" t="s">
        <v>485</v>
      </c>
      <c r="C90" s="106"/>
      <c r="E90" s="77">
        <v>-1400</v>
      </c>
    </row>
    <row r="91" spans="1:5">
      <c r="A91" s="100">
        <v>45468</v>
      </c>
      <c r="B91" s="3" t="s">
        <v>483</v>
      </c>
      <c r="C91" s="106">
        <v>150</v>
      </c>
      <c r="E91" s="77">
        <v>-150</v>
      </c>
    </row>
    <row r="92" spans="1:5">
      <c r="A92" s="100">
        <v>45468</v>
      </c>
      <c r="B92" s="3" t="s">
        <v>486</v>
      </c>
      <c r="C92" s="106"/>
      <c r="E92" s="77">
        <v>-230</v>
      </c>
    </row>
    <row r="93" spans="1:5">
      <c r="A93" s="100">
        <v>45469</v>
      </c>
      <c r="B93" s="3" t="s">
        <v>483</v>
      </c>
      <c r="C93" s="106">
        <v>250</v>
      </c>
      <c r="E93" s="77">
        <v>-250</v>
      </c>
    </row>
    <row r="94" spans="1:5">
      <c r="A94" s="100">
        <v>45470</v>
      </c>
      <c r="B94" s="3" t="s">
        <v>487</v>
      </c>
      <c r="C94" s="106"/>
      <c r="E94" s="77">
        <v>-130</v>
      </c>
    </row>
    <row r="95" spans="1:5">
      <c r="A95" s="100">
        <v>45470</v>
      </c>
      <c r="B95" s="3" t="s">
        <v>414</v>
      </c>
      <c r="C95" s="106"/>
      <c r="E95" s="77">
        <v>-48.99</v>
      </c>
    </row>
    <row r="96" spans="1:5">
      <c r="A96" s="100">
        <v>45470</v>
      </c>
      <c r="B96" s="3" t="s">
        <v>488</v>
      </c>
      <c r="C96" s="106"/>
      <c r="E96" s="77">
        <v>-169.5</v>
      </c>
    </row>
    <row r="97" spans="1:5">
      <c r="A97" s="100">
        <v>45471</v>
      </c>
      <c r="B97" s="3" t="s">
        <v>489</v>
      </c>
      <c r="C97" s="106"/>
      <c r="E97" s="77">
        <v>-80</v>
      </c>
    </row>
    <row r="98" spans="1:5">
      <c r="A98" s="100">
        <v>45473</v>
      </c>
      <c r="B98" s="3" t="s">
        <v>127</v>
      </c>
      <c r="C98" s="106"/>
      <c r="E98" s="77">
        <v>-50</v>
      </c>
    </row>
    <row r="99" spans="1:5">
      <c r="A99" s="100">
        <v>45474</v>
      </c>
      <c r="B99" s="3" t="s">
        <v>484</v>
      </c>
      <c r="C99" s="106"/>
      <c r="E99" s="77">
        <v>-70</v>
      </c>
    </row>
    <row r="100" spans="1:5">
      <c r="A100" s="100">
        <v>45475</v>
      </c>
      <c r="B100" s="3" t="s">
        <v>483</v>
      </c>
      <c r="C100" s="106">
        <v>440</v>
      </c>
      <c r="E100" s="77">
        <v>-440</v>
      </c>
    </row>
    <row r="101" spans="1:5">
      <c r="A101" s="100">
        <v>45475</v>
      </c>
      <c r="B101" s="3" t="s">
        <v>490</v>
      </c>
      <c r="E101" s="77">
        <v>-1673</v>
      </c>
    </row>
    <row r="102" spans="1:5">
      <c r="A102" s="100">
        <v>45475</v>
      </c>
      <c r="B102" s="3" t="s">
        <v>487</v>
      </c>
      <c r="C102" s="106"/>
      <c r="E102" s="77">
        <v>-150</v>
      </c>
    </row>
    <row r="103" spans="1:5">
      <c r="A103" s="100">
        <v>45476</v>
      </c>
      <c r="B103" s="3" t="s">
        <v>484</v>
      </c>
      <c r="C103" s="106"/>
      <c r="E103" s="77">
        <v>-140</v>
      </c>
    </row>
    <row r="104" spans="1:5">
      <c r="A104" s="100">
        <v>45477</v>
      </c>
      <c r="B104" s="3" t="s">
        <v>491</v>
      </c>
      <c r="C104" s="106">
        <v>10597.81</v>
      </c>
    </row>
    <row r="105" spans="1:5">
      <c r="A105" s="100">
        <v>45478</v>
      </c>
      <c r="B105" s="3" t="s">
        <v>492</v>
      </c>
      <c r="C105" s="106"/>
      <c r="E105" s="77">
        <v>-300</v>
      </c>
    </row>
    <row r="106" spans="1:5">
      <c r="A106" s="100">
        <v>45478</v>
      </c>
      <c r="B106" s="3" t="s">
        <v>129</v>
      </c>
      <c r="C106" s="106">
        <v>15971.71</v>
      </c>
    </row>
    <row r="107" spans="1:5">
      <c r="A107" s="100">
        <v>45479</v>
      </c>
      <c r="B107" s="3" t="s">
        <v>493</v>
      </c>
      <c r="C107" s="106"/>
      <c r="E107" s="77">
        <v>-325</v>
      </c>
    </row>
    <row r="108" spans="1:5">
      <c r="A108" s="100">
        <v>45479</v>
      </c>
      <c r="B108" s="3" t="s">
        <v>494</v>
      </c>
      <c r="C108" s="106"/>
      <c r="E108" s="77">
        <v>-629</v>
      </c>
    </row>
    <row r="109" spans="1:5">
      <c r="A109" s="100"/>
      <c r="B109" s="3" t="s">
        <v>495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418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496</v>
      </c>
      <c r="B125" s="104" t="s">
        <v>136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378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300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301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497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302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236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498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499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500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501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140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380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502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503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504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505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152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153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155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156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506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424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507</v>
      </c>
      <c r="C8" s="101" t="s">
        <v>352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508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509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323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394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435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452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510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325</v>
      </c>
    </row>
    <row r="42" spans="1:8">
      <c r="A42" s="103" t="s">
        <v>326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327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328</v>
      </c>
    </row>
    <row r="46" spans="1:8">
      <c r="B46" t="s">
        <v>329</v>
      </c>
    </row>
    <row r="47" spans="1:8">
      <c r="B47" t="s">
        <v>330</v>
      </c>
    </row>
    <row r="48" spans="1:8">
      <c r="B48" t="s">
        <v>331</v>
      </c>
      <c r="D48" s="77" t="s">
        <v>511</v>
      </c>
    </row>
    <row r="49" spans="1:5">
      <c r="B49" t="s">
        <v>332</v>
      </c>
      <c r="D49" s="77" t="s">
        <v>512</v>
      </c>
    </row>
    <row r="50" spans="1:5">
      <c r="B50" t="s">
        <v>333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438</v>
      </c>
      <c r="C57">
        <v>1406</v>
      </c>
      <c r="D57" s="77" t="s">
        <v>513</v>
      </c>
      <c r="E57" s="77">
        <v>-234.33</v>
      </c>
    </row>
    <row r="58" spans="1:5">
      <c r="A58" s="88">
        <v>45373</v>
      </c>
      <c r="B58" s="8" t="s">
        <v>334</v>
      </c>
      <c r="C58">
        <v>10176.39</v>
      </c>
      <c r="D58" s="77" t="s">
        <v>514</v>
      </c>
      <c r="E58" s="77">
        <v>-1130.71</v>
      </c>
    </row>
    <row r="59" spans="1:5">
      <c r="A59" s="88">
        <v>45375</v>
      </c>
      <c r="B59" s="8" t="s">
        <v>336</v>
      </c>
      <c r="C59">
        <v>5999</v>
      </c>
      <c r="D59" s="77" t="s">
        <v>514</v>
      </c>
      <c r="E59" s="77">
        <v>-666.56</v>
      </c>
    </row>
    <row r="60" spans="1:5">
      <c r="A60" s="88">
        <v>45358</v>
      </c>
      <c r="B60" s="8" t="s">
        <v>441</v>
      </c>
      <c r="C60">
        <v>2273</v>
      </c>
      <c r="D60" s="77" t="s">
        <v>513</v>
      </c>
      <c r="E60" s="77">
        <v>-378.87</v>
      </c>
    </row>
    <row r="61" spans="1:5">
      <c r="A61" s="88">
        <v>45371</v>
      </c>
      <c r="B61" s="8" t="s">
        <v>442</v>
      </c>
      <c r="D61" s="77" t="s">
        <v>515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472</v>
      </c>
      <c r="C63" s="106"/>
      <c r="D63" s="77" t="s">
        <v>516</v>
      </c>
      <c r="E63" s="77">
        <v>-1054.1400000000001</v>
      </c>
    </row>
    <row r="64" spans="1:5">
      <c r="A64" s="100">
        <v>45456</v>
      </c>
      <c r="B64" s="107" t="s">
        <v>443</v>
      </c>
      <c r="C64" s="106"/>
      <c r="D64" s="77" t="s">
        <v>517</v>
      </c>
      <c r="E64" s="77">
        <v>-3923.33</v>
      </c>
    </row>
    <row r="65" spans="1:5">
      <c r="A65" s="100">
        <v>45442</v>
      </c>
      <c r="B65" s="106" t="s">
        <v>518</v>
      </c>
      <c r="C65" s="106"/>
      <c r="E65" s="77">
        <v>-278.97000000000003</v>
      </c>
    </row>
    <row r="67" spans="1:5">
      <c r="A67" s="100">
        <v>45444</v>
      </c>
      <c r="B67" s="107" t="s">
        <v>519</v>
      </c>
      <c r="C67" s="106"/>
      <c r="E67" s="77">
        <v>-1379.4</v>
      </c>
    </row>
    <row r="68" spans="1:5" ht="15">
      <c r="A68" s="100">
        <v>45447</v>
      </c>
      <c r="B68" s="107" t="s">
        <v>129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520</v>
      </c>
      <c r="C74" s="106"/>
      <c r="D74" s="77" t="s">
        <v>521</v>
      </c>
      <c r="E74" s="77">
        <v>-3551.68</v>
      </c>
    </row>
    <row r="75" spans="1:5">
      <c r="A75" s="100"/>
      <c r="B75" s="3" t="s">
        <v>476</v>
      </c>
      <c r="C75" s="106"/>
      <c r="D75" s="77" t="s">
        <v>522</v>
      </c>
      <c r="E75" s="77">
        <v>-649.78</v>
      </c>
    </row>
    <row r="76" spans="1:5">
      <c r="A76" s="100"/>
      <c r="B76" s="3" t="s">
        <v>478</v>
      </c>
      <c r="C76" s="106"/>
      <c r="D76" s="77" t="s">
        <v>523</v>
      </c>
    </row>
    <row r="77" spans="1:5">
      <c r="A77" s="100"/>
      <c r="B77" s="3"/>
      <c r="C77" s="106"/>
    </row>
    <row r="78" spans="1:5">
      <c r="A78" s="100">
        <v>45456</v>
      </c>
      <c r="B78" s="8" t="s">
        <v>479</v>
      </c>
      <c r="C78" s="106"/>
      <c r="D78" s="77" t="s">
        <v>516</v>
      </c>
      <c r="E78" s="77">
        <v>-5875</v>
      </c>
    </row>
    <row r="79" spans="1:5">
      <c r="A79" s="100">
        <v>45456</v>
      </c>
      <c r="B79" s="8" t="s">
        <v>480</v>
      </c>
      <c r="C79" s="106"/>
      <c r="D79" s="77" t="s">
        <v>516</v>
      </c>
      <c r="E79" s="77">
        <v>-4300</v>
      </c>
    </row>
    <row r="80" spans="1:5">
      <c r="A80" s="100">
        <v>45465</v>
      </c>
      <c r="B80" s="3" t="s">
        <v>518</v>
      </c>
      <c r="C80" s="106"/>
      <c r="E80" s="77">
        <v>-483.01</v>
      </c>
    </row>
    <row r="81" spans="1:5">
      <c r="A81" s="100">
        <v>45436</v>
      </c>
      <c r="B81" s="3" t="s">
        <v>524</v>
      </c>
      <c r="C81" s="106"/>
      <c r="E81" s="77">
        <v>-80</v>
      </c>
    </row>
    <row r="82" spans="1:5">
      <c r="A82" s="100">
        <v>45436</v>
      </c>
      <c r="B82" s="3" t="s">
        <v>525</v>
      </c>
      <c r="C82" s="106"/>
      <c r="E82" s="77">
        <v>-1000</v>
      </c>
    </row>
    <row r="83" spans="1:5">
      <c r="A83" s="100">
        <v>45437</v>
      </c>
      <c r="B83" s="3" t="s">
        <v>526</v>
      </c>
      <c r="C83" s="106"/>
      <c r="E83" s="77">
        <v>-70</v>
      </c>
    </row>
    <row r="84" spans="1:5">
      <c r="A84" s="100">
        <v>45438</v>
      </c>
      <c r="B84" s="3" t="s">
        <v>409</v>
      </c>
      <c r="C84" s="106"/>
      <c r="E84" s="77">
        <v>-232.27</v>
      </c>
    </row>
    <row r="85" spans="1:5">
      <c r="A85" s="100">
        <v>45438</v>
      </c>
      <c r="B85" s="3" t="s">
        <v>527</v>
      </c>
      <c r="C85" s="106"/>
      <c r="E85" s="77">
        <v>-130</v>
      </c>
    </row>
    <row r="86" spans="1:5">
      <c r="A86" s="100">
        <v>45469</v>
      </c>
      <c r="B86" s="3" t="s">
        <v>528</v>
      </c>
      <c r="C86" s="106"/>
      <c r="E86" s="77">
        <v>-246.8</v>
      </c>
    </row>
    <row r="87" spans="1:5">
      <c r="A87" s="100">
        <v>45439</v>
      </c>
      <c r="B87" s="3" t="s">
        <v>526</v>
      </c>
      <c r="C87" s="106"/>
      <c r="E87" s="77">
        <v>-70</v>
      </c>
    </row>
    <row r="88" spans="1:5">
      <c r="A88" s="100">
        <v>45440</v>
      </c>
      <c r="B88" s="3" t="s">
        <v>483</v>
      </c>
      <c r="C88" s="106">
        <v>300</v>
      </c>
      <c r="E88" s="77">
        <v>-300</v>
      </c>
    </row>
    <row r="89" spans="1:5">
      <c r="A89" s="100">
        <v>45440</v>
      </c>
      <c r="B89" s="3" t="s">
        <v>529</v>
      </c>
      <c r="C89" s="106"/>
      <c r="E89" s="77">
        <v>-460</v>
      </c>
    </row>
    <row r="90" spans="1:5">
      <c r="A90" s="100">
        <v>45441</v>
      </c>
      <c r="B90" s="3" t="s">
        <v>409</v>
      </c>
      <c r="C90" s="106"/>
      <c r="E90" s="77">
        <v>-27.66</v>
      </c>
    </row>
    <row r="91" spans="1:5">
      <c r="A91" s="100">
        <v>45441</v>
      </c>
      <c r="B91" s="3" t="s">
        <v>483</v>
      </c>
      <c r="C91" s="106">
        <v>400</v>
      </c>
      <c r="E91" s="77">
        <v>-400</v>
      </c>
    </row>
    <row r="92" spans="1:5">
      <c r="A92" s="100">
        <v>45442</v>
      </c>
      <c r="B92" s="3" t="s">
        <v>483</v>
      </c>
      <c r="C92" s="106">
        <v>200</v>
      </c>
      <c r="E92" s="77">
        <v>-200</v>
      </c>
    </row>
    <row r="93" spans="1:5">
      <c r="A93" s="100">
        <v>45442</v>
      </c>
      <c r="B93" s="3" t="s">
        <v>530</v>
      </c>
      <c r="C93" s="106"/>
      <c r="E93" s="77">
        <v>-80</v>
      </c>
    </row>
    <row r="94" spans="1:5">
      <c r="A94" s="100">
        <v>45444</v>
      </c>
      <c r="B94" s="3" t="s">
        <v>531</v>
      </c>
      <c r="C94" s="106"/>
      <c r="E94" s="77">
        <v>-80</v>
      </c>
    </row>
    <row r="95" spans="1:5">
      <c r="A95" s="100">
        <v>45444</v>
      </c>
      <c r="B95" s="3" t="s">
        <v>409</v>
      </c>
      <c r="C95" s="106"/>
      <c r="E95" s="77">
        <v>-12.26</v>
      </c>
    </row>
    <row r="96" spans="1:5">
      <c r="A96" s="100">
        <v>45444</v>
      </c>
      <c r="B96" s="3" t="s">
        <v>483</v>
      </c>
      <c r="C96" s="106">
        <v>350</v>
      </c>
      <c r="E96" s="77">
        <v>-350</v>
      </c>
    </row>
    <row r="97" spans="1:5">
      <c r="A97" s="100">
        <v>45444</v>
      </c>
      <c r="B97" s="3" t="s">
        <v>532</v>
      </c>
      <c r="C97" s="106"/>
      <c r="E97" s="77">
        <v>-300</v>
      </c>
    </row>
    <row r="98" spans="1:5">
      <c r="A98" s="100">
        <v>45446</v>
      </c>
      <c r="B98" s="3" t="s">
        <v>179</v>
      </c>
      <c r="C98" s="106"/>
      <c r="E98" s="77">
        <v>-500</v>
      </c>
    </row>
    <row r="99" spans="1:5">
      <c r="A99" s="100">
        <v>45446</v>
      </c>
      <c r="B99" s="3" t="s">
        <v>526</v>
      </c>
      <c r="C99" s="106"/>
      <c r="E99" s="77">
        <v>-70</v>
      </c>
    </row>
    <row r="100" spans="1:5">
      <c r="A100" s="100">
        <v>45446</v>
      </c>
      <c r="B100" s="3" t="s">
        <v>129</v>
      </c>
      <c r="C100" s="106"/>
      <c r="D100" s="77">
        <v>7949.1</v>
      </c>
    </row>
    <row r="101" spans="1:5">
      <c r="A101" s="100">
        <v>45447</v>
      </c>
      <c r="B101" s="3" t="s">
        <v>483</v>
      </c>
      <c r="C101" s="106">
        <v>240</v>
      </c>
      <c r="E101" s="77">
        <v>-240</v>
      </c>
    </row>
    <row r="102" spans="1:5">
      <c r="A102" s="100">
        <v>45447</v>
      </c>
      <c r="B102" s="3" t="s">
        <v>526</v>
      </c>
      <c r="C102" s="106"/>
      <c r="E102" s="77">
        <v>-70</v>
      </c>
    </row>
    <row r="103" spans="1:5">
      <c r="A103" s="100">
        <v>45447</v>
      </c>
      <c r="B103" s="3" t="s">
        <v>129</v>
      </c>
      <c r="C103" s="106"/>
      <c r="D103" s="77">
        <v>11998.63</v>
      </c>
    </row>
    <row r="104" spans="1:5">
      <c r="A104" s="88">
        <v>45448</v>
      </c>
      <c r="B104" s="3" t="s">
        <v>483</v>
      </c>
      <c r="C104">
        <v>280</v>
      </c>
      <c r="E104" s="77">
        <v>-280</v>
      </c>
    </row>
    <row r="105" spans="1:5">
      <c r="A105" s="88">
        <v>45448</v>
      </c>
      <c r="B105" s="3" t="s">
        <v>533</v>
      </c>
    </row>
    <row r="106" spans="1:5">
      <c r="A106" s="88">
        <v>45449</v>
      </c>
      <c r="B106" s="3" t="s">
        <v>483</v>
      </c>
      <c r="C106">
        <v>300</v>
      </c>
      <c r="E106" s="77">
        <v>-300</v>
      </c>
    </row>
    <row r="107" spans="1:5">
      <c r="A107" s="88">
        <v>45449</v>
      </c>
      <c r="B107" s="3" t="s">
        <v>409</v>
      </c>
      <c r="E107" s="77">
        <v>-84.7</v>
      </c>
    </row>
    <row r="108" spans="1:5">
      <c r="A108" s="88">
        <v>45450</v>
      </c>
      <c r="B108" s="3" t="s">
        <v>483</v>
      </c>
      <c r="C108">
        <v>300</v>
      </c>
      <c r="E108" s="77">
        <v>-300</v>
      </c>
    </row>
    <row r="109" spans="1:5">
      <c r="A109" s="88">
        <v>45450</v>
      </c>
      <c r="B109" s="3" t="s">
        <v>531</v>
      </c>
      <c r="E109" s="77">
        <v>-80</v>
      </c>
    </row>
    <row r="110" spans="1:5">
      <c r="A110" s="88">
        <v>45451</v>
      </c>
      <c r="B110" s="3" t="s">
        <v>483</v>
      </c>
      <c r="C110">
        <v>250</v>
      </c>
      <c r="E110" s="77">
        <v>-250</v>
      </c>
    </row>
    <row r="111" spans="1:5">
      <c r="A111" s="88">
        <v>45451</v>
      </c>
      <c r="B111" s="3" t="s">
        <v>526</v>
      </c>
      <c r="E111" s="77">
        <v>-145</v>
      </c>
    </row>
    <row r="112" spans="1:5">
      <c r="A112" s="88">
        <v>45454</v>
      </c>
      <c r="B112" s="3" t="s">
        <v>483</v>
      </c>
      <c r="C112">
        <v>400</v>
      </c>
      <c r="E112" s="77">
        <v>-400</v>
      </c>
    </row>
    <row r="113" spans="1:5">
      <c r="A113" s="88">
        <v>45455</v>
      </c>
      <c r="B113" s="3" t="s">
        <v>534</v>
      </c>
      <c r="E113" s="77">
        <v>-300</v>
      </c>
    </row>
    <row r="114" spans="1:5">
      <c r="A114" s="88">
        <v>45456</v>
      </c>
      <c r="B114" s="3" t="s">
        <v>483</v>
      </c>
      <c r="C114">
        <v>300</v>
      </c>
      <c r="E114" s="77">
        <v>-300</v>
      </c>
    </row>
    <row r="115" spans="1:5">
      <c r="A115" s="88">
        <v>45456</v>
      </c>
      <c r="B115" s="3" t="s">
        <v>526</v>
      </c>
      <c r="E115" s="77">
        <v>-70</v>
      </c>
    </row>
    <row r="116" spans="1:5">
      <c r="A116" s="88">
        <v>45459</v>
      </c>
      <c r="B116" s="3" t="s">
        <v>531</v>
      </c>
      <c r="E116" s="77">
        <v>-80</v>
      </c>
    </row>
    <row r="117" spans="1:5">
      <c r="A117" s="88">
        <v>45460</v>
      </c>
      <c r="B117" s="3" t="s">
        <v>409</v>
      </c>
      <c r="E117" s="77">
        <v>-71.95</v>
      </c>
    </row>
    <row r="118" spans="1:5">
      <c r="A118" s="88">
        <v>45460</v>
      </c>
      <c r="B118" s="3" t="s">
        <v>179</v>
      </c>
      <c r="E118" s="77">
        <v>-500</v>
      </c>
    </row>
    <row r="119" spans="1:5">
      <c r="A119" s="88">
        <v>45463</v>
      </c>
      <c r="B119" s="3" t="s">
        <v>531</v>
      </c>
      <c r="E119" s="77">
        <v>-80</v>
      </c>
    </row>
    <row r="120" spans="1:5">
      <c r="A120" s="88">
        <v>45464</v>
      </c>
      <c r="B120" s="3" t="s">
        <v>535</v>
      </c>
      <c r="E120" s="77">
        <v>-105</v>
      </c>
    </row>
    <row r="121" spans="1:5">
      <c r="A121" s="88">
        <v>45464</v>
      </c>
      <c r="B121" s="3" t="s">
        <v>536</v>
      </c>
      <c r="E121" s="77">
        <v>-800</v>
      </c>
    </row>
    <row r="122" spans="1:5">
      <c r="A122" s="88">
        <v>45464</v>
      </c>
      <c r="B122" s="3" t="s">
        <v>537</v>
      </c>
      <c r="E122" s="77">
        <v>-277.5</v>
      </c>
    </row>
    <row r="123" spans="1:5">
      <c r="A123" s="88">
        <v>45465</v>
      </c>
      <c r="B123" s="3" t="s">
        <v>538</v>
      </c>
      <c r="E123" s="77">
        <v>-200</v>
      </c>
    </row>
    <row r="124" spans="1:5">
      <c r="A124" s="88">
        <v>45466</v>
      </c>
      <c r="B124" s="3" t="s">
        <v>539</v>
      </c>
      <c r="E124" s="77">
        <v>-689.5</v>
      </c>
    </row>
    <row r="125" spans="1:5">
      <c r="A125" s="88">
        <v>45466</v>
      </c>
      <c r="B125" s="3" t="s">
        <v>179</v>
      </c>
      <c r="E125" s="77">
        <v>-500</v>
      </c>
    </row>
    <row r="126" spans="1:5">
      <c r="A126" s="88">
        <v>45466</v>
      </c>
      <c r="B126" s="3" t="s">
        <v>540</v>
      </c>
      <c r="E126" s="77">
        <v>-650</v>
      </c>
    </row>
    <row r="127" spans="1:5">
      <c r="A127" s="88">
        <v>45466</v>
      </c>
      <c r="B127" s="3" t="s">
        <v>541</v>
      </c>
      <c r="E127" s="77">
        <v>-134.33000000000001</v>
      </c>
    </row>
    <row r="128" spans="1:5">
      <c r="A128" s="88">
        <v>45467</v>
      </c>
      <c r="B128" s="3" t="s">
        <v>542</v>
      </c>
      <c r="E128" s="77">
        <v>-28.05</v>
      </c>
    </row>
    <row r="129" spans="1:5">
      <c r="A129" s="88">
        <v>45467</v>
      </c>
      <c r="B129" s="3" t="s">
        <v>543</v>
      </c>
      <c r="E129" s="77">
        <v>-28.05</v>
      </c>
    </row>
    <row r="130" spans="1:5">
      <c r="A130" s="88">
        <v>45467</v>
      </c>
      <c r="B130" s="3" t="s">
        <v>544</v>
      </c>
      <c r="E130" s="77">
        <v>-186.98</v>
      </c>
    </row>
    <row r="131" spans="1:5" ht="15">
      <c r="B131" s="18" t="s">
        <v>418</v>
      </c>
      <c r="C131" s="3">
        <f>SUM(C86:C130)</f>
        <v>3320</v>
      </c>
      <c r="E131" s="105" t="s">
        <v>84</v>
      </c>
    </row>
    <row r="132" spans="1:5">
      <c r="B132" s="3" t="s">
        <v>545</v>
      </c>
    </row>
    <row r="133" spans="1:5">
      <c r="A133" s="113" t="s">
        <v>546</v>
      </c>
      <c r="B133" s="104" t="s">
        <v>136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378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300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301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497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302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236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498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499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500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501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140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380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502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503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504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505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152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153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155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156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547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424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548</v>
      </c>
      <c r="C5" s="101" t="s">
        <v>352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323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549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550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551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552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553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394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554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555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556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557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323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323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508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435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325</v>
      </c>
    </row>
    <row r="39" spans="1:8">
      <c r="A39" s="103" t="s">
        <v>326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327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328</v>
      </c>
      <c r="D42" s="77">
        <v>468.65</v>
      </c>
    </row>
    <row r="43" spans="1:8">
      <c r="B43" t="s">
        <v>329</v>
      </c>
      <c r="D43" s="77">
        <v>1257.73</v>
      </c>
      <c r="E43" s="77">
        <v>1260</v>
      </c>
    </row>
    <row r="44" spans="1:8">
      <c r="B44" t="s">
        <v>558</v>
      </c>
      <c r="C44" t="s">
        <v>559</v>
      </c>
      <c r="D44" s="77">
        <v>919.84</v>
      </c>
      <c r="E44" s="77">
        <v>919.84</v>
      </c>
    </row>
    <row r="45" spans="1:8">
      <c r="B45" t="s">
        <v>331</v>
      </c>
      <c r="D45" s="77">
        <v>2358.0300000000002</v>
      </c>
      <c r="E45" s="77">
        <v>2358</v>
      </c>
    </row>
    <row r="46" spans="1:8">
      <c r="B46" t="s">
        <v>332</v>
      </c>
      <c r="D46" s="77">
        <v>352.42</v>
      </c>
      <c r="E46" s="77">
        <v>30</v>
      </c>
    </row>
    <row r="47" spans="1:8">
      <c r="B47" t="s">
        <v>333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560</v>
      </c>
      <c r="C53" s="106">
        <v>7648.33</v>
      </c>
      <c r="D53" s="77" t="s">
        <v>561</v>
      </c>
      <c r="E53" s="77">
        <v>-849.85</v>
      </c>
      <c r="F53" s="77">
        <v>0</v>
      </c>
    </row>
    <row r="54" spans="1:6">
      <c r="A54" s="88">
        <v>45348</v>
      </c>
      <c r="B54" s="8" t="s">
        <v>438</v>
      </c>
      <c r="C54">
        <v>1406</v>
      </c>
      <c r="D54" s="77" t="s">
        <v>562</v>
      </c>
      <c r="E54" s="77">
        <v>-234.33</v>
      </c>
      <c r="F54" s="77">
        <v>0</v>
      </c>
    </row>
    <row r="55" spans="1:6">
      <c r="A55" s="88">
        <v>45373</v>
      </c>
      <c r="B55" s="8" t="s">
        <v>334</v>
      </c>
      <c r="C55">
        <v>10176.39</v>
      </c>
      <c r="D55" s="77" t="s">
        <v>563</v>
      </c>
      <c r="E55" s="77">
        <v>-1130.71</v>
      </c>
      <c r="F55" s="77">
        <v>0</v>
      </c>
    </row>
    <row r="56" spans="1:6">
      <c r="A56" s="88">
        <v>45375</v>
      </c>
      <c r="B56" s="8" t="s">
        <v>336</v>
      </c>
      <c r="C56">
        <v>5999</v>
      </c>
      <c r="D56" s="77" t="s">
        <v>563</v>
      </c>
      <c r="E56" s="77">
        <v>-666.56</v>
      </c>
      <c r="F56" s="77">
        <v>0</v>
      </c>
    </row>
    <row r="57" spans="1:6">
      <c r="A57" s="88">
        <v>45358</v>
      </c>
      <c r="B57" s="8" t="s">
        <v>441</v>
      </c>
      <c r="C57">
        <v>2273</v>
      </c>
      <c r="D57" s="77" t="s">
        <v>562</v>
      </c>
      <c r="E57" s="77">
        <v>-378.87</v>
      </c>
      <c r="F57" s="77">
        <v>0</v>
      </c>
    </row>
    <row r="58" spans="1:6">
      <c r="A58" s="88">
        <v>45371</v>
      </c>
      <c r="B58" s="8" t="s">
        <v>442</v>
      </c>
      <c r="D58" s="77" t="s">
        <v>562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564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565</v>
      </c>
      <c r="E61" s="77">
        <v>-890</v>
      </c>
      <c r="F61" s="77">
        <v>0</v>
      </c>
    </row>
    <row r="62" spans="1:6" ht="15">
      <c r="A62" s="100">
        <v>45418</v>
      </c>
      <c r="B62" s="107" t="s">
        <v>129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520</v>
      </c>
      <c r="C67" s="106"/>
      <c r="D67" s="77" t="s">
        <v>566</v>
      </c>
      <c r="E67" s="77">
        <v>-3551.66</v>
      </c>
    </row>
    <row r="68" spans="1:6">
      <c r="A68" s="100"/>
      <c r="B68" s="3" t="s">
        <v>476</v>
      </c>
      <c r="C68" s="106"/>
      <c r="D68" s="77" t="s">
        <v>567</v>
      </c>
      <c r="E68" s="77">
        <v>-649.78</v>
      </c>
    </row>
    <row r="69" spans="1:6">
      <c r="A69" s="100"/>
      <c r="B69" s="3" t="s">
        <v>478</v>
      </c>
      <c r="C69" s="106">
        <v>49.98</v>
      </c>
      <c r="D69" s="77" t="s">
        <v>567</v>
      </c>
    </row>
    <row r="70" spans="1:6">
      <c r="A70" s="100"/>
      <c r="B70" s="3"/>
      <c r="C70" s="106"/>
    </row>
    <row r="71" spans="1:6">
      <c r="A71" s="100">
        <v>45408</v>
      </c>
      <c r="B71" s="3" t="s">
        <v>568</v>
      </c>
      <c r="C71" s="106"/>
      <c r="E71" s="77">
        <v>-1407.23</v>
      </c>
    </row>
    <row r="72" spans="1:6">
      <c r="A72" s="100">
        <v>45420</v>
      </c>
      <c r="B72" s="3" t="s">
        <v>533</v>
      </c>
      <c r="C72" s="106">
        <v>300</v>
      </c>
    </row>
    <row r="73" spans="1:6">
      <c r="A73" s="100">
        <v>45426</v>
      </c>
      <c r="B73" s="3" t="s">
        <v>569</v>
      </c>
      <c r="C73" s="106"/>
      <c r="E73" s="77">
        <v>-1469</v>
      </c>
    </row>
    <row r="74" spans="1:6">
      <c r="A74" s="100">
        <v>45426</v>
      </c>
      <c r="B74" s="3" t="s">
        <v>570</v>
      </c>
      <c r="C74" s="106"/>
      <c r="E74" s="77">
        <v>-1453</v>
      </c>
    </row>
    <row r="75" spans="1:6">
      <c r="A75" s="100">
        <v>45427</v>
      </c>
      <c r="B75" s="3" t="s">
        <v>571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572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573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574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575</v>
      </c>
      <c r="C80" s="106" t="s">
        <v>576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577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578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579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580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580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524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129</v>
      </c>
      <c r="C87" s="106">
        <v>23491.02</v>
      </c>
    </row>
    <row r="88" spans="1:6">
      <c r="A88" s="100">
        <v>45420</v>
      </c>
      <c r="B88" s="3" t="s">
        <v>409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581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409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575</v>
      </c>
      <c r="C91" s="106" t="s">
        <v>576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575</v>
      </c>
      <c r="C92" s="106" t="s">
        <v>576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582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583</v>
      </c>
      <c r="C94" s="106">
        <v>95.08</v>
      </c>
      <c r="F94" s="77">
        <v>0</v>
      </c>
    </row>
    <row r="95" spans="1:6">
      <c r="A95" s="88">
        <v>45427</v>
      </c>
      <c r="B95" s="3" t="s">
        <v>584</v>
      </c>
      <c r="E95" s="77">
        <v>-1123.1500000000001</v>
      </c>
      <c r="F95" s="77">
        <v>0</v>
      </c>
    </row>
    <row r="96" spans="1:6">
      <c r="A96" s="88">
        <v>45427</v>
      </c>
      <c r="B96" s="3" t="s">
        <v>585</v>
      </c>
      <c r="C96">
        <v>1.26</v>
      </c>
      <c r="F96" s="77">
        <v>0</v>
      </c>
    </row>
    <row r="97" spans="1:6">
      <c r="A97" s="88">
        <v>45427</v>
      </c>
      <c r="B97" s="3" t="s">
        <v>586</v>
      </c>
      <c r="E97" s="77">
        <v>-16</v>
      </c>
      <c r="F97" s="77">
        <v>0</v>
      </c>
    </row>
    <row r="98" spans="1:6">
      <c r="A98" s="88">
        <v>45427</v>
      </c>
      <c r="B98" s="3" t="s">
        <v>587</v>
      </c>
      <c r="E98" s="77">
        <v>-375</v>
      </c>
      <c r="F98" s="77">
        <v>0</v>
      </c>
    </row>
    <row r="99" spans="1:6">
      <c r="A99" s="88">
        <v>45427</v>
      </c>
      <c r="B99" s="3" t="s">
        <v>586</v>
      </c>
      <c r="E99" s="77">
        <v>-11.5</v>
      </c>
      <c r="F99" s="77">
        <v>0</v>
      </c>
    </row>
    <row r="100" spans="1:6">
      <c r="A100" s="88">
        <v>45428</v>
      </c>
      <c r="B100" s="3" t="s">
        <v>588</v>
      </c>
      <c r="E100" s="77">
        <v>-500</v>
      </c>
      <c r="F100" s="77">
        <v>0</v>
      </c>
    </row>
    <row r="101" spans="1:6">
      <c r="A101" s="88">
        <v>45428</v>
      </c>
      <c r="B101" s="3" t="s">
        <v>589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589</v>
      </c>
      <c r="E102" s="77">
        <v>-169.99</v>
      </c>
      <c r="F102" s="77">
        <v>0</v>
      </c>
    </row>
    <row r="103" spans="1:6">
      <c r="A103" s="88">
        <v>45430</v>
      </c>
      <c r="B103" s="3" t="s">
        <v>590</v>
      </c>
      <c r="E103" s="77">
        <v>-330</v>
      </c>
      <c r="F103" s="77">
        <v>0</v>
      </c>
    </row>
    <row r="104" spans="1:6">
      <c r="A104" s="88">
        <v>45430</v>
      </c>
      <c r="B104" s="3" t="s">
        <v>589</v>
      </c>
      <c r="E104" s="77">
        <v>-139.9</v>
      </c>
      <c r="F104" s="77">
        <v>0</v>
      </c>
    </row>
    <row r="105" spans="1:6">
      <c r="A105" s="88">
        <v>45430</v>
      </c>
      <c r="B105" s="3" t="s">
        <v>588</v>
      </c>
      <c r="E105" s="77">
        <v>-500</v>
      </c>
      <c r="F105" s="77">
        <v>0</v>
      </c>
    </row>
    <row r="106" spans="1:6">
      <c r="A106" s="88">
        <v>45431</v>
      </c>
      <c r="B106" s="3" t="s">
        <v>591</v>
      </c>
      <c r="E106" s="77">
        <v>-266</v>
      </c>
      <c r="F106" s="77">
        <v>0</v>
      </c>
    </row>
    <row r="107" spans="1:6">
      <c r="A107" s="88">
        <v>45432</v>
      </c>
      <c r="B107" s="3" t="s">
        <v>591</v>
      </c>
      <c r="E107" s="77">
        <v>-22.1</v>
      </c>
      <c r="F107" s="77">
        <v>0</v>
      </c>
    </row>
    <row r="108" spans="1:6">
      <c r="A108" s="88">
        <v>45432</v>
      </c>
      <c r="B108" s="3" t="s">
        <v>586</v>
      </c>
      <c r="E108" s="77">
        <v>-11.5</v>
      </c>
      <c r="F108" s="77">
        <v>0</v>
      </c>
    </row>
    <row r="109" spans="1:6">
      <c r="A109" s="88">
        <v>45432</v>
      </c>
      <c r="B109" s="3" t="s">
        <v>587</v>
      </c>
      <c r="E109" s="77">
        <v>-335</v>
      </c>
      <c r="F109" s="77">
        <v>0</v>
      </c>
    </row>
    <row r="110" spans="1:6">
      <c r="A110" s="88">
        <v>45432</v>
      </c>
      <c r="B110" s="3" t="s">
        <v>586</v>
      </c>
      <c r="E110" s="77">
        <v>-11.5</v>
      </c>
      <c r="F110" s="77">
        <v>0</v>
      </c>
    </row>
    <row r="111" spans="1:6">
      <c r="A111" s="88">
        <v>45432</v>
      </c>
      <c r="B111" s="3" t="s">
        <v>592</v>
      </c>
      <c r="E111" s="77">
        <v>-650</v>
      </c>
      <c r="F111" s="77">
        <v>0</v>
      </c>
    </row>
    <row r="112" spans="1:6">
      <c r="A112" s="88">
        <v>45435</v>
      </c>
      <c r="B112" s="3" t="s">
        <v>575</v>
      </c>
      <c r="C112" s="8" t="s">
        <v>576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593</v>
      </c>
      <c r="E113" s="77">
        <v>-550</v>
      </c>
      <c r="F113" s="77">
        <v>0</v>
      </c>
    </row>
    <row r="114" spans="1:6" ht="15">
      <c r="A114" s="88"/>
      <c r="B114" s="3"/>
      <c r="C114" s="184" t="s">
        <v>418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594</v>
      </c>
      <c r="B118" s="104" t="s">
        <v>136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378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300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301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497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302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236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498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499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140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380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502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595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504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596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152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153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155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156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597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598</v>
      </c>
      <c r="C4" s="101" t="s">
        <v>352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424</v>
      </c>
      <c r="C5" s="8" t="s">
        <v>599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600</v>
      </c>
      <c r="D8" s="78" t="s">
        <v>601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323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602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394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603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603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604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325</v>
      </c>
    </row>
    <row r="29" spans="1:8">
      <c r="A29" s="100"/>
      <c r="C29" s="171"/>
    </row>
    <row r="30" spans="1:8">
      <c r="A30" s="172">
        <v>44929</v>
      </c>
      <c r="B30" s="173" t="s">
        <v>327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328</v>
      </c>
      <c r="D31" s="78">
        <v>786.88</v>
      </c>
      <c r="E31" s="78">
        <v>787</v>
      </c>
    </row>
    <row r="32" spans="1:8">
      <c r="B32" t="s">
        <v>329</v>
      </c>
      <c r="D32" s="78">
        <v>1205</v>
      </c>
      <c r="E32" s="78">
        <v>1205</v>
      </c>
    </row>
    <row r="33" spans="1:5">
      <c r="B33" t="s">
        <v>330</v>
      </c>
      <c r="D33" s="78">
        <v>55.4</v>
      </c>
      <c r="E33" s="78">
        <v>55.4</v>
      </c>
    </row>
    <row r="34" spans="1:5">
      <c r="B34" t="s">
        <v>331</v>
      </c>
      <c r="D34" s="78">
        <v>1257.4000000000001</v>
      </c>
      <c r="E34" s="78">
        <v>1257.4000000000001</v>
      </c>
    </row>
    <row r="35" spans="1:5">
      <c r="B35" t="s">
        <v>332</v>
      </c>
      <c r="D35" s="78">
        <v>370.48</v>
      </c>
      <c r="E35" s="78">
        <v>370.48</v>
      </c>
    </row>
    <row r="36" spans="1:5">
      <c r="B36" t="s">
        <v>333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560</v>
      </c>
      <c r="C43" s="106">
        <v>7648.33</v>
      </c>
      <c r="D43" s="77" t="s">
        <v>363</v>
      </c>
      <c r="E43" s="77">
        <v>-849.81</v>
      </c>
    </row>
    <row r="44" spans="1:5">
      <c r="A44" s="88">
        <v>45348</v>
      </c>
      <c r="B44" s="8" t="s">
        <v>438</v>
      </c>
      <c r="C44">
        <v>1406</v>
      </c>
      <c r="D44" s="77" t="s">
        <v>605</v>
      </c>
      <c r="E44" s="77">
        <v>-234.33</v>
      </c>
    </row>
    <row r="45" spans="1:5">
      <c r="A45" s="88">
        <v>45373</v>
      </c>
      <c r="B45" s="8" t="s">
        <v>334</v>
      </c>
      <c r="C45">
        <v>10176.39</v>
      </c>
      <c r="D45" s="77" t="s">
        <v>606</v>
      </c>
      <c r="E45" s="77">
        <v>-1130.71</v>
      </c>
    </row>
    <row r="46" spans="1:5">
      <c r="A46" s="88">
        <v>45375</v>
      </c>
      <c r="B46" s="8" t="s">
        <v>336</v>
      </c>
      <c r="C46">
        <v>5999</v>
      </c>
      <c r="D46" s="77" t="s">
        <v>607</v>
      </c>
      <c r="E46" s="77">
        <v>-666.56</v>
      </c>
    </row>
    <row r="47" spans="1:5">
      <c r="A47" s="88">
        <v>45358</v>
      </c>
      <c r="B47" s="8" t="s">
        <v>441</v>
      </c>
      <c r="C47">
        <v>2273</v>
      </c>
      <c r="D47" s="77" t="s">
        <v>605</v>
      </c>
      <c r="E47" s="77">
        <v>-378.87</v>
      </c>
    </row>
    <row r="48" spans="1:5">
      <c r="A48" s="88">
        <v>45371</v>
      </c>
      <c r="B48" s="8" t="s">
        <v>442</v>
      </c>
      <c r="D48" s="77" t="s">
        <v>608</v>
      </c>
      <c r="E48" s="77">
        <v>101.77</v>
      </c>
    </row>
    <row r="49" spans="1:5">
      <c r="A49" s="88">
        <v>45377</v>
      </c>
      <c r="B49" s="8" t="s">
        <v>609</v>
      </c>
      <c r="D49" s="77" t="s">
        <v>610</v>
      </c>
    </row>
    <row r="50" spans="1:5">
      <c r="A50" s="100"/>
      <c r="B50" s="107" t="s">
        <v>611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612</v>
      </c>
      <c r="E52" s="77">
        <v>-790</v>
      </c>
    </row>
    <row r="53" spans="1:5">
      <c r="A53" s="100"/>
      <c r="B53" s="107" t="s">
        <v>613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520</v>
      </c>
      <c r="C59" s="106"/>
      <c r="D59" s="77" t="s">
        <v>614</v>
      </c>
      <c r="E59" s="77">
        <v>-3551.66</v>
      </c>
    </row>
    <row r="60" spans="1:5">
      <c r="A60" s="100"/>
      <c r="B60" s="3" t="s">
        <v>476</v>
      </c>
      <c r="C60" s="106"/>
      <c r="D60" s="77" t="s">
        <v>615</v>
      </c>
      <c r="E60" s="77">
        <v>-649.78</v>
      </c>
    </row>
    <row r="61" spans="1:5">
      <c r="A61" s="100"/>
      <c r="B61" s="3" t="s">
        <v>478</v>
      </c>
      <c r="C61" s="106">
        <v>49.98</v>
      </c>
      <c r="D61" s="77" t="s">
        <v>615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616</v>
      </c>
      <c r="C64" s="106"/>
      <c r="E64" s="77">
        <v>-500</v>
      </c>
    </row>
    <row r="65" spans="1:5">
      <c r="A65" s="100">
        <v>45398</v>
      </c>
      <c r="B65" s="3" t="s">
        <v>617</v>
      </c>
      <c r="C65" s="106"/>
      <c r="E65" s="77">
        <v>-400</v>
      </c>
    </row>
    <row r="66" spans="1:5">
      <c r="A66" s="100">
        <v>45398</v>
      </c>
      <c r="B66" s="3" t="s">
        <v>127</v>
      </c>
      <c r="C66" s="106"/>
      <c r="E66" s="77">
        <v>-48.5</v>
      </c>
    </row>
    <row r="67" spans="1:5">
      <c r="A67" s="100">
        <v>45398</v>
      </c>
      <c r="B67" s="3" t="s">
        <v>617</v>
      </c>
      <c r="C67" s="106"/>
      <c r="E67" s="77">
        <v>-871.29</v>
      </c>
    </row>
    <row r="68" spans="1:5">
      <c r="A68" s="100">
        <v>45398</v>
      </c>
      <c r="B68" s="3" t="s">
        <v>617</v>
      </c>
      <c r="C68" s="106"/>
      <c r="E68" s="77">
        <v>-810.42</v>
      </c>
    </row>
    <row r="69" spans="1:5">
      <c r="A69" s="100">
        <v>45397</v>
      </c>
      <c r="B69" s="3" t="s">
        <v>575</v>
      </c>
      <c r="C69" s="106">
        <v>240</v>
      </c>
      <c r="E69" s="77">
        <v>-240</v>
      </c>
    </row>
    <row r="70" spans="1:5">
      <c r="A70" s="100">
        <v>45388</v>
      </c>
      <c r="B70" s="3" t="s">
        <v>618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575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127</v>
      </c>
      <c r="C76" s="106"/>
      <c r="E76" s="77">
        <v>-34.6</v>
      </c>
    </row>
    <row r="77" spans="1:5">
      <c r="A77" s="100">
        <v>24.4</v>
      </c>
      <c r="B77" s="3" t="s">
        <v>127</v>
      </c>
      <c r="C77" s="106"/>
      <c r="E77" s="77">
        <v>-370.4</v>
      </c>
    </row>
    <row r="78" spans="1:5">
      <c r="A78" s="100">
        <v>45405</v>
      </c>
      <c r="B78" s="3" t="s">
        <v>619</v>
      </c>
      <c r="C78" s="106"/>
      <c r="E78" s="77">
        <v>-1306.8800000000001</v>
      </c>
    </row>
    <row r="79" spans="1:5">
      <c r="A79" s="100">
        <v>45387</v>
      </c>
      <c r="B79" s="3" t="s">
        <v>620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621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622</v>
      </c>
      <c r="B101" s="104" t="s">
        <v>136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378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300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301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497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302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236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498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499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140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380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502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595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504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596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152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153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155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156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623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624</v>
      </c>
      <c r="C5" s="101" t="s">
        <v>352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424</v>
      </c>
      <c r="C6" s="8" t="s">
        <v>625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626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627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628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600</v>
      </c>
      <c r="D10" s="77" t="s">
        <v>629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323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630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631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632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632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394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455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633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634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323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635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636</v>
      </c>
      <c r="C25" s="8" t="s">
        <v>153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636</v>
      </c>
      <c r="C26" s="8" t="s">
        <v>153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636</v>
      </c>
      <c r="C27" s="8" t="s">
        <v>637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636</v>
      </c>
      <c r="C28" s="8" t="s">
        <v>153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638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639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640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641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642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325</v>
      </c>
    </row>
    <row r="52" spans="1:5">
      <c r="A52" s="103" t="s">
        <v>326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327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328</v>
      </c>
      <c r="D55" s="77">
        <v>874.44</v>
      </c>
      <c r="E55" s="77">
        <v>800</v>
      </c>
    </row>
    <row r="56" spans="1:5">
      <c r="B56" t="s">
        <v>329</v>
      </c>
      <c r="D56" s="77">
        <v>1078.92</v>
      </c>
      <c r="E56" s="77">
        <v>1079</v>
      </c>
    </row>
    <row r="57" spans="1:5">
      <c r="B57" t="s">
        <v>330</v>
      </c>
      <c r="D57" s="77">
        <v>173.45</v>
      </c>
      <c r="E57" s="77">
        <v>172.5</v>
      </c>
    </row>
    <row r="58" spans="1:5">
      <c r="B58" t="s">
        <v>331</v>
      </c>
      <c r="C58" t="s">
        <v>643</v>
      </c>
      <c r="D58" s="77">
        <v>1774</v>
      </c>
      <c r="E58" s="77">
        <v>1774</v>
      </c>
    </row>
    <row r="59" spans="1:5">
      <c r="B59" t="s">
        <v>332</v>
      </c>
      <c r="D59" s="77">
        <v>326.58999999999997</v>
      </c>
      <c r="E59" s="77">
        <v>325</v>
      </c>
    </row>
    <row r="60" spans="1:5">
      <c r="B60" t="s">
        <v>333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560</v>
      </c>
      <c r="C67" s="106">
        <v>7648.33</v>
      </c>
      <c r="D67" s="77" t="s">
        <v>395</v>
      </c>
      <c r="E67" s="77">
        <v>-849.81</v>
      </c>
    </row>
    <row r="68" spans="1:5">
      <c r="A68" s="88">
        <v>45348</v>
      </c>
      <c r="B68" s="8" t="s">
        <v>438</v>
      </c>
      <c r="C68">
        <v>1406</v>
      </c>
      <c r="D68" s="77" t="s">
        <v>644</v>
      </c>
      <c r="E68" s="77">
        <v>-234.33</v>
      </c>
    </row>
    <row r="69" spans="1:5">
      <c r="A69" s="88">
        <v>45358</v>
      </c>
      <c r="B69" s="8" t="s">
        <v>441</v>
      </c>
      <c r="C69">
        <v>2273</v>
      </c>
      <c r="D69" s="77" t="s">
        <v>644</v>
      </c>
      <c r="E69" s="77">
        <v>-378.87</v>
      </c>
    </row>
    <row r="70" spans="1:5">
      <c r="A70" s="88">
        <v>45371</v>
      </c>
      <c r="B70" s="8" t="s">
        <v>442</v>
      </c>
      <c r="D70" s="77" t="s">
        <v>645</v>
      </c>
      <c r="E70" s="77">
        <v>101.77</v>
      </c>
    </row>
    <row r="71" spans="1:5">
      <c r="A71" s="88">
        <v>45373</v>
      </c>
      <c r="B71" s="8" t="s">
        <v>334</v>
      </c>
      <c r="C71">
        <v>10176.39</v>
      </c>
      <c r="D71" s="77" t="s">
        <v>646</v>
      </c>
      <c r="E71" s="77">
        <v>-1130.71</v>
      </c>
    </row>
    <row r="72" spans="1:5">
      <c r="A72" s="88">
        <v>45375</v>
      </c>
      <c r="B72" s="8" t="s">
        <v>336</v>
      </c>
      <c r="C72">
        <v>5999</v>
      </c>
      <c r="D72" s="77" t="s">
        <v>646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647</v>
      </c>
      <c r="E74" s="77">
        <v>-343</v>
      </c>
    </row>
    <row r="75" spans="1:5">
      <c r="A75" s="100">
        <v>45348</v>
      </c>
      <c r="B75" s="106" t="s">
        <v>648</v>
      </c>
      <c r="C75" s="106"/>
      <c r="E75" s="77">
        <v>-150</v>
      </c>
    </row>
    <row r="76" spans="1:5">
      <c r="A76" s="100">
        <v>45351</v>
      </c>
      <c r="B76" s="106" t="s">
        <v>134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179</v>
      </c>
      <c r="C77" s="106"/>
      <c r="E77" s="77">
        <v>-500</v>
      </c>
    </row>
    <row r="78" spans="1:5">
      <c r="A78" s="100">
        <v>45353</v>
      </c>
      <c r="B78" s="107" t="s">
        <v>649</v>
      </c>
      <c r="C78" s="106"/>
      <c r="E78" s="77">
        <v>-600</v>
      </c>
    </row>
    <row r="79" spans="1:5">
      <c r="A79" s="100">
        <v>45354</v>
      </c>
      <c r="B79" s="107" t="s">
        <v>650</v>
      </c>
      <c r="C79" s="106"/>
      <c r="E79" s="77">
        <v>-330</v>
      </c>
    </row>
    <row r="80" spans="1:5">
      <c r="A80" s="100">
        <v>45355</v>
      </c>
      <c r="B80" s="107" t="s">
        <v>651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524</v>
      </c>
      <c r="C81" s="106"/>
      <c r="E81" s="77">
        <v>-50</v>
      </c>
    </row>
    <row r="82" spans="1:5">
      <c r="A82" s="100">
        <v>45356</v>
      </c>
      <c r="B82" s="107" t="s">
        <v>651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652</v>
      </c>
      <c r="C83" s="106"/>
      <c r="E83" s="77">
        <v>-160</v>
      </c>
    </row>
    <row r="84" spans="1:5">
      <c r="A84" s="100">
        <v>45357</v>
      </c>
      <c r="B84" s="107" t="s">
        <v>129</v>
      </c>
      <c r="C84" s="106">
        <v>6341.66</v>
      </c>
    </row>
    <row r="85" spans="1:5">
      <c r="A85" s="100">
        <v>45361</v>
      </c>
      <c r="B85" s="107" t="s">
        <v>409</v>
      </c>
      <c r="E85" s="77">
        <v>-294.14</v>
      </c>
    </row>
    <row r="86" spans="1:5">
      <c r="A86" s="100">
        <v>45358</v>
      </c>
      <c r="B86" s="107" t="s">
        <v>651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653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654</v>
      </c>
      <c r="C90" s="106"/>
      <c r="E90" s="77">
        <v>500</v>
      </c>
    </row>
    <row r="91" spans="1:5" ht="15">
      <c r="A91" s="100">
        <v>45374</v>
      </c>
      <c r="B91" s="107" t="s">
        <v>654</v>
      </c>
      <c r="D91" s="105" t="s">
        <v>84</v>
      </c>
    </row>
    <row r="92" spans="1:5" ht="15">
      <c r="A92" s="100"/>
      <c r="B92" s="35" t="s">
        <v>418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655</v>
      </c>
      <c r="D99" s="77" t="s">
        <v>656</v>
      </c>
      <c r="E99" s="77">
        <v>-600</v>
      </c>
    </row>
    <row r="100" spans="1:6">
      <c r="A100" s="165">
        <v>45285</v>
      </c>
      <c r="B100" s="106" t="s">
        <v>520</v>
      </c>
      <c r="C100" s="106"/>
      <c r="D100" s="77" t="s">
        <v>657</v>
      </c>
      <c r="E100" s="77">
        <v>-3551.66</v>
      </c>
      <c r="F100" s="77">
        <v>0</v>
      </c>
    </row>
    <row r="101" spans="1:6">
      <c r="A101" s="100"/>
      <c r="B101" s="3" t="s">
        <v>658</v>
      </c>
      <c r="C101" s="106"/>
      <c r="D101" s="77" t="s">
        <v>659</v>
      </c>
      <c r="E101" s="77">
        <v>-649.78</v>
      </c>
      <c r="F101" s="77">
        <v>0</v>
      </c>
    </row>
    <row r="102" spans="1:6">
      <c r="A102" s="100"/>
      <c r="B102" s="3" t="s">
        <v>478</v>
      </c>
      <c r="C102" s="106">
        <v>49.98</v>
      </c>
      <c r="D102" s="77" t="s">
        <v>659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660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661</v>
      </c>
      <c r="B111" s="104" t="s">
        <v>136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378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300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301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497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302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236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498</v>
      </c>
      <c r="C119" s="2" t="s">
        <v>662</v>
      </c>
      <c r="D119" s="2"/>
      <c r="E119" s="17">
        <v>110122</v>
      </c>
    </row>
    <row r="120" spans="1:5">
      <c r="A120" s="160">
        <f t="shared" si="1"/>
        <v>45383</v>
      </c>
      <c r="B120" s="8" t="s">
        <v>140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502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595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504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596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152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153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155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156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663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664</v>
      </c>
      <c r="C4" s="101" t="s">
        <v>352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665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424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394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666</v>
      </c>
      <c r="C10" s="8" t="s">
        <v>667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666</v>
      </c>
      <c r="C11" s="8" t="s">
        <v>667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668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668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669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323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323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670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671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325</v>
      </c>
      <c r="G32" s="63"/>
      <c r="H32" s="63"/>
    </row>
    <row r="33" spans="1:8">
      <c r="A33" s="103"/>
      <c r="B33" s="103" t="s">
        <v>326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328</v>
      </c>
      <c r="D36" s="102">
        <v>967.68</v>
      </c>
      <c r="E36" s="78">
        <v>970</v>
      </c>
      <c r="H36" s="63"/>
    </row>
    <row r="37" spans="1:8">
      <c r="B37" t="s">
        <v>672</v>
      </c>
      <c r="C37" t="s">
        <v>428</v>
      </c>
      <c r="D37" s="102">
        <v>1224.42</v>
      </c>
      <c r="E37" s="78">
        <v>1225</v>
      </c>
      <c r="F37" s="63"/>
      <c r="G37" s="63"/>
    </row>
    <row r="38" spans="1:8">
      <c r="B38" t="s">
        <v>330</v>
      </c>
      <c r="D38" s="102">
        <v>237.14</v>
      </c>
      <c r="E38" s="78">
        <v>237.14</v>
      </c>
      <c r="F38" s="63"/>
      <c r="G38" s="63"/>
    </row>
    <row r="39" spans="1:8">
      <c r="B39" t="s">
        <v>673</v>
      </c>
      <c r="D39" s="102">
        <v>2248.8000000000002</v>
      </c>
      <c r="E39" s="78">
        <v>2248</v>
      </c>
      <c r="F39" s="63"/>
      <c r="G39" s="63"/>
    </row>
    <row r="40" spans="1:8">
      <c r="B40" t="s">
        <v>332</v>
      </c>
      <c r="D40" s="102">
        <v>439.85</v>
      </c>
      <c r="E40" s="78">
        <v>440</v>
      </c>
      <c r="F40" s="63"/>
      <c r="G40" s="63"/>
    </row>
    <row r="41" spans="1:8">
      <c r="B41" t="s">
        <v>333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560</v>
      </c>
      <c r="C47" s="106">
        <v>7648.33</v>
      </c>
      <c r="D47" s="102" t="s">
        <v>674</v>
      </c>
      <c r="E47" s="77">
        <v>-849.81</v>
      </c>
      <c r="G47" s="63"/>
      <c r="H47" s="63"/>
    </row>
    <row r="48" spans="1:8">
      <c r="A48" s="100">
        <v>45187</v>
      </c>
      <c r="B48" s="106" t="s">
        <v>675</v>
      </c>
      <c r="C48" s="106">
        <v>11128</v>
      </c>
      <c r="D48" s="102" t="s">
        <v>439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409</v>
      </c>
      <c r="E49" s="77">
        <v>-453.4</v>
      </c>
      <c r="G49" s="63"/>
      <c r="H49" s="63"/>
    </row>
    <row r="50" spans="1:8">
      <c r="A50" s="88">
        <v>45326</v>
      </c>
      <c r="B50" s="8" t="s">
        <v>676</v>
      </c>
      <c r="E50" s="77">
        <v>-300</v>
      </c>
      <c r="G50" s="63"/>
      <c r="H50" s="63"/>
    </row>
    <row r="51" spans="1:8">
      <c r="A51" s="88">
        <v>45327</v>
      </c>
      <c r="B51" s="8" t="s">
        <v>129</v>
      </c>
      <c r="C51">
        <v>3900.57</v>
      </c>
      <c r="G51" s="63"/>
      <c r="H51" s="63"/>
    </row>
    <row r="52" spans="1:8">
      <c r="A52" s="88">
        <v>45330</v>
      </c>
      <c r="B52" s="8" t="s">
        <v>677</v>
      </c>
      <c r="E52" s="77">
        <v>-900</v>
      </c>
      <c r="G52" s="63"/>
      <c r="H52" s="63"/>
    </row>
    <row r="53" spans="1:8">
      <c r="A53" s="88">
        <v>45330</v>
      </c>
      <c r="B53" s="8" t="s">
        <v>678</v>
      </c>
      <c r="E53" s="77">
        <v>-116.38</v>
      </c>
      <c r="G53" s="63"/>
      <c r="H53" s="63"/>
    </row>
    <row r="54" spans="1:8">
      <c r="A54" s="100">
        <v>45331</v>
      </c>
      <c r="B54" s="106" t="s">
        <v>651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679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651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680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681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651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651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682</v>
      </c>
      <c r="C67" s="106"/>
      <c r="D67" s="102" t="s">
        <v>683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655</v>
      </c>
      <c r="D68" s="102" t="s">
        <v>684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520</v>
      </c>
      <c r="C69" s="106"/>
      <c r="D69" s="102" t="s">
        <v>685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686</v>
      </c>
      <c r="C70" s="176">
        <v>-1204.5</v>
      </c>
      <c r="D70" s="102" t="s">
        <v>687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688</v>
      </c>
      <c r="C71" s="176">
        <v>-148.6</v>
      </c>
      <c r="D71" s="102" t="s">
        <v>687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689</v>
      </c>
      <c r="C72" s="176">
        <v>-244.8</v>
      </c>
      <c r="D72" s="102" t="s">
        <v>687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690</v>
      </c>
      <c r="C73" s="176">
        <v>-532.6</v>
      </c>
      <c r="D73" s="102" t="s">
        <v>687</v>
      </c>
      <c r="E73" s="77">
        <v>-177.54</v>
      </c>
      <c r="F73" s="63"/>
      <c r="G73" s="63"/>
      <c r="H73" s="63"/>
    </row>
    <row r="74" spans="1:8">
      <c r="A74" s="165"/>
      <c r="B74" s="106" t="s">
        <v>161</v>
      </c>
      <c r="C74" s="106">
        <v>899</v>
      </c>
      <c r="D74" s="195" t="s">
        <v>691</v>
      </c>
      <c r="E74" s="77">
        <v>-449.5</v>
      </c>
      <c r="F74" s="63"/>
      <c r="G74" s="63"/>
      <c r="H74" s="63"/>
    </row>
    <row r="75" spans="1:8">
      <c r="A75" s="165"/>
      <c r="B75" s="106" t="s">
        <v>692</v>
      </c>
      <c r="C75" s="106"/>
      <c r="D75" s="195" t="s">
        <v>691</v>
      </c>
      <c r="E75" s="77">
        <v>-299.64</v>
      </c>
      <c r="F75" s="63"/>
      <c r="G75" s="63"/>
      <c r="H75" s="63"/>
    </row>
    <row r="76" spans="1:8">
      <c r="A76" s="165"/>
      <c r="B76" s="106" t="s">
        <v>693</v>
      </c>
      <c r="C76" s="106"/>
      <c r="D76" s="195" t="s">
        <v>691</v>
      </c>
      <c r="E76" s="77">
        <v>-546.82000000000005</v>
      </c>
      <c r="F76" s="63"/>
      <c r="G76" s="63"/>
      <c r="H76" s="63"/>
    </row>
    <row r="77" spans="1:8">
      <c r="A77" s="100"/>
      <c r="B77" s="3" t="s">
        <v>476</v>
      </c>
      <c r="C77" s="106"/>
      <c r="D77" s="195" t="s">
        <v>694</v>
      </c>
      <c r="E77" s="77">
        <v>-649.78</v>
      </c>
      <c r="F77" s="63"/>
      <c r="G77" s="63"/>
      <c r="H77" s="63"/>
    </row>
    <row r="78" spans="1:8">
      <c r="A78" s="100"/>
      <c r="B78" s="3" t="s">
        <v>478</v>
      </c>
      <c r="C78" s="106">
        <v>49.98</v>
      </c>
      <c r="D78" s="195" t="s">
        <v>694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695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696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364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697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129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698</v>
      </c>
      <c r="B108" s="104" t="s">
        <v>136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699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300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301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497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302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236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498</v>
      </c>
      <c r="C116" s="2" t="s">
        <v>700</v>
      </c>
      <c r="D116" s="2"/>
      <c r="E116" s="17">
        <v>129254.5</v>
      </c>
    </row>
    <row r="117" spans="1:5">
      <c r="A117" s="160">
        <f t="shared" si="1"/>
        <v>45352</v>
      </c>
      <c r="B117" s="8" t="s">
        <v>701</v>
      </c>
      <c r="C117" s="2" t="s">
        <v>702</v>
      </c>
      <c r="D117" s="2"/>
      <c r="E117" s="17">
        <v>256.56</v>
      </c>
    </row>
    <row r="118" spans="1:5">
      <c r="A118" s="160">
        <f t="shared" si="1"/>
        <v>45352</v>
      </c>
      <c r="B118" s="8" t="s">
        <v>703</v>
      </c>
      <c r="C118" s="160" t="s">
        <v>704</v>
      </c>
      <c r="D118" s="161"/>
      <c r="E118" s="17">
        <v>0</v>
      </c>
    </row>
    <row r="119" spans="1:5">
      <c r="A119" s="160">
        <f t="shared" si="1"/>
        <v>45352</v>
      </c>
      <c r="B119" s="8" t="s">
        <v>705</v>
      </c>
      <c r="C119" s="160" t="s">
        <v>706</v>
      </c>
      <c r="D119" s="161"/>
      <c r="E119" s="17">
        <v>588.6</v>
      </c>
    </row>
    <row r="120" spans="1:5">
      <c r="A120" s="160">
        <f t="shared" si="1"/>
        <v>45352</v>
      </c>
      <c r="B120" s="8" t="s">
        <v>707</v>
      </c>
      <c r="C120" s="160"/>
      <c r="D120" s="161"/>
      <c r="E120" s="17"/>
    </row>
    <row r="121" spans="1:5">
      <c r="A121" s="160">
        <f t="shared" si="1"/>
        <v>45352</v>
      </c>
      <c r="B121" s="8" t="s">
        <v>140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708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709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504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710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152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153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155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156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711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424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394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712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713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714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715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715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716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717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718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719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323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720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671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669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721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325</v>
      </c>
      <c r="G33" s="63"/>
      <c r="H33" s="124"/>
    </row>
    <row r="34" spans="1:8">
      <c r="A34" s="103" t="s">
        <v>326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327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328</v>
      </c>
      <c r="D37" s="2">
        <v>999.4</v>
      </c>
      <c r="E37" s="176">
        <v>999.4</v>
      </c>
      <c r="H37" s="63"/>
    </row>
    <row r="38" spans="1:8">
      <c r="B38" t="s">
        <v>329</v>
      </c>
      <c r="D38" s="2">
        <v>876.64</v>
      </c>
      <c r="E38" s="176">
        <v>875</v>
      </c>
      <c r="F38" s="63"/>
      <c r="G38" s="63"/>
    </row>
    <row r="39" spans="1:8">
      <c r="B39" t="s">
        <v>330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722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332</v>
      </c>
      <c r="D41" s="2">
        <v>483.72</v>
      </c>
      <c r="E41" s="176">
        <v>483</v>
      </c>
      <c r="F41" s="63"/>
      <c r="G41" s="63"/>
    </row>
    <row r="42" spans="1:8">
      <c r="B42" t="s">
        <v>333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723</v>
      </c>
      <c r="C50" s="106">
        <v>10764.57</v>
      </c>
      <c r="D50" s="35" t="s">
        <v>724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560</v>
      </c>
      <c r="C51" s="106">
        <v>7648.33</v>
      </c>
      <c r="D51" s="204" t="s">
        <v>725</v>
      </c>
      <c r="E51" s="124">
        <v>-849.81</v>
      </c>
      <c r="G51" s="63"/>
      <c r="H51" s="63"/>
    </row>
    <row r="52" spans="1:8">
      <c r="A52" s="100">
        <v>45187</v>
      </c>
      <c r="B52" s="106" t="s">
        <v>675</v>
      </c>
      <c r="C52" s="106">
        <v>11128</v>
      </c>
      <c r="D52" s="204" t="s">
        <v>470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682</v>
      </c>
      <c r="C66" s="106"/>
      <c r="D66" s="8" t="s">
        <v>726</v>
      </c>
      <c r="E66" s="124">
        <v>-3974.44</v>
      </c>
      <c r="G66" s="63"/>
      <c r="H66" s="63"/>
    </row>
    <row r="67" spans="1:8">
      <c r="A67" s="165">
        <v>45214</v>
      </c>
      <c r="B67" s="8" t="s">
        <v>655</v>
      </c>
      <c r="D67" s="8" t="s">
        <v>727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520</v>
      </c>
      <c r="C68" s="106"/>
      <c r="D68" s="8" t="s">
        <v>728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686</v>
      </c>
      <c r="C69" s="176">
        <v>-1204.5</v>
      </c>
      <c r="D69" s="8" t="s">
        <v>729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688</v>
      </c>
      <c r="C70" s="176">
        <v>-148.6</v>
      </c>
      <c r="D70" s="8" t="s">
        <v>729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689</v>
      </c>
      <c r="C71" s="176">
        <v>-244.8</v>
      </c>
      <c r="D71" s="8" t="s">
        <v>729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690</v>
      </c>
      <c r="C72" s="176">
        <v>-532.6</v>
      </c>
      <c r="D72" s="8" t="s">
        <v>729</v>
      </c>
      <c r="E72" s="124">
        <v>-177.53</v>
      </c>
      <c r="F72" s="63"/>
      <c r="G72" s="63"/>
      <c r="H72" s="63"/>
    </row>
    <row r="73" spans="1:8">
      <c r="A73" s="165"/>
      <c r="B73" s="106" t="s">
        <v>161</v>
      </c>
      <c r="C73" s="106">
        <v>899</v>
      </c>
      <c r="D73" s="8" t="s">
        <v>730</v>
      </c>
      <c r="E73" s="124">
        <v>-449.5</v>
      </c>
      <c r="F73" s="63"/>
      <c r="G73" s="63"/>
      <c r="H73" s="63"/>
    </row>
    <row r="74" spans="1:8">
      <c r="A74" s="165"/>
      <c r="B74" s="106" t="s">
        <v>692</v>
      </c>
      <c r="C74" s="106"/>
      <c r="D74" s="8" t="s">
        <v>730</v>
      </c>
      <c r="E74" s="124">
        <v>-299.64</v>
      </c>
      <c r="F74" s="63"/>
      <c r="G74" s="63"/>
      <c r="H74" s="63"/>
    </row>
    <row r="75" spans="1:8">
      <c r="A75" s="165"/>
      <c r="B75" s="106" t="s">
        <v>693</v>
      </c>
      <c r="C75" s="106"/>
      <c r="D75" s="8" t="s">
        <v>730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540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528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540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731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732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732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129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733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734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735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735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731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736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737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409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738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409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483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739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740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741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742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743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744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745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745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746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747</v>
      </c>
      <c r="B111" s="104" t="s">
        <v>136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748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300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301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497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302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236</v>
      </c>
      <c r="C118" s="2" t="s">
        <v>749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498</v>
      </c>
      <c r="C119" s="2" t="s">
        <v>700</v>
      </c>
      <c r="D119" s="2"/>
      <c r="E119" s="17">
        <v>129254.5</v>
      </c>
    </row>
    <row r="120" spans="1:6">
      <c r="A120" s="160">
        <f t="shared" si="1"/>
        <v>45352</v>
      </c>
      <c r="B120" s="8" t="s">
        <v>701</v>
      </c>
      <c r="C120" s="2" t="s">
        <v>702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703</v>
      </c>
      <c r="C121" s="160" t="s">
        <v>750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705</v>
      </c>
      <c r="C122" s="160" t="s">
        <v>706</v>
      </c>
      <c r="D122" s="161"/>
      <c r="E122" s="17">
        <v>588.6</v>
      </c>
    </row>
    <row r="123" spans="1:6">
      <c r="A123" s="160">
        <f t="shared" si="1"/>
        <v>45352</v>
      </c>
      <c r="B123" s="8" t="s">
        <v>707</v>
      </c>
      <c r="C123" s="160"/>
      <c r="D123" s="161"/>
      <c r="E123" s="17"/>
    </row>
    <row r="124" spans="1:6">
      <c r="A124" s="160">
        <f t="shared" si="1"/>
        <v>45352</v>
      </c>
      <c r="B124" s="8" t="s">
        <v>140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708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709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504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710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152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153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155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156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751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424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394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752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323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323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323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753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753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754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755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671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756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757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758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721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759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760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760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761</v>
      </c>
      <c r="F36" s="176">
        <v>24000</v>
      </c>
      <c r="H36" s="124">
        <f t="shared" si="0"/>
        <v>137234.37</v>
      </c>
    </row>
    <row r="37" spans="1:8">
      <c r="A37" s="165"/>
      <c r="B37" s="8" t="s">
        <v>762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762</v>
      </c>
      <c r="G38" s="124">
        <v>-1000</v>
      </c>
      <c r="H38" s="124">
        <f t="shared" si="0"/>
        <v>132234.37</v>
      </c>
    </row>
    <row r="39" spans="1:8">
      <c r="A39" s="165"/>
      <c r="B39" s="8" t="s">
        <v>763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764</v>
      </c>
      <c r="H41" s="124">
        <f t="shared" si="0"/>
        <v>128534.37</v>
      </c>
    </row>
    <row r="42" spans="1:8">
      <c r="B42" t="s">
        <v>765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325</v>
      </c>
    </row>
    <row r="47" spans="1:8">
      <c r="A47" s="103" t="s">
        <v>326</v>
      </c>
      <c r="B47" s="103"/>
    </row>
    <row r="48" spans="1:8">
      <c r="A48" s="100"/>
    </row>
    <row r="49" spans="1:5">
      <c r="A49" s="172">
        <v>44929</v>
      </c>
      <c r="B49" s="173" t="s">
        <v>327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328</v>
      </c>
      <c r="C50" s="124" t="s">
        <v>766</v>
      </c>
      <c r="D50" s="124">
        <v>1329.72</v>
      </c>
      <c r="E50" s="124">
        <v>1330</v>
      </c>
    </row>
    <row r="51" spans="1:5">
      <c r="B51" t="s">
        <v>767</v>
      </c>
      <c r="D51" s="124">
        <v>1282.42</v>
      </c>
      <c r="E51" s="124">
        <v>1250</v>
      </c>
    </row>
    <row r="52" spans="1:5">
      <c r="B52" t="s">
        <v>330</v>
      </c>
      <c r="D52" s="124">
        <v>298.67</v>
      </c>
      <c r="E52" s="124">
        <v>298.5</v>
      </c>
    </row>
    <row r="53" spans="1:5">
      <c r="B53" t="s">
        <v>768</v>
      </c>
      <c r="D53" s="124">
        <v>1204.3800000000001</v>
      </c>
      <c r="E53" s="124">
        <v>1205</v>
      </c>
    </row>
    <row r="54" spans="1:5">
      <c r="B54" t="s">
        <v>332</v>
      </c>
      <c r="D54" s="124">
        <v>487.82</v>
      </c>
      <c r="E54" s="124">
        <v>490</v>
      </c>
    </row>
    <row r="55" spans="1:5">
      <c r="B55" t="s">
        <v>333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723</v>
      </c>
      <c r="C63" s="124">
        <v>10764.57</v>
      </c>
      <c r="D63" s="124" t="s">
        <v>769</v>
      </c>
      <c r="E63" s="124">
        <v>-1196.06</v>
      </c>
    </row>
    <row r="64" spans="1:5">
      <c r="A64" s="100">
        <v>45187</v>
      </c>
      <c r="B64" s="106" t="s">
        <v>560</v>
      </c>
      <c r="C64" s="124">
        <v>7648.33</v>
      </c>
      <c r="D64" s="124" t="s">
        <v>770</v>
      </c>
      <c r="E64" s="124">
        <v>-849.81</v>
      </c>
    </row>
    <row r="65" spans="1:5">
      <c r="A65" s="100">
        <v>45187</v>
      </c>
      <c r="B65" s="106" t="s">
        <v>675</v>
      </c>
      <c r="C65" s="124">
        <v>11128</v>
      </c>
      <c r="D65" s="124" t="s">
        <v>513</v>
      </c>
      <c r="E65" s="124">
        <v>-1854.67</v>
      </c>
    </row>
    <row r="66" spans="1:5">
      <c r="A66" s="160">
        <v>44995</v>
      </c>
      <c r="B66" s="8" t="s">
        <v>771</v>
      </c>
      <c r="C66" s="124">
        <v>613.91</v>
      </c>
      <c r="D66" s="124" t="s">
        <v>772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682</v>
      </c>
      <c r="D79" s="124" t="s">
        <v>773</v>
      </c>
      <c r="E79" s="124">
        <v>-3974.44</v>
      </c>
    </row>
    <row r="80" spans="1:5">
      <c r="A80" s="165">
        <v>45214</v>
      </c>
      <c r="B80" s="8" t="s">
        <v>655</v>
      </c>
      <c r="D80" s="124" t="s">
        <v>657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686</v>
      </c>
      <c r="C82" s="124">
        <v>-1204.5</v>
      </c>
      <c r="D82" s="124" t="s">
        <v>774</v>
      </c>
      <c r="E82" s="124">
        <v>-401.5</v>
      </c>
    </row>
    <row r="83" spans="1:5">
      <c r="A83" s="165">
        <v>45259</v>
      </c>
      <c r="B83" s="8" t="s">
        <v>688</v>
      </c>
      <c r="C83" s="124">
        <v>-148.6</v>
      </c>
      <c r="D83" s="124" t="s">
        <v>774</v>
      </c>
      <c r="E83" s="124">
        <v>-49.53</v>
      </c>
    </row>
    <row r="84" spans="1:5">
      <c r="A84" s="165">
        <v>45259</v>
      </c>
      <c r="B84" s="8" t="s">
        <v>689</v>
      </c>
      <c r="C84" s="124">
        <v>-244.8</v>
      </c>
      <c r="D84" s="124" t="s">
        <v>774</v>
      </c>
      <c r="E84" s="124">
        <v>-81.599999999999994</v>
      </c>
    </row>
    <row r="85" spans="1:5">
      <c r="A85" s="165">
        <v>45259</v>
      </c>
      <c r="B85" s="8" t="s">
        <v>690</v>
      </c>
      <c r="C85" s="124">
        <v>-532.6</v>
      </c>
      <c r="D85" s="124" t="s">
        <v>774</v>
      </c>
      <c r="E85" s="124">
        <v>-177.53</v>
      </c>
    </row>
    <row r="86" spans="1:5">
      <c r="A86" s="165">
        <v>45285</v>
      </c>
      <c r="B86" s="106" t="s">
        <v>520</v>
      </c>
    </row>
    <row r="87" spans="1:5">
      <c r="A87" s="100"/>
      <c r="B87" s="3" t="s">
        <v>533</v>
      </c>
      <c r="C87" s="124">
        <v>109.92</v>
      </c>
    </row>
    <row r="88" spans="1:5">
      <c r="A88" s="100">
        <v>45283</v>
      </c>
      <c r="B88" s="3" t="s">
        <v>540</v>
      </c>
      <c r="E88" s="124">
        <v>-90</v>
      </c>
    </row>
    <row r="89" spans="1:5">
      <c r="A89" s="100">
        <v>45283</v>
      </c>
      <c r="B89" s="3" t="s">
        <v>134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134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540</v>
      </c>
      <c r="E91" s="124">
        <v>-110</v>
      </c>
    </row>
    <row r="92" spans="1:5">
      <c r="A92" s="100">
        <v>45281</v>
      </c>
      <c r="B92" s="3" t="s">
        <v>134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134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775</v>
      </c>
      <c r="E94" s="124">
        <v>-260</v>
      </c>
    </row>
    <row r="95" spans="1:5">
      <c r="A95" s="100">
        <v>45278</v>
      </c>
      <c r="B95" s="3" t="s">
        <v>134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776</v>
      </c>
      <c r="E96" s="124">
        <v>-300</v>
      </c>
    </row>
    <row r="97" spans="1:5">
      <c r="A97" s="100">
        <v>45276</v>
      </c>
      <c r="B97" s="3" t="s">
        <v>134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777</v>
      </c>
      <c r="E98" s="124">
        <v>-470</v>
      </c>
    </row>
    <row r="99" spans="1:5">
      <c r="A99" s="100">
        <v>45275</v>
      </c>
      <c r="B99" s="3" t="s">
        <v>778</v>
      </c>
      <c r="E99" s="124">
        <v>-285</v>
      </c>
    </row>
    <row r="100" spans="1:5">
      <c r="A100" s="100">
        <v>45274</v>
      </c>
      <c r="B100" s="3" t="s">
        <v>134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779</v>
      </c>
      <c r="E101" s="124">
        <v>-1108.1500000000001</v>
      </c>
    </row>
    <row r="102" spans="1:5">
      <c r="A102" s="100">
        <v>45271</v>
      </c>
      <c r="B102" s="3" t="s">
        <v>134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132</v>
      </c>
      <c r="E103" s="124">
        <v>-1551.29</v>
      </c>
    </row>
    <row r="104" spans="1:5">
      <c r="A104" s="100">
        <v>45270</v>
      </c>
      <c r="B104" s="3" t="s">
        <v>780</v>
      </c>
      <c r="E104" s="124">
        <v>-315.10000000000002</v>
      </c>
    </row>
    <row r="105" spans="1:5">
      <c r="A105" s="100">
        <v>45267</v>
      </c>
      <c r="B105" s="3" t="s">
        <v>540</v>
      </c>
      <c r="E105" s="124">
        <v>-300</v>
      </c>
    </row>
    <row r="106" spans="1:5">
      <c r="A106" s="100">
        <v>45266</v>
      </c>
      <c r="B106" s="3" t="s">
        <v>134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134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129</v>
      </c>
      <c r="D108" s="124">
        <v>11990.16</v>
      </c>
    </row>
    <row r="109" spans="1:5">
      <c r="A109" s="100">
        <v>45260</v>
      </c>
      <c r="B109" s="3" t="s">
        <v>134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134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134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134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418</v>
      </c>
      <c r="C114" s="124">
        <f>SUM(C89:C113)</f>
        <v>-2400.41</v>
      </c>
    </row>
    <row r="118" spans="1:5">
      <c r="A118" s="113" t="s">
        <v>781</v>
      </c>
      <c r="B118" s="104" t="s">
        <v>136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782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300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301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497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302</v>
      </c>
      <c r="D124" s="2"/>
      <c r="E124" s="17">
        <v>0</v>
      </c>
    </row>
    <row r="125" spans="1:5">
      <c r="A125" s="160">
        <v>45327</v>
      </c>
      <c r="B125" s="8" t="s">
        <v>236</v>
      </c>
      <c r="C125" s="2" t="s">
        <v>783</v>
      </c>
      <c r="D125" s="2"/>
      <c r="E125" s="17">
        <v>132120.79</v>
      </c>
    </row>
    <row r="126" spans="1:5">
      <c r="A126" s="160">
        <f>A125</f>
        <v>45327</v>
      </c>
      <c r="B126" s="8" t="s">
        <v>784</v>
      </c>
      <c r="C126" s="2"/>
      <c r="D126" s="2"/>
      <c r="E126" s="17">
        <v>0</v>
      </c>
    </row>
    <row r="127" spans="1:5">
      <c r="A127" s="160">
        <v>45327</v>
      </c>
      <c r="B127" s="8" t="s">
        <v>785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786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140</v>
      </c>
      <c r="C129" s="2"/>
      <c r="D129" s="2"/>
      <c r="E129" s="17">
        <v>500</v>
      </c>
    </row>
    <row r="130" spans="1:5">
      <c r="A130" s="160">
        <v>45327</v>
      </c>
      <c r="B130" s="8" t="s">
        <v>787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788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504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789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152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153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156</v>
      </c>
      <c r="E136" s="127">
        <f>H2</f>
        <v>128534.37000000002</v>
      </c>
    </row>
    <row r="137" spans="1:5">
      <c r="D137" s="3"/>
    </row>
    <row r="138" spans="1:5">
      <c r="D138" s="18" t="s">
        <v>155</v>
      </c>
      <c r="E138" s="9">
        <f>SUM(E119:E135)</f>
        <v>813151.51</v>
      </c>
    </row>
    <row r="140" spans="1:5">
      <c r="B140" t="s">
        <v>790</v>
      </c>
    </row>
    <row r="141" spans="1:5">
      <c r="A141" s="88">
        <v>45317</v>
      </c>
      <c r="B141" s="8" t="s">
        <v>791</v>
      </c>
      <c r="C141" s="124">
        <v>12500</v>
      </c>
      <c r="D141" s="124" t="s">
        <v>792</v>
      </c>
      <c r="E141" s="124">
        <v>10000</v>
      </c>
    </row>
    <row r="142" spans="1:5">
      <c r="B142" t="s">
        <v>791</v>
      </c>
      <c r="C142" s="124">
        <v>13400</v>
      </c>
      <c r="D142" s="124" t="s">
        <v>140</v>
      </c>
      <c r="E142" s="124">
        <v>25000</v>
      </c>
    </row>
    <row r="143" spans="1:5">
      <c r="B143" t="s">
        <v>791</v>
      </c>
      <c r="C143" s="124">
        <v>13700</v>
      </c>
      <c r="D143" s="124" t="s">
        <v>793</v>
      </c>
      <c r="E143" s="124">
        <v>10400</v>
      </c>
    </row>
    <row r="144" spans="1:5">
      <c r="B144" t="s">
        <v>791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794</v>
      </c>
      <c r="C146" s="124">
        <v>14400</v>
      </c>
    </row>
    <row r="147" spans="2:4">
      <c r="B147" t="s">
        <v>795</v>
      </c>
      <c r="C147" s="124">
        <v>2800</v>
      </c>
      <c r="D147" s="124">
        <f>SUM(C146:C147)</f>
        <v>17200</v>
      </c>
    </row>
    <row r="148" spans="2:4">
      <c r="B148" t="s">
        <v>796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797</v>
      </c>
      <c r="L2" s="212" t="s">
        <v>798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799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800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801</v>
      </c>
    </row>
    <row r="20" spans="2:13" ht="15">
      <c r="C20" s="67"/>
      <c r="D20" s="68" t="s">
        <v>802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803</v>
      </c>
    </row>
    <row r="26" spans="2:13">
      <c r="B26" s="103"/>
      <c r="C26" s="104" t="s">
        <v>804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300</v>
      </c>
      <c r="F29">
        <v>40162.18</v>
      </c>
    </row>
    <row r="30" spans="2:13">
      <c r="B30" s="100">
        <v>45291</v>
      </c>
      <c r="C30" s="8" t="s">
        <v>301</v>
      </c>
      <c r="F30">
        <v>44912.09</v>
      </c>
    </row>
    <row r="31" spans="2:13">
      <c r="B31" s="100">
        <v>45291</v>
      </c>
      <c r="C31" s="8" t="s">
        <v>805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806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807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808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809</v>
      </c>
      <c r="G1" s="4" t="s">
        <v>3</v>
      </c>
    </row>
    <row r="2" spans="2:7">
      <c r="F2" s="7" t="s">
        <v>129</v>
      </c>
    </row>
    <row r="3" spans="2:7">
      <c r="B3" s="1">
        <v>44873</v>
      </c>
      <c r="C3" s="8" t="s">
        <v>810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811</v>
      </c>
      <c r="F5" s="17"/>
      <c r="G5" s="2">
        <f t="shared" si="0"/>
        <v>-1000</v>
      </c>
    </row>
    <row r="6" spans="2:7">
      <c r="B6" s="1">
        <v>44873</v>
      </c>
      <c r="C6" s="8" t="s">
        <v>812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813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814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815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816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816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817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818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819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820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667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821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822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667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823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824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825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826</v>
      </c>
      <c r="E25" s="2">
        <v>2258</v>
      </c>
      <c r="F25" s="17"/>
      <c r="G25" s="2">
        <f t="shared" si="0"/>
        <v>1535.9999999999993</v>
      </c>
    </row>
    <row r="26" spans="2:7">
      <c r="C26" s="8" t="s">
        <v>827</v>
      </c>
      <c r="E26" s="2">
        <v>613</v>
      </c>
      <c r="F26" s="4"/>
      <c r="G26" s="2">
        <f t="shared" si="0"/>
        <v>2148.9999999999991</v>
      </c>
    </row>
    <row r="27" spans="2:7">
      <c r="C27" s="8" t="s">
        <v>828</v>
      </c>
      <c r="E27" s="2">
        <v>720</v>
      </c>
      <c r="F27" s="4"/>
      <c r="G27" s="2">
        <f t="shared" si="0"/>
        <v>2868.9999999999991</v>
      </c>
    </row>
    <row r="28" spans="2:7">
      <c r="C28" s="8" t="s">
        <v>829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830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831</v>
      </c>
      <c r="E30" s="2">
        <v>2650</v>
      </c>
      <c r="F30" s="4"/>
      <c r="G30" s="2">
        <f t="shared" si="0"/>
        <v>3982.9999999999991</v>
      </c>
    </row>
    <row r="31" spans="2:7">
      <c r="C31" s="8" t="s">
        <v>832</v>
      </c>
      <c r="E31" s="2">
        <v>1356</v>
      </c>
      <c r="F31" s="4"/>
      <c r="G31" s="2">
        <f t="shared" si="0"/>
        <v>5338.9999999999991</v>
      </c>
    </row>
    <row r="32" spans="2:7">
      <c r="C32" s="8" t="s">
        <v>832</v>
      </c>
      <c r="E32" s="2">
        <v>869</v>
      </c>
      <c r="F32" s="4"/>
      <c r="G32" s="2">
        <f t="shared" si="0"/>
        <v>6207.9999999999991</v>
      </c>
    </row>
    <row r="33" spans="2:7">
      <c r="C33" s="8" t="s">
        <v>833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834</v>
      </c>
      <c r="F34" s="4">
        <v>3450</v>
      </c>
      <c r="G34" s="2">
        <f t="shared" si="0"/>
        <v>2757.9999999999991</v>
      </c>
    </row>
    <row r="35" spans="2:7">
      <c r="C35" s="8" t="s">
        <v>835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836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837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838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839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840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841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842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843</v>
      </c>
      <c r="E46" s="2">
        <v>573</v>
      </c>
      <c r="G46" s="2">
        <f t="shared" si="1"/>
        <v>4931</v>
      </c>
    </row>
    <row r="47" spans="2:7">
      <c r="C47" s="8" t="s">
        <v>844</v>
      </c>
      <c r="D47">
        <v>1500</v>
      </c>
      <c r="G47" s="2">
        <f t="shared" si="1"/>
        <v>4931</v>
      </c>
    </row>
    <row r="48" spans="2:7">
      <c r="C48" s="8" t="s">
        <v>845</v>
      </c>
      <c r="E48" s="2">
        <v>1207</v>
      </c>
      <c r="G48" s="2">
        <f t="shared" si="1"/>
        <v>6138</v>
      </c>
    </row>
    <row r="49" spans="2:7">
      <c r="C49" s="8" t="s">
        <v>846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847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848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849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850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851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852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132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853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854</v>
      </c>
      <c r="E61" s="241" t="s">
        <v>855</v>
      </c>
      <c r="F61" s="241" t="s">
        <v>856</v>
      </c>
      <c r="G61" s="242" t="s">
        <v>856</v>
      </c>
    </row>
    <row r="62" spans="2:7">
      <c r="D62" s="240" t="s">
        <v>857</v>
      </c>
      <c r="E62" s="241" t="s">
        <v>858</v>
      </c>
      <c r="F62" s="241" t="s">
        <v>269</v>
      </c>
      <c r="G62" s="243" t="s">
        <v>859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860</v>
      </c>
    </row>
    <row r="3" spans="2:9">
      <c r="D3" s="246" t="s">
        <v>861</v>
      </c>
      <c r="E3" s="124" t="s">
        <v>862</v>
      </c>
      <c r="F3" s="246" t="s">
        <v>863</v>
      </c>
      <c r="G3" s="247"/>
      <c r="I3" s="246" t="s">
        <v>864</v>
      </c>
    </row>
    <row r="4" spans="2:9">
      <c r="D4" s="246" t="s">
        <v>865</v>
      </c>
      <c r="E4" s="124" t="s">
        <v>223</v>
      </c>
      <c r="F4" s="246" t="s">
        <v>865</v>
      </c>
      <c r="G4" s="247"/>
      <c r="I4" s="246" t="s">
        <v>223</v>
      </c>
    </row>
    <row r="5" spans="2:9" ht="14.25">
      <c r="E5" s="248">
        <v>119305.95</v>
      </c>
      <c r="F5" s="248"/>
      <c r="G5" s="249"/>
      <c r="H5" s="250" t="s">
        <v>866</v>
      </c>
      <c r="I5" s="251">
        <f>NZN_23!I8*-1</f>
        <v>119305.95484700002</v>
      </c>
    </row>
    <row r="6" spans="2:9" ht="14.25">
      <c r="H6" s="252" t="s">
        <v>867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868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869</v>
      </c>
      <c r="I8" s="256">
        <f t="shared" ref="I8:I19" si="0">I7-F8</f>
        <v>149272.95484700002</v>
      </c>
    </row>
    <row r="9" spans="2:9">
      <c r="B9" s="160">
        <v>45324</v>
      </c>
      <c r="C9" s="8" t="s">
        <v>868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869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869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869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869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869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869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870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870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870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870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871</v>
      </c>
      <c r="E21" s="258">
        <v>0.2351</v>
      </c>
      <c r="F21" s="258">
        <f>1-E21</f>
        <v>0.76490000000000002</v>
      </c>
    </row>
    <row r="22" spans="2:11">
      <c r="B22" s="259" t="s">
        <v>872</v>
      </c>
      <c r="C22" s="259" t="s">
        <v>873</v>
      </c>
      <c r="D22" s="260" t="s">
        <v>874</v>
      </c>
      <c r="E22" s="261" t="s">
        <v>875</v>
      </c>
      <c r="F22" s="260" t="s">
        <v>876</v>
      </c>
      <c r="G22" s="262" t="s">
        <v>877</v>
      </c>
      <c r="H22" s="260" t="s">
        <v>878</v>
      </c>
      <c r="I22" s="260" t="s">
        <v>879</v>
      </c>
    </row>
    <row r="23" spans="2:11">
      <c r="B23" s="263"/>
      <c r="C23" s="264" t="s">
        <v>880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881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882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883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884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885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885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765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886</v>
      </c>
      <c r="E40" s="176" t="s">
        <v>887</v>
      </c>
      <c r="F40" s="176" t="s">
        <v>888</v>
      </c>
      <c r="H40" s="281"/>
      <c r="I40" s="281"/>
      <c r="J40" s="282"/>
    </row>
    <row r="41" spans="2:11" ht="15.75">
      <c r="C41" t="s">
        <v>889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890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891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892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893</v>
      </c>
      <c r="E47" s="246" t="s">
        <v>894</v>
      </c>
      <c r="F47" s="246" t="s">
        <v>895</v>
      </c>
      <c r="K47" s="63"/>
    </row>
    <row r="48" spans="2:11">
      <c r="E48" s="252"/>
      <c r="K48" s="63"/>
    </row>
    <row r="49" spans="3:6">
      <c r="C49" s="63" t="s">
        <v>799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860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871</v>
      </c>
      <c r="E5" s="288">
        <v>0.2351</v>
      </c>
      <c r="F5" s="288">
        <f>1-E5</f>
        <v>0.76490000000000002</v>
      </c>
      <c r="I5" s="63"/>
    </row>
    <row r="6" spans="2:11">
      <c r="B6" s="8" t="s">
        <v>872</v>
      </c>
      <c r="C6" s="8" t="s">
        <v>873</v>
      </c>
      <c r="D6" s="35" t="s">
        <v>874</v>
      </c>
      <c r="E6" s="195" t="s">
        <v>875</v>
      </c>
      <c r="F6" s="35" t="s">
        <v>876</v>
      </c>
      <c r="G6" s="289" t="s">
        <v>877</v>
      </c>
      <c r="H6" s="35" t="s">
        <v>878</v>
      </c>
      <c r="I6" s="290" t="s">
        <v>879</v>
      </c>
    </row>
    <row r="7" spans="2:11">
      <c r="K7" s="267"/>
    </row>
    <row r="8" spans="2:11" ht="15.75">
      <c r="B8" s="268">
        <v>45290</v>
      </c>
      <c r="C8" s="8" t="s">
        <v>881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896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897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898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899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900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900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900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883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901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902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903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883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883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904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905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906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907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880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908</v>
      </c>
      <c r="D28" s="63"/>
      <c r="E28" s="63">
        <f>E8</f>
        <v>-5843.55</v>
      </c>
      <c r="F28" s="63"/>
      <c r="H28" s="63"/>
      <c r="I28" s="63"/>
    </row>
    <row r="29" spans="2:10">
      <c r="C29" t="s">
        <v>909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886</v>
      </c>
      <c r="E31" s="63" t="s">
        <v>887</v>
      </c>
      <c r="F31" s="63" t="s">
        <v>888</v>
      </c>
      <c r="H31" s="303"/>
      <c r="I31" s="303"/>
      <c r="J31" s="282"/>
    </row>
    <row r="32" spans="2:10" ht="15.75">
      <c r="C32" t="s">
        <v>889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890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891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892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893</v>
      </c>
      <c r="E38" s="18" t="s">
        <v>894</v>
      </c>
      <c r="F38" s="18" t="s">
        <v>895</v>
      </c>
      <c r="H38" s="63"/>
      <c r="I38" s="63"/>
      <c r="K38" s="63"/>
    </row>
    <row r="39" spans="3:11">
      <c r="C39" t="s">
        <v>910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799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911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424</v>
      </c>
      <c r="C4" s="8" t="s">
        <v>432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912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913</v>
      </c>
      <c r="C8" s="101"/>
      <c r="D8" s="101"/>
      <c r="E8" s="163"/>
      <c r="H8" s="63">
        <f t="shared" si="0"/>
        <v>-1097</v>
      </c>
    </row>
    <row r="9" spans="1:8">
      <c r="B9" s="101" t="s">
        <v>914</v>
      </c>
      <c r="C9" s="101"/>
      <c r="D9" s="101"/>
      <c r="E9" s="163"/>
      <c r="H9" s="63">
        <f t="shared" si="0"/>
        <v>-1097</v>
      </c>
    </row>
    <row r="10" spans="1:8">
      <c r="B10" s="101" t="s">
        <v>118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915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915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916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917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918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756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758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919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327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920</v>
      </c>
      <c r="C47" t="s">
        <v>153</v>
      </c>
      <c r="D47">
        <v>947.93</v>
      </c>
      <c r="E47" s="63">
        <v>950</v>
      </c>
      <c r="F47" s="63"/>
      <c r="G47" s="63"/>
    </row>
    <row r="48" spans="1:8">
      <c r="B48" t="s">
        <v>329</v>
      </c>
      <c r="C48" t="s">
        <v>921</v>
      </c>
      <c r="D48">
        <v>1830.06</v>
      </c>
      <c r="E48" s="63">
        <v>1830</v>
      </c>
      <c r="F48" s="63"/>
      <c r="G48" s="63"/>
    </row>
    <row r="49" spans="1:8">
      <c r="B49" t="s">
        <v>330</v>
      </c>
      <c r="C49" t="s">
        <v>921</v>
      </c>
      <c r="D49">
        <v>209.55</v>
      </c>
      <c r="E49">
        <v>210</v>
      </c>
      <c r="F49" s="63"/>
      <c r="G49" s="63"/>
    </row>
    <row r="50" spans="1:8">
      <c r="B50" t="s">
        <v>331</v>
      </c>
      <c r="C50" t="s">
        <v>922</v>
      </c>
      <c r="D50">
        <v>1732.62</v>
      </c>
      <c r="E50">
        <v>1732</v>
      </c>
      <c r="F50" s="63"/>
      <c r="G50" s="63"/>
    </row>
    <row r="51" spans="1:8">
      <c r="B51" t="s">
        <v>332</v>
      </c>
      <c r="C51" t="s">
        <v>921</v>
      </c>
      <c r="D51">
        <v>499.34</v>
      </c>
      <c r="E51">
        <v>500</v>
      </c>
      <c r="F51" s="63"/>
      <c r="G51" s="63"/>
    </row>
    <row r="52" spans="1:8">
      <c r="B52" t="s">
        <v>333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771</v>
      </c>
      <c r="C60">
        <v>613.91</v>
      </c>
      <c r="D60" s="35" t="s">
        <v>923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723</v>
      </c>
      <c r="C62" s="106">
        <v>10764.57</v>
      </c>
      <c r="D62" s="35" t="s">
        <v>395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924</v>
      </c>
      <c r="D63" s="204" t="s">
        <v>439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560</v>
      </c>
      <c r="C64" s="106">
        <v>7648.33</v>
      </c>
      <c r="D64" s="204" t="s">
        <v>925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675</v>
      </c>
      <c r="C65" s="106">
        <v>11128</v>
      </c>
      <c r="D65" s="204" t="s">
        <v>926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682</v>
      </c>
      <c r="C82" s="106"/>
      <c r="D82" s="8" t="s">
        <v>927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655</v>
      </c>
      <c r="D83" s="8" t="s">
        <v>928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929</v>
      </c>
      <c r="E85" s="163">
        <v>-1046.0999999999999</v>
      </c>
    </row>
    <row r="86" spans="1:8">
      <c r="A86" s="165">
        <v>45226</v>
      </c>
      <c r="B86" s="8" t="s">
        <v>929</v>
      </c>
      <c r="E86" s="163">
        <v>-1046.0999999999999</v>
      </c>
    </row>
    <row r="87" spans="1:8">
      <c r="A87" s="165">
        <v>45224</v>
      </c>
      <c r="B87" s="8" t="s">
        <v>651</v>
      </c>
      <c r="D87">
        <v>160</v>
      </c>
      <c r="E87" s="163">
        <v>-160</v>
      </c>
    </row>
    <row r="88" spans="1:8">
      <c r="A88" s="165">
        <v>45225</v>
      </c>
      <c r="B88" s="8" t="s">
        <v>651</v>
      </c>
      <c r="D88">
        <v>200</v>
      </c>
      <c r="E88" s="163">
        <v>-200</v>
      </c>
    </row>
    <row r="89" spans="1:8">
      <c r="A89" s="165">
        <v>45225</v>
      </c>
      <c r="B89" s="8" t="s">
        <v>342</v>
      </c>
      <c r="E89" s="163">
        <v>-200</v>
      </c>
    </row>
    <row r="90" spans="1:8">
      <c r="A90" s="165">
        <v>45226</v>
      </c>
      <c r="B90" s="8" t="s">
        <v>651</v>
      </c>
      <c r="D90" s="35">
        <v>150</v>
      </c>
      <c r="E90" s="163">
        <v>-150</v>
      </c>
    </row>
    <row r="91" spans="1:8">
      <c r="A91" s="165">
        <v>45227</v>
      </c>
      <c r="B91" s="8" t="s">
        <v>651</v>
      </c>
      <c r="D91" s="35">
        <v>100</v>
      </c>
      <c r="E91" s="163">
        <v>-100</v>
      </c>
    </row>
    <row r="92" spans="1:8">
      <c r="A92" s="165">
        <v>45227</v>
      </c>
      <c r="B92" s="8" t="s">
        <v>134</v>
      </c>
      <c r="D92">
        <v>70</v>
      </c>
      <c r="E92" s="163">
        <v>-70</v>
      </c>
    </row>
    <row r="93" spans="1:8">
      <c r="A93" s="165">
        <v>45229</v>
      </c>
      <c r="B93" s="8" t="s">
        <v>651</v>
      </c>
      <c r="D93">
        <v>200</v>
      </c>
      <c r="E93" s="163">
        <v>-200</v>
      </c>
    </row>
    <row r="94" spans="1:8">
      <c r="A94" s="165">
        <v>45229</v>
      </c>
      <c r="B94" s="8" t="s">
        <v>930</v>
      </c>
      <c r="D94">
        <v>95.49</v>
      </c>
      <c r="E94" s="163">
        <v>-95.49</v>
      </c>
    </row>
    <row r="95" spans="1:8">
      <c r="A95" s="165">
        <v>45232</v>
      </c>
      <c r="B95" s="8" t="s">
        <v>651</v>
      </c>
      <c r="D95">
        <v>250</v>
      </c>
      <c r="E95" s="163">
        <v>-250</v>
      </c>
    </row>
    <row r="96" spans="1:8">
      <c r="A96" s="165">
        <v>45233</v>
      </c>
      <c r="B96" s="8" t="s">
        <v>651</v>
      </c>
      <c r="D96">
        <v>180</v>
      </c>
      <c r="E96" s="163">
        <v>-160</v>
      </c>
    </row>
    <row r="97" spans="1:5">
      <c r="A97" s="165">
        <v>45234</v>
      </c>
      <c r="B97" s="8" t="s">
        <v>651</v>
      </c>
      <c r="D97">
        <v>320</v>
      </c>
      <c r="E97" s="163">
        <v>-320</v>
      </c>
    </row>
    <row r="98" spans="1:5">
      <c r="A98" s="165">
        <v>45237</v>
      </c>
      <c r="B98" s="8" t="s">
        <v>651</v>
      </c>
      <c r="D98">
        <v>200</v>
      </c>
      <c r="E98" s="163">
        <v>-200</v>
      </c>
    </row>
    <row r="99" spans="1:5">
      <c r="A99" s="165">
        <v>45237</v>
      </c>
      <c r="B99" s="8" t="s">
        <v>179</v>
      </c>
      <c r="E99" s="163">
        <v>-500</v>
      </c>
    </row>
    <row r="100" spans="1:5">
      <c r="A100" s="165">
        <v>45237</v>
      </c>
      <c r="B100" s="8" t="s">
        <v>931</v>
      </c>
      <c r="E100" s="163">
        <v>-180</v>
      </c>
    </row>
    <row r="101" spans="1:5">
      <c r="A101" s="165">
        <v>45238</v>
      </c>
      <c r="B101" s="8" t="s">
        <v>651</v>
      </c>
      <c r="D101">
        <v>160</v>
      </c>
      <c r="E101" s="163">
        <v>-160</v>
      </c>
    </row>
    <row r="102" spans="1:5">
      <c r="A102" s="165">
        <v>45239</v>
      </c>
      <c r="B102" s="8" t="s">
        <v>651</v>
      </c>
      <c r="D102">
        <v>250</v>
      </c>
      <c r="E102" s="163">
        <v>-250</v>
      </c>
    </row>
    <row r="103" spans="1:5">
      <c r="A103" s="165">
        <v>45240</v>
      </c>
      <c r="B103" s="8" t="s">
        <v>651</v>
      </c>
      <c r="D103">
        <v>160</v>
      </c>
      <c r="E103" s="163">
        <v>-160</v>
      </c>
    </row>
    <row r="104" spans="1:5">
      <c r="A104" s="165">
        <v>45241</v>
      </c>
      <c r="B104" s="8" t="s">
        <v>651</v>
      </c>
      <c r="D104">
        <v>250</v>
      </c>
      <c r="E104" s="163">
        <v>-250</v>
      </c>
    </row>
    <row r="105" spans="1:5">
      <c r="A105" s="165">
        <v>45244</v>
      </c>
      <c r="B105" s="8" t="s">
        <v>128</v>
      </c>
      <c r="E105" s="163">
        <v>-1144.1099999999999</v>
      </c>
    </row>
    <row r="106" spans="1:5">
      <c r="A106" s="165">
        <v>45245</v>
      </c>
      <c r="B106" s="8" t="s">
        <v>932</v>
      </c>
      <c r="E106" s="163">
        <v>-373.92</v>
      </c>
    </row>
    <row r="107" spans="1:5">
      <c r="A107" s="165">
        <v>45253</v>
      </c>
      <c r="B107" s="8" t="s">
        <v>651</v>
      </c>
      <c r="D107">
        <v>200</v>
      </c>
      <c r="E107" s="163">
        <v>-200</v>
      </c>
    </row>
    <row r="108" spans="1:5">
      <c r="E108" s="163"/>
    </row>
    <row r="109" spans="1:5">
      <c r="B109" t="s">
        <v>933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299</v>
      </c>
      <c r="B111" s="104" t="s">
        <v>136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300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301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302</v>
      </c>
      <c r="D116" s="2"/>
      <c r="E116" s="17">
        <v>6267.13</v>
      </c>
    </row>
    <row r="117" spans="1:5">
      <c r="A117" s="160">
        <f t="shared" si="2"/>
        <v>45290</v>
      </c>
      <c r="B117" s="8" t="s">
        <v>236</v>
      </c>
      <c r="C117" s="2" t="s">
        <v>303</v>
      </c>
      <c r="D117" s="2"/>
      <c r="E117" s="17">
        <v>21088.49</v>
      </c>
    </row>
    <row r="118" spans="1:5">
      <c r="A118" s="160">
        <f t="shared" si="2"/>
        <v>45290</v>
      </c>
      <c r="B118" s="8" t="s">
        <v>304</v>
      </c>
      <c r="C118" s="2" t="s">
        <v>305</v>
      </c>
      <c r="D118" s="2"/>
      <c r="E118" s="17">
        <v>5587.73</v>
      </c>
    </row>
    <row r="119" spans="1:5">
      <c r="A119" s="160">
        <f t="shared" si="2"/>
        <v>45290</v>
      </c>
      <c r="B119" s="8" t="s">
        <v>306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307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308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309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140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310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311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312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152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153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156</v>
      </c>
      <c r="E129" s="163">
        <f>H33</f>
        <v>-25773.700000000004</v>
      </c>
    </row>
    <row r="130" spans="3:5">
      <c r="D130" s="3"/>
    </row>
    <row r="131" spans="3:5">
      <c r="D131" s="18" t="s">
        <v>155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934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424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935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936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936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937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938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939</v>
      </c>
      <c r="C22" s="8" t="s">
        <v>940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941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942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943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944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945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946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686</v>
      </c>
      <c r="C30" s="8" t="s">
        <v>432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688</v>
      </c>
      <c r="C31" s="8" t="s">
        <v>432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689</v>
      </c>
      <c r="C32" s="8" t="s">
        <v>432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947</v>
      </c>
      <c r="C33" s="8" t="s">
        <v>432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325</v>
      </c>
      <c r="E37" s="63"/>
      <c r="G37" s="63"/>
      <c r="H37" s="63"/>
    </row>
    <row r="38" spans="1:8">
      <c r="A38" s="103" t="s">
        <v>326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327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920</v>
      </c>
      <c r="D44">
        <v>628.12</v>
      </c>
      <c r="E44" s="63">
        <v>630</v>
      </c>
      <c r="F44" s="63"/>
      <c r="G44" s="63"/>
    </row>
    <row r="45" spans="1:8">
      <c r="B45" t="s">
        <v>329</v>
      </c>
      <c r="D45">
        <v>1539.74</v>
      </c>
      <c r="E45" s="63">
        <v>1540</v>
      </c>
      <c r="F45" s="63"/>
      <c r="G45" s="63"/>
    </row>
    <row r="46" spans="1:8">
      <c r="B46" t="s">
        <v>330</v>
      </c>
      <c r="D46">
        <v>165.4</v>
      </c>
      <c r="E46">
        <v>165</v>
      </c>
      <c r="F46" s="63"/>
      <c r="G46" s="63"/>
    </row>
    <row r="47" spans="1:8">
      <c r="B47" t="s">
        <v>331</v>
      </c>
      <c r="D47">
        <v>1142.79</v>
      </c>
      <c r="E47">
        <v>1142</v>
      </c>
      <c r="F47" s="63"/>
      <c r="G47" s="63"/>
    </row>
    <row r="48" spans="1:8">
      <c r="B48" t="s">
        <v>332</v>
      </c>
      <c r="D48" s="3">
        <v>379.26</v>
      </c>
      <c r="E48">
        <v>379.26</v>
      </c>
      <c r="F48" s="63"/>
      <c r="G48" s="63"/>
    </row>
    <row r="49" spans="1:8">
      <c r="B49" t="s">
        <v>333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771</v>
      </c>
      <c r="C57">
        <v>613.91</v>
      </c>
      <c r="D57" s="35" t="s">
        <v>948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950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723</v>
      </c>
      <c r="C59" s="106">
        <v>10764.57</v>
      </c>
      <c r="D59" s="35" t="s">
        <v>674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950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924</v>
      </c>
      <c r="D61" s="204" t="s">
        <v>470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560</v>
      </c>
      <c r="C62" s="106">
        <v>7648.33</v>
      </c>
      <c r="D62" s="204" t="s">
        <v>607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675</v>
      </c>
      <c r="C63" s="106">
        <v>11128</v>
      </c>
      <c r="D63" s="204" t="s">
        <v>605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129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952</v>
      </c>
      <c r="C72">
        <v>1140.99</v>
      </c>
      <c r="D72" s="8" t="s">
        <v>656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953</v>
      </c>
      <c r="D73" s="35" t="s">
        <v>954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682</v>
      </c>
      <c r="C74" s="106"/>
      <c r="D74" s="8" t="s">
        <v>928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364</v>
      </c>
      <c r="C75" s="106"/>
      <c r="D75" s="106"/>
      <c r="E75" s="163">
        <v>-59483.25</v>
      </c>
    </row>
    <row r="76" spans="1:8">
      <c r="A76" s="165">
        <v>45214</v>
      </c>
      <c r="B76" s="8" t="s">
        <v>655</v>
      </c>
      <c r="D76" s="8" t="s">
        <v>955</v>
      </c>
      <c r="E76" s="163">
        <v>-600</v>
      </c>
      <c r="F76" s="63"/>
    </row>
    <row r="77" spans="1:8">
      <c r="A77" s="165">
        <v>45198</v>
      </c>
      <c r="B77" s="8" t="s">
        <v>651</v>
      </c>
      <c r="E77" s="163">
        <v>-160</v>
      </c>
    </row>
    <row r="78" spans="1:8">
      <c r="A78" s="165">
        <v>45201</v>
      </c>
      <c r="B78" s="8" t="s">
        <v>956</v>
      </c>
      <c r="E78" s="163">
        <v>-1180</v>
      </c>
    </row>
    <row r="79" spans="1:8">
      <c r="A79" s="165">
        <v>45204</v>
      </c>
      <c r="B79" s="8" t="s">
        <v>957</v>
      </c>
      <c r="E79" s="163">
        <v>-713.25</v>
      </c>
    </row>
    <row r="80" spans="1:8">
      <c r="A80" s="165">
        <v>45204</v>
      </c>
      <c r="B80" s="8" t="s">
        <v>957</v>
      </c>
      <c r="E80" s="163">
        <v>-713.25</v>
      </c>
    </row>
    <row r="81" spans="1:5">
      <c r="A81" s="165">
        <v>45194</v>
      </c>
      <c r="B81" s="8" t="s">
        <v>651</v>
      </c>
      <c r="D81" s="35"/>
      <c r="E81" s="163">
        <v>-200</v>
      </c>
    </row>
    <row r="82" spans="1:5">
      <c r="A82" s="165">
        <v>45225</v>
      </c>
      <c r="B82" s="8" t="s">
        <v>651</v>
      </c>
      <c r="D82" s="35"/>
      <c r="E82" s="163">
        <v>-160</v>
      </c>
    </row>
    <row r="83" spans="1:5">
      <c r="A83" s="165">
        <v>45226</v>
      </c>
      <c r="B83" s="8" t="s">
        <v>651</v>
      </c>
      <c r="E83" s="163">
        <v>-200</v>
      </c>
    </row>
    <row r="84" spans="1:5">
      <c r="A84" s="165">
        <v>45227</v>
      </c>
      <c r="B84" s="8" t="s">
        <v>651</v>
      </c>
      <c r="E84" s="163">
        <v>-200</v>
      </c>
    </row>
    <row r="85" spans="1:5">
      <c r="A85" s="165">
        <v>45227</v>
      </c>
      <c r="B85" s="8" t="s">
        <v>540</v>
      </c>
      <c r="E85" s="163">
        <v>-245</v>
      </c>
    </row>
    <row r="86" spans="1:5">
      <c r="A86" s="165">
        <v>45228</v>
      </c>
      <c r="B86" s="8" t="s">
        <v>651</v>
      </c>
      <c r="E86" s="163">
        <v>-160</v>
      </c>
    </row>
    <row r="87" spans="1:5">
      <c r="A87" s="165">
        <v>45228</v>
      </c>
      <c r="B87" s="8" t="s">
        <v>958</v>
      </c>
      <c r="E87" s="163">
        <v>-33.65</v>
      </c>
    </row>
    <row r="88" spans="1:5">
      <c r="A88" s="165">
        <v>45201</v>
      </c>
      <c r="B88" s="8" t="s">
        <v>651</v>
      </c>
      <c r="E88" s="163">
        <v>-160</v>
      </c>
    </row>
    <row r="89" spans="1:5">
      <c r="A89" s="165">
        <v>45201</v>
      </c>
      <c r="B89" s="8" t="s">
        <v>129</v>
      </c>
      <c r="C89">
        <v>-16000.55</v>
      </c>
      <c r="E89" s="163"/>
    </row>
    <row r="90" spans="1:5">
      <c r="A90" s="165">
        <v>45202</v>
      </c>
      <c r="B90" s="8" t="s">
        <v>651</v>
      </c>
      <c r="E90" s="163">
        <v>-250</v>
      </c>
    </row>
    <row r="91" spans="1:5">
      <c r="A91" s="165">
        <v>45204</v>
      </c>
      <c r="B91" s="8" t="s">
        <v>651</v>
      </c>
      <c r="E91" s="163">
        <v>-300</v>
      </c>
    </row>
    <row r="92" spans="1:5">
      <c r="A92" s="165">
        <v>45205</v>
      </c>
      <c r="B92" s="8" t="s">
        <v>651</v>
      </c>
      <c r="E92" s="163">
        <v>-250</v>
      </c>
    </row>
    <row r="93" spans="1:5">
      <c r="A93" s="165">
        <v>45206</v>
      </c>
      <c r="B93" s="8" t="s">
        <v>651</v>
      </c>
      <c r="E93" s="163">
        <v>-250</v>
      </c>
    </row>
    <row r="94" spans="1:5">
      <c r="A94" s="165">
        <v>45206</v>
      </c>
      <c r="B94" s="8" t="s">
        <v>959</v>
      </c>
      <c r="E94" s="163">
        <v>-107.32</v>
      </c>
    </row>
    <row r="95" spans="1:5">
      <c r="A95" s="165">
        <v>45210</v>
      </c>
      <c r="B95" s="8" t="s">
        <v>651</v>
      </c>
      <c r="E95" s="163">
        <v>-200</v>
      </c>
    </row>
    <row r="96" spans="1:5">
      <c r="A96" s="165">
        <v>45215</v>
      </c>
      <c r="B96" s="8" t="s">
        <v>651</v>
      </c>
      <c r="E96" s="163">
        <v>-160</v>
      </c>
    </row>
    <row r="97" spans="1:5">
      <c r="A97" s="165">
        <v>45216</v>
      </c>
      <c r="B97" s="8" t="s">
        <v>651</v>
      </c>
      <c r="E97" s="163">
        <v>-160</v>
      </c>
    </row>
    <row r="98" spans="1:5">
      <c r="A98" s="165">
        <v>45217</v>
      </c>
      <c r="B98" s="8" t="s">
        <v>651</v>
      </c>
      <c r="E98" s="163">
        <v>-160</v>
      </c>
    </row>
    <row r="99" spans="1:5">
      <c r="A99" s="165">
        <v>45218</v>
      </c>
      <c r="B99" s="8" t="s">
        <v>651</v>
      </c>
      <c r="E99" s="163">
        <v>-200</v>
      </c>
    </row>
    <row r="100" spans="1:5">
      <c r="A100" s="165">
        <v>45219</v>
      </c>
      <c r="B100" s="8" t="s">
        <v>651</v>
      </c>
      <c r="E100" s="163">
        <v>-165</v>
      </c>
    </row>
    <row r="101" spans="1:5">
      <c r="A101" s="165">
        <v>45219</v>
      </c>
      <c r="B101" s="8" t="s">
        <v>958</v>
      </c>
      <c r="E101" s="163">
        <v>-93.36</v>
      </c>
    </row>
    <row r="102" spans="1:5">
      <c r="A102" s="165">
        <v>45220</v>
      </c>
      <c r="B102" s="8" t="s">
        <v>651</v>
      </c>
      <c r="E102" s="163">
        <v>-165</v>
      </c>
    </row>
    <row r="103" spans="1:5">
      <c r="A103" s="165">
        <v>45220</v>
      </c>
      <c r="B103" s="8" t="s">
        <v>960</v>
      </c>
      <c r="E103" s="163">
        <v>-80</v>
      </c>
    </row>
    <row r="104" spans="1:5">
      <c r="A104" s="165">
        <v>45221</v>
      </c>
      <c r="B104" s="8" t="s">
        <v>961</v>
      </c>
      <c r="E104" s="163">
        <v>-500</v>
      </c>
    </row>
    <row r="105" spans="1:5" ht="15">
      <c r="D105" s="105" t="s">
        <v>84</v>
      </c>
    </row>
    <row r="107" spans="1:5">
      <c r="B107" t="s">
        <v>962</v>
      </c>
      <c r="E107" s="163">
        <v>3707.01</v>
      </c>
    </row>
    <row r="108" spans="1:5">
      <c r="B108" t="s">
        <v>963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964</v>
      </c>
      <c r="B111" s="104" t="s">
        <v>136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965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300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301</v>
      </c>
      <c r="C115" s="2"/>
      <c r="D115" s="2"/>
      <c r="E115" s="17">
        <v>64.31</v>
      </c>
    </row>
    <row r="116" spans="1:5">
      <c r="A116" s="160">
        <v>45260</v>
      </c>
      <c r="B116" s="8" t="s">
        <v>302</v>
      </c>
      <c r="C116" s="2"/>
      <c r="D116" s="2"/>
      <c r="E116" s="17">
        <v>3242.78</v>
      </c>
    </row>
    <row r="117" spans="1:5">
      <c r="A117" s="160">
        <v>45260</v>
      </c>
      <c r="B117" s="8" t="s">
        <v>140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310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966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967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152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153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156</v>
      </c>
      <c r="E123" s="163">
        <f>H33</f>
        <v>-64817.05</v>
      </c>
    </row>
    <row r="124" spans="1:5">
      <c r="D124" s="3"/>
    </row>
    <row r="125" spans="1:5">
      <c r="D125" s="18" t="s">
        <v>155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968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969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970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971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972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973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974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323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323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323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975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976</v>
      </c>
      <c r="C24" s="8" t="s">
        <v>940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977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978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945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979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980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325</v>
      </c>
      <c r="E33" s="63"/>
      <c r="G33" s="63"/>
      <c r="H33" s="63"/>
    </row>
    <row r="34" spans="1:8">
      <c r="A34" s="103" t="s">
        <v>326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327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920</v>
      </c>
      <c r="D40">
        <v>578.66</v>
      </c>
      <c r="E40" s="63">
        <v>578</v>
      </c>
      <c r="F40" s="63"/>
      <c r="G40" s="63"/>
    </row>
    <row r="41" spans="1:8">
      <c r="B41" t="s">
        <v>329</v>
      </c>
      <c r="D41">
        <v>1237.75</v>
      </c>
      <c r="E41" s="63">
        <v>1237</v>
      </c>
      <c r="F41" s="63"/>
      <c r="G41" s="63"/>
    </row>
    <row r="42" spans="1:8">
      <c r="B42" t="s">
        <v>330</v>
      </c>
      <c r="D42">
        <v>155.32</v>
      </c>
      <c r="E42">
        <v>155</v>
      </c>
      <c r="F42" s="63"/>
      <c r="G42" s="63"/>
    </row>
    <row r="43" spans="1:8">
      <c r="B43" t="s">
        <v>331</v>
      </c>
      <c r="D43">
        <v>1102.24</v>
      </c>
      <c r="E43">
        <v>1102</v>
      </c>
      <c r="F43" s="63"/>
      <c r="G43" s="63"/>
    </row>
    <row r="44" spans="1:8">
      <c r="B44" t="s">
        <v>332</v>
      </c>
      <c r="D44">
        <v>317.68</v>
      </c>
      <c r="E44">
        <v>317</v>
      </c>
      <c r="F44" s="63"/>
      <c r="G44" s="63"/>
    </row>
    <row r="45" spans="1:8">
      <c r="B45" t="s">
        <v>333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771</v>
      </c>
      <c r="C52">
        <v>613.91</v>
      </c>
      <c r="D52" s="35" t="s">
        <v>981</v>
      </c>
      <c r="E52" s="163">
        <v>-61.39</v>
      </c>
      <c r="G52" s="63"/>
      <c r="H52" s="63"/>
    </row>
    <row r="53" spans="1:8">
      <c r="A53" s="160">
        <v>45043</v>
      </c>
      <c r="B53" s="106" t="s">
        <v>949</v>
      </c>
      <c r="C53" s="106">
        <v>3299</v>
      </c>
      <c r="D53" s="35" t="s">
        <v>470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723</v>
      </c>
      <c r="C54" s="106">
        <v>10764.57</v>
      </c>
      <c r="D54" s="35" t="s">
        <v>725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951</v>
      </c>
      <c r="C55" s="106">
        <v>3123.29</v>
      </c>
      <c r="D55" s="204" t="s">
        <v>470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924</v>
      </c>
      <c r="D56" s="204" t="s">
        <v>513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483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982</v>
      </c>
      <c r="C58" s="106">
        <v>148.6</v>
      </c>
      <c r="D58" s="204" t="s">
        <v>983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984</v>
      </c>
      <c r="C59" s="106">
        <v>244.8</v>
      </c>
      <c r="D59" s="204" t="s">
        <v>983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985</v>
      </c>
      <c r="C60" s="106">
        <v>1204.5</v>
      </c>
      <c r="D60" s="204" t="s">
        <v>983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986</v>
      </c>
      <c r="C61" s="106">
        <v>532.6</v>
      </c>
      <c r="D61" s="204" t="s">
        <v>983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987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560</v>
      </c>
      <c r="C63" s="106">
        <v>7648.33</v>
      </c>
      <c r="D63" s="204" t="s">
        <v>988</v>
      </c>
      <c r="E63" s="163">
        <v>-849.81</v>
      </c>
      <c r="F63" s="63"/>
    </row>
    <row r="64" spans="1:8">
      <c r="A64" s="160">
        <v>45187</v>
      </c>
      <c r="B64" s="106" t="s">
        <v>989</v>
      </c>
      <c r="C64" s="106">
        <v>11128</v>
      </c>
      <c r="D64" s="204" t="s">
        <v>644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952</v>
      </c>
      <c r="C69">
        <v>1140.99</v>
      </c>
      <c r="D69" s="8" t="s">
        <v>684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953</v>
      </c>
      <c r="D70" s="35" t="s">
        <v>990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991</v>
      </c>
      <c r="C71" s="106"/>
      <c r="D71" s="8" t="s">
        <v>955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992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993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994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995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996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129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409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405</v>
      </c>
      <c r="E88" s="163">
        <v>-529.98</v>
      </c>
    </row>
    <row r="89" spans="1:8">
      <c r="A89" s="160">
        <v>45179</v>
      </c>
      <c r="B89" s="8" t="s">
        <v>405</v>
      </c>
      <c r="E89" s="163">
        <v>-2351.9499999999998</v>
      </c>
    </row>
    <row r="90" spans="1:8">
      <c r="A90" s="160">
        <v>45180</v>
      </c>
      <c r="B90" s="8" t="s">
        <v>997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997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998</v>
      </c>
      <c r="E94" s="163">
        <v>-578</v>
      </c>
    </row>
    <row r="95" spans="1:8">
      <c r="A95" s="160">
        <v>45184</v>
      </c>
      <c r="B95" s="8" t="s">
        <v>999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1000</v>
      </c>
      <c r="E101" s="163">
        <v>-230</v>
      </c>
    </row>
    <row r="102" spans="1:5">
      <c r="A102" s="160">
        <v>45191</v>
      </c>
      <c r="B102" s="8" t="s">
        <v>1001</v>
      </c>
      <c r="E102" s="163">
        <v>-382</v>
      </c>
    </row>
    <row r="103" spans="1:5">
      <c r="A103" s="160">
        <v>45191</v>
      </c>
      <c r="B103" s="8" t="s">
        <v>1002</v>
      </c>
      <c r="E103" s="163">
        <v>-699.6</v>
      </c>
    </row>
    <row r="104" spans="1:5">
      <c r="A104" s="160">
        <v>45192</v>
      </c>
      <c r="B104" s="8" t="s">
        <v>134</v>
      </c>
      <c r="E104" s="163">
        <v>-160</v>
      </c>
    </row>
    <row r="106" spans="1:5" ht="15">
      <c r="D106" s="105" t="s">
        <v>84</v>
      </c>
    </row>
    <row r="111" spans="1:5">
      <c r="A111" s="113" t="s">
        <v>1003</v>
      </c>
      <c r="B111" s="104" t="s">
        <v>136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1004</v>
      </c>
      <c r="C113" s="2"/>
      <c r="D113" s="2"/>
      <c r="E113" s="17">
        <v>73088</v>
      </c>
    </row>
    <row r="114" spans="1:5">
      <c r="A114" s="160">
        <v>45230</v>
      </c>
      <c r="B114" s="8" t="s">
        <v>300</v>
      </c>
      <c r="C114" s="2"/>
      <c r="D114" s="2"/>
      <c r="E114" s="17">
        <v>20950.34</v>
      </c>
    </row>
    <row r="115" spans="1:5">
      <c r="A115" s="160">
        <v>45230</v>
      </c>
      <c r="B115" s="8" t="s">
        <v>301</v>
      </c>
      <c r="C115" s="2"/>
      <c r="D115" s="2"/>
      <c r="E115" s="17">
        <v>73011.39</v>
      </c>
    </row>
    <row r="116" spans="1:5">
      <c r="A116" s="160">
        <v>45230</v>
      </c>
      <c r="B116" s="8" t="s">
        <v>1005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1006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1007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1008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152</v>
      </c>
      <c r="C120" s="2"/>
      <c r="D120" s="2"/>
      <c r="E120" s="17">
        <v>60000</v>
      </c>
    </row>
    <row r="121" spans="1:5">
      <c r="A121" s="160">
        <v>45230</v>
      </c>
      <c r="B121" s="8" t="s">
        <v>153</v>
      </c>
      <c r="C121" s="2"/>
      <c r="D121" s="2"/>
      <c r="E121" s="17">
        <v>3000</v>
      </c>
    </row>
    <row r="122" spans="1:5">
      <c r="C122" s="3" t="s">
        <v>1003</v>
      </c>
      <c r="D122" s="18" t="s">
        <v>156</v>
      </c>
      <c r="E122" s="163">
        <f>H41</f>
        <v>0</v>
      </c>
    </row>
    <row r="123" spans="1:5">
      <c r="D123" s="3"/>
    </row>
    <row r="124" spans="1:5">
      <c r="D124" s="18" t="s">
        <v>155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1009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1010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1011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1011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1012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671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1013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1014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437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1015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1016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1017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1018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1019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1020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1021</v>
      </c>
      <c r="D32" s="102"/>
      <c r="G32" s="63"/>
      <c r="H32" s="63">
        <f t="shared" si="0"/>
        <v>138975.99</v>
      </c>
    </row>
    <row r="33" spans="1:8">
      <c r="A33" s="100"/>
      <c r="B33" s="8" t="s">
        <v>1022</v>
      </c>
      <c r="D33" s="102"/>
      <c r="G33" s="63"/>
      <c r="H33" s="63">
        <f t="shared" si="0"/>
        <v>138975.99</v>
      </c>
    </row>
    <row r="34" spans="1:8">
      <c r="A34" s="100"/>
      <c r="B34" s="8" t="s">
        <v>1023</v>
      </c>
      <c r="D34" s="102"/>
      <c r="G34" s="63"/>
      <c r="H34" s="63">
        <f t="shared" si="0"/>
        <v>138975.99</v>
      </c>
    </row>
    <row r="35" spans="1:8">
      <c r="A35" s="100"/>
      <c r="B35" s="8" t="s">
        <v>721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1024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1025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1026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325</v>
      </c>
      <c r="E44" s="63"/>
      <c r="G44" s="63"/>
      <c r="H44" s="63"/>
    </row>
    <row r="45" spans="1:8">
      <c r="A45" s="103" t="s">
        <v>326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920</v>
      </c>
      <c r="D51">
        <v>673.8</v>
      </c>
      <c r="E51" s="63">
        <v>673.8</v>
      </c>
      <c r="F51" s="63"/>
      <c r="G51" s="63"/>
    </row>
    <row r="52" spans="1:8">
      <c r="B52" t="s">
        <v>329</v>
      </c>
      <c r="D52">
        <v>1165.77</v>
      </c>
      <c r="E52" s="63">
        <v>1165.77</v>
      </c>
      <c r="F52" s="63"/>
      <c r="G52" s="63"/>
    </row>
    <row r="53" spans="1:8">
      <c r="B53" t="s">
        <v>330</v>
      </c>
      <c r="D53">
        <v>106.22</v>
      </c>
      <c r="E53">
        <v>106.22</v>
      </c>
      <c r="F53" s="63"/>
      <c r="G53" s="63"/>
    </row>
    <row r="54" spans="1:8">
      <c r="B54" t="s">
        <v>331</v>
      </c>
      <c r="D54">
        <v>1157.58</v>
      </c>
      <c r="E54">
        <v>1157.58</v>
      </c>
      <c r="F54" s="63"/>
      <c r="G54" s="63"/>
    </row>
    <row r="55" spans="1:8">
      <c r="B55" t="s">
        <v>332</v>
      </c>
      <c r="D55">
        <v>353.65</v>
      </c>
      <c r="E55">
        <v>353.65</v>
      </c>
      <c r="F55" s="63"/>
      <c r="G55" s="63"/>
    </row>
    <row r="56" spans="1:8">
      <c r="B56" t="s">
        <v>333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771</v>
      </c>
      <c r="C64">
        <v>613.91</v>
      </c>
      <c r="D64" s="35" t="s">
        <v>1027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1028</v>
      </c>
      <c r="C65">
        <v>2258.94</v>
      </c>
      <c r="D65" s="35" t="s">
        <v>439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949</v>
      </c>
      <c r="C66" s="106">
        <v>3299</v>
      </c>
      <c r="D66" s="35" t="s">
        <v>513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723</v>
      </c>
      <c r="C67" s="106">
        <v>10764.57</v>
      </c>
      <c r="D67" s="35" t="s">
        <v>770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951</v>
      </c>
      <c r="C68" s="106">
        <v>3123.29</v>
      </c>
      <c r="D68" s="204" t="s">
        <v>513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924</v>
      </c>
      <c r="D69" s="204" t="s">
        <v>926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982</v>
      </c>
      <c r="C70" s="106">
        <v>148.6</v>
      </c>
      <c r="D70" s="204" t="s">
        <v>1029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984</v>
      </c>
      <c r="C71" s="106">
        <v>244.8</v>
      </c>
      <c r="D71" s="204" t="s">
        <v>1029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985</v>
      </c>
      <c r="C72" s="106">
        <v>1204.5</v>
      </c>
      <c r="D72" s="204" t="s">
        <v>1029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986</v>
      </c>
      <c r="C73" s="106">
        <v>532.6</v>
      </c>
      <c r="D73" s="204" t="s">
        <v>1029</v>
      </c>
      <c r="E73" s="163">
        <v>-133.15</v>
      </c>
      <c r="F73" s="63"/>
    </row>
    <row r="74" spans="1:8">
      <c r="A74" s="100">
        <v>45139</v>
      </c>
      <c r="B74" s="106" t="s">
        <v>1030</v>
      </c>
      <c r="E74" s="163">
        <v>-260.02</v>
      </c>
    </row>
    <row r="75" spans="1:8">
      <c r="A75" s="165">
        <v>45139</v>
      </c>
      <c r="B75" s="106" t="s">
        <v>445</v>
      </c>
      <c r="E75" s="163">
        <v>-116.6</v>
      </c>
    </row>
    <row r="76" spans="1:8">
      <c r="A76" s="165">
        <v>45139</v>
      </c>
      <c r="B76" s="106" t="s">
        <v>445</v>
      </c>
      <c r="E76" s="163">
        <v>-23.75</v>
      </c>
    </row>
    <row r="77" spans="1:8">
      <c r="A77" s="165">
        <v>45140</v>
      </c>
      <c r="B77" s="106" t="s">
        <v>1031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1032</v>
      </c>
      <c r="E79" s="163">
        <v>-71</v>
      </c>
    </row>
    <row r="80" spans="1:8">
      <c r="A80" s="165">
        <v>45153</v>
      </c>
      <c r="B80" s="106" t="s">
        <v>1033</v>
      </c>
      <c r="E80" s="163">
        <v>-1806</v>
      </c>
    </row>
    <row r="81" spans="1:8">
      <c r="A81" s="165">
        <v>45158</v>
      </c>
      <c r="B81" s="106" t="s">
        <v>1034</v>
      </c>
      <c r="E81" s="163">
        <v>-160.9</v>
      </c>
    </row>
    <row r="82" spans="1:8">
      <c r="A82" s="165">
        <v>45160</v>
      </c>
      <c r="B82" s="106" t="s">
        <v>1035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952</v>
      </c>
      <c r="C88">
        <v>1140.99</v>
      </c>
      <c r="D88" s="8" t="s">
        <v>727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1036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651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1037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1038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127</v>
      </c>
      <c r="E93" s="163">
        <v>-42.15</v>
      </c>
      <c r="F93" s="63"/>
    </row>
    <row r="94" spans="1:8">
      <c r="A94" s="100">
        <v>45136</v>
      </c>
      <c r="B94" s="8" t="s">
        <v>1039</v>
      </c>
      <c r="E94">
        <v>-400</v>
      </c>
      <c r="F94" s="63"/>
    </row>
    <row r="95" spans="1:8">
      <c r="A95" s="100">
        <v>45136</v>
      </c>
      <c r="B95" s="8" t="s">
        <v>1040</v>
      </c>
      <c r="E95">
        <v>-266</v>
      </c>
      <c r="F95" s="63"/>
    </row>
    <row r="96" spans="1:8">
      <c r="A96" s="100">
        <v>45199</v>
      </c>
      <c r="B96" s="8" t="s">
        <v>1041</v>
      </c>
      <c r="E96">
        <v>-489.97</v>
      </c>
      <c r="F96" s="63"/>
    </row>
    <row r="97" spans="1:6">
      <c r="A97" s="100">
        <v>45139</v>
      </c>
      <c r="B97" s="8" t="s">
        <v>129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953</v>
      </c>
      <c r="D99" s="35" t="s">
        <v>1042</v>
      </c>
      <c r="E99">
        <v>-181.83</v>
      </c>
    </row>
    <row r="100" spans="1:6">
      <c r="A100" s="165">
        <v>45141</v>
      </c>
      <c r="B100" s="8" t="s">
        <v>134</v>
      </c>
      <c r="D100" s="35"/>
      <c r="E100">
        <v>-150</v>
      </c>
    </row>
    <row r="101" spans="1:6">
      <c r="A101" s="165">
        <v>45143</v>
      </c>
      <c r="B101" s="8" t="s">
        <v>134</v>
      </c>
      <c r="E101">
        <v>-150</v>
      </c>
    </row>
    <row r="102" spans="1:6">
      <c r="A102" s="165">
        <v>45143</v>
      </c>
      <c r="B102" s="8" t="s">
        <v>127</v>
      </c>
      <c r="E102">
        <v>-337.19</v>
      </c>
    </row>
    <row r="103" spans="1:6">
      <c r="A103" s="165">
        <v>45161</v>
      </c>
      <c r="B103" s="8" t="s">
        <v>134</v>
      </c>
      <c r="E103">
        <v>-200</v>
      </c>
    </row>
    <row r="104" spans="1:6" ht="15">
      <c r="D104" s="105" t="s">
        <v>84</v>
      </c>
    </row>
    <row r="111" spans="1:6">
      <c r="A111" s="113" t="s">
        <v>1043</v>
      </c>
      <c r="B111" s="104" t="s">
        <v>136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1044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300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301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1005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1007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1008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152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153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156</v>
      </c>
      <c r="E121" s="163">
        <f>H40</f>
        <v>222885.09</v>
      </c>
    </row>
    <row r="122" spans="1:6">
      <c r="D122" s="3"/>
    </row>
    <row r="123" spans="1:6">
      <c r="D123" s="18" t="s">
        <v>155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1045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1046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1047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1047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1048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455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671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1049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1050</v>
      </c>
      <c r="D25" s="102"/>
      <c r="F25" s="63"/>
      <c r="G25" s="63"/>
      <c r="H25" s="63">
        <f t="shared" si="0"/>
        <v>-15085.350000000002</v>
      </c>
    </row>
    <row r="26" spans="1:8">
      <c r="B26" t="s">
        <v>1051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1052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1053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920</v>
      </c>
      <c r="E38" s="63"/>
      <c r="F38" s="63"/>
      <c r="G38" s="63"/>
    </row>
    <row r="39" spans="1:8">
      <c r="B39" t="s">
        <v>329</v>
      </c>
      <c r="E39" s="63"/>
      <c r="F39" s="63"/>
      <c r="G39" s="63"/>
    </row>
    <row r="40" spans="1:8">
      <c r="B40" t="s">
        <v>330</v>
      </c>
      <c r="F40" s="63"/>
      <c r="G40" s="63"/>
    </row>
    <row r="41" spans="1:8">
      <c r="B41" t="s">
        <v>331</v>
      </c>
      <c r="F41" s="63"/>
      <c r="G41" s="63"/>
    </row>
    <row r="42" spans="1:8">
      <c r="B42" t="s">
        <v>332</v>
      </c>
      <c r="F42" s="63"/>
      <c r="G42" s="63"/>
    </row>
    <row r="43" spans="1:8">
      <c r="B43" t="s">
        <v>333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1054</v>
      </c>
      <c r="C50" s="106"/>
      <c r="D50" s="106" t="s">
        <v>724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771</v>
      </c>
      <c r="C51">
        <v>613.91</v>
      </c>
      <c r="D51" s="35" t="s">
        <v>1055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1028</v>
      </c>
      <c r="C52">
        <v>2258.94</v>
      </c>
      <c r="D52" s="35" t="s">
        <v>470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949</v>
      </c>
      <c r="C53" s="106">
        <v>3299</v>
      </c>
      <c r="D53" s="35" t="s">
        <v>926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723</v>
      </c>
      <c r="C54" s="106">
        <v>10764.57</v>
      </c>
      <c r="D54" s="35" t="s">
        <v>925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951</v>
      </c>
      <c r="C55" s="106">
        <v>3123.29</v>
      </c>
      <c r="D55" s="204" t="s">
        <v>926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924</v>
      </c>
      <c r="D56" s="204" t="s">
        <v>605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982</v>
      </c>
      <c r="C57" s="106">
        <v>148.6</v>
      </c>
      <c r="D57" s="204" t="s">
        <v>1056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984</v>
      </c>
      <c r="C58" s="106">
        <v>244.8</v>
      </c>
      <c r="D58" s="204" t="s">
        <v>1056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985</v>
      </c>
      <c r="C59" s="106">
        <v>1204.5</v>
      </c>
      <c r="D59" s="204" t="s">
        <v>1056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986</v>
      </c>
      <c r="C60" s="106">
        <v>532.6</v>
      </c>
      <c r="D60" s="204" t="s">
        <v>1056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1057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952</v>
      </c>
      <c r="C68">
        <v>1140.99</v>
      </c>
      <c r="D68" s="8" t="s">
        <v>1058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1059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1060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1061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1062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129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132</v>
      </c>
      <c r="E75">
        <v>-1356.36</v>
      </c>
    </row>
    <row r="76" spans="1:8">
      <c r="A76" s="100">
        <v>45115</v>
      </c>
      <c r="B76" s="8" t="s">
        <v>132</v>
      </c>
      <c r="E76">
        <v>-1120</v>
      </c>
    </row>
    <row r="77" spans="1:8">
      <c r="B77" t="s">
        <v>1063</v>
      </c>
    </row>
    <row r="78" spans="1:8">
      <c r="A78" s="100">
        <v>45116</v>
      </c>
      <c r="B78" s="8" t="s">
        <v>1064</v>
      </c>
      <c r="E78">
        <v>-437</v>
      </c>
    </row>
    <row r="79" spans="1:8">
      <c r="A79" s="100">
        <v>45116</v>
      </c>
      <c r="B79" s="8" t="s">
        <v>132</v>
      </c>
      <c r="D79" s="35"/>
      <c r="E79">
        <v>-863</v>
      </c>
    </row>
    <row r="80" spans="1:8">
      <c r="A80" s="100">
        <v>45119</v>
      </c>
      <c r="B80" s="8" t="s">
        <v>409</v>
      </c>
      <c r="D80" s="35"/>
      <c r="E80">
        <v>-146.88999999999999</v>
      </c>
    </row>
    <row r="81" spans="1:5">
      <c r="A81" s="100">
        <v>45119</v>
      </c>
      <c r="B81" s="8" t="s">
        <v>651</v>
      </c>
      <c r="E81">
        <v>-150</v>
      </c>
    </row>
    <row r="82" spans="1:5">
      <c r="A82" s="100">
        <v>45120</v>
      </c>
      <c r="B82" s="8" t="s">
        <v>651</v>
      </c>
      <c r="E82">
        <v>-150</v>
      </c>
    </row>
    <row r="83" spans="1:5">
      <c r="A83" s="100">
        <v>45121</v>
      </c>
      <c r="B83" s="8" t="s">
        <v>651</v>
      </c>
      <c r="E83">
        <v>-150</v>
      </c>
    </row>
    <row r="84" spans="1:5">
      <c r="A84" s="100">
        <v>45124</v>
      </c>
      <c r="B84" s="8" t="s">
        <v>651</v>
      </c>
      <c r="E84">
        <v>-150</v>
      </c>
    </row>
    <row r="85" spans="1:5">
      <c r="A85" s="100">
        <v>45125</v>
      </c>
      <c r="B85" s="8" t="s">
        <v>651</v>
      </c>
      <c r="E85">
        <v>-160</v>
      </c>
    </row>
    <row r="86" spans="1:5">
      <c r="A86" s="100">
        <v>45129</v>
      </c>
      <c r="B86" s="8" t="s">
        <v>409</v>
      </c>
      <c r="E86">
        <v>-20.059999999999999</v>
      </c>
    </row>
    <row r="87" spans="1:5">
      <c r="A87" s="100">
        <v>45130</v>
      </c>
      <c r="B87" s="8" t="s">
        <v>1065</v>
      </c>
      <c r="E87">
        <v>-275.54000000000002</v>
      </c>
    </row>
    <row r="88" spans="1:5">
      <c r="A88" s="100">
        <v>45130</v>
      </c>
      <c r="B88" s="8" t="s">
        <v>959</v>
      </c>
      <c r="E88">
        <v>-212.45</v>
      </c>
    </row>
    <row r="89" spans="1:5">
      <c r="A89" s="100">
        <v>45131</v>
      </c>
      <c r="B89" s="8" t="s">
        <v>542</v>
      </c>
      <c r="E89">
        <v>-4.57</v>
      </c>
    </row>
    <row r="90" spans="1:5">
      <c r="A90" s="100">
        <v>45131</v>
      </c>
      <c r="B90" s="8" t="s">
        <v>1066</v>
      </c>
      <c r="E90">
        <v>-4.57</v>
      </c>
    </row>
    <row r="91" spans="1:5">
      <c r="A91" s="100">
        <v>45131</v>
      </c>
      <c r="B91" s="8" t="s">
        <v>544</v>
      </c>
      <c r="E91">
        <v>-30.44</v>
      </c>
    </row>
    <row r="92" spans="1:5">
      <c r="D92" s="3" t="s">
        <v>84</v>
      </c>
    </row>
    <row r="111" spans="1:5">
      <c r="A111" s="113" t="s">
        <v>1067</v>
      </c>
      <c r="B111" s="104" t="s">
        <v>136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1068</v>
      </c>
      <c r="C113" s="2"/>
      <c r="D113" s="2"/>
      <c r="E113" s="17">
        <v>53088</v>
      </c>
    </row>
    <row r="114" spans="1:5">
      <c r="A114" s="100">
        <v>45169</v>
      </c>
      <c r="B114" s="8" t="s">
        <v>300</v>
      </c>
      <c r="C114" s="2"/>
      <c r="D114" s="2"/>
      <c r="E114" s="17">
        <v>28245.88</v>
      </c>
    </row>
    <row r="115" spans="1:5">
      <c r="A115" s="100">
        <v>45169</v>
      </c>
      <c r="B115" s="8" t="s">
        <v>301</v>
      </c>
      <c r="C115" s="2"/>
      <c r="D115" s="2"/>
      <c r="E115" s="17">
        <v>450.49</v>
      </c>
    </row>
    <row r="116" spans="1:5">
      <c r="A116" s="100">
        <v>45169</v>
      </c>
      <c r="B116" s="8" t="s">
        <v>1005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1069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1070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152</v>
      </c>
      <c r="C119" s="2"/>
      <c r="D119" s="2"/>
      <c r="E119" s="17">
        <v>50850</v>
      </c>
    </row>
    <row r="120" spans="1:5">
      <c r="A120" s="100"/>
      <c r="B120" s="8" t="s">
        <v>153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156</v>
      </c>
      <c r="E121" s="63">
        <f>H13</f>
        <v>-21230.350000000002</v>
      </c>
    </row>
    <row r="122" spans="1:5">
      <c r="D122" s="3"/>
    </row>
    <row r="123" spans="1:5">
      <c r="D123" s="18" t="s">
        <v>155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1071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1072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1073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1074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1075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1076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1077</v>
      </c>
      <c r="C14" s="101" t="s">
        <v>386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1077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1078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323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1079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1080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1081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1082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325</v>
      </c>
      <c r="E35" s="63"/>
      <c r="G35" s="63"/>
      <c r="H35" s="63"/>
    </row>
    <row r="36" spans="1:8">
      <c r="A36" s="103" t="s">
        <v>326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327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920</v>
      </c>
      <c r="D42">
        <v>547.27</v>
      </c>
      <c r="E42" s="63"/>
      <c r="F42" s="63"/>
      <c r="G42" s="63"/>
    </row>
    <row r="43" spans="1:8">
      <c r="B43" t="s">
        <v>329</v>
      </c>
      <c r="D43">
        <v>990.96</v>
      </c>
      <c r="E43" s="63">
        <v>990</v>
      </c>
      <c r="F43" s="63"/>
      <c r="G43" s="63"/>
    </row>
    <row r="44" spans="1:8">
      <c r="B44" t="s">
        <v>330</v>
      </c>
      <c r="D44">
        <v>112.16</v>
      </c>
      <c r="F44" s="63"/>
      <c r="G44" s="63"/>
    </row>
    <row r="45" spans="1:8">
      <c r="B45" t="s">
        <v>331</v>
      </c>
      <c r="D45">
        <v>1115.05</v>
      </c>
      <c r="F45" s="63"/>
      <c r="G45" s="63"/>
    </row>
    <row r="46" spans="1:8">
      <c r="B46" t="s">
        <v>332</v>
      </c>
      <c r="D46">
        <v>322.29000000000002</v>
      </c>
      <c r="E46">
        <v>322</v>
      </c>
      <c r="F46" s="63"/>
      <c r="G46" s="63"/>
    </row>
    <row r="47" spans="1:8">
      <c r="B47" t="s">
        <v>333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1054</v>
      </c>
      <c r="C54" s="106"/>
      <c r="D54" s="106" t="s">
        <v>363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771</v>
      </c>
      <c r="C55">
        <v>613.91</v>
      </c>
      <c r="D55" s="35" t="s">
        <v>1083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1028</v>
      </c>
      <c r="C56">
        <v>2258.94</v>
      </c>
      <c r="D56" s="35" t="s">
        <v>513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949</v>
      </c>
      <c r="C57" s="106">
        <v>3299</v>
      </c>
      <c r="D57" s="35" t="s">
        <v>605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723</v>
      </c>
      <c r="C58" s="106">
        <v>10764.57</v>
      </c>
      <c r="D58" s="35" t="s">
        <v>607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951</v>
      </c>
      <c r="C59" s="106">
        <v>3123.29</v>
      </c>
      <c r="D59" s="204" t="s">
        <v>605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982</v>
      </c>
      <c r="C60" s="106">
        <v>148.6</v>
      </c>
      <c r="D60" s="204" t="s">
        <v>1084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984</v>
      </c>
      <c r="C61" s="106">
        <v>244.8</v>
      </c>
      <c r="D61" s="204" t="s">
        <v>1084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985</v>
      </c>
      <c r="C62" s="106">
        <v>1204.5</v>
      </c>
      <c r="D62" s="204" t="s">
        <v>1084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986</v>
      </c>
      <c r="C63" s="106">
        <v>532.6</v>
      </c>
      <c r="D63" s="204" t="s">
        <v>1084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924</v>
      </c>
      <c r="D64" s="204" t="s">
        <v>644</v>
      </c>
      <c r="E64" s="163">
        <v>-666.67</v>
      </c>
      <c r="F64" s="63"/>
    </row>
    <row r="65" spans="1:8">
      <c r="A65" s="100">
        <v>45091</v>
      </c>
      <c r="B65" s="106" t="s">
        <v>1085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952</v>
      </c>
      <c r="C70">
        <v>1140.99</v>
      </c>
      <c r="D70" s="8" t="s">
        <v>928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1086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1087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1088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1088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1088</v>
      </c>
      <c r="E75" s="163">
        <v>-225</v>
      </c>
    </row>
    <row r="76" spans="1:8">
      <c r="B76" s="106" t="s">
        <v>269</v>
      </c>
      <c r="C76">
        <v>-1207</v>
      </c>
    </row>
    <row r="77" spans="1:8">
      <c r="A77" s="165">
        <v>45080</v>
      </c>
      <c r="B77" s="106" t="s">
        <v>1088</v>
      </c>
      <c r="E77" s="163">
        <v>-180</v>
      </c>
    </row>
    <row r="78" spans="1:8">
      <c r="A78" s="165">
        <v>45080</v>
      </c>
      <c r="B78" s="106" t="s">
        <v>1089</v>
      </c>
      <c r="E78" s="163">
        <v>-850</v>
      </c>
    </row>
    <row r="79" spans="1:8">
      <c r="A79" s="165">
        <v>45082</v>
      </c>
      <c r="B79" s="106" t="s">
        <v>1090</v>
      </c>
      <c r="E79" s="163">
        <v>-112.11</v>
      </c>
    </row>
    <row r="80" spans="1:8">
      <c r="A80" s="165">
        <v>45082</v>
      </c>
      <c r="B80" s="106" t="s">
        <v>1088</v>
      </c>
      <c r="E80" s="163">
        <v>-150</v>
      </c>
    </row>
    <row r="81" spans="1:5">
      <c r="A81" s="165">
        <v>45084</v>
      </c>
      <c r="B81" s="106" t="s">
        <v>1088</v>
      </c>
      <c r="D81" s="35"/>
      <c r="E81" s="163">
        <v>-250</v>
      </c>
    </row>
    <row r="82" spans="1:5">
      <c r="A82" s="165">
        <v>45085</v>
      </c>
      <c r="B82" s="106" t="s">
        <v>1088</v>
      </c>
      <c r="D82" s="35"/>
      <c r="E82" s="163">
        <v>-250</v>
      </c>
    </row>
    <row r="83" spans="1:5">
      <c r="A83" s="165">
        <v>45086</v>
      </c>
      <c r="B83" s="8" t="s">
        <v>1091</v>
      </c>
      <c r="E83" s="163">
        <v>-1420</v>
      </c>
    </row>
    <row r="84" spans="1:5">
      <c r="A84" s="165">
        <v>45087</v>
      </c>
      <c r="B84" s="8" t="s">
        <v>1092</v>
      </c>
      <c r="E84" s="163">
        <v>-242.56</v>
      </c>
    </row>
    <row r="85" spans="1:5">
      <c r="A85" s="165">
        <v>45089</v>
      </c>
      <c r="B85" s="8" t="s">
        <v>1093</v>
      </c>
      <c r="E85" s="163">
        <v>-167.19</v>
      </c>
    </row>
    <row r="86" spans="1:5">
      <c r="A86" s="165">
        <v>45091</v>
      </c>
      <c r="B86" s="8" t="s">
        <v>1088</v>
      </c>
      <c r="E86" s="163">
        <v>-200</v>
      </c>
    </row>
    <row r="87" spans="1:5">
      <c r="A87" s="165">
        <v>45091</v>
      </c>
      <c r="B87" s="8" t="s">
        <v>1090</v>
      </c>
      <c r="E87" s="163">
        <v>-61.41</v>
      </c>
    </row>
    <row r="88" spans="1:5">
      <c r="A88" s="165">
        <v>45092</v>
      </c>
      <c r="B88" s="8" t="s">
        <v>1088</v>
      </c>
      <c r="E88" s="163">
        <v>-200</v>
      </c>
    </row>
    <row r="89" spans="1:5">
      <c r="A89" s="100">
        <v>45095</v>
      </c>
      <c r="B89" s="8" t="s">
        <v>1094</v>
      </c>
      <c r="E89" s="163">
        <v>-257</v>
      </c>
    </row>
    <row r="90" spans="1:5">
      <c r="A90" s="100">
        <v>45096</v>
      </c>
      <c r="B90" s="8" t="s">
        <v>651</v>
      </c>
      <c r="E90" s="163">
        <v>-250</v>
      </c>
    </row>
    <row r="91" spans="1:5">
      <c r="A91" s="100">
        <v>45097</v>
      </c>
      <c r="B91" s="8" t="s">
        <v>1095</v>
      </c>
      <c r="E91" s="163">
        <v>-110</v>
      </c>
    </row>
    <row r="92" spans="1:5">
      <c r="A92" s="100">
        <v>45098</v>
      </c>
      <c r="B92" s="8" t="s">
        <v>1096</v>
      </c>
      <c r="E92" s="163">
        <v>-405</v>
      </c>
    </row>
    <row r="93" spans="1:5">
      <c r="A93" s="100">
        <v>45099</v>
      </c>
      <c r="B93" s="8" t="s">
        <v>1097</v>
      </c>
      <c r="E93" s="163">
        <v>-820</v>
      </c>
    </row>
    <row r="94" spans="1:5">
      <c r="A94" s="100">
        <v>45099</v>
      </c>
      <c r="B94" s="8" t="s">
        <v>1098</v>
      </c>
      <c r="E94" s="163">
        <v>-599</v>
      </c>
    </row>
    <row r="95" spans="1:5">
      <c r="A95" s="100">
        <v>45099</v>
      </c>
      <c r="B95" s="8" t="s">
        <v>1099</v>
      </c>
      <c r="E95" s="163">
        <v>-8</v>
      </c>
    </row>
    <row r="96" spans="1:5">
      <c r="A96" s="100">
        <v>45099</v>
      </c>
      <c r="B96" s="8" t="s">
        <v>1099</v>
      </c>
      <c r="E96" s="163">
        <v>-1197.3800000000001</v>
      </c>
    </row>
    <row r="97" spans="1:5">
      <c r="A97" s="100">
        <v>45100</v>
      </c>
      <c r="B97" s="8" t="s">
        <v>1100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1101</v>
      </c>
      <c r="B111" s="104" t="s">
        <v>136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12372.88</v>
      </c>
    </row>
    <row r="115" spans="1:5">
      <c r="A115" s="100">
        <v>45077</v>
      </c>
      <c r="B115" s="8" t="s">
        <v>301</v>
      </c>
      <c r="C115" s="2"/>
      <c r="D115" s="2"/>
      <c r="E115" s="17">
        <v>26868.21</v>
      </c>
    </row>
    <row r="116" spans="1:5">
      <c r="A116" s="100">
        <v>45077</v>
      </c>
      <c r="B116" s="8" t="s">
        <v>1005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1102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1103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152</v>
      </c>
      <c r="C119" s="2"/>
      <c r="D119" s="2"/>
      <c r="E119" s="17">
        <v>67500</v>
      </c>
    </row>
    <row r="120" spans="1:5">
      <c r="A120" s="100"/>
      <c r="B120" s="8" t="s">
        <v>153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156</v>
      </c>
      <c r="E121" s="63">
        <f>H13</f>
        <v>-23354.9</v>
      </c>
    </row>
    <row r="122" spans="1:5">
      <c r="D122" s="3"/>
    </row>
    <row r="123" spans="1:5">
      <c r="D123" s="18" t="s">
        <v>155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1104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1105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555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1106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1107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553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323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1108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671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1109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1110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1111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1112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1113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1114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920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329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330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331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332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333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1054</v>
      </c>
      <c r="C50" s="106"/>
      <c r="D50" s="106" t="s">
        <v>395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1115</v>
      </c>
      <c r="C51">
        <v>659.93</v>
      </c>
      <c r="D51" s="35" t="s">
        <v>983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771</v>
      </c>
      <c r="C52">
        <v>613.91</v>
      </c>
      <c r="D52" s="35" t="s">
        <v>1116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1117</v>
      </c>
      <c r="C53">
        <v>720.19</v>
      </c>
      <c r="D53" s="321" t="s">
        <v>1118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1028</v>
      </c>
      <c r="C54">
        <v>2258.94</v>
      </c>
      <c r="D54" s="35" t="s">
        <v>1119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723</v>
      </c>
      <c r="C57" s="106">
        <v>10764.57</v>
      </c>
      <c r="D57" s="35" t="s">
        <v>988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644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644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1120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1121</v>
      </c>
      <c r="E63" s="163">
        <v>-496</v>
      </c>
    </row>
    <row r="64" spans="1:8">
      <c r="A64" s="100">
        <v>45043</v>
      </c>
      <c r="B64" s="106" t="s">
        <v>1122</v>
      </c>
      <c r="C64" s="106"/>
      <c r="D64" s="106"/>
      <c r="E64" s="163">
        <v>-120</v>
      </c>
    </row>
    <row r="65" spans="1:6">
      <c r="A65" s="100">
        <v>45044</v>
      </c>
      <c r="B65" s="8" t="s">
        <v>1123</v>
      </c>
      <c r="E65" s="163">
        <v>-321</v>
      </c>
      <c r="F65" s="63"/>
    </row>
    <row r="66" spans="1:6">
      <c r="A66" s="100">
        <v>45044</v>
      </c>
      <c r="B66" s="8" t="s">
        <v>1124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1125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1125</v>
      </c>
      <c r="C69">
        <v>225</v>
      </c>
      <c r="E69" s="163"/>
    </row>
    <row r="70" spans="1:6">
      <c r="A70" s="100">
        <v>45062</v>
      </c>
      <c r="B70" s="8" t="s">
        <v>1125</v>
      </c>
      <c r="C70">
        <v>500</v>
      </c>
      <c r="E70" s="163"/>
    </row>
    <row r="71" spans="1:6">
      <c r="A71" s="100">
        <v>45066</v>
      </c>
      <c r="B71" s="8" t="s">
        <v>1126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1127</v>
      </c>
      <c r="C85" s="106"/>
      <c r="D85" s="106"/>
      <c r="E85" s="163">
        <v>-140</v>
      </c>
      <c r="F85" s="63" t="s">
        <v>1128</v>
      </c>
      <c r="G85" s="63"/>
      <c r="H85" s="63"/>
    </row>
    <row r="86" spans="1:8">
      <c r="A86" s="100">
        <v>45044</v>
      </c>
      <c r="B86" s="106" t="s">
        <v>1129</v>
      </c>
      <c r="C86" s="106"/>
      <c r="D86" s="106"/>
      <c r="E86" s="163">
        <v>-35.78</v>
      </c>
      <c r="F86" s="63" t="s">
        <v>1128</v>
      </c>
      <c r="G86" s="63"/>
      <c r="H86" s="63"/>
    </row>
    <row r="87" spans="1:8">
      <c r="A87" s="100">
        <v>45045</v>
      </c>
      <c r="B87" s="106" t="s">
        <v>269</v>
      </c>
      <c r="C87" s="106">
        <v>-221.54</v>
      </c>
      <c r="D87" s="106"/>
      <c r="E87" s="163"/>
      <c r="F87" s="63" t="s">
        <v>1128</v>
      </c>
      <c r="G87" s="63"/>
      <c r="H87" s="63"/>
    </row>
    <row r="88" spans="1:8">
      <c r="A88" s="100">
        <v>45023</v>
      </c>
      <c r="B88" s="106" t="s">
        <v>127</v>
      </c>
      <c r="C88" s="106"/>
      <c r="D88" s="106"/>
      <c r="E88" s="163">
        <v>-39.950000000000003</v>
      </c>
      <c r="F88" s="63" t="s">
        <v>1128</v>
      </c>
      <c r="G88" s="63"/>
      <c r="H88" s="63"/>
    </row>
    <row r="89" spans="1:8">
      <c r="A89" s="100">
        <v>45023</v>
      </c>
      <c r="B89" s="106" t="s">
        <v>127</v>
      </c>
      <c r="C89" s="106"/>
      <c r="D89" s="106"/>
      <c r="E89" s="163">
        <v>-154.44999999999999</v>
      </c>
      <c r="F89" s="63" t="s">
        <v>1128</v>
      </c>
      <c r="G89" s="63"/>
      <c r="H89" s="63"/>
    </row>
    <row r="90" spans="1:8">
      <c r="A90" s="100">
        <v>45023</v>
      </c>
      <c r="B90" s="107" t="s">
        <v>127</v>
      </c>
      <c r="E90" s="163">
        <v>-260</v>
      </c>
      <c r="F90" s="63" t="s">
        <v>1128</v>
      </c>
    </row>
    <row r="91" spans="1:8">
      <c r="A91" s="100">
        <v>45026</v>
      </c>
      <c r="B91" s="8" t="s">
        <v>1130</v>
      </c>
      <c r="E91" s="163">
        <v>-140</v>
      </c>
      <c r="F91" s="63" t="s">
        <v>1128</v>
      </c>
    </row>
    <row r="92" spans="1:8">
      <c r="A92" s="100">
        <v>45026</v>
      </c>
      <c r="B92" s="8" t="s">
        <v>1129</v>
      </c>
      <c r="E92" s="163">
        <v>-57.07</v>
      </c>
      <c r="F92" s="63" t="s">
        <v>1128</v>
      </c>
    </row>
    <row r="93" spans="1:8">
      <c r="A93" s="100">
        <v>45026</v>
      </c>
      <c r="B93" s="8" t="s">
        <v>952</v>
      </c>
      <c r="C93">
        <v>1140.99</v>
      </c>
      <c r="D93" s="8" t="s">
        <v>955</v>
      </c>
      <c r="E93" s="163">
        <v>-190.17</v>
      </c>
      <c r="F93" s="8" t="s">
        <v>1128</v>
      </c>
    </row>
    <row r="94" spans="1:8">
      <c r="A94" s="100">
        <v>45061</v>
      </c>
      <c r="B94" s="8" t="s">
        <v>1131</v>
      </c>
      <c r="E94" s="163">
        <v>-190</v>
      </c>
      <c r="F94" s="63" t="s">
        <v>1128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1132</v>
      </c>
      <c r="B111" s="104" t="s">
        <v>1133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1102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1103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H8</f>
        <v>-5855.47</v>
      </c>
    </row>
    <row r="122" spans="1:5">
      <c r="D122" s="3"/>
    </row>
    <row r="123" spans="1:5">
      <c r="D123" s="18" t="s">
        <v>155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1135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1136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603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602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1137</v>
      </c>
      <c r="C12" s="101" t="s">
        <v>323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323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323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671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1138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1139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1114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1140</v>
      </c>
      <c r="C28" s="101"/>
      <c r="D28" s="101"/>
      <c r="E28" s="163"/>
      <c r="H28" s="63"/>
    </row>
    <row r="29" spans="1:8">
      <c r="A29" s="100"/>
      <c r="B29" s="101" t="s">
        <v>1141</v>
      </c>
      <c r="C29" s="101"/>
      <c r="D29" s="101"/>
      <c r="E29" s="163"/>
      <c r="H29" s="63"/>
    </row>
    <row r="30" spans="1:8">
      <c r="A30" s="100"/>
      <c r="B30" s="101" t="s">
        <v>1142</v>
      </c>
      <c r="C30" s="101"/>
      <c r="D30" s="101"/>
      <c r="E30" s="163"/>
      <c r="H30" s="63"/>
    </row>
    <row r="31" spans="1:8">
      <c r="A31" s="100"/>
      <c r="B31" s="101" t="s">
        <v>118</v>
      </c>
      <c r="C31" s="101"/>
      <c r="D31" s="101"/>
      <c r="E31" s="163"/>
      <c r="H31" s="63"/>
    </row>
    <row r="32" spans="1:8">
      <c r="A32" s="100"/>
      <c r="B32" s="101" t="s">
        <v>1143</v>
      </c>
      <c r="C32" s="101" t="s">
        <v>1144</v>
      </c>
      <c r="D32" s="101"/>
      <c r="E32" s="163"/>
      <c r="H32" s="63"/>
    </row>
    <row r="33" spans="1:8">
      <c r="A33" s="100"/>
      <c r="B33" s="8" t="s">
        <v>1145</v>
      </c>
      <c r="C33" s="101"/>
      <c r="D33" s="101"/>
      <c r="E33" s="163"/>
      <c r="H33" s="63"/>
    </row>
    <row r="34" spans="1:8">
      <c r="A34" s="100"/>
      <c r="B34" s="8" t="s">
        <v>1146</v>
      </c>
      <c r="C34" s="101"/>
      <c r="D34" s="101"/>
      <c r="E34" s="163"/>
      <c r="H34" s="63"/>
    </row>
    <row r="35" spans="1:8">
      <c r="A35" s="100"/>
      <c r="B35" s="101" t="s">
        <v>1147</v>
      </c>
      <c r="C35" s="101"/>
      <c r="D35" s="101"/>
      <c r="E35" s="163"/>
      <c r="H35" s="63"/>
    </row>
    <row r="36" spans="1:8">
      <c r="A36" s="100"/>
      <c r="B36" s="101" t="s">
        <v>1148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325</v>
      </c>
      <c r="E41" s="63"/>
      <c r="G41" s="63"/>
      <c r="H41" s="63"/>
    </row>
    <row r="42" spans="1:8">
      <c r="A42" s="103" t="s">
        <v>326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327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920</v>
      </c>
      <c r="D48">
        <v>509.04</v>
      </c>
      <c r="E48" s="63">
        <v>510</v>
      </c>
      <c r="F48" s="63"/>
      <c r="G48" s="63"/>
    </row>
    <row r="49" spans="1:8">
      <c r="B49" t="s">
        <v>329</v>
      </c>
      <c r="D49">
        <v>938.46</v>
      </c>
      <c r="E49" s="63">
        <v>938.5</v>
      </c>
      <c r="F49" s="63"/>
      <c r="G49" s="63"/>
    </row>
    <row r="50" spans="1:8">
      <c r="B50" t="s">
        <v>330</v>
      </c>
      <c r="D50">
        <v>126.34</v>
      </c>
      <c r="E50">
        <v>126</v>
      </c>
      <c r="F50" s="63"/>
      <c r="G50" s="63"/>
    </row>
    <row r="51" spans="1:8">
      <c r="B51" t="s">
        <v>331</v>
      </c>
      <c r="D51">
        <v>934.05</v>
      </c>
      <c r="E51">
        <v>935</v>
      </c>
      <c r="F51" s="63"/>
      <c r="G51" s="63"/>
    </row>
    <row r="52" spans="1:8">
      <c r="B52" t="s">
        <v>332</v>
      </c>
      <c r="D52">
        <v>220.12</v>
      </c>
      <c r="E52">
        <v>220</v>
      </c>
      <c r="F52" s="63"/>
      <c r="G52" s="63"/>
    </row>
    <row r="53" spans="1:8">
      <c r="B53" t="s">
        <v>333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1054</v>
      </c>
      <c r="C60" s="106"/>
      <c r="D60" s="106" t="s">
        <v>674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817</v>
      </c>
      <c r="C61">
        <v>437.97</v>
      </c>
      <c r="D61" s="35" t="s">
        <v>1118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818</v>
      </c>
      <c r="C62">
        <v>404.23</v>
      </c>
      <c r="D62" s="35" t="s">
        <v>1118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819</v>
      </c>
      <c r="C63">
        <v>1135</v>
      </c>
      <c r="D63" s="35" t="s">
        <v>1118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1115</v>
      </c>
      <c r="C64">
        <v>659.93</v>
      </c>
      <c r="D64" s="35" t="s">
        <v>1029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1117</v>
      </c>
      <c r="C65">
        <v>720.19</v>
      </c>
      <c r="D65" s="321" t="s">
        <v>1149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771</v>
      </c>
      <c r="C66">
        <v>613.91</v>
      </c>
      <c r="D66" s="35" t="s">
        <v>1150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1028</v>
      </c>
      <c r="C67">
        <v>2258.94</v>
      </c>
      <c r="D67" s="35" t="s">
        <v>605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1151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1152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1153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414</v>
      </c>
      <c r="E72" s="163">
        <v>-158.63999999999999</v>
      </c>
    </row>
    <row r="73" spans="1:8">
      <c r="A73" s="100">
        <v>45037</v>
      </c>
      <c r="B73" s="8" t="s">
        <v>1057</v>
      </c>
      <c r="D73" s="35"/>
      <c r="E73" s="163">
        <v>-100</v>
      </c>
    </row>
    <row r="74" spans="1:8">
      <c r="A74" s="100">
        <v>45037</v>
      </c>
      <c r="B74" s="8" t="s">
        <v>1057</v>
      </c>
      <c r="E74" s="163">
        <v>-15</v>
      </c>
    </row>
    <row r="75" spans="1:8">
      <c r="A75" s="100">
        <v>45039</v>
      </c>
      <c r="B75" s="8" t="s">
        <v>1154</v>
      </c>
      <c r="E75" s="163">
        <v>-430</v>
      </c>
    </row>
    <row r="76" spans="1:8">
      <c r="A76" s="100">
        <v>45040</v>
      </c>
      <c r="B76" s="8" t="s">
        <v>1155</v>
      </c>
      <c r="E76" s="163">
        <v>-69.739999999999995</v>
      </c>
    </row>
    <row r="77" spans="1:8">
      <c r="A77" s="100">
        <v>45040</v>
      </c>
      <c r="B77" s="8" t="s">
        <v>1156</v>
      </c>
      <c r="E77" s="163">
        <v>-125</v>
      </c>
    </row>
    <row r="78" spans="1:8">
      <c r="A78" s="100"/>
      <c r="E78" s="163" t="s">
        <v>1157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1158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1157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1159</v>
      </c>
      <c r="B111" s="104" t="s">
        <v>1133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1102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1103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H3</f>
        <v>0</v>
      </c>
    </row>
    <row r="122" spans="1:5">
      <c r="D122" s="3"/>
    </row>
    <row r="123" spans="1:5">
      <c r="D123" s="18" t="s">
        <v>155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1160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632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626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1161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1074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1073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1162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671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1163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1164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1165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1166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1167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1168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1169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1170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325</v>
      </c>
      <c r="E36" s="63"/>
      <c r="G36" s="63"/>
      <c r="H36" s="63"/>
    </row>
    <row r="37" spans="1:8">
      <c r="A37" s="103" t="s">
        <v>326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327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920</v>
      </c>
      <c r="D43">
        <v>835.27</v>
      </c>
      <c r="E43" s="63">
        <v>835</v>
      </c>
      <c r="F43" s="63"/>
      <c r="G43" s="63"/>
    </row>
    <row r="44" spans="1:8">
      <c r="B44" t="s">
        <v>329</v>
      </c>
      <c r="D44">
        <v>1240.45</v>
      </c>
      <c r="E44" s="63">
        <v>1240</v>
      </c>
      <c r="F44" s="63"/>
      <c r="G44" s="63"/>
    </row>
    <row r="45" spans="1:8">
      <c r="B45" t="s">
        <v>330</v>
      </c>
      <c r="D45">
        <v>195.7</v>
      </c>
      <c r="E45">
        <v>195</v>
      </c>
      <c r="F45" s="63"/>
      <c r="G45" s="63"/>
    </row>
    <row r="46" spans="1:8">
      <c r="B46" t="s">
        <v>331</v>
      </c>
      <c r="D46">
        <v>1448.09</v>
      </c>
      <c r="E46">
        <v>1450</v>
      </c>
      <c r="F46" s="63"/>
      <c r="G46" s="63"/>
    </row>
    <row r="47" spans="1:8">
      <c r="B47" t="s">
        <v>332</v>
      </c>
      <c r="D47">
        <v>335.29</v>
      </c>
      <c r="E47">
        <v>335</v>
      </c>
      <c r="F47" s="63"/>
      <c r="G47" s="63"/>
    </row>
    <row r="48" spans="1:8">
      <c r="B48" t="s">
        <v>333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1171</v>
      </c>
      <c r="C55" s="106"/>
      <c r="D55" s="106" t="s">
        <v>725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1172</v>
      </c>
      <c r="C56" s="106"/>
      <c r="D56" s="106" t="s">
        <v>983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1173</v>
      </c>
      <c r="C57" s="106"/>
      <c r="D57" s="106" t="s">
        <v>983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1174</v>
      </c>
      <c r="C58" s="106"/>
      <c r="D58" s="106" t="s">
        <v>983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1175</v>
      </c>
      <c r="C59" s="106"/>
      <c r="D59" s="106" t="s">
        <v>983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817</v>
      </c>
      <c r="C60">
        <v>437.97</v>
      </c>
      <c r="D60" s="35" t="s">
        <v>1149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818</v>
      </c>
      <c r="C61">
        <v>404.23</v>
      </c>
      <c r="D61" s="35" t="s">
        <v>1149</v>
      </c>
      <c r="E61" s="163">
        <v>-134.74</v>
      </c>
      <c r="F61" s="63"/>
    </row>
    <row r="62" spans="1:8">
      <c r="A62" s="100">
        <v>44985</v>
      </c>
      <c r="B62" s="8" t="s">
        <v>819</v>
      </c>
      <c r="C62">
        <v>1135</v>
      </c>
      <c r="D62" s="35" t="s">
        <v>1149</v>
      </c>
      <c r="E62" s="163">
        <v>-378.33</v>
      </c>
      <c r="F62" s="63"/>
    </row>
    <row r="63" spans="1:8">
      <c r="A63" s="100">
        <v>44982</v>
      </c>
      <c r="B63" s="8" t="s">
        <v>1176</v>
      </c>
      <c r="C63">
        <v>659.93</v>
      </c>
      <c r="D63" s="35" t="s">
        <v>1056</v>
      </c>
      <c r="E63" s="163">
        <v>-164.98</v>
      </c>
      <c r="F63" s="63"/>
    </row>
    <row r="64" spans="1:8">
      <c r="A64" s="100">
        <v>44995</v>
      </c>
      <c r="B64" s="8" t="s">
        <v>1117</v>
      </c>
      <c r="C64">
        <v>720.19</v>
      </c>
      <c r="D64" s="321" t="s">
        <v>1177</v>
      </c>
      <c r="E64" s="163">
        <v>-240.06</v>
      </c>
      <c r="F64" s="63"/>
    </row>
    <row r="65" spans="1:8">
      <c r="A65" s="100">
        <v>44995</v>
      </c>
      <c r="B65" s="8" t="s">
        <v>771</v>
      </c>
      <c r="C65">
        <v>613.91</v>
      </c>
      <c r="D65" s="35" t="s">
        <v>1178</v>
      </c>
      <c r="E65" s="163">
        <v>-61.39</v>
      </c>
      <c r="F65" s="63"/>
    </row>
    <row r="66" spans="1:8">
      <c r="A66" s="100">
        <v>44995</v>
      </c>
      <c r="B66" s="8" t="s">
        <v>1028</v>
      </c>
      <c r="C66">
        <v>2258.94</v>
      </c>
      <c r="D66" s="35" t="s">
        <v>644</v>
      </c>
      <c r="E66" s="163">
        <v>-376.49</v>
      </c>
      <c r="F66" s="63"/>
    </row>
    <row r="67" spans="1:8">
      <c r="A67" s="100">
        <v>44985</v>
      </c>
      <c r="B67" s="8" t="s">
        <v>1179</v>
      </c>
      <c r="D67" s="35"/>
      <c r="E67" s="163">
        <v>-161.31</v>
      </c>
      <c r="F67" s="63"/>
    </row>
    <row r="68" spans="1:8">
      <c r="A68" s="100">
        <v>44986</v>
      </c>
      <c r="B68" s="8" t="s">
        <v>1179</v>
      </c>
      <c r="D68" s="35"/>
      <c r="E68" s="163">
        <v>-137.93</v>
      </c>
      <c r="F68" s="63"/>
    </row>
    <row r="69" spans="1:8">
      <c r="A69" s="100">
        <v>44987</v>
      </c>
      <c r="B69" s="8" t="s">
        <v>1179</v>
      </c>
      <c r="D69" s="35"/>
      <c r="E69" s="163">
        <v>-121.99</v>
      </c>
      <c r="F69" s="63"/>
    </row>
    <row r="70" spans="1:8">
      <c r="A70" s="100">
        <v>45004</v>
      </c>
      <c r="B70" s="8" t="s">
        <v>1180</v>
      </c>
      <c r="D70" s="35"/>
      <c r="E70" s="163">
        <v>-94.85</v>
      </c>
      <c r="F70" s="63"/>
    </row>
    <row r="71" spans="1:8">
      <c r="A71" s="100">
        <v>45005</v>
      </c>
      <c r="B71" s="8" t="s">
        <v>1181</v>
      </c>
      <c r="D71" s="35"/>
      <c r="E71" s="163">
        <v>-456.1</v>
      </c>
      <c r="F71" s="63"/>
    </row>
    <row r="72" spans="1:8">
      <c r="A72" s="100">
        <v>45005</v>
      </c>
      <c r="B72" s="8" t="s">
        <v>1182</v>
      </c>
      <c r="E72" s="163">
        <v>-110</v>
      </c>
    </row>
    <row r="73" spans="1:8">
      <c r="A73" s="100">
        <v>45007</v>
      </c>
      <c r="B73" s="8" t="s">
        <v>1183</v>
      </c>
      <c r="D73" s="35"/>
      <c r="E73" s="163">
        <v>-554.11</v>
      </c>
    </row>
    <row r="74" spans="1:8">
      <c r="A74" s="100">
        <v>45010</v>
      </c>
      <c r="B74" s="8" t="s">
        <v>1184</v>
      </c>
      <c r="D74" s="35"/>
      <c r="E74" s="163">
        <v>-530.54999999999995</v>
      </c>
    </row>
    <row r="75" spans="1:8">
      <c r="A75" s="100">
        <v>45010</v>
      </c>
      <c r="B75" s="8" t="s">
        <v>1185</v>
      </c>
      <c r="D75" s="35"/>
      <c r="E75" s="163">
        <v>-26.53</v>
      </c>
    </row>
    <row r="76" spans="1:8">
      <c r="A76" s="100"/>
      <c r="D76" s="35"/>
      <c r="E76" s="163" t="s">
        <v>1157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364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651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650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651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1186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1157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1187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1068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44063.82</v>
      </c>
    </row>
    <row r="115" spans="1:5">
      <c r="A115" s="100">
        <v>45016</v>
      </c>
      <c r="B115" s="8" t="s">
        <v>301</v>
      </c>
      <c r="C115" s="2"/>
      <c r="D115" s="2"/>
      <c r="E115" s="17">
        <v>6000.59</v>
      </c>
    </row>
    <row r="116" spans="1:5">
      <c r="A116" s="100">
        <v>45016</v>
      </c>
      <c r="B116" s="8" t="s">
        <v>1005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1102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1103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152</v>
      </c>
      <c r="C119" s="2"/>
      <c r="D119" s="2"/>
      <c r="E119" s="17">
        <v>40000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1188</v>
      </c>
      <c r="E121" s="63">
        <f>H2</f>
        <v>14297.21</v>
      </c>
    </row>
    <row r="122" spans="1:5">
      <c r="D122" s="3"/>
    </row>
    <row r="123" spans="1:5">
      <c r="D123" s="18" t="s">
        <v>155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1189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1190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668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665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1191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1192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1193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671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1194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1195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1196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1197</v>
      </c>
      <c r="D25" s="102"/>
      <c r="F25" s="63"/>
      <c r="G25" s="63"/>
      <c r="H25" s="63">
        <f t="shared" si="0"/>
        <v>-270.29999999999927</v>
      </c>
    </row>
    <row r="26" spans="1:8">
      <c r="B26" t="s">
        <v>1198</v>
      </c>
      <c r="D26" s="102"/>
      <c r="F26" s="63"/>
      <c r="G26" s="63"/>
      <c r="H26" s="63">
        <f t="shared" si="0"/>
        <v>-270.29999999999927</v>
      </c>
    </row>
    <row r="27" spans="1:8">
      <c r="B27" t="s">
        <v>1199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651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1200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1201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765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1202</v>
      </c>
      <c r="D35" s="8" t="s">
        <v>386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1203</v>
      </c>
      <c r="D36" s="8" t="s">
        <v>386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1204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1205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1206</v>
      </c>
      <c r="G39" s="63"/>
      <c r="H39" s="63"/>
    </row>
    <row r="40" spans="1:8">
      <c r="B40" t="s">
        <v>325</v>
      </c>
      <c r="E40" s="63"/>
      <c r="G40" s="63"/>
      <c r="H40" s="63"/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327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1207</v>
      </c>
      <c r="D47">
        <v>933.16</v>
      </c>
      <c r="E47" s="63">
        <v>933.16</v>
      </c>
      <c r="F47" s="63"/>
      <c r="G47" s="63"/>
    </row>
    <row r="48" spans="1:8">
      <c r="B48" t="s">
        <v>329</v>
      </c>
      <c r="D48">
        <v>996.81</v>
      </c>
      <c r="E48" s="63">
        <v>996.81</v>
      </c>
      <c r="F48" s="63"/>
      <c r="G48" s="63"/>
    </row>
    <row r="49" spans="1:8">
      <c r="B49" t="s">
        <v>330</v>
      </c>
      <c r="D49">
        <v>233.14</v>
      </c>
      <c r="E49">
        <v>233.14</v>
      </c>
      <c r="F49" s="63"/>
      <c r="G49" s="63"/>
    </row>
    <row r="50" spans="1:8">
      <c r="B50" t="s">
        <v>1208</v>
      </c>
      <c r="D50">
        <v>200</v>
      </c>
      <c r="F50" s="63"/>
      <c r="G50" s="63"/>
    </row>
    <row r="51" spans="1:8">
      <c r="B51" t="s">
        <v>1209</v>
      </c>
      <c r="D51">
        <v>1128.6300000000001</v>
      </c>
      <c r="E51">
        <v>1128.6300000000001</v>
      </c>
      <c r="F51" s="63"/>
      <c r="G51" s="63"/>
    </row>
    <row r="52" spans="1:8">
      <c r="B52" t="s">
        <v>332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333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1210</v>
      </c>
      <c r="C60" s="106"/>
      <c r="D60" s="106" t="s">
        <v>439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1211</v>
      </c>
      <c r="C61" s="106"/>
      <c r="D61" s="106" t="s">
        <v>439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1212</v>
      </c>
      <c r="C62" s="106"/>
      <c r="D62" s="106" t="s">
        <v>770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1172</v>
      </c>
      <c r="C63" s="106"/>
      <c r="D63" s="106" t="s">
        <v>1029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1173</v>
      </c>
      <c r="C64" s="106"/>
      <c r="D64" s="106" t="s">
        <v>1029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1174</v>
      </c>
      <c r="C65" s="106"/>
      <c r="D65" s="106" t="s">
        <v>1029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1175</v>
      </c>
      <c r="C66" s="106"/>
      <c r="D66" s="106" t="s">
        <v>1029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1213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1214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1215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1216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1217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816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816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817</v>
      </c>
      <c r="C74">
        <v>437.97</v>
      </c>
      <c r="D74" s="35" t="s">
        <v>1177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818</v>
      </c>
      <c r="C75">
        <v>404.23</v>
      </c>
      <c r="D75" s="35" t="s">
        <v>1177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819</v>
      </c>
      <c r="C76">
        <v>1135</v>
      </c>
      <c r="D76" s="35" t="s">
        <v>1177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1218</v>
      </c>
      <c r="E77" s="163">
        <v>-880.22</v>
      </c>
      <c r="G77" s="63"/>
    </row>
    <row r="78" spans="1:8">
      <c r="A78" s="100">
        <v>44958</v>
      </c>
      <c r="B78" s="8" t="s">
        <v>1219</v>
      </c>
      <c r="E78" s="163">
        <v>-218.24</v>
      </c>
      <c r="G78" s="63"/>
    </row>
    <row r="79" spans="1:8">
      <c r="A79" s="100">
        <v>44960</v>
      </c>
      <c r="B79" s="8" t="s">
        <v>1220</v>
      </c>
      <c r="E79" s="163">
        <v>-120.45</v>
      </c>
      <c r="G79" s="63"/>
    </row>
    <row r="80" spans="1:8">
      <c r="A80" s="100">
        <v>44963</v>
      </c>
      <c r="B80" s="8" t="s">
        <v>1221</v>
      </c>
      <c r="D80" s="35"/>
      <c r="E80" s="163">
        <v>-130.56</v>
      </c>
      <c r="G80" s="63"/>
    </row>
    <row r="81" spans="1:8">
      <c r="A81" s="100">
        <v>44969</v>
      </c>
      <c r="B81" s="8" t="s">
        <v>1222</v>
      </c>
      <c r="D81" s="35"/>
      <c r="E81" s="163">
        <v>-51.99</v>
      </c>
      <c r="G81" s="63"/>
    </row>
    <row r="82" spans="1:8">
      <c r="A82" s="100">
        <v>44970</v>
      </c>
      <c r="B82" s="8" t="s">
        <v>524</v>
      </c>
      <c r="D82" s="35"/>
      <c r="E82" s="163">
        <v>-379</v>
      </c>
      <c r="G82" s="63"/>
    </row>
    <row r="83" spans="1:8">
      <c r="A83" s="100">
        <v>44970</v>
      </c>
      <c r="B83" s="8" t="s">
        <v>524</v>
      </c>
      <c r="D83" s="35"/>
      <c r="E83" s="163">
        <v>-510</v>
      </c>
      <c r="G83" s="63"/>
    </row>
    <row r="84" spans="1:8">
      <c r="A84" s="100">
        <v>44971</v>
      </c>
      <c r="B84" s="8" t="s">
        <v>1222</v>
      </c>
      <c r="D84" s="35"/>
      <c r="E84" s="163">
        <v>-51.99</v>
      </c>
      <c r="G84" s="63"/>
    </row>
    <row r="85" spans="1:8">
      <c r="A85" s="100">
        <v>44972</v>
      </c>
      <c r="B85" s="8" t="s">
        <v>1223</v>
      </c>
      <c r="D85" s="35"/>
      <c r="E85" s="163">
        <v>-54.77</v>
      </c>
      <c r="G85" s="63"/>
    </row>
    <row r="86" spans="1:8">
      <c r="A86" s="100">
        <v>44972</v>
      </c>
      <c r="B86" s="8" t="s">
        <v>1224</v>
      </c>
      <c r="D86" s="35"/>
      <c r="E86" s="163">
        <v>-459</v>
      </c>
      <c r="G86" s="63"/>
    </row>
    <row r="87" spans="1:8">
      <c r="A87" s="100">
        <v>44972</v>
      </c>
      <c r="B87" s="8" t="s">
        <v>1225</v>
      </c>
      <c r="D87" s="35"/>
      <c r="E87" s="163">
        <v>-211</v>
      </c>
      <c r="G87" s="63"/>
    </row>
    <row r="88" spans="1:8">
      <c r="A88" s="100">
        <v>44977</v>
      </c>
      <c r="B88" s="8" t="s">
        <v>1226</v>
      </c>
      <c r="D88" s="35"/>
      <c r="E88" s="163">
        <v>-100</v>
      </c>
      <c r="G88" s="63"/>
    </row>
    <row r="89" spans="1:8">
      <c r="A89" s="100">
        <v>44977</v>
      </c>
      <c r="B89" s="8" t="s">
        <v>1226</v>
      </c>
      <c r="D89" s="35"/>
      <c r="E89" s="163">
        <v>-10</v>
      </c>
      <c r="G89" s="63"/>
    </row>
    <row r="90" spans="1:8">
      <c r="A90" s="100">
        <v>44981</v>
      </c>
      <c r="B90" s="8" t="s">
        <v>134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134</v>
      </c>
      <c r="D91" s="35"/>
      <c r="E91" s="163">
        <v>-186.34</v>
      </c>
      <c r="G91" s="63"/>
    </row>
    <row r="92" spans="1:8">
      <c r="A92" s="100">
        <v>44982</v>
      </c>
      <c r="B92" s="8" t="s">
        <v>1115</v>
      </c>
      <c r="C92">
        <v>659.93</v>
      </c>
      <c r="D92" s="35" t="s">
        <v>1084</v>
      </c>
      <c r="E92" s="163">
        <v>-164.98</v>
      </c>
      <c r="G92" s="63"/>
    </row>
    <row r="93" spans="1:8">
      <c r="A93" s="323">
        <v>44982</v>
      </c>
      <c r="D93" s="35"/>
      <c r="E93" s="324" t="s">
        <v>1157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1227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1228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1155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1155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1155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1157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1229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1230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301</v>
      </c>
      <c r="C115" s="2"/>
      <c r="D115" s="2"/>
      <c r="E115" s="17">
        <v>0.59</v>
      </c>
    </row>
    <row r="116" spans="1:5">
      <c r="A116" s="100">
        <v>45016</v>
      </c>
      <c r="B116" s="8" t="s">
        <v>1005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1102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1103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152</v>
      </c>
      <c r="C119" s="2"/>
      <c r="D119" s="2"/>
      <c r="E119" s="17">
        <v>26300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1231</v>
      </c>
      <c r="E121" s="63">
        <f>H2</f>
        <v>-10144.200000000001</v>
      </c>
    </row>
    <row r="122" spans="1:5">
      <c r="D122" s="3"/>
    </row>
    <row r="123" spans="1:5">
      <c r="D123" s="18" t="s">
        <v>155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1071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1232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1233</v>
      </c>
      <c r="C8" s="325" t="s">
        <v>386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1234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715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1235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1236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1237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1238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1239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1240</v>
      </c>
      <c r="F27" s="63"/>
      <c r="G27" s="63">
        <v>-5040</v>
      </c>
      <c r="H27" s="63">
        <f t="shared" si="0"/>
        <v>-18663.48</v>
      </c>
    </row>
    <row r="28" spans="1:8">
      <c r="B28" t="s">
        <v>1192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1241</v>
      </c>
      <c r="F29" s="63">
        <v>2000</v>
      </c>
      <c r="G29" s="63"/>
      <c r="H29" s="63">
        <f t="shared" si="0"/>
        <v>-16663.48</v>
      </c>
    </row>
    <row r="30" spans="1:8">
      <c r="B30" t="s">
        <v>1242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1243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1244</v>
      </c>
      <c r="D32" s="329">
        <v>1000</v>
      </c>
      <c r="H32" s="63">
        <f t="shared" si="0"/>
        <v>-10163.48</v>
      </c>
    </row>
    <row r="33" spans="1:8">
      <c r="B33" s="25" t="s">
        <v>1245</v>
      </c>
      <c r="D33" s="102"/>
      <c r="G33" s="63"/>
      <c r="H33" s="63">
        <f t="shared" si="0"/>
        <v>-10163.48</v>
      </c>
    </row>
    <row r="34" spans="1:8">
      <c r="A34" s="100"/>
      <c r="B34" s="312" t="s">
        <v>1246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1247</v>
      </c>
      <c r="C38" s="8" t="s">
        <v>386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1248</v>
      </c>
      <c r="C39" s="8" t="s">
        <v>386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1249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325</v>
      </c>
      <c r="G44" s="63"/>
      <c r="H44" s="63"/>
    </row>
    <row r="45" spans="1:8">
      <c r="A45" s="103" t="s">
        <v>326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1250</v>
      </c>
      <c r="C46" s="312"/>
      <c r="D46" s="312" t="s">
        <v>1251</v>
      </c>
      <c r="H46" s="63"/>
    </row>
    <row r="47" spans="1:8">
      <c r="A47" s="317">
        <v>44844</v>
      </c>
      <c r="B47" s="312" t="s">
        <v>1252</v>
      </c>
      <c r="C47" s="314"/>
      <c r="D47" s="312" t="s">
        <v>1253</v>
      </c>
      <c r="H47" s="63"/>
    </row>
    <row r="48" spans="1:8">
      <c r="A48" s="317"/>
      <c r="B48" s="312" t="s">
        <v>1254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1207</v>
      </c>
      <c r="D51">
        <v>1245.19</v>
      </c>
      <c r="E51" s="163">
        <v>1245</v>
      </c>
      <c r="F51" s="63"/>
      <c r="G51" s="63"/>
    </row>
    <row r="52" spans="1:8">
      <c r="B52" t="s">
        <v>329</v>
      </c>
      <c r="D52">
        <v>914.78</v>
      </c>
      <c r="E52" s="163">
        <v>915</v>
      </c>
      <c r="F52" s="63"/>
      <c r="G52" s="63"/>
    </row>
    <row r="53" spans="1:8">
      <c r="B53" t="s">
        <v>330</v>
      </c>
      <c r="D53">
        <v>295.54000000000002</v>
      </c>
      <c r="E53" s="163">
        <v>295</v>
      </c>
      <c r="F53" s="63"/>
      <c r="G53" s="63"/>
    </row>
    <row r="54" spans="1:8">
      <c r="B54" t="s">
        <v>1255</v>
      </c>
      <c r="D54">
        <v>200</v>
      </c>
      <c r="F54" s="63"/>
      <c r="G54" s="63"/>
    </row>
    <row r="55" spans="1:8">
      <c r="B55" t="s">
        <v>1256</v>
      </c>
      <c r="D55">
        <v>1367.33</v>
      </c>
      <c r="E55" s="163">
        <v>1368</v>
      </c>
      <c r="F55" s="63"/>
      <c r="G55" s="63"/>
    </row>
    <row r="56" spans="1:8">
      <c r="B56" t="s">
        <v>332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1257</v>
      </c>
      <c r="C57" s="106"/>
      <c r="D57" s="330">
        <v>200</v>
      </c>
      <c r="F57" s="63"/>
      <c r="G57" s="63"/>
    </row>
    <row r="58" spans="1:8">
      <c r="B58" t="s">
        <v>228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1210</v>
      </c>
      <c r="C64" s="106"/>
      <c r="D64" s="106" t="s">
        <v>470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1211</v>
      </c>
      <c r="C65" s="106"/>
      <c r="D65" s="106" t="s">
        <v>470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1258</v>
      </c>
      <c r="C66" s="106"/>
      <c r="D66" s="106" t="s">
        <v>925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1259</v>
      </c>
      <c r="C67" s="106"/>
      <c r="D67" s="101" t="s">
        <v>1118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1172</v>
      </c>
      <c r="C68" s="106"/>
      <c r="D68" s="106" t="s">
        <v>1056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1173</v>
      </c>
      <c r="C69" s="106"/>
      <c r="D69" s="106" t="s">
        <v>1056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1174</v>
      </c>
      <c r="C70" s="106"/>
      <c r="D70" s="106" t="s">
        <v>1056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1175</v>
      </c>
      <c r="C71" s="106"/>
      <c r="D71" s="106" t="s">
        <v>1056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743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1260</v>
      </c>
      <c r="D73" s="8" t="s">
        <v>1261</v>
      </c>
    </row>
    <row r="74" spans="1:8">
      <c r="A74" s="100">
        <v>44925</v>
      </c>
      <c r="B74" s="8" t="s">
        <v>1262</v>
      </c>
      <c r="E74" s="163">
        <v>-47.8</v>
      </c>
    </row>
    <row r="75" spans="1:8">
      <c r="A75" s="100">
        <v>44934</v>
      </c>
      <c r="B75" s="8" t="s">
        <v>1263</v>
      </c>
      <c r="E75" s="163">
        <v>-556.07000000000005</v>
      </c>
    </row>
    <row r="76" spans="1:8">
      <c r="A76" s="100">
        <v>44936</v>
      </c>
      <c r="B76" s="8" t="s">
        <v>1264</v>
      </c>
      <c r="E76" s="163">
        <v>-79.34</v>
      </c>
    </row>
    <row r="77" spans="1:8">
      <c r="A77" s="100">
        <v>44937</v>
      </c>
      <c r="B77" s="8" t="s">
        <v>1214</v>
      </c>
      <c r="E77" s="163">
        <v>-123.45</v>
      </c>
    </row>
    <row r="78" spans="1:8">
      <c r="A78" s="100">
        <v>44938</v>
      </c>
      <c r="B78" s="8" t="s">
        <v>1215</v>
      </c>
      <c r="E78" s="163">
        <v>-113.57</v>
      </c>
    </row>
    <row r="79" spans="1:8">
      <c r="A79" s="100">
        <v>44939</v>
      </c>
      <c r="B79" s="8" t="s">
        <v>1216</v>
      </c>
      <c r="E79" s="163">
        <v>-118.62</v>
      </c>
    </row>
    <row r="80" spans="1:8">
      <c r="A80" s="100">
        <v>44940</v>
      </c>
      <c r="B80" s="8" t="s">
        <v>1217</v>
      </c>
      <c r="E80" s="163">
        <v>-123.85</v>
      </c>
    </row>
    <row r="81" spans="1:8">
      <c r="A81" s="100">
        <v>44942</v>
      </c>
      <c r="B81" s="8" t="s">
        <v>1220</v>
      </c>
      <c r="E81" s="163">
        <v>-177.33</v>
      </c>
    </row>
    <row r="82" spans="1:8">
      <c r="A82" s="100">
        <v>44947</v>
      </c>
      <c r="B82" s="8" t="s">
        <v>1057</v>
      </c>
      <c r="E82" s="163">
        <v>-100</v>
      </c>
    </row>
    <row r="83" spans="1:8">
      <c r="A83" s="100">
        <v>44949</v>
      </c>
      <c r="B83" s="8" t="s">
        <v>1221</v>
      </c>
      <c r="E83" s="163">
        <v>-111.1</v>
      </c>
    </row>
    <row r="84" spans="1:8">
      <c r="A84" s="100">
        <v>44950</v>
      </c>
      <c r="B84" s="8" t="s">
        <v>1265</v>
      </c>
      <c r="E84" s="163">
        <v>-99.87</v>
      </c>
    </row>
    <row r="85" spans="1:8">
      <c r="A85" s="100">
        <v>44951</v>
      </c>
      <c r="B85" s="8" t="s">
        <v>1266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1267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1268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1269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1270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1271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540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1272</v>
      </c>
      <c r="E94" s="163">
        <v>-164.8</v>
      </c>
    </row>
    <row r="95" spans="1:8">
      <c r="A95" s="100">
        <v>44930</v>
      </c>
      <c r="B95" s="107" t="s">
        <v>1273</v>
      </c>
      <c r="E95" s="163">
        <v>-139.33000000000001</v>
      </c>
    </row>
    <row r="96" spans="1:8">
      <c r="A96" s="100">
        <v>44931</v>
      </c>
      <c r="B96" s="107" t="s">
        <v>1274</v>
      </c>
      <c r="E96" s="163">
        <v>-143.19999999999999</v>
      </c>
    </row>
    <row r="97" spans="1:7">
      <c r="A97" s="100">
        <v>44934</v>
      </c>
      <c r="B97" s="8" t="s">
        <v>1275</v>
      </c>
      <c r="E97" s="163">
        <v>-297.38</v>
      </c>
    </row>
    <row r="98" spans="1:7">
      <c r="A98" s="100">
        <v>44944</v>
      </c>
      <c r="B98" s="8" t="s">
        <v>1276</v>
      </c>
      <c r="E98" s="163">
        <v>-286.02999999999997</v>
      </c>
    </row>
    <row r="99" spans="1:7">
      <c r="A99" s="100">
        <v>44944</v>
      </c>
      <c r="B99" s="8" t="s">
        <v>1276</v>
      </c>
      <c r="E99" s="163">
        <v>-423.18</v>
      </c>
    </row>
    <row r="100" spans="1:7">
      <c r="A100" s="100">
        <v>44950</v>
      </c>
      <c r="B100" s="8" t="s">
        <v>1277</v>
      </c>
      <c r="D100" s="35"/>
      <c r="E100" s="163">
        <v>-31.35</v>
      </c>
    </row>
    <row r="101" spans="1:7">
      <c r="B101" t="s">
        <v>1278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1279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300</v>
      </c>
      <c r="E114" s="163">
        <v>44567</v>
      </c>
    </row>
    <row r="115" spans="1:5">
      <c r="A115" s="100">
        <v>45291</v>
      </c>
      <c r="B115" s="8" t="s">
        <v>301</v>
      </c>
      <c r="E115" s="163">
        <v>5590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806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807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808</v>
      </c>
      <c r="E119" s="163">
        <v>34000</v>
      </c>
    </row>
    <row r="120" spans="1:5">
      <c r="A120" s="100"/>
    </row>
    <row r="121" spans="1:5">
      <c r="D121" t="s">
        <v>1280</v>
      </c>
      <c r="E121" s="63">
        <f>H2</f>
        <v>-50451.479999999989</v>
      </c>
    </row>
    <row r="123" spans="1:5">
      <c r="D123" s="18" t="s">
        <v>155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1281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753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754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1282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1283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815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1242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870</v>
      </c>
      <c r="B22" t="s">
        <v>1233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870</v>
      </c>
      <c r="B23" t="s">
        <v>1284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1285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325</v>
      </c>
      <c r="E29" s="63"/>
      <c r="G29" s="63"/>
      <c r="H29" s="63"/>
    </row>
    <row r="30" spans="1:8">
      <c r="A30" s="103" t="s">
        <v>326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1250</v>
      </c>
      <c r="C31" s="312"/>
      <c r="D31" s="312" t="s">
        <v>1286</v>
      </c>
      <c r="E31" s="313"/>
      <c r="H31" s="63"/>
    </row>
    <row r="32" spans="1:8">
      <c r="A32" s="317">
        <v>44844</v>
      </c>
      <c r="B32" s="312" t="s">
        <v>1252</v>
      </c>
      <c r="C32" s="314"/>
      <c r="D32" s="312" t="s">
        <v>1253</v>
      </c>
      <c r="E32" s="312"/>
      <c r="H32" s="63"/>
    </row>
    <row r="33" spans="1:8">
      <c r="A33" s="317"/>
      <c r="B33" s="312" t="s">
        <v>1287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328</v>
      </c>
      <c r="D36" s="2">
        <v>1221.74</v>
      </c>
      <c r="E36" s="63">
        <v>1222</v>
      </c>
      <c r="H36" s="63"/>
    </row>
    <row r="37" spans="1:8">
      <c r="B37" t="s">
        <v>329</v>
      </c>
      <c r="D37" s="2">
        <v>1264.8699999999999</v>
      </c>
      <c r="E37" s="63">
        <v>1265</v>
      </c>
      <c r="F37" s="63"/>
      <c r="G37" s="63"/>
    </row>
    <row r="38" spans="1:8">
      <c r="B38" t="s">
        <v>330</v>
      </c>
      <c r="D38" s="2">
        <v>366.02</v>
      </c>
      <c r="E38" s="63">
        <v>366</v>
      </c>
      <c r="F38" s="63"/>
      <c r="G38" s="63"/>
    </row>
    <row r="39" spans="1:8">
      <c r="B39" t="s">
        <v>1288</v>
      </c>
      <c r="D39" s="17">
        <v>200</v>
      </c>
      <c r="F39" s="63"/>
      <c r="G39" s="63"/>
    </row>
    <row r="40" spans="1:8">
      <c r="B40" t="s">
        <v>1289</v>
      </c>
      <c r="D40" s="2">
        <v>1479.95</v>
      </c>
      <c r="E40">
        <v>1480</v>
      </c>
      <c r="F40" s="63"/>
      <c r="G40" s="63"/>
    </row>
    <row r="41" spans="1:8">
      <c r="B41" t="s">
        <v>1290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1291</v>
      </c>
      <c r="C42" s="106"/>
      <c r="D42" s="333">
        <v>200</v>
      </c>
      <c r="E42">
        <v>200</v>
      </c>
      <c r="F42" s="63"/>
      <c r="G42" s="63"/>
    </row>
    <row r="43" spans="1:8">
      <c r="B43" t="s">
        <v>333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1292</v>
      </c>
      <c r="C50" s="106"/>
      <c r="D50" s="106" t="s">
        <v>513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1293</v>
      </c>
      <c r="C51" s="106"/>
      <c r="D51" s="106" t="s">
        <v>513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1294</v>
      </c>
      <c r="C52" s="106"/>
      <c r="D52" s="106" t="s">
        <v>607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1295</v>
      </c>
      <c r="C53" s="106"/>
      <c r="D53" s="101" t="s">
        <v>1149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1172</v>
      </c>
      <c r="C54" s="106"/>
      <c r="D54" s="106" t="s">
        <v>1084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1173</v>
      </c>
      <c r="C55" s="106"/>
      <c r="D55" s="106" t="s">
        <v>1084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1174</v>
      </c>
      <c r="C56" s="106"/>
      <c r="D56" s="106" t="s">
        <v>1084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1175</v>
      </c>
      <c r="C57" s="106"/>
      <c r="D57" s="106" t="s">
        <v>1084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1296</v>
      </c>
      <c r="E58" s="63">
        <v>-182.4</v>
      </c>
      <c r="F58" s="63"/>
      <c r="G58" s="63"/>
      <c r="H58" s="63"/>
    </row>
    <row r="59" spans="1:8">
      <c r="A59" s="100"/>
      <c r="B59" s="8" t="s">
        <v>1297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1298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1299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409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1300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1301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1302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1303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1304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1305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1306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1307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1308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1309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1310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132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1311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1312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1313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1314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1315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391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1316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1317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300</v>
      </c>
      <c r="E114">
        <v>40162.18</v>
      </c>
    </row>
    <row r="115" spans="1:5">
      <c r="A115" s="100">
        <v>45291</v>
      </c>
      <c r="B115" s="8" t="s">
        <v>301</v>
      </c>
      <c r="E115">
        <v>44912.09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806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807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808</v>
      </c>
      <c r="E119">
        <v>60000</v>
      </c>
    </row>
    <row r="120" spans="1:5">
      <c r="B120" t="s">
        <v>1318</v>
      </c>
      <c r="E120" s="63">
        <f>H2</f>
        <v>-14998.419999999998</v>
      </c>
    </row>
    <row r="122" spans="1:5">
      <c r="D122" s="18" t="s">
        <v>155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797</v>
      </c>
      <c r="L2" s="335" t="s">
        <v>798</v>
      </c>
      <c r="M2" s="335" t="s">
        <v>32</v>
      </c>
      <c r="N2" s="26" t="s">
        <v>1319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1320</v>
      </c>
      <c r="J7">
        <v>95</v>
      </c>
      <c r="M7" s="2">
        <v>23.75</v>
      </c>
    </row>
    <row r="8" spans="1:14">
      <c r="A8" t="s">
        <v>1321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1322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1323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1324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1325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1326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1327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1328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1329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329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330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1330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331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332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1331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333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1332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1333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1334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1335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1336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1337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1338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1339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1340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1341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1342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1343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1343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1344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1345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1346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1347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1348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1349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1350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1351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1352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1353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1354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1355</v>
      </c>
      <c r="C46" s="106" t="s">
        <v>1356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1357</v>
      </c>
      <c r="C47" s="106" t="s">
        <v>1356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1358</v>
      </c>
      <c r="C48" s="106" t="s">
        <v>1359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1360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671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1361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1362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1363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1364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1365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1366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1367</v>
      </c>
      <c r="C69" s="277"/>
      <c r="D69" s="326">
        <v>200</v>
      </c>
      <c r="E69" s="63" t="s">
        <v>1368</v>
      </c>
      <c r="H69" s="63"/>
    </row>
    <row r="70" spans="1:8">
      <c r="A70" s="345">
        <v>44839</v>
      </c>
      <c r="B70" s="277" t="s">
        <v>1369</v>
      </c>
      <c r="C70" s="277"/>
      <c r="D70" s="326">
        <v>200</v>
      </c>
      <c r="E70" s="63" t="s">
        <v>1368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1250</v>
      </c>
      <c r="C72" s="277">
        <v>3</v>
      </c>
      <c r="D72" s="8" t="s">
        <v>1370</v>
      </c>
      <c r="E72" s="63"/>
    </row>
    <row r="73" spans="1:8">
      <c r="A73" s="345">
        <v>44844</v>
      </c>
      <c r="B73" s="277" t="s">
        <v>1252</v>
      </c>
      <c r="C73" s="171"/>
      <c r="D73" s="8" t="s">
        <v>1253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1371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329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330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1367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331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332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1372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333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1332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1373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1325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1326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1374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1375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1376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1377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1378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1379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1380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1381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1382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1383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1226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1384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1385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1386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1387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1388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1389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671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1390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1391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1392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1393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1394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1395</v>
      </c>
      <c r="H54" s="63">
        <f t="shared" si="1"/>
        <v>159986.79999999999</v>
      </c>
    </row>
    <row r="56" spans="1:8">
      <c r="A56" s="100">
        <v>44844</v>
      </c>
      <c r="B56" s="349" t="s">
        <v>1252</v>
      </c>
      <c r="C56" s="349"/>
      <c r="D56" s="350">
        <v>2000</v>
      </c>
    </row>
    <row r="57" spans="1:8">
      <c r="A57" s="100">
        <v>44839</v>
      </c>
      <c r="B57" s="349" t="s">
        <v>1369</v>
      </c>
      <c r="C57" s="349"/>
      <c r="D57" s="350">
        <v>200</v>
      </c>
    </row>
    <row r="59" spans="1:8">
      <c r="A59" s="345">
        <v>44803</v>
      </c>
      <c r="B59" s="277" t="s">
        <v>1250</v>
      </c>
      <c r="C59" s="277"/>
      <c r="D59" s="346"/>
    </row>
    <row r="60" spans="1:8">
      <c r="A60" s="345">
        <v>44772</v>
      </c>
      <c r="B60" s="277" t="s">
        <v>1396</v>
      </c>
      <c r="C60" s="277"/>
      <c r="D60" s="346"/>
    </row>
    <row r="61" spans="1:8">
      <c r="A61" s="345">
        <v>44742</v>
      </c>
      <c r="B61" s="277" t="s">
        <v>1397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1398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1399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329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330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1369</v>
      </c>
      <c r="D8" s="17">
        <v>200</v>
      </c>
      <c r="E8" s="63"/>
      <c r="F8" s="63"/>
      <c r="G8" s="63"/>
      <c r="H8" s="63"/>
    </row>
    <row r="9" spans="1:8">
      <c r="B9" t="s">
        <v>331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332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332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333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1332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1325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1326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1400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1401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1402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1403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1404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1405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1406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1407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1408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611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611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1409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611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1410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524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1411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1412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611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611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1413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1414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1415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1416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1417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611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1409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1418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1419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1408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1420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1421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1422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1423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1424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1425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1426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364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1427</v>
      </c>
      <c r="G56" s="63"/>
      <c r="H56" s="63">
        <f t="shared" si="1"/>
        <v>-42104.91</v>
      </c>
    </row>
    <row r="57" spans="1:8">
      <c r="A57" s="100"/>
      <c r="B57" s="8" t="s">
        <v>1428</v>
      </c>
      <c r="G57" s="63"/>
      <c r="H57" s="63">
        <f t="shared" si="1"/>
        <v>-42104.91</v>
      </c>
    </row>
    <row r="58" spans="1:8">
      <c r="A58" s="100">
        <v>44844</v>
      </c>
      <c r="B58" s="8" t="s">
        <v>1429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1429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1430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1252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1431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1432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1433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671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1434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1435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1436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1395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1437</v>
      </c>
      <c r="H82" s="63">
        <f t="shared" si="2"/>
        <v>-11205.910000000003</v>
      </c>
    </row>
    <row r="83" spans="1:8">
      <c r="B83" s="351" t="s">
        <v>1438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1439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1250</v>
      </c>
      <c r="C87" s="277"/>
      <c r="D87" s="353">
        <v>4000</v>
      </c>
      <c r="H87" s="63"/>
    </row>
    <row r="88" spans="1:8">
      <c r="A88" s="345">
        <v>44772</v>
      </c>
      <c r="B88" s="277" t="s">
        <v>1396</v>
      </c>
      <c r="C88" s="277"/>
      <c r="D88" s="353">
        <v>4000</v>
      </c>
      <c r="H88" s="63"/>
    </row>
    <row r="89" spans="1:8">
      <c r="A89" s="345">
        <v>44742</v>
      </c>
      <c r="B89" s="277" t="s">
        <v>1397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1440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329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1441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333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1332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1325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1326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1442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1443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1444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1432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1445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1446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1447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1448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1449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1450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1451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1452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1453</v>
      </c>
      <c r="C27" s="106" t="s">
        <v>1454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364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1455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1456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671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1457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1458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1459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1438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1250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1396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1397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1460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1461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1441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333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1332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1325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1326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1462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1463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1464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1432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1445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1465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1466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1452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1467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1468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1469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1470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179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1471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1472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1473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1474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1475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1476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1477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1478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1479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1479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1480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1481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1482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671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1483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1438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1250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1484</v>
      </c>
      <c r="H54" s="63">
        <f t="shared" si="1"/>
        <v>61721.7</v>
      </c>
    </row>
    <row r="55" spans="1:8">
      <c r="B55" s="325" t="s">
        <v>1485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1486</v>
      </c>
      <c r="C56" s="358" t="s">
        <v>1487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1488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1397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1396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1489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1461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333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1332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1325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1326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1490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1491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1492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1493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1494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1432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1445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1495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1496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1222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1497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1498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1499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1500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1501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1502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1226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1452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1503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1074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1073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1504</v>
      </c>
      <c r="C41" s="8" t="s">
        <v>1487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1505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1506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1507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1485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1508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1396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1509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1397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1510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1511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329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1461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333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1332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1325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1326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1512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1513</v>
      </c>
      <c r="C15" t="s">
        <v>1487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1514</v>
      </c>
      <c r="C16" t="s">
        <v>1515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1516</v>
      </c>
      <c r="E18" s="63"/>
      <c r="F18" s="63"/>
      <c r="G18" s="63"/>
      <c r="H18" s="63">
        <f t="shared" si="0"/>
        <v>-5596.51</v>
      </c>
    </row>
    <row r="19" spans="1:8">
      <c r="B19" t="s">
        <v>1517</v>
      </c>
      <c r="E19" s="63"/>
      <c r="F19" s="63"/>
      <c r="G19" s="63"/>
      <c r="H19" s="63">
        <f t="shared" si="0"/>
        <v>-5596.51</v>
      </c>
    </row>
    <row r="20" spans="1:8">
      <c r="B20" t="s">
        <v>1518</v>
      </c>
      <c r="E20" s="63"/>
      <c r="F20" s="63"/>
      <c r="G20" s="63"/>
      <c r="H20" s="63">
        <f t="shared" si="0"/>
        <v>-5596.51</v>
      </c>
    </row>
    <row r="21" spans="1:8">
      <c r="B21" t="s">
        <v>1519</v>
      </c>
      <c r="C21" t="s">
        <v>1487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1520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1521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1500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1522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1523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1524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1525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1057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1452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1526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1432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1445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1527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1528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1529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1530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1531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1397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1532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1533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1511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329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1534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1441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333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1332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1325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1326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1432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1445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132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1535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1535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132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1347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1536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1537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1452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671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1538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1531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1511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329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1461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333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1332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1325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1326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1432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1445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1540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1541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1542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1543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1544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1545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1452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1546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1547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1548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1549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1550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1551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1552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1511</v>
      </c>
      <c r="C5" s="8" t="s">
        <v>1553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329</v>
      </c>
      <c r="C6" s="8" t="s">
        <v>1553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1461</v>
      </c>
      <c r="C7" s="8" t="s">
        <v>1553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333</v>
      </c>
      <c r="C8" s="8" t="s">
        <v>1553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1332</v>
      </c>
      <c r="C9" s="106" t="s">
        <v>1554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1325</v>
      </c>
      <c r="C10" s="101" t="s">
        <v>1554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1326</v>
      </c>
      <c r="C11" s="101" t="s">
        <v>1554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1432</v>
      </c>
      <c r="C13" s="106" t="s">
        <v>1554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1445</v>
      </c>
      <c r="C14" s="106" t="s">
        <v>1554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1555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1556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1557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1452</v>
      </c>
      <c r="C19" s="381" t="s">
        <v>1554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1554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1554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1558</v>
      </c>
      <c r="C23" s="8" t="s">
        <v>1554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1554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671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1559</v>
      </c>
      <c r="C28" s="63" t="s">
        <v>1553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1560</v>
      </c>
      <c r="C30" s="63" t="s">
        <v>1553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1561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1562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1563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1511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329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1461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333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1332</v>
      </c>
      <c r="C9" s="106" t="s">
        <v>1554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1325</v>
      </c>
      <c r="C10" s="101" t="s">
        <v>1554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1326</v>
      </c>
      <c r="C11" s="101" t="s">
        <v>1554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1432</v>
      </c>
      <c r="C13" s="106" t="s">
        <v>1554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1445</v>
      </c>
      <c r="C14" s="106" t="s">
        <v>1554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1452</v>
      </c>
      <c r="C16" s="381" t="s">
        <v>1554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1555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1564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1565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1487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1566</v>
      </c>
      <c r="C22" s="8" t="s">
        <v>1567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1487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1568</v>
      </c>
      <c r="C24" s="8" t="s">
        <v>1487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1569</v>
      </c>
      <c r="C28" s="8" t="s">
        <v>1554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1569</v>
      </c>
      <c r="C29" s="8" t="s">
        <v>1554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1570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1571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1572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1511</v>
      </c>
      <c r="C5" s="8" t="s">
        <v>1553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329</v>
      </c>
      <c r="C6" s="8" t="s">
        <v>1553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1461</v>
      </c>
      <c r="C7" s="8" t="s">
        <v>1553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333</v>
      </c>
      <c r="C8" s="8" t="s">
        <v>1553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1332</v>
      </c>
      <c r="C9" s="106" t="s">
        <v>1554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1325</v>
      </c>
      <c r="C10" s="101" t="s">
        <v>1554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1326</v>
      </c>
      <c r="C11" s="101" t="s">
        <v>1554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1432</v>
      </c>
      <c r="C13" s="106" t="s">
        <v>1554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1445</v>
      </c>
      <c r="C14" s="106" t="s">
        <v>1554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1555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1452</v>
      </c>
      <c r="C17" s="381" t="s">
        <v>1554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1487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1487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1554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671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1573</v>
      </c>
      <c r="C25" s="8" t="s">
        <v>1553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1574</v>
      </c>
    </row>
    <row r="3" spans="1:14">
      <c r="A3" t="s">
        <v>1575</v>
      </c>
      <c r="C3" t="s">
        <v>1576</v>
      </c>
      <c r="D3" t="s">
        <v>1577</v>
      </c>
    </row>
    <row r="4" spans="1:14">
      <c r="A4" t="s">
        <v>1578</v>
      </c>
      <c r="C4" t="s">
        <v>1579</v>
      </c>
      <c r="D4" t="s">
        <v>1580</v>
      </c>
    </row>
    <row r="5" spans="1:14">
      <c r="A5" t="s">
        <v>1581</v>
      </c>
      <c r="C5" t="s">
        <v>1579</v>
      </c>
      <c r="D5" t="s">
        <v>1582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797</v>
      </c>
      <c r="L11" s="335" t="s">
        <v>798</v>
      </c>
      <c r="M11" s="335" t="s">
        <v>32</v>
      </c>
      <c r="N11" s="26" t="s">
        <v>1319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1320</v>
      </c>
      <c r="J16">
        <v>95</v>
      </c>
      <c r="K16" s="2"/>
      <c r="M16" s="2">
        <v>23.75</v>
      </c>
    </row>
    <row r="17" spans="1:14">
      <c r="A17" t="s">
        <v>1321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1322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1323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2025-04-04T08:39:34Z</cp:lastPrinted>
  <dcterms:created xsi:type="dcterms:W3CDTF">2022-03-04T11:30:59Z</dcterms:created>
  <dcterms:modified xsi:type="dcterms:W3CDTF">2025-05-09T07:58:31Z</dcterms:modified>
  <dc:language>tr-TR</dc:language>
</cp:coreProperties>
</file>