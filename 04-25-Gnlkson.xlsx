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BADF3CA-41B7-4C88-A027-8AA9E4F5509D}" xr6:coauthVersionLast="47" xr6:coauthVersionMax="47" xr10:uidLastSave="{00000000-0000-0000-0000-000000000000}"/>
  <bookViews>
    <workbookView xWindow="-120" yWindow="-120" windowWidth="29040" windowHeight="15720" tabRatio="839" activeTab="13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7" i="12" l="1"/>
  <c r="E61" i="12"/>
  <c r="F146" i="13"/>
  <c r="F145" i="13"/>
  <c r="G164" i="13"/>
  <c r="E164" i="13"/>
  <c r="I164" i="13" s="1"/>
  <c r="G128" i="13"/>
  <c r="E128" i="13"/>
  <c r="H41" i="13"/>
  <c r="H42" i="13" s="1"/>
  <c r="I128" i="13" l="1"/>
  <c r="G162" i="13"/>
  <c r="E162" i="13"/>
  <c r="I162" i="13" s="1"/>
  <c r="G130" i="13"/>
  <c r="E130" i="13"/>
  <c r="F134" i="14"/>
  <c r="G132" i="14"/>
  <c r="E129" i="13"/>
  <c r="G160" i="13"/>
  <c r="E160" i="13"/>
  <c r="I159" i="13"/>
  <c r="G158" i="13"/>
  <c r="E158" i="13"/>
  <c r="C155" i="13"/>
  <c r="G146" i="13"/>
  <c r="E146" i="13"/>
  <c r="N4" i="2" s="1"/>
  <c r="G145" i="13"/>
  <c r="E145" i="13"/>
  <c r="G144" i="13"/>
  <c r="E144" i="13"/>
  <c r="G141" i="13"/>
  <c r="E141" i="13"/>
  <c r="G140" i="13"/>
  <c r="E140" i="13"/>
  <c r="G139" i="13"/>
  <c r="E139" i="13"/>
  <c r="E138" i="13"/>
  <c r="G137" i="13"/>
  <c r="E137" i="13"/>
  <c r="F134" i="13"/>
  <c r="G134" i="13" s="1"/>
  <c r="E134" i="13"/>
  <c r="G133" i="13"/>
  <c r="E133" i="13"/>
  <c r="G132" i="13"/>
  <c r="E132" i="13"/>
  <c r="E131" i="13"/>
  <c r="F131" i="13"/>
  <c r="E127" i="13"/>
  <c r="G126" i="13"/>
  <c r="E126" i="13"/>
  <c r="D73" i="14"/>
  <c r="D74" i="14" s="1"/>
  <c r="B74" i="14" s="1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6" i="13"/>
  <c r="E8" i="13" s="1"/>
  <c r="G8" i="13" s="1"/>
  <c r="E41" i="13"/>
  <c r="E7" i="13" s="1"/>
  <c r="H4" i="13"/>
  <c r="H5" i="13" s="1"/>
  <c r="H6" i="13" s="1"/>
  <c r="F2" i="13"/>
  <c r="E4" i="2" s="1"/>
  <c r="D2" i="13"/>
  <c r="B4" i="2" s="1"/>
  <c r="E8" i="12"/>
  <c r="G8" i="12" s="1"/>
  <c r="E7" i="12"/>
  <c r="G7" i="12"/>
  <c r="H4" i="12"/>
  <c r="H5" i="12" s="1"/>
  <c r="H6" i="12" s="1"/>
  <c r="F2" i="12"/>
  <c r="E5" i="2" s="1"/>
  <c r="D2" i="12"/>
  <c r="B5" i="2" s="1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D76" i="14" l="1"/>
  <c r="I160" i="13"/>
  <c r="H7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29" i="13"/>
  <c r="G129" i="13" s="1"/>
  <c r="I130" i="13"/>
  <c r="E147" i="13"/>
  <c r="I146" i="13"/>
  <c r="E142" i="13"/>
  <c r="I137" i="13"/>
  <c r="I132" i="13"/>
  <c r="I133" i="13"/>
  <c r="G131" i="13"/>
  <c r="I131" i="13" s="1"/>
  <c r="F138" i="13"/>
  <c r="G138" i="13" s="1"/>
  <c r="I138" i="13" s="1"/>
  <c r="I140" i="13"/>
  <c r="G127" i="13"/>
  <c r="I139" i="13"/>
  <c r="I145" i="13"/>
  <c r="H147" i="13"/>
  <c r="I134" i="13"/>
  <c r="I141" i="13"/>
  <c r="I126" i="13"/>
  <c r="E135" i="13"/>
  <c r="I158" i="13"/>
  <c r="I169" i="13" s="1"/>
  <c r="H142" i="13"/>
  <c r="I144" i="13"/>
  <c r="H146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41" i="13" l="1"/>
  <c r="H7" i="13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2" i="12"/>
  <c r="G154" i="13"/>
  <c r="H135" i="13"/>
  <c r="I129" i="13"/>
  <c r="H134" i="13"/>
  <c r="G116" i="13"/>
  <c r="I127" i="13"/>
  <c r="I135" i="13" s="1"/>
  <c r="H152" i="13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0" i="13"/>
  <c r="H31" i="13" s="1"/>
  <c r="H32" i="13" s="1"/>
  <c r="H33" i="13" s="1"/>
  <c r="H34" i="13" s="1"/>
  <c r="H35" i="13" s="1"/>
  <c r="H36" i="13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30" i="14" l="1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<sst xmlns="http://schemas.openxmlformats.org/spreadsheetml/2006/main" count="4494" uniqueCount="1675">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</sst>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4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0" fontId="22" fillId="0" borderId="0" xfId="0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0" borderId="0" xfId="0" applyNumberFormat="1" applyFont="1" applyFill="1"/>
    <xf numFmtId="177" fontId="0" fillId="21" borderId="0" xfId="0" applyNumberForma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4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zoomScale="175" zoomScaleNormal="175" workbookViewId="0">
      <selection activeCell="B9" sqref="B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3">
        <v>45667</v>
      </c>
      <c r="B7" s="424" t="s">
        <v>5</v>
      </c>
      <c r="C7" s="394"/>
      <c r="D7" s="425">
        <v>20000</v>
      </c>
      <c r="E7" s="425"/>
      <c r="F7" s="2">
        <f t="shared" ref="F7:F16" si="0">F6+D7-E7</f>
        <v>277330</v>
      </c>
    </row>
    <row r="8" spans="1:6" s="11" customFormat="1">
      <c r="A8" s="423">
        <v>45672</v>
      </c>
      <c r="B8" s="424" t="s">
        <v>1590</v>
      </c>
      <c r="C8" s="394"/>
      <c r="D8" s="425"/>
      <c r="E8" s="425">
        <v>25000</v>
      </c>
      <c r="F8" s="12">
        <f t="shared" si="0"/>
        <v>252330</v>
      </c>
    </row>
    <row r="9" spans="1:6">
      <c r="A9" s="423">
        <v>45672</v>
      </c>
      <c r="B9" s="394" t="s">
        <v>1591</v>
      </c>
      <c r="C9" s="394"/>
      <c r="D9" s="425"/>
      <c r="E9" s="425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1593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1594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1595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1596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1597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36" t="s">
        <v>26</v>
      </c>
      <c r="M1" s="43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0</v>
      </c>
      <c r="F4" s="32">
        <f>'02_25'!G2</f>
        <v>-69456.33</v>
      </c>
      <c r="G4" s="33">
        <f t="shared" ref="G4:G14" si="1">E4+F4+G3</f>
        <v>191579.68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'02_25'!E146/1000</f>
        <v>16.2</v>
      </c>
    </row>
    <row r="5" spans="1:14">
      <c r="A5" t="s">
        <v>37</v>
      </c>
      <c r="B5" s="32">
        <f>'03_25'!D2</f>
        <v>15000</v>
      </c>
      <c r="C5" s="32">
        <f>'03_25'!E2</f>
        <v>-76451.259999999995</v>
      </c>
      <c r="D5" s="33">
        <f t="shared" si="0"/>
        <v>251249.93999999994</v>
      </c>
      <c r="E5" s="32">
        <f>'03_25'!F2</f>
        <v>0</v>
      </c>
      <c r="F5" s="32">
        <f>'03_25'!G2</f>
        <v>-30154.199999999997</v>
      </c>
      <c r="G5" s="33">
        <f t="shared" si="1"/>
        <v>161425.47999999998</v>
      </c>
      <c r="H5" s="34"/>
      <c r="I5" s="35" t="s">
        <v>38</v>
      </c>
      <c r="K5" s="39"/>
      <c r="L5" s="37"/>
      <c r="M5" s="38">
        <f>J5</f>
        <v>0</v>
      </c>
      <c r="N5" s="8">
        <f>'03_25'!E139/1000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218963.09999999995</v>
      </c>
      <c r="E6" s="32">
        <f>'04_25'!F2</f>
        <v>0</v>
      </c>
      <c r="F6" s="32">
        <f>'04_25'!G2</f>
        <v>-989.78</v>
      </c>
      <c r="G6" s="33">
        <f t="shared" si="1"/>
        <v>160435.69999999998</v>
      </c>
      <c r="H6" s="34"/>
      <c r="I6" s="41" t="s">
        <v>40</v>
      </c>
      <c r="K6" s="39"/>
      <c r="L6" s="37"/>
      <c r="M6" s="42">
        <f>E18/1000</f>
        <v>0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188056.25999999995</v>
      </c>
      <c r="E7" s="32">
        <f>'05_25'!F2</f>
        <v>0</v>
      </c>
      <c r="F7" s="32">
        <f>'05_25'!G2</f>
        <v>-989.78</v>
      </c>
      <c r="G7" s="33">
        <f t="shared" si="1"/>
        <v>159445.91999999998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149649.41999999995</v>
      </c>
      <c r="E8" s="32">
        <f>'06_25'!F2</f>
        <v>0</v>
      </c>
      <c r="F8" s="32">
        <f>'06_25'!G2</f>
        <v>-989.78</v>
      </c>
      <c r="G8" s="33">
        <f t="shared" si="1"/>
        <v>158456.13999999998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111242.57999999996</v>
      </c>
      <c r="E9" s="32">
        <f>'07_25'!F2</f>
        <v>0</v>
      </c>
      <c r="F9" s="32">
        <f>'07_25'!G2</f>
        <v>-989.78</v>
      </c>
      <c r="G9" s="33">
        <f t="shared" si="1"/>
        <v>157466.35999999999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72835.739999999962</v>
      </c>
      <c r="E10" s="32">
        <f>'08_25'!F2</f>
        <v>0</v>
      </c>
      <c r="F10" s="32">
        <f>'08_25'!G2</f>
        <v>-989.78</v>
      </c>
      <c r="G10" s="33">
        <f t="shared" si="1"/>
        <v>156476.57999999999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35418.679999999964</v>
      </c>
      <c r="E11" s="32">
        <f>'09_25'!F2</f>
        <v>0</v>
      </c>
      <c r="F11" s="32">
        <f>'09_25'!G2</f>
        <v>0</v>
      </c>
      <c r="G11" s="33">
        <f t="shared" si="1"/>
        <v>156476.57999999999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-1998.3800000000338</v>
      </c>
      <c r="E12" s="32">
        <f>'10_25'!F2</f>
        <v>0</v>
      </c>
      <c r="F12" s="32">
        <f>'10_25'!G2</f>
        <v>0</v>
      </c>
      <c r="G12" s="33">
        <f t="shared" si="1"/>
        <v>156476.57999999999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-39415.440000000031</v>
      </c>
      <c r="E13" s="32">
        <f>'11_25'!F2</f>
        <v>0</v>
      </c>
      <c r="F13" s="32">
        <f>'11_25'!G2</f>
        <v>0</v>
      </c>
      <c r="G13" s="33">
        <f t="shared" si="1"/>
        <v>156476.57999999999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-76832.500000000029</v>
      </c>
      <c r="E14" s="32">
        <f>'12_25'!F2</f>
        <v>0</v>
      </c>
      <c r="F14" s="32">
        <f>'12_25'!G2</f>
        <v>0</v>
      </c>
      <c r="G14" s="33">
        <f t="shared" si="1"/>
        <v>156476.57999999999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-670496.5</v>
      </c>
      <c r="D15" s="33">
        <f>B15+C15</f>
        <v>-76832.5</v>
      </c>
      <c r="E15" s="33">
        <f>SUM(E3:E14)</f>
        <v>320054.88</v>
      </c>
      <c r="F15" s="33">
        <f>SUM(F3:F14)</f>
        <v>-163578.30000000002</v>
      </c>
      <c r="G15" s="33">
        <f>E15+F15</f>
        <v>156476.57999999999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236.25</v>
      </c>
    </row>
    <row r="16" spans="1:14">
      <c r="A16" s="53">
        <v>12</v>
      </c>
      <c r="B16" s="54">
        <f>B15/A16</f>
        <v>49472</v>
      </c>
      <c r="C16" s="55">
        <f>C15/A16</f>
        <v>-55874.708333333336</v>
      </c>
      <c r="D16" s="55"/>
      <c r="E16" s="55">
        <f>E15/A16</f>
        <v>26671.24</v>
      </c>
      <c r="F16" s="55">
        <f>F15/A16</f>
        <v>-13631.525000000001</v>
      </c>
      <c r="G16" s="55">
        <f>G15/A16</f>
        <v>13039.714999999998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19.6875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37">
        <f>L15+M15</f>
        <v>961.10596800000008</v>
      </c>
      <c r="M17" s="437"/>
    </row>
    <row r="18" spans="2:13">
      <c r="D18" s="64" t="s">
        <v>58</v>
      </c>
      <c r="E18" s="2">
        <f>'01_25'!F32+'02_25'!F19+'02_25'!F30+'03_25'!F19+'04_25'!F41+'05_25'!F22+'06_25'!F19+'06_25'!F31+'04_25'!F15</f>
        <v>0</v>
      </c>
      <c r="J18" s="35"/>
      <c r="K18" s="2" t="s">
        <v>59</v>
      </c>
      <c r="L18" s="65"/>
      <c r="M18" s="66">
        <f>L17/12</f>
        <v>80.092164000000011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02"/>
  <sheetViews>
    <sheetView topLeftCell="A13" zoomScale="190" zoomScaleNormal="190" workbookViewId="0">
      <selection activeCell="F17" sqref="F17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9" t="s">
        <v>101</v>
      </c>
      <c r="C2" s="79" t="s">
        <v>67</v>
      </c>
      <c r="D2" s="77">
        <f>SUM(D4:D33)</f>
        <v>15000</v>
      </c>
      <c r="E2" s="77">
        <f>SUM(E4:E33)</f>
        <v>-76451.259999999995</v>
      </c>
      <c r="F2" s="77">
        <f>SUM(F4:F33)</f>
        <v>0</v>
      </c>
      <c r="G2" s="77">
        <f>SUM(G4:G33)</f>
        <v>-30154.199999999997</v>
      </c>
      <c r="H2" s="77">
        <f>F2+G2</f>
        <v>-30154.199999999997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40"/>
      <c r="B6" s="428"/>
      <c r="C6" s="410"/>
      <c r="D6" s="408"/>
      <c r="E6" s="408"/>
      <c r="H6" s="77">
        <f t="shared" si="0"/>
        <v>0</v>
      </c>
    </row>
    <row r="7" spans="1:10">
      <c r="A7" s="440"/>
      <c r="B7" s="428" t="s">
        <v>68</v>
      </c>
      <c r="C7" s="429"/>
      <c r="D7" s="430"/>
      <c r="E7" s="408">
        <f>E37</f>
        <v>-18847.61</v>
      </c>
      <c r="F7" s="90"/>
      <c r="G7" s="90">
        <f>E7</f>
        <v>-18847.61</v>
      </c>
      <c r="H7" s="77">
        <f t="shared" si="0"/>
        <v>-18847.61</v>
      </c>
    </row>
    <row r="8" spans="1:10">
      <c r="A8" s="440"/>
      <c r="B8" s="428" t="s">
        <v>69</v>
      </c>
      <c r="C8" s="429"/>
      <c r="D8" s="430"/>
      <c r="E8" s="408">
        <f>E61</f>
        <v>-11306.589999999998</v>
      </c>
      <c r="F8" s="90"/>
      <c r="G8" s="90">
        <f>E8</f>
        <v>-11306.589999999998</v>
      </c>
      <c r="H8" s="77">
        <f t="shared" si="0"/>
        <v>-30154.199999999997</v>
      </c>
    </row>
    <row r="9" spans="1:10">
      <c r="G9" s="87"/>
      <c r="H9" s="77">
        <f t="shared" si="0"/>
        <v>-30154.199999999997</v>
      </c>
    </row>
    <row r="10" spans="1:10">
      <c r="B10" s="89" t="s">
        <v>70</v>
      </c>
      <c r="C10" s="89"/>
      <c r="D10" s="90"/>
      <c r="E10" s="90">
        <v>-2117.06</v>
      </c>
      <c r="H10" s="77">
        <f t="shared" si="0"/>
        <v>-30154.199999999997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-30154.199999999997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-30154.199999999997</v>
      </c>
    </row>
    <row r="13" spans="1:10">
      <c r="B13" s="92"/>
      <c r="C13" s="92"/>
      <c r="D13" s="90"/>
      <c r="E13" s="90"/>
      <c r="H13" s="77">
        <f t="shared" si="0"/>
        <v>-30154.199999999997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-30154.199999999997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-30154.199999999997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-30154.199999999997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-30154.199999999997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-30154.199999999997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-30154.199999999997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-30154.199999999997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-30154.199999999997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-30154.199999999997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-30154.199999999997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-30154.199999999997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-30154.199999999997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-30154.199999999997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-30154.199999999997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-30154.199999999997</v>
      </c>
    </row>
    <row r="29" spans="1:13">
      <c r="B29" s="101" t="s">
        <v>103</v>
      </c>
      <c r="C29" s="101"/>
      <c r="H29" s="77">
        <f t="shared" si="0"/>
        <v>-30154.199999999997</v>
      </c>
      <c r="I29" s="78"/>
      <c r="J29" s="78"/>
    </row>
    <row r="30" spans="1:13">
      <c r="H30" s="77">
        <f t="shared" si="0"/>
        <v>-30154.199999999997</v>
      </c>
    </row>
    <row r="31" spans="1:13">
      <c r="H31" s="77">
        <f t="shared" si="0"/>
        <v>-30154.199999999997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9"/>
      <c r="B36" s="102"/>
      <c r="K36" s="78"/>
      <c r="L36" s="78"/>
      <c r="M36" s="78"/>
      <c r="N36" s="78"/>
    </row>
    <row r="37" spans="1:14">
      <c r="A37" s="441"/>
      <c r="B37" s="104" t="s">
        <v>83</v>
      </c>
      <c r="C37" s="103"/>
      <c r="E37" s="77">
        <f>SUM(E38:E55)</f>
        <v>-18847.61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1640</v>
      </c>
      <c r="E40" s="77">
        <v>-2820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1642</v>
      </c>
      <c r="E41" s="77">
        <v>-3196.34</v>
      </c>
      <c r="K41" s="78"/>
      <c r="L41" s="78"/>
      <c r="M41" s="78"/>
      <c r="N41" s="78"/>
    </row>
    <row r="42" spans="1:14">
      <c r="A42" s="98">
        <v>45715</v>
      </c>
      <c r="B42" s="90" t="s">
        <v>1641</v>
      </c>
      <c r="C42" s="77"/>
      <c r="E42" s="77">
        <v>-467.95</v>
      </c>
      <c r="I42" s="77"/>
      <c r="J42" s="77"/>
    </row>
    <row r="43" spans="1:14" s="77" customFormat="1">
      <c r="A43" s="9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1659</v>
      </c>
      <c r="C45" s="106"/>
      <c r="E45" s="77">
        <v>-1580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1658</v>
      </c>
      <c r="C46" s="106"/>
      <c r="E46" s="77">
        <v>-1338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1660</v>
      </c>
      <c r="C47" s="106"/>
      <c r="E47" s="77">
        <v>-1200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1666</v>
      </c>
      <c r="E48" s="77">
        <v>-1300.54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1661</v>
      </c>
      <c r="C49" s="106"/>
      <c r="E49" s="77">
        <v>-3720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1674</v>
      </c>
      <c r="E50" s="77">
        <v>-2235</v>
      </c>
      <c r="K50" s="78"/>
      <c r="L50" s="78"/>
      <c r="M50" s="78"/>
      <c r="N50" s="78"/>
    </row>
    <row r="51" spans="1:14" s="90" customFormat="1">
      <c r="A51" s="98"/>
      <c r="B51" s="92"/>
      <c r="K51" s="78"/>
      <c r="L51" s="78"/>
      <c r="M51" s="78"/>
      <c r="N51" s="78"/>
    </row>
    <row r="52" spans="1:14" s="90" customFormat="1">
      <c r="A52" s="98"/>
      <c r="B52" s="92"/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 ht="15">
      <c r="A58" s="98"/>
      <c r="B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41"/>
      <c r="B61" s="104" t="s">
        <v>85</v>
      </c>
      <c r="C61" s="103"/>
      <c r="E61" s="77">
        <f>SUM(E62:E92)</f>
        <v>-11306.589999999998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9"/>
      <c r="F63" s="90"/>
      <c r="K63" s="78"/>
      <c r="L63" s="78"/>
      <c r="M63" s="78"/>
      <c r="N63" s="78"/>
    </row>
    <row r="64" spans="1:14" s="90" customFormat="1">
      <c r="A64" s="439">
        <v>45692</v>
      </c>
      <c r="B64" s="90" t="s">
        <v>1671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9">
        <v>45692</v>
      </c>
      <c r="B65" s="90" t="s">
        <v>1671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9"/>
      <c r="K66" s="78"/>
      <c r="L66" s="78"/>
      <c r="M66" s="78"/>
      <c r="N66" s="78"/>
    </row>
    <row r="67" spans="1:14" s="90" customFormat="1">
      <c r="A67" s="439"/>
      <c r="K67" s="78"/>
      <c r="L67" s="78"/>
      <c r="M67" s="78"/>
      <c r="N67" s="78"/>
    </row>
    <row r="68" spans="1:14" s="90" customFormat="1">
      <c r="A68" s="439"/>
      <c r="K68" s="78"/>
      <c r="L68" s="78"/>
      <c r="M68" s="78"/>
      <c r="N68" s="78"/>
    </row>
    <row r="69" spans="1:14" s="90" customFormat="1">
      <c r="A69" s="98">
        <v>45681</v>
      </c>
      <c r="B69" s="92" t="s">
        <v>1632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1633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1621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1634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1621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1669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9">
        <v>45694</v>
      </c>
      <c r="B79" s="90" t="s">
        <v>1621</v>
      </c>
      <c r="E79" s="90">
        <v>-70</v>
      </c>
      <c r="K79" s="78"/>
      <c r="L79" s="78"/>
      <c r="M79" s="78"/>
      <c r="N79" s="78"/>
    </row>
    <row r="80" spans="1:14" s="90" customFormat="1">
      <c r="A80" s="439">
        <v>45695</v>
      </c>
      <c r="B80" s="90" t="s">
        <v>1670</v>
      </c>
      <c r="E80" s="90">
        <v>-200</v>
      </c>
      <c r="K80" s="78"/>
      <c r="L80" s="78"/>
      <c r="M80" s="78"/>
      <c r="N80" s="78"/>
    </row>
    <row r="81" spans="1:14" s="77" customFormat="1">
      <c r="A81" s="439">
        <v>45696</v>
      </c>
      <c r="B81" s="77" t="s">
        <v>1672</v>
      </c>
      <c r="E81" s="77">
        <v>-550</v>
      </c>
      <c r="K81" s="78"/>
      <c r="L81" s="78"/>
      <c r="M81" s="78"/>
      <c r="N81" s="78"/>
    </row>
    <row r="82" spans="1:14" s="77" customFormat="1">
      <c r="A82" s="439">
        <v>45697</v>
      </c>
      <c r="B82" s="77" t="s">
        <v>1673</v>
      </c>
      <c r="E82" s="77">
        <v>-329.97</v>
      </c>
      <c r="K82" s="78"/>
      <c r="L82" s="78"/>
      <c r="M82" s="78"/>
      <c r="N82" s="78"/>
    </row>
    <row r="83" spans="1:14" s="77" customFormat="1">
      <c r="A83" s="439"/>
      <c r="K83" s="78"/>
      <c r="L83" s="78"/>
      <c r="M83" s="78"/>
      <c r="N83" s="78"/>
    </row>
    <row r="84" spans="1:14" s="77" customFormat="1">
      <c r="A84" s="439"/>
      <c r="K84" s="78"/>
      <c r="L84" s="78"/>
      <c r="M84" s="78"/>
      <c r="N84" s="78"/>
    </row>
    <row r="85" spans="1:14" s="77" customFormat="1">
      <c r="A85" s="439"/>
      <c r="K85" s="78"/>
      <c r="L85" s="78"/>
      <c r="M85" s="78"/>
      <c r="N85" s="78"/>
    </row>
    <row r="86" spans="1:14" s="77" customFormat="1">
      <c r="A86" s="439"/>
      <c r="K86" s="78"/>
      <c r="L86" s="78"/>
      <c r="M86" s="78"/>
      <c r="N86" s="78"/>
    </row>
    <row r="87" spans="1:14" s="77" customFormat="1">
      <c r="A87" s="439"/>
      <c r="K87" s="78"/>
      <c r="L87" s="78"/>
      <c r="M87" s="78"/>
      <c r="N87" s="78"/>
    </row>
    <row r="88" spans="1:14" s="77" customFormat="1">
      <c r="A88" s="98"/>
      <c r="B88" s="3"/>
      <c r="C88" s="106"/>
      <c r="K88" s="78"/>
      <c r="L88" s="78"/>
      <c r="M88" s="78"/>
      <c r="N88" s="78"/>
    </row>
    <row r="89" spans="1:14" s="90" customFormat="1">
      <c r="A89" s="98"/>
      <c r="B89" s="92"/>
      <c r="C89" s="106"/>
      <c r="K89" s="78"/>
      <c r="L89" s="78"/>
      <c r="M89" s="78"/>
      <c r="N89" s="78"/>
    </row>
    <row r="90" spans="1:14" s="90" customFormat="1">
      <c r="A90" s="98"/>
      <c r="B90" s="92"/>
      <c r="C90" s="106"/>
      <c r="K90" s="78"/>
      <c r="L90" s="78"/>
      <c r="M90" s="78"/>
      <c r="N90" s="78"/>
    </row>
    <row r="91" spans="1:14" s="90" customFormat="1">
      <c r="A91" s="98"/>
      <c r="B91" s="92"/>
      <c r="C91" s="106"/>
      <c r="K91" s="78"/>
      <c r="L91" s="78"/>
      <c r="M91" s="78"/>
      <c r="N91" s="78"/>
    </row>
    <row r="92" spans="1:14" s="90" customFormat="1">
      <c r="A92" s="98"/>
      <c r="B92" s="92"/>
      <c r="C92" s="106"/>
      <c r="K92" s="78"/>
      <c r="L92" s="78"/>
      <c r="M92" s="78"/>
      <c r="N92" s="78"/>
    </row>
    <row r="93" spans="1:14" s="90" customFormat="1">
      <c r="A93" s="98"/>
      <c r="B93" s="92"/>
      <c r="C93" s="106"/>
      <c r="K93" s="78"/>
      <c r="L93" s="78"/>
      <c r="M93" s="78"/>
      <c r="N93" s="78"/>
    </row>
    <row r="94" spans="1:14" s="77" customFormat="1">
      <c r="A94" s="98"/>
      <c r="B94" s="3"/>
      <c r="C94" s="106"/>
      <c r="K94" s="78"/>
      <c r="L94" s="78"/>
      <c r="M94" s="78"/>
      <c r="N94" s="78"/>
    </row>
    <row r="95" spans="1:14" s="77" customFormat="1">
      <c r="A95" s="98"/>
      <c r="B95" s="3"/>
      <c r="C95" s="106"/>
      <c r="K95" s="78"/>
      <c r="L95" s="78"/>
      <c r="M95" s="78"/>
      <c r="N95" s="78"/>
    </row>
    <row r="96" spans="1:14" s="77" customFormat="1">
      <c r="A96" s="98"/>
      <c r="B96" s="3"/>
      <c r="C96" s="106"/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 ht="15">
      <c r="A98" s="98"/>
      <c r="B98" s="105" t="s">
        <v>84</v>
      </c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6"/>
  <sheetViews>
    <sheetView topLeftCell="A11" zoomScale="145" zoomScaleNormal="145" workbookViewId="0">
      <selection activeCell="G88" sqref="G8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SUM(D4:D35)</f>
        <v>45000</v>
      </c>
      <c r="E2" s="77">
        <f>SUM(E4:E36)</f>
        <v>-75400.399999999994</v>
      </c>
      <c r="F2" s="77">
        <f>SUM(F4:F36)</f>
        <v>0</v>
      </c>
      <c r="G2" s="77">
        <f>SUM(G4:G36)</f>
        <v>-69456.33</v>
      </c>
      <c r="H2" s="77">
        <f>F2+G2</f>
        <v>-69456.33</v>
      </c>
    </row>
    <row r="3" spans="1:14">
      <c r="B3" s="18"/>
    </row>
    <row r="4" spans="1:14">
      <c r="B4" s="41"/>
      <c r="H4" s="77">
        <f t="shared" ref="H4:H36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E41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E56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7">
        <v>45873</v>
      </c>
      <c r="B9" s="435" t="s">
        <v>1657</v>
      </c>
      <c r="C9" s="424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2">
        <v>45699</v>
      </c>
      <c r="B11" s="393" t="s">
        <v>1600</v>
      </c>
      <c r="C11" s="393"/>
      <c r="D11" s="388"/>
      <c r="E11" s="388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2">
        <v>45699</v>
      </c>
      <c r="B12" s="393" t="s">
        <v>75</v>
      </c>
      <c r="C12" s="393"/>
      <c r="D12" s="388"/>
      <c r="E12" s="388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88"/>
      <c r="B13" s="99"/>
      <c r="C13" s="99"/>
      <c r="D13" s="90"/>
      <c r="E13" s="90"/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11" customFormat="1">
      <c r="A14" s="88"/>
      <c r="B14" s="91" t="s">
        <v>72</v>
      </c>
      <c r="C14" s="92"/>
      <c r="D14" s="90"/>
      <c r="E14" s="90">
        <v>0</v>
      </c>
      <c r="F14" s="90"/>
      <c r="G14" s="90"/>
      <c r="H14" s="87">
        <f t="shared" si="0"/>
        <v>-67111.33</v>
      </c>
      <c r="K14" s="78"/>
      <c r="L14" s="78"/>
      <c r="M14" s="78"/>
      <c r="N14" s="78"/>
    </row>
    <row r="15" spans="1:14" s="11" customFormat="1">
      <c r="A15" s="88"/>
      <c r="B15" s="99"/>
      <c r="C15" s="99"/>
      <c r="D15" s="90"/>
      <c r="E15" s="90"/>
      <c r="F15" s="90"/>
      <c r="G15" s="90"/>
      <c r="H15" s="87">
        <f t="shared" si="0"/>
        <v>-67111.33</v>
      </c>
      <c r="K15" s="78"/>
      <c r="L15" s="78"/>
      <c r="M15" s="78"/>
      <c r="N15" s="78"/>
    </row>
    <row r="16" spans="1:14">
      <c r="H16" s="87">
        <f t="shared" si="0"/>
        <v>-67111.33</v>
      </c>
    </row>
    <row r="17" spans="1:13">
      <c r="H17" s="87">
        <f t="shared" si="0"/>
        <v>-67111.33</v>
      </c>
    </row>
    <row r="18" spans="1:13">
      <c r="A18" s="88"/>
      <c r="B18" s="92"/>
      <c r="C18" s="92"/>
      <c r="D18" s="90"/>
      <c r="E18" s="90"/>
      <c r="H18" s="87">
        <f t="shared" si="0"/>
        <v>-67111.33</v>
      </c>
    </row>
    <row r="19" spans="1:13" s="78" customFormat="1">
      <c r="A19" s="88"/>
      <c r="B19" s="419" t="s">
        <v>114</v>
      </c>
      <c r="C19" s="419"/>
      <c r="D19" s="420">
        <v>15000</v>
      </c>
      <c r="E19" s="77"/>
      <c r="F19" s="77"/>
      <c r="G19" s="77"/>
      <c r="H19" s="87">
        <f t="shared" si="0"/>
        <v>-67111.33</v>
      </c>
      <c r="I19"/>
      <c r="J19"/>
    </row>
    <row r="20" spans="1:13" s="78" customFormat="1">
      <c r="A20" s="88">
        <v>45705</v>
      </c>
      <c r="B20" s="93" t="s">
        <v>73</v>
      </c>
      <c r="C20" s="93"/>
      <c r="D20" s="90"/>
      <c r="E20" s="90">
        <v>-1000</v>
      </c>
      <c r="F20" s="77"/>
      <c r="G20" s="77">
        <v>-2305</v>
      </c>
      <c r="H20" s="87">
        <f t="shared" si="0"/>
        <v>-69416.33</v>
      </c>
    </row>
    <row r="21" spans="1:13" s="78" customFormat="1">
      <c r="A21" s="88">
        <v>45705</v>
      </c>
      <c r="B21" s="93" t="s">
        <v>74</v>
      </c>
      <c r="C21" s="93"/>
      <c r="D21" s="90"/>
      <c r="E21" s="90">
        <v>-200</v>
      </c>
      <c r="F21" s="77"/>
      <c r="G21" s="77">
        <v>-40</v>
      </c>
      <c r="H21" s="87">
        <f t="shared" si="0"/>
        <v>-69456.33</v>
      </c>
    </row>
    <row r="22" spans="1:13" s="78" customFormat="1">
      <c r="A22" s="88"/>
      <c r="H22" s="87">
        <f t="shared" si="0"/>
        <v>-69456.33</v>
      </c>
    </row>
    <row r="23" spans="1:13" s="78" customFormat="1">
      <c r="A23" s="88"/>
      <c r="B23" s="92" t="s">
        <v>76</v>
      </c>
      <c r="C23" s="92"/>
      <c r="D23" s="90">
        <v>15000</v>
      </c>
      <c r="E23" s="90"/>
      <c r="F23" s="77"/>
      <c r="G23" s="77"/>
      <c r="H23" s="87">
        <f t="shared" si="0"/>
        <v>-69456.33</v>
      </c>
      <c r="J23" s="94"/>
      <c r="K23" s="94"/>
      <c r="L23" s="95"/>
      <c r="M23" s="96"/>
    </row>
    <row r="24" spans="1:13" s="78" customFormat="1">
      <c r="B24" s="92" t="s">
        <v>77</v>
      </c>
      <c r="C24" s="92"/>
      <c r="D24" s="90"/>
      <c r="E24" s="90">
        <v>-7500</v>
      </c>
      <c r="F24" s="77"/>
      <c r="G24" s="77"/>
      <c r="H24" s="87">
        <f t="shared" si="0"/>
        <v>-69456.33</v>
      </c>
      <c r="J24" s="94"/>
      <c r="K24" s="94"/>
      <c r="L24" s="95"/>
      <c r="M24" s="96"/>
    </row>
    <row r="25" spans="1:13" s="78" customFormat="1">
      <c r="B25" s="92" t="s">
        <v>78</v>
      </c>
      <c r="C25" s="92"/>
      <c r="D25" s="90"/>
      <c r="E25" s="90">
        <v>-7500</v>
      </c>
      <c r="F25" s="77"/>
      <c r="G25" s="77"/>
      <c r="H25" s="87">
        <f t="shared" si="0"/>
        <v>-69456.33</v>
      </c>
      <c r="J25" s="94"/>
      <c r="K25" s="94"/>
      <c r="L25" s="95"/>
      <c r="M25" s="96"/>
    </row>
    <row r="26" spans="1:13" s="78" customFormat="1">
      <c r="B26" s="92" t="s">
        <v>79</v>
      </c>
      <c r="C26" s="92"/>
      <c r="D26" s="90"/>
      <c r="E26" s="90">
        <v>-7500</v>
      </c>
      <c r="F26" s="77"/>
      <c r="G26" s="77"/>
      <c r="H26" s="87">
        <f t="shared" si="0"/>
        <v>-69456.33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87">
        <f t="shared" si="0"/>
        <v>-69456.33</v>
      </c>
      <c r="J27" s="94"/>
      <c r="K27" s="94"/>
      <c r="L27" s="95"/>
      <c r="M27" s="96"/>
    </row>
    <row r="28" spans="1:13" s="78" customFormat="1">
      <c r="A28" s="97"/>
      <c r="B28" s="92"/>
      <c r="C28" s="92"/>
      <c r="D28" s="90"/>
      <c r="E28" s="90"/>
      <c r="F28" s="77"/>
      <c r="G28" s="77"/>
      <c r="H28" s="87">
        <f t="shared" si="0"/>
        <v>-69456.33</v>
      </c>
      <c r="J28" s="94"/>
      <c r="K28" s="94"/>
      <c r="L28" s="95"/>
      <c r="M28" s="96"/>
    </row>
    <row r="29" spans="1:13" s="78" customFormat="1">
      <c r="A29" s="98">
        <v>45716</v>
      </c>
      <c r="B29" s="3" t="s">
        <v>98</v>
      </c>
      <c r="C29" s="3" t="s">
        <v>1606</v>
      </c>
      <c r="D29" s="77"/>
      <c r="E29" s="77">
        <v>-1380</v>
      </c>
      <c r="F29" s="77"/>
      <c r="G29" s="77"/>
      <c r="H29" s="87">
        <f t="shared" si="0"/>
        <v>-69456.33</v>
      </c>
      <c r="J29" s="94"/>
      <c r="K29" s="94"/>
      <c r="L29" s="95"/>
      <c r="M29" s="96"/>
    </row>
    <row r="30" spans="1:13" s="78" customFormat="1">
      <c r="B30" s="99" t="s">
        <v>80</v>
      </c>
      <c r="C30" s="99"/>
      <c r="D30" s="77"/>
      <c r="E30" s="77">
        <v>-600</v>
      </c>
      <c r="F30" s="77"/>
      <c r="G30" s="77"/>
      <c r="H30" s="77">
        <f t="shared" si="0"/>
        <v>-69456.33</v>
      </c>
      <c r="J30" s="94"/>
      <c r="K30" s="94"/>
      <c r="L30" s="95"/>
      <c r="M30" s="96"/>
    </row>
    <row r="31" spans="1:13" s="78" customFormat="1">
      <c r="B31" s="99" t="s">
        <v>81</v>
      </c>
      <c r="C31" s="99"/>
      <c r="D31" s="77"/>
      <c r="E31" s="77">
        <v>-800</v>
      </c>
      <c r="F31" s="77"/>
      <c r="G31" s="77"/>
      <c r="H31" s="77">
        <f t="shared" si="0"/>
        <v>-69456.33</v>
      </c>
      <c r="J31" s="94"/>
      <c r="K31" s="94"/>
      <c r="L31" s="95"/>
      <c r="M31" s="96"/>
    </row>
    <row r="32" spans="1:13" s="78" customFormat="1">
      <c r="B32" s="3" t="s">
        <v>107</v>
      </c>
      <c r="C32" s="3"/>
      <c r="D32" s="77">
        <v>15000</v>
      </c>
      <c r="E32" s="77"/>
      <c r="F32" s="77"/>
      <c r="G32" s="77"/>
      <c r="H32" s="77">
        <f t="shared" si="0"/>
        <v>-69456.33</v>
      </c>
    </row>
    <row r="33" spans="1:14" s="78" customFormat="1">
      <c r="D33" s="77"/>
      <c r="E33" s="77"/>
      <c r="F33" s="77"/>
      <c r="G33" s="77"/>
      <c r="H33" s="77">
        <f t="shared" si="0"/>
        <v>-69456.33</v>
      </c>
    </row>
    <row r="34" spans="1:14">
      <c r="A34" s="100"/>
      <c r="B34" s="101" t="s">
        <v>1663</v>
      </c>
      <c r="C34" s="101"/>
      <c r="H34" s="77">
        <f t="shared" si="0"/>
        <v>-69456.33</v>
      </c>
      <c r="I34" s="78"/>
      <c r="J34" s="78"/>
    </row>
    <row r="35" spans="1:14">
      <c r="A35" s="100"/>
      <c r="H35" s="77">
        <f t="shared" si="0"/>
        <v>-69456.33</v>
      </c>
    </row>
    <row r="36" spans="1:14" s="78" customFormat="1">
      <c r="A36"/>
      <c r="E36" s="77"/>
      <c r="F36" s="77"/>
      <c r="G36" s="77"/>
      <c r="H36" s="77">
        <f t="shared" si="0"/>
        <v>-69456.33</v>
      </c>
      <c r="I36"/>
      <c r="J36"/>
    </row>
    <row r="37" spans="1:14" s="78" customFormat="1">
      <c r="B37" s="101"/>
      <c r="C37" s="101"/>
      <c r="D37" s="77"/>
      <c r="E37" s="77"/>
      <c r="F37" s="77"/>
      <c r="G37" s="77"/>
      <c r="H37" s="77"/>
      <c r="J37" s="94"/>
      <c r="K37" s="94"/>
      <c r="L37" s="95"/>
      <c r="M37" s="96"/>
    </row>
    <row r="38" spans="1:14" s="78" customFormat="1">
      <c r="A38" s="98"/>
      <c r="D38" s="77"/>
      <c r="E38" s="77"/>
      <c r="F38" s="77"/>
      <c r="G38" s="77"/>
      <c r="H38" s="77"/>
    </row>
    <row r="39" spans="1:14" s="77" customFormat="1">
      <c r="A39" s="88"/>
      <c r="B39" s="78"/>
      <c r="C39" s="78"/>
      <c r="H39" s="77">
        <v>15000</v>
      </c>
      <c r="I39" s="78"/>
      <c r="J39" s="78"/>
      <c r="K39" s="78"/>
      <c r="L39" s="78"/>
      <c r="M39" s="78"/>
      <c r="N39" s="78"/>
    </row>
    <row r="40" spans="1:14" s="77" customFormat="1">
      <c r="B40" s="102"/>
      <c r="G40" s="77" t="s">
        <v>1664</v>
      </c>
      <c r="H40" s="431">
        <v>0.5635</v>
      </c>
      <c r="K40" s="78"/>
      <c r="L40" s="78"/>
      <c r="M40" s="78"/>
      <c r="N40" s="78"/>
    </row>
    <row r="41" spans="1:14">
      <c r="A41" s="103"/>
      <c r="B41" s="104" t="s">
        <v>83</v>
      </c>
      <c r="C41" s="103"/>
      <c r="E41" s="77">
        <f>SUM(E42:E53)</f>
        <v>0</v>
      </c>
      <c r="H41" s="77">
        <f>H40*H39</f>
        <v>8452.5</v>
      </c>
      <c r="I41" s="77"/>
      <c r="J41" s="77"/>
    </row>
    <row r="42" spans="1:14" s="77" customFormat="1" ht="15">
      <c r="A42"/>
      <c r="B42"/>
      <c r="C42"/>
      <c r="E42" s="105" t="s">
        <v>84</v>
      </c>
      <c r="G42" s="77" t="s">
        <v>1665</v>
      </c>
      <c r="H42" s="77">
        <f>SUM(H41+H39)</f>
        <v>23452.5</v>
      </c>
      <c r="I42"/>
      <c r="J42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 s="77" customFormat="1">
      <c r="A44" s="88"/>
      <c r="K44" s="78"/>
      <c r="L44" s="78"/>
      <c r="M44" s="78"/>
      <c r="N44" s="78"/>
    </row>
    <row r="45" spans="1:14" s="77" customFormat="1">
      <c r="A45" s="88"/>
      <c r="K45" s="78"/>
      <c r="L45" s="78"/>
      <c r="M45" s="78"/>
      <c r="N45" s="78"/>
    </row>
    <row r="46" spans="1:14">
      <c r="A46" s="88"/>
      <c r="I46" s="77"/>
      <c r="J46" s="77"/>
    </row>
    <row r="47" spans="1:14" s="77" customFormat="1">
      <c r="A47"/>
      <c r="I47"/>
      <c r="J47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0"/>
      <c r="B50" s="107"/>
      <c r="C50" s="106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107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3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SUM(E57:E102)</f>
        <v>-29103.34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90" customFormat="1">
      <c r="A58" s="100"/>
      <c r="B58" s="106"/>
      <c r="C58" s="106"/>
      <c r="K58" s="78"/>
      <c r="L58" s="78"/>
      <c r="M58" s="78"/>
      <c r="N58" s="78"/>
    </row>
    <row r="59" spans="1:14" s="90" customFormat="1">
      <c r="A59" s="100"/>
      <c r="B59" s="106"/>
      <c r="C59" s="106"/>
      <c r="K59" s="78"/>
      <c r="L59" s="78"/>
      <c r="M59" s="78"/>
      <c r="N59" s="78"/>
    </row>
    <row r="60" spans="1:14" s="90" customFormat="1">
      <c r="A60" s="100">
        <v>46018</v>
      </c>
      <c r="B60" s="106" t="s">
        <v>1637</v>
      </c>
      <c r="C60" s="106"/>
      <c r="E60" s="90">
        <v>-135</v>
      </c>
      <c r="K60" s="78"/>
      <c r="L60" s="78"/>
      <c r="M60" s="78"/>
      <c r="N60" s="78"/>
    </row>
    <row r="61" spans="1:14" s="90" customFormat="1">
      <c r="A61" s="100">
        <v>46016</v>
      </c>
      <c r="B61" s="106" t="s">
        <v>1636</v>
      </c>
      <c r="C61" s="106"/>
      <c r="E61" s="90">
        <v>-240</v>
      </c>
      <c r="K61" s="78"/>
      <c r="L61" s="78"/>
      <c r="M61" s="78"/>
      <c r="N61" s="78"/>
    </row>
    <row r="62" spans="1:14" s="77" customFormat="1">
      <c r="A62" s="100">
        <v>46015</v>
      </c>
      <c r="B62" s="106" t="s">
        <v>1635</v>
      </c>
      <c r="C62" s="106"/>
      <c r="E62" s="77">
        <v>-550</v>
      </c>
      <c r="K62" s="78"/>
      <c r="L62" s="78"/>
      <c r="M62" s="78"/>
      <c r="N62" s="78"/>
    </row>
    <row r="63" spans="1:14" s="77" customFormat="1">
      <c r="A63" s="100">
        <v>46020</v>
      </c>
      <c r="B63" s="3" t="s">
        <v>1617</v>
      </c>
      <c r="C63" s="106"/>
      <c r="E63" s="77">
        <v>-12762</v>
      </c>
      <c r="F63" s="77">
        <v>0</v>
      </c>
      <c r="K63" s="78"/>
      <c r="L63" s="78"/>
      <c r="M63" s="78"/>
      <c r="N63" s="78"/>
    </row>
    <row r="64" spans="1:14" s="77" customFormat="1">
      <c r="A64" s="100">
        <v>46021</v>
      </c>
      <c r="B64" s="3" t="s">
        <v>1616</v>
      </c>
      <c r="C64" s="106"/>
      <c r="E64" s="77">
        <v>-120</v>
      </c>
      <c r="K64" s="78"/>
      <c r="L64" s="78"/>
      <c r="M64" s="78"/>
      <c r="N64" s="78"/>
    </row>
    <row r="65" spans="1:14" s="77" customFormat="1">
      <c r="A65" s="100">
        <v>46022</v>
      </c>
      <c r="B65" s="92" t="s">
        <v>1619</v>
      </c>
      <c r="C65" s="106"/>
      <c r="E65" s="77">
        <v>-3741</v>
      </c>
      <c r="F65" s="77">
        <v>0</v>
      </c>
      <c r="K65" s="78"/>
      <c r="L65" s="78"/>
      <c r="M65" s="78"/>
      <c r="N65" s="78"/>
    </row>
    <row r="66" spans="1:14" s="77" customFormat="1">
      <c r="A66" s="100">
        <v>46022</v>
      </c>
      <c r="B66" s="92" t="s">
        <v>1618</v>
      </c>
      <c r="C66" s="106"/>
      <c r="E66" s="77">
        <v>-3741</v>
      </c>
      <c r="F66" s="77">
        <v>0</v>
      </c>
      <c r="K66" s="78"/>
      <c r="L66" s="78"/>
      <c r="M66" s="78"/>
      <c r="N66" s="78"/>
    </row>
    <row r="67" spans="1:14" s="77" customFormat="1">
      <c r="A67" s="100">
        <v>46022</v>
      </c>
      <c r="B67" s="3" t="s">
        <v>1620</v>
      </c>
      <c r="C67" s="106"/>
      <c r="E67" s="77">
        <v>-560</v>
      </c>
      <c r="K67" s="78"/>
      <c r="L67" s="78"/>
      <c r="M67" s="78"/>
      <c r="N67" s="78"/>
    </row>
    <row r="68" spans="1:14" s="90" customFormat="1">
      <c r="A68" s="100">
        <v>45658</v>
      </c>
      <c r="B68" s="92" t="s">
        <v>128</v>
      </c>
      <c r="C68" s="106"/>
      <c r="E68" s="90">
        <v>-177.87</v>
      </c>
      <c r="K68" s="78"/>
      <c r="L68" s="78"/>
      <c r="M68" s="78"/>
      <c r="N68" s="78"/>
    </row>
    <row r="69" spans="1:14" s="77" customFormat="1">
      <c r="A69" s="100">
        <v>45658</v>
      </c>
      <c r="B69" s="3" t="s">
        <v>1638</v>
      </c>
      <c r="C69" s="106"/>
      <c r="D69" s="77">
        <v>69.13</v>
      </c>
      <c r="K69" s="78"/>
      <c r="L69" s="78"/>
      <c r="M69" s="78"/>
      <c r="N69" s="78"/>
    </row>
    <row r="70" spans="1:14" s="77" customFormat="1">
      <c r="A70" s="100">
        <v>45659</v>
      </c>
      <c r="B70" s="92" t="s">
        <v>128</v>
      </c>
      <c r="C70" s="106"/>
      <c r="E70" s="77">
        <v>-470</v>
      </c>
      <c r="K70" s="78"/>
      <c r="L70" s="78"/>
      <c r="M70" s="78"/>
      <c r="N70" s="78"/>
    </row>
    <row r="71" spans="1:14" s="77" customFormat="1">
      <c r="A71" s="100">
        <v>45660</v>
      </c>
      <c r="B71" s="3" t="s">
        <v>1621</v>
      </c>
      <c r="C71" s="106"/>
      <c r="E71" s="77">
        <v>-70</v>
      </c>
      <c r="K71" s="78"/>
      <c r="L71" s="78"/>
      <c r="M71" s="78"/>
      <c r="N71" s="78"/>
    </row>
    <row r="72" spans="1:14" s="90" customFormat="1">
      <c r="A72" s="100">
        <v>45660</v>
      </c>
      <c r="B72" s="92" t="s">
        <v>130</v>
      </c>
      <c r="C72" s="106"/>
      <c r="D72" s="90">
        <v>7885.34</v>
      </c>
      <c r="K72" s="78"/>
      <c r="L72" s="78"/>
      <c r="M72" s="78"/>
      <c r="N72" s="78"/>
    </row>
    <row r="73" spans="1:14" s="77" customFormat="1">
      <c r="A73" s="100">
        <v>45664</v>
      </c>
      <c r="B73" s="3" t="s">
        <v>1622</v>
      </c>
      <c r="C73" s="106"/>
      <c r="E73" s="77">
        <v>-230</v>
      </c>
      <c r="K73" s="78"/>
      <c r="L73" s="78"/>
      <c r="M73" s="78"/>
      <c r="N73" s="78"/>
    </row>
    <row r="74" spans="1:14" s="90" customFormat="1">
      <c r="A74" s="100">
        <v>45666</v>
      </c>
      <c r="B74" s="92" t="s">
        <v>1621</v>
      </c>
      <c r="C74" s="106"/>
      <c r="E74" s="90">
        <v>-70</v>
      </c>
      <c r="K74" s="78"/>
      <c r="L74" s="78"/>
      <c r="M74" s="78"/>
      <c r="N74" s="78"/>
    </row>
    <row r="75" spans="1:14" s="90" customFormat="1">
      <c r="A75" s="100">
        <v>45667</v>
      </c>
      <c r="B75" s="92" t="s">
        <v>1623</v>
      </c>
      <c r="C75" s="106"/>
      <c r="E75" s="90">
        <v>-1000</v>
      </c>
      <c r="F75" s="90">
        <v>0</v>
      </c>
      <c r="K75" s="78"/>
      <c r="L75" s="78"/>
      <c r="M75" s="78"/>
      <c r="N75" s="78"/>
    </row>
    <row r="76" spans="1:14" s="90" customFormat="1">
      <c r="A76" s="100">
        <v>45667</v>
      </c>
      <c r="B76" s="92" t="s">
        <v>1624</v>
      </c>
      <c r="C76" s="106"/>
      <c r="E76" s="90">
        <v>-75</v>
      </c>
      <c r="K76" s="78"/>
      <c r="L76" s="78"/>
      <c r="M76" s="78"/>
      <c r="N76" s="78"/>
    </row>
    <row r="77" spans="1:14" s="90" customFormat="1">
      <c r="A77" s="100">
        <v>45667</v>
      </c>
      <c r="B77" s="92" t="s">
        <v>1625</v>
      </c>
      <c r="C77" s="106"/>
      <c r="E77" s="90">
        <v>-400</v>
      </c>
      <c r="K77" s="78"/>
      <c r="L77" s="78"/>
      <c r="M77" s="78"/>
      <c r="N77" s="78"/>
    </row>
    <row r="78" spans="1:14" s="90" customFormat="1">
      <c r="A78" s="100">
        <v>45669</v>
      </c>
      <c r="B78" s="92" t="s">
        <v>1626</v>
      </c>
      <c r="C78" s="106"/>
      <c r="E78" s="90">
        <v>-2529.9699999999998</v>
      </c>
      <c r="K78" s="78"/>
      <c r="L78" s="78"/>
      <c r="M78" s="78"/>
      <c r="N78" s="78"/>
    </row>
    <row r="79" spans="1:14" s="90" customFormat="1">
      <c r="A79" s="100">
        <v>45669</v>
      </c>
      <c r="B79" s="92" t="s">
        <v>1627</v>
      </c>
      <c r="C79" s="106"/>
      <c r="E79" s="90">
        <v>-970</v>
      </c>
      <c r="K79" s="78"/>
      <c r="L79" s="78"/>
      <c r="M79" s="78"/>
      <c r="N79" s="78"/>
    </row>
    <row r="80" spans="1:14" s="77" customFormat="1">
      <c r="A80" s="100">
        <v>45669</v>
      </c>
      <c r="B80" s="92" t="s">
        <v>1628</v>
      </c>
      <c r="C80" s="106"/>
      <c r="E80" s="77">
        <v>-970</v>
      </c>
      <c r="K80" s="78"/>
      <c r="L80" s="78"/>
      <c r="M80" s="78"/>
      <c r="N80" s="78"/>
    </row>
    <row r="81" spans="1:14" s="77" customFormat="1">
      <c r="A81" s="100">
        <v>45670</v>
      </c>
      <c r="B81" s="3" t="s">
        <v>1624</v>
      </c>
      <c r="C81" s="106"/>
      <c r="E81" s="77">
        <v>-60</v>
      </c>
      <c r="K81" s="78"/>
      <c r="L81" s="78"/>
      <c r="M81" s="78"/>
      <c r="N81" s="78"/>
    </row>
    <row r="82" spans="1:14" s="90" customFormat="1">
      <c r="A82" s="100">
        <v>45672</v>
      </c>
      <c r="B82" s="92" t="s">
        <v>1630</v>
      </c>
      <c r="C82" s="106"/>
      <c r="E82" s="90">
        <v>-794</v>
      </c>
      <c r="F82" s="90">
        <v>0</v>
      </c>
      <c r="K82" s="78"/>
      <c r="L82" s="78"/>
      <c r="M82" s="78"/>
      <c r="N82" s="78"/>
    </row>
    <row r="83" spans="1:14" s="90" customFormat="1">
      <c r="A83" s="100">
        <v>45672</v>
      </c>
      <c r="B83" s="92" t="s">
        <v>1629</v>
      </c>
      <c r="C83" s="106"/>
      <c r="E83" s="90">
        <v>1762</v>
      </c>
      <c r="F83" s="90">
        <v>0</v>
      </c>
      <c r="K83" s="78"/>
      <c r="L83" s="78"/>
      <c r="M83" s="78"/>
      <c r="N83" s="78"/>
    </row>
    <row r="84" spans="1:14" s="90" customFormat="1">
      <c r="A84" s="100">
        <v>45672</v>
      </c>
      <c r="B84" s="92" t="s">
        <v>1616</v>
      </c>
      <c r="C84" s="106"/>
      <c r="E84" s="90">
        <v>-120</v>
      </c>
      <c r="K84" s="78"/>
      <c r="L84" s="78"/>
      <c r="M84" s="78"/>
      <c r="N84" s="78"/>
    </row>
    <row r="85" spans="1:14" s="90" customFormat="1">
      <c r="A85" s="100">
        <v>45673</v>
      </c>
      <c r="B85" s="92" t="s">
        <v>1621</v>
      </c>
      <c r="C85" s="106"/>
      <c r="E85" s="90">
        <v>-70</v>
      </c>
      <c r="K85" s="78"/>
      <c r="L85" s="78"/>
      <c r="M85" s="78"/>
      <c r="N85" s="78"/>
    </row>
    <row r="86" spans="1:14" s="90" customFormat="1">
      <c r="A86" s="100">
        <v>45673</v>
      </c>
      <c r="B86" s="92" t="s">
        <v>415</v>
      </c>
      <c r="C86" s="106"/>
      <c r="E86" s="90">
        <v>-385</v>
      </c>
      <c r="K86" s="78"/>
      <c r="L86" s="78"/>
      <c r="M86" s="78"/>
      <c r="N86" s="78"/>
    </row>
    <row r="87" spans="1:14" s="90" customFormat="1">
      <c r="A87" s="100">
        <v>45674</v>
      </c>
      <c r="B87" s="92" t="s">
        <v>135</v>
      </c>
      <c r="C87" s="106"/>
      <c r="E87" s="90">
        <v>-100</v>
      </c>
      <c r="K87" s="78"/>
      <c r="L87" s="78"/>
      <c r="M87" s="78"/>
      <c r="N87" s="78"/>
    </row>
    <row r="88" spans="1:14" s="90" customFormat="1">
      <c r="A88" s="100">
        <v>45677</v>
      </c>
      <c r="B88" s="92" t="s">
        <v>1622</v>
      </c>
      <c r="C88" s="106"/>
      <c r="E88" s="90">
        <v>-230</v>
      </c>
      <c r="K88" s="78"/>
      <c r="L88" s="78"/>
      <c r="M88" s="78"/>
      <c r="N88" s="78"/>
    </row>
    <row r="89" spans="1:14" s="90" customFormat="1">
      <c r="A89" s="100">
        <v>45677</v>
      </c>
      <c r="B89" s="92" t="s">
        <v>128</v>
      </c>
      <c r="C89" s="106"/>
      <c r="E89" s="90">
        <v>-174.5</v>
      </c>
      <c r="K89" s="78"/>
      <c r="L89" s="78"/>
      <c r="M89" s="78"/>
      <c r="N89" s="78"/>
    </row>
    <row r="90" spans="1:14" s="90" customFormat="1">
      <c r="A90" s="100">
        <v>45678</v>
      </c>
      <c r="B90" s="92" t="s">
        <v>1631</v>
      </c>
      <c r="C90" s="106"/>
      <c r="E90" s="90">
        <v>-120</v>
      </c>
      <c r="K90" s="78"/>
      <c r="L90" s="78"/>
      <c r="M90" s="78"/>
      <c r="N90" s="78"/>
    </row>
    <row r="91" spans="1:14" s="90" customFormat="1" ht="15">
      <c r="E91" s="105" t="s">
        <v>84</v>
      </c>
      <c r="K91" s="78"/>
      <c r="L91" s="78"/>
      <c r="M91" s="78"/>
      <c r="N91" s="78"/>
    </row>
    <row r="92" spans="1:14" s="90" customFormat="1">
      <c r="K92" s="78"/>
      <c r="L92" s="78"/>
      <c r="M92" s="78"/>
      <c r="N92" s="78"/>
    </row>
    <row r="93" spans="1:14" s="90" customFormat="1">
      <c r="K93" s="78"/>
      <c r="L93" s="78"/>
      <c r="M93" s="78"/>
      <c r="N93" s="78"/>
    </row>
    <row r="94" spans="1:14" s="90" customFormat="1">
      <c r="K94" s="78"/>
      <c r="L94" s="78"/>
      <c r="M94" s="78"/>
      <c r="N94" s="78"/>
    </row>
    <row r="95" spans="1:14" s="90" customFormat="1">
      <c r="K95" s="78"/>
      <c r="L95" s="78"/>
      <c r="M95" s="78"/>
      <c r="N95" s="78"/>
    </row>
    <row r="96" spans="1:14" s="90" customFormat="1">
      <c r="A96" s="100"/>
      <c r="B96" s="92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>
      <c r="A102" s="100"/>
      <c r="B102" s="3"/>
      <c r="C102" s="106"/>
      <c r="I102" s="77"/>
      <c r="J102" s="77"/>
    </row>
    <row r="116" spans="1:14">
      <c r="A116" s="113" t="s">
        <v>1652</v>
      </c>
      <c r="B116" s="104" t="s">
        <v>137</v>
      </c>
      <c r="C116" s="103">
        <v>2025</v>
      </c>
      <c r="D116" s="90"/>
      <c r="E116" s="90"/>
      <c r="F116" s="90"/>
      <c r="G116" s="90">
        <f>SUM(G120:G151)</f>
        <v>1072531.43731</v>
      </c>
      <c r="H116" s="90"/>
      <c r="I116" s="90"/>
    </row>
    <row r="117" spans="1:14">
      <c r="A117" s="113"/>
      <c r="B117" s="104"/>
      <c r="C117" s="103"/>
      <c r="D117" s="90"/>
      <c r="E117" s="90"/>
      <c r="F117" s="90"/>
      <c r="G117" s="90"/>
      <c r="H117" s="90"/>
      <c r="I117" s="90"/>
    </row>
    <row r="118" spans="1:14">
      <c r="A118" s="113"/>
      <c r="B118" s="104"/>
      <c r="C118" s="103"/>
      <c r="D118" s="90"/>
      <c r="E118" s="90" t="s">
        <v>138</v>
      </c>
      <c r="F118" s="90"/>
      <c r="G118" s="90"/>
      <c r="H118" s="90"/>
      <c r="I118" s="90"/>
    </row>
    <row r="119" spans="1:14">
      <c r="A119" s="100"/>
      <c r="B119" s="90" t="s">
        <v>77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100"/>
      <c r="B120" s="90" t="s">
        <v>78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>
        <v>45699</v>
      </c>
      <c r="B121" s="90" t="s">
        <v>139</v>
      </c>
      <c r="C121" s="90"/>
      <c r="D121" s="90"/>
      <c r="E121" s="90"/>
      <c r="F121" s="90"/>
      <c r="G121" s="90">
        <v>221330</v>
      </c>
      <c r="H121" s="90"/>
      <c r="I121" s="90"/>
    </row>
    <row r="122" spans="1:14">
      <c r="A122" s="100">
        <v>45699</v>
      </c>
      <c r="B122" s="90" t="s">
        <v>140</v>
      </c>
      <c r="C122" s="12"/>
      <c r="D122" s="12"/>
      <c r="E122" s="90"/>
      <c r="F122" s="90"/>
      <c r="G122" s="17">
        <v>5000</v>
      </c>
      <c r="H122" s="90"/>
      <c r="I122" s="90"/>
    </row>
    <row r="123" spans="1:14">
      <c r="A123" s="100"/>
      <c r="B123" s="90" t="s">
        <v>141</v>
      </c>
      <c r="C123" s="12"/>
      <c r="D123" s="12"/>
      <c r="E123" s="90"/>
      <c r="F123" s="90"/>
      <c r="G123" s="17"/>
      <c r="H123" s="90"/>
      <c r="I123" s="90"/>
    </row>
    <row r="124" spans="1:14">
      <c r="A124" s="100"/>
      <c r="B124" s="90"/>
      <c r="C124" s="12"/>
      <c r="D124" s="12"/>
      <c r="E124" s="90"/>
      <c r="F124" s="90"/>
      <c r="G124" s="17"/>
      <c r="H124" s="90"/>
      <c r="I124" s="90"/>
    </row>
    <row r="125" spans="1:14">
      <c r="A125" s="100"/>
      <c r="B125" s="90"/>
      <c r="C125" s="12"/>
      <c r="D125" s="12"/>
      <c r="E125" s="90"/>
      <c r="F125" s="90"/>
      <c r="G125" s="17"/>
      <c r="H125" s="90"/>
      <c r="I125" s="90"/>
    </row>
    <row r="126" spans="1:14">
      <c r="A126" s="100">
        <v>45691</v>
      </c>
      <c r="B126" s="82" t="s">
        <v>1653</v>
      </c>
      <c r="C126" s="114"/>
      <c r="D126" s="115">
        <v>752.55561799999998</v>
      </c>
      <c r="E126" s="116">
        <f t="shared" ref="E126:E134" si="1">D126*C126</f>
        <v>0</v>
      </c>
      <c r="F126" s="406">
        <v>899.26057400000002</v>
      </c>
      <c r="G126" s="17">
        <f t="shared" ref="G126:G134" si="2">F126*C126</f>
        <v>0</v>
      </c>
      <c r="H126" s="90"/>
      <c r="I126" s="90">
        <f>G126-E126</f>
        <v>0</v>
      </c>
    </row>
    <row r="127" spans="1:14">
      <c r="A127" s="100">
        <v>45699</v>
      </c>
      <c r="B127" s="82" t="s">
        <v>1668</v>
      </c>
      <c r="C127" s="114"/>
      <c r="D127" s="115">
        <v>872.26366499999995</v>
      </c>
      <c r="E127" s="116">
        <f t="shared" si="1"/>
        <v>0</v>
      </c>
      <c r="F127" s="407">
        <v>907.06739800000003</v>
      </c>
      <c r="G127" s="17">
        <f t="shared" si="2"/>
        <v>0</v>
      </c>
      <c r="H127" s="90"/>
      <c r="I127" s="90">
        <f t="shared" ref="I127:I134" si="3">G127-E127</f>
        <v>0</v>
      </c>
    </row>
    <row r="128" spans="1:14" s="11" customFormat="1">
      <c r="A128" s="100">
        <v>45667</v>
      </c>
      <c r="B128" s="82" t="s">
        <v>142</v>
      </c>
      <c r="C128" s="114">
        <v>50</v>
      </c>
      <c r="D128" s="115">
        <v>872.26366499999995</v>
      </c>
      <c r="E128" s="116">
        <f t="shared" ref="E128" si="4">D128*C128</f>
        <v>43613.183249999995</v>
      </c>
      <c r="F128" s="407">
        <v>907.06739800000003</v>
      </c>
      <c r="G128" s="17">
        <f t="shared" ref="G128" si="5">F128*C128</f>
        <v>45353.369899999998</v>
      </c>
      <c r="H128" s="90"/>
      <c r="I128" s="90">
        <f t="shared" ref="I128" si="6">G128-E128</f>
        <v>1740.1866500000033</v>
      </c>
      <c r="K128" s="78"/>
      <c r="L128" s="78"/>
      <c r="M128" s="78"/>
      <c r="N128" s="78"/>
    </row>
    <row r="129" spans="1:14" s="11" customFormat="1">
      <c r="A129" s="100">
        <v>45691</v>
      </c>
      <c r="B129" s="82" t="s">
        <v>1654</v>
      </c>
      <c r="C129" s="114"/>
      <c r="D129" s="115">
        <v>872.26366499999995</v>
      </c>
      <c r="E129" s="116">
        <f t="shared" ref="E129" si="7">D129*C129</f>
        <v>0</v>
      </c>
      <c r="F129" s="407">
        <f>F127</f>
        <v>907.06739800000003</v>
      </c>
      <c r="G129" s="17">
        <f t="shared" ref="G129" si="8">F129*C129</f>
        <v>0</v>
      </c>
      <c r="H129" s="90"/>
      <c r="I129" s="90">
        <f t="shared" ref="I129" si="9">G129-E129</f>
        <v>0</v>
      </c>
      <c r="K129" s="78"/>
      <c r="L129" s="78"/>
      <c r="M129" s="78"/>
      <c r="N129" s="78"/>
    </row>
    <row r="130" spans="1:14" s="11" customFormat="1">
      <c r="A130" s="100">
        <v>45692</v>
      </c>
      <c r="B130" s="82" t="s">
        <v>1654</v>
      </c>
      <c r="C130" s="114"/>
      <c r="D130" s="115">
        <v>872.26366499999995</v>
      </c>
      <c r="E130" s="116">
        <f t="shared" ref="E130" si="10">D130*C130</f>
        <v>0</v>
      </c>
      <c r="F130" s="407">
        <v>900.29758900000002</v>
      </c>
      <c r="G130" s="17">
        <f t="shared" ref="G130" si="11">F130*C130</f>
        <v>0</v>
      </c>
      <c r="H130" s="90"/>
      <c r="I130" s="90">
        <f t="shared" ref="I130" si="12">G130-E130</f>
        <v>0</v>
      </c>
      <c r="K130" s="78"/>
      <c r="L130" s="78"/>
      <c r="M130" s="78"/>
      <c r="N130" s="78"/>
    </row>
    <row r="131" spans="1:14">
      <c r="A131" s="100">
        <v>45672</v>
      </c>
      <c r="B131" s="82" t="s">
        <v>142</v>
      </c>
      <c r="C131" s="114">
        <v>55</v>
      </c>
      <c r="D131" s="115">
        <v>877.65409299999999</v>
      </c>
      <c r="E131" s="116">
        <f t="shared" si="1"/>
        <v>48270.975115000001</v>
      </c>
      <c r="F131" s="407">
        <f>F127</f>
        <v>907.06739800000003</v>
      </c>
      <c r="G131" s="17">
        <f t="shared" si="2"/>
        <v>49888.706890000001</v>
      </c>
      <c r="H131" s="90"/>
      <c r="I131" s="90">
        <f t="shared" si="3"/>
        <v>1617.7317750000002</v>
      </c>
    </row>
    <row r="132" spans="1:14">
      <c r="A132" s="100">
        <v>45680</v>
      </c>
      <c r="B132" s="82" t="s">
        <v>1611</v>
      </c>
      <c r="C132" s="114">
        <v>120</v>
      </c>
      <c r="D132" s="115">
        <v>305</v>
      </c>
      <c r="E132" s="116">
        <f t="shared" si="1"/>
        <v>36600</v>
      </c>
      <c r="F132" s="90">
        <v>320.25</v>
      </c>
      <c r="G132" s="17">
        <f t="shared" si="2"/>
        <v>38430</v>
      </c>
      <c r="H132" s="90"/>
      <c r="I132" s="90">
        <f t="shared" si="3"/>
        <v>1830</v>
      </c>
    </row>
    <row r="133" spans="1:14">
      <c r="A133" s="100">
        <v>45620</v>
      </c>
      <c r="B133" s="82" t="s">
        <v>1613</v>
      </c>
      <c r="C133" s="114">
        <v>4000</v>
      </c>
      <c r="D133" s="114">
        <v>32.549999999999997</v>
      </c>
      <c r="E133" s="116">
        <f t="shared" si="1"/>
        <v>130199.99999999999</v>
      </c>
      <c r="F133" s="90">
        <v>34.64</v>
      </c>
      <c r="G133" s="17">
        <f t="shared" si="2"/>
        <v>138560</v>
      </c>
      <c r="H133" s="90"/>
      <c r="I133" s="90">
        <f t="shared" si="3"/>
        <v>8360.0000000000146</v>
      </c>
    </row>
    <row r="134" spans="1:14" ht="13.5" thickBot="1">
      <c r="A134" s="100">
        <v>45659</v>
      </c>
      <c r="B134" s="82" t="s">
        <v>1612</v>
      </c>
      <c r="C134" s="114">
        <v>4000</v>
      </c>
      <c r="D134" s="115">
        <v>30.86</v>
      </c>
      <c r="E134" s="116">
        <f t="shared" si="1"/>
        <v>123440</v>
      </c>
      <c r="F134" s="90">
        <f>F133</f>
        <v>34.64</v>
      </c>
      <c r="G134" s="17">
        <f t="shared" si="2"/>
        <v>138560</v>
      </c>
      <c r="H134" s="422">
        <f>SUM(G126:G134)</f>
        <v>410792.07678999996</v>
      </c>
      <c r="I134" s="90">
        <f t="shared" si="3"/>
        <v>15120</v>
      </c>
    </row>
    <row r="135" spans="1:14" ht="13.5" thickBot="1">
      <c r="A135" s="100"/>
      <c r="B135" s="90"/>
      <c r="C135" s="12"/>
      <c r="D135" s="12"/>
      <c r="E135" s="90">
        <f>SUM(E126:E134)</f>
        <v>382124.15836499998</v>
      </c>
      <c r="F135" s="90"/>
      <c r="G135" s="17"/>
      <c r="H135" s="117">
        <f>(SUM(G126:G134))-(SUM(E126:E134))</f>
        <v>28667.918424999982</v>
      </c>
      <c r="I135" s="117">
        <f>SUM(I126:I134)</f>
        <v>28667.918425000018</v>
      </c>
    </row>
    <row r="136" spans="1:14">
      <c r="A136" s="100"/>
      <c r="B136" s="90"/>
      <c r="C136" s="12"/>
      <c r="D136" s="12"/>
      <c r="E136" s="90"/>
      <c r="F136" s="90"/>
      <c r="G136" s="90"/>
      <c r="H136" s="90"/>
      <c r="I136" s="90"/>
    </row>
    <row r="137" spans="1:14">
      <c r="A137" s="100">
        <v>45345</v>
      </c>
      <c r="B137" s="82" t="s">
        <v>144</v>
      </c>
      <c r="C137" s="118">
        <v>125000</v>
      </c>
      <c r="D137" s="83">
        <v>1.0399430000000001</v>
      </c>
      <c r="E137" s="116">
        <f>D137*C137</f>
        <v>129992.87500000001</v>
      </c>
      <c r="F137" s="119">
        <v>0.77102499999999996</v>
      </c>
      <c r="G137" s="17">
        <f>F137*C137</f>
        <v>96378.125</v>
      </c>
      <c r="H137" s="90"/>
      <c r="I137" s="90">
        <f t="shared" ref="I137:I141" si="13">G137-E137</f>
        <v>-33614.750000000015</v>
      </c>
    </row>
    <row r="138" spans="1:14">
      <c r="A138" s="100">
        <v>45667</v>
      </c>
      <c r="B138" s="82" t="s">
        <v>1615</v>
      </c>
      <c r="C138" s="118">
        <v>240</v>
      </c>
      <c r="D138" s="83">
        <v>872.26366499999995</v>
      </c>
      <c r="E138" s="116">
        <f>D138*C138</f>
        <v>209343.27959999998</v>
      </c>
      <c r="F138" s="406">
        <f>F131</f>
        <v>907.06739800000003</v>
      </c>
      <c r="G138" s="17">
        <f>F138*C138</f>
        <v>217696.17552000002</v>
      </c>
      <c r="H138" s="90"/>
      <c r="I138" s="90">
        <f t="shared" si="13"/>
        <v>8352.895920000039</v>
      </c>
    </row>
    <row r="139" spans="1:14">
      <c r="A139" s="100">
        <v>45400</v>
      </c>
      <c r="B139" s="82" t="s">
        <v>145</v>
      </c>
      <c r="C139" s="114">
        <v>10</v>
      </c>
      <c r="D139" s="83">
        <v>135</v>
      </c>
      <c r="E139" s="116">
        <f>D139*C139</f>
        <v>1350</v>
      </c>
      <c r="F139" s="90">
        <v>116.1</v>
      </c>
      <c r="G139" s="17">
        <f>F139*C139</f>
        <v>1161</v>
      </c>
      <c r="H139" s="90"/>
      <c r="I139" s="90">
        <f t="shared" si="13"/>
        <v>-189</v>
      </c>
    </row>
    <row r="140" spans="1:14">
      <c r="A140" s="100">
        <v>45418</v>
      </c>
      <c r="B140" s="82" t="s">
        <v>146</v>
      </c>
      <c r="C140" s="114">
        <v>38</v>
      </c>
      <c r="D140" s="83">
        <v>30.5</v>
      </c>
      <c r="E140" s="116">
        <f>D140*C140</f>
        <v>1159</v>
      </c>
      <c r="F140" s="90">
        <v>17.71</v>
      </c>
      <c r="G140" s="17">
        <f>F140*C140</f>
        <v>672.98</v>
      </c>
      <c r="H140" s="90"/>
      <c r="I140" s="90">
        <f t="shared" si="13"/>
        <v>-486.02</v>
      </c>
    </row>
    <row r="141" spans="1:14" ht="13.5" thickBot="1">
      <c r="A141" s="100">
        <v>45418</v>
      </c>
      <c r="B141" s="82" t="s">
        <v>147</v>
      </c>
      <c r="C141" s="114">
        <v>26</v>
      </c>
      <c r="D141" s="83">
        <v>37.115000000000002</v>
      </c>
      <c r="E141" s="116">
        <f>D141*C141</f>
        <v>964.99</v>
      </c>
      <c r="F141" s="90">
        <v>25.58</v>
      </c>
      <c r="G141" s="17">
        <f>F141*C141</f>
        <v>665.07999999999993</v>
      </c>
      <c r="H141" s="422">
        <f>SUM(G137:G141)</f>
        <v>316573.36052000005</v>
      </c>
      <c r="I141" s="90">
        <f t="shared" si="13"/>
        <v>-299.91000000000008</v>
      </c>
    </row>
    <row r="142" spans="1:14" ht="13.5" thickBot="1">
      <c r="A142" s="100"/>
      <c r="B142" s="90"/>
      <c r="C142" s="12"/>
      <c r="D142" s="12"/>
      <c r="E142" s="90">
        <f>SUM(E137:E141)</f>
        <v>342810.1446</v>
      </c>
      <c r="F142" s="90"/>
      <c r="G142" s="90"/>
      <c r="H142" s="117">
        <f>(SUM(G137:G141))-(SUM(E137:E141))</f>
        <v>-26236.784079999954</v>
      </c>
      <c r="I142" s="90"/>
    </row>
    <row r="143" spans="1:14">
      <c r="A143" s="100"/>
      <c r="B143" s="90"/>
      <c r="C143" s="90"/>
      <c r="D143" s="90"/>
      <c r="E143" s="17"/>
      <c r="F143" s="90"/>
      <c r="G143" s="90"/>
      <c r="H143" s="90"/>
      <c r="I143" s="90"/>
    </row>
    <row r="144" spans="1:14">
      <c r="A144" s="100">
        <v>45509</v>
      </c>
      <c r="B144" s="82" t="s">
        <v>148</v>
      </c>
      <c r="C144" s="114">
        <v>1</v>
      </c>
      <c r="D144" s="83">
        <v>2500</v>
      </c>
      <c r="E144" s="116">
        <f>D144*C144</f>
        <v>2500</v>
      </c>
      <c r="F144" s="90">
        <v>3310</v>
      </c>
      <c r="G144" s="17">
        <f>C144*F144</f>
        <v>3310</v>
      </c>
      <c r="H144" s="90"/>
      <c r="I144" s="90">
        <f t="shared" ref="I144:I146" si="14">G144-E144</f>
        <v>810</v>
      </c>
    </row>
    <row r="145" spans="1:9">
      <c r="A145" s="100">
        <v>45509</v>
      </c>
      <c r="B145" s="82" t="s">
        <v>149</v>
      </c>
      <c r="C145" s="114">
        <v>16</v>
      </c>
      <c r="D145" s="83">
        <v>4100</v>
      </c>
      <c r="E145" s="116">
        <f>D145*C145</f>
        <v>65600</v>
      </c>
      <c r="F145" s="90">
        <f>F144*1.73</f>
        <v>5726.3</v>
      </c>
      <c r="G145" s="17">
        <f>C145*F145</f>
        <v>91620.800000000003</v>
      </c>
      <c r="H145" s="90"/>
      <c r="I145" s="90">
        <f t="shared" si="14"/>
        <v>26020.800000000003</v>
      </c>
    </row>
    <row r="146" spans="1:9" ht="13.5" thickBot="1">
      <c r="A146" s="100">
        <v>45509</v>
      </c>
      <c r="B146" s="82" t="s">
        <v>150</v>
      </c>
      <c r="C146" s="114">
        <v>1</v>
      </c>
      <c r="D146" s="83">
        <v>16200</v>
      </c>
      <c r="E146" s="116">
        <f>D146*C146</f>
        <v>16200</v>
      </c>
      <c r="F146" s="90">
        <f>F145*4</f>
        <v>22905.200000000001</v>
      </c>
      <c r="G146" s="17">
        <f>C146*F146</f>
        <v>22905.200000000001</v>
      </c>
      <c r="H146" s="422">
        <f>SUM(G144:G146)</f>
        <v>117836</v>
      </c>
      <c r="I146" s="90">
        <f t="shared" si="14"/>
        <v>6705.2000000000007</v>
      </c>
    </row>
    <row r="147" spans="1:9" ht="13.5" thickBot="1">
      <c r="A147" s="100"/>
      <c r="B147" s="90"/>
      <c r="C147" s="12"/>
      <c r="D147" s="12"/>
      <c r="E147" s="90">
        <f>SUM(E144:E146)</f>
        <v>84300</v>
      </c>
      <c r="F147" s="90"/>
      <c r="G147" s="90"/>
      <c r="H147" s="117">
        <f>(SUM(G144:G146))-(SUM(E144:E146))</f>
        <v>33536</v>
      </c>
      <c r="I147" s="90"/>
    </row>
    <row r="148" spans="1:9">
      <c r="A148" s="100"/>
      <c r="B148" s="90" t="s">
        <v>151</v>
      </c>
      <c r="C148" s="120">
        <v>33.250599999999999</v>
      </c>
      <c r="D148" s="12"/>
      <c r="E148" s="90"/>
      <c r="F148" s="90"/>
      <c r="G148" s="17"/>
      <c r="H148" s="90"/>
      <c r="I148" s="90"/>
    </row>
    <row r="149" spans="1:9">
      <c r="A149" s="100"/>
      <c r="B149" s="90" t="s">
        <v>152</v>
      </c>
      <c r="C149" s="120">
        <v>36.854999999999997</v>
      </c>
      <c r="D149" s="12"/>
      <c r="E149" s="90"/>
      <c r="F149" s="90"/>
      <c r="G149" s="17"/>
      <c r="H149" s="90"/>
      <c r="I149" s="90"/>
    </row>
    <row r="150" spans="1:9">
      <c r="A150" s="100"/>
      <c r="B150" s="90" t="s">
        <v>153</v>
      </c>
      <c r="C150" s="12"/>
      <c r="D150" s="12"/>
      <c r="E150" s="90"/>
      <c r="F150" s="90"/>
      <c r="G150" s="17">
        <v>0</v>
      </c>
      <c r="H150" s="90"/>
      <c r="I150" s="90"/>
    </row>
    <row r="151" spans="1:9" ht="13.5" thickBot="1">
      <c r="A151" s="100"/>
      <c r="B151" s="90" t="s">
        <v>154</v>
      </c>
      <c r="C151" s="12"/>
      <c r="D151" s="12"/>
      <c r="E151" s="90"/>
      <c r="F151" s="90"/>
      <c r="G151" s="17">
        <v>1000</v>
      </c>
      <c r="H151" s="90"/>
      <c r="I151" s="90"/>
    </row>
    <row r="152" spans="1:9" ht="13.5" thickBot="1">
      <c r="A152" s="100"/>
      <c r="B152" s="90"/>
      <c r="C152" s="90"/>
      <c r="D152" s="90"/>
      <c r="E152" s="121"/>
      <c r="F152" s="122"/>
      <c r="G152" s="123" t="s">
        <v>155</v>
      </c>
      <c r="H152" s="438">
        <f>H147+H142+H135</f>
        <v>35967.134345000028</v>
      </c>
      <c r="I152" s="90"/>
    </row>
    <row r="153" spans="1:9">
      <c r="A153" s="100"/>
      <c r="B153" s="90"/>
      <c r="C153" s="125"/>
      <c r="D153" s="92"/>
      <c r="E153" s="90"/>
      <c r="F153" s="90"/>
      <c r="G153" s="125"/>
      <c r="H153" s="90"/>
      <c r="I153" s="90"/>
    </row>
    <row r="154" spans="1:9">
      <c r="A154" s="100"/>
      <c r="B154" s="90"/>
      <c r="C154" s="125"/>
      <c r="D154" s="18" t="s">
        <v>156</v>
      </c>
      <c r="E154" s="90"/>
      <c r="F154" s="90"/>
      <c r="G154" s="9">
        <f>SUM(G120:G151)</f>
        <v>1072531.43731</v>
      </c>
      <c r="H154" s="90"/>
      <c r="I154" s="90"/>
    </row>
    <row r="155" spans="1:9">
      <c r="A155" s="100"/>
      <c r="B155" s="90"/>
      <c r="C155" s="126" t="str">
        <f>A116</f>
        <v>MART 2025 e</v>
      </c>
      <c r="D155" s="127" t="s">
        <v>157</v>
      </c>
      <c r="E155" s="90"/>
      <c r="F155" s="90"/>
      <c r="G155" s="128"/>
      <c r="H155" s="90"/>
      <c r="I155" s="90"/>
    </row>
    <row r="156" spans="1:9">
      <c r="A156" s="90"/>
      <c r="B156" s="90"/>
      <c r="C156" s="90"/>
      <c r="D156" s="90"/>
      <c r="E156" s="90"/>
      <c r="F156" s="90"/>
      <c r="G156" s="90"/>
      <c r="H156" s="90"/>
      <c r="I156" s="90"/>
    </row>
    <row r="157" spans="1:9">
      <c r="A157" s="90"/>
      <c r="B157" s="90"/>
      <c r="C157" s="90"/>
      <c r="D157" s="90"/>
      <c r="E157" s="90"/>
      <c r="F157" s="90"/>
      <c r="G157" s="90"/>
      <c r="H157" s="90"/>
      <c r="I157" s="90"/>
    </row>
    <row r="158" spans="1:9">
      <c r="A158" s="398">
        <v>45680</v>
      </c>
      <c r="B158" s="399" t="s">
        <v>1656</v>
      </c>
      <c r="C158" s="400">
        <v>-25</v>
      </c>
      <c r="D158" s="401">
        <v>752.55561799999998</v>
      </c>
      <c r="E158" s="402">
        <f>D158*C158</f>
        <v>-18813.890449999999</v>
      </c>
      <c r="F158" s="403">
        <v>899.26057400000002</v>
      </c>
      <c r="G158" s="404">
        <f>F158*C158</f>
        <v>-22481.514350000001</v>
      </c>
      <c r="H158" s="403"/>
      <c r="I158" s="403">
        <f>E158-G158</f>
        <v>3667.6239000000023</v>
      </c>
    </row>
    <row r="159" spans="1:9">
      <c r="A159" s="398">
        <v>45680</v>
      </c>
      <c r="B159" s="399" t="s">
        <v>1614</v>
      </c>
      <c r="C159" s="400"/>
      <c r="D159" s="401"/>
      <c r="E159" s="402">
        <v>299.37</v>
      </c>
      <c r="F159" s="403"/>
      <c r="G159" s="404"/>
      <c r="H159" s="403"/>
      <c r="I159" s="403">
        <f>G159-E159</f>
        <v>-299.37</v>
      </c>
    </row>
    <row r="160" spans="1:9">
      <c r="A160" s="398">
        <v>45680</v>
      </c>
      <c r="B160" s="399" t="s">
        <v>142</v>
      </c>
      <c r="C160" s="400">
        <v>-9</v>
      </c>
      <c r="D160" s="115">
        <v>872.26366499999995</v>
      </c>
      <c r="E160" s="402">
        <f>D160*C160</f>
        <v>-7850.372985</v>
      </c>
      <c r="F160" s="403">
        <v>899.26057400000002</v>
      </c>
      <c r="G160" s="404">
        <f>F160*C160</f>
        <v>-8093.3451660000001</v>
      </c>
      <c r="H160" s="403"/>
      <c r="I160" s="403">
        <f>E160-G160</f>
        <v>242.97218100000009</v>
      </c>
    </row>
    <row r="161" spans="1:14">
      <c r="A161" s="398">
        <v>45680</v>
      </c>
      <c r="B161" s="399" t="s">
        <v>1614</v>
      </c>
      <c r="C161" s="400"/>
      <c r="D161" s="401"/>
      <c r="E161" s="402"/>
      <c r="F161" s="403"/>
      <c r="G161" s="404"/>
      <c r="H161" s="403"/>
      <c r="I161" s="403"/>
    </row>
    <row r="162" spans="1:14" s="11" customFormat="1">
      <c r="A162" s="398">
        <v>45692</v>
      </c>
      <c r="B162" s="399" t="s">
        <v>1655</v>
      </c>
      <c r="C162" s="400">
        <v>-25</v>
      </c>
      <c r="D162" s="401">
        <v>872.26366499999995</v>
      </c>
      <c r="E162" s="402">
        <f t="shared" ref="E162" si="15">D162*C162</f>
        <v>-21806.591624999997</v>
      </c>
      <c r="F162" s="426">
        <v>900.29758900000002</v>
      </c>
      <c r="G162" s="404">
        <f t="shared" ref="G162" si="16">F162*C162</f>
        <v>-22507.439725</v>
      </c>
      <c r="H162" s="403"/>
      <c r="I162" s="403">
        <f>E162-G162</f>
        <v>700.84810000000289</v>
      </c>
      <c r="K162" s="78"/>
      <c r="L162" s="78"/>
      <c r="M162" s="78"/>
      <c r="N162" s="78"/>
    </row>
    <row r="163" spans="1:14" s="11" customFormat="1">
      <c r="A163" s="398">
        <v>45680</v>
      </c>
      <c r="B163" s="399" t="s">
        <v>1614</v>
      </c>
      <c r="C163" s="400"/>
      <c r="D163" s="401"/>
      <c r="E163" s="402"/>
      <c r="F163" s="403"/>
      <c r="G163" s="404"/>
      <c r="H163" s="403"/>
      <c r="I163" s="403">
        <v>-70.09</v>
      </c>
      <c r="K163" s="78"/>
      <c r="L163" s="78"/>
      <c r="M163" s="78"/>
      <c r="N163" s="78"/>
    </row>
    <row r="164" spans="1:14" s="11" customFormat="1">
      <c r="A164" s="398">
        <v>45692</v>
      </c>
      <c r="B164" s="399" t="s">
        <v>1667</v>
      </c>
      <c r="C164" s="400">
        <v>-21</v>
      </c>
      <c r="D164" s="401">
        <v>872.26366499999995</v>
      </c>
      <c r="E164" s="402">
        <f t="shared" ref="E164" si="17">D164*C164</f>
        <v>-18317.536964999999</v>
      </c>
      <c r="F164" s="426">
        <v>907.06739800000003</v>
      </c>
      <c r="G164" s="404">
        <f t="shared" ref="G164" si="18">F164*C164</f>
        <v>-19048.415358000002</v>
      </c>
      <c r="H164" s="403"/>
      <c r="I164" s="403">
        <f>E164-G164</f>
        <v>730.87839300000269</v>
      </c>
      <c r="K164" s="78"/>
      <c r="L164" s="78"/>
      <c r="M164" s="78"/>
      <c r="N164" s="78"/>
    </row>
    <row r="165" spans="1:14" s="11" customFormat="1">
      <c r="A165" s="398">
        <v>45699</v>
      </c>
      <c r="B165" s="399" t="s">
        <v>1614</v>
      </c>
      <c r="C165" s="400"/>
      <c r="D165" s="401"/>
      <c r="E165" s="402"/>
      <c r="F165" s="403"/>
      <c r="G165" s="404"/>
      <c r="H165" s="403"/>
      <c r="I165" s="403">
        <v>-73.09</v>
      </c>
      <c r="K165" s="78"/>
      <c r="L165" s="78"/>
      <c r="M165" s="78"/>
      <c r="N165" s="78"/>
    </row>
    <row r="166" spans="1:14" s="11" customFormat="1">
      <c r="A166" s="398"/>
      <c r="B166" s="399"/>
      <c r="C166" s="400"/>
      <c r="D166" s="401"/>
      <c r="E166" s="402"/>
      <c r="F166" s="403"/>
      <c r="G166" s="404"/>
      <c r="H166" s="403"/>
      <c r="I166" s="403"/>
      <c r="K166" s="78"/>
      <c r="L166" s="78"/>
      <c r="M166" s="78"/>
      <c r="N166" s="78"/>
    </row>
    <row r="167" spans="1:14" s="11" customFormat="1">
      <c r="A167" s="398"/>
      <c r="B167" s="399"/>
      <c r="C167" s="400"/>
      <c r="D167" s="401"/>
      <c r="E167" s="402"/>
      <c r="F167" s="403"/>
      <c r="G167" s="404"/>
      <c r="H167" s="403"/>
      <c r="I167" s="403"/>
      <c r="K167" s="78"/>
      <c r="L167" s="78"/>
      <c r="M167" s="78"/>
      <c r="N167" s="78"/>
    </row>
    <row r="169" spans="1:14">
      <c r="I169" s="78">
        <f>SUM(I158:I168)</f>
        <v>4899.7725740000078</v>
      </c>
    </row>
    <row r="176" spans="1:14">
      <c r="F176" s="407">
        <v>900.29758900000002</v>
      </c>
    </row>
  </sheetData>
  <conditionalFormatting sqref="F144:F146">
    <cfRule type="cellIs" dxfId="23" priority="12" operator="lessThan">
      <formula>D144</formula>
    </cfRule>
  </conditionalFormatting>
  <conditionalFormatting sqref="F139:F141">
    <cfRule type="cellIs" dxfId="22" priority="13" operator="lessThan">
      <formula>D139</formula>
    </cfRule>
  </conditionalFormatting>
  <conditionalFormatting sqref="F134">
    <cfRule type="cellIs" dxfId="21" priority="14" operator="lessThan">
      <formula>D134</formula>
    </cfRule>
  </conditionalFormatting>
  <conditionalFormatting sqref="F133">
    <cfRule type="cellIs" dxfId="20" priority="15" operator="lessThan">
      <formula>D133</formula>
    </cfRule>
  </conditionalFormatting>
  <conditionalFormatting sqref="F127 F131">
    <cfRule type="cellIs" dxfId="19" priority="16" operator="lessThan">
      <formula>D127</formula>
    </cfRule>
  </conditionalFormatting>
  <conditionalFormatting sqref="F132">
    <cfRule type="cellIs" dxfId="18" priority="11" operator="lessThan">
      <formula>D132</formula>
    </cfRule>
  </conditionalFormatting>
  <conditionalFormatting sqref="F158:F159">
    <cfRule type="cellIs" dxfId="17" priority="10" operator="lessThan">
      <formula>D158</formula>
    </cfRule>
  </conditionalFormatting>
  <conditionalFormatting sqref="F161 F163 F166:F167">
    <cfRule type="cellIs" dxfId="16" priority="9" operator="lessThan">
      <formula>D161</formula>
    </cfRule>
  </conditionalFormatting>
  <conditionalFormatting sqref="F129">
    <cfRule type="cellIs" dxfId="15" priority="8" operator="lessThan">
      <formula>D129</formula>
    </cfRule>
  </conditionalFormatting>
  <conditionalFormatting sqref="F160">
    <cfRule type="cellIs" dxfId="14" priority="7" operator="lessThan">
      <formula>D160</formula>
    </cfRule>
  </conditionalFormatting>
  <conditionalFormatting sqref="F130">
    <cfRule type="cellIs" dxfId="13" priority="6" operator="lessThan">
      <formula>D130</formula>
    </cfRule>
  </conditionalFormatting>
  <conditionalFormatting sqref="F176">
    <cfRule type="cellIs" dxfId="12" priority="5" operator="lessThan">
      <formula>D176</formula>
    </cfRule>
  </conditionalFormatting>
  <conditionalFormatting sqref="F162">
    <cfRule type="cellIs" dxfId="11" priority="4" operator="lessThan">
      <formula>D162</formula>
    </cfRule>
  </conditionalFormatting>
  <conditionalFormatting sqref="F128">
    <cfRule type="cellIs" dxfId="10" priority="3" operator="lessThan">
      <formula>D128</formula>
    </cfRule>
  </conditionalFormatting>
  <conditionalFormatting sqref="F165">
    <cfRule type="cellIs" dxfId="9" priority="2" operator="lessThan">
      <formula>D165</formula>
    </cfRule>
  </conditionalFormatting>
  <conditionalFormatting sqref="F164">
    <cfRule type="cellIs" dxfId="8" priority="1" operator="lessThan">
      <formula>D164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7"/>
  <sheetViews>
    <sheetView tabSelected="1" topLeftCell="A63" zoomScale="145" zoomScaleNormal="145" workbookViewId="0">
      <selection activeCell="H75" sqref="H7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8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2">
        <v>45688</v>
      </c>
      <c r="B31" s="393" t="s">
        <v>80</v>
      </c>
      <c r="C31" s="393"/>
      <c r="D31" s="388"/>
      <c r="E31" s="388">
        <v>-600</v>
      </c>
      <c r="F31" s="430"/>
      <c r="G31" s="430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2">
        <v>45688</v>
      </c>
      <c r="B32" s="393" t="s">
        <v>81</v>
      </c>
      <c r="C32" s="393"/>
      <c r="D32" s="388"/>
      <c r="E32" s="388">
        <v>-800</v>
      </c>
      <c r="F32" s="430"/>
      <c r="G32" s="430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2">
        <v>45688</v>
      </c>
      <c r="B33" s="388" t="s">
        <v>1645</v>
      </c>
      <c r="C33" s="388"/>
      <c r="D33" s="388"/>
      <c r="E33" s="388"/>
      <c r="F33" s="430"/>
      <c r="G33" s="430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9" t="s">
        <v>114</v>
      </c>
      <c r="C34" s="419"/>
      <c r="D34" s="420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7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398"/>
      <c r="B36" s="433" t="s">
        <v>1662</v>
      </c>
      <c r="C36" s="434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1649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1648</v>
      </c>
      <c r="K75" s="78"/>
      <c r="L75" s="78"/>
      <c r="M75" s="78"/>
      <c r="N75" s="78"/>
    </row>
    <row r="76" spans="1:14" s="77" customFormat="1">
      <c r="A76" s="100"/>
      <c r="B76" s="77" t="s">
        <v>1650</v>
      </c>
      <c r="D76" s="421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2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2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2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36" t="s">
        <v>26</v>
      </c>
      <c r="M1" s="43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37">
        <f>L15+M15</f>
        <v>1080.7929879999999</v>
      </c>
      <c r="M17" s="437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2025-02-11T07:59:06Z</dcterms:modified>
  <dc:language>tr-TR</dc:language>
</cp:coreProperties>
</file>