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F:\aaGitMe\tdy\"/>
    </mc:Choice>
  </mc:AlternateContent>
  <xr:revisionPtr revIDLastSave="0" documentId="13_ncr:1_{1D2F6158-3FB9-49ED-BB86-AB82A1848C72}" xr6:coauthVersionLast="47" xr6:coauthVersionMax="47" xr10:uidLastSave="{00000000-0000-0000-0000-000000000000}"/>
  <bookViews>
    <workbookView xWindow="-120" yWindow="-120" windowWidth="29040" windowHeight="15720" tabRatio="839" activeTab="11" xr2:uid="{00000000-000D-0000-FFFF-FFFF00000000}"/>
  </bookViews>
  <sheets>
    <sheet name="PERI_25" sheetId="1" r:id="rId1"/>
    <sheet name="GNLK-_2025" sheetId="2" r:id="rId2"/>
    <sheet name="12_25" sheetId="3" r:id="rId3"/>
    <sheet name="11_25" sheetId="4" r:id="rId4"/>
    <sheet name="10_25" sheetId="5" r:id="rId5"/>
    <sheet name="09_25" sheetId="6" r:id="rId6"/>
    <sheet name="08_25" sheetId="7" r:id="rId7"/>
    <sheet name="07_25" sheetId="8" r:id="rId8"/>
    <sheet name="06_25" sheetId="9" r:id="rId9"/>
    <sheet name="05_25" sheetId="10" r:id="rId10"/>
    <sheet name="04_25" sheetId="11" r:id="rId11"/>
    <sheet name="03_25" sheetId="12" r:id="rId12"/>
    <sheet name="02_25" sheetId="13" r:id="rId13"/>
    <sheet name="01_25" sheetId="14" r:id="rId14"/>
    <sheet name="PERI_24" sheetId="15" r:id="rId15"/>
    <sheet name="cross" sheetId="16" r:id="rId16"/>
    <sheet name="GNLK-_2024" sheetId="17" r:id="rId17"/>
    <sheet name="12_24" sheetId="18" r:id="rId18"/>
    <sheet name="11_24" sheetId="19" r:id="rId19"/>
    <sheet name="10_24" sheetId="20" r:id="rId20"/>
    <sheet name="09_24" sheetId="21" r:id="rId21"/>
    <sheet name="08_24" sheetId="22" r:id="rId22"/>
    <sheet name="07_24" sheetId="23" r:id="rId23"/>
    <sheet name="06_24" sheetId="24" r:id="rId24"/>
    <sheet name="05_24" sheetId="25" r:id="rId25"/>
    <sheet name="04_24" sheetId="26" r:id="rId26"/>
    <sheet name="03_24" sheetId="27" r:id="rId27"/>
    <sheet name="02_24" sheetId="28" r:id="rId28"/>
    <sheet name="01_24" sheetId="29" r:id="rId29"/>
    <sheet name="GNLK-_2023" sheetId="30" r:id="rId30"/>
    <sheet name="PERI_23" sheetId="31" r:id="rId31"/>
    <sheet name="NZN_24" sheetId="32" r:id="rId32"/>
    <sheet name="NZN_23" sheetId="33" r:id="rId33"/>
    <sheet name="12_23" sheetId="34" r:id="rId34"/>
    <sheet name="11_23" sheetId="35" r:id="rId35"/>
    <sheet name="10_23" sheetId="36" r:id="rId36"/>
    <sheet name="09_23" sheetId="37" r:id="rId37"/>
    <sheet name="08_23" sheetId="38" r:id="rId38"/>
    <sheet name="07_23" sheetId="39" r:id="rId39"/>
    <sheet name="06_23" sheetId="40" r:id="rId40"/>
    <sheet name="05_23" sheetId="41" r:id="rId41"/>
    <sheet name="04_23" sheetId="42" r:id="rId42"/>
    <sheet name="03_23" sheetId="43" r:id="rId43"/>
    <sheet name="02_23" sheetId="44" r:id="rId44"/>
    <sheet name="01_23" sheetId="45" r:id="rId45"/>
    <sheet name="GNLK-_2022" sheetId="46" r:id="rId46"/>
    <sheet name="22_12" sheetId="47" r:id="rId47"/>
    <sheet name="11" sheetId="48" r:id="rId48"/>
    <sheet name="10" sheetId="49" r:id="rId49"/>
    <sheet name="09" sheetId="50" r:id="rId50"/>
    <sheet name="08" sheetId="51" r:id="rId51"/>
    <sheet name="07" sheetId="52" r:id="rId52"/>
    <sheet name="06" sheetId="53" r:id="rId53"/>
    <sheet name="05" sheetId="54" r:id="rId54"/>
    <sheet name="04" sheetId="55" r:id="rId55"/>
    <sheet name="03" sheetId="56" r:id="rId56"/>
    <sheet name="22_2" sheetId="57" r:id="rId57"/>
    <sheet name="22_1" sheetId="58" r:id="rId58"/>
    <sheet name="PROCESS" sheetId="59" r:id="rId5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70" i="12" l="1"/>
  <c r="G126" i="12"/>
  <c r="E126" i="12"/>
  <c r="L155" i="12"/>
  <c r="C143" i="14"/>
  <c r="E145" i="14"/>
  <c r="E147" i="14"/>
  <c r="G147" i="14"/>
  <c r="I147" i="14"/>
  <c r="I148" i="14"/>
  <c r="G165" i="12"/>
  <c r="E165" i="12"/>
  <c r="I165" i="12" s="1"/>
  <c r="G164" i="12"/>
  <c r="E164" i="12"/>
  <c r="G162" i="12"/>
  <c r="E162" i="12"/>
  <c r="I162" i="12" s="1"/>
  <c r="G161" i="12"/>
  <c r="E161" i="12"/>
  <c r="G159" i="12"/>
  <c r="E159" i="12"/>
  <c r="I159" i="12" s="1"/>
  <c r="F158" i="12"/>
  <c r="G158" i="12" s="1"/>
  <c r="E158" i="12"/>
  <c r="C150" i="12"/>
  <c r="E141" i="12"/>
  <c r="F140" i="12"/>
  <c r="F141" i="12" s="1"/>
  <c r="G141" i="12" s="1"/>
  <c r="E140" i="12"/>
  <c r="G139" i="12"/>
  <c r="E139" i="12"/>
  <c r="G136" i="12"/>
  <c r="E136" i="12"/>
  <c r="G135" i="12"/>
  <c r="E135" i="12"/>
  <c r="G134" i="12"/>
  <c r="E134" i="12"/>
  <c r="E133" i="12"/>
  <c r="G132" i="12"/>
  <c r="E132" i="12"/>
  <c r="F129" i="12"/>
  <c r="G129" i="12" s="1"/>
  <c r="E129" i="12"/>
  <c r="G128" i="12"/>
  <c r="E128" i="12"/>
  <c r="G155" i="12"/>
  <c r="E155" i="12"/>
  <c r="F125" i="12"/>
  <c r="G125" i="12" s="1"/>
  <c r="E125" i="12"/>
  <c r="G124" i="12"/>
  <c r="E124" i="12"/>
  <c r="E64" i="12"/>
  <c r="F11" i="1"/>
  <c r="F12" i="1" s="1"/>
  <c r="F13" i="1" s="1"/>
  <c r="F14" i="1" s="1"/>
  <c r="F122" i="13"/>
  <c r="F129" i="13"/>
  <c r="F130" i="13" s="1"/>
  <c r="E40" i="12"/>
  <c r="G161" i="13"/>
  <c r="E161" i="13"/>
  <c r="G121" i="13"/>
  <c r="E121" i="13"/>
  <c r="H37" i="13"/>
  <c r="H38" i="13" s="1"/>
  <c r="I126" i="12" l="1"/>
  <c r="I136" i="12"/>
  <c r="E142" i="12"/>
  <c r="F133" i="12"/>
  <c r="G133" i="12" s="1"/>
  <c r="I141" i="12"/>
  <c r="I129" i="12"/>
  <c r="I134" i="12"/>
  <c r="I135" i="12"/>
  <c r="E130" i="12"/>
  <c r="I155" i="12"/>
  <c r="I128" i="12"/>
  <c r="I124" i="12"/>
  <c r="I132" i="12"/>
  <c r="E137" i="12"/>
  <c r="I158" i="12"/>
  <c r="I161" i="12"/>
  <c r="I164" i="12"/>
  <c r="H130" i="12"/>
  <c r="H129" i="12"/>
  <c r="I125" i="12"/>
  <c r="I130" i="12" s="1"/>
  <c r="I133" i="12"/>
  <c r="H137" i="12"/>
  <c r="H136" i="12"/>
  <c r="I139" i="12"/>
  <c r="G140" i="12"/>
  <c r="I140" i="12" s="1"/>
  <c r="I161" i="13"/>
  <c r="I121" i="13"/>
  <c r="G158" i="13"/>
  <c r="E158" i="13"/>
  <c r="G157" i="13"/>
  <c r="E157" i="13"/>
  <c r="F127" i="14"/>
  <c r="G127" i="14" s="1"/>
  <c r="G125" i="14"/>
  <c r="E154" i="13"/>
  <c r="G155" i="13"/>
  <c r="E155" i="13"/>
  <c r="I153" i="13"/>
  <c r="G152" i="13"/>
  <c r="E152" i="13"/>
  <c r="C146" i="13"/>
  <c r="G130" i="13"/>
  <c r="E130" i="13"/>
  <c r="N4" i="2" s="1"/>
  <c r="G129" i="13"/>
  <c r="E129" i="13"/>
  <c r="G128" i="13"/>
  <c r="E128" i="13"/>
  <c r="G136" i="13"/>
  <c r="E136" i="13"/>
  <c r="G135" i="13"/>
  <c r="E135" i="13"/>
  <c r="G134" i="13"/>
  <c r="E134" i="13"/>
  <c r="E148" i="13"/>
  <c r="G133" i="13"/>
  <c r="E133" i="13"/>
  <c r="F125" i="13"/>
  <c r="G125" i="13" s="1"/>
  <c r="E125" i="13"/>
  <c r="G124" i="13"/>
  <c r="E124" i="13"/>
  <c r="G123" i="13"/>
  <c r="E123" i="13"/>
  <c r="E122" i="13"/>
  <c r="E160" i="13"/>
  <c r="G151" i="13"/>
  <c r="E151" i="13"/>
  <c r="D73" i="14"/>
  <c r="D74" i="14" s="1"/>
  <c r="B74" i="14" s="1"/>
  <c r="G120" i="14"/>
  <c r="E120" i="14"/>
  <c r="F122" i="14"/>
  <c r="G122" i="14" s="1"/>
  <c r="F64" i="15"/>
  <c r="F65" i="15"/>
  <c r="F6" i="1"/>
  <c r="F2" i="14"/>
  <c r="E3" i="2" s="1"/>
  <c r="F63" i="14"/>
  <c r="F62" i="14"/>
  <c r="H63" i="14"/>
  <c r="H62" i="14"/>
  <c r="F118" i="14"/>
  <c r="G118" i="14" s="1"/>
  <c r="I118" i="14" s="1"/>
  <c r="E119" i="14"/>
  <c r="H4" i="58"/>
  <c r="H5" i="58" s="1"/>
  <c r="H6" i="58" s="1"/>
  <c r="H7" i="58" s="1"/>
  <c r="H8" i="58" s="1"/>
  <c r="H9" i="58" s="1"/>
  <c r="H10" i="58" s="1"/>
  <c r="H11" i="58" s="1"/>
  <c r="H12" i="58" s="1"/>
  <c r="H13" i="58" s="1"/>
  <c r="H14" i="58" s="1"/>
  <c r="H15" i="58" s="1"/>
  <c r="H16" i="58" s="1"/>
  <c r="H17" i="58" s="1"/>
  <c r="H18" i="58" s="1"/>
  <c r="H19" i="58" s="1"/>
  <c r="H20" i="58" s="1"/>
  <c r="H21" i="58" s="1"/>
  <c r="H22" i="58" s="1"/>
  <c r="H23" i="58" s="1"/>
  <c r="H24" i="58" s="1"/>
  <c r="H25" i="58" s="1"/>
  <c r="H3" i="58"/>
  <c r="G2" i="58"/>
  <c r="F2" i="58"/>
  <c r="H2" i="58" s="1"/>
  <c r="E2" i="58"/>
  <c r="C3" i="46" s="1"/>
  <c r="D2" i="58"/>
  <c r="B3" i="46" s="1"/>
  <c r="D3" i="46" s="1"/>
  <c r="H11" i="57"/>
  <c r="H12" i="57" s="1"/>
  <c r="H13" i="57" s="1"/>
  <c r="H14" i="57" s="1"/>
  <c r="H15" i="57" s="1"/>
  <c r="H16" i="57" s="1"/>
  <c r="H17" i="57" s="1"/>
  <c r="H18" i="57" s="1"/>
  <c r="H19" i="57" s="1"/>
  <c r="H20" i="57" s="1"/>
  <c r="H21" i="57" s="1"/>
  <c r="H22" i="57" s="1"/>
  <c r="H23" i="57" s="1"/>
  <c r="H24" i="57" s="1"/>
  <c r="H25" i="57" s="1"/>
  <c r="H26" i="57" s="1"/>
  <c r="H27" i="57" s="1"/>
  <c r="H28" i="57" s="1"/>
  <c r="H29" i="57" s="1"/>
  <c r="H30" i="57" s="1"/>
  <c r="H4" i="57"/>
  <c r="H5" i="57" s="1"/>
  <c r="H6" i="57" s="1"/>
  <c r="H7" i="57" s="1"/>
  <c r="H8" i="57" s="1"/>
  <c r="H9" i="57" s="1"/>
  <c r="H10" i="57" s="1"/>
  <c r="G2" i="57"/>
  <c r="F2" i="57"/>
  <c r="E2" i="57"/>
  <c r="D2" i="57"/>
  <c r="H5" i="56"/>
  <c r="H6" i="56" s="1"/>
  <c r="H7" i="56" s="1"/>
  <c r="H8" i="56" s="1"/>
  <c r="H9" i="56" s="1"/>
  <c r="H10" i="56" s="1"/>
  <c r="H11" i="56" s="1"/>
  <c r="H12" i="56" s="1"/>
  <c r="H13" i="56" s="1"/>
  <c r="H14" i="56" s="1"/>
  <c r="H15" i="56" s="1"/>
  <c r="H16" i="56" s="1"/>
  <c r="H17" i="56" s="1"/>
  <c r="H18" i="56" s="1"/>
  <c r="H19" i="56" s="1"/>
  <c r="H20" i="56" s="1"/>
  <c r="H21" i="56" s="1"/>
  <c r="H22" i="56" s="1"/>
  <c r="H23" i="56" s="1"/>
  <c r="H24" i="56" s="1"/>
  <c r="H25" i="56" s="1"/>
  <c r="H26" i="56" s="1"/>
  <c r="H27" i="56" s="1"/>
  <c r="H28" i="56" s="1"/>
  <c r="H29" i="56" s="1"/>
  <c r="H30" i="56" s="1"/>
  <c r="H31" i="56" s="1"/>
  <c r="H32" i="56" s="1"/>
  <c r="H4" i="56"/>
  <c r="H2" i="56"/>
  <c r="G2" i="56"/>
  <c r="F5" i="46" s="1"/>
  <c r="F2" i="56"/>
  <c r="E2" i="56"/>
  <c r="D2" i="56"/>
  <c r="B5" i="46" s="1"/>
  <c r="H4" i="55"/>
  <c r="H5" i="55" s="1"/>
  <c r="H6" i="55" s="1"/>
  <c r="H7" i="55" s="1"/>
  <c r="H8" i="55" s="1"/>
  <c r="H9" i="55" s="1"/>
  <c r="H10" i="55" s="1"/>
  <c r="H11" i="55" s="1"/>
  <c r="H12" i="55" s="1"/>
  <c r="H13" i="55" s="1"/>
  <c r="H14" i="55" s="1"/>
  <c r="H15" i="55" s="1"/>
  <c r="H16" i="55" s="1"/>
  <c r="H17" i="55" s="1"/>
  <c r="H18" i="55" s="1"/>
  <c r="H19" i="55" s="1"/>
  <c r="H20" i="55" s="1"/>
  <c r="H21" i="55" s="1"/>
  <c r="H22" i="55" s="1"/>
  <c r="H23" i="55" s="1"/>
  <c r="H24" i="55" s="1"/>
  <c r="H25" i="55" s="1"/>
  <c r="H26" i="55" s="1"/>
  <c r="H27" i="55" s="1"/>
  <c r="H28" i="55" s="1"/>
  <c r="H29" i="55" s="1"/>
  <c r="H30" i="55" s="1"/>
  <c r="H31" i="55" s="1"/>
  <c r="H32" i="55" s="1"/>
  <c r="H33" i="55" s="1"/>
  <c r="H34" i="55" s="1"/>
  <c r="H35" i="55" s="1"/>
  <c r="H36" i="55" s="1"/>
  <c r="H2" i="55"/>
  <c r="G2" i="55"/>
  <c r="F2" i="55"/>
  <c r="E2" i="55"/>
  <c r="D2" i="55"/>
  <c r="H20" i="54"/>
  <c r="H21" i="54" s="1"/>
  <c r="H22" i="54" s="1"/>
  <c r="H23" i="54" s="1"/>
  <c r="H24" i="54" s="1"/>
  <c r="H25" i="54" s="1"/>
  <c r="H26" i="54" s="1"/>
  <c r="H27" i="54" s="1"/>
  <c r="H28" i="54" s="1"/>
  <c r="H29" i="54" s="1"/>
  <c r="H30" i="54" s="1"/>
  <c r="H31" i="54" s="1"/>
  <c r="H32" i="54" s="1"/>
  <c r="H33" i="54" s="1"/>
  <c r="H34" i="54" s="1"/>
  <c r="H4" i="54"/>
  <c r="H5" i="54" s="1"/>
  <c r="H6" i="54" s="1"/>
  <c r="H7" i="54" s="1"/>
  <c r="H8" i="54" s="1"/>
  <c r="H9" i="54" s="1"/>
  <c r="H10" i="54" s="1"/>
  <c r="H11" i="54" s="1"/>
  <c r="H12" i="54" s="1"/>
  <c r="H13" i="54" s="1"/>
  <c r="H14" i="54" s="1"/>
  <c r="H15" i="54" s="1"/>
  <c r="H16" i="54" s="1"/>
  <c r="H17" i="54" s="1"/>
  <c r="H18" i="54" s="1"/>
  <c r="H19" i="54" s="1"/>
  <c r="G2" i="54"/>
  <c r="F7" i="46" s="1"/>
  <c r="F2" i="54"/>
  <c r="E2" i="54"/>
  <c r="C7" i="46" s="1"/>
  <c r="D2" i="54"/>
  <c r="B7" i="46" s="1"/>
  <c r="H5" i="53"/>
  <c r="H6" i="53" s="1"/>
  <c r="H7" i="53" s="1"/>
  <c r="H8" i="53" s="1"/>
  <c r="H9" i="53" s="1"/>
  <c r="H10" i="53" s="1"/>
  <c r="H11" i="53" s="1"/>
  <c r="H12" i="53" s="1"/>
  <c r="H13" i="53" s="1"/>
  <c r="H14" i="53" s="1"/>
  <c r="H15" i="53" s="1"/>
  <c r="H16" i="53" s="1"/>
  <c r="H17" i="53" s="1"/>
  <c r="H18" i="53" s="1"/>
  <c r="H19" i="53" s="1"/>
  <c r="H20" i="53" s="1"/>
  <c r="H21" i="53" s="1"/>
  <c r="H22" i="53" s="1"/>
  <c r="H23" i="53" s="1"/>
  <c r="H24" i="53" s="1"/>
  <c r="H25" i="53" s="1"/>
  <c r="H26" i="53" s="1"/>
  <c r="H27" i="53" s="1"/>
  <c r="H28" i="53" s="1"/>
  <c r="H29" i="53" s="1"/>
  <c r="H30" i="53" s="1"/>
  <c r="H31" i="53" s="1"/>
  <c r="H32" i="53" s="1"/>
  <c r="H33" i="53" s="1"/>
  <c r="H34" i="53" s="1"/>
  <c r="H35" i="53" s="1"/>
  <c r="H36" i="53" s="1"/>
  <c r="H37" i="53" s="1"/>
  <c r="H38" i="53" s="1"/>
  <c r="H39" i="53" s="1"/>
  <c r="H40" i="53" s="1"/>
  <c r="H41" i="53" s="1"/>
  <c r="H42" i="53" s="1"/>
  <c r="H43" i="53" s="1"/>
  <c r="H44" i="53" s="1"/>
  <c r="H45" i="53" s="1"/>
  <c r="H46" i="53" s="1"/>
  <c r="H47" i="53" s="1"/>
  <c r="H4" i="53"/>
  <c r="H2" i="53"/>
  <c r="G2" i="53"/>
  <c r="F2" i="53"/>
  <c r="E2" i="53"/>
  <c r="C8" i="46" s="1"/>
  <c r="D2" i="53"/>
  <c r="H7" i="52"/>
  <c r="H8" i="52" s="1"/>
  <c r="H9" i="52" s="1"/>
  <c r="H10" i="52" s="1"/>
  <c r="H11" i="52" s="1"/>
  <c r="H12" i="52" s="1"/>
  <c r="H13" i="52" s="1"/>
  <c r="H14" i="52" s="1"/>
  <c r="H15" i="52" s="1"/>
  <c r="H16" i="52" s="1"/>
  <c r="H17" i="52" s="1"/>
  <c r="H18" i="52" s="1"/>
  <c r="H19" i="52" s="1"/>
  <c r="H20" i="52" s="1"/>
  <c r="H21" i="52" s="1"/>
  <c r="H22" i="52" s="1"/>
  <c r="H23" i="52" s="1"/>
  <c r="H24" i="52" s="1"/>
  <c r="H25" i="52" s="1"/>
  <c r="H26" i="52" s="1"/>
  <c r="H27" i="52" s="1"/>
  <c r="H28" i="52" s="1"/>
  <c r="H29" i="52" s="1"/>
  <c r="H30" i="52" s="1"/>
  <c r="H31" i="52" s="1"/>
  <c r="H32" i="52" s="1"/>
  <c r="H33" i="52" s="1"/>
  <c r="H34" i="52" s="1"/>
  <c r="H35" i="52" s="1"/>
  <c r="H36" i="52" s="1"/>
  <c r="H37" i="52" s="1"/>
  <c r="H38" i="52" s="1"/>
  <c r="H39" i="52" s="1"/>
  <c r="H40" i="52" s="1"/>
  <c r="H41" i="52" s="1"/>
  <c r="H42" i="52" s="1"/>
  <c r="H43" i="52" s="1"/>
  <c r="H44" i="52" s="1"/>
  <c r="H45" i="52" s="1"/>
  <c r="H46" i="52" s="1"/>
  <c r="H47" i="52" s="1"/>
  <c r="H48" i="52" s="1"/>
  <c r="H49" i="52" s="1"/>
  <c r="H50" i="52" s="1"/>
  <c r="H51" i="52" s="1"/>
  <c r="H52" i="52" s="1"/>
  <c r="H53" i="52" s="1"/>
  <c r="H54" i="52" s="1"/>
  <c r="H55" i="52" s="1"/>
  <c r="H6" i="52"/>
  <c r="H5" i="52"/>
  <c r="H4" i="52"/>
  <c r="G2" i="52"/>
  <c r="F9" i="46" s="1"/>
  <c r="F2" i="52"/>
  <c r="E2" i="52"/>
  <c r="D2" i="52"/>
  <c r="B9" i="46" s="1"/>
  <c r="D59" i="51"/>
  <c r="H6" i="51"/>
  <c r="H7" i="51" s="1"/>
  <c r="H8" i="51" s="1"/>
  <c r="H9" i="51" s="1"/>
  <c r="H10" i="51" s="1"/>
  <c r="H11" i="51" s="1"/>
  <c r="H12" i="51" s="1"/>
  <c r="H13" i="51" s="1"/>
  <c r="H14" i="51" s="1"/>
  <c r="H15" i="51" s="1"/>
  <c r="H16" i="51" s="1"/>
  <c r="H17" i="51" s="1"/>
  <c r="H18" i="51" s="1"/>
  <c r="H19" i="51" s="1"/>
  <c r="H20" i="51" s="1"/>
  <c r="H21" i="51" s="1"/>
  <c r="H22" i="51" s="1"/>
  <c r="H23" i="51" s="1"/>
  <c r="H24" i="51" s="1"/>
  <c r="H25" i="51" s="1"/>
  <c r="H26" i="51" s="1"/>
  <c r="H27" i="51" s="1"/>
  <c r="H28" i="51" s="1"/>
  <c r="H29" i="51" s="1"/>
  <c r="H30" i="51" s="1"/>
  <c r="H31" i="51" s="1"/>
  <c r="H32" i="51" s="1"/>
  <c r="H33" i="51" s="1"/>
  <c r="H34" i="51" s="1"/>
  <c r="H35" i="51" s="1"/>
  <c r="H36" i="51" s="1"/>
  <c r="H37" i="51" s="1"/>
  <c r="H38" i="51" s="1"/>
  <c r="H39" i="51" s="1"/>
  <c r="H40" i="51" s="1"/>
  <c r="H41" i="51" s="1"/>
  <c r="H42" i="51" s="1"/>
  <c r="H43" i="51" s="1"/>
  <c r="H44" i="51" s="1"/>
  <c r="H45" i="51" s="1"/>
  <c r="H46" i="51" s="1"/>
  <c r="H47" i="51" s="1"/>
  <c r="H48" i="51" s="1"/>
  <c r="H49" i="51" s="1"/>
  <c r="H50" i="51" s="1"/>
  <c r="H51" i="51" s="1"/>
  <c r="H52" i="51" s="1"/>
  <c r="H53" i="51" s="1"/>
  <c r="H54" i="51" s="1"/>
  <c r="H55" i="51" s="1"/>
  <c r="H56" i="51" s="1"/>
  <c r="H57" i="51" s="1"/>
  <c r="H58" i="51" s="1"/>
  <c r="H59" i="51" s="1"/>
  <c r="H60" i="51" s="1"/>
  <c r="H4" i="51"/>
  <c r="H5" i="51" s="1"/>
  <c r="G2" i="51"/>
  <c r="F2" i="51"/>
  <c r="E10" i="46" s="1"/>
  <c r="E2" i="51"/>
  <c r="D2" i="51"/>
  <c r="H47" i="50"/>
  <c r="H42" i="50"/>
  <c r="H43" i="50" s="1"/>
  <c r="H44" i="50" s="1"/>
  <c r="H45" i="50" s="1"/>
  <c r="H46" i="50" s="1"/>
  <c r="H7" i="50"/>
  <c r="H8" i="50" s="1"/>
  <c r="H9" i="50" s="1"/>
  <c r="H10" i="50" s="1"/>
  <c r="H11" i="50" s="1"/>
  <c r="H12" i="50" s="1"/>
  <c r="H13" i="50" s="1"/>
  <c r="H14" i="50" s="1"/>
  <c r="H15" i="50" s="1"/>
  <c r="H16" i="50" s="1"/>
  <c r="H17" i="50" s="1"/>
  <c r="H18" i="50" s="1"/>
  <c r="H19" i="50" s="1"/>
  <c r="H20" i="50" s="1"/>
  <c r="H21" i="50" s="1"/>
  <c r="H22" i="50" s="1"/>
  <c r="H23" i="50" s="1"/>
  <c r="H24" i="50" s="1"/>
  <c r="H25" i="50" s="1"/>
  <c r="H26" i="50" s="1"/>
  <c r="H27" i="50" s="1"/>
  <c r="H28" i="50" s="1"/>
  <c r="H29" i="50" s="1"/>
  <c r="H30" i="50" s="1"/>
  <c r="H31" i="50" s="1"/>
  <c r="H32" i="50" s="1"/>
  <c r="H33" i="50" s="1"/>
  <c r="H34" i="50" s="1"/>
  <c r="H35" i="50" s="1"/>
  <c r="H36" i="50" s="1"/>
  <c r="H37" i="50" s="1"/>
  <c r="H38" i="50" s="1"/>
  <c r="H39" i="50" s="1"/>
  <c r="H40" i="50" s="1"/>
  <c r="H41" i="50" s="1"/>
  <c r="H4" i="50"/>
  <c r="H5" i="50" s="1"/>
  <c r="H6" i="50" s="1"/>
  <c r="G2" i="50"/>
  <c r="H2" i="50" s="1"/>
  <c r="F2" i="50"/>
  <c r="E2" i="50"/>
  <c r="D2" i="50"/>
  <c r="B11" i="46" s="1"/>
  <c r="H13" i="49"/>
  <c r="H14" i="49" s="1"/>
  <c r="H15" i="49" s="1"/>
  <c r="H16" i="49" s="1"/>
  <c r="H17" i="49" s="1"/>
  <c r="H18" i="49" s="1"/>
  <c r="H19" i="49" s="1"/>
  <c r="H20" i="49" s="1"/>
  <c r="H21" i="49" s="1"/>
  <c r="H22" i="49" s="1"/>
  <c r="H23" i="49" s="1"/>
  <c r="H24" i="49" s="1"/>
  <c r="H25" i="49" s="1"/>
  <c r="H26" i="49" s="1"/>
  <c r="H27" i="49" s="1"/>
  <c r="H28" i="49" s="1"/>
  <c r="H29" i="49" s="1"/>
  <c r="H30" i="49" s="1"/>
  <c r="H31" i="49" s="1"/>
  <c r="H32" i="49" s="1"/>
  <c r="H33" i="49" s="1"/>
  <c r="H34" i="49" s="1"/>
  <c r="H35" i="49" s="1"/>
  <c r="H36" i="49" s="1"/>
  <c r="H37" i="49" s="1"/>
  <c r="H38" i="49" s="1"/>
  <c r="H39" i="49" s="1"/>
  <c r="H40" i="49" s="1"/>
  <c r="H41" i="49" s="1"/>
  <c r="H42" i="49" s="1"/>
  <c r="H43" i="49" s="1"/>
  <c r="H44" i="49" s="1"/>
  <c r="H45" i="49" s="1"/>
  <c r="H46" i="49" s="1"/>
  <c r="H47" i="49" s="1"/>
  <c r="H48" i="49" s="1"/>
  <c r="H49" i="49" s="1"/>
  <c r="H50" i="49" s="1"/>
  <c r="H51" i="49" s="1"/>
  <c r="H52" i="49" s="1"/>
  <c r="H53" i="49" s="1"/>
  <c r="H54" i="49" s="1"/>
  <c r="H55" i="49" s="1"/>
  <c r="H56" i="49" s="1"/>
  <c r="H57" i="49" s="1"/>
  <c r="H58" i="49" s="1"/>
  <c r="H59" i="49" s="1"/>
  <c r="H60" i="49" s="1"/>
  <c r="H61" i="49" s="1"/>
  <c r="H62" i="49" s="1"/>
  <c r="H63" i="49" s="1"/>
  <c r="H64" i="49" s="1"/>
  <c r="H65" i="49" s="1"/>
  <c r="H66" i="49" s="1"/>
  <c r="H67" i="49" s="1"/>
  <c r="H68" i="49" s="1"/>
  <c r="H69" i="49" s="1"/>
  <c r="H70" i="49" s="1"/>
  <c r="H71" i="49" s="1"/>
  <c r="H72" i="49" s="1"/>
  <c r="H73" i="49" s="1"/>
  <c r="H74" i="49" s="1"/>
  <c r="H75" i="49" s="1"/>
  <c r="H76" i="49" s="1"/>
  <c r="H77" i="49" s="1"/>
  <c r="H78" i="49" s="1"/>
  <c r="H79" i="49" s="1"/>
  <c r="H80" i="49" s="1"/>
  <c r="H81" i="49" s="1"/>
  <c r="H82" i="49" s="1"/>
  <c r="H83" i="49" s="1"/>
  <c r="H84" i="49" s="1"/>
  <c r="H12" i="49"/>
  <c r="H4" i="49"/>
  <c r="H5" i="49" s="1"/>
  <c r="H6" i="49" s="1"/>
  <c r="H7" i="49" s="1"/>
  <c r="H9" i="49" s="1"/>
  <c r="H10" i="49" s="1"/>
  <c r="G2" i="49"/>
  <c r="F2" i="49"/>
  <c r="E2" i="49"/>
  <c r="D2" i="49"/>
  <c r="B12" i="46" s="1"/>
  <c r="H5" i="48"/>
  <c r="H6" i="48" s="1"/>
  <c r="H7" i="48" s="1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H25" i="48" s="1"/>
  <c r="H26" i="48" s="1"/>
  <c r="H27" i="48" s="1"/>
  <c r="H28" i="48" s="1"/>
  <c r="H29" i="48" s="1"/>
  <c r="H30" i="48" s="1"/>
  <c r="H31" i="48" s="1"/>
  <c r="H32" i="48" s="1"/>
  <c r="H33" i="48" s="1"/>
  <c r="H34" i="48" s="1"/>
  <c r="H35" i="48" s="1"/>
  <c r="H36" i="48" s="1"/>
  <c r="H37" i="48" s="1"/>
  <c r="H38" i="48" s="1"/>
  <c r="H39" i="48" s="1"/>
  <c r="H40" i="48" s="1"/>
  <c r="H41" i="48" s="1"/>
  <c r="H42" i="48" s="1"/>
  <c r="H43" i="48" s="1"/>
  <c r="H44" i="48" s="1"/>
  <c r="H45" i="48" s="1"/>
  <c r="H46" i="48" s="1"/>
  <c r="H47" i="48" s="1"/>
  <c r="H48" i="48" s="1"/>
  <c r="H49" i="48" s="1"/>
  <c r="H50" i="48" s="1"/>
  <c r="H51" i="48" s="1"/>
  <c r="H52" i="48" s="1"/>
  <c r="H53" i="48" s="1"/>
  <c r="H54" i="48" s="1"/>
  <c r="H4" i="48"/>
  <c r="H2" i="48"/>
  <c r="G2" i="48"/>
  <c r="F13" i="46" s="1"/>
  <c r="F2" i="48"/>
  <c r="E13" i="46" s="1"/>
  <c r="E2" i="48"/>
  <c r="D2" i="48"/>
  <c r="B13" i="46" s="1"/>
  <c r="E35" i="47"/>
  <c r="H4" i="47"/>
  <c r="H5" i="47" s="1"/>
  <c r="H6" i="47" s="1"/>
  <c r="H7" i="47" s="1"/>
  <c r="H8" i="47" s="1"/>
  <c r="H9" i="47" s="1"/>
  <c r="H10" i="47" s="1"/>
  <c r="H11" i="47" s="1"/>
  <c r="H12" i="47" s="1"/>
  <c r="H13" i="47" s="1"/>
  <c r="H14" i="47" s="1"/>
  <c r="H15" i="47" s="1"/>
  <c r="H16" i="47" s="1"/>
  <c r="H17" i="47" s="1"/>
  <c r="H18" i="47" s="1"/>
  <c r="H19" i="47" s="1"/>
  <c r="H20" i="47" s="1"/>
  <c r="H21" i="47" s="1"/>
  <c r="H22" i="47" s="1"/>
  <c r="H23" i="47" s="1"/>
  <c r="H24" i="47" s="1"/>
  <c r="H25" i="47" s="1"/>
  <c r="H26" i="47" s="1"/>
  <c r="H27" i="47" s="1"/>
  <c r="H28" i="47" s="1"/>
  <c r="H29" i="47" s="1"/>
  <c r="H30" i="47" s="1"/>
  <c r="H31" i="47" s="1"/>
  <c r="H32" i="47" s="1"/>
  <c r="H33" i="47" s="1"/>
  <c r="H34" i="47" s="1"/>
  <c r="H35" i="47" s="1"/>
  <c r="H36" i="47" s="1"/>
  <c r="H37" i="47" s="1"/>
  <c r="H38" i="47" s="1"/>
  <c r="H39" i="47" s="1"/>
  <c r="H40" i="47" s="1"/>
  <c r="H41" i="47" s="1"/>
  <c r="H42" i="47" s="1"/>
  <c r="H43" i="47" s="1"/>
  <c r="H44" i="47" s="1"/>
  <c r="H45" i="47" s="1"/>
  <c r="H46" i="47" s="1"/>
  <c r="H47" i="47" s="1"/>
  <c r="H48" i="47" s="1"/>
  <c r="H49" i="47" s="1"/>
  <c r="H50" i="47" s="1"/>
  <c r="H51" i="47" s="1"/>
  <c r="H52" i="47" s="1"/>
  <c r="H53" i="47" s="1"/>
  <c r="H54" i="47" s="1"/>
  <c r="H55" i="47" s="1"/>
  <c r="H56" i="47" s="1"/>
  <c r="H57" i="47" s="1"/>
  <c r="H58" i="47" s="1"/>
  <c r="H59" i="47" s="1"/>
  <c r="H60" i="47" s="1"/>
  <c r="H61" i="47" s="1"/>
  <c r="H62" i="47" s="1"/>
  <c r="H63" i="47" s="1"/>
  <c r="H64" i="47" s="1"/>
  <c r="H65" i="47" s="1"/>
  <c r="G2" i="47"/>
  <c r="F2" i="47"/>
  <c r="E14" i="46" s="1"/>
  <c r="E2" i="47"/>
  <c r="C14" i="46" s="1"/>
  <c r="D2" i="47"/>
  <c r="B14" i="46" s="1"/>
  <c r="N16" i="46"/>
  <c r="M16" i="46"/>
  <c r="N15" i="46"/>
  <c r="M15" i="46"/>
  <c r="K15" i="46"/>
  <c r="K16" i="46" s="1"/>
  <c r="J15" i="46"/>
  <c r="J16" i="46" s="1"/>
  <c r="L14" i="46"/>
  <c r="K14" i="46"/>
  <c r="F14" i="46"/>
  <c r="K13" i="46"/>
  <c r="L13" i="46" s="1"/>
  <c r="C13" i="46"/>
  <c r="K12" i="46"/>
  <c r="L12" i="46" s="1"/>
  <c r="E12" i="46"/>
  <c r="C12" i="46"/>
  <c r="L11" i="46"/>
  <c r="K11" i="46"/>
  <c r="F11" i="46"/>
  <c r="E11" i="46"/>
  <c r="C11" i="46"/>
  <c r="K10" i="46"/>
  <c r="L10" i="46" s="1"/>
  <c r="C10" i="46"/>
  <c r="B10" i="46"/>
  <c r="K9" i="46"/>
  <c r="L9" i="46" s="1"/>
  <c r="E9" i="46"/>
  <c r="C9" i="46"/>
  <c r="F8" i="46"/>
  <c r="E8" i="46"/>
  <c r="B8" i="46"/>
  <c r="E7" i="46"/>
  <c r="F6" i="46"/>
  <c r="E6" i="46"/>
  <c r="C6" i="46"/>
  <c r="B6" i="46"/>
  <c r="E5" i="46"/>
  <c r="C5" i="46"/>
  <c r="E4" i="46"/>
  <c r="C4" i="46"/>
  <c r="D4" i="46" s="1"/>
  <c r="B4" i="46"/>
  <c r="F3" i="46"/>
  <c r="E3" i="46"/>
  <c r="L1" i="46"/>
  <c r="E118" i="45"/>
  <c r="E117" i="45"/>
  <c r="E116" i="45"/>
  <c r="E111" i="45" s="1"/>
  <c r="E48" i="45"/>
  <c r="E35" i="45"/>
  <c r="D35" i="45"/>
  <c r="E13" i="45"/>
  <c r="H6" i="45"/>
  <c r="H7" i="45" s="1"/>
  <c r="H8" i="45" s="1"/>
  <c r="H9" i="45" s="1"/>
  <c r="H10" i="45" s="1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H22" i="45" s="1"/>
  <c r="H23" i="45" s="1"/>
  <c r="H24" i="45" s="1"/>
  <c r="H5" i="45"/>
  <c r="G2" i="45"/>
  <c r="F3" i="30" s="1"/>
  <c r="F2" i="45"/>
  <c r="E2" i="45"/>
  <c r="C3" i="30" s="1"/>
  <c r="D2" i="45"/>
  <c r="E121" i="44"/>
  <c r="E118" i="44"/>
  <c r="E117" i="44"/>
  <c r="E111" i="44" s="1"/>
  <c r="N4" i="30" s="1"/>
  <c r="E116" i="44"/>
  <c r="E87" i="44"/>
  <c r="E6" i="44" s="1"/>
  <c r="E62" i="44"/>
  <c r="E50" i="44"/>
  <c r="D50" i="44"/>
  <c r="G15" i="44"/>
  <c r="G2" i="44" s="1"/>
  <c r="F4" i="30" s="1"/>
  <c r="E15" i="44"/>
  <c r="E9" i="44"/>
  <c r="H7" i="44"/>
  <c r="H8" i="44" s="1"/>
  <c r="H9" i="44" s="1"/>
  <c r="H10" i="44" s="1"/>
  <c r="H11" i="44" s="1"/>
  <c r="H12" i="44" s="1"/>
  <c r="H13" i="44" s="1"/>
  <c r="H14" i="44" s="1"/>
  <c r="H15" i="44" s="1"/>
  <c r="H16" i="44" s="1"/>
  <c r="H17" i="44" s="1"/>
  <c r="H18" i="44" s="1"/>
  <c r="H19" i="44" s="1"/>
  <c r="H20" i="44" s="1"/>
  <c r="H21" i="44" s="1"/>
  <c r="H22" i="44" s="1"/>
  <c r="H23" i="44" s="1"/>
  <c r="H24" i="44" s="1"/>
  <c r="H25" i="44" s="1"/>
  <c r="H26" i="44" s="1"/>
  <c r="H27" i="44" s="1"/>
  <c r="H28" i="44" s="1"/>
  <c r="H29" i="44" s="1"/>
  <c r="H30" i="44" s="1"/>
  <c r="H31" i="44" s="1"/>
  <c r="H32" i="44" s="1"/>
  <c r="H33" i="44" s="1"/>
  <c r="H34" i="44" s="1"/>
  <c r="H35" i="44" s="1"/>
  <c r="H36" i="44" s="1"/>
  <c r="H37" i="44" s="1"/>
  <c r="H38" i="44" s="1"/>
  <c r="H39" i="44" s="1"/>
  <c r="H40" i="44" s="1"/>
  <c r="H41" i="44" s="1"/>
  <c r="H5" i="44"/>
  <c r="H6" i="44" s="1"/>
  <c r="H4" i="44"/>
  <c r="H2" i="44"/>
  <c r="F2" i="44"/>
  <c r="D2" i="44"/>
  <c r="B4" i="30" s="1"/>
  <c r="E118" i="43"/>
  <c r="E117" i="43"/>
  <c r="E116" i="43"/>
  <c r="E95" i="43"/>
  <c r="E58" i="43"/>
  <c r="E46" i="43"/>
  <c r="D46" i="43"/>
  <c r="E14" i="43"/>
  <c r="E13" i="43"/>
  <c r="H12" i="43"/>
  <c r="H13" i="43" s="1"/>
  <c r="H14" i="43" s="1"/>
  <c r="H15" i="43" s="1"/>
  <c r="H16" i="43" s="1"/>
  <c r="H17" i="43" s="1"/>
  <c r="H18" i="43" s="1"/>
  <c r="H19" i="43" s="1"/>
  <c r="H20" i="43" s="1"/>
  <c r="H21" i="43" s="1"/>
  <c r="H22" i="43" s="1"/>
  <c r="H23" i="43" s="1"/>
  <c r="H24" i="43" s="1"/>
  <c r="H25" i="43" s="1"/>
  <c r="H26" i="43" s="1"/>
  <c r="H27" i="43" s="1"/>
  <c r="H28" i="43" s="1"/>
  <c r="H29" i="43" s="1"/>
  <c r="H30" i="43" s="1"/>
  <c r="H31" i="43" s="1"/>
  <c r="H32" i="43" s="1"/>
  <c r="H33" i="43" s="1"/>
  <c r="H34" i="43" s="1"/>
  <c r="H35" i="43" s="1"/>
  <c r="H36" i="43" s="1"/>
  <c r="H37" i="43" s="1"/>
  <c r="H38" i="43" s="1"/>
  <c r="E12" i="43"/>
  <c r="H3" i="43"/>
  <c r="H4" i="43" s="1"/>
  <c r="H5" i="43" s="1"/>
  <c r="H6" i="43" s="1"/>
  <c r="H7" i="43" s="1"/>
  <c r="H8" i="43" s="1"/>
  <c r="H9" i="43" s="1"/>
  <c r="H10" i="43" s="1"/>
  <c r="H11" i="43" s="1"/>
  <c r="H2" i="43"/>
  <c r="E121" i="43" s="1"/>
  <c r="G2" i="43"/>
  <c r="F2" i="43"/>
  <c r="D2" i="43"/>
  <c r="E118" i="42"/>
  <c r="E111" i="42" s="1"/>
  <c r="N6" i="30" s="1"/>
  <c r="E117" i="42"/>
  <c r="E116" i="42"/>
  <c r="E78" i="42"/>
  <c r="E13" i="42" s="1"/>
  <c r="E54" i="42"/>
  <c r="E42" i="42"/>
  <c r="D42" i="42"/>
  <c r="E12" i="42"/>
  <c r="E11" i="42"/>
  <c r="H4" i="42"/>
  <c r="H5" i="42" s="1"/>
  <c r="H6" i="42" s="1"/>
  <c r="H7" i="42" s="1"/>
  <c r="H8" i="42" s="1"/>
  <c r="H9" i="42" s="1"/>
  <c r="H10" i="42" s="1"/>
  <c r="H11" i="42" s="1"/>
  <c r="H12" i="42" s="1"/>
  <c r="H13" i="42" s="1"/>
  <c r="H14" i="42" s="1"/>
  <c r="H15" i="42" s="1"/>
  <c r="H16" i="42" s="1"/>
  <c r="H17" i="42" s="1"/>
  <c r="H18" i="42" s="1"/>
  <c r="H19" i="42" s="1"/>
  <c r="H20" i="42" s="1"/>
  <c r="H21" i="42" s="1"/>
  <c r="H22" i="42" s="1"/>
  <c r="H23" i="42" s="1"/>
  <c r="H24" i="42" s="1"/>
  <c r="H25" i="42" s="1"/>
  <c r="H26" i="42" s="1"/>
  <c r="H27" i="42" s="1"/>
  <c r="H28" i="42" s="1"/>
  <c r="H29" i="42" s="1"/>
  <c r="H30" i="42" s="1"/>
  <c r="G2" i="42"/>
  <c r="F6" i="30" s="1"/>
  <c r="F2" i="42"/>
  <c r="D2" i="42"/>
  <c r="E121" i="41"/>
  <c r="E118" i="41"/>
  <c r="E117" i="41"/>
  <c r="E116" i="41"/>
  <c r="E80" i="41"/>
  <c r="E59" i="41"/>
  <c r="E47" i="41"/>
  <c r="D47" i="41"/>
  <c r="H20" i="41"/>
  <c r="H21" i="41" s="1"/>
  <c r="H22" i="41" s="1"/>
  <c r="H23" i="41" s="1"/>
  <c r="E8" i="41"/>
  <c r="E7" i="41"/>
  <c r="E2" i="41" s="1"/>
  <c r="C7" i="30" s="1"/>
  <c r="E6" i="41"/>
  <c r="H4" i="41"/>
  <c r="H5" i="41" s="1"/>
  <c r="H6" i="41" s="1"/>
  <c r="H7" i="41" s="1"/>
  <c r="H8" i="41" s="1"/>
  <c r="H9" i="41" s="1"/>
  <c r="H10" i="41" s="1"/>
  <c r="H11" i="41" s="1"/>
  <c r="H12" i="41" s="1"/>
  <c r="H13" i="41" s="1"/>
  <c r="H14" i="41" s="1"/>
  <c r="H15" i="41" s="1"/>
  <c r="H16" i="41" s="1"/>
  <c r="H17" i="41" s="1"/>
  <c r="H18" i="41" s="1"/>
  <c r="H19" i="41" s="1"/>
  <c r="G2" i="41"/>
  <c r="F7" i="30" s="1"/>
  <c r="F2" i="41"/>
  <c r="D2" i="41"/>
  <c r="B7" i="30" s="1"/>
  <c r="E118" i="40"/>
  <c r="E117" i="40"/>
  <c r="E116" i="40"/>
  <c r="E84" i="40"/>
  <c r="E9" i="40" s="1"/>
  <c r="E49" i="40"/>
  <c r="E8" i="40" s="1"/>
  <c r="E37" i="40"/>
  <c r="D37" i="40"/>
  <c r="H5" i="40"/>
  <c r="H6" i="40" s="1"/>
  <c r="H7" i="40" s="1"/>
  <c r="H8" i="40" s="1"/>
  <c r="H4" i="40"/>
  <c r="G2" i="40"/>
  <c r="F8" i="30" s="1"/>
  <c r="F2" i="40"/>
  <c r="D2" i="40"/>
  <c r="B8" i="30" s="1"/>
  <c r="C121" i="39"/>
  <c r="E118" i="39"/>
  <c r="E117" i="39"/>
  <c r="E116" i="39"/>
  <c r="E69" i="39"/>
  <c r="E53" i="39"/>
  <c r="E41" i="39"/>
  <c r="D41" i="39"/>
  <c r="E11" i="39"/>
  <c r="E10" i="39"/>
  <c r="G9" i="39"/>
  <c r="E9" i="39"/>
  <c r="H4" i="39"/>
  <c r="H5" i="39" s="1"/>
  <c r="H6" i="39" s="1"/>
  <c r="H7" i="39" s="1"/>
  <c r="H8" i="39" s="1"/>
  <c r="H9" i="39" s="1"/>
  <c r="H10" i="39" s="1"/>
  <c r="H11" i="39" s="1"/>
  <c r="H12" i="39" s="1"/>
  <c r="H13" i="39" s="1"/>
  <c r="G2" i="39"/>
  <c r="F9" i="30" s="1"/>
  <c r="F2" i="39"/>
  <c r="D2" i="39"/>
  <c r="C121" i="38"/>
  <c r="E118" i="38"/>
  <c r="E117" i="38"/>
  <c r="E116" i="38"/>
  <c r="C74" i="38"/>
  <c r="E67" i="38"/>
  <c r="E9" i="38" s="1"/>
  <c r="E49" i="38"/>
  <c r="E8" i="38" s="1"/>
  <c r="E37" i="38"/>
  <c r="F7" i="38" s="1"/>
  <c r="F2" i="38" s="1"/>
  <c r="D37" i="38"/>
  <c r="D7" i="38"/>
  <c r="H4" i="38"/>
  <c r="H5" i="38" s="1"/>
  <c r="H6" i="38" s="1"/>
  <c r="G2" i="38"/>
  <c r="F10" i="30" s="1"/>
  <c r="D2" i="38"/>
  <c r="B10" i="30" s="1"/>
  <c r="C121" i="37"/>
  <c r="E118" i="37"/>
  <c r="E117" i="37"/>
  <c r="E116" i="37"/>
  <c r="E87" i="37"/>
  <c r="E9" i="37" s="1"/>
  <c r="E62" i="37"/>
  <c r="E50" i="37"/>
  <c r="D50" i="37"/>
  <c r="E8" i="37"/>
  <c r="G7" i="37"/>
  <c r="G2" i="37" s="1"/>
  <c r="F11" i="30" s="1"/>
  <c r="E7" i="37"/>
  <c r="H5" i="37"/>
  <c r="H6" i="37" s="1"/>
  <c r="H7" i="37" s="1"/>
  <c r="H8" i="37" s="1"/>
  <c r="H9" i="37" s="1"/>
  <c r="H10" i="37" s="1"/>
  <c r="H11" i="37" s="1"/>
  <c r="H12" i="37" s="1"/>
  <c r="H13" i="37" s="1"/>
  <c r="H14" i="37" s="1"/>
  <c r="H15" i="37" s="1"/>
  <c r="H16" i="37" s="1"/>
  <c r="H17" i="37" s="1"/>
  <c r="H18" i="37" s="1"/>
  <c r="H19" i="37" s="1"/>
  <c r="H20" i="37" s="1"/>
  <c r="H21" i="37" s="1"/>
  <c r="H22" i="37" s="1"/>
  <c r="H23" i="37" s="1"/>
  <c r="H24" i="37" s="1"/>
  <c r="H25" i="37" s="1"/>
  <c r="H26" i="37" s="1"/>
  <c r="H27" i="37" s="1"/>
  <c r="H28" i="37" s="1"/>
  <c r="H29" i="37" s="1"/>
  <c r="H30" i="37" s="1"/>
  <c r="H31" i="37" s="1"/>
  <c r="H32" i="37" s="1"/>
  <c r="H33" i="37" s="1"/>
  <c r="H34" i="37" s="1"/>
  <c r="H35" i="37" s="1"/>
  <c r="H36" i="37" s="1"/>
  <c r="H37" i="37" s="1"/>
  <c r="H38" i="37" s="1"/>
  <c r="H39" i="37" s="1"/>
  <c r="H40" i="37" s="1"/>
  <c r="E121" i="37" s="1"/>
  <c r="H4" i="37"/>
  <c r="F2" i="37"/>
  <c r="D2" i="37"/>
  <c r="B11" i="30" s="1"/>
  <c r="E122" i="36"/>
  <c r="E119" i="36"/>
  <c r="E118" i="36"/>
  <c r="E111" i="36" s="1"/>
  <c r="N12" i="30" s="1"/>
  <c r="E117" i="36"/>
  <c r="E116" i="36"/>
  <c r="E68" i="36"/>
  <c r="E51" i="36"/>
  <c r="E39" i="36"/>
  <c r="D39" i="36"/>
  <c r="E11" i="36"/>
  <c r="E10" i="36"/>
  <c r="E9" i="36"/>
  <c r="E2" i="36" s="1"/>
  <c r="C12" i="30" s="1"/>
  <c r="H4" i="36"/>
  <c r="H5" i="36" s="1"/>
  <c r="H6" i="36" s="1"/>
  <c r="H7" i="36" s="1"/>
  <c r="H8" i="36" s="1"/>
  <c r="F2" i="36"/>
  <c r="D2" i="36"/>
  <c r="B12" i="30" s="1"/>
  <c r="C123" i="35"/>
  <c r="E120" i="35"/>
  <c r="E119" i="35"/>
  <c r="A119" i="35"/>
  <c r="A120" i="35" s="1"/>
  <c r="A121" i="35" s="1"/>
  <c r="A122" i="35" s="1"/>
  <c r="E118" i="35"/>
  <c r="A114" i="35"/>
  <c r="A115" i="35" s="1"/>
  <c r="A118" i="35" s="1"/>
  <c r="A113" i="35"/>
  <c r="E109" i="35"/>
  <c r="E71" i="35"/>
  <c r="E10" i="35" s="1"/>
  <c r="G10" i="35" s="1"/>
  <c r="E55" i="35"/>
  <c r="E43" i="35"/>
  <c r="D43" i="35"/>
  <c r="G9" i="35"/>
  <c r="E9" i="35"/>
  <c r="E8" i="35"/>
  <c r="E2" i="35" s="1"/>
  <c r="H7" i="35"/>
  <c r="H4" i="35"/>
  <c r="H5" i="35" s="1"/>
  <c r="H6" i="35" s="1"/>
  <c r="F2" i="35"/>
  <c r="E13" i="30" s="1"/>
  <c r="D2" i="35"/>
  <c r="E131" i="34"/>
  <c r="C129" i="34"/>
  <c r="E126" i="34"/>
  <c r="E125" i="34"/>
  <c r="E124" i="34"/>
  <c r="E111" i="34" s="1"/>
  <c r="A114" i="34"/>
  <c r="A115" i="34" s="1"/>
  <c r="A113" i="34"/>
  <c r="D109" i="34"/>
  <c r="F81" i="34"/>
  <c r="E81" i="34"/>
  <c r="E13" i="34" s="1"/>
  <c r="F58" i="34"/>
  <c r="E58" i="34"/>
  <c r="E46" i="34"/>
  <c r="D46" i="34"/>
  <c r="G16" i="34"/>
  <c r="G15" i="34"/>
  <c r="G14" i="34"/>
  <c r="G13" i="34"/>
  <c r="E12" i="34"/>
  <c r="G12" i="34" s="1"/>
  <c r="G11" i="34"/>
  <c r="E11" i="34"/>
  <c r="H8" i="34"/>
  <c r="H9" i="34" s="1"/>
  <c r="H10" i="34" s="1"/>
  <c r="H11" i="34" s="1"/>
  <c r="H12" i="34" s="1"/>
  <c r="H13" i="34" s="1"/>
  <c r="H14" i="34" s="1"/>
  <c r="H15" i="34" s="1"/>
  <c r="H16" i="34" s="1"/>
  <c r="H17" i="34" s="1"/>
  <c r="H18" i="34" s="1"/>
  <c r="H19" i="34" s="1"/>
  <c r="H20" i="34" s="1"/>
  <c r="H21" i="34" s="1"/>
  <c r="H22" i="34" s="1"/>
  <c r="H23" i="34" s="1"/>
  <c r="H24" i="34" s="1"/>
  <c r="H25" i="34" s="1"/>
  <c r="H26" i="34" s="1"/>
  <c r="H27" i="34" s="1"/>
  <c r="H28" i="34" s="1"/>
  <c r="H29" i="34" s="1"/>
  <c r="H30" i="34" s="1"/>
  <c r="H31" i="34" s="1"/>
  <c r="H32" i="34" s="1"/>
  <c r="H33" i="34" s="1"/>
  <c r="G7" i="34"/>
  <c r="H4" i="34"/>
  <c r="H5" i="34" s="1"/>
  <c r="H6" i="34" s="1"/>
  <c r="H7" i="34" s="1"/>
  <c r="F2" i="34"/>
  <c r="D2" i="34"/>
  <c r="E32" i="33"/>
  <c r="E33" i="33" s="1"/>
  <c r="D27" i="33"/>
  <c r="H25" i="33"/>
  <c r="I25" i="33" s="1"/>
  <c r="I24" i="33" s="1"/>
  <c r="I23" i="33" s="1"/>
  <c r="F25" i="33"/>
  <c r="E25" i="33"/>
  <c r="H24" i="33"/>
  <c r="F24" i="33"/>
  <c r="E24" i="33"/>
  <c r="H23" i="33"/>
  <c r="F23" i="33"/>
  <c r="E23" i="33"/>
  <c r="I22" i="33"/>
  <c r="I21" i="33" s="1"/>
  <c r="I20" i="33" s="1"/>
  <c r="I19" i="33" s="1"/>
  <c r="I18" i="33" s="1"/>
  <c r="I17" i="33" s="1"/>
  <c r="I16" i="33" s="1"/>
  <c r="I15" i="33" s="1"/>
  <c r="I14" i="33" s="1"/>
  <c r="I13" i="33" s="1"/>
  <c r="I12" i="33" s="1"/>
  <c r="H22" i="33"/>
  <c r="F22" i="33"/>
  <c r="E22" i="33"/>
  <c r="H21" i="33"/>
  <c r="F21" i="33"/>
  <c r="E21" i="33"/>
  <c r="H20" i="33"/>
  <c r="F20" i="33"/>
  <c r="E20" i="33"/>
  <c r="H19" i="33"/>
  <c r="F19" i="33"/>
  <c r="E19" i="33"/>
  <c r="H18" i="33"/>
  <c r="F18" i="33"/>
  <c r="E18" i="33"/>
  <c r="H17" i="33"/>
  <c r="F17" i="33"/>
  <c r="E17" i="33"/>
  <c r="H16" i="33"/>
  <c r="F16" i="33"/>
  <c r="E16" i="33"/>
  <c r="H15" i="33"/>
  <c r="F15" i="33"/>
  <c r="E15" i="33"/>
  <c r="H14" i="33"/>
  <c r="F14" i="33"/>
  <c r="E14" i="33"/>
  <c r="E27" i="33" s="1"/>
  <c r="H13" i="33"/>
  <c r="F13" i="33"/>
  <c r="E13" i="33"/>
  <c r="H12" i="33"/>
  <c r="F12" i="33"/>
  <c r="E12" i="33"/>
  <c r="H11" i="33"/>
  <c r="F11" i="33"/>
  <c r="E11" i="33"/>
  <c r="H10" i="33"/>
  <c r="F10" i="33"/>
  <c r="E10" i="33"/>
  <c r="H9" i="33"/>
  <c r="F9" i="33"/>
  <c r="E9" i="33"/>
  <c r="H8" i="33"/>
  <c r="F8" i="33"/>
  <c r="E8" i="33"/>
  <c r="E28" i="33" s="1"/>
  <c r="F5" i="33"/>
  <c r="F41" i="32"/>
  <c r="E41" i="32"/>
  <c r="H37" i="32"/>
  <c r="I37" i="32" s="1"/>
  <c r="I36" i="32" s="1"/>
  <c r="I35" i="32" s="1"/>
  <c r="I34" i="32" s="1"/>
  <c r="I33" i="32" s="1"/>
  <c r="I32" i="32" s="1"/>
  <c r="I31" i="32" s="1"/>
  <c r="I30" i="32" s="1"/>
  <c r="I29" i="32" s="1"/>
  <c r="I28" i="32" s="1"/>
  <c r="I27" i="32" s="1"/>
  <c r="I26" i="32" s="1"/>
  <c r="I25" i="32" s="1"/>
  <c r="I24" i="32" s="1"/>
  <c r="I23" i="32" s="1"/>
  <c r="F37" i="32"/>
  <c r="E37" i="32"/>
  <c r="E23" i="32" s="1"/>
  <c r="H36" i="32"/>
  <c r="F36" i="32"/>
  <c r="E36" i="32"/>
  <c r="H35" i="32"/>
  <c r="F35" i="32"/>
  <c r="E35" i="32"/>
  <c r="H34" i="32"/>
  <c r="F34" i="32"/>
  <c r="E34" i="32"/>
  <c r="H33" i="32"/>
  <c r="F33" i="32"/>
  <c r="E33" i="32"/>
  <c r="H32" i="32"/>
  <c r="F32" i="32"/>
  <c r="E32" i="32"/>
  <c r="H31" i="32"/>
  <c r="F31" i="32"/>
  <c r="E31" i="32"/>
  <c r="H30" i="32"/>
  <c r="F30" i="32"/>
  <c r="E30" i="32"/>
  <c r="H29" i="32"/>
  <c r="F29" i="32"/>
  <c r="E29" i="32"/>
  <c r="H28" i="32"/>
  <c r="F28" i="32"/>
  <c r="E28" i="32"/>
  <c r="H27" i="32"/>
  <c r="F27" i="32"/>
  <c r="E27" i="32"/>
  <c r="H26" i="32"/>
  <c r="H23" i="32" s="1"/>
  <c r="F26" i="32"/>
  <c r="F23" i="32" s="1"/>
  <c r="E26" i="32"/>
  <c r="H25" i="32"/>
  <c r="F25" i="32"/>
  <c r="E25" i="32"/>
  <c r="H24" i="32"/>
  <c r="F24" i="32"/>
  <c r="E24" i="32"/>
  <c r="D23" i="32"/>
  <c r="F21" i="32"/>
  <c r="F60" i="31"/>
  <c r="E60" i="31"/>
  <c r="D60" i="31"/>
  <c r="F39" i="31"/>
  <c r="E39" i="31"/>
  <c r="G39" i="31" s="1"/>
  <c r="G41" i="31" s="1"/>
  <c r="G42" i="31" s="1"/>
  <c r="G43" i="31" s="1"/>
  <c r="G44" i="31" s="1"/>
  <c r="G45" i="31" s="1"/>
  <c r="G46" i="31" s="1"/>
  <c r="G47" i="31" s="1"/>
  <c r="G48" i="31" s="1"/>
  <c r="G49" i="31" s="1"/>
  <c r="G50" i="31" s="1"/>
  <c r="G51" i="31" s="1"/>
  <c r="G52" i="31" s="1"/>
  <c r="G53" i="31" s="1"/>
  <c r="G54" i="31" s="1"/>
  <c r="G55" i="31" s="1"/>
  <c r="G56" i="31" s="1"/>
  <c r="G57" i="31" s="1"/>
  <c r="G58" i="31" s="1"/>
  <c r="G3" i="31"/>
  <c r="G4" i="31" s="1"/>
  <c r="G5" i="31" s="1"/>
  <c r="G6" i="31" s="1"/>
  <c r="G7" i="31" s="1"/>
  <c r="G8" i="31" s="1"/>
  <c r="G9" i="31" s="1"/>
  <c r="G10" i="31" s="1"/>
  <c r="G11" i="31" s="1"/>
  <c r="G12" i="31" s="1"/>
  <c r="G13" i="31" s="1"/>
  <c r="G14" i="31" s="1"/>
  <c r="G15" i="31" s="1"/>
  <c r="G16" i="31" s="1"/>
  <c r="G17" i="31" s="1"/>
  <c r="G18" i="31" s="1"/>
  <c r="G19" i="31" s="1"/>
  <c r="G20" i="31" s="1"/>
  <c r="G21" i="31" s="1"/>
  <c r="G22" i="31" s="1"/>
  <c r="G23" i="31" s="1"/>
  <c r="G24" i="31" s="1"/>
  <c r="G25" i="31" s="1"/>
  <c r="G26" i="31" s="1"/>
  <c r="G27" i="31" s="1"/>
  <c r="G28" i="31" s="1"/>
  <c r="G29" i="31" s="1"/>
  <c r="G30" i="31" s="1"/>
  <c r="G31" i="31" s="1"/>
  <c r="G32" i="31" s="1"/>
  <c r="G33" i="31" s="1"/>
  <c r="G34" i="31" s="1"/>
  <c r="G35" i="31" s="1"/>
  <c r="G36" i="31" s="1"/>
  <c r="G37" i="31" s="1"/>
  <c r="F33" i="30"/>
  <c r="F32" i="30"/>
  <c r="F31" i="30"/>
  <c r="F26" i="30"/>
  <c r="F21" i="30"/>
  <c r="E21" i="30"/>
  <c r="F19" i="30"/>
  <c r="E19" i="30"/>
  <c r="M7" i="30" s="1"/>
  <c r="E18" i="30"/>
  <c r="J15" i="30"/>
  <c r="J16" i="30" s="1"/>
  <c r="N14" i="30"/>
  <c r="L14" i="30"/>
  <c r="K14" i="30"/>
  <c r="E14" i="30"/>
  <c r="B14" i="30"/>
  <c r="K13" i="30"/>
  <c r="L13" i="30" s="1"/>
  <c r="C13" i="30"/>
  <c r="B13" i="30"/>
  <c r="K12" i="30"/>
  <c r="L12" i="30" s="1"/>
  <c r="E12" i="30"/>
  <c r="K11" i="30"/>
  <c r="L11" i="30" s="1"/>
  <c r="K9" i="30"/>
  <c r="L9" i="30" s="1"/>
  <c r="B9" i="30"/>
  <c r="M8" i="30"/>
  <c r="E8" i="30"/>
  <c r="E7" i="30"/>
  <c r="M6" i="30"/>
  <c r="B6" i="30"/>
  <c r="F5" i="30"/>
  <c r="E5" i="30"/>
  <c r="B5" i="30"/>
  <c r="L4" i="30"/>
  <c r="K4" i="30"/>
  <c r="E4" i="30"/>
  <c r="N3" i="30"/>
  <c r="M3" i="30"/>
  <c r="B3" i="30"/>
  <c r="D3" i="30" s="1"/>
  <c r="N2" i="30"/>
  <c r="L1" i="30"/>
  <c r="C149" i="29"/>
  <c r="D147" i="29"/>
  <c r="E144" i="29"/>
  <c r="D144" i="29"/>
  <c r="D149" i="29" s="1"/>
  <c r="C136" i="29"/>
  <c r="E133" i="29"/>
  <c r="E132" i="29"/>
  <c r="E131" i="29"/>
  <c r="A131" i="29"/>
  <c r="E130" i="29"/>
  <c r="E118" i="29" s="1"/>
  <c r="N3" i="17" s="1"/>
  <c r="A128" i="29"/>
  <c r="A126" i="29"/>
  <c r="A121" i="29"/>
  <c r="A122" i="29" s="1"/>
  <c r="A123" i="29" s="1"/>
  <c r="A124" i="29" s="1"/>
  <c r="A120" i="29"/>
  <c r="C112" i="29"/>
  <c r="C111" i="29"/>
  <c r="C110" i="29"/>
  <c r="C109" i="29"/>
  <c r="C107" i="29"/>
  <c r="C106" i="29"/>
  <c r="C102" i="29"/>
  <c r="C100" i="29"/>
  <c r="C97" i="29"/>
  <c r="C95" i="29"/>
  <c r="C93" i="29"/>
  <c r="C92" i="29"/>
  <c r="C90" i="29"/>
  <c r="C89" i="29"/>
  <c r="E77" i="29"/>
  <c r="E60" i="29"/>
  <c r="E13" i="29" s="1"/>
  <c r="E49" i="29"/>
  <c r="D49" i="29"/>
  <c r="G16" i="29"/>
  <c r="G15" i="29"/>
  <c r="E14" i="29"/>
  <c r="G12" i="29"/>
  <c r="E12" i="29"/>
  <c r="H6" i="29"/>
  <c r="H7" i="29" s="1"/>
  <c r="H8" i="29" s="1"/>
  <c r="H9" i="29" s="1"/>
  <c r="H10" i="29" s="1"/>
  <c r="H11" i="29" s="1"/>
  <c r="H12" i="29" s="1"/>
  <c r="H4" i="29"/>
  <c r="H5" i="29" s="1"/>
  <c r="F2" i="29"/>
  <c r="D2" i="29"/>
  <c r="B3" i="17" s="1"/>
  <c r="C134" i="28"/>
  <c r="F130" i="28"/>
  <c r="F129" i="28"/>
  <c r="E128" i="28"/>
  <c r="E127" i="28"/>
  <c r="E126" i="28"/>
  <c r="E125" i="28"/>
  <c r="F124" i="28"/>
  <c r="F121" i="28"/>
  <c r="F120" i="28"/>
  <c r="F118" i="28"/>
  <c r="F114" i="28"/>
  <c r="A114" i="28"/>
  <c r="A115" i="28" s="1"/>
  <c r="A116" i="28" s="1"/>
  <c r="A117" i="28" s="1"/>
  <c r="A118" i="28" s="1"/>
  <c r="A119" i="28" s="1"/>
  <c r="A120" i="28" s="1"/>
  <c r="A121" i="28" s="1"/>
  <c r="A122" i="28" s="1"/>
  <c r="A123" i="28" s="1"/>
  <c r="A124" i="28" s="1"/>
  <c r="A125" i="28" s="1"/>
  <c r="A126" i="28" s="1"/>
  <c r="A127" i="28" s="1"/>
  <c r="A128" i="28" s="1"/>
  <c r="A129" i="28" s="1"/>
  <c r="A130" i="28" s="1"/>
  <c r="A113" i="28"/>
  <c r="D103" i="28"/>
  <c r="E64" i="28"/>
  <c r="E47" i="28"/>
  <c r="E9" i="28" s="1"/>
  <c r="C40" i="28"/>
  <c r="E36" i="28"/>
  <c r="D36" i="28"/>
  <c r="E19" i="28"/>
  <c r="G19" i="28" s="1"/>
  <c r="G15" i="28"/>
  <c r="G13" i="28"/>
  <c r="G12" i="28"/>
  <c r="E10" i="28"/>
  <c r="G10" i="28" s="1"/>
  <c r="H4" i="28"/>
  <c r="H5" i="28" s="1"/>
  <c r="H6" i="28" s="1"/>
  <c r="H7" i="28" s="1"/>
  <c r="H8" i="28" s="1"/>
  <c r="F2" i="28"/>
  <c r="D2" i="28"/>
  <c r="C131" i="27"/>
  <c r="E125" i="27"/>
  <c r="E124" i="27"/>
  <c r="E123" i="27"/>
  <c r="E122" i="27"/>
  <c r="A110" i="27"/>
  <c r="A111" i="27" s="1"/>
  <c r="A112" i="27" s="1"/>
  <c r="A113" i="27" s="1"/>
  <c r="A114" i="27" s="1"/>
  <c r="A115" i="27" s="1"/>
  <c r="A116" i="27" s="1"/>
  <c r="A117" i="27" s="1"/>
  <c r="A118" i="27" s="1"/>
  <c r="A119" i="27" s="1"/>
  <c r="A120" i="27" s="1"/>
  <c r="A121" i="27" s="1"/>
  <c r="A122" i="27" s="1"/>
  <c r="A123" i="27" s="1"/>
  <c r="A124" i="27" s="1"/>
  <c r="A125" i="27" s="1"/>
  <c r="A126" i="27" s="1"/>
  <c r="A127" i="27" s="1"/>
  <c r="E65" i="27"/>
  <c r="E46" i="27"/>
  <c r="E9" i="27" s="1"/>
  <c r="E35" i="27"/>
  <c r="D35" i="27"/>
  <c r="G16" i="27"/>
  <c r="E16" i="27"/>
  <c r="G13" i="27"/>
  <c r="G12" i="27"/>
  <c r="G9" i="27"/>
  <c r="E8" i="27"/>
  <c r="E2" i="27" s="1"/>
  <c r="C5" i="17" s="1"/>
  <c r="G7" i="27"/>
  <c r="H4" i="27"/>
  <c r="H5" i="27" s="1"/>
  <c r="H6" i="27" s="1"/>
  <c r="F2" i="27"/>
  <c r="D2" i="27"/>
  <c r="C130" i="26"/>
  <c r="E124" i="26"/>
  <c r="C123" i="26"/>
  <c r="E123" i="26" s="1"/>
  <c r="E122" i="26"/>
  <c r="E121" i="26"/>
  <c r="A114" i="26"/>
  <c r="A115" i="26" s="1"/>
  <c r="A116" i="26" s="1"/>
  <c r="A117" i="26" s="1"/>
  <c r="A118" i="26" s="1"/>
  <c r="A119" i="26" s="1"/>
  <c r="A120" i="26" s="1"/>
  <c r="A121" i="26" s="1"/>
  <c r="A122" i="26" s="1"/>
  <c r="A123" i="26" s="1"/>
  <c r="A124" i="26" s="1"/>
  <c r="A125" i="26" s="1"/>
  <c r="A126" i="26" s="1"/>
  <c r="A113" i="26"/>
  <c r="E97" i="26"/>
  <c r="C86" i="26"/>
  <c r="C82" i="26"/>
  <c r="C80" i="26"/>
  <c r="C76" i="26"/>
  <c r="E65" i="26"/>
  <c r="E13" i="26" s="1"/>
  <c r="G13" i="26" s="1"/>
  <c r="E60" i="26"/>
  <c r="D54" i="26"/>
  <c r="G18" i="26"/>
  <c r="G17" i="26"/>
  <c r="G16" i="26"/>
  <c r="G12" i="26"/>
  <c r="E12" i="26"/>
  <c r="H6" i="26"/>
  <c r="H7" i="26" s="1"/>
  <c r="H8" i="26" s="1"/>
  <c r="H9" i="26" s="1"/>
  <c r="H10" i="26" s="1"/>
  <c r="H11" i="26" s="1"/>
  <c r="H12" i="26" s="1"/>
  <c r="H13" i="26" s="1"/>
  <c r="H14" i="26" s="1"/>
  <c r="H15" i="26" s="1"/>
  <c r="H16" i="26" s="1"/>
  <c r="H17" i="26" s="1"/>
  <c r="H18" i="26" s="1"/>
  <c r="H5" i="26"/>
  <c r="F2" i="26"/>
  <c r="D2" i="26"/>
  <c r="B6" i="17" s="1"/>
  <c r="C122" i="25"/>
  <c r="E121" i="25"/>
  <c r="E116" i="25"/>
  <c r="E115" i="25"/>
  <c r="C115" i="25"/>
  <c r="E114" i="25"/>
  <c r="E113" i="25"/>
  <c r="E112" i="25"/>
  <c r="E110" i="25"/>
  <c r="E101" i="25" s="1"/>
  <c r="E109" i="25"/>
  <c r="A104" i="25"/>
  <c r="A105" i="25" s="1"/>
  <c r="A106" i="25" s="1"/>
  <c r="A107" i="25" s="1"/>
  <c r="A108" i="25" s="1"/>
  <c r="A109" i="25" s="1"/>
  <c r="A103" i="25"/>
  <c r="C81" i="25"/>
  <c r="E57" i="25"/>
  <c r="E11" i="25" s="1"/>
  <c r="E41" i="25"/>
  <c r="E30" i="25"/>
  <c r="D30" i="25"/>
  <c r="G18" i="25"/>
  <c r="G2" i="25" s="1"/>
  <c r="F7" i="17" s="1"/>
  <c r="E18" i="25"/>
  <c r="E10" i="25"/>
  <c r="H6" i="25"/>
  <c r="H7" i="25" s="1"/>
  <c r="H8" i="25" s="1"/>
  <c r="H9" i="25" s="1"/>
  <c r="H10" i="25" s="1"/>
  <c r="H11" i="25" s="1"/>
  <c r="H12" i="25" s="1"/>
  <c r="H13" i="25" s="1"/>
  <c r="H14" i="25" s="1"/>
  <c r="H15" i="25" s="1"/>
  <c r="H16" i="25" s="1"/>
  <c r="H17" i="25" s="1"/>
  <c r="H18" i="25" s="1"/>
  <c r="H19" i="25" s="1"/>
  <c r="H20" i="25" s="1"/>
  <c r="H21" i="25" s="1"/>
  <c r="H22" i="25" s="1"/>
  <c r="H23" i="25" s="1"/>
  <c r="H24" i="25" s="1"/>
  <c r="H25" i="25" s="1"/>
  <c r="H26" i="25" s="1"/>
  <c r="H5" i="25"/>
  <c r="H4" i="25"/>
  <c r="F2" i="25"/>
  <c r="D2" i="25"/>
  <c r="C139" i="24"/>
  <c r="E133" i="24"/>
  <c r="E132" i="24"/>
  <c r="C132" i="24"/>
  <c r="E131" i="24"/>
  <c r="E130" i="24"/>
  <c r="E129" i="24"/>
  <c r="E127" i="24"/>
  <c r="E126" i="24"/>
  <c r="E138" i="24" s="1"/>
  <c r="A122" i="24"/>
  <c r="A123" i="24" s="1"/>
  <c r="A124" i="24" s="1"/>
  <c r="A125" i="24" s="1"/>
  <c r="A126" i="24" s="1"/>
  <c r="A121" i="24"/>
  <c r="A120" i="24"/>
  <c r="D112" i="24"/>
  <c r="D92" i="24"/>
  <c r="D114" i="24" s="1"/>
  <c r="D91" i="24"/>
  <c r="D80" i="24"/>
  <c r="E65" i="24"/>
  <c r="E50" i="24"/>
  <c r="E41" i="24"/>
  <c r="D41" i="24"/>
  <c r="E20" i="24"/>
  <c r="G16" i="24"/>
  <c r="G15" i="24"/>
  <c r="G14" i="24"/>
  <c r="G11" i="24"/>
  <c r="E11" i="24"/>
  <c r="E10" i="24"/>
  <c r="H5" i="24"/>
  <c r="H6" i="24" s="1"/>
  <c r="G5" i="24"/>
  <c r="H4" i="24"/>
  <c r="F2" i="24"/>
  <c r="D2" i="24"/>
  <c r="B8" i="17" s="1"/>
  <c r="C158" i="23"/>
  <c r="E152" i="23"/>
  <c r="C151" i="23"/>
  <c r="E151" i="23" s="1"/>
  <c r="E150" i="23"/>
  <c r="E149" i="23"/>
  <c r="E148" i="23"/>
  <c r="E147" i="23"/>
  <c r="E146" i="23"/>
  <c r="E145" i="23"/>
  <c r="A145" i="23"/>
  <c r="A146" i="23" s="1"/>
  <c r="A147" i="23" s="1"/>
  <c r="A148" i="23" s="1"/>
  <c r="A149" i="23" s="1"/>
  <c r="A150" i="23" s="1"/>
  <c r="A151" i="23" s="1"/>
  <c r="A152" i="23" s="1"/>
  <c r="A153" i="23" s="1"/>
  <c r="A154" i="23" s="1"/>
  <c r="E144" i="23"/>
  <c r="E143" i="23"/>
  <c r="E142" i="23"/>
  <c r="E141" i="23"/>
  <c r="E140" i="23"/>
  <c r="A136" i="23"/>
  <c r="A137" i="23" s="1"/>
  <c r="A138" i="23" s="1"/>
  <c r="A139" i="23" s="1"/>
  <c r="A140" i="23" s="1"/>
  <c r="A141" i="23" s="1"/>
  <c r="A142" i="23" s="1"/>
  <c r="A143" i="23" s="1"/>
  <c r="A144" i="23" s="1"/>
  <c r="A135" i="23"/>
  <c r="C131" i="23"/>
  <c r="E72" i="23"/>
  <c r="E55" i="23"/>
  <c r="E44" i="23"/>
  <c r="D44" i="23"/>
  <c r="E22" i="23"/>
  <c r="H15" i="23"/>
  <c r="H16" i="23" s="1"/>
  <c r="H17" i="23" s="1"/>
  <c r="H18" i="23" s="1"/>
  <c r="H19" i="23" s="1"/>
  <c r="H20" i="23" s="1"/>
  <c r="H21" i="23" s="1"/>
  <c r="H22" i="23" s="1"/>
  <c r="H23" i="23" s="1"/>
  <c r="H24" i="23" s="1"/>
  <c r="H25" i="23" s="1"/>
  <c r="H26" i="23" s="1"/>
  <c r="H27" i="23" s="1"/>
  <c r="H28" i="23" s="1"/>
  <c r="H29" i="23" s="1"/>
  <c r="H30" i="23" s="1"/>
  <c r="H31" i="23" s="1"/>
  <c r="H32" i="23" s="1"/>
  <c r="H33" i="23" s="1"/>
  <c r="H34" i="23" s="1"/>
  <c r="H35" i="23" s="1"/>
  <c r="H36" i="23" s="1"/>
  <c r="H37" i="23" s="1"/>
  <c r="H38" i="23" s="1"/>
  <c r="E10" i="23"/>
  <c r="G10" i="23" s="1"/>
  <c r="G9" i="23"/>
  <c r="G2" i="23" s="1"/>
  <c r="E9" i="23"/>
  <c r="H4" i="23"/>
  <c r="H5" i="23" s="1"/>
  <c r="H6" i="23" s="1"/>
  <c r="H7" i="23" s="1"/>
  <c r="H8" i="23" s="1"/>
  <c r="H9" i="23" s="1"/>
  <c r="H10" i="23" s="1"/>
  <c r="H11" i="23" s="1"/>
  <c r="H12" i="23" s="1"/>
  <c r="H13" i="23" s="1"/>
  <c r="H14" i="23" s="1"/>
  <c r="H2" i="23"/>
  <c r="E158" i="23" s="1"/>
  <c r="F2" i="23"/>
  <c r="D2" i="23"/>
  <c r="C150" i="22"/>
  <c r="E144" i="22"/>
  <c r="C143" i="22"/>
  <c r="E143" i="22" s="1"/>
  <c r="E142" i="22"/>
  <c r="E141" i="22"/>
  <c r="E140" i="22"/>
  <c r="E139" i="22"/>
  <c r="E138" i="22"/>
  <c r="A138" i="22"/>
  <c r="A139" i="22" s="1"/>
  <c r="A140" i="22" s="1"/>
  <c r="A141" i="22" s="1"/>
  <c r="A142" i="22" s="1"/>
  <c r="A143" i="22" s="1"/>
  <c r="A144" i="22" s="1"/>
  <c r="A145" i="22" s="1"/>
  <c r="A146" i="22" s="1"/>
  <c r="E137" i="22"/>
  <c r="E136" i="22"/>
  <c r="E135" i="22"/>
  <c r="E134" i="22"/>
  <c r="E133" i="22"/>
  <c r="E132" i="22"/>
  <c r="A129" i="22"/>
  <c r="A130" i="22" s="1"/>
  <c r="A131" i="22" s="1"/>
  <c r="A132" i="22" s="1"/>
  <c r="A133" i="22" s="1"/>
  <c r="A134" i="22" s="1"/>
  <c r="A135" i="22" s="1"/>
  <c r="A136" i="22" s="1"/>
  <c r="A137" i="22" s="1"/>
  <c r="A127" i="22"/>
  <c r="A128" i="22" s="1"/>
  <c r="C118" i="22"/>
  <c r="E78" i="22"/>
  <c r="E63" i="22"/>
  <c r="E7" i="22" s="1"/>
  <c r="E52" i="22"/>
  <c r="D52" i="22"/>
  <c r="G33" i="22"/>
  <c r="G32" i="22"/>
  <c r="G31" i="22"/>
  <c r="G30" i="22"/>
  <c r="G29" i="22"/>
  <c r="G28" i="22"/>
  <c r="G2" i="22" s="1"/>
  <c r="H14" i="22"/>
  <c r="H15" i="22" s="1"/>
  <c r="H16" i="22" s="1"/>
  <c r="H17" i="22" s="1"/>
  <c r="H18" i="22" s="1"/>
  <c r="H19" i="22" s="1"/>
  <c r="H20" i="22" s="1"/>
  <c r="H21" i="22" s="1"/>
  <c r="H22" i="22" s="1"/>
  <c r="H23" i="22" s="1"/>
  <c r="H24" i="22" s="1"/>
  <c r="H25" i="22" s="1"/>
  <c r="H26" i="22" s="1"/>
  <c r="H27" i="22" s="1"/>
  <c r="H28" i="22" s="1"/>
  <c r="H29" i="22" s="1"/>
  <c r="H30" i="22" s="1"/>
  <c r="H31" i="22" s="1"/>
  <c r="H32" i="22" s="1"/>
  <c r="H33" i="22" s="1"/>
  <c r="H34" i="22" s="1"/>
  <c r="H35" i="22" s="1"/>
  <c r="H36" i="22" s="1"/>
  <c r="H37" i="22" s="1"/>
  <c r="H38" i="22" s="1"/>
  <c r="H39" i="22" s="1"/>
  <c r="H40" i="22" s="1"/>
  <c r="H41" i="22" s="1"/>
  <c r="H42" i="22" s="1"/>
  <c r="H43" i="22" s="1"/>
  <c r="H44" i="22" s="1"/>
  <c r="H45" i="22" s="1"/>
  <c r="H46" i="22" s="1"/>
  <c r="H47" i="22" s="1"/>
  <c r="E13" i="22"/>
  <c r="E8" i="22"/>
  <c r="H6" i="22"/>
  <c r="H7" i="22" s="1"/>
  <c r="H8" i="22" s="1"/>
  <c r="H9" i="22" s="1"/>
  <c r="H10" i="22" s="1"/>
  <c r="H11" i="22" s="1"/>
  <c r="H12" i="22" s="1"/>
  <c r="H13" i="22" s="1"/>
  <c r="H4" i="22"/>
  <c r="H5" i="22" s="1"/>
  <c r="F2" i="22"/>
  <c r="E2" i="22"/>
  <c r="C10" i="17" s="1"/>
  <c r="D2" i="22"/>
  <c r="C127" i="21"/>
  <c r="E118" i="21"/>
  <c r="E117" i="21"/>
  <c r="E116" i="21"/>
  <c r="E115" i="21"/>
  <c r="E114" i="21"/>
  <c r="E113" i="21"/>
  <c r="E112" i="21"/>
  <c r="E111" i="21"/>
  <c r="E110" i="21"/>
  <c r="E109" i="21"/>
  <c r="E108" i="21"/>
  <c r="A108" i="21"/>
  <c r="E107" i="21"/>
  <c r="E106" i="21"/>
  <c r="A106" i="21"/>
  <c r="A109" i="21" s="1"/>
  <c r="A110" i="21" s="1"/>
  <c r="A111" i="21" s="1"/>
  <c r="A112" i="21" s="1"/>
  <c r="A107" i="21" s="1"/>
  <c r="A114" i="21" s="1"/>
  <c r="A115" i="21" s="1"/>
  <c r="A116" i="21" s="1"/>
  <c r="A105" i="21"/>
  <c r="A103" i="21"/>
  <c r="E61" i="21"/>
  <c r="E46" i="21"/>
  <c r="E7" i="21" s="1"/>
  <c r="G7" i="21" s="1"/>
  <c r="E35" i="21"/>
  <c r="D35" i="21"/>
  <c r="E10" i="21"/>
  <c r="E6" i="21"/>
  <c r="H4" i="21"/>
  <c r="H5" i="21" s="1"/>
  <c r="F2" i="21"/>
  <c r="D2" i="21"/>
  <c r="C137" i="20"/>
  <c r="E136" i="20"/>
  <c r="N12" i="17" s="1"/>
  <c r="E131" i="20"/>
  <c r="E128" i="20"/>
  <c r="E127" i="20"/>
  <c r="E126" i="20"/>
  <c r="E125" i="20"/>
  <c r="E124" i="20"/>
  <c r="E122" i="20"/>
  <c r="E121" i="20"/>
  <c r="E120" i="20"/>
  <c r="E119" i="20"/>
  <c r="E118" i="20"/>
  <c r="E117" i="20"/>
  <c r="E116" i="20"/>
  <c r="A113" i="20"/>
  <c r="A116" i="20" s="1"/>
  <c r="A119" i="20" s="1"/>
  <c r="A120" i="20" s="1"/>
  <c r="A121" i="20" s="1"/>
  <c r="A122" i="20" s="1"/>
  <c r="A117" i="20" s="1"/>
  <c r="A124" i="20" s="1"/>
  <c r="A125" i="20" s="1"/>
  <c r="A126" i="20" s="1"/>
  <c r="C105" i="20"/>
  <c r="E66" i="20"/>
  <c r="E51" i="20"/>
  <c r="E8" i="20" s="1"/>
  <c r="E40" i="20"/>
  <c r="D40" i="20"/>
  <c r="E9" i="20"/>
  <c r="E7" i="20"/>
  <c r="E2" i="20" s="1"/>
  <c r="C12" i="17" s="1"/>
  <c r="H6" i="20"/>
  <c r="H7" i="20" s="1"/>
  <c r="H8" i="20" s="1"/>
  <c r="H9" i="20" s="1"/>
  <c r="H10" i="20" s="1"/>
  <c r="H11" i="20" s="1"/>
  <c r="H12" i="20" s="1"/>
  <c r="H5" i="20"/>
  <c r="H4" i="20"/>
  <c r="G2" i="20"/>
  <c r="F2" i="20"/>
  <c r="H2" i="20" s="1"/>
  <c r="D2" i="20"/>
  <c r="B12" i="17" s="1"/>
  <c r="C137" i="19"/>
  <c r="E131" i="19"/>
  <c r="E128" i="19"/>
  <c r="E127" i="19"/>
  <c r="E126" i="19"/>
  <c r="E125" i="19"/>
  <c r="E124" i="19"/>
  <c r="E123" i="19"/>
  <c r="E122" i="19"/>
  <c r="E121" i="19"/>
  <c r="E120" i="19"/>
  <c r="E119" i="19"/>
  <c r="E118" i="19"/>
  <c r="E136" i="19" s="1"/>
  <c r="E117" i="19"/>
  <c r="E116" i="19"/>
  <c r="A113" i="19"/>
  <c r="E111" i="19"/>
  <c r="N13" i="17" s="1"/>
  <c r="C102" i="19"/>
  <c r="E69" i="19"/>
  <c r="E7" i="19" s="1"/>
  <c r="E54" i="19"/>
  <c r="E43" i="19"/>
  <c r="D43" i="19"/>
  <c r="E10" i="19"/>
  <c r="E9" i="19"/>
  <c r="H7" i="19"/>
  <c r="H8" i="19" s="1"/>
  <c r="H9" i="19" s="1"/>
  <c r="H10" i="19" s="1"/>
  <c r="H11" i="19" s="1"/>
  <c r="H12" i="19" s="1"/>
  <c r="H5" i="19"/>
  <c r="H6" i="19" s="1"/>
  <c r="H4" i="19"/>
  <c r="G2" i="19"/>
  <c r="F2" i="19"/>
  <c r="H2" i="19" s="1"/>
  <c r="D2" i="19"/>
  <c r="B13" i="17" s="1"/>
  <c r="C196" i="18"/>
  <c r="F188" i="18"/>
  <c r="G187" i="18"/>
  <c r="E187" i="18"/>
  <c r="G186" i="18"/>
  <c r="E186" i="18"/>
  <c r="G185" i="18"/>
  <c r="H187" i="18" s="1"/>
  <c r="E185" i="18"/>
  <c r="G182" i="18"/>
  <c r="E182" i="18"/>
  <c r="G181" i="18"/>
  <c r="E181" i="18"/>
  <c r="G180" i="18"/>
  <c r="E180" i="18"/>
  <c r="G179" i="18"/>
  <c r="E179" i="18"/>
  <c r="G175" i="18"/>
  <c r="E175" i="18"/>
  <c r="F177" i="18" s="1"/>
  <c r="G174" i="18"/>
  <c r="H175" i="18" s="1"/>
  <c r="E174" i="18"/>
  <c r="E152" i="18"/>
  <c r="C152" i="18"/>
  <c r="E143" i="18"/>
  <c r="E142" i="18"/>
  <c r="E141" i="18"/>
  <c r="E138" i="18"/>
  <c r="E137" i="18"/>
  <c r="F138" i="18" s="1"/>
  <c r="E136" i="18"/>
  <c r="E135" i="18"/>
  <c r="E133" i="18"/>
  <c r="E132" i="18"/>
  <c r="E91" i="18"/>
  <c r="E6" i="18" s="1"/>
  <c r="G6" i="18" s="1"/>
  <c r="E76" i="18"/>
  <c r="E65" i="18"/>
  <c r="D65" i="18"/>
  <c r="E54" i="18"/>
  <c r="E53" i="18"/>
  <c r="E52" i="18"/>
  <c r="E51" i="18"/>
  <c r="E50" i="18"/>
  <c r="E55" i="18" s="1"/>
  <c r="F49" i="18"/>
  <c r="F50" i="18" s="1"/>
  <c r="F51" i="18" s="1"/>
  <c r="F52" i="18" s="1"/>
  <c r="F53" i="18" s="1"/>
  <c r="F54" i="18" s="1"/>
  <c r="E9" i="18"/>
  <c r="E5" i="18"/>
  <c r="E2" i="18" s="1"/>
  <c r="C14" i="17" s="1"/>
  <c r="H4" i="18"/>
  <c r="F2" i="18"/>
  <c r="E14" i="17" s="1"/>
  <c r="D2" i="18"/>
  <c r="F135" i="17"/>
  <c r="F133" i="17"/>
  <c r="D133" i="17"/>
  <c r="F130" i="17"/>
  <c r="F129" i="17"/>
  <c r="F128" i="17"/>
  <c r="B117" i="17"/>
  <c r="B118" i="17" s="1"/>
  <c r="B119" i="17" s="1"/>
  <c r="F115" i="17"/>
  <c r="N2" i="17" s="1"/>
  <c r="B24" i="17"/>
  <c r="D23" i="17"/>
  <c r="D24" i="17" s="1"/>
  <c r="C25" i="17" s="1"/>
  <c r="B23" i="17"/>
  <c r="E20" i="17"/>
  <c r="E19" i="17"/>
  <c r="E18" i="17"/>
  <c r="M16" i="17"/>
  <c r="J16" i="17"/>
  <c r="J15" i="17"/>
  <c r="L14" i="17"/>
  <c r="K14" i="17"/>
  <c r="B14" i="17"/>
  <c r="K13" i="17"/>
  <c r="L13" i="17" s="1"/>
  <c r="F13" i="17"/>
  <c r="L12" i="17"/>
  <c r="K12" i="17"/>
  <c r="F12" i="17"/>
  <c r="E12" i="17"/>
  <c r="K11" i="17"/>
  <c r="L11" i="17" s="1"/>
  <c r="E11" i="17"/>
  <c r="B11" i="17"/>
  <c r="M10" i="17"/>
  <c r="F10" i="17"/>
  <c r="E10" i="17"/>
  <c r="B10" i="17"/>
  <c r="K9" i="17"/>
  <c r="F9" i="17"/>
  <c r="E9" i="17"/>
  <c r="B9" i="17"/>
  <c r="M8" i="17"/>
  <c r="E8" i="17"/>
  <c r="N7" i="17"/>
  <c r="M7" i="17"/>
  <c r="E7" i="17"/>
  <c r="B7" i="17"/>
  <c r="M6" i="17"/>
  <c r="M15" i="17" s="1"/>
  <c r="E6" i="17"/>
  <c r="M5" i="17"/>
  <c r="E5" i="17"/>
  <c r="B5" i="17"/>
  <c r="L4" i="17"/>
  <c r="K4" i="17"/>
  <c r="E4" i="17"/>
  <c r="B4" i="17"/>
  <c r="M3" i="17"/>
  <c r="L2" i="17"/>
  <c r="F74" i="16"/>
  <c r="H69" i="16"/>
  <c r="H70" i="16" s="1"/>
  <c r="H71" i="16" s="1"/>
  <c r="H72" i="16" s="1"/>
  <c r="H73" i="16" s="1"/>
  <c r="H74" i="16" s="1"/>
  <c r="H75" i="16" s="1"/>
  <c r="H76" i="16" s="1"/>
  <c r="H77" i="16" s="1"/>
  <c r="H78" i="16" s="1"/>
  <c r="H79" i="16" s="1"/>
  <c r="H80" i="16" s="1"/>
  <c r="H81" i="16" s="1"/>
  <c r="H82" i="16" s="1"/>
  <c r="J63" i="16"/>
  <c r="H60" i="16"/>
  <c r="H61" i="16" s="1"/>
  <c r="H62" i="16" s="1"/>
  <c r="F60" i="16"/>
  <c r="F58" i="16"/>
  <c r="F57" i="16"/>
  <c r="F55" i="16"/>
  <c r="H55" i="16" s="1"/>
  <c r="H56" i="16" s="1"/>
  <c r="H57" i="16" s="1"/>
  <c r="H58" i="16" s="1"/>
  <c r="H59" i="16" s="1"/>
  <c r="H48" i="16"/>
  <c r="H49" i="16" s="1"/>
  <c r="H50" i="16" s="1"/>
  <c r="H47" i="16"/>
  <c r="J46" i="16"/>
  <c r="J50" i="16" s="1"/>
  <c r="J51" i="16" s="1"/>
  <c r="H44" i="16"/>
  <c r="H45" i="16" s="1"/>
  <c r="H46" i="16" s="1"/>
  <c r="G33" i="16"/>
  <c r="F31" i="16"/>
  <c r="E31" i="16"/>
  <c r="F30" i="16"/>
  <c r="F29" i="16"/>
  <c r="G31" i="16" s="1"/>
  <c r="F28" i="16"/>
  <c r="E27" i="16"/>
  <c r="F27" i="16" s="1"/>
  <c r="E25" i="16"/>
  <c r="F25" i="16" s="1"/>
  <c r="F24" i="16"/>
  <c r="F23" i="16"/>
  <c r="E23" i="16"/>
  <c r="F22" i="16"/>
  <c r="E22" i="16"/>
  <c r="F21" i="16"/>
  <c r="E21" i="16"/>
  <c r="F20" i="16"/>
  <c r="G25" i="16" s="1"/>
  <c r="E18" i="16"/>
  <c r="F18" i="16" s="1"/>
  <c r="E17" i="16"/>
  <c r="F17" i="16" s="1"/>
  <c r="F16" i="16"/>
  <c r="F15" i="16"/>
  <c r="E15" i="16"/>
  <c r="E14" i="16"/>
  <c r="F14" i="16" s="1"/>
  <c r="G18" i="16" s="1"/>
  <c r="F11" i="16"/>
  <c r="G11" i="16" s="1"/>
  <c r="H11" i="16" s="1"/>
  <c r="H14" i="16" s="1"/>
  <c r="H15" i="16" s="1"/>
  <c r="H16" i="16" s="1"/>
  <c r="H17" i="16" s="1"/>
  <c r="H18" i="16" s="1"/>
  <c r="H20" i="16" s="1"/>
  <c r="H22" i="16" s="1"/>
  <c r="H23" i="16" s="1"/>
  <c r="H25" i="16" s="1"/>
  <c r="H27" i="16" s="1"/>
  <c r="H28" i="16" s="1"/>
  <c r="H29" i="16" s="1"/>
  <c r="H30" i="16" s="1"/>
  <c r="H32" i="16" s="1"/>
  <c r="H33" i="16" s="1"/>
  <c r="H34" i="16" s="1"/>
  <c r="F124" i="15"/>
  <c r="F125" i="15" s="1"/>
  <c r="F126" i="15" s="1"/>
  <c r="F127" i="15" s="1"/>
  <c r="F123" i="15"/>
  <c r="E90" i="15"/>
  <c r="E96" i="15" s="1"/>
  <c r="F80" i="15"/>
  <c r="F81" i="15" s="1"/>
  <c r="F82" i="15" s="1"/>
  <c r="F83" i="15" s="1"/>
  <c r="F84" i="15" s="1"/>
  <c r="F85" i="15" s="1"/>
  <c r="F88" i="15" s="1"/>
  <c r="F89" i="15" s="1"/>
  <c r="F35" i="15"/>
  <c r="F36" i="15" s="1"/>
  <c r="F37" i="15" s="1"/>
  <c r="F38" i="15" s="1"/>
  <c r="F39" i="15" s="1"/>
  <c r="F6" i="15"/>
  <c r="F7" i="15" s="1"/>
  <c r="F8" i="15" s="1"/>
  <c r="F9" i="15" s="1"/>
  <c r="F10" i="15" s="1"/>
  <c r="F11" i="15" s="1"/>
  <c r="F12" i="15" s="1"/>
  <c r="F13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E159" i="14"/>
  <c r="E160" i="14" s="1"/>
  <c r="E127" i="14"/>
  <c r="G126" i="14"/>
  <c r="E126" i="14"/>
  <c r="E125" i="14"/>
  <c r="G133" i="14"/>
  <c r="E133" i="14"/>
  <c r="N3" i="2" s="1"/>
  <c r="G132" i="14"/>
  <c r="E132" i="14"/>
  <c r="G131" i="14"/>
  <c r="E131" i="14"/>
  <c r="G130" i="14"/>
  <c r="E130" i="14"/>
  <c r="E122" i="14"/>
  <c r="G121" i="14"/>
  <c r="E121" i="14"/>
  <c r="E118" i="14"/>
  <c r="G117" i="14"/>
  <c r="E117" i="14"/>
  <c r="E82" i="14"/>
  <c r="E10" i="14" s="1"/>
  <c r="G10" i="14" s="1"/>
  <c r="E67" i="14"/>
  <c r="E9" i="14" s="1"/>
  <c r="G9" i="14" s="1"/>
  <c r="E58" i="14"/>
  <c r="E57" i="14"/>
  <c r="E56" i="14"/>
  <c r="E55" i="14"/>
  <c r="E54" i="14"/>
  <c r="G13" i="14"/>
  <c r="G12" i="14"/>
  <c r="H4" i="14"/>
  <c r="H5" i="14" s="1"/>
  <c r="H6" i="14" s="1"/>
  <c r="H7" i="14" s="1"/>
  <c r="H8" i="14" s="1"/>
  <c r="D2" i="14"/>
  <c r="B3" i="2" s="1"/>
  <c r="E52" i="13"/>
  <c r="E8" i="13" s="1"/>
  <c r="G8" i="13" s="1"/>
  <c r="E37" i="13"/>
  <c r="E7" i="13" s="1"/>
  <c r="H4" i="13"/>
  <c r="H5" i="13" s="1"/>
  <c r="H6" i="13" s="1"/>
  <c r="F2" i="13"/>
  <c r="E4" i="2" s="1"/>
  <c r="D2" i="13"/>
  <c r="B4" i="2" s="1"/>
  <c r="E9" i="12"/>
  <c r="G9" i="12" s="1"/>
  <c r="E10" i="12"/>
  <c r="G10" i="12" s="1"/>
  <c r="H4" i="12"/>
  <c r="H5" i="12" s="1"/>
  <c r="H6" i="12" s="1"/>
  <c r="H7" i="12" s="1"/>
  <c r="H8" i="12" s="1"/>
  <c r="H9" i="12" s="1"/>
  <c r="H10" i="12" s="1"/>
  <c r="H11" i="12" s="1"/>
  <c r="H12" i="12" s="1"/>
  <c r="F2" i="12"/>
  <c r="E5" i="2" s="1"/>
  <c r="D2" i="12"/>
  <c r="B5" i="2" s="1"/>
  <c r="E50" i="11"/>
  <c r="E35" i="11"/>
  <c r="E7" i="11" s="1"/>
  <c r="G7" i="11" s="1"/>
  <c r="E8" i="11"/>
  <c r="H5" i="11"/>
  <c r="H6" i="11" s="1"/>
  <c r="H4" i="11"/>
  <c r="F2" i="11"/>
  <c r="D2" i="11"/>
  <c r="B6" i="2" s="1"/>
  <c r="E52" i="10"/>
  <c r="E8" i="10" s="1"/>
  <c r="G8" i="10" s="1"/>
  <c r="E37" i="10"/>
  <c r="E7" i="10"/>
  <c r="E2" i="10" s="1"/>
  <c r="C7" i="2" s="1"/>
  <c r="H5" i="10"/>
  <c r="H6" i="10" s="1"/>
  <c r="H4" i="10"/>
  <c r="F2" i="10"/>
  <c r="D2" i="10"/>
  <c r="E50" i="9"/>
  <c r="E8" i="9" s="1"/>
  <c r="G8" i="9" s="1"/>
  <c r="E35" i="9"/>
  <c r="G7" i="9"/>
  <c r="E7" i="9"/>
  <c r="H5" i="9"/>
  <c r="H6" i="9" s="1"/>
  <c r="H7" i="9" s="1"/>
  <c r="H4" i="9"/>
  <c r="F2" i="9"/>
  <c r="D2" i="9"/>
  <c r="E50" i="8"/>
  <c r="E35" i="8"/>
  <c r="E7" i="8" s="1"/>
  <c r="E8" i="8"/>
  <c r="G8" i="8" s="1"/>
  <c r="H4" i="8"/>
  <c r="H5" i="8" s="1"/>
  <c r="H6" i="8" s="1"/>
  <c r="F2" i="8"/>
  <c r="D2" i="8"/>
  <c r="B9" i="2" s="1"/>
  <c r="E50" i="7"/>
  <c r="E8" i="7" s="1"/>
  <c r="G8" i="7" s="1"/>
  <c r="E35" i="7"/>
  <c r="E7" i="7" s="1"/>
  <c r="H4" i="7"/>
  <c r="H5" i="7" s="1"/>
  <c r="H6" i="7" s="1"/>
  <c r="F2" i="7"/>
  <c r="D2" i="7"/>
  <c r="E54" i="6"/>
  <c r="E8" i="6" s="1"/>
  <c r="G8" i="6" s="1"/>
  <c r="E39" i="6"/>
  <c r="E7" i="6" s="1"/>
  <c r="H4" i="6"/>
  <c r="H5" i="6" s="1"/>
  <c r="H6" i="6" s="1"/>
  <c r="F2" i="6"/>
  <c r="D2" i="6"/>
  <c r="E54" i="5"/>
  <c r="E8" i="5" s="1"/>
  <c r="G8" i="5" s="1"/>
  <c r="E39" i="5"/>
  <c r="E7" i="5" s="1"/>
  <c r="G7" i="5" s="1"/>
  <c r="G2" i="5" s="1"/>
  <c r="H5" i="5"/>
  <c r="H6" i="5" s="1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18" i="5" s="1"/>
  <c r="H19" i="5" s="1"/>
  <c r="H20" i="5" s="1"/>
  <c r="H21" i="5" s="1"/>
  <c r="H22" i="5" s="1"/>
  <c r="H23" i="5" s="1"/>
  <c r="H24" i="5" s="1"/>
  <c r="H25" i="5" s="1"/>
  <c r="H26" i="5" s="1"/>
  <c r="H27" i="5" s="1"/>
  <c r="H28" i="5" s="1"/>
  <c r="H29" i="5" s="1"/>
  <c r="H30" i="5" s="1"/>
  <c r="H31" i="5" s="1"/>
  <c r="H4" i="5"/>
  <c r="F2" i="5"/>
  <c r="E2" i="5"/>
  <c r="C12" i="2" s="1"/>
  <c r="D2" i="5"/>
  <c r="B12" i="2" s="1"/>
  <c r="E54" i="4"/>
  <c r="E8" i="4" s="1"/>
  <c r="G8" i="4" s="1"/>
  <c r="E39" i="4"/>
  <c r="E7" i="4"/>
  <c r="G7" i="4" s="1"/>
  <c r="H4" i="4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H21" i="4" s="1"/>
  <c r="H22" i="4" s="1"/>
  <c r="H23" i="4" s="1"/>
  <c r="H24" i="4" s="1"/>
  <c r="H25" i="4" s="1"/>
  <c r="H26" i="4" s="1"/>
  <c r="H27" i="4" s="1"/>
  <c r="H28" i="4" s="1"/>
  <c r="H29" i="4" s="1"/>
  <c r="H30" i="4" s="1"/>
  <c r="H31" i="4" s="1"/>
  <c r="G2" i="4"/>
  <c r="F13" i="2" s="1"/>
  <c r="F2" i="4"/>
  <c r="E13" i="2" s="1"/>
  <c r="D2" i="4"/>
  <c r="E54" i="3"/>
  <c r="E39" i="3"/>
  <c r="E7" i="3" s="1"/>
  <c r="G7" i="3" s="1"/>
  <c r="G2" i="3" s="1"/>
  <c r="E8" i="3"/>
  <c r="G8" i="3" s="1"/>
  <c r="H4" i="3"/>
  <c r="H5" i="3" s="1"/>
  <c r="H6" i="3" s="1"/>
  <c r="F2" i="3"/>
  <c r="D2" i="3"/>
  <c r="C25" i="2"/>
  <c r="D24" i="2"/>
  <c r="D23" i="2"/>
  <c r="B23" i="2"/>
  <c r="B24" i="2" s="1"/>
  <c r="E19" i="2"/>
  <c r="M7" i="2" s="1"/>
  <c r="E18" i="2"/>
  <c r="M6" i="2" s="1"/>
  <c r="N16" i="2"/>
  <c r="J15" i="2"/>
  <c r="J16" i="2" s="1"/>
  <c r="N14" i="2"/>
  <c r="L14" i="2"/>
  <c r="K14" i="2"/>
  <c r="E14" i="2"/>
  <c r="B14" i="2"/>
  <c r="N13" i="2"/>
  <c r="K13" i="2"/>
  <c r="L13" i="2" s="1"/>
  <c r="B13" i="2"/>
  <c r="N12" i="2"/>
  <c r="K12" i="2"/>
  <c r="L12" i="2" s="1"/>
  <c r="E12" i="2"/>
  <c r="N11" i="2"/>
  <c r="K11" i="2"/>
  <c r="K15" i="2" s="1"/>
  <c r="K16" i="2" s="1"/>
  <c r="E11" i="2"/>
  <c r="B11" i="2"/>
  <c r="N10" i="2"/>
  <c r="M10" i="2"/>
  <c r="E10" i="2"/>
  <c r="B10" i="2"/>
  <c r="N9" i="2"/>
  <c r="L9" i="2"/>
  <c r="K9" i="2"/>
  <c r="E9" i="2"/>
  <c r="N8" i="2"/>
  <c r="M8" i="2"/>
  <c r="E8" i="2"/>
  <c r="B8" i="2"/>
  <c r="N7" i="2"/>
  <c r="E7" i="2"/>
  <c r="B7" i="2"/>
  <c r="N6" i="2"/>
  <c r="E6" i="2"/>
  <c r="N5" i="2"/>
  <c r="M5" i="2"/>
  <c r="L4" i="2"/>
  <c r="K4" i="2"/>
  <c r="M3" i="2"/>
  <c r="N2" i="2"/>
  <c r="L2" i="2"/>
  <c r="F39" i="1"/>
  <c r="F40" i="1" s="1"/>
  <c r="F41" i="1" s="1"/>
  <c r="F42" i="1" s="1"/>
  <c r="F43" i="1" s="1"/>
  <c r="F7" i="1"/>
  <c r="F8" i="1" s="1"/>
  <c r="F9" i="1" s="1"/>
  <c r="F10" i="1" s="1"/>
  <c r="F15" i="1" s="1"/>
  <c r="F16" i="1" s="1"/>
  <c r="F17" i="1" s="1"/>
  <c r="J156" i="12" l="1"/>
  <c r="J155" i="12"/>
  <c r="M155" i="12" s="1"/>
  <c r="H141" i="12"/>
  <c r="H13" i="12"/>
  <c r="H14" i="12" s="1"/>
  <c r="H15" i="12" s="1"/>
  <c r="H16" i="12" s="1"/>
  <c r="H17" i="12" s="1"/>
  <c r="H18" i="12" s="1"/>
  <c r="H19" i="12" s="1"/>
  <c r="H20" i="12" s="1"/>
  <c r="G114" i="12"/>
  <c r="G149" i="12"/>
  <c r="H142" i="12"/>
  <c r="H147" i="12" s="1"/>
  <c r="E2" i="11"/>
  <c r="C6" i="2" s="1"/>
  <c r="H7" i="11"/>
  <c r="I158" i="13"/>
  <c r="D76" i="14"/>
  <c r="I155" i="13"/>
  <c r="H21" i="12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F154" i="13"/>
  <c r="G154" i="13" s="1"/>
  <c r="I157" i="13"/>
  <c r="E131" i="13"/>
  <c r="I130" i="13"/>
  <c r="E137" i="13"/>
  <c r="I133" i="13"/>
  <c r="I123" i="13"/>
  <c r="I124" i="13"/>
  <c r="G122" i="13"/>
  <c r="I122" i="13" s="1"/>
  <c r="F148" i="13"/>
  <c r="G148" i="13" s="1"/>
  <c r="I148" i="13" s="1"/>
  <c r="I135" i="13"/>
  <c r="G160" i="13"/>
  <c r="I134" i="13"/>
  <c r="I129" i="13"/>
  <c r="H131" i="13"/>
  <c r="I125" i="13"/>
  <c r="I136" i="13"/>
  <c r="I151" i="13"/>
  <c r="E126" i="13"/>
  <c r="I152" i="13"/>
  <c r="I128" i="13"/>
  <c r="H130" i="13"/>
  <c r="G2" i="12"/>
  <c r="F5" i="2" s="1"/>
  <c r="E2" i="7"/>
  <c r="C10" i="2" s="1"/>
  <c r="E2" i="9"/>
  <c r="C8" i="2" s="1"/>
  <c r="H8" i="9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G2" i="9"/>
  <c r="F8" i="2" s="1"/>
  <c r="G8" i="11"/>
  <c r="G2" i="11" s="1"/>
  <c r="F6" i="2" s="1"/>
  <c r="I130" i="14"/>
  <c r="I120" i="14"/>
  <c r="I131" i="14"/>
  <c r="I132" i="14"/>
  <c r="I122" i="14"/>
  <c r="I127" i="14"/>
  <c r="I133" i="14"/>
  <c r="I121" i="14"/>
  <c r="I125" i="14"/>
  <c r="I126" i="14"/>
  <c r="I117" i="14"/>
  <c r="H9" i="14"/>
  <c r="H10" i="14" s="1"/>
  <c r="H11" i="14" s="1"/>
  <c r="H12" i="14" s="1"/>
  <c r="H13" i="14" s="1"/>
  <c r="H14" i="14" s="1"/>
  <c r="H15" i="14" s="1"/>
  <c r="H16" i="14" s="1"/>
  <c r="H17" i="14" s="1"/>
  <c r="G2" i="14"/>
  <c r="F3" i="2" s="1"/>
  <c r="G3" i="2" s="1"/>
  <c r="E2" i="14"/>
  <c r="C3" i="2" s="1"/>
  <c r="F90" i="15"/>
  <c r="F91" i="15" s="1"/>
  <c r="F92" i="15" s="1"/>
  <c r="F93" i="15" s="1"/>
  <c r="F94" i="15" s="1"/>
  <c r="F95" i="15" s="1"/>
  <c r="F98" i="15" s="1"/>
  <c r="F99" i="15" s="1"/>
  <c r="F100" i="15" s="1"/>
  <c r="F101" i="15" s="1"/>
  <c r="F102" i="15" s="1"/>
  <c r="F103" i="15" s="1"/>
  <c r="E123" i="14"/>
  <c r="F119" i="14"/>
  <c r="F145" i="14" s="1"/>
  <c r="G145" i="14" s="1"/>
  <c r="I145" i="14" s="1"/>
  <c r="E134" i="14"/>
  <c r="E59" i="14"/>
  <c r="F53" i="14" s="1"/>
  <c r="F54" i="14" s="1"/>
  <c r="F55" i="14" s="1"/>
  <c r="F56" i="14" s="1"/>
  <c r="F57" i="14" s="1"/>
  <c r="F58" i="14" s="1"/>
  <c r="E129" i="34"/>
  <c r="H34" i="34"/>
  <c r="H35" i="34" s="1"/>
  <c r="H13" i="20"/>
  <c r="H14" i="20" s="1"/>
  <c r="H15" i="20" s="1"/>
  <c r="H16" i="20" s="1"/>
  <c r="H17" i="20" s="1"/>
  <c r="H18" i="20" s="1"/>
  <c r="H19" i="20" s="1"/>
  <c r="H20" i="20" s="1"/>
  <c r="H21" i="20" s="1"/>
  <c r="H22" i="20" s="1"/>
  <c r="H23" i="20" s="1"/>
  <c r="H24" i="20" s="1"/>
  <c r="H25" i="20" s="1"/>
  <c r="H26" i="20" s="1"/>
  <c r="H27" i="20" s="1"/>
  <c r="H28" i="20" s="1"/>
  <c r="H29" i="20" s="1"/>
  <c r="H30" i="20" s="1"/>
  <c r="H31" i="20" s="1"/>
  <c r="H32" i="20" s="1"/>
  <c r="H33" i="20" s="1"/>
  <c r="E137" i="20"/>
  <c r="B15" i="17"/>
  <c r="F129" i="15"/>
  <c r="F130" i="15" s="1"/>
  <c r="F128" i="15"/>
  <c r="A127" i="20"/>
  <c r="A128" i="20" s="1"/>
  <c r="A129" i="20" s="1"/>
  <c r="A130" i="20"/>
  <c r="A131" i="20" s="1"/>
  <c r="A132" i="20" s="1"/>
  <c r="A133" i="20" s="1"/>
  <c r="A120" i="21"/>
  <c r="A121" i="21" s="1"/>
  <c r="A122" i="21" s="1"/>
  <c r="A123" i="21" s="1"/>
  <c r="A117" i="21"/>
  <c r="A118" i="21" s="1"/>
  <c r="A119" i="21" s="1"/>
  <c r="E111" i="26"/>
  <c r="N6" i="17" s="1"/>
  <c r="E129" i="26"/>
  <c r="E101" i="21"/>
  <c r="N11" i="17" s="1"/>
  <c r="E126" i="21"/>
  <c r="L11" i="2"/>
  <c r="H13" i="19"/>
  <c r="H14" i="19" s="1"/>
  <c r="H15" i="19" s="1"/>
  <c r="H16" i="19" s="1"/>
  <c r="H17" i="19" s="1"/>
  <c r="H18" i="19" s="1"/>
  <c r="H19" i="19" s="1"/>
  <c r="H20" i="19" s="1"/>
  <c r="H21" i="19" s="1"/>
  <c r="H22" i="19" s="1"/>
  <c r="H23" i="19" s="1"/>
  <c r="H24" i="19" s="1"/>
  <c r="H25" i="19" s="1"/>
  <c r="H26" i="19" s="1"/>
  <c r="H27" i="19" s="1"/>
  <c r="H28" i="19" s="1"/>
  <c r="H29" i="19" s="1"/>
  <c r="H30" i="19" s="1"/>
  <c r="H31" i="19" s="1"/>
  <c r="H32" i="19" s="1"/>
  <c r="H33" i="19" s="1"/>
  <c r="H34" i="19" s="1"/>
  <c r="H35" i="19" s="1"/>
  <c r="H36" i="19" s="1"/>
  <c r="E137" i="19"/>
  <c r="H7" i="3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B15" i="46"/>
  <c r="E2" i="8"/>
  <c r="C9" i="2" s="1"/>
  <c r="G7" i="8"/>
  <c r="G2" i="8" s="1"/>
  <c r="F9" i="2" s="1"/>
  <c r="E3" i="17"/>
  <c r="F14" i="2"/>
  <c r="H2" i="3"/>
  <c r="J64" i="16"/>
  <c r="A116" i="19"/>
  <c r="A119" i="19" s="1"/>
  <c r="A120" i="19" s="1"/>
  <c r="A121" i="19" s="1"/>
  <c r="A122" i="19" s="1"/>
  <c r="A117" i="19" s="1"/>
  <c r="A124" i="19" s="1"/>
  <c r="A125" i="19" s="1"/>
  <c r="A126" i="19" s="1"/>
  <c r="A115" i="19"/>
  <c r="A118" i="19" s="1"/>
  <c r="E123" i="42"/>
  <c r="H7" i="10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B120" i="17"/>
  <c r="B128" i="17"/>
  <c r="B129" i="17" s="1"/>
  <c r="B130" i="17" s="1"/>
  <c r="B131" i="17" s="1"/>
  <c r="B132" i="17" s="1"/>
  <c r="E101" i="15"/>
  <c r="E104" i="15" s="1"/>
  <c r="E40" i="15"/>
  <c r="I6" i="32"/>
  <c r="F43" i="32"/>
  <c r="E43" i="32" s="1"/>
  <c r="F40" i="15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2" i="15" s="1"/>
  <c r="F53" i="15" s="1"/>
  <c r="F54" i="15" s="1"/>
  <c r="F55" i="15" s="1"/>
  <c r="F56" i="15" s="1"/>
  <c r="F57" i="15" s="1"/>
  <c r="F58" i="15" s="1"/>
  <c r="F59" i="15" s="1"/>
  <c r="F60" i="15" s="1"/>
  <c r="F61" i="15" s="1"/>
  <c r="F62" i="15" s="1"/>
  <c r="F63" i="15" s="1"/>
  <c r="F66" i="15" s="1"/>
  <c r="F67" i="15" s="1"/>
  <c r="F68" i="15" s="1"/>
  <c r="F69" i="15" s="1"/>
  <c r="F70" i="15" s="1"/>
  <c r="F71" i="15" s="1"/>
  <c r="F72" i="15" s="1"/>
  <c r="F73" i="15" s="1"/>
  <c r="E15" i="46"/>
  <c r="G3" i="46"/>
  <c r="E42" i="32"/>
  <c r="E44" i="32" s="1"/>
  <c r="D42" i="32"/>
  <c r="H2" i="39"/>
  <c r="E9" i="30"/>
  <c r="E2" i="13"/>
  <c r="C4" i="2" s="1"/>
  <c r="G7" i="13"/>
  <c r="G2" i="13" s="1"/>
  <c r="H2" i="47"/>
  <c r="E121" i="39"/>
  <c r="H14" i="39"/>
  <c r="H15" i="39" s="1"/>
  <c r="H16" i="39" s="1"/>
  <c r="H17" i="39" s="1"/>
  <c r="H18" i="39" s="1"/>
  <c r="H19" i="39" s="1"/>
  <c r="H20" i="39" s="1"/>
  <c r="H21" i="39" s="1"/>
  <c r="H22" i="39" s="1"/>
  <c r="H23" i="39" s="1"/>
  <c r="H24" i="39" s="1"/>
  <c r="H25" i="39" s="1"/>
  <c r="H26" i="39" s="1"/>
  <c r="H27" i="39" s="1"/>
  <c r="H28" i="39" s="1"/>
  <c r="H29" i="39" s="1"/>
  <c r="H30" i="39" s="1"/>
  <c r="E2" i="25"/>
  <c r="C7" i="17" s="1"/>
  <c r="F42" i="32"/>
  <c r="H2" i="4"/>
  <c r="G7" i="6"/>
  <c r="G2" i="6" s="1"/>
  <c r="F11" i="2" s="1"/>
  <c r="E2" i="6"/>
  <c r="C11" i="2" s="1"/>
  <c r="L15" i="30"/>
  <c r="A124" i="34"/>
  <c r="A125" i="34" s="1"/>
  <c r="A126" i="34" s="1"/>
  <c r="A127" i="34" s="1"/>
  <c r="A128" i="34" s="1"/>
  <c r="A116" i="34"/>
  <c r="E123" i="44"/>
  <c r="F12" i="46"/>
  <c r="H2" i="49"/>
  <c r="F193" i="18"/>
  <c r="G5" i="18"/>
  <c r="G2" i="18" s="1"/>
  <c r="E29" i="33"/>
  <c r="E111" i="35"/>
  <c r="N13" i="30" s="1"/>
  <c r="E125" i="35"/>
  <c r="E13" i="17"/>
  <c r="G7" i="7"/>
  <c r="G2" i="7" s="1"/>
  <c r="H128" i="14"/>
  <c r="H127" i="14"/>
  <c r="E111" i="43"/>
  <c r="N5" i="30" s="1"/>
  <c r="E123" i="43"/>
  <c r="E2" i="3"/>
  <c r="C14" i="2" s="1"/>
  <c r="F10" i="46"/>
  <c r="H2" i="51"/>
  <c r="A128" i="24"/>
  <c r="A127" i="24"/>
  <c r="H2" i="45"/>
  <c r="E120" i="45" s="1"/>
  <c r="E122" i="45" s="1"/>
  <c r="E3" i="30"/>
  <c r="I11" i="33"/>
  <c r="I10" i="33" s="1"/>
  <c r="I9" i="33" s="1"/>
  <c r="I8" i="33" s="1"/>
  <c r="I5" i="32" s="1"/>
  <c r="E2" i="21"/>
  <c r="C11" i="17" s="1"/>
  <c r="G6" i="21"/>
  <c r="G2" i="21" s="1"/>
  <c r="M15" i="2"/>
  <c r="M16" i="2" s="1"/>
  <c r="H9" i="36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2" i="41"/>
  <c r="A115" i="20"/>
  <c r="A118" i="20" s="1"/>
  <c r="A132" i="29"/>
  <c r="A133" i="29"/>
  <c r="A134" i="29" s="1"/>
  <c r="A135" i="29" s="1"/>
  <c r="H7" i="6"/>
  <c r="H8" i="6" s="1"/>
  <c r="H9" i="6" s="1"/>
  <c r="H10" i="6" s="1"/>
  <c r="H11" i="6" s="1"/>
  <c r="H12" i="6" s="1"/>
  <c r="H13" i="6" s="1"/>
  <c r="H14" i="6" s="1"/>
  <c r="H15" i="6" s="1"/>
  <c r="H16" i="6" s="1"/>
  <c r="H17" i="6" s="1"/>
  <c r="H18" i="6" s="1"/>
  <c r="H19" i="6" s="1"/>
  <c r="H20" i="6" s="1"/>
  <c r="H21" i="6" s="1"/>
  <c r="H22" i="6" s="1"/>
  <c r="H23" i="6" s="1"/>
  <c r="H24" i="6" s="1"/>
  <c r="H25" i="6" s="1"/>
  <c r="H26" i="6" s="1"/>
  <c r="H27" i="6" s="1"/>
  <c r="H28" i="6" s="1"/>
  <c r="H29" i="6" s="1"/>
  <c r="H30" i="6" s="1"/>
  <c r="H31" i="6" s="1"/>
  <c r="E15" i="2"/>
  <c r="L9" i="17"/>
  <c r="L15" i="17" s="1"/>
  <c r="K15" i="17"/>
  <c r="K16" i="17" s="1"/>
  <c r="E2" i="19"/>
  <c r="C13" i="17" s="1"/>
  <c r="E157" i="23"/>
  <c r="A110" i="25"/>
  <c r="A111" i="25"/>
  <c r="E10" i="30"/>
  <c r="H2" i="38"/>
  <c r="G7" i="10"/>
  <c r="G2" i="10" s="1"/>
  <c r="F4" i="46"/>
  <c r="H2" i="57"/>
  <c r="H2" i="5"/>
  <c r="F12" i="2"/>
  <c r="C15" i="46"/>
  <c r="C16" i="46" s="1"/>
  <c r="E138" i="29"/>
  <c r="E2" i="38"/>
  <c r="C10" i="30" s="1"/>
  <c r="F183" i="18"/>
  <c r="H182" i="18"/>
  <c r="G195" i="18"/>
  <c r="G165" i="18"/>
  <c r="L15" i="2"/>
  <c r="E2" i="4"/>
  <c r="C13" i="2" s="1"/>
  <c r="E111" i="37"/>
  <c r="N11" i="30" s="1"/>
  <c r="H2" i="42"/>
  <c r="E121" i="42" s="1"/>
  <c r="E6" i="30"/>
  <c r="E54" i="26"/>
  <c r="E19" i="26"/>
  <c r="G19" i="26" s="1"/>
  <c r="H19" i="26" s="1"/>
  <c r="H20" i="26" s="1"/>
  <c r="H21" i="26" s="1"/>
  <c r="H22" i="26" s="1"/>
  <c r="H23" i="26" s="1"/>
  <c r="H24" i="26" s="1"/>
  <c r="H25" i="26" s="1"/>
  <c r="H26" i="26" s="1"/>
  <c r="H27" i="26" s="1"/>
  <c r="H28" i="26" s="1"/>
  <c r="H29" i="26" s="1"/>
  <c r="H30" i="26" s="1"/>
  <c r="H31" i="26" s="1"/>
  <c r="H32" i="26" s="1"/>
  <c r="H33" i="26" s="1"/>
  <c r="H34" i="26" s="1"/>
  <c r="H35" i="26" s="1"/>
  <c r="H36" i="26" s="1"/>
  <c r="H37" i="26" s="1"/>
  <c r="H38" i="26" s="1"/>
  <c r="H39" i="26" s="1"/>
  <c r="H40" i="26" s="1"/>
  <c r="H41" i="26" s="1"/>
  <c r="H42" i="26" s="1"/>
  <c r="H43" i="26" s="1"/>
  <c r="H44" i="26" s="1"/>
  <c r="H45" i="26" s="1"/>
  <c r="E11" i="30"/>
  <c r="H2" i="37"/>
  <c r="H2" i="40"/>
  <c r="D5" i="46"/>
  <c r="D6" i="46" s="1"/>
  <c r="D7" i="46" s="1"/>
  <c r="D8" i="46" s="1"/>
  <c r="D9" i="46" s="1"/>
  <c r="D10" i="46" s="1"/>
  <c r="D11" i="46" s="1"/>
  <c r="D12" i="46" s="1"/>
  <c r="D13" i="46" s="1"/>
  <c r="D14" i="46" s="1"/>
  <c r="E125" i="18"/>
  <c r="N14" i="17" s="1"/>
  <c r="F131" i="28"/>
  <c r="M15" i="30"/>
  <c r="M16" i="30" s="1"/>
  <c r="E2" i="12"/>
  <c r="C5" i="2" s="1"/>
  <c r="E108" i="27"/>
  <c r="N5" i="17" s="1"/>
  <c r="E130" i="27"/>
  <c r="E133" i="28"/>
  <c r="E111" i="28"/>
  <c r="N4" i="17" s="1"/>
  <c r="N16" i="17" s="1"/>
  <c r="G9" i="36"/>
  <c r="G2" i="36" s="1"/>
  <c r="E2" i="37"/>
  <c r="C11" i="30" s="1"/>
  <c r="H2" i="25"/>
  <c r="E122" i="25" s="1"/>
  <c r="G2" i="26"/>
  <c r="F6" i="17" s="1"/>
  <c r="K15" i="30"/>
  <c r="K16" i="30" s="1"/>
  <c r="E121" i="40"/>
  <c r="E123" i="40" s="1"/>
  <c r="H9" i="40"/>
  <c r="H10" i="40" s="1"/>
  <c r="H11" i="40" s="1"/>
  <c r="H12" i="40" s="1"/>
  <c r="H13" i="40" s="1"/>
  <c r="H14" i="40" s="1"/>
  <c r="H15" i="40" s="1"/>
  <c r="H16" i="40" s="1"/>
  <c r="H17" i="40" s="1"/>
  <c r="H18" i="40" s="1"/>
  <c r="H19" i="40" s="1"/>
  <c r="H20" i="40" s="1"/>
  <c r="H21" i="40" s="1"/>
  <c r="H22" i="40" s="1"/>
  <c r="H23" i="40" s="1"/>
  <c r="H24" i="40" s="1"/>
  <c r="H25" i="40" s="1"/>
  <c r="H26" i="40" s="1"/>
  <c r="H27" i="40" s="1"/>
  <c r="H28" i="40" s="1"/>
  <c r="H29" i="40" s="1"/>
  <c r="F44" i="1"/>
  <c r="H2" i="9"/>
  <c r="D45" i="1"/>
  <c r="F45" i="1" s="1"/>
  <c r="F46" i="1" s="1"/>
  <c r="E20" i="2"/>
  <c r="B15" i="2"/>
  <c r="F143" i="18"/>
  <c r="E133" i="23"/>
  <c r="N9" i="17" s="1"/>
  <c r="G13" i="29"/>
  <c r="G2" i="29" s="1"/>
  <c r="F3" i="17" s="1"/>
  <c r="E2" i="29"/>
  <c r="C3" i="17" s="1"/>
  <c r="D3" i="17" s="1"/>
  <c r="E111" i="20"/>
  <c r="E124" i="36"/>
  <c r="E7" i="24"/>
  <c r="F65" i="24"/>
  <c r="C114" i="29"/>
  <c r="G60" i="31"/>
  <c r="E2" i="42"/>
  <c r="C6" i="30" s="1"/>
  <c r="E2" i="44"/>
  <c r="C4" i="30" s="1"/>
  <c r="H2" i="11"/>
  <c r="G9" i="28"/>
  <c r="G2" i="28" s="1"/>
  <c r="E2" i="28"/>
  <c r="C4" i="17" s="1"/>
  <c r="D4" i="17" s="1"/>
  <c r="D5" i="17" s="1"/>
  <c r="F27" i="33"/>
  <c r="G2" i="34"/>
  <c r="F14" i="30" s="1"/>
  <c r="G4" i="46"/>
  <c r="G5" i="46" s="1"/>
  <c r="G6" i="46" s="1"/>
  <c r="G7" i="46" s="1"/>
  <c r="G8" i="46" s="1"/>
  <c r="G9" i="46" s="1"/>
  <c r="G10" i="46" s="1"/>
  <c r="G11" i="46" s="1"/>
  <c r="F133" i="18"/>
  <c r="E151" i="18"/>
  <c r="H7" i="27"/>
  <c r="E111" i="39"/>
  <c r="N9" i="30" s="1"/>
  <c r="E123" i="39"/>
  <c r="D129" i="15"/>
  <c r="E2" i="23"/>
  <c r="C9" i="17" s="1"/>
  <c r="G8" i="27"/>
  <c r="G2" i="27" s="1"/>
  <c r="E2" i="34"/>
  <c r="C14" i="30" s="1"/>
  <c r="E111" i="41"/>
  <c r="N7" i="30" s="1"/>
  <c r="N16" i="30" s="1"/>
  <c r="H2" i="54"/>
  <c r="D33" i="33"/>
  <c r="F33" i="33"/>
  <c r="F35" i="33" s="1"/>
  <c r="E2" i="40"/>
  <c r="C8" i="30" s="1"/>
  <c r="E125" i="22"/>
  <c r="N10" i="17" s="1"/>
  <c r="E149" i="22"/>
  <c r="E111" i="40"/>
  <c r="N8" i="30" s="1"/>
  <c r="E128" i="14"/>
  <c r="G8" i="35"/>
  <c r="G2" i="35" s="1"/>
  <c r="L15" i="46"/>
  <c r="H27" i="33"/>
  <c r="F34" i="33" s="1"/>
  <c r="E111" i="38"/>
  <c r="N10" i="30" s="1"/>
  <c r="H2" i="52"/>
  <c r="H2" i="22"/>
  <c r="E150" i="22" s="1"/>
  <c r="H7" i="38"/>
  <c r="H8" i="38" s="1"/>
  <c r="H9" i="38" s="1"/>
  <c r="H10" i="38" s="1"/>
  <c r="H11" i="38" s="1"/>
  <c r="H12" i="38" s="1"/>
  <c r="H13" i="38" s="1"/>
  <c r="B15" i="30"/>
  <c r="E123" i="41"/>
  <c r="E2" i="43"/>
  <c r="C5" i="30" s="1"/>
  <c r="H2" i="26"/>
  <c r="E130" i="26" s="1"/>
  <c r="E123" i="37"/>
  <c r="E2" i="39"/>
  <c r="C9" i="30" s="1"/>
  <c r="E118" i="24"/>
  <c r="N8" i="17" s="1"/>
  <c r="H18" i="14" l="1"/>
  <c r="H19" i="14" s="1"/>
  <c r="H20" i="14" s="1"/>
  <c r="H21" i="14" s="1"/>
  <c r="H22" i="14" s="1"/>
  <c r="H23" i="14" s="1"/>
  <c r="H24" i="14" s="1"/>
  <c r="H25" i="14" s="1"/>
  <c r="H26" i="14" s="1"/>
  <c r="H27" i="14" s="1"/>
  <c r="H28" i="14" s="1"/>
  <c r="H29" i="14" s="1"/>
  <c r="H30" i="14" s="1"/>
  <c r="H31" i="14" s="1"/>
  <c r="H32" i="14" s="1"/>
  <c r="H33" i="14" s="1"/>
  <c r="H34" i="14" s="1"/>
  <c r="H35" i="14" s="1"/>
  <c r="H36" i="14" s="1"/>
  <c r="H37" i="14" s="1"/>
  <c r="H137" i="13"/>
  <c r="H136" i="13"/>
  <c r="H7" i="13"/>
  <c r="H8" i="13" s="1"/>
  <c r="H9" i="13" s="1"/>
  <c r="H10" i="13" s="1"/>
  <c r="H11" i="13" s="1"/>
  <c r="H2" i="12"/>
  <c r="G145" i="13"/>
  <c r="H126" i="13"/>
  <c r="I154" i="13"/>
  <c r="H125" i="13"/>
  <c r="G112" i="13"/>
  <c r="I160" i="13"/>
  <c r="I126" i="13" s="1"/>
  <c r="H2" i="8"/>
  <c r="H8" i="1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2" i="14"/>
  <c r="G119" i="14"/>
  <c r="L16" i="17"/>
  <c r="L17" i="17"/>
  <c r="M18" i="17" s="1"/>
  <c r="G12" i="46"/>
  <c r="G13" i="46" s="1"/>
  <c r="G14" i="46" s="1"/>
  <c r="A113" i="25"/>
  <c r="A114" i="25" s="1"/>
  <c r="A115" i="25" s="1"/>
  <c r="A116" i="25" s="1"/>
  <c r="A117" i="25" s="1"/>
  <c r="A118" i="25" s="1"/>
  <c r="A112" i="25"/>
  <c r="F11" i="17"/>
  <c r="H2" i="21"/>
  <c r="E127" i="21" s="1"/>
  <c r="D44" i="32"/>
  <c r="F13" i="30"/>
  <c r="H2" i="35"/>
  <c r="A117" i="34"/>
  <c r="A118" i="34" s="1"/>
  <c r="A119" i="34" s="1"/>
  <c r="A120" i="34" s="1"/>
  <c r="A121" i="34" s="1"/>
  <c r="A122" i="34" s="1"/>
  <c r="A123" i="34"/>
  <c r="H9" i="28"/>
  <c r="H10" i="28" s="1"/>
  <c r="H11" i="28" s="1"/>
  <c r="H12" i="28" s="1"/>
  <c r="H13" i="28" s="1"/>
  <c r="H14" i="28" s="1"/>
  <c r="H15" i="28" s="1"/>
  <c r="H16" i="28" s="1"/>
  <c r="H17" i="28" s="1"/>
  <c r="H18" i="28" s="1"/>
  <c r="H19" i="28" s="1"/>
  <c r="H20" i="28" s="1"/>
  <c r="H21" i="28" s="1"/>
  <c r="H22" i="28" s="1"/>
  <c r="H23" i="28" s="1"/>
  <c r="H24" i="28" s="1"/>
  <c r="H25" i="28" s="1"/>
  <c r="H26" i="28" s="1"/>
  <c r="H27" i="28" s="1"/>
  <c r="H28" i="28" s="1"/>
  <c r="H29" i="28" s="1"/>
  <c r="H30" i="28" s="1"/>
  <c r="G3" i="17"/>
  <c r="E15" i="17"/>
  <c r="A129" i="24"/>
  <c r="A130" i="24"/>
  <c r="A131" i="24" s="1"/>
  <c r="A132" i="24" s="1"/>
  <c r="A133" i="24" s="1"/>
  <c r="A134" i="24" s="1"/>
  <c r="A135" i="24" s="1"/>
  <c r="H14" i="38"/>
  <c r="H15" i="38" s="1"/>
  <c r="H16" i="38" s="1"/>
  <c r="H17" i="38" s="1"/>
  <c r="H18" i="38" s="1"/>
  <c r="H19" i="38" s="1"/>
  <c r="H20" i="38" s="1"/>
  <c r="H21" i="38" s="1"/>
  <c r="H22" i="38" s="1"/>
  <c r="H23" i="38" s="1"/>
  <c r="H24" i="38" s="1"/>
  <c r="H25" i="38" s="1"/>
  <c r="H26" i="38" s="1"/>
  <c r="H27" i="38" s="1"/>
  <c r="H28" i="38" s="1"/>
  <c r="E121" i="38"/>
  <c r="E123" i="38" s="1"/>
  <c r="D49" i="32"/>
  <c r="F49" i="32" s="1"/>
  <c r="D43" i="32"/>
  <c r="H5" i="18"/>
  <c r="H6" i="18" s="1"/>
  <c r="H7" i="18" s="1"/>
  <c r="H8" i="18" s="1"/>
  <c r="H9" i="18" s="1"/>
  <c r="H10" i="18" s="1"/>
  <c r="H11" i="18" s="1"/>
  <c r="H12" i="18" s="1"/>
  <c r="H13" i="18" s="1"/>
  <c r="H14" i="18" s="1"/>
  <c r="H15" i="18" s="1"/>
  <c r="H16" i="18" s="1"/>
  <c r="H17" i="18" s="1"/>
  <c r="H18" i="18" s="1"/>
  <c r="H19" i="18" s="1"/>
  <c r="H20" i="18" s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2" i="18" s="1"/>
  <c r="H33" i="18" s="1"/>
  <c r="H34" i="18" s="1"/>
  <c r="H2" i="27"/>
  <c r="E131" i="27" s="1"/>
  <c r="F5" i="17"/>
  <c r="F44" i="32"/>
  <c r="B16" i="46"/>
  <c r="D15" i="46"/>
  <c r="H2" i="28"/>
  <c r="E134" i="28" s="1"/>
  <c r="F4" i="17"/>
  <c r="C15" i="30"/>
  <c r="C16" i="30" s="1"/>
  <c r="B16" i="30"/>
  <c r="D15" i="30"/>
  <c r="B16" i="17"/>
  <c r="G7" i="24"/>
  <c r="E2" i="24"/>
  <c r="C8" i="17" s="1"/>
  <c r="D8" i="17" s="1"/>
  <c r="D9" i="17" s="1"/>
  <c r="D10" i="17" s="1"/>
  <c r="D11" i="17" s="1"/>
  <c r="D12" i="17" s="1"/>
  <c r="D13" i="17" s="1"/>
  <c r="D14" i="17" s="1"/>
  <c r="G3" i="30"/>
  <c r="G4" i="30" s="1"/>
  <c r="G5" i="30" s="1"/>
  <c r="E15" i="30"/>
  <c r="H2" i="29"/>
  <c r="E136" i="29" s="1"/>
  <c r="H2" i="34"/>
  <c r="L16" i="30"/>
  <c r="M17" i="30"/>
  <c r="M18" i="30" s="1"/>
  <c r="I7" i="32"/>
  <c r="H7" i="8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B127" i="17"/>
  <c r="B121" i="17"/>
  <c r="B122" i="17" s="1"/>
  <c r="B123" i="17" s="1"/>
  <c r="B124" i="17" s="1"/>
  <c r="B125" i="17" s="1"/>
  <c r="B126" i="17" s="1"/>
  <c r="B16" i="2"/>
  <c r="F14" i="17"/>
  <c r="H2" i="18"/>
  <c r="F15" i="46"/>
  <c r="F16" i="46" s="1"/>
  <c r="C15" i="2"/>
  <c r="C16" i="2" s="1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F7" i="2"/>
  <c r="H2" i="10"/>
  <c r="H2" i="6"/>
  <c r="E2" i="26"/>
  <c r="C6" i="17" s="1"/>
  <c r="D6" i="17" s="1"/>
  <c r="D7" i="17" s="1"/>
  <c r="H8" i="27"/>
  <c r="H9" i="27" s="1"/>
  <c r="H10" i="27" s="1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F10" i="2"/>
  <c r="H2" i="7"/>
  <c r="F4" i="2"/>
  <c r="H2" i="13"/>
  <c r="L16" i="2"/>
  <c r="L17" i="2"/>
  <c r="M18" i="2" s="1"/>
  <c r="H6" i="21"/>
  <c r="H7" i="21" s="1"/>
  <c r="H8" i="21" s="1"/>
  <c r="H9" i="21" s="1"/>
  <c r="H10" i="21" s="1"/>
  <c r="H11" i="21" s="1"/>
  <c r="H12" i="21" s="1"/>
  <c r="H13" i="21" s="1"/>
  <c r="H14" i="21" s="1"/>
  <c r="H15" i="21" s="1"/>
  <c r="H16" i="21" s="1"/>
  <c r="H17" i="21" s="1"/>
  <c r="H18" i="21" s="1"/>
  <c r="H19" i="21" s="1"/>
  <c r="H20" i="21" s="1"/>
  <c r="H21" i="21" s="1"/>
  <c r="H22" i="21" s="1"/>
  <c r="H23" i="21" s="1"/>
  <c r="H24" i="21" s="1"/>
  <c r="H25" i="21" s="1"/>
  <c r="H26" i="21" s="1"/>
  <c r="H27" i="21" s="1"/>
  <c r="H28" i="21" s="1"/>
  <c r="H29" i="21" s="1"/>
  <c r="H30" i="21" s="1"/>
  <c r="E16" i="2"/>
  <c r="E16" i="46"/>
  <c r="D4" i="30"/>
  <c r="D5" i="30" s="1"/>
  <c r="D6" i="30" s="1"/>
  <c r="D7" i="30" s="1"/>
  <c r="D8" i="30" s="1"/>
  <c r="D9" i="30" s="1"/>
  <c r="D10" i="30" s="1"/>
  <c r="D11" i="30" s="1"/>
  <c r="D12" i="30" s="1"/>
  <c r="D13" i="30" s="1"/>
  <c r="D14" i="30" s="1"/>
  <c r="E34" i="33"/>
  <c r="D39" i="33"/>
  <c r="F39" i="33" s="1"/>
  <c r="G6" i="30"/>
  <c r="G7" i="30" s="1"/>
  <c r="G8" i="30" s="1"/>
  <c r="G9" i="30" s="1"/>
  <c r="G10" i="30" s="1"/>
  <c r="G11" i="30" s="1"/>
  <c r="H13" i="29"/>
  <c r="H14" i="29" s="1"/>
  <c r="H15" i="29" s="1"/>
  <c r="H16" i="29" s="1"/>
  <c r="H17" i="29" s="1"/>
  <c r="H18" i="29" s="1"/>
  <c r="H19" i="29" s="1"/>
  <c r="H20" i="29" s="1"/>
  <c r="H21" i="29" s="1"/>
  <c r="H22" i="29" s="1"/>
  <c r="H23" i="29" s="1"/>
  <c r="H24" i="29" s="1"/>
  <c r="H25" i="29" s="1"/>
  <c r="H26" i="29" s="1"/>
  <c r="H27" i="29" s="1"/>
  <c r="H28" i="29" s="1"/>
  <c r="H29" i="29" s="1"/>
  <c r="H30" i="29" s="1"/>
  <c r="H31" i="29" s="1"/>
  <c r="H32" i="29" s="1"/>
  <c r="H33" i="29" s="1"/>
  <c r="H34" i="29" s="1"/>
  <c r="H35" i="29" s="1"/>
  <c r="H36" i="29" s="1"/>
  <c r="H37" i="29" s="1"/>
  <c r="H38" i="29" s="1"/>
  <c r="H39" i="29" s="1"/>
  <c r="H40" i="29" s="1"/>
  <c r="H41" i="29" s="1"/>
  <c r="H42" i="29" s="1"/>
  <c r="H43" i="29" s="1"/>
  <c r="H44" i="29" s="1"/>
  <c r="H45" i="29" s="1"/>
  <c r="L16" i="46"/>
  <c r="N12" i="46"/>
  <c r="N13" i="46" s="1"/>
  <c r="H2" i="36"/>
  <c r="F12" i="30"/>
  <c r="H8" i="35"/>
  <c r="H9" i="35" s="1"/>
  <c r="H10" i="35" s="1"/>
  <c r="H11" i="35" s="1"/>
  <c r="H12" i="35" s="1"/>
  <c r="H13" i="35" s="1"/>
  <c r="H14" i="35" s="1"/>
  <c r="H15" i="35" s="1"/>
  <c r="H16" i="35" s="1"/>
  <c r="H17" i="35" s="1"/>
  <c r="H18" i="35" s="1"/>
  <c r="H19" i="35" s="1"/>
  <c r="H20" i="35" s="1"/>
  <c r="H21" i="35" s="1"/>
  <c r="H22" i="35" s="1"/>
  <c r="H23" i="35" s="1"/>
  <c r="H24" i="35" s="1"/>
  <c r="H25" i="35" s="1"/>
  <c r="H26" i="35" s="1"/>
  <c r="H27" i="35" s="1"/>
  <c r="H28" i="35" s="1"/>
  <c r="H29" i="35" s="1"/>
  <c r="H30" i="35" s="1"/>
  <c r="H31" i="35" s="1"/>
  <c r="H32" i="35" s="1"/>
  <c r="H33" i="35" s="1"/>
  <c r="E123" i="35" s="1"/>
  <c r="H7" i="7"/>
  <c r="H8" i="7" s="1"/>
  <c r="H9" i="7" s="1"/>
  <c r="H10" i="7" s="1"/>
  <c r="H11" i="7" s="1"/>
  <c r="H12" i="7" s="1"/>
  <c r="H13" i="7" s="1"/>
  <c r="H14" i="7" s="1"/>
  <c r="H15" i="7" s="1"/>
  <c r="H16" i="7" s="1"/>
  <c r="H17" i="7" s="1"/>
  <c r="H18" i="7" s="1"/>
  <c r="H19" i="7" s="1"/>
  <c r="H20" i="7" s="1"/>
  <c r="H21" i="7" s="1"/>
  <c r="H22" i="7" s="1"/>
  <c r="H23" i="7" s="1"/>
  <c r="H24" i="7" s="1"/>
  <c r="H25" i="7" s="1"/>
  <c r="H26" i="7" s="1"/>
  <c r="H27" i="7" s="1"/>
  <c r="H28" i="7" s="1"/>
  <c r="H29" i="7" s="1"/>
  <c r="H30" i="7" s="1"/>
  <c r="H31" i="7" s="1"/>
  <c r="A130" i="19"/>
  <c r="A131" i="19" s="1"/>
  <c r="A132" i="19" s="1"/>
  <c r="A133" i="19" s="1"/>
  <c r="A127" i="19"/>
  <c r="A128" i="19" s="1"/>
  <c r="A129" i="19" s="1"/>
  <c r="I119" i="14" l="1"/>
  <c r="I123" i="14" s="1"/>
  <c r="G142" i="14"/>
  <c r="H12" i="13"/>
  <c r="H13" i="13" s="1"/>
  <c r="H14" i="13" s="1"/>
  <c r="H15" i="13" s="1"/>
  <c r="H16" i="13" s="1"/>
  <c r="H17" i="13" s="1"/>
  <c r="H18" i="13" s="1"/>
  <c r="H19" i="13" s="1"/>
  <c r="H20" i="13" s="1"/>
  <c r="H21" i="13" s="1"/>
  <c r="H22" i="13" s="1"/>
  <c r="H23" i="13" s="1"/>
  <c r="H24" i="13" s="1"/>
  <c r="H25" i="13" s="1"/>
  <c r="H26" i="13" s="1"/>
  <c r="H27" i="13" s="1"/>
  <c r="H28" i="13" s="1"/>
  <c r="H29" i="13" s="1"/>
  <c r="H30" i="13" s="1"/>
  <c r="H31" i="13" s="1"/>
  <c r="H32" i="13" s="1"/>
  <c r="I166" i="13"/>
  <c r="H143" i="13"/>
  <c r="H134" i="14"/>
  <c r="H133" i="14"/>
  <c r="H122" i="14"/>
  <c r="G107" i="14"/>
  <c r="H123" i="14"/>
  <c r="H7" i="24"/>
  <c r="H8" i="24" s="1"/>
  <c r="H9" i="24" s="1"/>
  <c r="H10" i="24" s="1"/>
  <c r="H11" i="24" s="1"/>
  <c r="H12" i="24" s="1"/>
  <c r="H13" i="24" s="1"/>
  <c r="H14" i="24" s="1"/>
  <c r="H15" i="24" s="1"/>
  <c r="H16" i="24" s="1"/>
  <c r="H17" i="24" s="1"/>
  <c r="H18" i="24" s="1"/>
  <c r="H19" i="24" s="1"/>
  <c r="H20" i="24" s="1"/>
  <c r="H21" i="24" s="1"/>
  <c r="H22" i="24" s="1"/>
  <c r="H23" i="24" s="1"/>
  <c r="H24" i="24" s="1"/>
  <c r="H25" i="24" s="1"/>
  <c r="H26" i="24" s="1"/>
  <c r="H27" i="24" s="1"/>
  <c r="H28" i="24" s="1"/>
  <c r="H29" i="24" s="1"/>
  <c r="H30" i="24" s="1"/>
  <c r="H31" i="24" s="1"/>
  <c r="H32" i="24" s="1"/>
  <c r="H33" i="24" s="1"/>
  <c r="H34" i="24" s="1"/>
  <c r="G2" i="24"/>
  <c r="D40" i="33"/>
  <c r="F40" i="33" s="1"/>
  <c r="D34" i="33"/>
  <c r="D35" i="33" s="1"/>
  <c r="E35" i="33"/>
  <c r="C15" i="17"/>
  <c r="E8" i="32"/>
  <c r="E9" i="32" s="1"/>
  <c r="E10" i="32" s="1"/>
  <c r="E11" i="32" s="1"/>
  <c r="E12" i="32" s="1"/>
  <c r="E13" i="32" s="1"/>
  <c r="E14" i="32" s="1"/>
  <c r="E15" i="32" s="1"/>
  <c r="E16" i="32" s="1"/>
  <c r="E17" i="32" s="1"/>
  <c r="E18" i="32" s="1"/>
  <c r="E19" i="32" s="1"/>
  <c r="I8" i="32"/>
  <c r="I9" i="32" s="1"/>
  <c r="I10" i="32" s="1"/>
  <c r="I11" i="32" s="1"/>
  <c r="I12" i="32" s="1"/>
  <c r="I13" i="32" s="1"/>
  <c r="I14" i="32" s="1"/>
  <c r="I15" i="32" s="1"/>
  <c r="I16" i="32" s="1"/>
  <c r="I17" i="32" s="1"/>
  <c r="I18" i="32" s="1"/>
  <c r="I19" i="32" s="1"/>
  <c r="E16" i="17"/>
  <c r="G4" i="17"/>
  <c r="G4" i="2"/>
  <c r="G5" i="2" s="1"/>
  <c r="G6" i="2" s="1"/>
  <c r="G7" i="2" s="1"/>
  <c r="G8" i="2" s="1"/>
  <c r="G9" i="2" s="1"/>
  <c r="G10" i="2" s="1"/>
  <c r="G11" i="2" s="1"/>
  <c r="G12" i="2" s="1"/>
  <c r="G13" i="2" s="1"/>
  <c r="G14" i="2" s="1"/>
  <c r="F15" i="2"/>
  <c r="G15" i="46"/>
  <c r="G16" i="46" s="1"/>
  <c r="G13" i="30"/>
  <c r="G14" i="30" s="1"/>
  <c r="G5" i="17"/>
  <c r="G6" i="17" s="1"/>
  <c r="G7" i="17" s="1"/>
  <c r="D15" i="2"/>
  <c r="E16" i="30"/>
  <c r="F15" i="30"/>
  <c r="F16" i="30" s="1"/>
  <c r="G12" i="30"/>
  <c r="H140" i="14" l="1"/>
  <c r="C16" i="17"/>
  <c r="D15" i="17"/>
  <c r="F8" i="17"/>
  <c r="H2" i="24"/>
  <c r="E139" i="24" s="1"/>
  <c r="G15" i="30"/>
  <c r="G16" i="30" s="1"/>
  <c r="F16" i="2"/>
  <c r="G15" i="2"/>
  <c r="G16" i="2" s="1"/>
  <c r="G8" i="17" l="1"/>
  <c r="G9" i="17" s="1"/>
  <c r="G10" i="17" s="1"/>
  <c r="G11" i="17" s="1"/>
  <c r="G12" i="17" s="1"/>
  <c r="G13" i="17" s="1"/>
  <c r="G14" i="17" s="1"/>
  <c r="F15" i="17"/>
  <c r="F16" i="17" l="1"/>
  <c r="G15" i="17"/>
  <c r="G16" i="17" s="1"/>
</calcChain>
</file>

<file path=xl/sharedStrings.xml><?xml version="1.0" encoding="utf-8"?>
<sst xmlns="http://schemas.openxmlformats.org/spreadsheetml/2006/main" count="4566" uniqueCount="1691">
  <si>
    <t>hesaba yazılmayan</t>
  </si>
  <si>
    <t>hacı ödeme</t>
  </si>
  <si>
    <t>peri ödeme</t>
  </si>
  <si>
    <t>BAKİYE</t>
  </si>
  <si>
    <t>2023 den devir PERİ BORÇLU</t>
  </si>
  <si>
    <t>4 ad çeyrek *5000</t>
  </si>
  <si>
    <t>ÖDENECK</t>
  </si>
  <si>
    <t>Taksit 6/12</t>
  </si>
  <si>
    <t>Taksit 7/12</t>
  </si>
  <si>
    <t>Taksit 8/12</t>
  </si>
  <si>
    <t>Taksit 9/12</t>
  </si>
  <si>
    <t>Taksit 10/12</t>
  </si>
  <si>
    <t>Taksit 11/12</t>
  </si>
  <si>
    <t>Taksit 12/12</t>
  </si>
  <si>
    <t>KALAN BAKİYE</t>
  </si>
  <si>
    <t>YASEMİN ARAÇ HESABI</t>
  </si>
  <si>
    <t>YASEMİN KAPORA</t>
  </si>
  <si>
    <t>YASEMİN UMUTTAN OKUL PARASINDAN</t>
  </si>
  <si>
    <t>YASEMİN OKUL PARASINDAN</t>
  </si>
  <si>
    <t>YASEMİN OKUL PARASI</t>
  </si>
  <si>
    <t>DERSANE+ ÖDEME</t>
  </si>
  <si>
    <t>MAAŞTAN ÖDENECEK (okul parasından artan)</t>
  </si>
  <si>
    <t>TOPLAM  YASEMİNİN ARAÇ ÖDEMESİ</t>
  </si>
  <si>
    <t>TAHMİNİ</t>
  </si>
  <si>
    <t>GERÇEKLEŞEN</t>
  </si>
  <si>
    <t>NZN</t>
  </si>
  <si>
    <t>HC</t>
  </si>
  <si>
    <t>NY</t>
  </si>
  <si>
    <t>GİRİŞ</t>
  </si>
  <si>
    <t>ÇIKIŞ</t>
  </si>
  <si>
    <t xml:space="preserve"> BAKİYE</t>
  </si>
  <si>
    <t>kR</t>
  </si>
  <si>
    <t>Hc 1/1</t>
  </si>
  <si>
    <t>Ocak</t>
  </si>
  <si>
    <t>dgs</t>
  </si>
  <si>
    <t>Şubat</t>
  </si>
  <si>
    <t>sF</t>
  </si>
  <si>
    <t>Mart</t>
  </si>
  <si>
    <t>tzg</t>
  </si>
  <si>
    <t>Nisan</t>
  </si>
  <si>
    <t>maaş ocak-haziran</t>
  </si>
  <si>
    <t>Mayıs</t>
  </si>
  <si>
    <t>maaş temmuz-aralık</t>
  </si>
  <si>
    <t>Hazrn</t>
  </si>
  <si>
    <t>lise</t>
  </si>
  <si>
    <t>Temmz</t>
  </si>
  <si>
    <t>sE</t>
  </si>
  <si>
    <t>Ağusts</t>
  </si>
  <si>
    <t>ap</t>
  </si>
  <si>
    <t>Eylül</t>
  </si>
  <si>
    <t>sG</t>
  </si>
  <si>
    <t>Ekim</t>
  </si>
  <si>
    <t>sA</t>
  </si>
  <si>
    <t>Kasım</t>
  </si>
  <si>
    <t>sCD</t>
  </si>
  <si>
    <t>Aralık</t>
  </si>
  <si>
    <t>sB</t>
  </si>
  <si>
    <t>TPLM</t>
  </si>
  <si>
    <t>ocak-haziran maaş toplamı</t>
  </si>
  <si>
    <t>AYLK</t>
  </si>
  <si>
    <t>temmuz-aralık maaş toplamı</t>
  </si>
  <si>
    <t>Toplam ;Emekli maaşı</t>
  </si>
  <si>
    <t>ocak artış %</t>
  </si>
  <si>
    <t>ocak 23 maaş</t>
  </si>
  <si>
    <t>temmuz artış</t>
  </si>
  <si>
    <t>temmuz 23  maaş</t>
  </si>
  <si>
    <t xml:space="preserve"> - EKİM 2025</t>
  </si>
  <si>
    <t>TOPLAM</t>
  </si>
  <si>
    <t>KK 4876 İşbank</t>
  </si>
  <si>
    <t>KK 5165 Denizbank</t>
  </si>
  <si>
    <t>Aidat Marmara Royal Site 9/12</t>
  </si>
  <si>
    <t xml:space="preserve">Kira Adem Özen 7/12 Mrmr Ryl A Blok 82  </t>
  </si>
  <si>
    <t>Elektrik 9522138254 Sanayi</t>
  </si>
  <si>
    <t>Doğalgaz 800004222954 Kümbet D10</t>
  </si>
  <si>
    <t>Doğalgaz 800004222959 Kümbet D09</t>
  </si>
  <si>
    <t>Doğalgaz Marmara Royal Ablok D:82</t>
  </si>
  <si>
    <t>maaş</t>
  </si>
  <si>
    <t>yasemin</t>
  </si>
  <si>
    <t>umut</t>
  </si>
  <si>
    <t>Genel Masraf</t>
  </si>
  <si>
    <t>Elektrik 5847500300 Kümbet D09</t>
  </si>
  <si>
    <t>Elektrik 8222520300 Kümbet D10</t>
  </si>
  <si>
    <t>TUSDATA 2025    30/30        8845  -  8845 = 0</t>
  </si>
  <si>
    <t xml:space="preserve">İşbank 4876 KK                       </t>
  </si>
  <si>
    <t>HESAP KESİM</t>
  </si>
  <si>
    <t>Denizbank 5165 kk</t>
  </si>
  <si>
    <t>işkembe</t>
  </si>
  <si>
    <t xml:space="preserve"> - EYLÜL 2025</t>
  </si>
  <si>
    <t>TUSDATA 2025    29/30          17690    -  8845 = 8845</t>
  </si>
  <si>
    <t xml:space="preserve"> - AĞUSTOS 2025</t>
  </si>
  <si>
    <t>TUSDATA 2025    28/30         26535    -  8845 = 17690</t>
  </si>
  <si>
    <t xml:space="preserve"> - TEMMUZ 2025</t>
  </si>
  <si>
    <t>TUSDATA 2025    27/30        35380    -  8845 = 26535</t>
  </si>
  <si>
    <t xml:space="preserve"> - HAZİRAN 2025</t>
  </si>
  <si>
    <t>TUSDATA 2025    26/30        44225   -  8845 = 35380</t>
  </si>
  <si>
    <t xml:space="preserve"> - MAYIS 2025</t>
  </si>
  <si>
    <t>TUSDATA 2025    25/30      53070   -  8845 = 44225</t>
  </si>
  <si>
    <t xml:space="preserve"> - NİSAN 2025</t>
  </si>
  <si>
    <t>SANAYI BELEDIYE SAYC UCRETI</t>
  </si>
  <si>
    <t xml:space="preserve"> 2024 / 9 son</t>
  </si>
  <si>
    <t>TUSDATA 2025    24/30     61915  -  8845 = 53070</t>
  </si>
  <si>
    <t xml:space="preserve"> - MART 2025</t>
  </si>
  <si>
    <t xml:space="preserve"> 2024 / 8</t>
  </si>
  <si>
    <t>TUSDATA 2025    23/30    70760 -  8845 = 61915</t>
  </si>
  <si>
    <t xml:space="preserve"> - ŞUBAT 2025</t>
  </si>
  <si>
    <t>SnyB salih ant  16 asgari ücret * 22104 = 353664</t>
  </si>
  <si>
    <t xml:space="preserve"> 2024 / 7</t>
  </si>
  <si>
    <t>Doğuş Kira 7/12-2025-26</t>
  </si>
  <si>
    <t xml:space="preserve"> - OCAK 2025</t>
  </si>
  <si>
    <t xml:space="preserve">SnyB salih ant bankadan   </t>
  </si>
  <si>
    <t>umut banka hesabı – hmb hesaba havale – 801 – 209 nazan</t>
  </si>
  <si>
    <t xml:space="preserve"> 2024 / 5</t>
  </si>
  <si>
    <t xml:space="preserve"> 2024 / 6</t>
  </si>
  <si>
    <t>Doğuş Kira 5/12-2025-26</t>
  </si>
  <si>
    <t>Doğuş Kira 6/12-2025-26</t>
  </si>
  <si>
    <t>TUSDATA 2023    8/30   8*250 = 2000                    ÖDENDİ</t>
  </si>
  <si>
    <t>TUSDATA 2024    9/30 – 20/30   12*250 = 3000     ÖDENDİ + 250 TL fazla ödeme yapıldı</t>
  </si>
  <si>
    <t>TUSDATA 2025    21/30   1*8595 = 8595</t>
  </si>
  <si>
    <t>TUSDATA 2025    22/30-30/30   9*8845 = 79605</t>
  </si>
  <si>
    <t>TUSDATA  TOPLAM                         93450</t>
  </si>
  <si>
    <t>TUSDATA 2023 aylık ödendi</t>
  </si>
  <si>
    <t>ÖDENDİ</t>
  </si>
  <si>
    <t>TUSDATA 2024 aylık ödendi</t>
  </si>
  <si>
    <t>TUSDATA 2024 Toplu ödendi</t>
  </si>
  <si>
    <t>TUSDATA 2025</t>
  </si>
  <si>
    <t>ÖDENECEK</t>
  </si>
  <si>
    <t>BORÇ YOK</t>
  </si>
  <si>
    <t>belediye</t>
  </si>
  <si>
    <t>mrkt</t>
  </si>
  <si>
    <t>toyota gaz</t>
  </si>
  <si>
    <t>ödeme</t>
  </si>
  <si>
    <t>audi kışlık dğşm</t>
  </si>
  <si>
    <t>döner vedat</t>
  </si>
  <si>
    <t>audi benzin</t>
  </si>
  <si>
    <t>pervin ankara-tokat</t>
  </si>
  <si>
    <t>pide</t>
  </si>
  <si>
    <t>ŞUBAT 2025 e</t>
  </si>
  <si>
    <t>Devir</t>
  </si>
  <si>
    <t>alış Tutar</t>
  </si>
  <si>
    <t>pervin 329500-35800</t>
  </si>
  <si>
    <t>İş 1626748</t>
  </si>
  <si>
    <t>denizbank</t>
  </si>
  <si>
    <t>İş ytrm 1626748 801</t>
  </si>
  <si>
    <t>iş ytrm ALTIN.S1</t>
  </si>
  <si>
    <t>iş ytrm 382789 TTE</t>
  </si>
  <si>
    <t xml:space="preserve">iş ytrm 382789 RGYAS </t>
  </si>
  <si>
    <t>iş ytrm 382789 KOTON</t>
  </si>
  <si>
    <t>iş ytrm 382789 LILAK</t>
  </si>
  <si>
    <t xml:space="preserve">gau iş alış                         </t>
  </si>
  <si>
    <t>xau çeyrek</t>
  </si>
  <si>
    <t>xau tam</t>
  </si>
  <si>
    <t>USD iş alış                           35,4713</t>
  </si>
  <si>
    <t>eur iş alış                           39,3164</t>
  </si>
  <si>
    <t>kasa nakit</t>
  </si>
  <si>
    <t>nakit</t>
  </si>
  <si>
    <t>TOPLAM YATIRIM SONUCU</t>
  </si>
  <si>
    <t>Ay sonu BAKİYE</t>
  </si>
  <si>
    <t xml:space="preserve"> Bakiye</t>
  </si>
  <si>
    <t>emekli maaş aralık</t>
  </si>
  <si>
    <t>6 aylık enflasyon</t>
  </si>
  <si>
    <t>emekli maaş ocak</t>
  </si>
  <si>
    <t xml:space="preserve">aliden kredi için alınan 15/01/2024 taksidi </t>
  </si>
  <si>
    <t>audi mtv 2024-1</t>
  </si>
  <si>
    <t>trafik cezası maliyeden</t>
  </si>
  <si>
    <t>ankaraya giderken nakit (umut)</t>
  </si>
  <si>
    <t>trafik cezası muhtardan</t>
  </si>
  <si>
    <t xml:space="preserve">kayseri otobüs bileti </t>
  </si>
  <si>
    <t>1 adet çeyrek</t>
  </si>
  <si>
    <t>işbanktan hacıya havale</t>
  </si>
  <si>
    <t>işbanktan periye havale kred iiçin</t>
  </si>
  <si>
    <t>ziraat kredi ödemesi</t>
  </si>
  <si>
    <t>audi teker porya-yazlık lastik değişimi</t>
  </si>
  <si>
    <t>panter testere 1/9</t>
  </si>
  <si>
    <t>azaerbaycan otel için 240 usd *32</t>
  </si>
  <si>
    <t>ali kredi için -ali bankaya yatırmış</t>
  </si>
  <si>
    <t>panter testere 2/9</t>
  </si>
  <si>
    <t>audi kaza için alınan</t>
  </si>
  <si>
    <t>audi kaza için harcanan</t>
  </si>
  <si>
    <t xml:space="preserve">aliden kredi için alınan 15/06/2024 taksidi </t>
  </si>
  <si>
    <t>ziraate havale kredi için bayram öncesi</t>
  </si>
  <si>
    <t>benzin</t>
  </si>
  <si>
    <t>trafik cezaı yıldızeli</t>
  </si>
  <si>
    <t>çeyrek 5 ad. 4030 * 5</t>
  </si>
  <si>
    <t>panter testere 3/9</t>
  </si>
  <si>
    <t>elden nakit aliden alınan kredi için</t>
  </si>
  <si>
    <t>peri ziraat kredi ödemesi taksit 76</t>
  </si>
  <si>
    <t>panter testere 4/9 -9/9 6 taksit</t>
  </si>
  <si>
    <t xml:space="preserve">ARACI ALMADAN ÖNCE HACI BORÇ TOPLAMI </t>
  </si>
  <si>
    <t>tcross 12-8-2024</t>
  </si>
  <si>
    <t>sigorta</t>
  </si>
  <si>
    <t>kasko</t>
  </si>
  <si>
    <t>ARAÇ TOPLAM MALİYET</t>
  </si>
  <si>
    <t>ARAÇ ÖNCESİ HESAP</t>
  </si>
  <si>
    <t>TRAFİK SİGORTASI</t>
  </si>
  <si>
    <t>KASKO 9 taksitte ödenecek peri kk</t>
  </si>
  <si>
    <t>atiladan yasemine araba için</t>
  </si>
  <si>
    <t>Yasemin + dersanedwn</t>
  </si>
  <si>
    <t>Yasemin maaştan ödeyecek</t>
  </si>
  <si>
    <t>ATİLADAN geri alınan EMANET ALTIN</t>
  </si>
  <si>
    <t>pervin   6 ad çeyrek *4100</t>
  </si>
  <si>
    <t>pervin   1 ad tam *16200</t>
  </si>
  <si>
    <t xml:space="preserve">pervin   1 ad gram *2500 </t>
  </si>
  <si>
    <t>pervin   10 ad çeyrek *4100</t>
  </si>
  <si>
    <t>ziraat kredi 68000 TL aliden nakit alındı ziraate 22 taksitte ödenecek</t>
  </si>
  <si>
    <t>PERVİNDEN HAVALE taksit 1/12</t>
  </si>
  <si>
    <t>havale</t>
  </si>
  <si>
    <t>istanbul tokat topçam bilet</t>
  </si>
  <si>
    <t>Taksit 1/12 kalan</t>
  </si>
  <si>
    <t>Taksit 2/12 30000</t>
  </si>
  <si>
    <t>Taksit 2/12 6000</t>
  </si>
  <si>
    <t>500 noksan ÖDENDİ</t>
  </si>
  <si>
    <t>Taksit 3/12  30000</t>
  </si>
  <si>
    <t>Taksit 3/12   6000</t>
  </si>
  <si>
    <t>Taksit 4/12 36,500</t>
  </si>
  <si>
    <t>700 noksan ÖDENDİ</t>
  </si>
  <si>
    <t>ankara-tokat bilet</t>
  </si>
  <si>
    <t>Taksit 5/12 36,500</t>
  </si>
  <si>
    <t>1500 fazla</t>
  </si>
  <si>
    <t>TCROSS</t>
  </si>
  <si>
    <t>KASKO SİGORTASI</t>
  </si>
  <si>
    <t>T-CROSS TOPLAM MALİYET</t>
  </si>
  <si>
    <t>ÖDEMELER</t>
  </si>
  <si>
    <t>Ödeyen</t>
  </si>
  <si>
    <t>Miktar</t>
  </si>
  <si>
    <t>Bakiye</t>
  </si>
  <si>
    <t xml:space="preserve">Yasemin </t>
  </si>
  <si>
    <t>Yasemin</t>
  </si>
  <si>
    <t xml:space="preserve">ATİLA </t>
  </si>
  <si>
    <t>Atila</t>
  </si>
  <si>
    <t>hacı</t>
  </si>
  <si>
    <t>Yasemin Atila Hacı Toplam Ödeme</t>
  </si>
  <si>
    <t>PERVİN ALTIN</t>
  </si>
  <si>
    <t>Pervin</t>
  </si>
  <si>
    <t>ZİRAAT KREDİ</t>
  </si>
  <si>
    <t>AUDİ HESAPTAN</t>
  </si>
  <si>
    <t>ALTIN</t>
  </si>
  <si>
    <t>12*36500 taksit ödemesi</t>
  </si>
  <si>
    <t>Pervin Toplam Ödeme</t>
  </si>
  <si>
    <t>gr</t>
  </si>
  <si>
    <t>çeyrek</t>
  </si>
  <si>
    <t>s1</t>
  </si>
  <si>
    <t>iş 801</t>
  </si>
  <si>
    <t>adet</t>
  </si>
  <si>
    <t>fiyat</t>
  </si>
  <si>
    <t>tutar</t>
  </si>
  <si>
    <t>bakiye</t>
  </si>
  <si>
    <t>gelen</t>
  </si>
  <si>
    <t>94,25 gr bilezik * 2400 TL/gr (22 ayar)</t>
  </si>
  <si>
    <t>altın</t>
  </si>
  <si>
    <t>78 çeyrek * 4200</t>
  </si>
  <si>
    <t xml:space="preserve">iş 801 </t>
  </si>
  <si>
    <t>pervin</t>
  </si>
  <si>
    <t>pervin 13 ad çeyrek *4200 benim kasada</t>
  </si>
  <si>
    <t>pervin   6 ad çeyrek *4200 benim kasada</t>
  </si>
  <si>
    <t>pervin   1 ad tam *16200 benim kasada</t>
  </si>
  <si>
    <t>pervin   1 ad gram *2500 benim kasada</t>
  </si>
  <si>
    <t>pervin banka 10  kasada</t>
  </si>
  <si>
    <t>okul parasından gelecek (nakit)</t>
  </si>
  <si>
    <r>
      <rPr>
        <sz val="10"/>
        <color rgb="FF000000"/>
        <rFont val="Liberation Sans1"/>
        <charset val="162"/>
      </rPr>
      <t xml:space="preserve">gr altın 5 * 2500   </t>
    </r>
    <r>
      <rPr>
        <sz val="10"/>
        <color rgb="FFFF0000"/>
        <rFont val="Liberation Sans1"/>
        <charset val="162"/>
      </rPr>
      <t>OKUL PARASI KALSIN</t>
    </r>
  </si>
  <si>
    <t>gr altın 36 * 2500 (audi)</t>
  </si>
  <si>
    <t>BOZ</t>
  </si>
  <si>
    <t>gr altın 94 * 2520</t>
  </si>
  <si>
    <r>
      <rPr>
        <sz val="10"/>
        <color rgb="FF000000"/>
        <rFont val="Liberation Sans1"/>
        <charset val="162"/>
      </rPr>
      <t xml:space="preserve">dolsr 850 *32        </t>
    </r>
    <r>
      <rPr>
        <sz val="10"/>
        <color rgb="FFFF0000"/>
        <rFont val="Liberation Sans1"/>
        <charset val="162"/>
      </rPr>
      <t>OKUL PARASI KALSIN</t>
    </r>
  </si>
  <si>
    <t>s1                                  25,93*7500</t>
  </si>
  <si>
    <t>satıldı</t>
  </si>
  <si>
    <t>boz</t>
  </si>
  <si>
    <t>ytr 801</t>
  </si>
  <si>
    <t>ASIL HESAP</t>
  </si>
  <si>
    <t>ytr 808           722 adet deil TL imiş</t>
  </si>
  <si>
    <t>ytr 812</t>
  </si>
  <si>
    <t>KALSIN</t>
  </si>
  <si>
    <r>
      <rPr>
        <sz val="10"/>
        <color rgb="FF000000"/>
        <rFont val="Liberation Sans1"/>
        <charset val="162"/>
      </rPr>
      <t xml:space="preserve">gr               </t>
    </r>
    <r>
      <rPr>
        <sz val="10"/>
        <color rgb="FFFF0000"/>
        <rFont val="Liberation Sans1"/>
        <charset val="162"/>
      </rPr>
      <t>OKUL PARASI KALSIN</t>
    </r>
  </si>
  <si>
    <t>GELECEK</t>
  </si>
  <si>
    <t xml:space="preserve">Ali </t>
  </si>
  <si>
    <t>ÖDEME</t>
  </si>
  <si>
    <t>KALAN</t>
  </si>
  <si>
    <t>uyasemin iş 801</t>
  </si>
  <si>
    <t>umut okul parasından umut -&gt; peri &gt; yasemin havale edildi</t>
  </si>
  <si>
    <t>kaparo için doğuş otoya yaseminden havale</t>
  </si>
  <si>
    <t xml:space="preserve">yasemin 808 den gelen </t>
  </si>
  <si>
    <t>HESAPTA</t>
  </si>
  <si>
    <t>yasemin s1 den gelecek ÇARŞAMBA SATILDI</t>
  </si>
  <si>
    <t xml:space="preserve">hacı iş 801 </t>
  </si>
  <si>
    <t>fiziki</t>
  </si>
  <si>
    <t>s1 hacı</t>
  </si>
  <si>
    <t>atila</t>
  </si>
  <si>
    <t>ali</t>
  </si>
  <si>
    <t>PERŞEMBE</t>
  </si>
  <si>
    <t>yasemin s1 den gelecek</t>
  </si>
  <si>
    <t>s1 hacı   PERŞEMBE SATILDI</t>
  </si>
  <si>
    <t>MAHKEME</t>
  </si>
  <si>
    <t>DEMİREL ARABULUCULUK</t>
  </si>
  <si>
    <t>MERDAL TAKİP</t>
  </si>
  <si>
    <t>FATURA</t>
  </si>
  <si>
    <t>ELEKTRİK</t>
  </si>
  <si>
    <t>KREDİ</t>
  </si>
  <si>
    <t>TZG</t>
  </si>
  <si>
    <t>ÖLÇÜM</t>
  </si>
  <si>
    <t>SINIR TESPİTİ</t>
  </si>
  <si>
    <t>DUVAR VE KAPI YAPIMI</t>
  </si>
  <si>
    <t>ELEKTRİK-SU ABONE İŞLEMLERİ</t>
  </si>
  <si>
    <t>ELEKTRİK TESİSAT</t>
  </si>
  <si>
    <t>BAHÇE</t>
  </si>
  <si>
    <t>KERESTE</t>
  </si>
  <si>
    <t>ARALIK</t>
  </si>
  <si>
    <t>İş 789</t>
  </si>
  <si>
    <t>iş sny</t>
  </si>
  <si>
    <t>iş ytrm</t>
  </si>
  <si>
    <t>40 * 527,212240</t>
  </si>
  <si>
    <t>iş 808</t>
  </si>
  <si>
    <t>300 * 18,625761</t>
  </si>
  <si>
    <t>AVPGY</t>
  </si>
  <si>
    <t>MEGMT</t>
  </si>
  <si>
    <t>SURGY</t>
  </si>
  <si>
    <t>TABGD</t>
  </si>
  <si>
    <t>xau iş alış                                              1987</t>
  </si>
  <si>
    <t>usd iş satış-alış                 30,19258</t>
  </si>
  <si>
    <t>eur iş alış                           33,0124</t>
  </si>
  <si>
    <t xml:space="preserve"> - ARALIK 2024</t>
  </si>
  <si>
    <t xml:space="preserve"> 2024 / 3</t>
  </si>
  <si>
    <t>dnxkk</t>
  </si>
  <si>
    <t xml:space="preserve"> 2024 / 4</t>
  </si>
  <si>
    <t>BİNA VERGİSİ</t>
  </si>
  <si>
    <t>KÜLTÜR VERGİSİ</t>
  </si>
  <si>
    <t>Nazan Kira ödemesi 12+</t>
  </si>
  <si>
    <t>umut kiradan</t>
  </si>
  <si>
    <t>snyB Ali Demirel bankadan</t>
  </si>
  <si>
    <t>Doğuş Kira 4/12-2025-26</t>
  </si>
  <si>
    <t>devlet</t>
  </si>
  <si>
    <t xml:space="preserve"> 2024 / 9</t>
  </si>
  <si>
    <t>--------------------------------------------------------------------------------------------------------------------------------------------------</t>
  </si>
  <si>
    <t>KALAN BAKİYELER</t>
  </si>
  <si>
    <t>9522138254 Sanayi Elektrik</t>
  </si>
  <si>
    <t>Salih Ant Elektrik</t>
  </si>
  <si>
    <t>Hurdacı Elektrik</t>
  </si>
  <si>
    <t>Cihan Elektrik</t>
  </si>
  <si>
    <t>Merdal</t>
  </si>
  <si>
    <t>Metin</t>
  </si>
  <si>
    <t>Hacı Elektrik</t>
  </si>
  <si>
    <t>pazarama 64gb ram umut</t>
  </si>
  <si>
    <t xml:space="preserve">  9– 9</t>
  </si>
  <si>
    <t>amazon kc200 2tb nvme umut</t>
  </si>
  <si>
    <t>koctas</t>
  </si>
  <si>
    <t>koton</t>
  </si>
  <si>
    <t>tcross benzn</t>
  </si>
  <si>
    <t>dürümle</t>
  </si>
  <si>
    <t>mrkt erenler</t>
  </si>
  <si>
    <t>gaz</t>
  </si>
  <si>
    <t>tcdd tkt-ist-tkt bsnss</t>
  </si>
  <si>
    <t>ARALIKa</t>
  </si>
  <si>
    <t>xau iş alış                           2867,2</t>
  </si>
  <si>
    <t>pervinden   16 ad çeyrek *4100</t>
  </si>
  <si>
    <t>pervinden   1 ad tam *16200</t>
  </si>
  <si>
    <t xml:space="preserve">pervinden   1 ad gram *2500 </t>
  </si>
  <si>
    <t>OCAK 2025 e</t>
  </si>
  <si>
    <t xml:space="preserve"> - KASIM 2024</t>
  </si>
  <si>
    <t>TUSDATA 19/30</t>
  </si>
  <si>
    <t>17-2-24 de toplu ödendi</t>
  </si>
  <si>
    <t xml:space="preserve">Kira Adem Özen 6/12 Mrmr Ryl A Blok 82  </t>
  </si>
  <si>
    <t>Doğuş Kira 3/12-2025-26</t>
  </si>
  <si>
    <t>2240 VODAFONE fatura</t>
  </si>
  <si>
    <t>snyF merdal kipel icra yoluyla avukattan</t>
  </si>
  <si>
    <t>tcross pervinden 7</t>
  </si>
  <si>
    <t>Nazan Kira ödemesi 11 + 8 + 9+ 10</t>
  </si>
  <si>
    <t>yasemin winter</t>
  </si>
  <si>
    <t>umut winter</t>
  </si>
  <si>
    <t>snyCD</t>
  </si>
  <si>
    <t xml:space="preserve">  8– 9</t>
  </si>
  <si>
    <t xml:space="preserve"> 8 – 9</t>
  </si>
  <si>
    <t>yasemin okul</t>
  </si>
  <si>
    <t>BELEDİYE SU ABONESİ</t>
  </si>
  <si>
    <t>AÖF</t>
  </si>
  <si>
    <t>DÖNER TZG</t>
  </si>
  <si>
    <t>MRKT</t>
  </si>
  <si>
    <t>PİDE ET</t>
  </si>
  <si>
    <t>FIRIN PİDE</t>
  </si>
  <si>
    <t>tvk</t>
  </si>
  <si>
    <t>balık</t>
  </si>
  <si>
    <t>lknt tzg</t>
  </si>
  <si>
    <t>gaz sivas</t>
  </si>
  <si>
    <t>su</t>
  </si>
  <si>
    <t>aksoy 4 ad mil menteşe tzg</t>
  </si>
  <si>
    <t>KASIMa</t>
  </si>
  <si>
    <t xml:space="preserve">umut   </t>
  </si>
  <si>
    <t>pervin 365500-36000</t>
  </si>
  <si>
    <t>iş ALTIN.S1</t>
  </si>
  <si>
    <t xml:space="preserve"> - EKİM 2024</t>
  </si>
  <si>
    <t>TUSDATA 18/30</t>
  </si>
  <si>
    <t xml:space="preserve">Kira Adem Özen 5/12 Mrmr Ryl A Blok 82  </t>
  </si>
  <si>
    <t>ali demirel keşif için avukata denizbank havale</t>
  </si>
  <si>
    <t>Doğuş Kira 2/12-2025-26</t>
  </si>
  <si>
    <t>bankadan</t>
  </si>
  <si>
    <t>tcross pervinden 5</t>
  </si>
  <si>
    <t>Elektrik 8758480300 BAHÇE</t>
  </si>
  <si>
    <t>yasemin okul kk denizbnk -120000</t>
  </si>
  <si>
    <t>kk</t>
  </si>
  <si>
    <t>2240 vodafon</t>
  </si>
  <si>
    <t>tcross pervinden 6</t>
  </si>
  <si>
    <t>snyA 120000</t>
  </si>
  <si>
    <t>Nazan Kira ödemesi</t>
  </si>
  <si>
    <t xml:space="preserve"> 7 – 9</t>
  </si>
  <si>
    <t>pazarama umut cam teli</t>
  </si>
  <si>
    <t>mtv yb 1397</t>
  </si>
  <si>
    <t>shell tcross</t>
  </si>
  <si>
    <t>kanlıca yğrt</t>
  </si>
  <si>
    <t>fucicort</t>
  </si>
  <si>
    <t>şile yemek</t>
  </si>
  <si>
    <t>park</t>
  </si>
  <si>
    <t>şok</t>
  </si>
  <si>
    <t>migros farilya</t>
  </si>
  <si>
    <t>lc</t>
  </si>
  <si>
    <t>opet tcross</t>
  </si>
  <si>
    <t>migros emaar</t>
  </si>
  <si>
    <t>yedigöller</t>
  </si>
  <si>
    <t>erenler</t>
  </si>
  <si>
    <t>kasap</t>
  </si>
  <si>
    <t>tat pide</t>
  </si>
  <si>
    <t>vedat</t>
  </si>
  <si>
    <t>Pazar döner</t>
  </si>
  <si>
    <t>a101</t>
  </si>
  <si>
    <t>2 ad metal kesme</t>
  </si>
  <si>
    <t>2 tr çimento tzg</t>
  </si>
  <si>
    <t>adıgüzeller</t>
  </si>
  <si>
    <t>selanik pide</t>
  </si>
  <si>
    <t>EKİMe</t>
  </si>
  <si>
    <t>pervin 401500-36000</t>
  </si>
  <si>
    <t>kasa xau iş alış                           2867,2</t>
  </si>
  <si>
    <t>kasa xau çeyrek</t>
  </si>
  <si>
    <t>kasa xau tam</t>
  </si>
  <si>
    <t xml:space="preserve"> - EYLÜL 2024</t>
  </si>
  <si>
    <t>2240 Turkcell fatura</t>
  </si>
  <si>
    <t>TUSDATA 17/30</t>
  </si>
  <si>
    <t xml:space="preserve">Kira Adem Özen 4/12 Mrmr Ryl A Blok 82  </t>
  </si>
  <si>
    <t>Doğuş Kira 1/12-2025-26</t>
  </si>
  <si>
    <t>BANKADAN</t>
  </si>
  <si>
    <t>yasemin 2 maaş 17000*2</t>
  </si>
  <si>
    <t>tcross pervinden 3</t>
  </si>
  <si>
    <t xml:space="preserve"> 2024 / 2</t>
  </si>
  <si>
    <t>deniz kk</t>
  </si>
  <si>
    <t>tcross pervinden 4</t>
  </si>
  <si>
    <t>2240 vodafone</t>
  </si>
  <si>
    <t>Doğuş Kira 7/12-2024-25 15000 - 6500 (07/03) 29-Şubattan</t>
  </si>
  <si>
    <t>t-cross kurban sinana</t>
  </si>
  <si>
    <t>snyG</t>
  </si>
  <si>
    <t>Atasun Gözlük</t>
  </si>
  <si>
    <t xml:space="preserve"> 6 – 6</t>
  </si>
  <si>
    <t xml:space="preserve">  6– 9</t>
  </si>
  <si>
    <t>THY ist uçak bileti</t>
  </si>
  <si>
    <t>THY ist uçak bileti iptal vergi iade</t>
  </si>
  <si>
    <t>kurban kızılay</t>
  </si>
  <si>
    <t xml:space="preserve"> 3 / 3</t>
  </si>
  <si>
    <t>gib</t>
  </si>
  <si>
    <t>EYLÜLe</t>
  </si>
  <si>
    <t>pervin 438-35600</t>
  </si>
  <si>
    <t xml:space="preserve"> - AĞUSTOS 2024</t>
  </si>
  <si>
    <t>iş</t>
  </si>
  <si>
    <t>TUSDATA 16/30</t>
  </si>
  <si>
    <t>umut s24</t>
  </si>
  <si>
    <t>Doğuş Kira 12/12- Mart 2024- Mart 25 Ödenmiş oldu</t>
  </si>
  <si>
    <t xml:space="preserve">Kira Adem Özen 3/12 Mrmr Ryl A Blok 82  </t>
  </si>
  <si>
    <t>tcross pervinden 1 - 30000</t>
  </si>
  <si>
    <t>Elektrik 8758480300 Bahçe</t>
  </si>
  <si>
    <t>3074 usulsuzluk 2024071001FCp0000016</t>
  </si>
  <si>
    <t>ali balcı</t>
  </si>
  <si>
    <t>3074 usulsuzluk 2024071001FCp0000017</t>
  </si>
  <si>
    <t>3074 usulsuzluk 2024071001FCp0000018</t>
  </si>
  <si>
    <t>3074 usulsuzluk 2024071001FCp0000019</t>
  </si>
  <si>
    <t>3074 usulsuzluk 2024071001FCp0000020</t>
  </si>
  <si>
    <t>3074 usulsuzluk 2024071001FCp0000021</t>
  </si>
  <si>
    <t>3074 DV 2024071001FCp0000022</t>
  </si>
  <si>
    <t>19-09 ödeme</t>
  </si>
  <si>
    <t>3074 DV 2024071001FCp0000023</t>
  </si>
  <si>
    <t>3074 DV 2024071001FCp0000024</t>
  </si>
  <si>
    <t>3074 DV 2024071901FCp0000005</t>
  </si>
  <si>
    <t>tcross pervinden 2 -5600</t>
  </si>
  <si>
    <t>snyE süleymana 22-04-2024 de verildi</t>
  </si>
  <si>
    <t xml:space="preserve"> 5 – 6</t>
  </si>
  <si>
    <t xml:space="preserve">  5– 9</t>
  </si>
  <si>
    <t>bosch matkap 500maxipuan</t>
  </si>
  <si>
    <t xml:space="preserve"> 2 / 2</t>
  </si>
  <si>
    <t xml:space="preserve"> 2 / 3</t>
  </si>
  <si>
    <t>vergi dairesi</t>
  </si>
  <si>
    <r>
      <rPr>
        <b/>
        <sz val="10"/>
        <color rgb="FF000000"/>
        <rFont val="Liberation Sans1"/>
        <charset val="162"/>
      </rPr>
      <t xml:space="preserve">turknet 12ay 17-02-24 * 17-02-25 </t>
    </r>
    <r>
      <rPr>
        <b/>
        <sz val="8"/>
        <color rgb="FF000000"/>
        <rFont val="Liberation Sans1"/>
        <charset val="162"/>
      </rPr>
      <t>399,99 *12 + 299,99</t>
    </r>
  </si>
  <si>
    <t xml:space="preserve"> 6 - 6</t>
  </si>
  <si>
    <t>turknet 1. ay karttan iade</t>
  </si>
  <si>
    <t>Kızılay kurban 11750/2</t>
  </si>
  <si>
    <t>Kızılay kurban 4300*2 = 8600/2</t>
  </si>
  <si>
    <t>vergi ankara</t>
  </si>
  <si>
    <t>yaz okulu</t>
  </si>
  <si>
    <t>pide et</t>
  </si>
  <si>
    <t>tavk dnr</t>
  </si>
  <si>
    <t>motor yağı</t>
  </si>
  <si>
    <t>tat dnr</t>
  </si>
  <si>
    <t>ozcan iskndr</t>
  </si>
  <si>
    <t>petrol</t>
  </si>
  <si>
    <t>mercmk</t>
  </si>
  <si>
    <t>noter suleyman akan</t>
  </si>
  <si>
    <t>oödeme otomtk</t>
  </si>
  <si>
    <t>sofra bezi</t>
  </si>
  <si>
    <t>bim yağ</t>
  </si>
  <si>
    <t>ceviz</t>
  </si>
  <si>
    <t>cevizli yapım</t>
  </si>
  <si>
    <t>AĞUSTOSa</t>
  </si>
  <si>
    <t>iş sny umut-ortak 156</t>
  </si>
  <si>
    <t>iş TTE</t>
  </si>
  <si>
    <t xml:space="preserve">iş RNSGY </t>
  </si>
  <si>
    <t>iş KOTON</t>
  </si>
  <si>
    <t>iş LILAK</t>
  </si>
  <si>
    <t>xau iş alış                           2461,08</t>
  </si>
  <si>
    <t>usd iş satış-alış                 32,9542</t>
  </si>
  <si>
    <t>usd nakit</t>
  </si>
  <si>
    <t>eur iş alış                           35,47,85</t>
  </si>
  <si>
    <t xml:space="preserve"> - TEMMUZ 2024</t>
  </si>
  <si>
    <t>TUSDATA 15/30</t>
  </si>
  <si>
    <t>Doğuş Kira 11/12-2024-25</t>
  </si>
  <si>
    <t xml:space="preserve">Kira Adem Özen 2/12 Mrmr Ryl A Blok 82  </t>
  </si>
  <si>
    <t>AUB YGV 2.taksit</t>
  </si>
  <si>
    <t>hepsi</t>
  </si>
  <si>
    <t>ödendi</t>
  </si>
  <si>
    <t xml:space="preserve"> 4 – 6</t>
  </si>
  <si>
    <t xml:space="preserve">  4– 9</t>
  </si>
  <si>
    <t xml:space="preserve">  4 – 6</t>
  </si>
  <si>
    <t xml:space="preserve"> 1 / 2</t>
  </si>
  <si>
    <t xml:space="preserve"> 1 / 3</t>
  </si>
  <si>
    <t>vergi</t>
  </si>
  <si>
    <t>avans maximil</t>
  </si>
  <si>
    <t>hepsiburada  yasemin laptop - 21,309,98</t>
  </si>
  <si>
    <t xml:space="preserve">        6 – 6</t>
  </si>
  <si>
    <t xml:space="preserve">       5 - 6</t>
  </si>
  <si>
    <t xml:space="preserve"> 5 - 6</t>
  </si>
  <si>
    <t>yemek</t>
  </si>
  <si>
    <t>ulusu mak eksoz için</t>
  </si>
  <si>
    <t>tavukçu</t>
  </si>
  <si>
    <t>sivas döner</t>
  </si>
  <si>
    <t>sivas market</t>
  </si>
  <si>
    <t>tat lok</t>
  </si>
  <si>
    <t>inş</t>
  </si>
  <si>
    <t>çorba</t>
  </si>
  <si>
    <t>çalışkan fide</t>
  </si>
  <si>
    <t>bonus</t>
  </si>
  <si>
    <t>örükçüoğlu toyota kapak contası</t>
  </si>
  <si>
    <t>yağlı kamil</t>
  </si>
  <si>
    <t>kebap-kamil</t>
  </si>
  <si>
    <t>çörek-kamil</t>
  </si>
  <si>
    <t>çorba-kamil</t>
  </si>
  <si>
    <t>yıllık ücret</t>
  </si>
  <si>
    <t>sivas yemek</t>
  </si>
  <si>
    <t>adıgüzel market</t>
  </si>
  <si>
    <t>kkdf</t>
  </si>
  <si>
    <t>gecikme faizi bsmv</t>
  </si>
  <si>
    <t>faiz</t>
  </si>
  <si>
    <t>,</t>
  </si>
  <si>
    <t>TEMMUZa</t>
  </si>
  <si>
    <t xml:space="preserve"> - HAZİRAN 2024</t>
  </si>
  <si>
    <t>TUSDATA 14/30</t>
  </si>
  <si>
    <t>KK 5165 Denizbank artı hesaptan</t>
  </si>
  <si>
    <t>KK 5165 Denizbank nakit ödeme</t>
  </si>
  <si>
    <t>KK 4876 İşbank EUR BAKU     35,5039</t>
  </si>
  <si>
    <t>KK 4876 İşbank EUR BAKU</t>
  </si>
  <si>
    <t>Aidat Marmara Royal Site 1/12</t>
  </si>
  <si>
    <t xml:space="preserve">Kira Adem Özen 1/12 Mrmr Ryl A Blok 82 </t>
  </si>
  <si>
    <t>Kira Adem Özen 1/12 Mrmr Ryl A Blok 82</t>
  </si>
  <si>
    <t>iphone 7+ ferro 3600 mA batarya</t>
  </si>
  <si>
    <t>maaş kurban ikramiyesi</t>
  </si>
  <si>
    <t>Süleyman Elektrik</t>
  </si>
  <si>
    <t>egea</t>
  </si>
  <si>
    <t>Pazarama –</t>
  </si>
  <si>
    <t xml:space="preserve">  9 – 9</t>
  </si>
  <si>
    <t xml:space="preserve">  3 – 6</t>
  </si>
  <si>
    <t xml:space="preserve">  3 – 9</t>
  </si>
  <si>
    <t>marmara royal market</t>
  </si>
  <si>
    <t>pizza locale ist</t>
  </si>
  <si>
    <t xml:space="preserve">        5 – 6</t>
  </si>
  <si>
    <t xml:space="preserve"> 4 - 6</t>
  </si>
  <si>
    <t>ajet</t>
  </si>
  <si>
    <t>akgünler</t>
  </si>
  <si>
    <t>pegasus kıbrıs umut askerlik</t>
  </si>
  <si>
    <t>akgünler iade</t>
  </si>
  <si>
    <t>topcam</t>
  </si>
  <si>
    <t>incipark</t>
  </si>
  <si>
    <t>talbay gıda</t>
  </si>
  <si>
    <t>et pide</t>
  </si>
  <si>
    <t>x</t>
  </si>
  <si>
    <t>noter merdal kipel ihtar</t>
  </si>
  <si>
    <t>belbim metro 3 lü biniş</t>
  </si>
  <si>
    <t>havaist saw-ist</t>
  </si>
  <si>
    <t>havaist yurt dışı çıkış harcı bakü</t>
  </si>
  <si>
    <t>paşa mercimek</t>
  </si>
  <si>
    <t>kayseri</t>
  </si>
  <si>
    <t>misli puan yükleme</t>
  </si>
  <si>
    <t>ykm pegasus kıbrıs</t>
  </si>
  <si>
    <t xml:space="preserve">ykm  </t>
  </si>
  <si>
    <t>kayseri otobüs</t>
  </si>
  <si>
    <t>iskender</t>
  </si>
  <si>
    <t>benzin mağusa</t>
  </si>
  <si>
    <t>önder mağusa</t>
  </si>
  <si>
    <t>ali yakar mağusa</t>
  </si>
  <si>
    <t>ekor</t>
  </si>
  <si>
    <t>kayseri-tokat</t>
  </si>
  <si>
    <t>aşçıbaşı sivas peri ankara</t>
  </si>
  <si>
    <t>HAZİRANa</t>
  </si>
  <si>
    <t>usd iş satış-alış                 33,5088</t>
  </si>
  <si>
    <t>eur iş alış                           35,1526</t>
  </si>
  <si>
    <t xml:space="preserve"> - MAYIS 2024</t>
  </si>
  <si>
    <t>TUSDATA 13/30</t>
  </si>
  <si>
    <t>işbank</t>
  </si>
  <si>
    <t>AUB usulsüzlük cezası Ali Demirel Damga vergisi için</t>
  </si>
  <si>
    <t>2-4 te ödendi</t>
  </si>
  <si>
    <t>Aidat Marmara Royal Site 12/12</t>
  </si>
  <si>
    <t>Kira Adem Özen 12/12 Mrmr Ryl A Blok 82</t>
  </si>
  <si>
    <t>Doğuş Kira 10/12-2024-25</t>
  </si>
  <si>
    <t xml:space="preserve"> 2 – 6</t>
  </si>
  <si>
    <t xml:space="preserve">  2– 9</t>
  </si>
  <si>
    <t xml:space="preserve"> 2 – 9</t>
  </si>
  <si>
    <t xml:space="preserve">  2 – 6</t>
  </si>
  <si>
    <t>pazarama bosch gsb 12v30 2295,18 - 740 maxipuan</t>
  </si>
  <si>
    <t xml:space="preserve">  1 – 9</t>
  </si>
  <si>
    <t>market</t>
  </si>
  <si>
    <t>gib vergi</t>
  </si>
  <si>
    <t>kafe356</t>
  </si>
  <si>
    <t xml:space="preserve">        4 – 6</t>
  </si>
  <si>
    <t xml:space="preserve"> 3 - 6</t>
  </si>
  <si>
    <t>et bahçe</t>
  </si>
  <si>
    <t>gaz kamil</t>
  </si>
  <si>
    <t>audi lastik değşm</t>
  </si>
  <si>
    <t>ajet tjk-saw azerbaycan</t>
  </si>
  <si>
    <t>azarbeijan airlines ist-baku-ist</t>
  </si>
  <si>
    <t>selanik yemek</t>
  </si>
  <si>
    <t>MAYISa</t>
  </si>
  <si>
    <t xml:space="preserve"> - NİSAN 2024</t>
  </si>
  <si>
    <t xml:space="preserve">TUSDATA 12/30 </t>
  </si>
  <si>
    <t>dnz kk</t>
  </si>
  <si>
    <t>Aidat Marmara Royal Site 11/12</t>
  </si>
  <si>
    <t>Ablama bayram öncesi (iş 5gr)</t>
  </si>
  <si>
    <t>AUB YGV 1.taksit</t>
  </si>
  <si>
    <t>2-5 vadeli idi</t>
  </si>
  <si>
    <t>Doğuş Kira 8/12-2024-25     30 Marttan</t>
  </si>
  <si>
    <t>SGK bayramlık</t>
  </si>
  <si>
    <t>Kira Adem Özen 11/12 Mrmr Ryl A Blok 82</t>
  </si>
  <si>
    <t xml:space="preserve">snyF Merdal Kipel bankadan ödeme </t>
  </si>
  <si>
    <t>Devlet 142,24</t>
  </si>
  <si>
    <t>lihkab ücreti - tuzgümrüğü ölçüm</t>
  </si>
  <si>
    <t>snyE Kira Bedeli Süleyman Akan</t>
  </si>
  <si>
    <t>işbank umut ortak hesabe KİRA BEDELİ</t>
  </si>
  <si>
    <t>snyE Kira Bedeli İADE Cihan ÇAM</t>
  </si>
  <si>
    <t>Yasemin + bayram</t>
  </si>
  <si>
    <t>Umut + bayram</t>
  </si>
  <si>
    <t>Doğuş Kira 9/12-2024-25</t>
  </si>
  <si>
    <t>snyE senet  5/5   7000 ödenmedi kiracı değişti</t>
  </si>
  <si>
    <t>umuta havale</t>
  </si>
  <si>
    <t xml:space="preserve"> 1 – 6</t>
  </si>
  <si>
    <t xml:space="preserve">  1 – 6</t>
  </si>
  <si>
    <t xml:space="preserve">  1– 9</t>
  </si>
  <si>
    <t>kofteci</t>
  </si>
  <si>
    <t>atasun yakın gözlük sigorta</t>
  </si>
  <si>
    <t>peri bilet kayseri</t>
  </si>
  <si>
    <t>benzin çapa</t>
  </si>
  <si>
    <t>et</t>
  </si>
  <si>
    <t>led-fiş aksoy</t>
  </si>
  <si>
    <t>kk ücret</t>
  </si>
  <si>
    <t>pazarama online indirim</t>
  </si>
  <si>
    <t>amazon coreliquid 240r 3201TL-Arctic Fan 399TL</t>
  </si>
  <si>
    <t xml:space="preserve">         6 – 6</t>
  </si>
  <si>
    <t xml:space="preserve">        3 – 6</t>
  </si>
  <si>
    <r>
      <rPr>
        <b/>
        <sz val="10"/>
        <color rgb="FF000000"/>
        <rFont val="Liberation Sans1"/>
        <charset val="162"/>
      </rPr>
      <t>turknet 12ay 17-02-24 * 17-02-25 2</t>
    </r>
    <r>
      <rPr>
        <b/>
        <sz val="8"/>
        <color rgb="FF000000"/>
        <rFont val="Liberation Sans1"/>
        <charset val="162"/>
      </rPr>
      <t>99,99 *12 + 299,99</t>
    </r>
  </si>
  <si>
    <t xml:space="preserve"> 2 - 6</t>
  </si>
  <si>
    <t>örükçüoğlu audi porya</t>
  </si>
  <si>
    <t>NİSANa</t>
  </si>
  <si>
    <t>125000*0,880976</t>
  </si>
  <si>
    <t xml:space="preserve"> - MART 2024</t>
  </si>
  <si>
    <t>TUSDATA 11/30</t>
  </si>
  <si>
    <t>Aidat Marmara Royal Site 10/12</t>
  </si>
  <si>
    <t>alumba gss prim borcu</t>
  </si>
  <si>
    <t>iş havale</t>
  </si>
  <si>
    <t>Kira Adem Özen 10/12 Mrmr Ryl A Blok 82</t>
  </si>
  <si>
    <t>Doğuş Kira 7/12-2024-25</t>
  </si>
  <si>
    <t>yasemin okul -65000 deniz kk ile</t>
  </si>
  <si>
    <t>Tuzgümrüğü kira</t>
  </si>
  <si>
    <t>Hurdacı Elektrik                  32,42 1. aydan ekleNDİ</t>
  </si>
  <si>
    <t>Merdal                                 90,58 2. aydan düş</t>
  </si>
  <si>
    <t xml:space="preserve"> 6 – 9</t>
  </si>
  <si>
    <t>Amazon -</t>
  </si>
  <si>
    <t>pçamlıbel pide</t>
  </si>
  <si>
    <t>kesik yemek</t>
  </si>
  <si>
    <t>erenler pide için</t>
  </si>
  <si>
    <t>damga vergisi ali demirel</t>
  </si>
  <si>
    <t>aşıkbaba yasemin</t>
  </si>
  <si>
    <t>atasun yakın gözlük</t>
  </si>
  <si>
    <t>amazon işlemci i9 13900k</t>
  </si>
  <si>
    <t xml:space="preserve">        6  – 6</t>
  </si>
  <si>
    <t xml:space="preserve">         5 – 6</t>
  </si>
  <si>
    <t xml:space="preserve">        2 – 6</t>
  </si>
  <si>
    <t>snyH Emlak vergileri</t>
  </si>
  <si>
    <t xml:space="preserve">        3 – 3</t>
  </si>
  <si>
    <t>Emlak vergisi ayşe balcı</t>
  </si>
  <si>
    <t>emlak vergisi atila ev POBA</t>
  </si>
  <si>
    <t>emlka vergisi hmb</t>
  </si>
  <si>
    <t xml:space="preserve"> 2 - 2</t>
  </si>
  <si>
    <t>audi mtv 2023-2 ek</t>
  </si>
  <si>
    <t>trafik cezası pervine yazıldı</t>
  </si>
  <si>
    <t xml:space="preserve"> 1 - 6</t>
  </si>
  <si>
    <t>aof 2. dönem harç</t>
  </si>
  <si>
    <t>turrknet 17-01-24 * 17-02-24 ilk fatura</t>
  </si>
  <si>
    <t>ceza dr184 sungurlu</t>
  </si>
  <si>
    <t>MART</t>
  </si>
  <si>
    <t>umut   29,500 yasemin okul iadesi</t>
  </si>
  <si>
    <t>125000*1,034036</t>
  </si>
  <si>
    <t>ALVES</t>
  </si>
  <si>
    <t>12*19,45</t>
  </si>
  <si>
    <t>LMKDC</t>
  </si>
  <si>
    <t>36*38</t>
  </si>
  <si>
    <t>OBAMS</t>
  </si>
  <si>
    <t>15*39,24</t>
  </si>
  <si>
    <t>MOGAN</t>
  </si>
  <si>
    <t>xau iş alış                           2087,56</t>
  </si>
  <si>
    <t>usd iş satış-alış                 31,6936</t>
  </si>
  <si>
    <t>eur iş alış                           34,2704</t>
  </si>
  <si>
    <t xml:space="preserve"> - ŞUBAT 2024</t>
  </si>
  <si>
    <t>TUSDATA 10/30</t>
  </si>
  <si>
    <t>TUSDATA 10/30 - 20-30 * 11 adet senet ödemesi (şubat 2 kez ödendi yanlışlıkla)</t>
  </si>
  <si>
    <t xml:space="preserve">Doğuş Kira 6/12-2024-25 </t>
  </si>
  <si>
    <t>Kira Adem Özen 9/12 Mrmr Ryl A Blok 82</t>
  </si>
  <si>
    <t>maaş ocak ayı EK ödeme</t>
  </si>
  <si>
    <t>trafik cezası sungurlu istanbula giderken 28-12-2023</t>
  </si>
  <si>
    <r>
      <rPr>
        <sz val="10"/>
        <color rgb="FF000000"/>
        <rFont val="Liberation Sans1"/>
        <charset val="162"/>
      </rPr>
      <t xml:space="preserve">29.01.2024 trafik cezası </t>
    </r>
    <r>
      <rPr>
        <b/>
        <u/>
        <sz val="10"/>
        <color rgb="FF000000"/>
        <rFont val="Liberation Sans1"/>
        <charset val="162"/>
      </rPr>
      <t xml:space="preserve">MB-26446083 </t>
    </r>
    <r>
      <rPr>
        <sz val="10"/>
        <color rgb="FF000000"/>
        <rFont val="Liberation Sans1"/>
        <charset val="162"/>
      </rPr>
      <t xml:space="preserve">tebliğ tar: 09-01-24  sungurlu </t>
    </r>
  </si>
  <si>
    <t>devlet 16,62</t>
  </si>
  <si>
    <t>devlet 138,75</t>
  </si>
  <si>
    <t>snyE senet  5/5   7- 7 =         0 kalan</t>
  </si>
  <si>
    <t>Merdal                                         fazla havale</t>
  </si>
  <si>
    <t>Pazarama – i7-13700 + KC3000-512gb</t>
  </si>
  <si>
    <t xml:space="preserve"> 9 – 9</t>
  </si>
  <si>
    <t xml:space="preserve"> 5 – 9</t>
  </si>
  <si>
    <t xml:space="preserve">        5  – 6</t>
  </si>
  <si>
    <t xml:space="preserve">         4 – 6</t>
  </si>
  <si>
    <t xml:space="preserve">        1 – 6</t>
  </si>
  <si>
    <t xml:space="preserve">        2 – 3</t>
  </si>
  <si>
    <t xml:space="preserve"> 1 - 2</t>
  </si>
  <si>
    <t>ist yemek</t>
  </si>
  <si>
    <t>ist audi benzin</t>
  </si>
  <si>
    <t>ist cam fitili</t>
  </si>
  <si>
    <t>ist silikon</t>
  </si>
  <si>
    <t>ist otopark</t>
  </si>
  <si>
    <t>sakarya market</t>
  </si>
  <si>
    <t>sakarya audi benzin</t>
  </si>
  <si>
    <t>ist sucuk</t>
  </si>
  <si>
    <t>pide sebze</t>
  </si>
  <si>
    <t>ordu market</t>
  </si>
  <si>
    <t>ordu yemek nalan</t>
  </si>
  <si>
    <t>pide çökelik erenler</t>
  </si>
  <si>
    <t>superonline</t>
  </si>
  <si>
    <t>karadağ air montenegro uçak bileti</t>
  </si>
  <si>
    <t>hgs</t>
  </si>
  <si>
    <t>selanik pide kart toplam</t>
  </si>
  <si>
    <t>ŞUBAT</t>
  </si>
  <si>
    <t>umut   15+15=30000 yasemin okul iadesi</t>
  </si>
  <si>
    <t>57 * 576,588071</t>
  </si>
  <si>
    <t>36*28,66</t>
  </si>
  <si>
    <t xml:space="preserve"> - OCAK 2024</t>
  </si>
  <si>
    <t>TUSDATA 9/30</t>
  </si>
  <si>
    <t>Kira Adem Özen 8/12 Mrmr Ryl A Blok 82</t>
  </si>
  <si>
    <t>Aidat Marmara Royal Site 8/12</t>
  </si>
  <si>
    <t>atila balcı zeytinyağı için havale mehmet yabir</t>
  </si>
  <si>
    <t>Doğuş Kira 5/12-2024-25– 30-12-23</t>
  </si>
  <si>
    <t>Doğuş Kira 6/12-2024-25</t>
  </si>
  <si>
    <t>Kira snyE senet 4/5 13- 6 = 7000 kalan</t>
  </si>
  <si>
    <t>snyB Tahmin Edilen 120000</t>
  </si>
  <si>
    <t>snyB Nakit</t>
  </si>
  <si>
    <t xml:space="preserve">snyB bankadan umuta   </t>
  </si>
  <si>
    <t>umuta kiradan harçlık</t>
  </si>
  <si>
    <t>pimapen Orhan conta değişim</t>
  </si>
  <si>
    <t>Superonline modem yurtiçi kargo ile gitti</t>
  </si>
  <si>
    <t>snyF</t>
  </si>
  <si>
    <t>kaza yaptı</t>
  </si>
  <si>
    <t>Hurdacı Elektrik     32,42 eksik</t>
  </si>
  <si>
    <t>Merdal         382789 havale</t>
  </si>
  <si>
    <t>8 – 9</t>
  </si>
  <si>
    <t xml:space="preserve"> 4 – 9</t>
  </si>
  <si>
    <t>al nlbry bosch gal12-40 şarj</t>
  </si>
  <si>
    <t xml:space="preserve"> 10 – 10</t>
  </si>
  <si>
    <t xml:space="preserve">        4  – 6</t>
  </si>
  <si>
    <t xml:space="preserve">        1 – 3</t>
  </si>
  <si>
    <t>emrar arar tokat ?</t>
  </si>
  <si>
    <t>izzet çağlar tokat ?</t>
  </si>
  <si>
    <t>et ev</t>
  </si>
  <si>
    <t>kasap zeki tokat ?</t>
  </si>
  <si>
    <t>snycd noter ihtar süre bitimi</t>
  </si>
  <si>
    <t>erenler ev</t>
  </si>
  <si>
    <t>OCAK</t>
  </si>
  <si>
    <t>umut   250 usd * 30,97 = 7742,5</t>
  </si>
  <si>
    <t>236 * 559,833857</t>
  </si>
  <si>
    <t xml:space="preserve">iş 808 </t>
  </si>
  <si>
    <t>SURGY  51,35</t>
  </si>
  <si>
    <t>TABGD  139,7</t>
  </si>
  <si>
    <t>xau iş alış                                  2025,34</t>
  </si>
  <si>
    <t>usd iş satış-alış                 30,97120</t>
  </si>
  <si>
    <t>eur iş alış                           33,3869</t>
  </si>
  <si>
    <t>bankamatikten yatan (salih ant dan gelen 60000)</t>
  </si>
  <si>
    <t>umutun hesaba yatan</t>
  </si>
  <si>
    <t>nazan</t>
  </si>
  <si>
    <t>hesaba</t>
  </si>
  <si>
    <t>hacı hesap</t>
  </si>
  <si>
    <t>hacı hesap tzg kira</t>
  </si>
  <si>
    <t>cepte</t>
  </si>
  <si>
    <t>nzn</t>
  </si>
  <si>
    <t>hc</t>
  </si>
  <si>
    <t>HACI</t>
  </si>
  <si>
    <t xml:space="preserve"> / 12</t>
  </si>
  <si>
    <t>temmuz artış %</t>
  </si>
  <si>
    <t>bayram-100.yıl</t>
  </si>
  <si>
    <t>temmuz maaş</t>
  </si>
  <si>
    <t>2022 Aralık  Devir</t>
  </si>
  <si>
    <t>xau</t>
  </si>
  <si>
    <t>usd</t>
  </si>
  <si>
    <t>eur</t>
  </si>
  <si>
    <t>kasa</t>
  </si>
  <si>
    <t>Peri</t>
  </si>
  <si>
    <t>dil kurs havale</t>
  </si>
  <si>
    <t xml:space="preserve">diş iş kk 10000 / 9 = 1111  </t>
  </si>
  <si>
    <t>diş iş kk                           1 / 9</t>
  </si>
  <si>
    <t>diş iş kk                            2 / 9</t>
  </si>
  <si>
    <t>diş iş kk                            3 / 9</t>
  </si>
  <si>
    <t>peri havale</t>
  </si>
  <si>
    <t>gib trafik cezası</t>
  </si>
  <si>
    <t>gib mtv 2022-1 dr184</t>
  </si>
  <si>
    <t>gib mtv 2022-2 dr184</t>
  </si>
  <si>
    <t>gib mtv 2023-1-2 dr184</t>
  </si>
  <si>
    <t>diş iş kk                             4 / 9</t>
  </si>
  <si>
    <t>diş iş kk                             5 / 9</t>
  </si>
  <si>
    <t>diş iş kk                             6 / 9</t>
  </si>
  <si>
    <t>diş iş kk                             7 / 9</t>
  </si>
  <si>
    <t>diş iş kk                             8 / 9</t>
  </si>
  <si>
    <t>diş iş kk                             9 / 9</t>
  </si>
  <si>
    <t>Budama makası</t>
  </si>
  <si>
    <t>Budama şarj aleti</t>
  </si>
  <si>
    <t>Budama 12 v 3 ah li-on akü</t>
  </si>
  <si>
    <t>kıbrıs yemek   37 Euro * 28 TL</t>
  </si>
  <si>
    <t>Mersin-tokat otobüs bileti topçam</t>
  </si>
  <si>
    <t>ankara çeyrek altın</t>
  </si>
  <si>
    <t>ankara benzin</t>
  </si>
  <si>
    <t>Eskişehir benzin</t>
  </si>
  <si>
    <t>aliden ziraat kredi için alınan 15/07/2023 taksidi için</t>
  </si>
  <si>
    <t>lab mustafa gr altın</t>
  </si>
  <si>
    <t>aliden ziraat kredi için alınan 15/08/2023 taksidi için</t>
  </si>
  <si>
    <t>ARA TOPLAMLAR - KALAN BAKİYE</t>
  </si>
  <si>
    <t>ankara nilufer altın</t>
  </si>
  <si>
    <t>selnik için pervinin hesaba gelen havale</t>
  </si>
  <si>
    <t>selanik kredi 15/09/2023 taksidi için</t>
  </si>
  <si>
    <t>kayseri için toyota gaz       450 TL</t>
  </si>
  <si>
    <t>kayseri için toyota gaz       699 TL</t>
  </si>
  <si>
    <t>audi ek mtv - 1</t>
  </si>
  <si>
    <t>audi bakım                       1500 TL</t>
  </si>
  <si>
    <t xml:space="preserve">audi muayene                  </t>
  </si>
  <si>
    <t>eskişehir ceza   2 x 751   = 1502 TL</t>
  </si>
  <si>
    <t>aliden ziraat için alınan 15/10/2023 taksidi için</t>
  </si>
  <si>
    <t>ankaraya giderken nakit verilen</t>
  </si>
  <si>
    <t>aliden ziraat için alınan 15/11/2023 taksidi için</t>
  </si>
  <si>
    <t>audi ek mtv - 2</t>
  </si>
  <si>
    <t>aliden kredi için 15/12/2023 taksidi için</t>
  </si>
  <si>
    <t>peri ankaraya giderken elden verilen</t>
  </si>
  <si>
    <t>Toplamlar</t>
  </si>
  <si>
    <t>HESABA</t>
  </si>
  <si>
    <t>PERI</t>
  </si>
  <si>
    <t>PERİ</t>
  </si>
  <si>
    <t>YAZILMAYAN</t>
  </si>
  <si>
    <t>BORÇ</t>
  </si>
  <si>
    <t>BAKIYE</t>
  </si>
  <si>
    <t>2023 YILI NAZAN BALCI</t>
  </si>
  <si>
    <t>Yapılacak</t>
  </si>
  <si>
    <t>Kalacak</t>
  </si>
  <si>
    <t>Yapılan</t>
  </si>
  <si>
    <t>Kalan</t>
  </si>
  <si>
    <t>Ödeme</t>
  </si>
  <si>
    <t>2023 yıl sonu nazan kira geliri</t>
  </si>
  <si>
    <t>2024 yılı Toplam</t>
  </si>
  <si>
    <t>denizbanka</t>
  </si>
  <si>
    <t>nazan havale</t>
  </si>
  <si>
    <t>ödenmedi</t>
  </si>
  <si>
    <t>Hisse Oranı</t>
  </si>
  <si>
    <t>Tarih</t>
  </si>
  <si>
    <t>Açıklama</t>
  </si>
  <si>
    <t>snyA-H</t>
  </si>
  <si>
    <t>Oran %</t>
  </si>
  <si>
    <t>Oran TL Tutar</t>
  </si>
  <si>
    <t>Ödendi</t>
  </si>
  <si>
    <t>Oran TL</t>
  </si>
  <si>
    <t>Genel Toplam</t>
  </si>
  <si>
    <t>Toplam Gelir</t>
  </si>
  <si>
    <t>snyH- Yazıhane</t>
  </si>
  <si>
    <t>02-24-sny içinde takip ediliyor</t>
  </si>
  <si>
    <t>SnyE- Nakit-&gt;nazana</t>
  </si>
  <si>
    <t>snyB- bankadan umuta</t>
  </si>
  <si>
    <t>snyB- nakit</t>
  </si>
  <si>
    <t>Toplam</t>
  </si>
  <si>
    <t>Hacı</t>
  </si>
  <si>
    <t>Nazan</t>
  </si>
  <si>
    <t>%</t>
  </si>
  <si>
    <t>Toplam Gelecek</t>
  </si>
  <si>
    <t>Gelen</t>
  </si>
  <si>
    <t>Kalan Gelecek</t>
  </si>
  <si>
    <t>toplam</t>
  </si>
  <si>
    <t>zekat %</t>
  </si>
  <si>
    <t>zekat</t>
  </si>
  <si>
    <t>snyCD- Nakit-&gt;nazana</t>
  </si>
  <si>
    <t>snyB- 2024 yılı içerisinde</t>
  </si>
  <si>
    <t>snyF- Nakit-&gt;nazana</t>
  </si>
  <si>
    <t>snyA- Nakit-&gt;nazana</t>
  </si>
  <si>
    <t>snyG- Nakit-&gt;nazana</t>
  </si>
  <si>
    <t>SnyE- Nakit-&gt;nazana 3-1-24</t>
  </si>
  <si>
    <t>SnyE- Nakit-&gt;nazana 06-12-23</t>
  </si>
  <si>
    <t>SnyE- Nakit-&gt;nazana 06-11-23</t>
  </si>
  <si>
    <t>SnF-Çek-&gt;Nazan</t>
  </si>
  <si>
    <t>SnyF-bankadan  -&gt; Nazan</t>
  </si>
  <si>
    <t>SnyF-icra avukatdan  -&gt; Nazan</t>
  </si>
  <si>
    <t>SnyF-Ocak23 -&gt; Nazan</t>
  </si>
  <si>
    <t>Toplam Harcama</t>
  </si>
  <si>
    <t>Net Gelir</t>
  </si>
  <si>
    <t>NAZAN</t>
  </si>
  <si>
    <t xml:space="preserve"> - ARALIK 2023</t>
  </si>
  <si>
    <t>TUSDATA 8/30                  8*250 = 2000       2023</t>
  </si>
  <si>
    <t>TUSDATA 9/30 – 20/30   12*250 = 3000       2024</t>
  </si>
  <si>
    <t>TUSDATA 21/30-30/30   10*8845 = 88450    2025</t>
  </si>
  <si>
    <t>Kira Adem Özen 7/12 Mrmr Ryl A Blok 82</t>
  </si>
  <si>
    <t>Aidat Marmara Royal Site 7/12</t>
  </si>
  <si>
    <t>Elektrik 8758480300 bahçe</t>
  </si>
  <si>
    <t>Tuzgümrüğü kira nakit</t>
  </si>
  <si>
    <t>Kira snyE senet 3/5 19- 6 = 13000 kalan 30/11/2023 umutun hesabına</t>
  </si>
  <si>
    <t>Salih Ant elektrik</t>
  </si>
  <si>
    <t>banka</t>
  </si>
  <si>
    <t>banka umut</t>
  </si>
  <si>
    <t xml:space="preserve"> 9 – 10</t>
  </si>
  <si>
    <t>Amazon 27"Monitor</t>
  </si>
  <si>
    <t xml:space="preserve"> 3 – 9</t>
  </si>
  <si>
    <t xml:space="preserve"> 3 – 6</t>
  </si>
  <si>
    <t xml:space="preserve">        3  – 6</t>
  </si>
  <si>
    <t xml:space="preserve">         2 – 6</t>
  </si>
  <si>
    <t>yeğenbey toyota ceza</t>
  </si>
  <si>
    <t>sebze yağ</t>
  </si>
  <si>
    <t>ayfer kurt</t>
  </si>
  <si>
    <t>çitlekçi izmir dönüş</t>
  </si>
  <si>
    <t>selanik kk 14 gün pide harcama toplamı</t>
  </si>
  <si>
    <t xml:space="preserve"> - KASIM 2023</t>
  </si>
  <si>
    <t>TUSDATA 7/30</t>
  </si>
  <si>
    <t>Kira Adem Özen 6/12 Mrmr Ryl A Blok 82</t>
  </si>
  <si>
    <t>Aidat Marmara Royal Site 6/12</t>
  </si>
  <si>
    <t>snyF Merdal 2023 yılı son kalan 31-12-2023 e kadar ödeme tamam</t>
  </si>
  <si>
    <t>Tuzgümrüğü kira 2/2   5600 TL kira bedeli yzl</t>
  </si>
  <si>
    <t>BANKADN</t>
  </si>
  <si>
    <t>Doğuş Kira 4/12-2024-25– 30-11-23</t>
  </si>
  <si>
    <t>Kira snyA Eylülde alındı   Tahmin edilen 60000</t>
  </si>
  <si>
    <t>Kira snyCD Tahmin Edilen 120000</t>
  </si>
  <si>
    <t>Kira snyE senet 3/5 19- 6 = 13000 kalan 30/11/2023</t>
  </si>
  <si>
    <t>snyG 30-10-2023 bankadan ödeme  10000 TL</t>
  </si>
  <si>
    <t>umuta snyG bankadan</t>
  </si>
  <si>
    <t>emlak vergisi hmb</t>
  </si>
  <si>
    <t xml:space="preserve"> 8 – 10</t>
  </si>
  <si>
    <t>Amazon – asus b660 plus anakart</t>
  </si>
  <si>
    <t>6 – 6</t>
  </si>
  <si>
    <t>Amazon – 32 gbRAM-farex3-klavye-pwrspply</t>
  </si>
  <si>
    <t>Mediamrkt – anneler günü filtre kahve mak.</t>
  </si>
  <si>
    <t>toyota mtv 545</t>
  </si>
  <si>
    <t xml:space="preserve"> 3 - 3</t>
  </si>
  <si>
    <t xml:space="preserve">         1 – 6</t>
  </si>
  <si>
    <t>aof harc</t>
  </si>
  <si>
    <t>trafik cezası audi</t>
  </si>
  <si>
    <t>sebze</t>
  </si>
  <si>
    <t>bim</t>
  </si>
  <si>
    <t>et fırın</t>
  </si>
  <si>
    <t>audi benzin sivas</t>
  </si>
  <si>
    <t>selanik kk 18 gün et harcama toplamı</t>
  </si>
  <si>
    <t>selanik 18 gün sebze  *30</t>
  </si>
  <si>
    <t>KASIM</t>
  </si>
  <si>
    <t>Umut  snyG 10000 snyCD 135000 Bankadan</t>
  </si>
  <si>
    <t>usd iş satış-alış                                30,1333</t>
  </si>
  <si>
    <t>eur iş alış                                       33,1557</t>
  </si>
  <si>
    <t xml:space="preserve"> -  EKİM 2023</t>
  </si>
  <si>
    <t>2240 Turkcell İLK FATURA</t>
  </si>
  <si>
    <t>AOF</t>
  </si>
  <si>
    <t>TUSDATA 6/30</t>
  </si>
  <si>
    <r>
      <rPr>
        <sz val="10"/>
        <color rgb="FF000000"/>
        <rFont val="Arial"/>
        <family val="2"/>
        <charset val="162"/>
      </rPr>
      <t xml:space="preserve">Kira Adem Özen </t>
    </r>
    <r>
      <rPr>
        <b/>
        <sz val="10"/>
        <color rgb="FF000000"/>
        <rFont val="F"/>
        <charset val="2"/>
      </rPr>
      <t>5</t>
    </r>
    <r>
      <rPr>
        <sz val="10"/>
        <color rgb="FF000000"/>
        <rFont val="Arial"/>
        <family val="2"/>
        <charset val="162"/>
      </rPr>
      <t>/12 Mrmr Ryl A Blok 82</t>
    </r>
  </si>
  <si>
    <t>Kira Adem Özen 5/12 Mrmr Ryl A Blok 82</t>
  </si>
  <si>
    <t>Aidat Marmara Royal Site 5/12</t>
  </si>
  <si>
    <t>yasemin okul karttan geçildi</t>
  </si>
  <si>
    <t>Tuzgümrüğü kira   1/2  5600 TL kira bedeli yzl</t>
  </si>
  <si>
    <t>Doğuş Kira 3/12-2024-25– 30-10-23</t>
  </si>
  <si>
    <t>Kira snyE senet 2/5 25- 6 = 19000 kalan</t>
  </si>
  <si>
    <t>snyG 07-11 de çıkacağını belirterek 10000 TL ödemeyi yapmadı - 28-11 de ödendi</t>
  </si>
  <si>
    <t>mezar baş taşı sistem pompa seçkin</t>
  </si>
  <si>
    <t xml:space="preserve"> 7 – 10</t>
  </si>
  <si>
    <t>BELEDİYE Ayşe Balcı</t>
  </si>
  <si>
    <t xml:space="preserve"> 4 – 4</t>
  </si>
  <si>
    <t>BELEDİYE POBA - atila ev</t>
  </si>
  <si>
    <t>BELEDİYE ALUMBA</t>
  </si>
  <si>
    <t>BELEDİYE HMB</t>
  </si>
  <si>
    <t>ödeme otomtk</t>
  </si>
  <si>
    <t xml:space="preserve"> 1 – 9</t>
  </si>
  <si>
    <t>Amazon - kc30001TB-macZ790</t>
  </si>
  <si>
    <t xml:space="preserve"> 2 - 3</t>
  </si>
  <si>
    <t>amazon- i913900k+psu</t>
  </si>
  <si>
    <t>audi mtv muayene için yattı 2023 mtv ek-1</t>
  </si>
  <si>
    <t>opet ağaoğlu</t>
  </si>
  <si>
    <t>sivas yerliyurt petrol</t>
  </si>
  <si>
    <t>isot çatı çivi 2 kg</t>
  </si>
  <si>
    <t>opet audi çatı</t>
  </si>
  <si>
    <t>mehmet katar</t>
  </si>
  <si>
    <t>kayseri yemek ananın yeri</t>
  </si>
  <si>
    <t>kayseri benzin</t>
  </si>
  <si>
    <t>çamlıbel pide</t>
  </si>
  <si>
    <t>kafkas mutfak</t>
  </si>
  <si>
    <t>toyota gaz kayseri nevzat</t>
  </si>
  <si>
    <t>EKİM</t>
  </si>
  <si>
    <t xml:space="preserve">Umut                                </t>
  </si>
  <si>
    <t>xau iş alış</t>
  </si>
  <si>
    <t>xau iş alış  50 gr x 1826 = 91300</t>
  </si>
  <si>
    <t>usd iş satış-alış                                 27,383</t>
  </si>
  <si>
    <t>eur iş alış                                       29,71050</t>
  </si>
  <si>
    <t xml:space="preserve"> - EYLÜL 2023</t>
  </si>
  <si>
    <t>TUSDATA 5/30</t>
  </si>
  <si>
    <t>Kira Adem Özen 4/12 Mrmr Ryl A Blok 82</t>
  </si>
  <si>
    <t>Aidat Marmara Royal Site 4/12</t>
  </si>
  <si>
    <t>Doğuş Kira 2/12-2024-25– 30-09-23 bankadan geldi</t>
  </si>
  <si>
    <t>Kira lise arkası 150/4</t>
  </si>
  <si>
    <t>snyG 30-9-23 - 96000 TL</t>
  </si>
  <si>
    <t>snyG 23-09-2023 nakit   83000 TL</t>
  </si>
  <si>
    <t>snyG 25-09-2023 nakit     3000 TL</t>
  </si>
  <si>
    <t>snyG 30-10-2023 banka 10000 TL</t>
  </si>
  <si>
    <t>snyE 96000 - 65000 = 31000 kalan</t>
  </si>
  <si>
    <t>snyE senet  1/5 31- 6 = 25000 kalan</t>
  </si>
  <si>
    <t>snyE senet  2/5 25- 6 = 19000 kalan</t>
  </si>
  <si>
    <t>snyE senet  3/5 19- 6 = 13000 kalan</t>
  </si>
  <si>
    <t>snyE senet  4/5 13- 6 =   7000 kalan</t>
  </si>
  <si>
    <t>Vodafon son fatura işbank tan ödendi</t>
  </si>
  <si>
    <t>snyA 30-09-2023 84000</t>
  </si>
  <si>
    <t>SnyA  - &gt; bnakadan umuta banka makbuzunda kira yazılmadı</t>
  </si>
  <si>
    <t>6 – 10</t>
  </si>
  <si>
    <t>amazon bosch pro pruner budama</t>
  </si>
  <si>
    <t xml:space="preserve"> 3 – 4</t>
  </si>
  <si>
    <t>gib merdal damga vrgs</t>
  </si>
  <si>
    <t>çapa motor arıza enj</t>
  </si>
  <si>
    <t>tcdd umut ank-svs   248+</t>
  </si>
  <si>
    <t>audi bnzn</t>
  </si>
  <si>
    <t>ev interntet superonline</t>
  </si>
  <si>
    <t>tcdd umut svs-ank-business  248+</t>
  </si>
  <si>
    <t>Lokanta yemek</t>
  </si>
  <si>
    <t>toyota gaz afyon</t>
  </si>
  <si>
    <t>kft ysf</t>
  </si>
  <si>
    <t>toyota gaz izmir</t>
  </si>
  <si>
    <t>işçi yemek</t>
  </si>
  <si>
    <t>toyota gaz çorum</t>
  </si>
  <si>
    <t xml:space="preserve"> 1 - 3</t>
  </si>
  <si>
    <t>EYLÜL</t>
  </si>
  <si>
    <t xml:space="preserve">Umut                          10000 bankadan snyA             </t>
  </si>
  <si>
    <t xml:space="preserve"> - AĞUSTOS 2023</t>
  </si>
  <si>
    <t>TUSDATA 4/30</t>
  </si>
  <si>
    <t>Kira Adem Özen 3/12 Mrmr Ryl A Blok 82</t>
  </si>
  <si>
    <t>Aidat Marmara Royal Site 3/12</t>
  </si>
  <si>
    <t>Doğuş 1/12-2024-25– 30-08-23</t>
  </si>
  <si>
    <t>Doğuş 24-25 için 6 aylık tüfe uygulanacak</t>
  </si>
  <si>
    <t>Doğuş 23-24 aylık kira 5000 TL üzerine tüfe</t>
  </si>
  <si>
    <t>Kira snyE</t>
  </si>
  <si>
    <t>salça</t>
  </si>
  <si>
    <t>peri diş</t>
  </si>
  <si>
    <t xml:space="preserve"> 5 – 10</t>
  </si>
  <si>
    <t xml:space="preserve"> 2 – 4</t>
  </si>
  <si>
    <t>Vodafone 2240</t>
  </si>
  <si>
    <t xml:space="preserve">         3 – 6</t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</si>
  <si>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korcan iletişim kıbrıs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</si>
  <si>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benzin m nissan</t>
    </r>
  </si>
  <si>
    <r>
      <rPr>
        <sz val="10"/>
        <color rgb="FF000000"/>
        <rFont val="F"/>
        <charset val="2"/>
      </rPr>
      <t xml:space="preserve">kbrs </t>
    </r>
    <r>
      <rPr>
        <sz val="10"/>
        <color rgb="FF000000"/>
        <rFont val="Arial"/>
        <family val="2"/>
        <charset val="162"/>
      </rPr>
      <t>atlex co</t>
    </r>
  </si>
  <si>
    <t>ödeme oto</t>
  </si>
  <si>
    <t>iletişim</t>
  </si>
  <si>
    <t>koft ysf</t>
  </si>
  <si>
    <t>çapa benzin</t>
  </si>
  <si>
    <t>bsmv</t>
  </si>
  <si>
    <t>AĞUSTOS</t>
  </si>
  <si>
    <t xml:space="preserve">Umut                                        </t>
  </si>
  <si>
    <t>usd iş satış-alış                                    27,383</t>
  </si>
  <si>
    <t>eur iş alış                                                29,71050</t>
  </si>
  <si>
    <t>- ŞUBAT 2023</t>
  </si>
  <si>
    <t>TUSDATA 3/30</t>
  </si>
  <si>
    <t>umut bayram</t>
  </si>
  <si>
    <t>yasemin bayram</t>
  </si>
  <si>
    <t>KK 5165 Denizbank oto ödeme</t>
  </si>
  <si>
    <t>KK 5165 Denizbank ödeme</t>
  </si>
  <si>
    <t>Kira Adem Özen 2/12 Mrmr Ryl A Blok 82</t>
  </si>
  <si>
    <t>Aidat Marmara Royal Site /12</t>
  </si>
  <si>
    <t>snyF Merdalkipel-&gt;altunoğlu taahhüt çek (19-04-23)</t>
  </si>
  <si>
    <t>aliden ziraat için alınan periye yollanmadı perinin hesabından düşüldü</t>
  </si>
  <si>
    <t>Tuzgümrüğü kira ÖNCEKİ AYLA BİRLİKTE ÖDENECEK</t>
  </si>
  <si>
    <t>Doğuş Kira 12/12-2023-24– 30-07-23</t>
  </si>
  <si>
    <t xml:space="preserve"> 4 – 10</t>
  </si>
  <si>
    <t xml:space="preserve"> 1 – 4</t>
  </si>
  <si>
    <t>akgünler taşucu mersin flying anka</t>
  </si>
  <si>
    <t>ET 2 GÜNLÜK</t>
  </si>
  <si>
    <t>SEBZE</t>
  </si>
  <si>
    <t>ET</t>
  </si>
  <si>
    <t>AUDİ YAĞ FİLTRE</t>
  </si>
  <si>
    <t>ERENLER</t>
  </si>
  <si>
    <t>TRANSİT ÇEŞME MAZOT</t>
  </si>
  <si>
    <t>ÇEŞME İŞÇİ YEMEK</t>
  </si>
  <si>
    <t>LEBLEBİ</t>
  </si>
  <si>
    <t>mackbear cafe</t>
  </si>
  <si>
    <t>havaist</t>
  </si>
  <si>
    <t>kbrs mağusa kaym. Kimlik parası</t>
  </si>
  <si>
    <t>kbrs benzin</t>
  </si>
  <si>
    <t>kbrs premium inn</t>
  </si>
  <si>
    <t>kbrs erülkü</t>
  </si>
  <si>
    <t xml:space="preserve">aidat  </t>
  </si>
  <si>
    <t>TEMMUZ</t>
  </si>
  <si>
    <t>usd iş alış</t>
  </si>
  <si>
    <t>eur iş alış</t>
  </si>
  <si>
    <t>- HAZİRAN 2023</t>
  </si>
  <si>
    <t>TUSDATA 2/30</t>
  </si>
  <si>
    <t>%74,42 artış - 4300 * 25 % = 5375  -- 700 -5375 = 2125</t>
  </si>
  <si>
    <t>havale ücreti kira</t>
  </si>
  <si>
    <t>maaş bayram</t>
  </si>
  <si>
    <t>Doğuş Kira 11/12-2023-24– 30-06-23</t>
  </si>
  <si>
    <t>Kira ap</t>
  </si>
  <si>
    <t>Audi edge 5-30 4 lt yağ 600 TL flt hv100- yğ 150 kk</t>
  </si>
  <si>
    <t>işçilik motorcu yusuf</t>
  </si>
  <si>
    <t>balmerden ziraat için havale</t>
  </si>
  <si>
    <t>ziraate havale</t>
  </si>
  <si>
    <t>pazarama</t>
  </si>
  <si>
    <t xml:space="preserve"> 3 – 10</t>
  </si>
  <si>
    <t>n11 12v 3ah akü</t>
  </si>
  <si>
    <t xml:space="preserve"> 3 – 3</t>
  </si>
  <si>
    <t>3 – 6</t>
  </si>
  <si>
    <t>Pazarama – kullanılan maxipuan</t>
  </si>
  <si>
    <t>TCDD – Ankara- İstanbul</t>
  </si>
  <si>
    <t>Hepsiburada – lcd power</t>
  </si>
  <si>
    <t>hepsiburada – note 5 kılıf</t>
  </si>
  <si>
    <t>hepsiburada – note 5 kılıf  İADE</t>
  </si>
  <si>
    <t>MAXİPUAN</t>
  </si>
  <si>
    <t>USB FLASH İÇİN KULLANILAN 128GB</t>
  </si>
  <si>
    <t>Pide et</t>
  </si>
  <si>
    <t>*</t>
  </si>
  <si>
    <t>Pide sebze erenler</t>
  </si>
  <si>
    <t>pide et ½ kg</t>
  </si>
  <si>
    <t>Et  kg 280</t>
  </si>
  <si>
    <t>HAZİRAN</t>
  </si>
  <si>
    <t>2023  Devir</t>
  </si>
  <si>
    <t>mAYIS Bakiye</t>
  </si>
  <si>
    <t>- MAYIS 2023</t>
  </si>
  <si>
    <t>TUSDATA 1/30</t>
  </si>
  <si>
    <t>Doğalgaz Marmara Royal A blok D:82</t>
  </si>
  <si>
    <t>Doğuş Kira 10/12-2023-24– 30-05-23</t>
  </si>
  <si>
    <t>ali balcıdan ziraat için</t>
  </si>
  <si>
    <t>TUSDATA 8/30                  8*250 = 2000</t>
  </si>
  <si>
    <t>TUSDATA 9/30 – 20/30   12*250 = 3000</t>
  </si>
  <si>
    <t>TUSDATA 21/30-30/30   10*8845 = 88450</t>
  </si>
  <si>
    <t>TUSDATA anlaşma 31-3-2023 te yapıldı</t>
  </si>
  <si>
    <t xml:space="preserve"> </t>
  </si>
  <si>
    <t>TUSDATA NAKİT FİYATI  57950/18,78     = 3085,73 USD</t>
  </si>
  <si>
    <t>TUSDATA NAKİT FİYATI  57950/1179,83 =     49,12 gr Altın</t>
  </si>
  <si>
    <t xml:space="preserve">31-3-2023 USD    iş alış        18,78            </t>
  </si>
  <si>
    <t>31-3-2023 ALTIN İŞ ALIŞ 1179,83</t>
  </si>
  <si>
    <t xml:space="preserve"> 2 – 3</t>
  </si>
  <si>
    <t xml:space="preserve"> 2 – 10</t>
  </si>
  <si>
    <t>çapa bıçak 24 ad</t>
  </si>
  <si>
    <t xml:space="preserve">gib     </t>
  </si>
  <si>
    <t>migros</t>
  </si>
  <si>
    <t>sivas hasdöner</t>
  </si>
  <si>
    <t>erenler pide</t>
  </si>
  <si>
    <t>betul olgun</t>
  </si>
  <si>
    <t>hesap kesim</t>
  </si>
  <si>
    <t>Belediye 17761</t>
  </si>
  <si>
    <t>MAYIS</t>
  </si>
  <si>
    <t>- NİSAN 2023</t>
  </si>
  <si>
    <t>m</t>
  </si>
  <si>
    <t>maaş ikramiye</t>
  </si>
  <si>
    <t>Doğuş Kira 9/12-2023-24– 30-04-23</t>
  </si>
  <si>
    <t>Kira snyG Metin ÇELİK 8/8</t>
  </si>
  <si>
    <t>snyF Merdalkipel- emrullahözer-&gt;aliumutbalcı banka</t>
  </si>
  <si>
    <t>alumba-&gt;hmb iş 13000 iade havale</t>
  </si>
  <si>
    <t>snyF Merdalkipel-&gt;aliumutbalcı banka</t>
  </si>
  <si>
    <t>ziraate sigorta için havale 3400 aliden + 600</t>
  </si>
  <si>
    <t>işbank emekli maaşı promosyon iade</t>
  </si>
  <si>
    <t>işbank emekli maaşı promosyon 3 yıllık</t>
  </si>
  <si>
    <t>peri diş 5/9</t>
  </si>
  <si>
    <t>Tokat Belediyesi Vergi A.Umut Balcı 1589,85 ¼ taksit</t>
  </si>
  <si>
    <t>Tokat Belediyesi Vergi P.Özlem Balcı Atila ev -323,65 ¼ taksit</t>
  </si>
  <si>
    <t>Tokat Belediyesi Vergi H.Murat Balcı 508,20 ¼ taksit</t>
  </si>
  <si>
    <t>Tokat Belediyesi Vergi Ayşe Balcı 197,25 ¼ taksit</t>
  </si>
  <si>
    <t>pazarama ist uçak</t>
  </si>
  <si>
    <t xml:space="preserve"> 1 – 3</t>
  </si>
  <si>
    <t xml:space="preserve"> 1 – 10</t>
  </si>
  <si>
    <t>pide iş kk</t>
  </si>
  <si>
    <t>ankara kuruyemiş</t>
  </si>
  <si>
    <t>toyota gaz banaz</t>
  </si>
  <si>
    <t>yemek afyon-çay</t>
  </si>
  <si>
    <t>toyota gaz-benzin ankara</t>
  </si>
  <si>
    <t>kk aidat</t>
  </si>
  <si>
    <t>kk aidat bsmv</t>
  </si>
  <si>
    <t>dnz kk et yğ soğn bbr</t>
  </si>
  <si>
    <t>2023 Nisan  Devir</t>
  </si>
  <si>
    <t>Nisan Bakiye</t>
  </si>
  <si>
    <t>- MART 2023</t>
  </si>
  <si>
    <t>hasan avşar selanik için havale</t>
  </si>
  <si>
    <t>umut merdaldan elektrik parası ile 1129+1621</t>
  </si>
  <si>
    <t>peri ödeme diş kk</t>
  </si>
  <si>
    <t>peri ödeme dr184 kk</t>
  </si>
  <si>
    <t>Doğuş Kira 8/12-2023-24– 30-03-23 6000+500</t>
  </si>
  <si>
    <t>Kira snyG Metin ÇELİK 5-6-7-8</t>
  </si>
  <si>
    <t>Kira snyG Metin ÇELİK elektrik teminat</t>
  </si>
  <si>
    <t>Kira snyG Metin ÇELİK 4*1000 kira + 400 teminat + 342,40 şubat elektrik – 58 TL iade</t>
  </si>
  <si>
    <t>Kira snyG Metin ÇELİK bankadan ali umut balcıya 4800 TL kira havalesi</t>
  </si>
  <si>
    <t>Kira snyG Metin ÇELİK 7/8</t>
  </si>
  <si>
    <t>ziraate kredi için havale</t>
  </si>
  <si>
    <t>ALUMBA YGVBeynname 2022 Damga Vergisi</t>
  </si>
  <si>
    <t>Ali Umut BALCI snyG-Metin kira bedeli olarak</t>
  </si>
  <si>
    <t>Ali Umut BALCI snyG-Duran kira bedeli olarak</t>
  </si>
  <si>
    <t>alumba hesabına</t>
  </si>
  <si>
    <t>alumba hesabına umut boyraz elektrik</t>
  </si>
  <si>
    <t>umut aylık +</t>
  </si>
  <si>
    <t>Salih Ant</t>
  </si>
  <si>
    <t>Cihan Elektrik Teminat 1200 – 6/6</t>
  </si>
  <si>
    <t>Merdal  alumba hesabına havale</t>
  </si>
  <si>
    <t>ikea masa 5/6</t>
  </si>
  <si>
    <t>koçtaş pervane 5/6</t>
  </si>
  <si>
    <t>peri diş 4/9</t>
  </si>
  <si>
    <t>erenler pide 01- işkk1</t>
  </si>
  <si>
    <t>erenler pide 01- işkk2</t>
  </si>
  <si>
    <t>erenler pide 01- işkk3</t>
  </si>
  <si>
    <t>erenler pide 01- işkk4</t>
  </si>
  <si>
    <t>erenler pide 01- işkk5</t>
  </si>
  <si>
    <t>lcw umut pant gmlk</t>
  </si>
  <si>
    <t>hepsiburada telefon kılıf şarj</t>
  </si>
  <si>
    <t>erenler pide 01- işkk6</t>
  </si>
  <si>
    <t>erenler pide 01- işkk7</t>
  </si>
  <si>
    <t>istanbulkart</t>
  </si>
  <si>
    <t>marm royal</t>
  </si>
  <si>
    <t>tcdd yht  248 + 211</t>
  </si>
  <si>
    <t>tcdd yht yasemin dönüş</t>
  </si>
  <si>
    <t>vodafon</t>
  </si>
  <si>
    <t xml:space="preserve">erenler pide  </t>
  </si>
  <si>
    <t>trafik cezası atila</t>
  </si>
  <si>
    <t>2023 Mart  Devir</t>
  </si>
  <si>
    <t>Umut                                        4800</t>
  </si>
  <si>
    <t>Mart çıkışı</t>
  </si>
  <si>
    <t>SnyF-M.Kipel Ocak Ayı kirası</t>
  </si>
  <si>
    <t>Doğuş Kira 6/12-2023-24</t>
  </si>
  <si>
    <t>deprem</t>
  </si>
  <si>
    <t>Ayşe BALCI son kira ödemesi</t>
  </si>
  <si>
    <t>İstanbuldan gül</t>
  </si>
  <si>
    <t>Elektrik 8758480300</t>
  </si>
  <si>
    <t>maaş depremden dolsyı erken ödendi</t>
  </si>
  <si>
    <t>yasemin okul denizbank kk</t>
  </si>
  <si>
    <t>peri gold+kupe</t>
  </si>
  <si>
    <t>peri havale iş</t>
  </si>
  <si>
    <t>Tuzgümrüğü kira 12.ayda bankadan ödendi</t>
  </si>
  <si>
    <t>Doğuş Kira 7/12-2023-24– 28-02-23</t>
  </si>
  <si>
    <t>Kira snyG Metin ÇELİK 6/8</t>
  </si>
  <si>
    <t>Kira snyG Metin ÇELİK 5/8    1000 TL</t>
  </si>
  <si>
    <t>Metin Elektrik Teminat 1200 – 6/6 200 TL</t>
  </si>
  <si>
    <t>Ali Umut BALCI snyF-Mkipel elektrik</t>
  </si>
  <si>
    <t>Ali Umut BALCI snyF-Mkipel ocak kira</t>
  </si>
  <si>
    <t>Yasemin okuliçin 2.</t>
  </si>
  <si>
    <t>SnyF-Kynkçı Merdal 12/12-2022-23</t>
  </si>
  <si>
    <t>2 aylık kira bedeli</t>
  </si>
  <si>
    <t>snyA Ayhan Tüfek 42000-40000</t>
  </si>
  <si>
    <t>%57,14 aylık kira bedeli</t>
  </si>
  <si>
    <t>cihan oto 12-1 ay teminattan kalan</t>
  </si>
  <si>
    <t>Cihan Elektrik Teminat 1200 – 5/6</t>
  </si>
  <si>
    <t>Merdal  bakadan havale</t>
  </si>
  <si>
    <t>Metin Elektrik Teminat 1200 – 6/6</t>
  </si>
  <si>
    <t>peri diş 3/9</t>
  </si>
  <si>
    <t>atasun gözlük 3/3</t>
  </si>
  <si>
    <t>erenler pide 12- k14 puan kullanımı</t>
  </si>
  <si>
    <t>-150TL</t>
  </si>
  <si>
    <t>erenler pide 12- k14</t>
  </si>
  <si>
    <t>tk paz mar</t>
  </si>
  <si>
    <t xml:space="preserve">erenler pide 01- işkk1  180,34= puan 81 TL +    </t>
  </si>
  <si>
    <t>erenler pide 01- işkk8</t>
  </si>
  <si>
    <t>erenler pide 01- işkk9</t>
  </si>
  <si>
    <t>erenler pide 12- kkdnz01</t>
  </si>
  <si>
    <t>erenler pide 12- kkdnz02</t>
  </si>
  <si>
    <t>toyota rav4 yağ-filtre</t>
  </si>
  <si>
    <t>erenler pide 12- kkdnz03</t>
  </si>
  <si>
    <t>erenler pide 12- kkdnz04</t>
  </si>
  <si>
    <t>erenler pide 01- kkdnz01</t>
  </si>
  <si>
    <t>erenler pide 01- kkdnz02</t>
  </si>
  <si>
    <t>erenler pide 01- kkdnz03</t>
  </si>
  <si>
    <t>a101 ev</t>
  </si>
  <si>
    <t>toyota gaz manisa</t>
  </si>
  <si>
    <t>Sigorta ??????????????????????*</t>
  </si>
  <si>
    <t>Sigorta ??????      i a d e    ???????</t>
  </si>
  <si>
    <t>2023 Şubat  Devir</t>
  </si>
  <si>
    <t>Şubat çıkışı</t>
  </si>
  <si>
    <t>- OCAK 2023</t>
  </si>
  <si>
    <t>KK 5165 Denizbank işten havale</t>
  </si>
  <si>
    <t>peri kk ödeme</t>
  </si>
  <si>
    <t>Kira snyG Metin ÇELİK 5/8</t>
  </si>
  <si>
    <t>Kira snyG Metin ÇELİK 4/8 31-12-2022</t>
  </si>
  <si>
    <t>3 aylık kira bedeli</t>
  </si>
  <si>
    <t>cihan oto 12 ay teminattan kalan</t>
  </si>
  <si>
    <t>Cihan Elektrik Teminat 1200 – 4/6</t>
  </si>
  <si>
    <t>Merdal bankadan havale</t>
  </si>
  <si>
    <t>Metin bankadan havale</t>
  </si>
  <si>
    <t>Metin Elektrik Teminat 1200 – 5/6</t>
  </si>
  <si>
    <t>ikea masa 4/6</t>
  </si>
  <si>
    <t>koçtaş pervane 4/6</t>
  </si>
  <si>
    <t>peri diş 2/9</t>
  </si>
  <si>
    <t>atasun gözlük 2/3</t>
  </si>
  <si>
    <t>erenler pide 12- k1</t>
  </si>
  <si>
    <t>ev internet</t>
  </si>
  <si>
    <t>erenler pide 12- k2</t>
  </si>
  <si>
    <t>ayfer kurt ???</t>
  </si>
  <si>
    <t>erenler pide 12- k3</t>
  </si>
  <si>
    <t>erenler pide 12- k4</t>
  </si>
  <si>
    <t>aşıkbaba</t>
  </si>
  <si>
    <t>tokat avm yunus</t>
  </si>
  <si>
    <t>benzin audi</t>
  </si>
  <si>
    <t>yunus</t>
  </si>
  <si>
    <t>erenler pide 12- k5</t>
  </si>
  <si>
    <t>erenler pide 12- k6</t>
  </si>
  <si>
    <t>erenler pide 12- k7</t>
  </si>
  <si>
    <t>erenler pide 12- k8</t>
  </si>
  <si>
    <t>erenler pide 12- k9</t>
  </si>
  <si>
    <t>yunus market</t>
  </si>
  <si>
    <t>kuruymş</t>
  </si>
  <si>
    <t>erenler pide 12- k10</t>
  </si>
  <si>
    <t>erenler pide 12- k11</t>
  </si>
  <si>
    <t>erenler pide 12- k12</t>
  </si>
  <si>
    <t>erenler pide 12- k13</t>
  </si>
  <si>
    <t>2022 Ocak  Devir</t>
  </si>
  <si>
    <t>Ocak çıkışı</t>
  </si>
  <si>
    <t>TPL</t>
  </si>
  <si>
    <t>ls</t>
  </si>
  <si>
    <t>Haziran</t>
  </si>
  <si>
    <t>Temmuz</t>
  </si>
  <si>
    <t>Ağustos</t>
  </si>
  <si>
    <t>- ARALIK 2022</t>
  </si>
  <si>
    <t>5847500300 /CK ÇEPESAŞ/FATURA</t>
  </si>
  <si>
    <t>8222520300 /CK ÇEPESAŞ/FATURA</t>
  </si>
  <si>
    <t>Adem Özen Kira Ödemesi 7/12</t>
  </si>
  <si>
    <t>MarRyl Aidat 7/12</t>
  </si>
  <si>
    <t>SALİH ANT</t>
  </si>
  <si>
    <t>Cihan Elektrik Teminat 1200 – 3/6</t>
  </si>
  <si>
    <t>Metin Elektrik Teminat 1200 – 4/6</t>
  </si>
  <si>
    <t>9522138254 /CK ÇEPESAŞ/FATURA</t>
  </si>
  <si>
    <t>ikea masa 3/6</t>
  </si>
  <si>
    <t>koçtaş pervane 3/6</t>
  </si>
  <si>
    <t>özcan et</t>
  </si>
  <si>
    <t>erenler gıda pide mlzm 11- işkk 1</t>
  </si>
  <si>
    <t>mersin rav4 gaz</t>
  </si>
  <si>
    <t>peri diş 1/9</t>
  </si>
  <si>
    <t>pervinden havale  1/9</t>
  </si>
  <si>
    <t>lc kot – elçilik vatandaşlık</t>
  </si>
  <si>
    <t>hd isk</t>
  </si>
  <si>
    <t>Koçtaş 60*60 led</t>
  </si>
  <si>
    <t>KKTC vatandaşlık harcı</t>
  </si>
  <si>
    <t>erenler gıda pide mlzm 11- işkk2</t>
  </si>
  <si>
    <t>snyB alçıpan</t>
  </si>
  <si>
    <t>erenler gıda pide mlzm 11- işkk3</t>
  </si>
  <si>
    <t>Vodafon 2240</t>
  </si>
  <si>
    <t>atasun gözlük 1/3</t>
  </si>
  <si>
    <t>4876 KK                       7945,34</t>
  </si>
  <si>
    <t>pervine iş ten havale</t>
  </si>
  <si>
    <t>800004222954 doğalgaz</t>
  </si>
  <si>
    <t>800004222959 doğalgaz</t>
  </si>
  <si>
    <t>8758480300 elektrik bahçe</t>
  </si>
  <si>
    <t>pervinden havale  2/9</t>
  </si>
  <si>
    <t>selanik pide et 12- nkt 1</t>
  </si>
  <si>
    <t>nk</t>
  </si>
  <si>
    <t>selanik pide  12- nkt 2</t>
  </si>
  <si>
    <t>marmara royal doğalgaz</t>
  </si>
  <si>
    <t>bn</t>
  </si>
  <si>
    <t>merdal kipel ihtarname avukat emrullah</t>
  </si>
  <si>
    <t>Doğuş Kira 5/12-2023-24– 30-12-22</t>
  </si>
  <si>
    <t>snyG Metin ÇELİK 4/8</t>
  </si>
  <si>
    <t>Tuzgümrüğü salih kaymak ocak şubat kira bedeli bankadan</t>
  </si>
  <si>
    <t>motorcu cihan teminat bedeli ( 10-11 ay 12 ay ½ – işçilikten tahsilat )</t>
  </si>
  <si>
    <t>Motorcu cihan rav4 yağ-filtre-amortsr işçilik için ödenen</t>
  </si>
  <si>
    <t>-----------------------------------------------------</t>
  </si>
  <si>
    <t>Cihan Elektrik Teminat 1200 – 2/6</t>
  </si>
  <si>
    <t>işçilik</t>
  </si>
  <si>
    <t>Cihan Elektrik Teminat 1200 – 1/6</t>
  </si>
  <si>
    <t>aylık kira bedeli</t>
  </si>
  <si>
    <t>- KASIM 2022</t>
  </si>
  <si>
    <t>Metin Elektrik Teminat 1200 – 3/6</t>
  </si>
  <si>
    <t>SnyB Kapora ANT salih</t>
  </si>
  <si>
    <t>pervin dil kursu havale</t>
  </si>
  <si>
    <t>pervinden gelen</t>
  </si>
  <si>
    <t>Adem Özen Kira Ödemesi 6/12</t>
  </si>
  <si>
    <t>MarRyl Aidat 6/12</t>
  </si>
  <si>
    <t>Mtv 3/3</t>
  </si>
  <si>
    <t>koçtaş dolap 2/2</t>
  </si>
  <si>
    <t>ikea masa 2/6</t>
  </si>
  <si>
    <t>koçtaş pervane 2/6</t>
  </si>
  <si>
    <t>amazon obd2-çamurluk</t>
  </si>
  <si>
    <t>audi benzin sivas havaalanı</t>
  </si>
  <si>
    <r>
      <rPr>
        <sz val="10"/>
        <color rgb="FF000000"/>
        <rFont val="Arial"/>
        <family val="2"/>
        <charset val="162"/>
      </rPr>
      <t xml:space="preserve">4876 KK </t>
    </r>
    <r>
      <rPr>
        <b/>
        <sz val="10"/>
        <color rgb="FF000000"/>
        <rFont val="F"/>
        <charset val="2"/>
      </rPr>
      <t>-2.528,32</t>
    </r>
  </si>
  <si>
    <t>954 /TOKATAMASY/FATURA</t>
  </si>
  <si>
    <t>959 /TOKATAMASY/FATURA</t>
  </si>
  <si>
    <t>erenler gıda pide mlzm 11- nkt 1</t>
  </si>
  <si>
    <t>erenler gıda pide mlzm 11- nkt 2</t>
  </si>
  <si>
    <t>erenler gıda pide mlzm 11- nkt 3</t>
  </si>
  <si>
    <t>Doğuş Kira 4/12-2023-24– 30-11-22</t>
  </si>
  <si>
    <t>snyG Metin ÇELİK 3/8</t>
  </si>
  <si>
    <t>Hurdacı Kira ++++++++++++++++++</t>
  </si>
  <si>
    <t>Yıkamacı Kira ++10, ayda alındı+++</t>
  </si>
  <si>
    <t>SnyB Salih ANT 10-12-2022 de ödenecekti</t>
  </si>
  <si>
    <t>---------------------------------------------------</t>
  </si>
  <si>
    <t>SnyF-Kynkçı Merdal 11/12-2022</t>
  </si>
  <si>
    <t>SnyF-Kynkçı Merdal 10/12-2022</t>
  </si>
  <si>
    <t>- EKİM 2022</t>
  </si>
  <si>
    <t>Doğuş Kira 2/12-2023-24– 30-09-22 kendi getirdi</t>
  </si>
  <si>
    <t>8758480300 ck bahçe</t>
  </si>
  <si>
    <t>Adem Özen Kira Ödemesi 5/12</t>
  </si>
  <si>
    <t>MarRyl Aidat 5/12</t>
  </si>
  <si>
    <t>Mtv 2/3</t>
  </si>
  <si>
    <t>toyota gaz tokat</t>
  </si>
  <si>
    <t>toyota gaz tosya</t>
  </si>
  <si>
    <t>toyota benzin bolu</t>
  </si>
  <si>
    <t>bolu yemek hanzade</t>
  </si>
  <si>
    <t>toyota gaz bolu</t>
  </si>
  <si>
    <t>toyota gaz istanbul</t>
  </si>
  <si>
    <t xml:space="preserve">ikea  </t>
  </si>
  <si>
    <t>ikea masa 1/6</t>
  </si>
  <si>
    <t>koçtaş dolap ½</t>
  </si>
  <si>
    <t>toyota benzin 300 + gaz</t>
  </si>
  <si>
    <t>bayramoğlu toyota buji</t>
  </si>
  <si>
    <t>bayramoğlu toyota rotil</t>
  </si>
  <si>
    <t>hummel ayakkabı 4 adet</t>
  </si>
  <si>
    <t>tavuk dünyası</t>
  </si>
  <si>
    <t>koçtaş pervane 1/6</t>
  </si>
  <si>
    <t>bolu yemek</t>
  </si>
  <si>
    <t>pirinç</t>
  </si>
  <si>
    <t>osmancık yolcu leblebi pirinç</t>
  </si>
  <si>
    <t>toyota benzin turhal</t>
  </si>
  <si>
    <t>toyota gaz şenyurt</t>
  </si>
  <si>
    <t>toyota şanz yağı 3 lt</t>
  </si>
  <si>
    <t>alçıpan</t>
  </si>
  <si>
    <t>4876 KK 9324,32</t>
  </si>
  <si>
    <t>snyA kira bedeli +++++++++++++++</t>
  </si>
  <si>
    <t>SnyA 42000 yıllık Ayhan Tüfek</t>
  </si>
  <si>
    <t>snyA banka havale</t>
  </si>
  <si>
    <t>snyA nakit</t>
  </si>
  <si>
    <t>snyA fehmi arat geri ödemesi</t>
  </si>
  <si>
    <t>0000383215 /TOKATAMASY/FATURA</t>
  </si>
  <si>
    <t>800004222959 /TOKATAMASY/FATURA</t>
  </si>
  <si>
    <t>Doğuş Kira 3/12-2023-24– 30-10-22</t>
  </si>
  <si>
    <t>snyG Metin ÇELİK 2/8</t>
  </si>
  <si>
    <t>Ayşe Balcı kira hesabı Bakiye ödemesi</t>
  </si>
  <si>
    <t>Lise arkası toplam 95000/ 4 = 23,750</t>
  </si>
  <si>
    <t>Lise Arkası Kira ++++++++++++++++</t>
  </si>
  <si>
    <t>selanik hesabına aktarılan</t>
  </si>
  <si>
    <t>- EYLÜL 2022</t>
  </si>
  <si>
    <t>Merdal Elektrik</t>
  </si>
  <si>
    <t>nakit istanbul</t>
  </si>
  <si>
    <t>Adem Özen Kira Ödemesi 4/12</t>
  </si>
  <si>
    <t>MarRyl Aidat 4/12</t>
  </si>
  <si>
    <t>000374398 /TOKATAMASY/FATURA</t>
  </si>
  <si>
    <t>amazon 240gbWd ssd-braun-64gb 6/6</t>
  </si>
  <si>
    <t>toyota trafik cezası</t>
  </si>
  <si>
    <t>mtv taksit 1/3</t>
  </si>
  <si>
    <t>ağaoğlu tokat-mersin benzin</t>
  </si>
  <si>
    <t>akgünler deniz otobüs bileti girne -taşucu</t>
  </si>
  <si>
    <t>toros benzin taşucu-tokat</t>
  </si>
  <si>
    <t>4876 KK</t>
  </si>
  <si>
    <t>Carraro 327 bisiklet</t>
  </si>
  <si>
    <t>bh</t>
  </si>
  <si>
    <t>umut okul</t>
  </si>
  <si>
    <t>genel</t>
  </si>
  <si>
    <t>snyG Metin ÇELİK 1/8</t>
  </si>
  <si>
    <t>Motorcu Emre Kira – 1-8-2022 kira sonu</t>
  </si>
  <si>
    <t>Doğuş Kira 2/12-2023-24– 30-09-22</t>
  </si>
  <si>
    <t>- AĞUSTOS 2022</t>
  </si>
  <si>
    <t>Emre Elektrik</t>
  </si>
  <si>
    <t>8758480300 /CK ÇEPESAŞ/FATURA</t>
  </si>
  <si>
    <t>Adem Özen Kira Ödemesi 3/12</t>
  </si>
  <si>
    <t>MarRyl Aidat 3/12</t>
  </si>
  <si>
    <t>amazon 240gbWd ssd-braun-64gb 5/6</t>
  </si>
  <si>
    <t>decathlon ayakkabı</t>
  </si>
  <si>
    <t>yasemin ehliyet</t>
  </si>
  <si>
    <t>kıbrıs deniz otobüs bileti 2 kişi</t>
  </si>
  <si>
    <t>kıbrıs genel masraf</t>
  </si>
  <si>
    <t>kıbrıs dönüş otobüs bileti</t>
  </si>
  <si>
    <t>100 euro iş 1,87216*100</t>
  </si>
  <si>
    <t>euro alış kmv</t>
  </si>
  <si>
    <t>audi buji iridyum 4 ad</t>
  </si>
  <si>
    <t>Audi 1. göz ateşleme bobini</t>
  </si>
  <si>
    <t>audi işçilik</t>
  </si>
  <si>
    <t>forklift mazot</t>
  </si>
  <si>
    <t>Bisiklet 327</t>
  </si>
  <si>
    <t>SnyE Cihan ÇAM Kira 45000</t>
  </si>
  <si>
    <t>SnyE Cihan ÇAM Kira ödemesi</t>
  </si>
  <si>
    <t>snyE Emre Aktaş kira geri ödemesi</t>
  </si>
  <si>
    <t>snyG Metin ÇELİK 31-9-22 – 23</t>
  </si>
  <si>
    <t>40000 + (8 x 1000) = 48000 TL</t>
  </si>
  <si>
    <t>Doğuş Kira 1/12-2023-24 – 30-08-22</t>
  </si>
  <si>
    <t>GEÇEN AYLARDAN BAKİYE</t>
  </si>
  <si>
    <t>Doğuş Kira 11/12-2022-23 kalan bakiye</t>
  </si>
  <si>
    <t>Doğuş Kira 12/12-2022-23 BANKADAN</t>
  </si>
  <si>
    <t>BH</t>
  </si>
  <si>
    <t>SnyF-Kynkçı Merdal elektrik haziran</t>
  </si>
  <si>
    <t>- TEMMUZ 2022</t>
  </si>
  <si>
    <t>ziraat pervine havale kredi için</t>
  </si>
  <si>
    <t>aliden gelen kredi için</t>
  </si>
  <si>
    <t>heft ücreti</t>
  </si>
  <si>
    <t>Adem Özen Kira Ödemesi 2/12</t>
  </si>
  <si>
    <t>MarRyl Aidat 2/12</t>
  </si>
  <si>
    <t>amazon 240gbWd ssd-braun-64gb 4/6</t>
  </si>
  <si>
    <t>topçam</t>
  </si>
  <si>
    <t>ayakkabı dechatlon ½</t>
  </si>
  <si>
    <t>kamil bebek</t>
  </si>
  <si>
    <t>topçam eskişehir tokat</t>
  </si>
  <si>
    <t>tokat avm</t>
  </si>
  <si>
    <t>sen yıl petrol</t>
  </si>
  <si>
    <t>a101 merdiven</t>
  </si>
  <si>
    <t>merdiven alüminyum motorcu ibo iade</t>
  </si>
  <si>
    <t>deniz otobüsü bileti</t>
  </si>
  <si>
    <t>maaş bayramlık</t>
  </si>
  <si>
    <t>Tuzgümrüğü kira mahmut</t>
  </si>
  <si>
    <r>
      <rPr>
        <sz val="10"/>
        <color rgb="FF000000"/>
        <rFont val="Liberation Sans1"/>
        <charset val="162"/>
      </rPr>
      <t xml:space="preserve">Doğuş Kira 11/12-2022-23 </t>
    </r>
    <r>
      <rPr>
        <sz val="10"/>
        <color rgb="FFC9211E"/>
        <rFont val="F"/>
        <charset val="2"/>
      </rPr>
      <t>BANKADAN</t>
    </r>
  </si>
  <si>
    <t>Doğuş Kira 12/12-2022-23</t>
  </si>
  <si>
    <t>SnyF-Kynkçı Merdal elektrik</t>
  </si>
  <si>
    <t>- HAZİRAN 2022</t>
  </si>
  <si>
    <t>Mesut Elektrik</t>
  </si>
  <si>
    <t>Yasemin İstanbul Kira</t>
  </si>
  <si>
    <t>Marmara Royal anadolu inş. Komisyon</t>
  </si>
  <si>
    <t>MarRyl anadolu inş. Komisyon 5070 TL</t>
  </si>
  <si>
    <t>NK</t>
  </si>
  <si>
    <t>Adem Özen depozit 8, 600</t>
  </si>
  <si>
    <t>Adem Özen kira 1/12 4, 300</t>
  </si>
  <si>
    <t>MarRyl aidat (7 gün) - 100</t>
  </si>
  <si>
    <t>Adem Özen Kira 1/12 + Depozit – Aidat</t>
  </si>
  <si>
    <t>MarRyl aidat</t>
  </si>
  <si>
    <t>amazon 240gbWd ssd-braun-64gb 3/6</t>
  </si>
  <si>
    <t xml:space="preserve">benzin   </t>
  </si>
  <si>
    <t>migros şimşek yem</t>
  </si>
  <si>
    <t>fide bahçe</t>
  </si>
  <si>
    <t>Benzin + gaz</t>
  </si>
  <si>
    <t>8758480300 çepesaş</t>
  </si>
  <si>
    <t>Genel Masraf + istatnbul</t>
  </si>
  <si>
    <t>Tuzgümrüğü kira salihten</t>
  </si>
  <si>
    <t>Doğuş Kira 11/12-2022-23</t>
  </si>
  <si>
    <t>Ali Paşa Kira ++++++++++++++++++</t>
  </si>
  <si>
    <t>SnyF-Kynkçı Merdal 9/12-2022</t>
  </si>
  <si>
    <t>tüfe</t>
  </si>
  <si>
    <t>- MAYIS 2022</t>
  </si>
  <si>
    <t>Emre Elektrik 200 kalan teminat</t>
  </si>
  <si>
    <t>erenler gıda</t>
  </si>
  <si>
    <t>bahçe su parası</t>
  </si>
  <si>
    <t>amazon 240gbWd ssd-braun-64gb 2/6</t>
  </si>
  <si>
    <t>Doğuş Kira 10/12-2022-23</t>
  </si>
  <si>
    <t>- NİSAN 2022</t>
  </si>
  <si>
    <t>06 yb 1397 2. taksit</t>
  </si>
  <si>
    <t>HAS KOMP ÇORUM</t>
  </si>
  <si>
    <t>yıllık kk ücreti</t>
  </si>
  <si>
    <t>yıllık kk ücreti bsmv</t>
  </si>
  <si>
    <t>amazon 240gbWd ssd-braun-64gb 1/6</t>
  </si>
  <si>
    <t>gib gov tr kira damga v.</t>
  </si>
  <si>
    <t>yasemin umut bayramlık</t>
  </si>
  <si>
    <t>işbank promosyon ödemesi</t>
  </si>
  <si>
    <t>Tuzgümrüğü kira +++++++++++++</t>
  </si>
  <si>
    <t>Doğuş Kira 9/12-2022-23    +2000</t>
  </si>
  <si>
    <t>SnyF-Kynkçı Merdal 8/12-2022</t>
  </si>
  <si>
    <t>Motorcu Mesut Kira ++++ 21-5-2022 Boşalttı</t>
  </si>
  <si>
    <t>- MART 2022</t>
  </si>
  <si>
    <t>N</t>
  </si>
  <si>
    <t>B</t>
  </si>
  <si>
    <t>vodafone</t>
  </si>
  <si>
    <t>daü yasemin 21-22  bahar okul ücreti</t>
  </si>
  <si>
    <t>06 yb 1397 1. taksit</t>
  </si>
  <si>
    <t>Umut-yasemin ramazan için</t>
  </si>
  <si>
    <t>Doğuş Kira 8/12-2022-23</t>
  </si>
  <si>
    <t>SnyF-Kynkçı Merdal 1-7/12-2022</t>
  </si>
  <si>
    <t>48000 TL-28000 7 aylık peşin</t>
  </si>
  <si>
    <t>Aylık 4000</t>
  </si>
  <si>
    <t>- ŞUBAT 2022</t>
  </si>
  <si>
    <t>balmer bilgisayar</t>
  </si>
  <si>
    <t>banggood lcd controller</t>
  </si>
  <si>
    <t>Yasemin 2021-2022 bahar KK</t>
  </si>
  <si>
    <t>KK</t>
  </si>
  <si>
    <t>Umut 2021-2022 bahar havale</t>
  </si>
  <si>
    <r>
      <rPr>
        <sz val="10"/>
        <color rgb="FF000000"/>
        <rFont val="Liberation Sans1"/>
        <charset val="162"/>
      </rPr>
      <t xml:space="preserve">Tuzgümrüğü kira </t>
    </r>
    <r>
      <rPr>
        <b/>
        <sz val="10"/>
        <color rgb="FF000000"/>
        <rFont val="F"/>
        <charset val="2"/>
      </rPr>
      <t>banka havalesi</t>
    </r>
  </si>
  <si>
    <t>Doğuş Kira +++++++++++++++++</t>
  </si>
  <si>
    <t>- OCAK 2022</t>
  </si>
  <si>
    <t>31-12-2021 İşbank</t>
  </si>
  <si>
    <t>Doğuş Kira</t>
  </si>
  <si>
    <t>2022 işlenecek dosyalar</t>
  </si>
  <si>
    <t>Dursun Durmuş İcra</t>
  </si>
  <si>
    <t>kira</t>
  </si>
  <si>
    <t>/media/m/depo_ssd/aa/hes2020/kira/sozlesmeler/2_sanayi/Sanayi_G_300m2_mermer/Sanayi_2_275m2_kaportacı/HSP dursun .ods</t>
  </si>
  <si>
    <t>ÇEPESAŞ hesap</t>
  </si>
  <si>
    <t>account</t>
  </si>
  <si>
    <t>/media/m/438C5BC92CEF8C4E/deeppoo_pc/aa/hes2020/Account/2022/2022 cepesas/2022 çedaş hesabı.ods</t>
  </si>
  <si>
    <t>SU SAYAC hesap</t>
  </si>
  <si>
    <t>/media/m/438C5BC92CEF8C4E/deeppoo_pc/aa/hes2020/Account/2022/2022 cepesas/2022 susayac hesabı.ods</t>
  </si>
  <si>
    <t>Doğuş Kira 5/12-2025-26 bankadan</t>
  </si>
  <si>
    <t>bankadan havale</t>
  </si>
  <si>
    <t>Taksit 6/12 - 36500</t>
  </si>
  <si>
    <t>Taksit 7/12 - 36500</t>
  </si>
  <si>
    <t>Taksit 8/12 - 36500</t>
  </si>
  <si>
    <t>Taksit 9/12 - 36500</t>
  </si>
  <si>
    <t>Taksit 10/12 - 36500</t>
  </si>
  <si>
    <t>Taksit 11/12 - 36500</t>
  </si>
  <si>
    <t>Taksit 12/12 - 36500</t>
  </si>
  <si>
    <t>sivas benzin</t>
  </si>
  <si>
    <t xml:space="preserve">Kira Adem Özen 8/12 Mrmr Ryl A Blok 82  </t>
  </si>
  <si>
    <t xml:space="preserve">Kira Adem Özen 9/12 Mrmr Ryl A Blok 82  </t>
  </si>
  <si>
    <t xml:space="preserve">Kira Adem Özen 10/12 Mrmr Ryl A Blok 82  </t>
  </si>
  <si>
    <t xml:space="preserve">Kira Adem Özen 11/12 Mrmr Ryl A Blok 82  </t>
  </si>
  <si>
    <t xml:space="preserve">Kira Adem Özen 12/12 Mrmr Ryl A Blok 82  </t>
  </si>
  <si>
    <t xml:space="preserve">Kira Adem Özen 1/12 Mrmr Ryl A Blok 82  </t>
  </si>
  <si>
    <t xml:space="preserve"> 2024 / 8/9</t>
  </si>
  <si>
    <t xml:space="preserve"> 2024 / 5/9</t>
  </si>
  <si>
    <t xml:space="preserve"> 2024 / 6/9</t>
  </si>
  <si>
    <t>turknet yıllık internet</t>
  </si>
  <si>
    <t>yasemin 24 ocak için</t>
  </si>
  <si>
    <t>İş ytrm 1626748 THYAO</t>
  </si>
  <si>
    <t>iş ytrm ALTIN.S1                          30,86</t>
  </si>
  <si>
    <t>iş ytrm ALTIN.S1                                32,48</t>
  </si>
  <si>
    <t>İş ytrm 1626748 801 STOPAJ</t>
  </si>
  <si>
    <t>iş ytrm 382789 801                          nzn</t>
  </si>
  <si>
    <t>merc çorca</t>
  </si>
  <si>
    <t>pegasus kıbrıs umut mezuniyet peri-atila-hc kysr</t>
  </si>
  <si>
    <t>pegasus kıbrıs umut mezuniyet ayşe ist</t>
  </si>
  <si>
    <t>pegasus kıbrıs umut mezuniyet yasemin ist</t>
  </si>
  <si>
    <t>tvk knt</t>
  </si>
  <si>
    <t>tvk dnr</t>
  </si>
  <si>
    <t>dnr</t>
  </si>
  <si>
    <t>topçam istanbul tasemin karakol</t>
  </si>
  <si>
    <t xml:space="preserve">mola </t>
  </si>
  <si>
    <t>ymk ysmn</t>
  </si>
  <si>
    <t>penti pijama</t>
  </si>
  <si>
    <t>emar yemek</t>
  </si>
  <si>
    <t>emar yemek çocuklar</t>
  </si>
  <si>
    <t>pegasus iade</t>
  </si>
  <si>
    <t>pegasus yasemin indirimli</t>
  </si>
  <si>
    <t>mrcmk çorba</t>
  </si>
  <si>
    <t>uöut klavye mouse n11</t>
  </si>
  <si>
    <t>peri çiçek</t>
  </si>
  <si>
    <t>lcw kot</t>
  </si>
  <si>
    <t>pideci mustafa</t>
  </si>
  <si>
    <t>kkasap</t>
  </si>
  <si>
    <t>cevizli</t>
  </si>
  <si>
    <t>mrkt bonustan</t>
  </si>
  <si>
    <t>ahmet alp karne</t>
  </si>
  <si>
    <t>BELEDİYE sanayi sayaç 5-6 taksitler</t>
  </si>
  <si>
    <t>belediye ayşe balcı</t>
  </si>
  <si>
    <t>belediye hmb 2024 emlak-su</t>
  </si>
  <si>
    <t>emlak vergileri İŞ KK İLE ÖDENDİ AYŞE-HMB - PERİ BORC YOK</t>
  </si>
  <si>
    <t>BELEDİYE PERİ BORÇ YOK</t>
  </si>
  <si>
    <t>voda 2240</t>
  </si>
  <si>
    <t xml:space="preserve">turknet 12 aylık internet </t>
  </si>
  <si>
    <t xml:space="preserve"> 6 taksit</t>
  </si>
  <si>
    <t>aylık fiyat</t>
  </si>
  <si>
    <t>6 ayda  ödenecek</t>
  </si>
  <si>
    <t>fazla ödeme</t>
  </si>
  <si>
    <t>turknet 12 aylık internet + 299,90 fazla ödeme</t>
  </si>
  <si>
    <t>MART 2025 e</t>
  </si>
  <si>
    <t>İş ytrm 1626748 801                  satış 25</t>
  </si>
  <si>
    <t>İş ytrm 1626748 801                   satış 9</t>
  </si>
  <si>
    <t>İş ytrm 1626748 801          ali demirel avukatlık</t>
  </si>
  <si>
    <t>İş ytrm 1626748 801   deniz kk</t>
  </si>
  <si>
    <t>emrullah özere - ali demirel avukatlık ücreti</t>
  </si>
  <si>
    <t>kayseri havalanı otopark</t>
  </si>
  <si>
    <t>elmacıoğlu iskender</t>
  </si>
  <si>
    <t>havalanı fazla kilo</t>
  </si>
  <si>
    <t>eziç yenek</t>
  </si>
  <si>
    <r>
      <t xml:space="preserve">TUSDATA 2025    21/30   1*8595 = 8595-250 = </t>
    </r>
    <r>
      <rPr>
        <b/>
        <u/>
        <sz val="10"/>
        <color rgb="FF000000"/>
        <rFont val="Arial"/>
        <family val="2"/>
        <charset val="162"/>
      </rPr>
      <t>8345</t>
    </r>
  </si>
  <si>
    <r>
      <t>TUSDATA 2025    22/30   79605 -</t>
    </r>
    <r>
      <rPr>
        <b/>
        <u/>
        <sz val="10"/>
        <color rgb="FF000000"/>
        <rFont val="Arial"/>
        <family val="2"/>
        <charset val="162"/>
      </rPr>
      <t xml:space="preserve"> 8845</t>
    </r>
    <r>
      <rPr>
        <sz val="10"/>
        <color rgb="FF000000"/>
        <rFont val="Arial"/>
        <family val="2"/>
        <charset val="162"/>
      </rPr>
      <t xml:space="preserve"> = 70760</t>
    </r>
  </si>
  <si>
    <t>2025 01 tüfe</t>
  </si>
  <si>
    <t>doğuş</t>
  </si>
  <si>
    <t>march benzin umut mezuniyet</t>
  </si>
  <si>
    <t>İş ytrm 1626748 801          adem özen kira</t>
  </si>
  <si>
    <t>İş ytrm 1626748 801                 satış 21</t>
  </si>
  <si>
    <t>umut passtrm</t>
  </si>
  <si>
    <t>ksp</t>
  </si>
  <si>
    <t>coşkun giyim mont-pant</t>
  </si>
  <si>
    <t>kanat</t>
  </si>
  <si>
    <t>tv-kağıt-hvl</t>
  </si>
  <si>
    <t>aof 4. dönem ücreti</t>
  </si>
  <si>
    <t>ali demirel ihtar noter msrf için av. Emrullaha havale</t>
  </si>
  <si>
    <t>A101</t>
  </si>
  <si>
    <t>EMRAR ARAR</t>
  </si>
  <si>
    <t xml:space="preserve">pide   </t>
  </si>
  <si>
    <t>bahçe benzin</t>
  </si>
  <si>
    <t>tantuni</t>
  </si>
  <si>
    <t>DAU yasemin okul</t>
  </si>
  <si>
    <t xml:space="preserve"> 2024 / 7/9 iş kk</t>
  </si>
  <si>
    <t>NİSAN 2025 e</t>
  </si>
  <si>
    <t>vodafone 2240</t>
  </si>
  <si>
    <t>kar</t>
  </si>
  <si>
    <t>satış</t>
  </si>
  <si>
    <t>gün</t>
  </si>
  <si>
    <t>aylık</t>
  </si>
  <si>
    <t>net</t>
  </si>
  <si>
    <t>thyo</t>
  </si>
  <si>
    <t>İş ytrm 1626748 THYAO             satış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</si>
</sst>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dd\.mm\.yy;@"/>
    <numFmt numFmtId="165" formatCode="#,##0.00\ _T_L;[Red]\-#,##0.00\ _T_L"/>
    <numFmt numFmtId="166" formatCode="%0"/>
    <numFmt numFmtId="167" formatCode="#,##0.00_ ;[Red]\-#,##0.00\ "/>
    <numFmt numFmtId="168" formatCode="&quot;Tpl / &quot;General"/>
    <numFmt numFmtId="169" formatCode="0.0000%"/>
    <numFmt numFmtId="170" formatCode="%0.0000"/>
    <numFmt numFmtId="171" formatCode="%0.00"/>
    <numFmt numFmtId="172" formatCode="0.00_ ;[Red]\-0.00\ "/>
    <numFmt numFmtId="173" formatCode="d\.mmm"/>
    <numFmt numFmtId="174" formatCode="dd/mmm"/>
    <numFmt numFmtId="175" formatCode="dd\.mm\.yyyy"/>
    <numFmt numFmtId="176" formatCode="dd/mm/yyyy"/>
    <numFmt numFmtId="177" formatCode="dd/mm/yy;@"/>
    <numFmt numFmtId="178" formatCode="[$₺-41F]#,##0.00;[Red]\-[$₺-41F]#,##0.00"/>
    <numFmt numFmtId="179" formatCode="#,##0.000000"/>
    <numFmt numFmtId="180" formatCode="#,##0.0000"/>
    <numFmt numFmtId="181" formatCode="_-* #,##0.00_-;\-* #,##0.00_-;_-* \-??_-;_-@_-"/>
    <numFmt numFmtId="182" formatCode="#,##0.00;[Red]#,##0.00"/>
    <numFmt numFmtId="183" formatCode="d\.mm\.yyyy"/>
    <numFmt numFmtId="184" formatCode="#,##0.00\ ;[Red]\-#,##0.00\ "/>
    <numFmt numFmtId="185" formatCode="#,##0.000"/>
    <numFmt numFmtId="186" formatCode="0_ ;[Red]\-0\ "/>
    <numFmt numFmtId="187" formatCode="#,##0.000000000;[Red]\-#,##0.000000000"/>
    <numFmt numFmtId="188" formatCode="0.000%"/>
    <numFmt numFmtId="189" formatCode="0.000000_ ;[Red]\-0.000000\ "/>
    <numFmt numFmtId="190" formatCode="%0.000"/>
    <numFmt numFmtId="191" formatCode="0.000_ ;[Red]\-0.000\ "/>
  </numFmts>
  <fonts count="48">
    <font>
      <sz val="10"/>
      <color rgb="FF000000"/>
      <name val="Liberation Sans1"/>
      <charset val="162"/>
    </font>
    <font>
      <sz val="11"/>
      <color theme="1"/>
      <name val="Calibri"/>
      <family val="2"/>
      <charset val="162"/>
      <scheme val="minor"/>
    </font>
    <font>
      <sz val="10"/>
      <color rgb="FFFFFFFF"/>
      <name val="Liberation Sans1"/>
      <charset val="162"/>
    </font>
    <font>
      <b/>
      <sz val="10"/>
      <color rgb="FF000000"/>
      <name val="Liberation Sans1"/>
      <charset val="162"/>
    </font>
    <font>
      <sz val="10"/>
      <color rgb="FFCC0000"/>
      <name val="Liberation Sans1"/>
      <charset val="162"/>
    </font>
    <font>
      <b/>
      <sz val="10"/>
      <color rgb="FFFFFFFF"/>
      <name val="Liberation Sans1"/>
      <charset val="162"/>
    </font>
    <font>
      <i/>
      <sz val="10"/>
      <color rgb="FF808080"/>
      <name val="Liberation Sans1"/>
      <charset val="162"/>
    </font>
    <font>
      <sz val="10"/>
      <color rgb="FF006600"/>
      <name val="Liberation Sans1"/>
      <charset val="162"/>
    </font>
    <font>
      <sz val="18"/>
      <color rgb="FF000000"/>
      <name val="Liberation Sans1"/>
      <charset val="162"/>
    </font>
    <font>
      <b/>
      <sz val="24"/>
      <color rgb="FF000000"/>
      <name val="Liberation Sans1"/>
      <charset val="162"/>
    </font>
    <font>
      <sz val="12"/>
      <color rgb="FF000000"/>
      <name val="Liberation Sans1"/>
      <charset val="162"/>
    </font>
    <font>
      <u/>
      <sz val="10"/>
      <color rgb="FF0000EE"/>
      <name val="Liberation Sans1"/>
      <charset val="162"/>
    </font>
    <font>
      <sz val="10"/>
      <color rgb="FF996600"/>
      <name val="Liberation Sans1"/>
      <charset val="162"/>
    </font>
    <font>
      <sz val="10"/>
      <color rgb="FF333333"/>
      <name val="Liberation Sans1"/>
      <charset val="162"/>
    </font>
    <font>
      <b/>
      <i/>
      <u/>
      <sz val="10"/>
      <color rgb="FF000000"/>
      <name val="Liberation Sans1"/>
      <charset val="162"/>
    </font>
    <font>
      <b/>
      <u/>
      <sz val="10"/>
      <color rgb="FF000000"/>
      <name val="Liberation Sans1"/>
      <charset val="162"/>
    </font>
    <font>
      <b/>
      <sz val="12"/>
      <color rgb="FF000000"/>
      <name val="Liberation Sans1"/>
      <charset val="162"/>
    </font>
    <font>
      <u/>
      <sz val="10"/>
      <color rgb="FF000000"/>
      <name val="Liberation Sans1"/>
      <charset val="162"/>
    </font>
    <font>
      <sz val="8"/>
      <color rgb="FF000000"/>
      <name val="Liberation Sans1"/>
      <charset val="162"/>
    </font>
    <font>
      <sz val="11"/>
      <color rgb="FF9C0006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000000"/>
      <name val="Calibri1"/>
      <charset val="162"/>
    </font>
    <font>
      <i/>
      <u/>
      <sz val="10"/>
      <color rgb="FF000000"/>
      <name val="Arial"/>
      <family val="2"/>
      <charset val="162"/>
    </font>
    <font>
      <b/>
      <sz val="10"/>
      <color rgb="FF000000"/>
      <name val="Arial"/>
      <family val="2"/>
      <charset val="162"/>
    </font>
    <font>
      <b/>
      <i/>
      <u/>
      <sz val="10"/>
      <color rgb="FF000000"/>
      <name val="Arial"/>
      <family val="2"/>
      <charset val="162"/>
    </font>
    <font>
      <sz val="10"/>
      <color rgb="FF000000"/>
      <name val="Arial"/>
      <family val="2"/>
      <charset val="162"/>
    </font>
    <font>
      <b/>
      <u/>
      <sz val="10"/>
      <color rgb="FF000000"/>
      <name val="Arial"/>
      <family val="2"/>
      <charset val="162"/>
    </font>
    <font>
      <sz val="11"/>
      <color rgb="FFFFFFFF"/>
      <name val="Calibri"/>
      <family val="2"/>
      <charset val="162"/>
    </font>
    <font>
      <sz val="10"/>
      <color rgb="FFFF0000"/>
      <name val="Liberation Sans1"/>
      <charset val="162"/>
    </font>
    <font>
      <b/>
      <sz val="10"/>
      <color rgb="FFFF0000"/>
      <name val="Liberation Sans1"/>
      <charset val="162"/>
    </font>
    <font>
      <b/>
      <sz val="8"/>
      <color rgb="FF000000"/>
      <name val="Liberation Sans1"/>
      <charset val="162"/>
    </font>
    <font>
      <sz val="10"/>
      <color rgb="FFFF0000"/>
      <name val="Arial"/>
      <family val="2"/>
      <charset val="162"/>
    </font>
    <font>
      <b/>
      <u/>
      <sz val="12"/>
      <color rgb="FF000000"/>
      <name val="Liberation Sans1"/>
      <charset val="162"/>
    </font>
    <font>
      <b/>
      <sz val="11"/>
      <color rgb="FF000000"/>
      <name val="Liberation Sans1"/>
      <charset val="162"/>
    </font>
    <font>
      <b/>
      <sz val="9"/>
      <color rgb="FF000000"/>
      <name val="Liberation Sans1"/>
      <charset val="162"/>
    </font>
    <font>
      <b/>
      <i/>
      <u/>
      <sz val="11"/>
      <color rgb="FFFF0000"/>
      <name val="Liberation Sans1"/>
      <charset val="162"/>
    </font>
    <font>
      <b/>
      <i/>
      <u/>
      <sz val="11"/>
      <color rgb="FF000000"/>
      <name val="Liberation Sans1"/>
      <charset val="162"/>
    </font>
    <font>
      <sz val="6"/>
      <color rgb="FF000000"/>
      <name val="Times New Roman"/>
      <family val="1"/>
      <charset val="162"/>
    </font>
    <font>
      <sz val="10"/>
      <color rgb="FF000000"/>
      <name val="Times New Roman"/>
      <family val="1"/>
      <charset val="162"/>
    </font>
    <font>
      <b/>
      <sz val="10"/>
      <color rgb="FF000000"/>
      <name val="F"/>
      <charset val="2"/>
    </font>
    <font>
      <sz val="10"/>
      <color rgb="FF000000"/>
      <name val="F"/>
      <charset val="2"/>
    </font>
    <font>
      <b/>
      <sz val="10"/>
      <color rgb="FFC9211E"/>
      <name val="Liberation Sans1"/>
      <charset val="162"/>
    </font>
    <font>
      <b/>
      <sz val="10"/>
      <color rgb="FFC9211E"/>
      <name val="Arial"/>
      <family val="2"/>
      <charset val="162"/>
    </font>
    <font>
      <sz val="10"/>
      <color rgb="FFC9211E"/>
      <name val="F"/>
      <charset val="2"/>
    </font>
    <font>
      <sz val="10"/>
      <color rgb="FF000000"/>
      <name val="Arial1"/>
      <charset val="162"/>
    </font>
    <font>
      <u/>
      <sz val="10"/>
      <color rgb="FF000000"/>
      <name val="Arial"/>
      <family val="2"/>
      <charset val="162"/>
    </font>
    <font>
      <sz val="10"/>
      <color rgb="FF000000"/>
      <name val="Liberation Sans1"/>
      <charset val="162"/>
    </font>
    <font>
      <b/>
      <i/>
      <u/>
      <sz val="10"/>
      <color rgb="FFFF0000"/>
      <name val="Liberation Sans1"/>
      <charset val="162"/>
    </font>
  </fonts>
  <fills count="49">
    <fill>
      <patternFill patternType="none"/>
    </fill>
    <fill>
      <patternFill patternType="gray125"/>
    </fill>
    <fill>
      <patternFill patternType="solid">
        <fgColor rgb="FF000000"/>
        <bgColor rgb="FF000080"/>
      </patternFill>
    </fill>
    <fill>
      <patternFill patternType="solid">
        <fgColor rgb="FF808080"/>
        <bgColor rgb="FF729FCF"/>
      </patternFill>
    </fill>
    <fill>
      <patternFill patternType="solid">
        <fgColor rgb="FFDDDDDD"/>
        <bgColor rgb="FFD9E1F2"/>
      </patternFill>
    </fill>
    <fill>
      <patternFill patternType="solid">
        <fgColor rgb="FFFFCCCC"/>
        <bgColor rgb="FFFFC7CE"/>
      </patternFill>
    </fill>
    <fill>
      <patternFill patternType="solid">
        <fgColor rgb="FFCC0000"/>
        <bgColor rgb="FF9C0006"/>
      </patternFill>
    </fill>
    <fill>
      <patternFill patternType="solid">
        <fgColor rgb="FFCCFFCC"/>
        <bgColor rgb="FFE2F0D9"/>
      </patternFill>
    </fill>
    <fill>
      <patternFill patternType="solid">
        <fgColor rgb="FFFFFFCC"/>
        <bgColor rgb="FFFFFFD7"/>
      </patternFill>
    </fill>
    <fill>
      <patternFill patternType="solid">
        <fgColor rgb="FFFFC7CE"/>
        <bgColor rgb="FFFFCCCC"/>
      </patternFill>
    </fill>
    <fill>
      <patternFill patternType="solid">
        <fgColor rgb="FFA9D08E"/>
        <bgColor rgb="FFAFD095"/>
      </patternFill>
    </fill>
    <fill>
      <patternFill patternType="solid">
        <fgColor rgb="FF4472C4"/>
        <bgColor rgb="FF808080"/>
      </patternFill>
    </fill>
    <fill>
      <patternFill patternType="solid">
        <fgColor rgb="FFFFFF00"/>
        <bgColor rgb="FFD4EA6B"/>
      </patternFill>
    </fill>
    <fill>
      <patternFill patternType="solid">
        <fgColor rgb="FFE8F2A1"/>
        <bgColor rgb="FFFFFFA6"/>
      </patternFill>
    </fill>
    <fill>
      <patternFill patternType="solid">
        <fgColor rgb="FF729FCF"/>
        <bgColor rgb="FF9BC2E6"/>
      </patternFill>
    </fill>
    <fill>
      <patternFill patternType="solid">
        <fgColor rgb="FFC6E0B4"/>
        <bgColor rgb="FFC5E0B4"/>
      </patternFill>
    </fill>
    <fill>
      <patternFill patternType="solid">
        <fgColor rgb="FFE2EFDA"/>
        <bgColor rgb="FFE2F0D9"/>
      </patternFill>
    </fill>
    <fill>
      <patternFill patternType="solid">
        <fgColor rgb="FFFFFFD7"/>
        <bgColor rgb="FFFFFFCC"/>
      </patternFill>
    </fill>
    <fill>
      <patternFill patternType="solid">
        <fgColor rgb="FFC5E0B4"/>
        <bgColor rgb="FFC6E0B4"/>
      </patternFill>
    </fill>
    <fill>
      <patternFill patternType="solid">
        <fgColor rgb="FFAFD095"/>
        <bgColor rgb="FFA9D08E"/>
      </patternFill>
    </fill>
    <fill>
      <patternFill patternType="solid">
        <fgColor theme="9" tint="0.79989013336588644"/>
        <bgColor rgb="FFE2EFDA"/>
      </patternFill>
    </fill>
    <fill>
      <patternFill patternType="solid">
        <fgColor rgb="FFFFBF00"/>
        <bgColor rgb="FFFFFF00"/>
      </patternFill>
    </fill>
    <fill>
      <patternFill patternType="solid">
        <fgColor theme="5" tint="0.79989013336588644"/>
        <bgColor rgb="FFFCE4D6"/>
      </patternFill>
    </fill>
    <fill>
      <patternFill patternType="solid">
        <fgColor rgb="FFDEEBF7"/>
        <bgColor rgb="FFDDEBF7"/>
      </patternFill>
    </fill>
    <fill>
      <patternFill patternType="solid">
        <fgColor rgb="FFDDEBF7"/>
        <bgColor rgb="FFDEEBF7"/>
      </patternFill>
    </fill>
    <fill>
      <patternFill patternType="solid">
        <fgColor rgb="FFFFFFA6"/>
        <bgColor rgb="FFFFFFCC"/>
      </patternFill>
    </fill>
    <fill>
      <patternFill patternType="solid">
        <fgColor rgb="FFFCE4D6"/>
        <bgColor rgb="FFFBE5D6"/>
      </patternFill>
    </fill>
    <fill>
      <patternFill patternType="solid">
        <fgColor rgb="FF9BC2E6"/>
        <bgColor rgb="FFAFD095"/>
      </patternFill>
    </fill>
    <fill>
      <patternFill patternType="solid">
        <fgColor rgb="FFF7D1D5"/>
        <bgColor rgb="FFFFD7D7"/>
      </patternFill>
    </fill>
    <fill>
      <patternFill patternType="solid">
        <fgColor rgb="FFFFF2CC"/>
        <bgColor rgb="FFF6F9D4"/>
      </patternFill>
    </fill>
    <fill>
      <patternFill patternType="solid">
        <fgColor rgb="FFF6F9D4"/>
        <bgColor rgb="FFFFFFD7"/>
      </patternFill>
    </fill>
    <fill>
      <patternFill patternType="solid">
        <fgColor rgb="FFD9E1F2"/>
        <bgColor rgb="FFDDDDDD"/>
      </patternFill>
    </fill>
    <fill>
      <patternFill patternType="solid">
        <fgColor rgb="FFE0C2CD"/>
        <bgColor rgb="FFF7D1D5"/>
      </patternFill>
    </fill>
    <fill>
      <patternFill patternType="solid">
        <fgColor rgb="FF81D41A"/>
        <bgColor rgb="FFBBE33D"/>
      </patternFill>
    </fill>
    <fill>
      <patternFill patternType="solid">
        <fgColor rgb="FFFFA6A6"/>
        <bgColor rgb="FFFFC7CE"/>
      </patternFill>
    </fill>
    <fill>
      <patternFill patternType="solid">
        <fgColor rgb="FFBBE33D"/>
        <bgColor rgb="FFD4EA6B"/>
      </patternFill>
    </fill>
    <fill>
      <patternFill patternType="solid">
        <fgColor rgb="FFFFD8CE"/>
        <bgColor rgb="FFFFD7D7"/>
      </patternFill>
    </fill>
    <fill>
      <patternFill patternType="solid">
        <fgColor rgb="FFD4EA6B"/>
        <bgColor rgb="FFBBE33D"/>
      </patternFill>
    </fill>
    <fill>
      <patternFill patternType="solid">
        <fgColor rgb="FFFFD7D7"/>
        <bgColor rgb="FFFFD8CE"/>
      </patternFill>
    </fill>
    <fill>
      <patternFill patternType="solid">
        <fgColor rgb="FF069A2E"/>
        <bgColor rgb="FF468A1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E2EFDA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rgb="FFE2EFDA"/>
      </patternFill>
    </fill>
  </fills>
  <borders count="3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4">
    <xf numFmtId="0" fontId="0" fillId="0" borderId="0"/>
    <xf numFmtId="181" fontId="46" fillId="0" borderId="0" applyBorder="0" applyProtection="0"/>
    <xf numFmtId="166" fontId="46" fillId="0" borderId="0" applyBorder="0" applyProtection="0"/>
    <xf numFmtId="0" fontId="2" fillId="2" borderId="0" applyBorder="0" applyProtection="0"/>
    <xf numFmtId="0" fontId="2" fillId="3" borderId="0" applyBorder="0" applyProtection="0"/>
    <xf numFmtId="0" fontId="3" fillId="4" borderId="0" applyBorder="0" applyProtection="0"/>
    <xf numFmtId="0" fontId="3" fillId="0" borderId="0" applyBorder="0" applyProtection="0"/>
    <xf numFmtId="0" fontId="4" fillId="5" borderId="0" applyBorder="0" applyProtection="0"/>
    <xf numFmtId="0" fontId="5" fillId="6" borderId="0" applyBorder="0" applyProtection="0"/>
    <xf numFmtId="0" fontId="6" fillId="0" borderId="0" applyBorder="0" applyProtection="0"/>
    <xf numFmtId="0" fontId="7" fillId="7" borderId="0" applyBorder="0" applyProtection="0"/>
    <xf numFmtId="0" fontId="8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1" fillId="0" borderId="0" applyBorder="0" applyProtection="0"/>
    <xf numFmtId="0" fontId="12" fillId="8" borderId="0" applyBorder="0" applyProtection="0"/>
    <xf numFmtId="0" fontId="13" fillId="8" borderId="1" applyProtection="0"/>
    <xf numFmtId="0" fontId="14" fillId="0" borderId="0" applyBorder="0" applyProtection="0"/>
    <xf numFmtId="0" fontId="46" fillId="0" borderId="0" applyBorder="0" applyProtection="0"/>
    <xf numFmtId="0" fontId="46" fillId="0" borderId="0" applyBorder="0" applyProtection="0"/>
    <xf numFmtId="0" fontId="4" fillId="0" borderId="0" applyBorder="0" applyProtection="0"/>
    <xf numFmtId="0" fontId="19" fillId="9" borderId="0" applyBorder="0" applyProtection="0"/>
    <xf numFmtId="0" fontId="20" fillId="10" borderId="0" applyBorder="0" applyProtection="0"/>
    <xf numFmtId="0" fontId="27" fillId="11" borderId="0" applyBorder="0" applyProtection="0"/>
  </cellStyleXfs>
  <cellXfs count="464">
    <xf numFmtId="0" fontId="0" fillId="0" borderId="0" xfId="0"/>
    <xf numFmtId="164" fontId="0" fillId="0" borderId="0" xfId="0" applyNumberFormat="1"/>
    <xf numFmtId="4" fontId="0" fillId="0" borderId="0" xfId="0" applyNumberFormat="1"/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4" fontId="15" fillId="0" borderId="0" xfId="0" applyNumberFormat="1" applyFont="1" applyAlignment="1">
      <alignment horizontal="right"/>
    </xf>
    <xf numFmtId="0" fontId="0" fillId="0" borderId="0" xfId="0" applyFont="1"/>
    <xf numFmtId="4" fontId="0" fillId="12" borderId="0" xfId="0" applyNumberFormat="1" applyFill="1"/>
    <xf numFmtId="164" fontId="0" fillId="0" borderId="0" xfId="0" applyNumberFormat="1"/>
    <xf numFmtId="0" fontId="0" fillId="0" borderId="0" xfId="0"/>
    <xf numFmtId="4" fontId="0" fillId="0" borderId="0" xfId="0" applyNumberFormat="1"/>
    <xf numFmtId="4" fontId="3" fillId="0" borderId="2" xfId="0" applyNumberFormat="1" applyFont="1" applyBorder="1"/>
    <xf numFmtId="4" fontId="3" fillId="0" borderId="3" xfId="0" applyNumberFormat="1" applyFont="1" applyBorder="1"/>
    <xf numFmtId="4" fontId="3" fillId="0" borderId="4" xfId="0" applyNumberFormat="1" applyFont="1" applyBorder="1"/>
    <xf numFmtId="4" fontId="3" fillId="0" borderId="5" xfId="0" applyNumberFormat="1" applyFont="1" applyBorder="1" applyAlignment="1">
      <alignment horizontal="right"/>
    </xf>
    <xf numFmtId="4" fontId="3" fillId="0" borderId="0" xfId="0" applyNumberFormat="1" applyFont="1"/>
    <xf numFmtId="0" fontId="3" fillId="0" borderId="0" xfId="0" applyFont="1" applyAlignment="1">
      <alignment horizontal="right"/>
    </xf>
    <xf numFmtId="0" fontId="16" fillId="13" borderId="0" xfId="0" applyFont="1" applyFill="1" applyAlignment="1">
      <alignment horizontal="left"/>
    </xf>
    <xf numFmtId="165" fontId="17" fillId="13" borderId="6" xfId="0" applyNumberFormat="1" applyFont="1" applyFill="1" applyBorder="1" applyAlignment="1">
      <alignment horizontal="center"/>
    </xf>
    <xf numFmtId="165" fontId="17" fillId="13" borderId="7" xfId="0" applyNumberFormat="1" applyFont="1" applyFill="1" applyBorder="1" applyAlignment="1">
      <alignment horizontal="center"/>
    </xf>
    <xf numFmtId="165" fontId="17" fillId="13" borderId="8" xfId="0" applyNumberFormat="1" applyFont="1" applyFill="1" applyBorder="1" applyAlignment="1">
      <alignment horizontal="right"/>
    </xf>
    <xf numFmtId="165" fontId="17" fillId="13" borderId="6" xfId="0" applyNumberFormat="1" applyFont="1" applyFill="1" applyBorder="1" applyAlignment="1">
      <alignment horizontal="right"/>
    </xf>
    <xf numFmtId="165" fontId="17" fillId="14" borderId="8" xfId="0" applyNumberFormat="1" applyFont="1" applyFill="1" applyBorder="1" applyAlignment="1">
      <alignment horizontal="right"/>
    </xf>
    <xf numFmtId="0" fontId="0" fillId="13" borderId="0" xfId="0" applyFill="1"/>
    <xf numFmtId="0" fontId="0" fillId="13" borderId="0" xfId="0" applyFill="1" applyAlignment="1">
      <alignment horizontal="center" vertical="center"/>
    </xf>
    <xf numFmtId="166" fontId="18" fillId="15" borderId="9" xfId="0" applyNumberFormat="1" applyFont="1" applyFill="1" applyBorder="1" applyAlignment="1">
      <alignment horizontal="center" vertical="center"/>
    </xf>
    <xf numFmtId="165" fontId="17" fillId="13" borderId="7" xfId="0" applyNumberFormat="1" applyFont="1" applyFill="1" applyBorder="1" applyAlignment="1">
      <alignment horizontal="right"/>
    </xf>
    <xf numFmtId="166" fontId="0" fillId="15" borderId="10" xfId="0" applyNumberFormat="1" applyFill="1" applyBorder="1" applyAlignment="1">
      <alignment horizontal="center" vertical="center"/>
    </xf>
    <xf numFmtId="166" fontId="0" fillId="16" borderId="11" xfId="0" applyNumberFormat="1" applyFill="1" applyBorder="1" applyAlignment="1">
      <alignment horizontal="center" vertical="center"/>
    </xf>
    <xf numFmtId="4" fontId="0" fillId="16" borderId="12" xfId="0" applyNumberFormat="1" applyFont="1" applyFill="1" applyBorder="1" applyAlignment="1">
      <alignment horizontal="center" vertical="center"/>
    </xf>
    <xf numFmtId="167" fontId="0" fillId="17" borderId="0" xfId="0" applyNumberFormat="1" applyFill="1"/>
    <xf numFmtId="167" fontId="0" fillId="18" borderId="0" xfId="0" applyNumberFormat="1" applyFill="1"/>
    <xf numFmtId="165" fontId="0" fillId="14" borderId="13" xfId="0" applyNumberFormat="1" applyFill="1" applyBorder="1"/>
    <xf numFmtId="0" fontId="0" fillId="0" borderId="0" xfId="0" applyFont="1" applyAlignment="1">
      <alignment horizontal="right"/>
    </xf>
    <xf numFmtId="4" fontId="0" fillId="15" borderId="10" xfId="0" applyNumberFormat="1" applyFill="1" applyBorder="1"/>
    <xf numFmtId="0" fontId="0" fillId="16" borderId="11" xfId="0" applyFill="1" applyBorder="1"/>
    <xf numFmtId="0" fontId="0" fillId="16" borderId="12" xfId="0" applyFill="1" applyBorder="1"/>
    <xf numFmtId="1" fontId="0" fillId="15" borderId="10" xfId="0" applyNumberFormat="1" applyFill="1" applyBorder="1"/>
    <xf numFmtId="4" fontId="0" fillId="16" borderId="11" xfId="0" applyNumberFormat="1" applyFill="1" applyBorder="1"/>
    <xf numFmtId="0" fontId="0" fillId="0" borderId="0" xfId="0" applyFont="1" applyAlignment="1">
      <alignment horizontal="left"/>
    </xf>
    <xf numFmtId="3" fontId="0" fillId="16" borderId="12" xfId="0" applyNumberFormat="1" applyFill="1" applyBorder="1"/>
    <xf numFmtId="4" fontId="0" fillId="16" borderId="12" xfId="0" applyNumberFormat="1" applyFill="1" applyBorder="1"/>
    <xf numFmtId="0" fontId="0" fillId="16" borderId="0" xfId="0" applyFont="1" applyFill="1" applyAlignment="1">
      <alignment horizontal="right"/>
    </xf>
    <xf numFmtId="0" fontId="0" fillId="16" borderId="0" xfId="0" applyFill="1"/>
    <xf numFmtId="0" fontId="3" fillId="19" borderId="0" xfId="0" applyFont="1" applyFill="1"/>
    <xf numFmtId="165" fontId="0" fillId="14" borderId="0" xfId="0" applyNumberFormat="1" applyFill="1"/>
    <xf numFmtId="0" fontId="0" fillId="19" borderId="2" xfId="0" applyFill="1" applyBorder="1"/>
    <xf numFmtId="0" fontId="0" fillId="19" borderId="14" xfId="0" applyFill="1" applyBorder="1"/>
    <xf numFmtId="1" fontId="3" fillId="15" borderId="9" xfId="0" applyNumberFormat="1" applyFont="1" applyFill="1" applyBorder="1"/>
    <xf numFmtId="4" fontId="3" fillId="16" borderId="2" xfId="0" applyNumberFormat="1" applyFont="1" applyFill="1" applyBorder="1"/>
    <xf numFmtId="3" fontId="3" fillId="16" borderId="3" xfId="0" applyNumberFormat="1" applyFont="1" applyFill="1" applyBorder="1"/>
    <xf numFmtId="168" fontId="18" fillId="0" borderId="15" xfId="0" applyNumberFormat="1" applyFont="1" applyBorder="1"/>
    <xf numFmtId="4" fontId="18" fillId="0" borderId="16" xfId="0" applyNumberFormat="1" applyFont="1" applyBorder="1"/>
    <xf numFmtId="4" fontId="18" fillId="0" borderId="15" xfId="0" applyNumberFormat="1" applyFont="1" applyBorder="1"/>
    <xf numFmtId="4" fontId="0" fillId="14" borderId="15" xfId="0" applyNumberFormat="1" applyFill="1" applyBorder="1"/>
    <xf numFmtId="0" fontId="0" fillId="0" borderId="17" xfId="0" applyBorder="1"/>
    <xf numFmtId="4" fontId="18" fillId="0" borderId="18" xfId="0" applyNumberFormat="1" applyFont="1" applyBorder="1"/>
    <xf numFmtId="1" fontId="18" fillId="15" borderId="19" xfId="0" applyNumberFormat="1" applyFont="1" applyFill="1" applyBorder="1"/>
    <xf numFmtId="4" fontId="18" fillId="16" borderId="17" xfId="0" applyNumberFormat="1" applyFont="1" applyFill="1" applyBorder="1"/>
    <xf numFmtId="4" fontId="18" fillId="16" borderId="20" xfId="0" applyNumberFormat="1" applyFont="1" applyFill="1" applyBorder="1"/>
    <xf numFmtId="4" fontId="18" fillId="0" borderId="0" xfId="0" applyNumberFormat="1" applyFont="1"/>
    <xf numFmtId="165" fontId="0" fillId="0" borderId="0" xfId="0" applyNumberFormat="1"/>
    <xf numFmtId="165" fontId="3" fillId="0" borderId="0" xfId="0" applyNumberFormat="1" applyFont="1" applyAlignment="1">
      <alignment horizontal="right"/>
    </xf>
    <xf numFmtId="4" fontId="0" fillId="16" borderId="4" xfId="0" applyNumberFormat="1" applyFill="1" applyBorder="1"/>
    <xf numFmtId="4" fontId="0" fillId="16" borderId="21" xfId="0" applyNumberFormat="1" applyFill="1" applyBorder="1"/>
    <xf numFmtId="0" fontId="17" fillId="0" borderId="0" xfId="0" applyFont="1"/>
    <xf numFmtId="165" fontId="15" fillId="0" borderId="0" xfId="0" applyNumberFormat="1" applyFont="1" applyAlignment="1">
      <alignment horizontal="right"/>
    </xf>
    <xf numFmtId="4" fontId="17" fillId="0" borderId="0" xfId="0" applyNumberFormat="1" applyFont="1"/>
    <xf numFmtId="17" fontId="0" fillId="0" borderId="0" xfId="0" applyNumberFormat="1"/>
    <xf numFmtId="169" fontId="19" fillId="9" borderId="0" xfId="2" applyNumberFormat="1" applyFont="1" applyFill="1" applyBorder="1" applyProtection="1"/>
    <xf numFmtId="170" fontId="0" fillId="0" borderId="0" xfId="2" applyNumberFormat="1" applyFont="1" applyBorder="1" applyProtection="1"/>
    <xf numFmtId="0" fontId="19" fillId="9" borderId="0" xfId="21" applyFont="1" applyBorder="1" applyProtection="1"/>
    <xf numFmtId="4" fontId="21" fillId="10" borderId="0" xfId="22" applyNumberFormat="1" applyFont="1" applyBorder="1" applyProtection="1"/>
    <xf numFmtId="0" fontId="21" fillId="10" borderId="0" xfId="22" applyFont="1" applyBorder="1" applyProtection="1"/>
    <xf numFmtId="171" fontId="0" fillId="0" borderId="0" xfId="2" applyNumberFormat="1" applyFont="1" applyBorder="1" applyProtection="1"/>
    <xf numFmtId="172" fontId="3" fillId="0" borderId="0" xfId="0" applyNumberFormat="1" applyFont="1"/>
    <xf numFmtId="172" fontId="0" fillId="0" borderId="0" xfId="0" applyNumberFormat="1"/>
    <xf numFmtId="165" fontId="0" fillId="0" borderId="16" xfId="0" applyNumberFormat="1" applyFont="1" applyBorder="1" applyAlignment="1">
      <alignment horizontal="right"/>
    </xf>
    <xf numFmtId="173" fontId="0" fillId="20" borderId="0" xfId="0" applyNumberFormat="1" applyFont="1" applyFill="1"/>
    <xf numFmtId="0" fontId="22" fillId="20" borderId="0" xfId="0" applyFont="1" applyFill="1"/>
    <xf numFmtId="0" fontId="0" fillId="20" borderId="0" xfId="0" applyFill="1"/>
    <xf numFmtId="172" fontId="3" fillId="20" borderId="0" xfId="0" applyNumberFormat="1" applyFont="1" applyFill="1"/>
    <xf numFmtId="174" fontId="0" fillId="20" borderId="0" xfId="0" applyNumberFormat="1" applyFont="1" applyFill="1"/>
    <xf numFmtId="0" fontId="0" fillId="20" borderId="0" xfId="0" applyFont="1" applyFill="1"/>
    <xf numFmtId="172" fontId="0" fillId="20" borderId="0" xfId="0" applyNumberFormat="1" applyFont="1" applyFill="1"/>
    <xf numFmtId="172" fontId="0" fillId="0" borderId="0" xfId="0" applyNumberFormat="1" applyFont="1"/>
    <xf numFmtId="174" fontId="0" fillId="0" borderId="0" xfId="0" applyNumberFormat="1"/>
    <xf numFmtId="175" fontId="23" fillId="0" borderId="0" xfId="0" applyNumberFormat="1" applyFont="1"/>
    <xf numFmtId="172" fontId="3" fillId="0" borderId="0" xfId="0" applyNumberFormat="1" applyFont="1"/>
    <xf numFmtId="0" fontId="24" fillId="0" borderId="0" xfId="0" applyFont="1"/>
    <xf numFmtId="0" fontId="3" fillId="0" borderId="0" xfId="0" applyFont="1"/>
    <xf numFmtId="0" fontId="23" fillId="0" borderId="0" xfId="0" applyFont="1"/>
    <xf numFmtId="172" fontId="25" fillId="0" borderId="0" xfId="0" applyNumberFormat="1" applyFont="1"/>
    <xf numFmtId="172" fontId="25" fillId="0" borderId="0" xfId="0" applyNumberFormat="1" applyFont="1" applyBorder="1"/>
    <xf numFmtId="172" fontId="0" fillId="0" borderId="0" xfId="0" applyNumberFormat="1" applyBorder="1"/>
    <xf numFmtId="176" fontId="0" fillId="0" borderId="0" xfId="0" applyNumberFormat="1"/>
    <xf numFmtId="177" fontId="0" fillId="0" borderId="0" xfId="0" applyNumberFormat="1"/>
    <xf numFmtId="175" fontId="23" fillId="0" borderId="0" xfId="0" applyNumberFormat="1" applyFont="1"/>
    <xf numFmtId="175" fontId="0" fillId="0" borderId="0" xfId="0" applyNumberFormat="1"/>
    <xf numFmtId="175" fontId="25" fillId="0" borderId="0" xfId="0" applyNumberFormat="1" applyFont="1"/>
    <xf numFmtId="178" fontId="3" fillId="0" borderId="0" xfId="0" applyNumberFormat="1" applyFont="1"/>
    <xf numFmtId="0" fontId="0" fillId="21" borderId="0" xfId="0" applyFill="1"/>
    <xf numFmtId="0" fontId="26" fillId="21" borderId="0" xfId="0" applyFont="1" applyFill="1"/>
    <xf numFmtId="0" fontId="27" fillId="11" borderId="0" xfId="23" applyFont="1" applyBorder="1" applyProtection="1"/>
    <xf numFmtId="0" fontId="25" fillId="0" borderId="0" xfId="0" applyFont="1"/>
    <xf numFmtId="0" fontId="23" fillId="0" borderId="0" xfId="0" applyFont="1"/>
    <xf numFmtId="172" fontId="3" fillId="22" borderId="0" xfId="0" applyNumberFormat="1" applyFont="1" applyFill="1"/>
    <xf numFmtId="0" fontId="0" fillId="0" borderId="0" xfId="19" applyFont="1" applyBorder="1" applyProtection="1"/>
    <xf numFmtId="172" fontId="23" fillId="0" borderId="0" xfId="0" applyNumberFormat="1" applyFont="1"/>
    <xf numFmtId="172" fontId="25" fillId="0" borderId="22" xfId="0" applyNumberFormat="1" applyFont="1" applyBorder="1"/>
    <xf numFmtId="172" fontId="0" fillId="0" borderId="22" xfId="0" applyNumberFormat="1" applyBorder="1"/>
    <xf numFmtId="0" fontId="3" fillId="21" borderId="0" xfId="0" applyFont="1" applyFill="1"/>
    <xf numFmtId="4" fontId="0" fillId="20" borderId="0" xfId="0" applyNumberFormat="1" applyFill="1"/>
    <xf numFmtId="179" fontId="0" fillId="20" borderId="0" xfId="0" applyNumberFormat="1" applyFill="1"/>
    <xf numFmtId="4" fontId="3" fillId="20" borderId="0" xfId="0" applyNumberFormat="1" applyFont="1" applyFill="1"/>
    <xf numFmtId="172" fontId="3" fillId="0" borderId="23" xfId="0" applyNumberFormat="1" applyFont="1" applyBorder="1"/>
    <xf numFmtId="3" fontId="0" fillId="20" borderId="0" xfId="0" applyNumberFormat="1" applyFill="1"/>
    <xf numFmtId="179" fontId="3" fillId="20" borderId="0" xfId="0" applyNumberFormat="1" applyFont="1" applyFill="1"/>
    <xf numFmtId="180" fontId="0" fillId="0" borderId="0" xfId="0" applyNumberFormat="1"/>
    <xf numFmtId="0" fontId="0" fillId="0" borderId="24" xfId="0" applyBorder="1"/>
    <xf numFmtId="172" fontId="3" fillId="0" borderId="24" xfId="0" applyNumberFormat="1" applyFont="1" applyBorder="1"/>
    <xf numFmtId="172" fontId="3" fillId="0" borderId="25" xfId="0" applyNumberFormat="1" applyFont="1" applyBorder="1" applyAlignment="1">
      <alignment horizontal="right"/>
    </xf>
    <xf numFmtId="167" fontId="3" fillId="0" borderId="0" xfId="0" applyNumberFormat="1" applyFont="1"/>
    <xf numFmtId="0" fontId="3" fillId="18" borderId="0" xfId="0" applyFont="1" applyFill="1"/>
    <xf numFmtId="0" fontId="3" fillId="18" borderId="0" xfId="0" applyFont="1" applyFill="1" applyAlignment="1">
      <alignment horizontal="right"/>
    </xf>
    <xf numFmtId="4" fontId="3" fillId="18" borderId="0" xfId="0" applyNumberFormat="1" applyFont="1" applyFill="1"/>
    <xf numFmtId="4" fontId="15" fillId="0" borderId="0" xfId="0" applyNumberFormat="1" applyFont="1"/>
    <xf numFmtId="0" fontId="0" fillId="0" borderId="2" xfId="0" applyFont="1" applyBorder="1"/>
    <xf numFmtId="0" fontId="0" fillId="0" borderId="14" xfId="0" applyBorder="1"/>
    <xf numFmtId="4" fontId="0" fillId="0" borderId="14" xfId="0" applyNumberFormat="1" applyBorder="1"/>
    <xf numFmtId="4" fontId="17" fillId="0" borderId="14" xfId="0" applyNumberFormat="1" applyFont="1" applyBorder="1"/>
    <xf numFmtId="4" fontId="17" fillId="0" borderId="3" xfId="0" applyNumberFormat="1" applyFont="1" applyBorder="1"/>
    <xf numFmtId="0" fontId="0" fillId="0" borderId="11" xfId="0" applyFont="1" applyBorder="1"/>
    <xf numFmtId="4" fontId="0" fillId="0" borderId="12" xfId="0" applyNumberFormat="1" applyBorder="1"/>
    <xf numFmtId="0" fontId="3" fillId="0" borderId="4" xfId="0" applyFont="1" applyBorder="1"/>
    <xf numFmtId="0" fontId="3" fillId="0" borderId="27" xfId="0" applyFont="1" applyBorder="1"/>
    <xf numFmtId="4" fontId="3" fillId="0" borderId="27" xfId="0" applyNumberFormat="1" applyFont="1" applyBorder="1"/>
    <xf numFmtId="4" fontId="15" fillId="0" borderId="27" xfId="0" applyNumberFormat="1" applyFont="1" applyBorder="1"/>
    <xf numFmtId="4" fontId="3" fillId="0" borderId="5" xfId="0" applyNumberFormat="1" applyFont="1" applyBorder="1"/>
    <xf numFmtId="4" fontId="3" fillId="0" borderId="23" xfId="0" applyNumberFormat="1" applyFont="1" applyBorder="1"/>
    <xf numFmtId="0" fontId="0" fillId="0" borderId="22" xfId="0" applyFont="1" applyBorder="1"/>
    <xf numFmtId="4" fontId="0" fillId="0" borderId="22" xfId="0" applyNumberFormat="1" applyBorder="1"/>
    <xf numFmtId="164" fontId="17" fillId="20" borderId="0" xfId="0" applyNumberFormat="1" applyFont="1" applyFill="1"/>
    <xf numFmtId="0" fontId="17" fillId="20" borderId="0" xfId="0" applyFont="1" applyFill="1"/>
    <xf numFmtId="4" fontId="17" fillId="20" borderId="0" xfId="0" applyNumberFormat="1" applyFont="1" applyFill="1"/>
    <xf numFmtId="164" fontId="0" fillId="20" borderId="0" xfId="0" applyNumberFormat="1" applyFill="1"/>
    <xf numFmtId="0" fontId="14" fillId="0" borderId="0" xfId="0" applyFont="1"/>
    <xf numFmtId="4" fontId="14" fillId="0" borderId="0" xfId="0" applyNumberFormat="1" applyFont="1"/>
    <xf numFmtId="4" fontId="14" fillId="0" borderId="0" xfId="0" applyNumberFormat="1" applyFont="1" applyAlignment="1">
      <alignment horizontal="right"/>
    </xf>
    <xf numFmtId="0" fontId="0" fillId="0" borderId="25" xfId="0" applyBorder="1"/>
    <xf numFmtId="4" fontId="0" fillId="0" borderId="26" xfId="0" applyNumberFormat="1" applyFont="1" applyBorder="1" applyAlignment="1">
      <alignment horizontal="right"/>
    </xf>
    <xf numFmtId="0" fontId="15" fillId="0" borderId="0" xfId="0" applyFont="1" applyAlignment="1">
      <alignment horizontal="right"/>
    </xf>
    <xf numFmtId="0" fontId="28" fillId="0" borderId="0" xfId="0" applyFont="1"/>
    <xf numFmtId="181" fontId="0" fillId="0" borderId="0" xfId="1" applyFont="1" applyBorder="1" applyProtection="1"/>
    <xf numFmtId="182" fontId="29" fillId="0" borderId="0" xfId="1" applyNumberFormat="1" applyFont="1" applyBorder="1" applyProtection="1"/>
    <xf numFmtId="0" fontId="0" fillId="12" borderId="0" xfId="0" applyFont="1" applyFill="1"/>
    <xf numFmtId="165" fontId="0" fillId="21" borderId="0" xfId="0" applyNumberFormat="1" applyFill="1"/>
    <xf numFmtId="0" fontId="15" fillId="21" borderId="0" xfId="0" applyFont="1" applyFill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65" fontId="3" fillId="0" borderId="0" xfId="0" applyNumberFormat="1" applyFont="1"/>
    <xf numFmtId="0" fontId="24" fillId="20" borderId="0" xfId="0" applyFont="1" applyFill="1"/>
    <xf numFmtId="173" fontId="0" fillId="0" borderId="0" xfId="0" applyNumberFormat="1"/>
    <xf numFmtId="175" fontId="25" fillId="20" borderId="0" xfId="0" applyNumberFormat="1" applyFont="1" applyFill="1"/>
    <xf numFmtId="172" fontId="0" fillId="20" borderId="0" xfId="0" applyNumberFormat="1" applyFill="1"/>
    <xf numFmtId="171" fontId="0" fillId="20" borderId="0" xfId="0" applyNumberFormat="1" applyFill="1"/>
    <xf numFmtId="0" fontId="25" fillId="20" borderId="0" xfId="0" applyFont="1" applyFill="1"/>
    <xf numFmtId="0" fontId="0" fillId="22" borderId="0" xfId="0" applyFont="1" applyFill="1"/>
    <xf numFmtId="171" fontId="0" fillId="0" borderId="0" xfId="0" applyNumberFormat="1"/>
    <xf numFmtId="175" fontId="0" fillId="21" borderId="0" xfId="0" applyNumberFormat="1" applyFill="1"/>
    <xf numFmtId="0" fontId="23" fillId="21" borderId="0" xfId="0" applyFont="1" applyFill="1"/>
    <xf numFmtId="179" fontId="0" fillId="0" borderId="0" xfId="0" applyNumberFormat="1"/>
    <xf numFmtId="3" fontId="0" fillId="0" borderId="0" xfId="0" applyNumberFormat="1"/>
    <xf numFmtId="167" fontId="0" fillId="0" borderId="0" xfId="0" applyNumberFormat="1"/>
    <xf numFmtId="0" fontId="22" fillId="0" borderId="0" xfId="0" applyFont="1"/>
    <xf numFmtId="0" fontId="24" fillId="0" borderId="0" xfId="0" applyFont="1"/>
    <xf numFmtId="0" fontId="16" fillId="0" borderId="0" xfId="0" applyFont="1"/>
    <xf numFmtId="178" fontId="3" fillId="22" borderId="0" xfId="0" applyNumberFormat="1" applyFont="1" applyFill="1"/>
    <xf numFmtId="174" fontId="23" fillId="0" borderId="0" xfId="0" applyNumberFormat="1" applyFont="1"/>
    <xf numFmtId="0" fontId="27" fillId="0" borderId="0" xfId="23" applyFont="1" applyFill="1" applyBorder="1" applyProtection="1"/>
    <xf numFmtId="178" fontId="0" fillId="22" borderId="0" xfId="0" applyNumberFormat="1" applyFill="1"/>
    <xf numFmtId="0" fontId="0" fillId="0" borderId="22" xfId="0" applyFont="1" applyBorder="1" applyAlignment="1">
      <alignment horizontal="right"/>
    </xf>
    <xf numFmtId="172" fontId="3" fillId="0" borderId="22" xfId="0" applyNumberFormat="1" applyFont="1" applyBorder="1"/>
    <xf numFmtId="178" fontId="0" fillId="0" borderId="0" xfId="0" applyNumberFormat="1"/>
    <xf numFmtId="174" fontId="0" fillId="13" borderId="0" xfId="0" applyNumberFormat="1" applyFill="1"/>
    <xf numFmtId="167" fontId="3" fillId="13" borderId="0" xfId="0" applyNumberFormat="1" applyFont="1" applyFill="1"/>
    <xf numFmtId="165" fontId="17" fillId="0" borderId="0" xfId="0" applyNumberFormat="1" applyFont="1" applyAlignment="1">
      <alignment horizontal="right"/>
    </xf>
    <xf numFmtId="175" fontId="0" fillId="12" borderId="0" xfId="0" applyNumberFormat="1" applyFill="1"/>
    <xf numFmtId="172" fontId="29" fillId="0" borderId="0" xfId="0" applyNumberFormat="1" applyFont="1"/>
    <xf numFmtId="175" fontId="0" fillId="22" borderId="0" xfId="0" applyNumberFormat="1" applyFill="1"/>
    <xf numFmtId="172" fontId="3" fillId="12" borderId="0" xfId="0" applyNumberFormat="1" applyFont="1" applyFill="1"/>
    <xf numFmtId="172" fontId="15" fillId="23" borderId="0" xfId="0" applyNumberFormat="1" applyFont="1" applyFill="1"/>
    <xf numFmtId="178" fontId="3" fillId="0" borderId="0" xfId="0" applyNumberFormat="1" applyFont="1" applyAlignment="1">
      <alignment horizontal="center"/>
    </xf>
    <xf numFmtId="167" fontId="17" fillId="0" borderId="0" xfId="0" applyNumberFormat="1" applyFont="1" applyAlignment="1">
      <alignment horizontal="right"/>
    </xf>
    <xf numFmtId="174" fontId="28" fillId="0" borderId="0" xfId="0" applyNumberFormat="1" applyFont="1"/>
    <xf numFmtId="175" fontId="31" fillId="0" borderId="0" xfId="0" applyNumberFormat="1" applyFont="1"/>
    <xf numFmtId="167" fontId="3" fillId="22" borderId="0" xfId="0" applyNumberFormat="1" applyFont="1" applyFill="1"/>
    <xf numFmtId="167" fontId="0" fillId="21" borderId="0" xfId="0" applyNumberFormat="1" applyFill="1"/>
    <xf numFmtId="165" fontId="15" fillId="21" borderId="0" xfId="0" applyNumberFormat="1" applyFont="1" applyFill="1"/>
    <xf numFmtId="167" fontId="15" fillId="21" borderId="0" xfId="0" applyNumberFormat="1" applyFont="1" applyFill="1"/>
    <xf numFmtId="167" fontId="25" fillId="0" borderId="0" xfId="0" applyNumberFormat="1" applyFont="1"/>
    <xf numFmtId="0" fontId="25" fillId="0" borderId="0" xfId="0" applyFont="1" applyAlignment="1">
      <alignment horizontal="right"/>
    </xf>
    <xf numFmtId="167" fontId="15" fillId="0" borderId="0" xfId="0" applyNumberFormat="1" applyFont="1"/>
    <xf numFmtId="0" fontId="23" fillId="0" borderId="0" xfId="0" applyFont="1" applyAlignment="1">
      <alignment horizontal="right"/>
    </xf>
    <xf numFmtId="167" fontId="0" fillId="22" borderId="0" xfId="0" applyNumberFormat="1" applyFill="1"/>
    <xf numFmtId="171" fontId="18" fillId="24" borderId="9" xfId="0" applyNumberFormat="1" applyFont="1" applyFill="1" applyBorder="1" applyAlignment="1">
      <alignment horizontal="center" vertical="center"/>
    </xf>
    <xf numFmtId="171" fontId="18" fillId="16" borderId="2" xfId="0" applyNumberFormat="1" applyFont="1" applyFill="1" applyBorder="1" applyAlignment="1">
      <alignment horizontal="center" vertical="center"/>
    </xf>
    <xf numFmtId="4" fontId="0" fillId="16" borderId="3" xfId="0" applyNumberFormat="1" applyFill="1" applyBorder="1" applyAlignment="1">
      <alignment horizontal="center" vertical="center"/>
    </xf>
    <xf numFmtId="4" fontId="0" fillId="24" borderId="10" xfId="0" applyNumberFormat="1" applyFont="1" applyFill="1" applyBorder="1" applyAlignment="1">
      <alignment horizontal="center" vertical="center"/>
    </xf>
    <xf numFmtId="4" fontId="0" fillId="16" borderId="11" xfId="0" applyNumberFormat="1" applyFont="1" applyFill="1" applyBorder="1" applyAlignment="1">
      <alignment horizontal="center" vertical="center"/>
    </xf>
    <xf numFmtId="165" fontId="0" fillId="17" borderId="28" xfId="0" applyNumberFormat="1" applyFill="1" applyBorder="1"/>
    <xf numFmtId="165" fontId="0" fillId="17" borderId="0" xfId="0" applyNumberFormat="1" applyFill="1"/>
    <xf numFmtId="165" fontId="0" fillId="25" borderId="13" xfId="0" applyNumberFormat="1" applyFill="1" applyBorder="1"/>
    <xf numFmtId="165" fontId="0" fillId="13" borderId="13" xfId="0" applyNumberFormat="1" applyFill="1" applyBorder="1"/>
    <xf numFmtId="4" fontId="0" fillId="24" borderId="10" xfId="0" applyNumberFormat="1" applyFill="1" applyBorder="1"/>
    <xf numFmtId="0" fontId="0" fillId="24" borderId="10" xfId="0" applyFill="1" applyBorder="1"/>
    <xf numFmtId="165" fontId="0" fillId="19" borderId="28" xfId="0" applyNumberFormat="1" applyFill="1" applyBorder="1"/>
    <xf numFmtId="165" fontId="0" fillId="19" borderId="0" xfId="0" applyNumberFormat="1" applyFill="1"/>
    <xf numFmtId="165" fontId="3" fillId="19" borderId="13" xfId="0" applyNumberFormat="1" applyFont="1" applyFill="1" applyBorder="1"/>
    <xf numFmtId="0" fontId="0" fillId="19" borderId="0" xfId="0" applyFill="1"/>
    <xf numFmtId="4" fontId="3" fillId="24" borderId="9" xfId="0" applyNumberFormat="1" applyFont="1" applyFill="1" applyBorder="1"/>
    <xf numFmtId="0" fontId="0" fillId="0" borderId="15" xfId="0" applyBorder="1"/>
    <xf numFmtId="4" fontId="18" fillId="24" borderId="19" xfId="0" applyNumberFormat="1" applyFont="1" applyFill="1" applyBorder="1"/>
    <xf numFmtId="4" fontId="18" fillId="15" borderId="17" xfId="0" applyNumberFormat="1" applyFont="1" applyFill="1" applyBorder="1"/>
    <xf numFmtId="4" fontId="18" fillId="15" borderId="20" xfId="0" applyNumberFormat="1" applyFont="1" applyFill="1" applyBorder="1"/>
    <xf numFmtId="172" fontId="18" fillId="0" borderId="0" xfId="0" applyNumberFormat="1" applyFont="1"/>
    <xf numFmtId="4" fontId="0" fillId="15" borderId="11" xfId="0" applyNumberFormat="1" applyFont="1" applyFill="1" applyBorder="1"/>
    <xf numFmtId="4" fontId="0" fillId="15" borderId="29" xfId="0" applyNumberFormat="1" applyFill="1" applyBorder="1"/>
    <xf numFmtId="4" fontId="0" fillId="15" borderId="4" xfId="0" applyNumberFormat="1" applyFont="1" applyFill="1" applyBorder="1"/>
    <xf numFmtId="0" fontId="0" fillId="0" borderId="0" xfId="0" applyFont="1" applyAlignment="1">
      <alignment wrapText="1"/>
    </xf>
    <xf numFmtId="164" fontId="3" fillId="0" borderId="0" xfId="0" applyNumberFormat="1" applyFont="1"/>
    <xf numFmtId="4" fontId="32" fillId="12" borderId="0" xfId="0" applyNumberFormat="1" applyFont="1" applyFill="1"/>
    <xf numFmtId="4" fontId="0" fillId="12" borderId="9" xfId="0" applyNumberFormat="1" applyFill="1" applyBorder="1"/>
    <xf numFmtId="4" fontId="0" fillId="0" borderId="10" xfId="0" applyNumberFormat="1" applyBorder="1"/>
    <xf numFmtId="0" fontId="33" fillId="0" borderId="0" xfId="0" applyFont="1" applyAlignment="1">
      <alignment horizontal="right"/>
    </xf>
    <xf numFmtId="4" fontId="3" fillId="0" borderId="22" xfId="0" applyNumberFormat="1" applyFont="1" applyBorder="1"/>
    <xf numFmtId="4" fontId="3" fillId="0" borderId="30" xfId="0" applyNumberFormat="1" applyFont="1" applyBorder="1" applyAlignment="1">
      <alignment horizontal="right"/>
    </xf>
    <xf numFmtId="0" fontId="34" fillId="0" borderId="0" xfId="0" applyFont="1" applyAlignment="1">
      <alignment horizontal="right"/>
    </xf>
    <xf numFmtId="4" fontId="34" fillId="0" borderId="0" xfId="0" applyNumberFormat="1" applyFont="1" applyAlignment="1">
      <alignment horizontal="right"/>
    </xf>
    <xf numFmtId="4" fontId="34" fillId="0" borderId="10" xfId="0" applyNumberFormat="1" applyFont="1" applyBorder="1" applyAlignment="1">
      <alignment horizontal="right"/>
    </xf>
    <xf numFmtId="4" fontId="34" fillId="0" borderId="31" xfId="0" applyNumberFormat="1" applyFont="1" applyBorder="1" applyAlignment="1">
      <alignment horizontal="right"/>
    </xf>
    <xf numFmtId="186" fontId="0" fillId="0" borderId="0" xfId="0" applyNumberFormat="1"/>
    <xf numFmtId="175" fontId="3" fillId="0" borderId="0" xfId="0" applyNumberFormat="1" applyFont="1"/>
    <xf numFmtId="167" fontId="3" fillId="0" borderId="0" xfId="0" applyNumberFormat="1" applyFont="1" applyAlignment="1">
      <alignment horizontal="right"/>
    </xf>
    <xf numFmtId="186" fontId="3" fillId="0" borderId="0" xfId="0" applyNumberFormat="1" applyFont="1"/>
    <xf numFmtId="167" fontId="0" fillId="20" borderId="0" xfId="0" applyNumberFormat="1" applyFill="1"/>
    <xf numFmtId="186" fontId="0" fillId="20" borderId="0" xfId="0" applyNumberFormat="1" applyFill="1"/>
    <xf numFmtId="167" fontId="0" fillId="20" borderId="0" xfId="0" applyNumberFormat="1" applyFont="1" applyFill="1" applyAlignment="1">
      <alignment horizontal="right"/>
    </xf>
    <xf numFmtId="167" fontId="35" fillId="12" borderId="0" xfId="0" applyNumberFormat="1" applyFont="1" applyFill="1"/>
    <xf numFmtId="167" fontId="0" fillId="0" borderId="0" xfId="0" applyNumberFormat="1" applyFont="1" applyAlignment="1">
      <alignment horizontal="right"/>
    </xf>
    <xf numFmtId="167" fontId="36" fillId="26" borderId="0" xfId="0" applyNumberFormat="1" applyFont="1" applyFill="1"/>
    <xf numFmtId="167" fontId="3" fillId="16" borderId="0" xfId="0" applyNumberFormat="1" applyFont="1" applyFill="1"/>
    <xf numFmtId="186" fontId="0" fillId="16" borderId="0" xfId="0" applyNumberFormat="1" applyFill="1"/>
    <xf numFmtId="167" fontId="0" fillId="16" borderId="0" xfId="0" applyNumberFormat="1" applyFont="1" applyFill="1"/>
    <xf numFmtId="0" fontId="32" fillId="0" borderId="0" xfId="0" applyFont="1"/>
    <xf numFmtId="167" fontId="32" fillId="0" borderId="0" xfId="0" applyNumberFormat="1" applyFont="1"/>
    <xf numFmtId="0" fontId="0" fillId="27" borderId="0" xfId="0" applyFont="1" applyFill="1"/>
    <xf numFmtId="167" fontId="0" fillId="27" borderId="0" xfId="0" applyNumberFormat="1" applyFont="1" applyFill="1" applyAlignment="1">
      <alignment horizontal="right"/>
    </xf>
    <xf numFmtId="167" fontId="3" fillId="27" borderId="0" xfId="0" applyNumberFormat="1" applyFont="1" applyFill="1" applyAlignment="1">
      <alignment horizontal="center"/>
    </xf>
    <xf numFmtId="186" fontId="0" fillId="27" borderId="0" xfId="0" applyNumberFormat="1" applyFont="1" applyFill="1" applyAlignment="1">
      <alignment horizontal="center"/>
    </xf>
    <xf numFmtId="0" fontId="0" fillId="27" borderId="0" xfId="0" applyFill="1"/>
    <xf numFmtId="0" fontId="3" fillId="27" borderId="0" xfId="0" applyFont="1" applyFill="1"/>
    <xf numFmtId="167" fontId="3" fillId="27" borderId="0" xfId="0" applyNumberFormat="1" applyFont="1" applyFill="1"/>
    <xf numFmtId="186" fontId="3" fillId="27" borderId="0" xfId="0" applyNumberFormat="1" applyFont="1" applyFill="1"/>
    <xf numFmtId="0" fontId="37" fillId="0" borderId="0" xfId="0" applyFont="1"/>
    <xf numFmtId="183" fontId="0" fillId="28" borderId="0" xfId="0" applyNumberFormat="1" applyFill="1"/>
    <xf numFmtId="167" fontId="38" fillId="19" borderId="0" xfId="0" applyNumberFormat="1" applyFont="1" applyFill="1"/>
    <xf numFmtId="186" fontId="0" fillId="0" borderId="0" xfId="0" applyNumberFormat="1" applyAlignment="1">
      <alignment horizontal="center"/>
    </xf>
    <xf numFmtId="183" fontId="0" fillId="29" borderId="0" xfId="0" applyNumberFormat="1" applyFill="1"/>
    <xf numFmtId="0" fontId="0" fillId="29" borderId="0" xfId="0" applyFill="1"/>
    <xf numFmtId="167" fontId="0" fillId="29" borderId="0" xfId="0" applyNumberFormat="1" applyFill="1"/>
    <xf numFmtId="183" fontId="0" fillId="30" borderId="0" xfId="0" applyNumberFormat="1" applyFill="1"/>
    <xf numFmtId="0" fontId="0" fillId="30" borderId="0" xfId="0" applyFill="1"/>
    <xf numFmtId="167" fontId="0" fillId="30" borderId="0" xfId="0" applyNumberFormat="1" applyFill="1"/>
    <xf numFmtId="0" fontId="0" fillId="28" borderId="0" xfId="0" applyFont="1" applyFill="1"/>
    <xf numFmtId="167" fontId="0" fillId="19" borderId="0" xfId="0" applyNumberFormat="1" applyFill="1"/>
    <xf numFmtId="167" fontId="28" fillId="30" borderId="0" xfId="0" applyNumberFormat="1" applyFont="1" applyFill="1"/>
    <xf numFmtId="186" fontId="38" fillId="0" borderId="0" xfId="0" applyNumberFormat="1" applyFont="1" applyAlignment="1">
      <alignment horizontal="center"/>
    </xf>
    <xf numFmtId="167" fontId="18" fillId="0" borderId="0" xfId="0" applyNumberFormat="1" applyFont="1" applyAlignment="1">
      <alignment horizontal="center"/>
    </xf>
    <xf numFmtId="182" fontId="0" fillId="0" borderId="0" xfId="0" applyNumberFormat="1"/>
    <xf numFmtId="167" fontId="30" fillId="19" borderId="0" xfId="0" applyNumberFormat="1" applyFont="1" applyFill="1" applyAlignment="1">
      <alignment horizontal="center"/>
    </xf>
    <xf numFmtId="167" fontId="16" fillId="19" borderId="0" xfId="0" applyNumberFormat="1" applyFont="1" applyFill="1" applyAlignment="1">
      <alignment horizontal="center"/>
    </xf>
    <xf numFmtId="167" fontId="3" fillId="0" borderId="15" xfId="0" applyNumberFormat="1" applyFont="1" applyBorder="1"/>
    <xf numFmtId="167" fontId="0" fillId="0" borderId="15" xfId="0" applyNumberFormat="1" applyBorder="1"/>
    <xf numFmtId="167" fontId="0" fillId="0" borderId="18" xfId="0" applyNumberFormat="1" applyBorder="1"/>
    <xf numFmtId="169" fontId="32" fillId="0" borderId="0" xfId="0" applyNumberFormat="1" applyFont="1"/>
    <xf numFmtId="0" fontId="0" fillId="0" borderId="0" xfId="0" applyFont="1" applyAlignment="1">
      <alignment horizontal="center"/>
    </xf>
    <xf numFmtId="165" fontId="0" fillId="0" borderId="0" xfId="0" applyNumberFormat="1" applyFont="1" applyAlignment="1">
      <alignment horizontal="right"/>
    </xf>
    <xf numFmtId="165" fontId="38" fillId="19" borderId="0" xfId="0" applyNumberFormat="1" applyFont="1" applyFill="1"/>
    <xf numFmtId="0" fontId="0" fillId="0" borderId="0" xfId="0" applyAlignment="1">
      <alignment horizontal="center"/>
    </xf>
    <xf numFmtId="165" fontId="16" fillId="12" borderId="0" xfId="0" applyNumberFormat="1" applyFont="1" applyFill="1"/>
    <xf numFmtId="183" fontId="0" fillId="20" borderId="0" xfId="0" applyNumberFormat="1" applyFill="1"/>
    <xf numFmtId="165" fontId="0" fillId="20" borderId="0" xfId="0" applyNumberFormat="1" applyFill="1"/>
    <xf numFmtId="183" fontId="0" fillId="31" borderId="0" xfId="0" applyNumberFormat="1" applyFill="1"/>
    <xf numFmtId="0" fontId="0" fillId="31" borderId="0" xfId="0" applyFont="1" applyFill="1"/>
    <xf numFmtId="165" fontId="0" fillId="31" borderId="0" xfId="0" applyNumberFormat="1" applyFill="1"/>
    <xf numFmtId="165" fontId="3" fillId="31" borderId="0" xfId="0" applyNumberFormat="1" applyFont="1" applyFill="1"/>
    <xf numFmtId="165" fontId="38" fillId="31" borderId="0" xfId="0" applyNumberFormat="1" applyFont="1" applyFill="1"/>
    <xf numFmtId="0" fontId="0" fillId="31" borderId="0" xfId="0" applyFill="1" applyAlignment="1">
      <alignment horizontal="center"/>
    </xf>
    <xf numFmtId="0" fontId="38" fillId="0" borderId="0" xfId="0" applyFont="1" applyAlignment="1">
      <alignment horizontal="center"/>
    </xf>
    <xf numFmtId="169" fontId="18" fillId="0" borderId="0" xfId="0" applyNumberFormat="1" applyFont="1" applyAlignment="1">
      <alignment horizontal="center"/>
    </xf>
    <xf numFmtId="169" fontId="30" fillId="19" borderId="0" xfId="0" applyNumberFormat="1" applyFont="1" applyFill="1" applyAlignment="1">
      <alignment horizontal="center"/>
    </xf>
    <xf numFmtId="169" fontId="16" fillId="19" borderId="0" xfId="0" applyNumberFormat="1" applyFont="1" applyFill="1" applyAlignment="1">
      <alignment horizontal="center"/>
    </xf>
    <xf numFmtId="165" fontId="3" fillId="0" borderId="15" xfId="0" applyNumberFormat="1" applyFont="1" applyBorder="1"/>
    <xf numFmtId="165" fontId="0" fillId="0" borderId="15" xfId="0" applyNumberFormat="1" applyBorder="1"/>
    <xf numFmtId="187" fontId="0" fillId="0" borderId="0" xfId="0" applyNumberFormat="1"/>
    <xf numFmtId="165" fontId="0" fillId="0" borderId="18" xfId="0" applyNumberFormat="1" applyBorder="1"/>
    <xf numFmtId="171" fontId="0" fillId="0" borderId="0" xfId="0" applyNumberFormat="1" applyAlignment="1">
      <alignment horizontal="right"/>
    </xf>
    <xf numFmtId="0" fontId="3" fillId="0" borderId="0" xfId="0" applyFont="1" applyAlignment="1">
      <alignment horizontal="left"/>
    </xf>
    <xf numFmtId="0" fontId="0" fillId="32" borderId="0" xfId="0" applyFill="1"/>
    <xf numFmtId="165" fontId="0" fillId="32" borderId="0" xfId="0" applyNumberFormat="1" applyFill="1"/>
    <xf numFmtId="171" fontId="0" fillId="32" borderId="0" xfId="0" applyNumberFormat="1" applyFill="1"/>
    <xf numFmtId="183" fontId="0" fillId="21" borderId="0" xfId="0" applyNumberFormat="1" applyFill="1"/>
    <xf numFmtId="4" fontId="15" fillId="21" borderId="0" xfId="0" applyNumberFormat="1" applyFont="1" applyFill="1"/>
    <xf numFmtId="175" fontId="0" fillId="32" borderId="0" xfId="0" applyNumberFormat="1" applyFill="1"/>
    <xf numFmtId="0" fontId="40" fillId="0" borderId="0" xfId="0" applyFont="1"/>
    <xf numFmtId="0" fontId="24" fillId="12" borderId="0" xfId="0" applyFont="1" applyFill="1"/>
    <xf numFmtId="0" fontId="10" fillId="0" borderId="0" xfId="0" applyFont="1"/>
    <xf numFmtId="175" fontId="0" fillId="0" borderId="0" xfId="0" applyNumberFormat="1" applyFont="1" applyAlignment="1">
      <alignment horizontal="right"/>
    </xf>
    <xf numFmtId="178" fontId="0" fillId="13" borderId="0" xfId="0" applyNumberFormat="1" applyFill="1"/>
    <xf numFmtId="175" fontId="41" fillId="0" borderId="0" xfId="0" applyNumberFormat="1" applyFont="1"/>
    <xf numFmtId="0" fontId="42" fillId="0" borderId="0" xfId="0" applyFont="1"/>
    <xf numFmtId="0" fontId="0" fillId="33" borderId="0" xfId="0" applyFont="1" applyFill="1"/>
    <xf numFmtId="178" fontId="3" fillId="33" borderId="0" xfId="0" applyNumberFormat="1" applyFont="1" applyFill="1"/>
    <xf numFmtId="165" fontId="3" fillId="33" borderId="0" xfId="0" applyNumberFormat="1" applyFont="1" applyFill="1"/>
    <xf numFmtId="165" fontId="0" fillId="33" borderId="0" xfId="0" applyNumberFormat="1" applyFill="1"/>
    <xf numFmtId="178" fontId="3" fillId="13" borderId="0" xfId="0" applyNumberFormat="1" applyFont="1" applyFill="1"/>
    <xf numFmtId="0" fontId="25" fillId="13" borderId="0" xfId="0" applyFont="1" applyFill="1"/>
    <xf numFmtId="165" fontId="3" fillId="21" borderId="0" xfId="0" applyNumberFormat="1" applyFont="1" applyFill="1"/>
    <xf numFmtId="178" fontId="0" fillId="32" borderId="0" xfId="0" applyNumberFormat="1" applyFill="1"/>
    <xf numFmtId="4" fontId="25" fillId="13" borderId="0" xfId="0" applyNumberFormat="1" applyFont="1" applyFill="1"/>
    <xf numFmtId="171" fontId="18" fillId="13" borderId="0" xfId="0" applyNumberFormat="1" applyFont="1" applyFill="1" applyAlignment="1">
      <alignment horizontal="center" vertical="center"/>
    </xf>
    <xf numFmtId="4" fontId="0" fillId="13" borderId="0" xfId="0" applyNumberFormat="1" applyFill="1" applyAlignment="1">
      <alignment horizontal="center" vertical="center"/>
    </xf>
    <xf numFmtId="4" fontId="0" fillId="13" borderId="32" xfId="0" applyNumberFormat="1" applyFill="1" applyBorder="1"/>
    <xf numFmtId="4" fontId="0" fillId="13" borderId="33" xfId="0" applyNumberFormat="1" applyFill="1" applyBorder="1"/>
    <xf numFmtId="165" fontId="0" fillId="19" borderId="13" xfId="0" applyNumberFormat="1" applyFill="1" applyBorder="1"/>
    <xf numFmtId="4" fontId="3" fillId="19" borderId="0" xfId="0" applyNumberFormat="1" applyFont="1" applyFill="1"/>
    <xf numFmtId="168" fontId="0" fillId="0" borderId="15" xfId="0" applyNumberFormat="1" applyBorder="1"/>
    <xf numFmtId="4" fontId="0" fillId="0" borderId="16" xfId="0" applyNumberFormat="1" applyBorder="1"/>
    <xf numFmtId="4" fontId="0" fillId="0" borderId="15" xfId="0" applyNumberFormat="1" applyBorder="1"/>
    <xf numFmtId="4" fontId="17" fillId="0" borderId="0" xfId="0" applyNumberFormat="1" applyFont="1" applyAlignment="1">
      <alignment horizontal="right"/>
    </xf>
    <xf numFmtId="4" fontId="3" fillId="0" borderId="15" xfId="0" applyNumberFormat="1" applyFont="1" applyBorder="1"/>
    <xf numFmtId="175" fontId="0" fillId="28" borderId="0" xfId="0" applyNumberFormat="1" applyFill="1"/>
    <xf numFmtId="178" fontId="3" fillId="28" borderId="0" xfId="0" applyNumberFormat="1" applyFont="1" applyFill="1"/>
    <xf numFmtId="178" fontId="25" fillId="0" borderId="0" xfId="0" applyNumberFormat="1" applyFont="1"/>
    <xf numFmtId="178" fontId="0" fillId="33" borderId="0" xfId="0" applyNumberFormat="1" applyFill="1"/>
    <xf numFmtId="0" fontId="0" fillId="34" borderId="0" xfId="0" applyFont="1" applyFill="1"/>
    <xf numFmtId="178" fontId="3" fillId="34" borderId="0" xfId="0" applyNumberFormat="1" applyFont="1" applyFill="1"/>
    <xf numFmtId="0" fontId="0" fillId="35" borderId="0" xfId="0" applyFont="1" applyFill="1"/>
    <xf numFmtId="4" fontId="0" fillId="35" borderId="0" xfId="0" applyNumberFormat="1" applyFill="1"/>
    <xf numFmtId="4" fontId="3" fillId="28" borderId="0" xfId="0" applyNumberFormat="1" applyFont="1" applyFill="1"/>
    <xf numFmtId="0" fontId="0" fillId="36" borderId="0" xfId="0" applyFont="1" applyFill="1"/>
    <xf numFmtId="4" fontId="3" fillId="36" borderId="0" xfId="0" applyNumberFormat="1" applyFont="1" applyFill="1"/>
    <xf numFmtId="4" fontId="25" fillId="0" borderId="0" xfId="0" applyNumberFormat="1" applyFont="1"/>
    <xf numFmtId="4" fontId="0" fillId="33" borderId="0" xfId="0" applyNumberFormat="1" applyFill="1"/>
    <xf numFmtId="0" fontId="0" fillId="37" borderId="0" xfId="0" applyFont="1" applyFill="1"/>
    <xf numFmtId="165" fontId="0" fillId="37" borderId="0" xfId="0" applyNumberFormat="1" applyFill="1"/>
    <xf numFmtId="4" fontId="0" fillId="37" borderId="0" xfId="0" applyNumberFormat="1" applyFill="1"/>
    <xf numFmtId="0" fontId="3" fillId="33" borderId="0" xfId="0" applyFont="1" applyFill="1"/>
    <xf numFmtId="175" fontId="0" fillId="37" borderId="0" xfId="0" applyNumberFormat="1" applyFill="1"/>
    <xf numFmtId="165" fontId="3" fillId="36" borderId="0" xfId="0" applyNumberFormat="1" applyFont="1" applyFill="1"/>
    <xf numFmtId="4" fontId="0" fillId="36" borderId="0" xfId="0" applyNumberFormat="1" applyFill="1"/>
    <xf numFmtId="165" fontId="0" fillId="36" borderId="0" xfId="0" applyNumberFormat="1" applyFill="1"/>
    <xf numFmtId="0" fontId="0" fillId="38" borderId="0" xfId="0" applyFill="1"/>
    <xf numFmtId="0" fontId="3" fillId="38" borderId="0" xfId="0" applyFont="1" applyFill="1"/>
    <xf numFmtId="165" fontId="0" fillId="38" borderId="0" xfId="0" applyNumberFormat="1" applyFill="1"/>
    <xf numFmtId="0" fontId="0" fillId="38" borderId="7" xfId="0" applyFont="1" applyFill="1" applyBorder="1"/>
    <xf numFmtId="165" fontId="0" fillId="38" borderId="7" xfId="0" applyNumberFormat="1" applyFill="1" applyBorder="1"/>
    <xf numFmtId="0" fontId="44" fillId="0" borderId="22" xfId="0" applyFont="1" applyBorder="1"/>
    <xf numFmtId="165" fontId="0" fillId="0" borderId="22" xfId="0" applyNumberFormat="1" applyBorder="1"/>
    <xf numFmtId="0" fontId="44" fillId="0" borderId="7" xfId="0" applyFont="1" applyBorder="1"/>
    <xf numFmtId="165" fontId="0" fillId="0" borderId="7" xfId="0" applyNumberFormat="1" applyBorder="1"/>
    <xf numFmtId="165" fontId="3" fillId="0" borderId="22" xfId="0" applyNumberFormat="1" applyFont="1" applyBorder="1"/>
    <xf numFmtId="4" fontId="3" fillId="38" borderId="0" xfId="0" applyNumberFormat="1" applyFont="1" applyFill="1"/>
    <xf numFmtId="0" fontId="0" fillId="39" borderId="0" xfId="0" applyFill="1"/>
    <xf numFmtId="175" fontId="0" fillId="38" borderId="0" xfId="0" applyNumberFormat="1" applyFill="1"/>
    <xf numFmtId="4" fontId="0" fillId="38" borderId="0" xfId="0" applyNumberFormat="1" applyFill="1"/>
    <xf numFmtId="165" fontId="3" fillId="0" borderId="7" xfId="0" applyNumberFormat="1" applyFont="1" applyBorder="1"/>
    <xf numFmtId="0" fontId="45" fillId="0" borderId="0" xfId="0" applyFont="1"/>
    <xf numFmtId="0" fontId="1" fillId="0" borderId="0" xfId="0" applyFont="1"/>
    <xf numFmtId="188" fontId="0" fillId="0" borderId="0" xfId="2" applyNumberFormat="1" applyFont="1"/>
    <xf numFmtId="172" fontId="3" fillId="40" borderId="0" xfId="0" applyNumberFormat="1" applyFont="1" applyFill="1"/>
    <xf numFmtId="0" fontId="0" fillId="41" borderId="0" xfId="0" applyFont="1" applyFill="1"/>
    <xf numFmtId="16" fontId="0" fillId="0" borderId="0" xfId="0" applyNumberFormat="1"/>
    <xf numFmtId="172" fontId="0" fillId="40" borderId="0" xfId="0" applyNumberFormat="1" applyFont="1" applyFill="1"/>
    <xf numFmtId="181" fontId="46" fillId="0" borderId="0" xfId="1"/>
    <xf numFmtId="4" fontId="3" fillId="42" borderId="0" xfId="0" applyNumberFormat="1" applyFont="1" applyFill="1"/>
    <xf numFmtId="4" fontId="0" fillId="42" borderId="0" xfId="0" applyNumberFormat="1" applyFill="1"/>
    <xf numFmtId="174" fontId="0" fillId="40" borderId="0" xfId="0" applyNumberFormat="1" applyFont="1" applyFill="1"/>
    <xf numFmtId="175" fontId="25" fillId="40" borderId="0" xfId="0" applyNumberFormat="1" applyFont="1" applyFill="1"/>
    <xf numFmtId="0" fontId="0" fillId="40" borderId="0" xfId="0" applyFont="1" applyFill="1"/>
    <xf numFmtId="0" fontId="22" fillId="40" borderId="0" xfId="0" applyFont="1" applyFill="1"/>
    <xf numFmtId="175" fontId="25" fillId="41" borderId="0" xfId="0" applyNumberFormat="1" applyFont="1" applyFill="1"/>
    <xf numFmtId="172" fontId="0" fillId="41" borderId="0" xfId="0" applyNumberFormat="1" applyFont="1" applyFill="1"/>
    <xf numFmtId="175" fontId="0" fillId="43" borderId="0" xfId="0" applyNumberFormat="1" applyFill="1"/>
    <xf numFmtId="0" fontId="0" fillId="44" borderId="0" xfId="0" applyFill="1"/>
    <xf numFmtId="4" fontId="0" fillId="44" borderId="0" xfId="0" applyNumberFormat="1" applyFill="1"/>
    <xf numFmtId="179" fontId="0" fillId="44" borderId="0" xfId="0" applyNumberFormat="1" applyFill="1"/>
    <xf numFmtId="4" fontId="3" fillId="44" borderId="0" xfId="0" applyNumberFormat="1" applyFont="1" applyFill="1"/>
    <xf numFmtId="172" fontId="3" fillId="43" borderId="0" xfId="0" applyNumberFormat="1" applyFont="1" applyFill="1"/>
    <xf numFmtId="4" fontId="3" fillId="43" borderId="0" xfId="0" applyNumberFormat="1" applyFont="1" applyFill="1"/>
    <xf numFmtId="189" fontId="3" fillId="20" borderId="0" xfId="0" applyNumberFormat="1" applyFont="1" applyFill="1"/>
    <xf numFmtId="189" fontId="3" fillId="0" borderId="0" xfId="0" applyNumberFormat="1" applyFont="1"/>
    <xf numFmtId="172" fontId="3" fillId="0" borderId="0" xfId="0" applyNumberFormat="1" applyFont="1" applyFill="1"/>
    <xf numFmtId="175" fontId="0" fillId="0" borderId="0" xfId="0" applyNumberFormat="1" applyFill="1"/>
    <xf numFmtId="0" fontId="0" fillId="0" borderId="0" xfId="0" applyFill="1"/>
    <xf numFmtId="3" fontId="0" fillId="0" borderId="0" xfId="0" applyNumberFormat="1" applyFill="1"/>
    <xf numFmtId="4" fontId="3" fillId="0" borderId="0" xfId="0" applyNumberFormat="1" applyFont="1" applyFill="1"/>
    <xf numFmtId="0" fontId="25" fillId="40" borderId="0" xfId="0" applyFont="1" applyFill="1"/>
    <xf numFmtId="174" fontId="0" fillId="40" borderId="0" xfId="0" applyNumberFormat="1" applyFill="1"/>
    <xf numFmtId="176" fontId="0" fillId="40" borderId="0" xfId="0" applyNumberFormat="1" applyFill="1"/>
    <xf numFmtId="177" fontId="0" fillId="40" borderId="0" xfId="0" applyNumberFormat="1" applyFill="1"/>
    <xf numFmtId="172" fontId="0" fillId="40" borderId="0" xfId="0" applyNumberFormat="1" applyFill="1"/>
    <xf numFmtId="0" fontId="3" fillId="40" borderId="0" xfId="0" applyFont="1" applyFill="1"/>
    <xf numFmtId="0" fontId="3" fillId="45" borderId="0" xfId="0" applyFont="1" applyFill="1"/>
    <xf numFmtId="172" fontId="3" fillId="45" borderId="0" xfId="0" applyNumberFormat="1" applyFont="1" applyFill="1"/>
    <xf numFmtId="172" fontId="47" fillId="46" borderId="0" xfId="0" applyNumberFormat="1" applyFont="1" applyFill="1"/>
    <xf numFmtId="4" fontId="3" fillId="46" borderId="0" xfId="0" applyNumberFormat="1" applyFont="1" applyFill="1"/>
    <xf numFmtId="164" fontId="0" fillId="40" borderId="0" xfId="0" applyNumberFormat="1" applyFill="1"/>
    <xf numFmtId="0" fontId="0" fillId="40" borderId="0" xfId="0" applyFill="1"/>
    <xf numFmtId="4" fontId="0" fillId="40" borderId="0" xfId="0" applyNumberFormat="1" applyFill="1"/>
    <xf numFmtId="189" fontId="3" fillId="43" borderId="0" xfId="0" applyNumberFormat="1" applyFont="1" applyFill="1"/>
    <xf numFmtId="16" fontId="0" fillId="40" borderId="0" xfId="0" applyNumberFormat="1" applyFill="1"/>
    <xf numFmtId="172" fontId="0" fillId="0" borderId="0" xfId="0" applyNumberFormat="1" applyFont="1" applyFill="1"/>
    <xf numFmtId="171" fontId="46" fillId="0" borderId="0" xfId="2" applyNumberFormat="1"/>
    <xf numFmtId="177" fontId="0" fillId="40" borderId="0" xfId="0" applyNumberFormat="1" applyFont="1" applyFill="1"/>
    <xf numFmtId="175" fontId="25" fillId="43" borderId="0" xfId="0" applyNumberFormat="1" applyFont="1" applyFill="1"/>
    <xf numFmtId="172" fontId="0" fillId="43" borderId="0" xfId="0" applyNumberFormat="1" applyFill="1"/>
    <xf numFmtId="0" fontId="0" fillId="45" borderId="0" xfId="0" applyFill="1"/>
    <xf numFmtId="172" fontId="3" fillId="43" borderId="26" xfId="0" applyNumberFormat="1" applyFont="1" applyFill="1" applyBorder="1"/>
    <xf numFmtId="177" fontId="3" fillId="0" borderId="0" xfId="0" applyNumberFormat="1" applyFont="1"/>
    <xf numFmtId="177" fontId="0" fillId="21" borderId="0" xfId="0" applyNumberFormat="1" applyFill="1"/>
    <xf numFmtId="0" fontId="24" fillId="40" borderId="0" xfId="0" applyFont="1" applyFill="1"/>
    <xf numFmtId="0" fontId="25" fillId="45" borderId="0" xfId="0" applyFont="1" applyFill="1"/>
    <xf numFmtId="175" fontId="23" fillId="40" borderId="0" xfId="0" applyNumberFormat="1" applyFont="1" applyFill="1"/>
    <xf numFmtId="0" fontId="0" fillId="47" borderId="0" xfId="0" applyFont="1" applyFill="1"/>
    <xf numFmtId="172" fontId="0" fillId="47" borderId="0" xfId="0" applyNumberFormat="1" applyFont="1" applyFill="1"/>
    <xf numFmtId="189" fontId="3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>
      <alignment horizontal="right"/>
    </xf>
    <xf numFmtId="172" fontId="3" fillId="0" borderId="0" xfId="0" applyNumberFormat="1" applyFont="1" applyBorder="1"/>
    <xf numFmtId="172" fontId="16" fillId="43" borderId="26" xfId="0" applyNumberFormat="1" applyFont="1" applyFill="1" applyBorder="1"/>
    <xf numFmtId="172" fontId="16" fillId="0" borderId="26" xfId="0" applyNumberFormat="1" applyFont="1" applyBorder="1"/>
    <xf numFmtId="177" fontId="0" fillId="0" borderId="0" xfId="0" applyNumberFormat="1" applyFont="1"/>
    <xf numFmtId="177" fontId="3" fillId="0" borderId="0" xfId="0" applyNumberFormat="1" applyFont="1" applyFill="1"/>
    <xf numFmtId="0" fontId="24" fillId="0" borderId="0" xfId="0" applyFont="1" applyFill="1"/>
    <xf numFmtId="190" fontId="46" fillId="0" borderId="0" xfId="2" applyNumberFormat="1"/>
    <xf numFmtId="191" fontId="0" fillId="0" borderId="0" xfId="0" applyNumberFormat="1"/>
    <xf numFmtId="175" fontId="0" fillId="45" borderId="0" xfId="0" applyNumberFormat="1" applyFill="1"/>
    <xf numFmtId="0" fontId="0" fillId="48" borderId="0" xfId="0" applyFill="1"/>
    <xf numFmtId="4" fontId="0" fillId="48" borderId="0" xfId="0" applyNumberFormat="1" applyFill="1"/>
    <xf numFmtId="179" fontId="0" fillId="48" borderId="0" xfId="0" applyNumberFormat="1" applyFill="1"/>
    <xf numFmtId="4" fontId="3" fillId="48" borderId="0" xfId="0" applyNumberFormat="1" applyFont="1" applyFill="1"/>
    <xf numFmtId="4" fontId="3" fillId="45" borderId="0" xfId="0" applyNumberFormat="1" applyFont="1" applyFill="1"/>
    <xf numFmtId="189" fontId="3" fillId="45" borderId="0" xfId="0" applyNumberFormat="1" applyFont="1" applyFill="1"/>
    <xf numFmtId="172" fontId="0" fillId="45" borderId="0" xfId="0" applyNumberFormat="1" applyFill="1"/>
    <xf numFmtId="177" fontId="0" fillId="0" borderId="0" xfId="0" applyNumberFormat="1" applyFont="1" applyFill="1"/>
    <xf numFmtId="0" fontId="22" fillId="0" borderId="0" xfId="0" applyFont="1" applyFill="1"/>
    <xf numFmtId="0" fontId="0" fillId="0" borderId="0" xfId="0" applyFont="1" applyFill="1"/>
    <xf numFmtId="166" fontId="18" fillId="16" borderId="9" xfId="0" applyNumberFormat="1" applyFont="1" applyFill="1" applyBorder="1" applyAlignment="1">
      <alignment horizontal="center" vertical="center"/>
    </xf>
    <xf numFmtId="4" fontId="0" fillId="16" borderId="9" xfId="0" applyNumberFormat="1" applyFill="1" applyBorder="1"/>
  </cellXfs>
  <cellStyles count="24">
    <cellStyle name="Accent 1 5" xfId="3" xr:uid="{00000000-0005-0000-0000-000006000000}"/>
    <cellStyle name="Accent 2 6" xfId="4" xr:uid="{00000000-0005-0000-0000-000007000000}"/>
    <cellStyle name="Accent 3 7" xfId="5" xr:uid="{00000000-0005-0000-0000-000008000000}"/>
    <cellStyle name="Accent 4" xfId="6" xr:uid="{00000000-0005-0000-0000-000009000000}"/>
    <cellStyle name="Bad 8" xfId="7" xr:uid="{00000000-0005-0000-0000-00000A000000}"/>
    <cellStyle name="Error 9" xfId="8" xr:uid="{00000000-0005-0000-0000-00000B000000}"/>
    <cellStyle name="Excel Built-in 60% - Accent6" xfId="22" xr:uid="{00000000-0005-0000-0000-000019000000}"/>
    <cellStyle name="Excel Built-in Accent1" xfId="23" xr:uid="{00000000-0005-0000-0000-00001A000000}"/>
    <cellStyle name="Excel Built-in Bad" xfId="21" xr:uid="{00000000-0005-0000-0000-000018000000}"/>
    <cellStyle name="Footnote 10" xfId="9" xr:uid="{00000000-0005-0000-0000-00000C000000}"/>
    <cellStyle name="Good 11" xfId="10" xr:uid="{00000000-0005-0000-0000-00000D000000}"/>
    <cellStyle name="Heading 1 13" xfId="11" xr:uid="{00000000-0005-0000-0000-00000E000000}"/>
    <cellStyle name="Heading 12" xfId="12" xr:uid="{00000000-0005-0000-0000-00000F000000}"/>
    <cellStyle name="Heading 2 14" xfId="13" xr:uid="{00000000-0005-0000-0000-000010000000}"/>
    <cellStyle name="Hyperlink 15" xfId="14" xr:uid="{00000000-0005-0000-0000-000011000000}"/>
    <cellStyle name="Neutral 16" xfId="15" xr:uid="{00000000-0005-0000-0000-000012000000}"/>
    <cellStyle name="Normal" xfId="0" builtinId="0"/>
    <cellStyle name="Note 17" xfId="16" xr:uid="{00000000-0005-0000-0000-000013000000}"/>
    <cellStyle name="Result 18" xfId="17" xr:uid="{00000000-0005-0000-0000-000014000000}"/>
    <cellStyle name="Status 19" xfId="18" xr:uid="{00000000-0005-0000-0000-000015000000}"/>
    <cellStyle name="Text 20" xfId="19" xr:uid="{00000000-0005-0000-0000-000016000000}"/>
    <cellStyle name="Virgül" xfId="1" builtinId="3"/>
    <cellStyle name="Warning 21" xfId="20" xr:uid="{00000000-0005-0000-0000-000017000000}"/>
    <cellStyle name="Yüzde" xfId="2" builtinId="5"/>
  </cellStyles>
  <dxfs count="38"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  <dxf>
      <font>
        <b/>
        <i val="0"/>
        <strike val="0"/>
      </font>
      <numFmt numFmtId="192" formatCode="0.00;[Red]0.00"/>
      <fill>
        <patternFill>
          <bgColor theme="5" tint="0.7998901333658864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E8F2A1"/>
      <rgbColor rgb="FF0000EE"/>
      <rgbColor rgb="FFFFFF00"/>
      <rgbColor rgb="FFFBE5D6"/>
      <rgbColor rgb="FFDDDDDD"/>
      <rgbColor rgb="FF9C0006"/>
      <rgbColor rgb="FF006600"/>
      <rgbColor rgb="FF000080"/>
      <rgbColor rgb="FF996600"/>
      <rgbColor rgb="FFFFFFD7"/>
      <rgbColor rgb="FF1E6A39"/>
      <rgbColor rgb="FFE0C2CD"/>
      <rgbColor rgb="FF808080"/>
      <rgbColor rgb="FF729FCF"/>
      <rgbColor rgb="FFFFD7D7"/>
      <rgbColor rgb="FFFFFFCC"/>
      <rgbColor rgb="FFDDEBF7"/>
      <rgbColor rgb="FF660066"/>
      <rgbColor rgb="FFF7D1D5"/>
      <rgbColor rgb="FFE2EFDA"/>
      <rgbColor rgb="FFD9E1F2"/>
      <rgbColor rgb="FF000080"/>
      <rgbColor rgb="FFF6F9D4"/>
      <rgbColor rgb="FFD4EA6B"/>
      <rgbColor rgb="FFE2F0D9"/>
      <rgbColor rgb="FF800080"/>
      <rgbColor rgb="FFCC0000"/>
      <rgbColor rgb="FF069A2E"/>
      <rgbColor rgb="FF0000FF"/>
      <rgbColor rgb="FFC6E0B4"/>
      <rgbColor rgb="FFDEEBF7"/>
      <rgbColor rgb="FFCCFFCC"/>
      <rgbColor rgb="FFFFFFA6"/>
      <rgbColor rgb="FF9BC2E6"/>
      <rgbColor rgb="FFFFA6A6"/>
      <rgbColor rgb="FFFFC7CE"/>
      <rgbColor rgb="FFFFCCCC"/>
      <rgbColor rgb="FF4472C4"/>
      <rgbColor rgb="FFAFD095"/>
      <rgbColor rgb="FF81D41A"/>
      <rgbColor rgb="FFFFBF00"/>
      <rgbColor rgb="FFBBE33D"/>
      <rgbColor rgb="FFFFD8CE"/>
      <rgbColor rgb="FFC5E0B4"/>
      <rgbColor rgb="FFA9D08E"/>
      <rgbColor rgb="FF003366"/>
      <rgbColor rgb="FF468A1A"/>
      <rgbColor rgb="FF375623"/>
      <rgbColor rgb="FF395511"/>
      <rgbColor rgb="FFC9211E"/>
      <rgbColor rgb="FFFCE4D6"/>
      <rgbColor rgb="FFFFF2CC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o14" displayName="Tablo14" ref="B22:I37" totalsRowShown="0">
  <autoFilter ref="B22:I37" xr:uid="{00000000-0009-0000-0100-000002000000}"/>
  <tableColumns count="8">
    <tableColumn id="1" xr3:uid="{00000000-0010-0000-0000-000001000000}" name="Tarih"/>
    <tableColumn id="2" xr3:uid="{00000000-0010-0000-0000-000002000000}" name="Açıklama"/>
    <tableColumn id="3" xr3:uid="{00000000-0010-0000-0000-000003000000}" name="snyA-H"/>
    <tableColumn id="4" xr3:uid="{00000000-0010-0000-0000-000004000000}" name="Oran %"/>
    <tableColumn id="5" xr3:uid="{00000000-0010-0000-0000-000005000000}" name="Oran TL Tutar"/>
    <tableColumn id="6" xr3:uid="{00000000-0010-0000-0000-000006000000}" name="Ödendi"/>
    <tableColumn id="7" xr3:uid="{00000000-0010-0000-0000-000007000000}" name="Oran TL"/>
    <tableColumn id="8" xr3:uid="{00000000-0010-0000-0000-000008000000}" name="Genel Toplam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o1" displayName="Tablo1" ref="B6:I26" totalsRowShown="0">
  <autoFilter ref="B6:I26" xr:uid="{00000000-0009-0000-0100-000001000000}"/>
  <tableColumns count="8">
    <tableColumn id="1" xr3:uid="{00000000-0010-0000-0100-000001000000}" name="Tarih"/>
    <tableColumn id="2" xr3:uid="{00000000-0010-0000-0100-000002000000}" name="Açıklama"/>
    <tableColumn id="3" xr3:uid="{00000000-0010-0000-0100-000003000000}" name="snyA-H"/>
    <tableColumn id="4" xr3:uid="{00000000-0010-0000-0100-000004000000}" name="Oran %"/>
    <tableColumn id="5" xr3:uid="{00000000-0010-0000-0100-000005000000}" name="Oran TL Tutar"/>
    <tableColumn id="6" xr3:uid="{00000000-0010-0000-0100-000006000000}" name="Ödendi"/>
    <tableColumn id="7" xr3:uid="{00000000-0010-0000-0100-000007000000}" name="Oran TL"/>
    <tableColumn id="8" xr3:uid="{00000000-0010-0000-0100-000008000000}" name="Genel Toplam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C:/Users/C:/Users/m/AppData/Roaming/Microsoft/Excel/2022%20cepesas/2022%20susayac%20hesab&#305;.ods" TargetMode="External"/><Relationship Id="rId2" Type="http://schemas.openxmlformats.org/officeDocument/2006/relationships/hyperlink" Target="../../../../../C:/Users/C:/Users/m/AppData/Roaming/Microsoft/Excel/2022%20cepesas/2022%20&#231;eda&#351;%20hesab&#305;.ods" TargetMode="External"/><Relationship Id="rId1" Type="http://schemas.openxmlformats.org/officeDocument/2006/relationships/hyperlink" Target="../../../../../C:/Users/C:/Users/m/AppData/Roaming/kira/sozlesmeler/2_sanayi/Sanayi_G_300m2_mermer/Sanayi_2_275m2_kaportac&#305;/HSP%20dursun%20.od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zoomScale="175" zoomScaleNormal="175" workbookViewId="0">
      <selection activeCell="H9" sqref="H9"/>
    </sheetView>
  </sheetViews>
  <sheetFormatPr defaultColWidth="8.5703125" defaultRowHeight="12.75"/>
  <cols>
    <col min="1" max="1" width="12.28515625" style="1" customWidth="1"/>
    <col min="2" max="2" width="31.28515625" customWidth="1"/>
    <col min="3" max="3" width="10.5703125" customWidth="1"/>
    <col min="4" max="6" width="12.28515625" style="2" customWidth="1"/>
    <col min="7" max="7" width="1.42578125" customWidth="1"/>
    <col min="8" max="8" width="35.42578125" customWidth="1"/>
    <col min="10" max="10" width="10.5703125" customWidth="1"/>
  </cols>
  <sheetData>
    <row r="1" spans="1:6">
      <c r="C1" s="3"/>
      <c r="D1" s="4"/>
      <c r="E1" s="4"/>
    </row>
    <row r="2" spans="1:6" ht="27" customHeight="1">
      <c r="B2" s="5">
        <v>2025</v>
      </c>
      <c r="C2" s="6" t="s">
        <v>0</v>
      </c>
      <c r="D2" s="4" t="s">
        <v>1</v>
      </c>
      <c r="E2" s="7" t="s">
        <v>2</v>
      </c>
      <c r="F2" s="4" t="s">
        <v>3</v>
      </c>
    </row>
    <row r="5" spans="1:6">
      <c r="A5" s="1">
        <v>45657</v>
      </c>
      <c r="B5" s="8" t="s">
        <v>4</v>
      </c>
      <c r="F5" s="9">
        <v>257330</v>
      </c>
    </row>
    <row r="6" spans="1:6">
      <c r="A6" s="10"/>
      <c r="B6" s="11"/>
      <c r="C6" s="11"/>
      <c r="D6" s="12"/>
      <c r="E6" s="12"/>
      <c r="F6" s="2">
        <f>F5</f>
        <v>257330</v>
      </c>
    </row>
    <row r="7" spans="1:6">
      <c r="A7" s="421">
        <v>45667</v>
      </c>
      <c r="B7" s="422" t="s">
        <v>5</v>
      </c>
      <c r="C7" s="393"/>
      <c r="D7" s="423">
        <v>20000</v>
      </c>
      <c r="E7" s="423"/>
      <c r="F7" s="2">
        <f t="shared" ref="F7:F17" si="0">F6+D7-E7</f>
        <v>277330</v>
      </c>
    </row>
    <row r="8" spans="1:6" s="11" customFormat="1">
      <c r="A8" s="421">
        <v>45672</v>
      </c>
      <c r="B8" s="422" t="s">
        <v>1590</v>
      </c>
      <c r="C8" s="393"/>
      <c r="D8" s="423"/>
      <c r="E8" s="423">
        <v>25000</v>
      </c>
      <c r="F8" s="12">
        <f t="shared" si="0"/>
        <v>252330</v>
      </c>
    </row>
    <row r="9" spans="1:6">
      <c r="A9" s="421">
        <v>45672</v>
      </c>
      <c r="B9" s="393" t="s">
        <v>1591</v>
      </c>
      <c r="C9" s="393"/>
      <c r="D9" s="423"/>
      <c r="E9" s="423">
        <v>31000</v>
      </c>
      <c r="F9" s="12">
        <f t="shared" si="0"/>
        <v>221330</v>
      </c>
    </row>
    <row r="10" spans="1:6">
      <c r="A10" s="1">
        <v>45703</v>
      </c>
      <c r="B10" s="8" t="s">
        <v>1592</v>
      </c>
      <c r="C10" s="8"/>
      <c r="D10" s="12"/>
      <c r="F10" s="12">
        <f t="shared" si="0"/>
        <v>221330</v>
      </c>
    </row>
    <row r="11" spans="1:6" s="11" customFormat="1">
      <c r="A11" s="421">
        <v>45709</v>
      </c>
      <c r="B11" s="393" t="s">
        <v>205</v>
      </c>
      <c r="C11" s="393"/>
      <c r="D11" s="423"/>
      <c r="E11" s="423">
        <v>26000</v>
      </c>
      <c r="F11" s="12">
        <f t="shared" si="0"/>
        <v>195330</v>
      </c>
    </row>
    <row r="12" spans="1:6">
      <c r="A12" s="1">
        <v>45731</v>
      </c>
      <c r="B12" s="8" t="s">
        <v>1593</v>
      </c>
      <c r="C12" s="8"/>
      <c r="D12" s="12"/>
      <c r="F12" s="12">
        <f t="shared" si="0"/>
        <v>195330</v>
      </c>
    </row>
    <row r="13" spans="1:6">
      <c r="A13" s="1">
        <v>45762</v>
      </c>
      <c r="B13" s="8" t="s">
        <v>1594</v>
      </c>
      <c r="C13" s="8"/>
      <c r="D13" s="12"/>
      <c r="F13" s="12">
        <f t="shared" si="0"/>
        <v>195330</v>
      </c>
    </row>
    <row r="14" spans="1:6">
      <c r="A14" s="1">
        <v>45792</v>
      </c>
      <c r="B14" s="8" t="s">
        <v>1595</v>
      </c>
      <c r="C14" s="8"/>
      <c r="D14" s="12"/>
      <c r="F14" s="12">
        <f t="shared" si="0"/>
        <v>195330</v>
      </c>
    </row>
    <row r="15" spans="1:6">
      <c r="A15" s="1">
        <v>45823</v>
      </c>
      <c r="B15" s="8" t="s">
        <v>1596</v>
      </c>
      <c r="C15" s="8"/>
      <c r="D15" s="12"/>
      <c r="F15" s="12">
        <f t="shared" si="0"/>
        <v>195330</v>
      </c>
    </row>
    <row r="16" spans="1:6" ht="13.5" thickBot="1">
      <c r="A16" s="1">
        <v>45853</v>
      </c>
      <c r="B16" s="8" t="s">
        <v>1597</v>
      </c>
      <c r="C16" s="8"/>
      <c r="D16" s="12"/>
      <c r="F16" s="12">
        <f t="shared" si="0"/>
        <v>195330</v>
      </c>
    </row>
    <row r="17" spans="5:6">
      <c r="E17" s="13"/>
      <c r="F17" s="389">
        <f t="shared" si="0"/>
        <v>195330</v>
      </c>
    </row>
    <row r="18" spans="5:6" ht="13.5" thickBot="1">
      <c r="E18" s="15"/>
      <c r="F18" s="16" t="s">
        <v>14</v>
      </c>
    </row>
    <row r="37" spans="2:6">
      <c r="B37" s="8" t="s">
        <v>15</v>
      </c>
    </row>
    <row r="39" spans="2:6">
      <c r="F39" s="2">
        <f t="shared" ref="F39:F44" si="1">F38+D39-E39</f>
        <v>0</v>
      </c>
    </row>
    <row r="40" spans="2:6">
      <c r="B40" s="8" t="s">
        <v>16</v>
      </c>
      <c r="D40" s="2">
        <v>50000</v>
      </c>
      <c r="F40" s="2">
        <f t="shared" si="1"/>
        <v>50000</v>
      </c>
    </row>
    <row r="41" spans="2:6">
      <c r="B41" s="8" t="s">
        <v>17</v>
      </c>
      <c r="D41" s="2">
        <v>140000</v>
      </c>
      <c r="F41" s="2">
        <f t="shared" si="1"/>
        <v>190000</v>
      </c>
    </row>
    <row r="42" spans="2:6">
      <c r="B42" s="8" t="s">
        <v>18</v>
      </c>
      <c r="D42" s="2">
        <v>195000</v>
      </c>
      <c r="F42" s="2">
        <f t="shared" si="1"/>
        <v>385000</v>
      </c>
    </row>
    <row r="43" spans="2:6">
      <c r="B43" s="8" t="s">
        <v>19</v>
      </c>
      <c r="E43" s="2">
        <v>310000</v>
      </c>
      <c r="F43" s="2">
        <f t="shared" si="1"/>
        <v>75000</v>
      </c>
    </row>
    <row r="44" spans="2:6">
      <c r="B44" s="3" t="s">
        <v>20</v>
      </c>
      <c r="C44" s="3"/>
      <c r="D44" s="17"/>
      <c r="E44" s="17"/>
      <c r="F44" s="17">
        <f t="shared" si="1"/>
        <v>75000</v>
      </c>
    </row>
    <row r="45" spans="2:6">
      <c r="B45" s="3" t="s">
        <v>21</v>
      </c>
      <c r="C45" s="3"/>
      <c r="D45" s="17" t="e">
        <f>#REF!-F43</f>
        <v>#REF!</v>
      </c>
      <c r="F45" s="2" t="e">
        <f>F43+D45-E45</f>
        <v>#REF!</v>
      </c>
    </row>
    <row r="46" spans="2:6">
      <c r="E46" s="18" t="s">
        <v>22</v>
      </c>
      <c r="F46" s="17" t="e">
        <f>F45</f>
        <v>#REF!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68A1A"/>
  </sheetPr>
  <dimension ref="A1:N27"/>
  <sheetViews>
    <sheetView zoomScale="175" zoomScaleNormal="175" workbookViewId="0">
      <selection activeCell="P3" sqref="P3"/>
    </sheetView>
  </sheetViews>
  <sheetFormatPr defaultColWidth="8.5703125" defaultRowHeight="12.75"/>
  <cols>
    <col min="1" max="1" width="7.140625" customWidth="1"/>
    <col min="2" max="2" width="14.140625" customWidth="1"/>
    <col min="3" max="3" width="15.5703125" customWidth="1"/>
    <col min="4" max="4" width="11.42578125" customWidth="1"/>
    <col min="5" max="5" width="14.140625" customWidth="1"/>
    <col min="6" max="6" width="14.7109375" customWidth="1"/>
    <col min="7" max="7" width="11.85546875" customWidth="1"/>
    <col min="8" max="8" width="0.85546875" customWidth="1"/>
    <col min="9" max="9" width="3.5703125" customWidth="1"/>
    <col min="10" max="10" width="8" customWidth="1"/>
    <col min="11" max="11" width="7" style="2" customWidth="1"/>
    <col min="12" max="12" width="6.85546875" style="2" customWidth="1"/>
    <col min="13" max="13" width="10" style="2" customWidth="1"/>
    <col min="14" max="14" width="7.42578125" customWidth="1"/>
    <col min="15" max="15" width="9.140625" customWidth="1"/>
  </cols>
  <sheetData>
    <row r="1" spans="1:14" ht="15.75">
      <c r="A1" s="19"/>
      <c r="B1" s="20"/>
      <c r="C1" s="21" t="s">
        <v>23</v>
      </c>
      <c r="D1" s="22"/>
      <c r="E1" s="23"/>
      <c r="F1" s="21" t="s">
        <v>24</v>
      </c>
      <c r="G1" s="22"/>
      <c r="H1" s="24"/>
      <c r="I1" s="25"/>
      <c r="J1" s="26"/>
      <c r="K1" s="27" t="s">
        <v>25</v>
      </c>
      <c r="L1" s="462" t="s">
        <v>26</v>
      </c>
      <c r="M1" s="462"/>
      <c r="N1" s="8" t="s">
        <v>27</v>
      </c>
    </row>
    <row r="2" spans="1:14" ht="15.75">
      <c r="A2" s="19">
        <v>-2024</v>
      </c>
      <c r="B2" s="23" t="s">
        <v>28</v>
      </c>
      <c r="C2" s="28" t="s">
        <v>29</v>
      </c>
      <c r="D2" s="22" t="s">
        <v>30</v>
      </c>
      <c r="E2" s="23" t="s">
        <v>28</v>
      </c>
      <c r="F2" s="28" t="s">
        <v>29</v>
      </c>
      <c r="G2" s="22" t="s">
        <v>3</v>
      </c>
      <c r="H2" s="24"/>
      <c r="I2" s="25"/>
      <c r="J2" s="26" t="s">
        <v>31</v>
      </c>
      <c r="K2" s="29">
        <v>0.23538400000000001</v>
      </c>
      <c r="L2" s="30">
        <f>1-K2</f>
        <v>0.76461599999999996</v>
      </c>
      <c r="M2" s="31" t="s">
        <v>32</v>
      </c>
      <c r="N2" s="8" t="e">
        <f>#REF!/1000</f>
        <v>#REF!</v>
      </c>
    </row>
    <row r="3" spans="1:14">
      <c r="A3" t="s">
        <v>33</v>
      </c>
      <c r="B3" s="32">
        <f>'01_25'!D2</f>
        <v>398664</v>
      </c>
      <c r="C3" s="32">
        <f>'01_25'!E2</f>
        <v>-55562.400000000001</v>
      </c>
      <c r="D3" s="33">
        <f>B3+C3</f>
        <v>343101.6</v>
      </c>
      <c r="E3" s="32">
        <f>'01_25'!F2</f>
        <v>320054.88</v>
      </c>
      <c r="F3" s="32">
        <f>'01_25'!G2</f>
        <v>-59018.87</v>
      </c>
      <c r="G3" s="33">
        <f>E3+F3</f>
        <v>261036.01</v>
      </c>
      <c r="H3" s="34"/>
      <c r="I3" s="35" t="s">
        <v>34</v>
      </c>
      <c r="J3">
        <v>180</v>
      </c>
      <c r="K3" s="36"/>
      <c r="L3" s="37"/>
      <c r="M3" s="38">
        <f>J3</f>
        <v>180</v>
      </c>
      <c r="N3" s="8">
        <f>'01_25'!E133/1000</f>
        <v>0.96499000000000001</v>
      </c>
    </row>
    <row r="4" spans="1:14">
      <c r="A4" t="s">
        <v>35</v>
      </c>
      <c r="B4" s="32">
        <f>'02_25'!D2</f>
        <v>45000</v>
      </c>
      <c r="C4" s="32">
        <f>'02_25'!E2</f>
        <v>-75400.399999999994</v>
      </c>
      <c r="D4" s="33">
        <f t="shared" ref="D4:D14" si="0">B4+C4+D3</f>
        <v>312701.19999999995</v>
      </c>
      <c r="E4" s="32">
        <f>'02_25'!F2</f>
        <v>30054.879999999997</v>
      </c>
      <c r="F4" s="32">
        <f>'02_25'!G2</f>
        <v>-96628.72</v>
      </c>
      <c r="G4" s="33">
        <f t="shared" ref="G4:G14" si="1">E4+F4+G3</f>
        <v>194462.17</v>
      </c>
      <c r="H4" s="34"/>
      <c r="I4" s="35" t="s">
        <v>36</v>
      </c>
      <c r="J4">
        <v>235</v>
      </c>
      <c r="K4" s="39">
        <f>J4*$K$2</f>
        <v>55.315240000000003</v>
      </c>
      <c r="L4" s="40">
        <f>J4-K4</f>
        <v>179.68475999999998</v>
      </c>
      <c r="M4" s="38"/>
      <c r="N4" s="8">
        <f>'02_25'!E130/1000</f>
        <v>16.2</v>
      </c>
    </row>
    <row r="5" spans="1:14">
      <c r="A5" t="s">
        <v>37</v>
      </c>
      <c r="B5" s="32">
        <f>'03_25'!D2</f>
        <v>15000</v>
      </c>
      <c r="C5" s="32">
        <f>'03_25'!E2</f>
        <v>-79968.850000000006</v>
      </c>
      <c r="D5" s="33">
        <f t="shared" si="0"/>
        <v>247732.34999999995</v>
      </c>
      <c r="E5" s="32">
        <f>'03_25'!F2</f>
        <v>0</v>
      </c>
      <c r="F5" s="32">
        <f>'03_25'!G2</f>
        <v>-36002.019999999997</v>
      </c>
      <c r="G5" s="33">
        <f t="shared" si="1"/>
        <v>158460.15000000002</v>
      </c>
      <c r="H5" s="34"/>
      <c r="I5" s="35" t="s">
        <v>38</v>
      </c>
      <c r="K5" s="39"/>
      <c r="L5" s="37"/>
      <c r="M5" s="38">
        <f>J5</f>
        <v>0</v>
      </c>
      <c r="N5" s="8">
        <f>'03_25'!E144/1000</f>
        <v>0</v>
      </c>
    </row>
    <row r="6" spans="1:14">
      <c r="A6" t="s">
        <v>39</v>
      </c>
      <c r="B6" s="32">
        <f>'04_25'!D2</f>
        <v>15000</v>
      </c>
      <c r="C6" s="32">
        <f>'04_25'!E2</f>
        <v>-167276.39000000001</v>
      </c>
      <c r="D6" s="33">
        <f t="shared" si="0"/>
        <v>95455.959999999934</v>
      </c>
      <c r="E6" s="32">
        <f>'04_25'!F2</f>
        <v>0</v>
      </c>
      <c r="F6" s="32">
        <f>'04_25'!G2</f>
        <v>-120979.33</v>
      </c>
      <c r="G6" s="33">
        <f t="shared" si="1"/>
        <v>37480.820000000022</v>
      </c>
      <c r="H6" s="34"/>
      <c r="I6" s="41" t="s">
        <v>40</v>
      </c>
      <c r="K6" s="39"/>
      <c r="L6" s="37"/>
      <c r="M6" s="42">
        <f>E18/1000</f>
        <v>15</v>
      </c>
      <c r="N6" s="8">
        <f>'04_25'!E111/1000</f>
        <v>0</v>
      </c>
    </row>
    <row r="7" spans="1:14">
      <c r="A7" t="s">
        <v>41</v>
      </c>
      <c r="B7" s="32">
        <f>'05_25'!D2</f>
        <v>15000</v>
      </c>
      <c r="C7" s="32">
        <f>'05_25'!E2</f>
        <v>-45906.84</v>
      </c>
      <c r="D7" s="33">
        <f t="shared" si="0"/>
        <v>64549.119999999937</v>
      </c>
      <c r="E7" s="32">
        <f>'05_25'!F2</f>
        <v>0</v>
      </c>
      <c r="F7" s="32">
        <f>'05_25'!G2</f>
        <v>-989.78</v>
      </c>
      <c r="G7" s="33">
        <f t="shared" si="1"/>
        <v>36491.040000000023</v>
      </c>
      <c r="H7" s="34"/>
      <c r="I7" s="41" t="s">
        <v>42</v>
      </c>
      <c r="K7" s="39"/>
      <c r="L7" s="40"/>
      <c r="M7" s="42">
        <f>E19/1000</f>
        <v>0</v>
      </c>
      <c r="N7" s="8">
        <f>'05_25'!E101/1000</f>
        <v>0</v>
      </c>
    </row>
    <row r="8" spans="1:14">
      <c r="A8" t="s">
        <v>43</v>
      </c>
      <c r="B8" s="32">
        <f>'06_25'!D2</f>
        <v>15000</v>
      </c>
      <c r="C8" s="32">
        <f>'06_25'!E2</f>
        <v>-53406.84</v>
      </c>
      <c r="D8" s="33">
        <f t="shared" si="0"/>
        <v>26142.279999999941</v>
      </c>
      <c r="E8" s="32">
        <f>'06_25'!F2</f>
        <v>0</v>
      </c>
      <c r="F8" s="32">
        <f>'06_25'!G2</f>
        <v>-989.78</v>
      </c>
      <c r="G8" s="33">
        <f t="shared" si="1"/>
        <v>35501.260000000024</v>
      </c>
      <c r="H8" s="34"/>
      <c r="I8" s="35" t="s">
        <v>44</v>
      </c>
      <c r="J8">
        <v>225</v>
      </c>
      <c r="K8" s="39"/>
      <c r="L8" s="40"/>
      <c r="M8" s="38">
        <f>J8/4</f>
        <v>56.25</v>
      </c>
      <c r="N8" s="8">
        <f>'06_25'!E118/1000</f>
        <v>0</v>
      </c>
    </row>
    <row r="9" spans="1:14">
      <c r="A9" t="s">
        <v>45</v>
      </c>
      <c r="B9" s="32">
        <f>'07_25'!D2</f>
        <v>15000</v>
      </c>
      <c r="C9" s="32">
        <f>'07_25'!E2</f>
        <v>-53406.84</v>
      </c>
      <c r="D9" s="33">
        <f t="shared" si="0"/>
        <v>-12264.560000000056</v>
      </c>
      <c r="E9" s="32">
        <f>'07_25'!F2</f>
        <v>0</v>
      </c>
      <c r="F9" s="32">
        <f>'07_25'!G2</f>
        <v>-989.78</v>
      </c>
      <c r="G9" s="33">
        <f t="shared" si="1"/>
        <v>34511.480000000025</v>
      </c>
      <c r="H9" s="34"/>
      <c r="I9" s="35" t="s">
        <v>46</v>
      </c>
      <c r="J9">
        <v>204</v>
      </c>
      <c r="K9" s="39">
        <f>J9*$K$2</f>
        <v>48.018336000000005</v>
      </c>
      <c r="L9" s="40">
        <f>J9-K9</f>
        <v>155.98166399999999</v>
      </c>
      <c r="M9" s="43"/>
      <c r="N9" s="8">
        <f>'07_25'!E133/1000</f>
        <v>0</v>
      </c>
    </row>
    <row r="10" spans="1:14">
      <c r="A10" t="s">
        <v>47</v>
      </c>
      <c r="B10" s="32">
        <f>'08_25'!D2</f>
        <v>15000</v>
      </c>
      <c r="C10" s="32">
        <f>'08_25'!E2</f>
        <v>-53406.84</v>
      </c>
      <c r="D10" s="33">
        <f t="shared" si="0"/>
        <v>-50671.400000000052</v>
      </c>
      <c r="E10" s="32">
        <f>'08_25'!F2</f>
        <v>0</v>
      </c>
      <c r="F10" s="32">
        <f>'08_25'!G2</f>
        <v>-989.78</v>
      </c>
      <c r="G10" s="33">
        <f t="shared" si="1"/>
        <v>33521.700000000026</v>
      </c>
      <c r="H10" s="34"/>
      <c r="I10" s="35" t="s">
        <v>48</v>
      </c>
      <c r="J10">
        <v>0</v>
      </c>
      <c r="K10" s="39"/>
      <c r="L10" s="40"/>
      <c r="M10" s="38">
        <f>J10*0.13</f>
        <v>0</v>
      </c>
      <c r="N10" s="8">
        <f>'08_25'!E125/1000</f>
        <v>0</v>
      </c>
    </row>
    <row r="11" spans="1:14">
      <c r="A11" t="s">
        <v>49</v>
      </c>
      <c r="B11" s="32">
        <f>'09_25'!D2</f>
        <v>15000</v>
      </c>
      <c r="C11" s="32">
        <f>'09_25'!E2</f>
        <v>-52417.06</v>
      </c>
      <c r="D11" s="33">
        <f t="shared" si="0"/>
        <v>-88088.46000000005</v>
      </c>
      <c r="E11" s="32">
        <f>'09_25'!F2</f>
        <v>0</v>
      </c>
      <c r="F11" s="32">
        <f>'09_25'!G2</f>
        <v>0</v>
      </c>
      <c r="G11" s="33">
        <f t="shared" si="1"/>
        <v>33521.700000000026</v>
      </c>
      <c r="H11" s="34"/>
      <c r="I11" s="35" t="s">
        <v>50</v>
      </c>
      <c r="J11">
        <v>0</v>
      </c>
      <c r="K11" s="39">
        <f>J11*$K$2</f>
        <v>0</v>
      </c>
      <c r="L11" s="40">
        <f>J11-K11</f>
        <v>0</v>
      </c>
      <c r="M11" s="38"/>
      <c r="N11" s="8">
        <f>'09_25'!E101/1000</f>
        <v>0</v>
      </c>
    </row>
    <row r="12" spans="1:14">
      <c r="A12" t="s">
        <v>51</v>
      </c>
      <c r="B12" s="32">
        <f>'10_25'!D2</f>
        <v>15000</v>
      </c>
      <c r="C12" s="32">
        <f>'10_25'!E2</f>
        <v>-52417.06</v>
      </c>
      <c r="D12" s="33">
        <f t="shared" si="0"/>
        <v>-125505.52000000005</v>
      </c>
      <c r="E12" s="32">
        <f>'10_25'!F2</f>
        <v>0</v>
      </c>
      <c r="F12" s="32">
        <f>'10_25'!G2</f>
        <v>0</v>
      </c>
      <c r="G12" s="33">
        <f t="shared" si="1"/>
        <v>33521.700000000026</v>
      </c>
      <c r="H12" s="34"/>
      <c r="I12" s="35" t="s">
        <v>52</v>
      </c>
      <c r="J12">
        <v>0</v>
      </c>
      <c r="K12" s="39">
        <f>J12*$K$2</f>
        <v>0</v>
      </c>
      <c r="L12" s="40">
        <f>J12-K12</f>
        <v>0</v>
      </c>
      <c r="M12" s="38"/>
      <c r="N12" s="8">
        <f>'10_25'!E136/1000</f>
        <v>0</v>
      </c>
    </row>
    <row r="13" spans="1:14">
      <c r="A13" t="s">
        <v>53</v>
      </c>
      <c r="B13" s="32">
        <f>'11_25'!D2</f>
        <v>15000</v>
      </c>
      <c r="C13" s="32">
        <f>'11_25'!E2</f>
        <v>-52417.06</v>
      </c>
      <c r="D13" s="33">
        <f t="shared" si="0"/>
        <v>-162922.58000000005</v>
      </c>
      <c r="E13" s="32">
        <f>'11_25'!F2</f>
        <v>0</v>
      </c>
      <c r="F13" s="32">
        <f>'11_25'!G2</f>
        <v>0</v>
      </c>
      <c r="G13" s="33">
        <f t="shared" si="1"/>
        <v>33521.700000000026</v>
      </c>
      <c r="H13" s="34"/>
      <c r="I13" s="35" t="s">
        <v>54</v>
      </c>
      <c r="J13">
        <v>219</v>
      </c>
      <c r="K13" s="39">
        <f>J13*$K$2</f>
        <v>51.549095999999999</v>
      </c>
      <c r="L13" s="40">
        <f>J13-K13</f>
        <v>167.45090400000001</v>
      </c>
      <c r="M13" s="43"/>
      <c r="N13" s="8">
        <f>'11_25'!E111/1000</f>
        <v>0</v>
      </c>
    </row>
    <row r="14" spans="1:14">
      <c r="A14" t="s">
        <v>55</v>
      </c>
      <c r="B14" s="32">
        <f>'12_25'!D2</f>
        <v>15000</v>
      </c>
      <c r="C14" s="32">
        <f>'12_25'!E2</f>
        <v>-52417.06</v>
      </c>
      <c r="D14" s="33">
        <f t="shared" si="0"/>
        <v>-200339.64000000004</v>
      </c>
      <c r="E14" s="32">
        <f>'12_25'!F2</f>
        <v>0</v>
      </c>
      <c r="F14" s="32">
        <f>'12_25'!G2</f>
        <v>0</v>
      </c>
      <c r="G14" s="33">
        <f t="shared" si="1"/>
        <v>33521.700000000026</v>
      </c>
      <c r="H14" s="34"/>
      <c r="I14" s="44" t="s">
        <v>56</v>
      </c>
      <c r="J14" s="45">
        <v>290</v>
      </c>
      <c r="K14" s="39">
        <f>J14*$K$2</f>
        <v>68.261359999999996</v>
      </c>
      <c r="L14" s="40">
        <f>J14-K14</f>
        <v>221.73864</v>
      </c>
      <c r="M14" s="38"/>
      <c r="N14" s="8">
        <f>'12_25'!E125/1000</f>
        <v>0</v>
      </c>
    </row>
    <row r="15" spans="1:14">
      <c r="A15" s="46" t="s">
        <v>57</v>
      </c>
      <c r="B15" s="33">
        <f>SUM(B3:B14)</f>
        <v>593664</v>
      </c>
      <c r="C15" s="33">
        <f>SUM(C3:C14)</f>
        <v>-794003.64000000013</v>
      </c>
      <c r="D15" s="33">
        <f>B15+C15</f>
        <v>-200339.64000000013</v>
      </c>
      <c r="E15" s="33">
        <f>SUM(E3:E14)</f>
        <v>350109.76</v>
      </c>
      <c r="F15" s="33">
        <f>SUM(F3:F14)</f>
        <v>-316588.06000000011</v>
      </c>
      <c r="G15" s="33">
        <f>E15+F15</f>
        <v>33521.699999999895</v>
      </c>
      <c r="H15" s="47"/>
      <c r="I15" s="48"/>
      <c r="J15" s="49">
        <f>SUM(J3:J14)</f>
        <v>1353</v>
      </c>
      <c r="K15" s="50">
        <f>SUM(K4:K14)</f>
        <v>223.14403200000001</v>
      </c>
      <c r="L15" s="51">
        <f>SUM(L4:L14)</f>
        <v>724.85596800000008</v>
      </c>
      <c r="M15" s="52">
        <f>M10+M8+M6+M5+M3+M7</f>
        <v>251.25</v>
      </c>
    </row>
    <row r="16" spans="1:14">
      <c r="A16" s="53">
        <v>12</v>
      </c>
      <c r="B16" s="54">
        <f>B15/A16</f>
        <v>49472</v>
      </c>
      <c r="C16" s="55">
        <f>C15/A16</f>
        <v>-66166.970000000016</v>
      </c>
      <c r="D16" s="55"/>
      <c r="E16" s="55">
        <f>E15/A16</f>
        <v>29175.813333333335</v>
      </c>
      <c r="F16" s="55">
        <f>F15/A16</f>
        <v>-26382.338333333344</v>
      </c>
      <c r="G16" s="55">
        <f>G15/A16</f>
        <v>2793.4749999999913</v>
      </c>
      <c r="H16" s="56"/>
      <c r="I16" s="57"/>
      <c r="J16" s="58">
        <f>J15/12</f>
        <v>112.75</v>
      </c>
      <c r="K16" s="59">
        <f>K15/12</f>
        <v>18.595336</v>
      </c>
      <c r="L16" s="60">
        <f>L15/12</f>
        <v>60.404664000000004</v>
      </c>
      <c r="M16" s="61">
        <f>M15/12</f>
        <v>20.9375</v>
      </c>
      <c r="N16" s="62" t="e">
        <f>AVERAGE(N2:N15)</f>
        <v>#REF!</v>
      </c>
    </row>
    <row r="17" spans="2:13">
      <c r="C17" s="2"/>
      <c r="D17" s="2"/>
      <c r="G17" s="63"/>
      <c r="H17" s="63"/>
      <c r="I17" s="35"/>
      <c r="K17" s="2" t="s">
        <v>57</v>
      </c>
      <c r="L17" s="463">
        <f>L15+M15</f>
        <v>976.10596800000008</v>
      </c>
      <c r="M17" s="463"/>
    </row>
    <row r="18" spans="2:13">
      <c r="D18" s="64" t="s">
        <v>58</v>
      </c>
      <c r="E18" s="2">
        <f>'01_25'!F32+'02_25'!F14+'02_25'!F26+'03_25'!F22+'04_25'!F41+'05_25'!F22+'06_25'!F19+'06_25'!F31+'04_25'!F15</f>
        <v>15000</v>
      </c>
      <c r="J18" s="35"/>
      <c r="K18" s="2" t="s">
        <v>59</v>
      </c>
      <c r="L18" s="65"/>
      <c r="M18" s="66">
        <f>L17/12</f>
        <v>81.342164000000011</v>
      </c>
    </row>
    <row r="19" spans="2:13">
      <c r="C19" s="67"/>
      <c r="D19" s="68" t="s">
        <v>60</v>
      </c>
      <c r="E19" s="69">
        <f>'07_25'!F30+'08_25'!F25+'09_25'!F19+'10_25'!F29+'11_25'!F34+'12_25'!F22</f>
        <v>0</v>
      </c>
    </row>
    <row r="20" spans="2:13">
      <c r="D20" s="18" t="s">
        <v>61</v>
      </c>
      <c r="E20" s="17">
        <f>SUM(E18:E19)</f>
        <v>15000</v>
      </c>
    </row>
    <row r="21" spans="2:13">
      <c r="B21" s="70">
        <v>44896</v>
      </c>
    </row>
    <row r="22" spans="2:13" ht="15">
      <c r="B22" s="2">
        <v>6986.25</v>
      </c>
      <c r="C22" s="71">
        <v>0.37578499999999998</v>
      </c>
      <c r="D22" s="72">
        <v>0.49259190000000003</v>
      </c>
    </row>
    <row r="23" spans="2:13" ht="15">
      <c r="B23" s="2">
        <f>B22*C22</f>
        <v>2625.3279562499997</v>
      </c>
      <c r="C23" s="73" t="s">
        <v>62</v>
      </c>
      <c r="D23" s="2">
        <f>B22*D22</f>
        <v>3441.3701613750004</v>
      </c>
    </row>
    <row r="24" spans="2:13" ht="14.25">
      <c r="B24" s="74">
        <f>SUM(B22:B23)</f>
        <v>9611.5779562499993</v>
      </c>
      <c r="C24" s="75" t="s">
        <v>63</v>
      </c>
      <c r="D24" s="74">
        <f>D23+B22</f>
        <v>10427.620161375</v>
      </c>
    </row>
    <row r="25" spans="2:13">
      <c r="C25" s="76" t="e">
        <f>(D27/D25)-1</f>
        <v>#DIV/0!</v>
      </c>
    </row>
    <row r="26" spans="2:13">
      <c r="C26" t="s">
        <v>64</v>
      </c>
    </row>
    <row r="27" spans="2:13">
      <c r="C27" t="s">
        <v>65</v>
      </c>
      <c r="D27">
        <v>13006.38</v>
      </c>
    </row>
  </sheetData>
  <mergeCells count="2">
    <mergeCell ref="L1:M1"/>
    <mergeCell ref="L17:M17"/>
  </mergeCell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BC2E6"/>
  </sheetPr>
  <dimension ref="A1:N77"/>
  <sheetViews>
    <sheetView topLeftCell="A51" zoomScale="145" zoomScaleNormal="145" workbookViewId="0">
      <selection activeCell="B68" sqref="A67:B68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66</v>
      </c>
      <c r="C2" s="79" t="s">
        <v>67</v>
      </c>
      <c r="D2" s="77">
        <f>SUM(D4:D33)</f>
        <v>15000</v>
      </c>
      <c r="E2" s="77">
        <f>SUM(E4:E33)</f>
        <v>-52417.06</v>
      </c>
      <c r="F2" s="77">
        <f>SUM(F4:F33)</f>
        <v>0</v>
      </c>
      <c r="G2" s="77">
        <f>SUM(G4:G33)</f>
        <v>0</v>
      </c>
      <c r="H2" s="77">
        <f>F2+G2</f>
        <v>0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E39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E54</f>
        <v>0</v>
      </c>
      <c r="F8" s="87"/>
      <c r="G8" s="87">
        <f>E8</f>
        <v>0</v>
      </c>
      <c r="H8" s="77">
        <f t="shared" si="0"/>
        <v>0</v>
      </c>
    </row>
    <row r="9" spans="1:10">
      <c r="G9" s="87"/>
      <c r="H9" s="77">
        <f t="shared" si="0"/>
        <v>0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0</v>
      </c>
    </row>
    <row r="11" spans="1:10">
      <c r="B11" s="89" t="s">
        <v>71</v>
      </c>
      <c r="C11" s="89"/>
      <c r="D11" s="90"/>
      <c r="E11" s="90">
        <v>-25000</v>
      </c>
      <c r="H11" s="77">
        <f t="shared" si="0"/>
        <v>0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0</v>
      </c>
    </row>
    <row r="13" spans="1:10">
      <c r="A13" s="88"/>
      <c r="B13" s="92"/>
      <c r="C13" s="92"/>
      <c r="D13" s="90"/>
      <c r="E13" s="90"/>
      <c r="H13" s="77">
        <f t="shared" si="0"/>
        <v>0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0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0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0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0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0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0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0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0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0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0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0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0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0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0</v>
      </c>
    </row>
    <row r="28" spans="1:13" s="78" customFormat="1">
      <c r="D28" s="77"/>
      <c r="E28" s="77"/>
      <c r="F28" s="77"/>
      <c r="G28" s="77"/>
      <c r="H28" s="77">
        <f t="shared" si="0"/>
        <v>0</v>
      </c>
    </row>
    <row r="29" spans="1:13">
      <c r="A29" s="100"/>
      <c r="B29" s="101" t="s">
        <v>82</v>
      </c>
      <c r="C29" s="101"/>
      <c r="H29" s="77">
        <f t="shared" si="0"/>
        <v>0</v>
      </c>
      <c r="I29" s="78"/>
      <c r="J29" s="78"/>
    </row>
    <row r="30" spans="1:13">
      <c r="A30" s="100"/>
      <c r="H30" s="77">
        <f t="shared" si="0"/>
        <v>0</v>
      </c>
    </row>
    <row r="31" spans="1:13">
      <c r="H31" s="77">
        <f t="shared" si="0"/>
        <v>0</v>
      </c>
    </row>
    <row r="33" spans="1:14" s="78" customFormat="1">
      <c r="A33" s="98"/>
      <c r="B33"/>
      <c r="C33"/>
      <c r="D33" s="77"/>
      <c r="E33" s="77"/>
      <c r="F33" s="77"/>
      <c r="G33" s="77"/>
      <c r="H33" s="77"/>
      <c r="I33"/>
      <c r="J33"/>
    </row>
    <row r="34" spans="1:14" s="78" customFormat="1">
      <c r="B34" s="101"/>
      <c r="C34" s="101"/>
      <c r="D34" s="77"/>
      <c r="E34" s="77"/>
      <c r="F34" s="77"/>
      <c r="G34" s="77"/>
      <c r="H34" s="77"/>
      <c r="J34" s="94"/>
      <c r="K34" s="94"/>
      <c r="L34" s="95"/>
      <c r="M34" s="96"/>
    </row>
    <row r="35" spans="1:14" s="78" customFormat="1">
      <c r="B35" s="101"/>
      <c r="C35" s="101"/>
      <c r="D35" s="77"/>
      <c r="E35" s="77"/>
      <c r="F35" s="77"/>
      <c r="G35" s="77"/>
      <c r="H35" s="77"/>
      <c r="J35" s="94"/>
      <c r="K35" s="94"/>
      <c r="L35" s="95"/>
      <c r="M35" s="96"/>
    </row>
    <row r="36" spans="1:14" s="78" customFormat="1">
      <c r="A36" s="98"/>
      <c r="D36" s="77"/>
      <c r="E36" s="77"/>
      <c r="F36" s="77"/>
      <c r="G36" s="77"/>
      <c r="H36" s="77"/>
    </row>
    <row r="37" spans="1:14" s="77" customFormat="1">
      <c r="A37" s="88"/>
      <c r="B37" s="78"/>
      <c r="C37" s="78"/>
      <c r="I37" s="78"/>
      <c r="J37" s="78"/>
      <c r="K37" s="78"/>
      <c r="L37" s="78"/>
      <c r="M37" s="78"/>
      <c r="N37" s="78"/>
    </row>
    <row r="38" spans="1:14" s="77" customFormat="1">
      <c r="B38" s="102"/>
      <c r="K38" s="78"/>
      <c r="L38" s="78"/>
      <c r="M38" s="78"/>
      <c r="N38" s="78"/>
    </row>
    <row r="39" spans="1:14">
      <c r="A39" s="103"/>
      <c r="B39" s="104" t="s">
        <v>83</v>
      </c>
      <c r="C39" s="103"/>
      <c r="E39" s="77">
        <f>SUM(E40:E51)</f>
        <v>0</v>
      </c>
      <c r="I39" s="77"/>
      <c r="J39" s="77"/>
    </row>
    <row r="40" spans="1:14" s="77" customFormat="1" ht="15">
      <c r="A40"/>
      <c r="B40"/>
      <c r="C40"/>
      <c r="E40" s="105" t="s">
        <v>84</v>
      </c>
      <c r="I40"/>
      <c r="J40"/>
      <c r="K40" s="78"/>
      <c r="L40" s="78"/>
      <c r="M40" s="78"/>
      <c r="N40" s="78"/>
    </row>
    <row r="41" spans="1:14" s="77" customFormat="1">
      <c r="A41" s="88"/>
      <c r="K41" s="78"/>
      <c r="L41" s="78"/>
      <c r="M41" s="78"/>
      <c r="N41" s="78"/>
    </row>
    <row r="42" spans="1:14" s="77" customFormat="1">
      <c r="A42" s="88"/>
      <c r="K42" s="78"/>
      <c r="L42" s="78"/>
      <c r="M42" s="78"/>
      <c r="N42" s="78"/>
    </row>
    <row r="43" spans="1:14" s="77" customFormat="1">
      <c r="A43" s="88"/>
      <c r="K43" s="78"/>
      <c r="L43" s="78"/>
      <c r="M43" s="78"/>
      <c r="N43" s="78"/>
    </row>
    <row r="44" spans="1:14">
      <c r="A44" s="88"/>
      <c r="B44" s="77"/>
      <c r="C44" s="77"/>
      <c r="I44" s="77"/>
      <c r="J44" s="77"/>
    </row>
    <row r="45" spans="1:14" s="77" customFormat="1">
      <c r="A45"/>
      <c r="B45"/>
      <c r="C45"/>
      <c r="I45"/>
      <c r="J45"/>
      <c r="K45" s="78"/>
      <c r="L45" s="78"/>
      <c r="M45" s="78"/>
      <c r="N45" s="78"/>
    </row>
    <row r="46" spans="1:14" s="77" customFormat="1">
      <c r="A46" s="100"/>
      <c r="B46" s="106"/>
      <c r="C46" s="106"/>
      <c r="K46" s="78"/>
      <c r="L46" s="78"/>
      <c r="M46" s="78"/>
      <c r="N46" s="78"/>
    </row>
    <row r="47" spans="1:14" s="77" customFormat="1">
      <c r="A47" s="100"/>
      <c r="B47" s="106"/>
      <c r="C47" s="106"/>
      <c r="K47" s="78"/>
      <c r="L47" s="78"/>
      <c r="M47" s="78"/>
      <c r="N47" s="78"/>
    </row>
    <row r="48" spans="1:14" s="77" customFormat="1">
      <c r="A48" s="100"/>
      <c r="B48" s="107"/>
      <c r="C48" s="106"/>
      <c r="K48" s="78"/>
      <c r="L48" s="78"/>
      <c r="M48" s="78"/>
      <c r="N48" s="78"/>
    </row>
    <row r="49" spans="1:14" s="77" customFormat="1">
      <c r="A49" s="100"/>
      <c r="B49" s="107"/>
      <c r="C49" s="106"/>
      <c r="K49" s="78"/>
      <c r="L49" s="78"/>
      <c r="M49" s="78"/>
      <c r="N49" s="78"/>
    </row>
    <row r="50" spans="1:14" s="77" customFormat="1">
      <c r="A50" s="100"/>
      <c r="B50" s="107"/>
      <c r="K50" s="78"/>
      <c r="L50" s="78"/>
      <c r="M50" s="78"/>
      <c r="N50" s="78"/>
    </row>
    <row r="51" spans="1:14" s="77" customFormat="1">
      <c r="A51" s="100"/>
      <c r="B51" s="107"/>
      <c r="C51" s="106"/>
      <c r="K51" s="78"/>
      <c r="L51" s="78"/>
      <c r="M51" s="78"/>
      <c r="N51" s="78"/>
    </row>
    <row r="52" spans="1:14" s="77" customFormat="1">
      <c r="A52" s="100"/>
      <c r="B52" s="3"/>
      <c r="K52" s="78"/>
      <c r="L52" s="78"/>
      <c r="M52" s="78"/>
      <c r="N52" s="78"/>
    </row>
    <row r="53" spans="1:14" s="77" customFormat="1">
      <c r="A53" s="100"/>
      <c r="B53" s="106"/>
      <c r="C53" s="106"/>
      <c r="K53" s="78"/>
      <c r="L53" s="78"/>
      <c r="M53" s="78"/>
      <c r="N53" s="78"/>
    </row>
    <row r="54" spans="1:14" s="77" customFormat="1">
      <c r="A54" s="103"/>
      <c r="B54" s="104" t="s">
        <v>85</v>
      </c>
      <c r="C54" s="103"/>
      <c r="E54" s="77">
        <f>SUM(E55:E73)</f>
        <v>0</v>
      </c>
      <c r="K54" s="78"/>
      <c r="L54" s="78"/>
      <c r="M54" s="78"/>
      <c r="N54" s="78"/>
    </row>
    <row r="55" spans="1:14" s="77" customFormat="1">
      <c r="A55" s="100"/>
      <c r="B55" s="106"/>
      <c r="C55" s="106"/>
      <c r="K55" s="78"/>
      <c r="L55" s="78"/>
      <c r="M55" s="78"/>
      <c r="N55" s="78"/>
    </row>
    <row r="56" spans="1:14" s="77" customFormat="1">
      <c r="A56" s="100"/>
      <c r="B56" s="106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>
      <c r="A64" s="100"/>
      <c r="B64" s="3"/>
      <c r="C64" s="106"/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 ht="15">
      <c r="A68" s="100"/>
      <c r="B68" s="3"/>
      <c r="C68" s="106"/>
      <c r="E68" s="105" t="s">
        <v>84</v>
      </c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 s="77" customFormat="1">
      <c r="A70" s="100"/>
      <c r="B70" s="3"/>
      <c r="C70" s="106"/>
      <c r="K70" s="78"/>
      <c r="L70" s="78"/>
      <c r="M70" s="78"/>
      <c r="N70" s="78"/>
    </row>
    <row r="71" spans="1:14" s="77" customFormat="1">
      <c r="A71" s="100"/>
      <c r="B71" s="3"/>
      <c r="C71" s="106"/>
      <c r="K71" s="78"/>
      <c r="L71" s="78"/>
      <c r="M71" s="78"/>
      <c r="N71" s="78"/>
    </row>
    <row r="72" spans="1:14" s="77" customFormat="1">
      <c r="A72" s="100"/>
      <c r="B72" s="3"/>
      <c r="C72" s="106"/>
      <c r="K72" s="78"/>
      <c r="L72" s="78"/>
      <c r="M72" s="78"/>
      <c r="N72" s="78"/>
    </row>
    <row r="73" spans="1:14" s="77" customFormat="1">
      <c r="A73" s="100"/>
      <c r="B73" s="3"/>
      <c r="C73" s="106"/>
      <c r="K73" s="78"/>
      <c r="L73" s="78"/>
      <c r="M73" s="78"/>
      <c r="N73" s="78"/>
    </row>
    <row r="74" spans="1:14" s="77" customFormat="1">
      <c r="A74" s="100"/>
      <c r="B74" s="3"/>
      <c r="K74" s="78"/>
      <c r="L74" s="78"/>
      <c r="M74" s="78"/>
      <c r="N74" s="78"/>
    </row>
    <row r="75" spans="1:14" s="77" customFormat="1">
      <c r="A75" s="100"/>
      <c r="B75" s="3"/>
      <c r="C75" s="106"/>
      <c r="K75" s="78"/>
      <c r="L75" s="78"/>
      <c r="M75" s="78"/>
      <c r="N75" s="78"/>
    </row>
    <row r="76" spans="1:14" s="77" customFormat="1">
      <c r="A76" s="100"/>
      <c r="B76" s="3"/>
      <c r="C76" s="106"/>
      <c r="K76" s="78"/>
      <c r="L76" s="78"/>
      <c r="M76" s="78"/>
      <c r="N76" s="78"/>
    </row>
    <row r="77" spans="1:14">
      <c r="A77" s="100"/>
      <c r="B77" s="3"/>
      <c r="C77" s="106"/>
      <c r="I77" s="77"/>
      <c r="J77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C2E6"/>
  </sheetPr>
  <dimension ref="A1:N77"/>
  <sheetViews>
    <sheetView topLeftCell="A45" zoomScale="145" zoomScaleNormal="145" workbookViewId="0">
      <selection activeCell="B67" sqref="A65:B67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66</v>
      </c>
      <c r="C2" s="79" t="s">
        <v>67</v>
      </c>
      <c r="D2" s="77">
        <f>SUM(D4:D33)</f>
        <v>15000</v>
      </c>
      <c r="E2" s="77">
        <f>SUM(E4:E33)</f>
        <v>-52417.06</v>
      </c>
      <c r="F2" s="77">
        <f>SUM(F4:F33)</f>
        <v>0</v>
      </c>
      <c r="G2" s="77">
        <f>SUM(G4:G33)</f>
        <v>0</v>
      </c>
      <c r="H2" s="77">
        <f>F2+G2</f>
        <v>0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E39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E54</f>
        <v>0</v>
      </c>
      <c r="F8" s="87"/>
      <c r="G8" s="87">
        <f>E8</f>
        <v>0</v>
      </c>
      <c r="H8" s="77">
        <f t="shared" si="0"/>
        <v>0</v>
      </c>
    </row>
    <row r="9" spans="1:10">
      <c r="G9" s="87"/>
      <c r="H9" s="77">
        <f t="shared" si="0"/>
        <v>0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0</v>
      </c>
    </row>
    <row r="11" spans="1:10">
      <c r="B11" s="89" t="s">
        <v>358</v>
      </c>
      <c r="C11" s="89"/>
      <c r="D11" s="90"/>
      <c r="E11" s="90">
        <v>-25000</v>
      </c>
      <c r="H11" s="77">
        <f t="shared" si="0"/>
        <v>0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0</v>
      </c>
    </row>
    <row r="13" spans="1:10">
      <c r="A13" s="88"/>
      <c r="B13" s="92"/>
      <c r="C13" s="92"/>
      <c r="D13" s="90"/>
      <c r="E13" s="90"/>
      <c r="H13" s="77">
        <f t="shared" si="0"/>
        <v>0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0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0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0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0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0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0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0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0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0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0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0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0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0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0</v>
      </c>
    </row>
    <row r="28" spans="1:13" s="78" customFormat="1">
      <c r="D28" s="77"/>
      <c r="E28" s="77"/>
      <c r="F28" s="77"/>
      <c r="G28" s="77"/>
      <c r="H28" s="77">
        <f t="shared" si="0"/>
        <v>0</v>
      </c>
    </row>
    <row r="29" spans="1:13">
      <c r="A29" s="100"/>
      <c r="B29" s="101" t="s">
        <v>82</v>
      </c>
      <c r="C29" s="101"/>
      <c r="H29" s="77">
        <f t="shared" si="0"/>
        <v>0</v>
      </c>
      <c r="I29" s="78"/>
      <c r="J29" s="78"/>
    </row>
    <row r="30" spans="1:13">
      <c r="A30" s="100"/>
      <c r="H30" s="77">
        <f t="shared" si="0"/>
        <v>0</v>
      </c>
    </row>
    <row r="31" spans="1:13">
      <c r="H31" s="77">
        <f t="shared" si="0"/>
        <v>0</v>
      </c>
    </row>
    <row r="33" spans="1:14" s="78" customFormat="1">
      <c r="A33" s="98"/>
      <c r="B33"/>
      <c r="C33"/>
      <c r="D33" s="77"/>
      <c r="E33" s="77"/>
      <c r="F33" s="77"/>
      <c r="G33" s="77"/>
      <c r="H33" s="77"/>
      <c r="I33"/>
      <c r="J33"/>
    </row>
    <row r="34" spans="1:14" s="78" customFormat="1">
      <c r="B34" s="101"/>
      <c r="C34" s="101"/>
      <c r="D34" s="77"/>
      <c r="E34" s="77"/>
      <c r="F34" s="77"/>
      <c r="G34" s="77"/>
      <c r="H34" s="77"/>
      <c r="J34" s="94"/>
      <c r="K34" s="94"/>
      <c r="L34" s="95"/>
      <c r="M34" s="96"/>
    </row>
    <row r="35" spans="1:14" s="78" customFormat="1">
      <c r="B35" s="101"/>
      <c r="C35" s="101"/>
      <c r="D35" s="77"/>
      <c r="E35" s="77"/>
      <c r="F35" s="77"/>
      <c r="G35" s="77"/>
      <c r="H35" s="77"/>
      <c r="J35" s="94"/>
      <c r="K35" s="94"/>
      <c r="L35" s="95"/>
      <c r="M35" s="96"/>
    </row>
    <row r="36" spans="1:14" s="78" customFormat="1">
      <c r="A36" s="98"/>
      <c r="D36" s="77"/>
      <c r="E36" s="77"/>
      <c r="F36" s="77"/>
      <c r="G36" s="77"/>
      <c r="H36" s="77"/>
    </row>
    <row r="37" spans="1:14" s="77" customFormat="1">
      <c r="A37" s="88"/>
      <c r="B37" s="78"/>
      <c r="C37" s="78"/>
      <c r="I37" s="78"/>
      <c r="J37" s="78"/>
      <c r="K37" s="78"/>
      <c r="L37" s="78"/>
      <c r="M37" s="78"/>
      <c r="N37" s="78"/>
    </row>
    <row r="38" spans="1:14" s="77" customFormat="1">
      <c r="B38" s="102"/>
      <c r="K38" s="78"/>
      <c r="L38" s="78"/>
      <c r="M38" s="78"/>
      <c r="N38" s="78"/>
    </row>
    <row r="39" spans="1:14">
      <c r="A39" s="103"/>
      <c r="B39" s="104" t="s">
        <v>83</v>
      </c>
      <c r="C39" s="103"/>
      <c r="E39" s="77">
        <f>SUM(E40:E51)</f>
        <v>0</v>
      </c>
      <c r="I39" s="77"/>
      <c r="J39" s="77"/>
    </row>
    <row r="40" spans="1:14" s="77" customFormat="1" ht="15">
      <c r="A40"/>
      <c r="B40"/>
      <c r="C40"/>
      <c r="E40" s="105" t="s">
        <v>84</v>
      </c>
      <c r="I40"/>
      <c r="J40"/>
      <c r="K40" s="78"/>
      <c r="L40" s="78"/>
      <c r="M40" s="78"/>
      <c r="N40" s="78"/>
    </row>
    <row r="41" spans="1:14" s="77" customFormat="1">
      <c r="A41" s="88"/>
      <c r="K41" s="78"/>
      <c r="L41" s="78"/>
      <c r="M41" s="78"/>
      <c r="N41" s="78"/>
    </row>
    <row r="42" spans="1:14" s="77" customFormat="1">
      <c r="A42" s="88"/>
      <c r="K42" s="78"/>
      <c r="L42" s="78"/>
      <c r="M42" s="78"/>
      <c r="N42" s="78"/>
    </row>
    <row r="43" spans="1:14" s="77" customFormat="1">
      <c r="A43" s="88"/>
      <c r="K43" s="78"/>
      <c r="L43" s="78"/>
      <c r="M43" s="78"/>
      <c r="N43" s="78"/>
    </row>
    <row r="44" spans="1:14">
      <c r="A44" s="88"/>
      <c r="B44" s="77"/>
      <c r="C44" s="77"/>
      <c r="I44" s="77"/>
      <c r="J44" s="77"/>
    </row>
    <row r="45" spans="1:14" s="77" customFormat="1">
      <c r="A45"/>
      <c r="B45"/>
      <c r="C45"/>
      <c r="I45"/>
      <c r="J45"/>
      <c r="K45" s="78"/>
      <c r="L45" s="78"/>
      <c r="M45" s="78"/>
      <c r="N45" s="78"/>
    </row>
    <row r="46" spans="1:14" s="77" customFormat="1">
      <c r="A46" s="100"/>
      <c r="B46" s="106"/>
      <c r="C46" s="106"/>
      <c r="K46" s="78"/>
      <c r="L46" s="78"/>
      <c r="M46" s="78"/>
      <c r="N46" s="78"/>
    </row>
    <row r="47" spans="1:14" s="77" customFormat="1">
      <c r="A47" s="100"/>
      <c r="B47" s="106"/>
      <c r="C47" s="106"/>
      <c r="K47" s="78"/>
      <c r="L47" s="78"/>
      <c r="M47" s="78"/>
      <c r="N47" s="78"/>
    </row>
    <row r="48" spans="1:14" s="77" customFormat="1">
      <c r="A48" s="100"/>
      <c r="B48" s="107"/>
      <c r="C48" s="106"/>
      <c r="K48" s="78"/>
      <c r="L48" s="78"/>
      <c r="M48" s="78"/>
      <c r="N48" s="78"/>
    </row>
    <row r="49" spans="1:14" s="77" customFormat="1">
      <c r="A49" s="100"/>
      <c r="B49" s="107"/>
      <c r="C49" s="106"/>
      <c r="K49" s="78"/>
      <c r="L49" s="78"/>
      <c r="M49" s="78"/>
      <c r="N49" s="78"/>
    </row>
    <row r="50" spans="1:14" s="77" customFormat="1">
      <c r="A50" s="100"/>
      <c r="B50" s="107"/>
      <c r="K50" s="78"/>
      <c r="L50" s="78"/>
      <c r="M50" s="78"/>
      <c r="N50" s="78"/>
    </row>
    <row r="51" spans="1:14" s="77" customFormat="1">
      <c r="A51" s="100"/>
      <c r="B51" s="107"/>
      <c r="C51" s="106"/>
      <c r="K51" s="78"/>
      <c r="L51" s="78"/>
      <c r="M51" s="78"/>
      <c r="N51" s="78"/>
    </row>
    <row r="52" spans="1:14" s="77" customFormat="1">
      <c r="A52" s="100"/>
      <c r="B52" s="3"/>
      <c r="K52" s="78"/>
      <c r="L52" s="78"/>
      <c r="M52" s="78"/>
      <c r="N52" s="78"/>
    </row>
    <row r="53" spans="1:14" s="77" customFormat="1">
      <c r="A53" s="100"/>
      <c r="B53" s="106"/>
      <c r="C53" s="106"/>
      <c r="K53" s="78"/>
      <c r="L53" s="78"/>
      <c r="M53" s="78"/>
      <c r="N53" s="78"/>
    </row>
    <row r="54" spans="1:14" s="77" customFormat="1">
      <c r="A54" s="103"/>
      <c r="B54" s="104" t="s">
        <v>85</v>
      </c>
      <c r="C54" s="103"/>
      <c r="E54" s="77">
        <f>SUM(E55:E73)</f>
        <v>0</v>
      </c>
      <c r="K54" s="78"/>
      <c r="L54" s="78"/>
      <c r="M54" s="78"/>
      <c r="N54" s="78"/>
    </row>
    <row r="55" spans="1:14" s="77" customFormat="1">
      <c r="A55" s="100"/>
      <c r="B55" s="106"/>
      <c r="C55" s="106"/>
      <c r="K55" s="78"/>
      <c r="L55" s="78"/>
      <c r="M55" s="78"/>
      <c r="N55" s="78"/>
    </row>
    <row r="56" spans="1:14" s="77" customFormat="1">
      <c r="A56" s="100"/>
      <c r="B56" s="106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>
      <c r="A64" s="100"/>
      <c r="B64" s="3"/>
      <c r="C64" s="106"/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 ht="15">
      <c r="A68" s="100"/>
      <c r="B68" s="3"/>
      <c r="C68" s="106"/>
      <c r="E68" s="105" t="s">
        <v>84</v>
      </c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 s="77" customFormat="1">
      <c r="A70" s="100"/>
      <c r="B70" s="3"/>
      <c r="C70" s="106"/>
      <c r="K70" s="78"/>
      <c r="L70" s="78"/>
      <c r="M70" s="78"/>
      <c r="N70" s="78"/>
    </row>
    <row r="71" spans="1:14" s="77" customFormat="1">
      <c r="A71" s="100"/>
      <c r="B71" s="3"/>
      <c r="C71" s="106"/>
      <c r="K71" s="78"/>
      <c r="L71" s="78"/>
      <c r="M71" s="78"/>
      <c r="N71" s="78"/>
    </row>
    <row r="72" spans="1:14" s="77" customFormat="1">
      <c r="A72" s="100"/>
      <c r="B72" s="3"/>
      <c r="C72" s="106"/>
      <c r="K72" s="78"/>
      <c r="L72" s="78"/>
      <c r="M72" s="78"/>
      <c r="N72" s="78"/>
    </row>
    <row r="73" spans="1:14" s="77" customFormat="1">
      <c r="A73" s="100"/>
      <c r="B73" s="3"/>
      <c r="C73" s="106"/>
      <c r="K73" s="78"/>
      <c r="L73" s="78"/>
      <c r="M73" s="78"/>
      <c r="N73" s="78"/>
    </row>
    <row r="74" spans="1:14" s="77" customFormat="1">
      <c r="A74" s="100"/>
      <c r="B74" s="3"/>
      <c r="K74" s="78"/>
      <c r="L74" s="78"/>
      <c r="M74" s="78"/>
      <c r="N74" s="78"/>
    </row>
    <row r="75" spans="1:14" s="77" customFormat="1">
      <c r="A75" s="100"/>
      <c r="B75" s="3"/>
      <c r="C75" s="106"/>
      <c r="K75" s="78"/>
      <c r="L75" s="78"/>
      <c r="M75" s="78"/>
      <c r="N75" s="78"/>
    </row>
    <row r="76" spans="1:14" s="77" customFormat="1">
      <c r="A76" s="100"/>
      <c r="B76" s="3"/>
      <c r="C76" s="106"/>
      <c r="K76" s="78"/>
      <c r="L76" s="78"/>
      <c r="M76" s="78"/>
      <c r="N76" s="78"/>
    </row>
    <row r="77" spans="1:14">
      <c r="A77" s="100"/>
      <c r="B77" s="3"/>
      <c r="C77" s="106"/>
      <c r="I77" s="77"/>
      <c r="J77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BC2E6"/>
  </sheetPr>
  <dimension ref="A1:N77"/>
  <sheetViews>
    <sheetView topLeftCell="A43" zoomScale="145" zoomScaleNormal="145" workbookViewId="0">
      <selection activeCell="B66" sqref="A66:B67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66</v>
      </c>
      <c r="C2" s="79" t="s">
        <v>67</v>
      </c>
      <c r="D2" s="77">
        <f>SUM(D4:D33)</f>
        <v>15000</v>
      </c>
      <c r="E2" s="77">
        <f>SUM(E4:E33)</f>
        <v>-52417.06</v>
      </c>
      <c r="F2" s="77">
        <f>SUM(F4:F33)</f>
        <v>0</v>
      </c>
      <c r="G2" s="77">
        <f>SUM(G4:G33)</f>
        <v>0</v>
      </c>
      <c r="H2" s="77">
        <f>F2+G2</f>
        <v>0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E39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E54</f>
        <v>0</v>
      </c>
      <c r="F8" s="87"/>
      <c r="G8" s="87">
        <f>E8</f>
        <v>0</v>
      </c>
      <c r="H8" s="77">
        <f t="shared" si="0"/>
        <v>0</v>
      </c>
    </row>
    <row r="9" spans="1:10">
      <c r="G9" s="87"/>
      <c r="H9" s="77">
        <f t="shared" si="0"/>
        <v>0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0</v>
      </c>
    </row>
    <row r="11" spans="1:10">
      <c r="B11" s="89" t="s">
        <v>388</v>
      </c>
      <c r="C11" s="89"/>
      <c r="D11" s="90"/>
      <c r="E11" s="90">
        <v>-25000</v>
      </c>
      <c r="H11" s="77">
        <f t="shared" si="0"/>
        <v>0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0</v>
      </c>
    </row>
    <row r="13" spans="1:10">
      <c r="A13" s="88"/>
      <c r="B13" s="92"/>
      <c r="C13" s="92"/>
      <c r="D13" s="90"/>
      <c r="E13" s="90"/>
      <c r="H13" s="77">
        <f t="shared" si="0"/>
        <v>0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0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0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0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0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0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0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0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0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0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0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0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0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0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0</v>
      </c>
    </row>
    <row r="28" spans="1:13" s="78" customFormat="1">
      <c r="D28" s="77"/>
      <c r="E28" s="77"/>
      <c r="F28" s="77"/>
      <c r="G28" s="77"/>
      <c r="H28" s="77">
        <f t="shared" si="0"/>
        <v>0</v>
      </c>
    </row>
    <row r="29" spans="1:13">
      <c r="A29" s="100"/>
      <c r="B29" s="101" t="s">
        <v>82</v>
      </c>
      <c r="C29" s="101"/>
      <c r="H29" s="77">
        <f t="shared" si="0"/>
        <v>0</v>
      </c>
      <c r="I29" s="78"/>
      <c r="J29" s="78"/>
    </row>
    <row r="30" spans="1:13">
      <c r="A30" s="100"/>
      <c r="H30" s="77">
        <f t="shared" si="0"/>
        <v>0</v>
      </c>
    </row>
    <row r="31" spans="1:13">
      <c r="H31" s="77">
        <f t="shared" si="0"/>
        <v>0</v>
      </c>
    </row>
    <row r="33" spans="1:14" s="78" customFormat="1">
      <c r="A33" s="98"/>
      <c r="B33"/>
      <c r="C33"/>
      <c r="D33" s="77"/>
      <c r="E33" s="77"/>
      <c r="F33" s="77"/>
      <c r="G33" s="77"/>
      <c r="H33" s="77"/>
      <c r="I33"/>
      <c r="J33"/>
    </row>
    <row r="34" spans="1:14" s="78" customFormat="1">
      <c r="B34" s="101"/>
      <c r="C34" s="101"/>
      <c r="D34" s="77"/>
      <c r="E34" s="77"/>
      <c r="F34" s="77"/>
      <c r="G34" s="77"/>
      <c r="H34" s="77"/>
      <c r="J34" s="94"/>
      <c r="K34" s="94"/>
      <c r="L34" s="95"/>
      <c r="M34" s="96"/>
    </row>
    <row r="35" spans="1:14" s="78" customFormat="1">
      <c r="B35" s="101"/>
      <c r="C35" s="101"/>
      <c r="D35" s="77"/>
      <c r="E35" s="77"/>
      <c r="F35" s="77"/>
      <c r="G35" s="77"/>
      <c r="H35" s="77"/>
      <c r="J35" s="94"/>
      <c r="K35" s="94"/>
      <c r="L35" s="95"/>
      <c r="M35" s="96"/>
    </row>
    <row r="36" spans="1:14" s="78" customFormat="1">
      <c r="A36" s="98"/>
      <c r="D36" s="77"/>
      <c r="E36" s="77"/>
      <c r="F36" s="77"/>
      <c r="G36" s="77"/>
      <c r="H36" s="77"/>
    </row>
    <row r="37" spans="1:14" s="77" customFormat="1">
      <c r="A37" s="88"/>
      <c r="B37" s="78"/>
      <c r="C37" s="78"/>
      <c r="I37" s="78"/>
      <c r="J37" s="78"/>
      <c r="K37" s="78"/>
      <c r="L37" s="78"/>
      <c r="M37" s="78"/>
      <c r="N37" s="78"/>
    </row>
    <row r="38" spans="1:14" s="77" customFormat="1">
      <c r="B38" s="102"/>
      <c r="K38" s="78"/>
      <c r="L38" s="78"/>
      <c r="M38" s="78"/>
      <c r="N38" s="78"/>
    </row>
    <row r="39" spans="1:14">
      <c r="A39" s="103"/>
      <c r="B39" s="104" t="s">
        <v>83</v>
      </c>
      <c r="C39" s="103"/>
      <c r="E39" s="77">
        <f>SUM(E40:E51)</f>
        <v>0</v>
      </c>
      <c r="I39" s="77"/>
      <c r="J39" s="77"/>
    </row>
    <row r="40" spans="1:14" s="77" customFormat="1" ht="15">
      <c r="A40"/>
      <c r="B40"/>
      <c r="C40"/>
      <c r="E40" s="105" t="s">
        <v>84</v>
      </c>
      <c r="I40"/>
      <c r="J40"/>
      <c r="K40" s="78"/>
      <c r="L40" s="78"/>
      <c r="M40" s="78"/>
      <c r="N40" s="78"/>
    </row>
    <row r="41" spans="1:14" s="77" customFormat="1">
      <c r="A41" s="88"/>
      <c r="K41" s="78"/>
      <c r="L41" s="78"/>
      <c r="M41" s="78"/>
      <c r="N41" s="78"/>
    </row>
    <row r="42" spans="1:14" s="77" customFormat="1">
      <c r="A42" s="88"/>
      <c r="K42" s="78"/>
      <c r="L42" s="78"/>
      <c r="M42" s="78"/>
      <c r="N42" s="78"/>
    </row>
    <row r="43" spans="1:14" s="77" customFormat="1">
      <c r="A43" s="88"/>
      <c r="K43" s="78"/>
      <c r="L43" s="78"/>
      <c r="M43" s="78"/>
      <c r="N43" s="78"/>
    </row>
    <row r="44" spans="1:14">
      <c r="A44" s="88"/>
      <c r="B44" s="77"/>
      <c r="C44" s="77"/>
      <c r="I44" s="77"/>
      <c r="J44" s="77"/>
    </row>
    <row r="45" spans="1:14" s="77" customFormat="1">
      <c r="A45"/>
      <c r="B45"/>
      <c r="C45"/>
      <c r="I45"/>
      <c r="J45"/>
      <c r="K45" s="78"/>
      <c r="L45" s="78"/>
      <c r="M45" s="78"/>
      <c r="N45" s="78"/>
    </row>
    <row r="46" spans="1:14" s="77" customFormat="1">
      <c r="A46" s="100"/>
      <c r="B46" s="106"/>
      <c r="C46" s="106"/>
      <c r="K46" s="78"/>
      <c r="L46" s="78"/>
      <c r="M46" s="78"/>
      <c r="N46" s="78"/>
    </row>
    <row r="47" spans="1:14" s="77" customFormat="1">
      <c r="A47" s="100"/>
      <c r="B47" s="106"/>
      <c r="C47" s="106"/>
      <c r="K47" s="78"/>
      <c r="L47" s="78"/>
      <c r="M47" s="78"/>
      <c r="N47" s="78"/>
    </row>
    <row r="48" spans="1:14" s="77" customFormat="1">
      <c r="A48" s="100"/>
      <c r="B48" s="107"/>
      <c r="C48" s="106"/>
      <c r="K48" s="78"/>
      <c r="L48" s="78"/>
      <c r="M48" s="78"/>
      <c r="N48" s="78"/>
    </row>
    <row r="49" spans="1:14" s="77" customFormat="1">
      <c r="A49" s="100"/>
      <c r="B49" s="107"/>
      <c r="C49" s="106"/>
      <c r="K49" s="78"/>
      <c r="L49" s="78"/>
      <c r="M49" s="78"/>
      <c r="N49" s="78"/>
    </row>
    <row r="50" spans="1:14" s="77" customFormat="1">
      <c r="A50" s="100"/>
      <c r="B50" s="107"/>
      <c r="K50" s="78"/>
      <c r="L50" s="78"/>
      <c r="M50" s="78"/>
      <c r="N50" s="78"/>
    </row>
    <row r="51" spans="1:14" s="77" customFormat="1">
      <c r="A51" s="100"/>
      <c r="B51" s="107"/>
      <c r="C51" s="106"/>
      <c r="K51" s="78"/>
      <c r="L51" s="78"/>
      <c r="M51" s="78"/>
      <c r="N51" s="78"/>
    </row>
    <row r="52" spans="1:14" s="77" customFormat="1">
      <c r="A52" s="100"/>
      <c r="B52" s="3"/>
      <c r="K52" s="78"/>
      <c r="L52" s="78"/>
      <c r="M52" s="78"/>
      <c r="N52" s="78"/>
    </row>
    <row r="53" spans="1:14" s="77" customFormat="1">
      <c r="A53" s="100"/>
      <c r="B53" s="106"/>
      <c r="C53" s="106"/>
      <c r="K53" s="78"/>
      <c r="L53" s="78"/>
      <c r="M53" s="78"/>
      <c r="N53" s="78"/>
    </row>
    <row r="54" spans="1:14" s="77" customFormat="1">
      <c r="A54" s="103"/>
      <c r="B54" s="104" t="s">
        <v>85</v>
      </c>
      <c r="C54" s="103"/>
      <c r="E54" s="77">
        <f>SUM(E55:E73)</f>
        <v>0</v>
      </c>
      <c r="K54" s="78"/>
      <c r="L54" s="78"/>
      <c r="M54" s="78"/>
      <c r="N54" s="78"/>
    </row>
    <row r="55" spans="1:14" s="77" customFormat="1">
      <c r="A55" s="100"/>
      <c r="B55" s="106"/>
      <c r="C55" s="106"/>
      <c r="K55" s="78"/>
      <c r="L55" s="78"/>
      <c r="M55" s="78"/>
      <c r="N55" s="78"/>
    </row>
    <row r="56" spans="1:14" s="77" customFormat="1">
      <c r="A56" s="100"/>
      <c r="B56" s="106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>
      <c r="A64" s="100"/>
      <c r="B64" s="3"/>
      <c r="C64" s="106"/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 ht="15">
      <c r="A68" s="100"/>
      <c r="B68" s="3"/>
      <c r="C68" s="106"/>
      <c r="E68" s="105" t="s">
        <v>84</v>
      </c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 s="77" customFormat="1">
      <c r="A70" s="100"/>
      <c r="B70" s="3"/>
      <c r="C70" s="106"/>
      <c r="K70" s="78"/>
      <c r="L70" s="78"/>
      <c r="M70" s="78"/>
      <c r="N70" s="78"/>
    </row>
    <row r="71" spans="1:14" s="77" customFormat="1">
      <c r="A71" s="100"/>
      <c r="B71" s="3"/>
      <c r="C71" s="106"/>
      <c r="K71" s="78"/>
      <c r="L71" s="78"/>
      <c r="M71" s="78"/>
      <c r="N71" s="78"/>
    </row>
    <row r="72" spans="1:14" s="77" customFormat="1">
      <c r="A72" s="100"/>
      <c r="B72" s="3"/>
      <c r="C72" s="106"/>
      <c r="K72" s="78"/>
      <c r="L72" s="78"/>
      <c r="M72" s="78"/>
      <c r="N72" s="78"/>
    </row>
    <row r="73" spans="1:14" s="77" customFormat="1">
      <c r="A73" s="100"/>
      <c r="B73" s="3"/>
      <c r="C73" s="106"/>
      <c r="K73" s="78"/>
      <c r="L73" s="78"/>
      <c r="M73" s="78"/>
      <c r="N73" s="78"/>
    </row>
    <row r="74" spans="1:14" s="77" customFormat="1">
      <c r="A74" s="100"/>
      <c r="B74" s="3"/>
      <c r="K74" s="78"/>
      <c r="L74" s="78"/>
      <c r="M74" s="78"/>
      <c r="N74" s="78"/>
    </row>
    <row r="75" spans="1:14" s="77" customFormat="1">
      <c r="A75" s="100"/>
      <c r="B75" s="3"/>
      <c r="C75" s="106"/>
      <c r="K75" s="78"/>
      <c r="L75" s="78"/>
      <c r="M75" s="78"/>
      <c r="N75" s="78"/>
    </row>
    <row r="76" spans="1:14" s="77" customFormat="1">
      <c r="A76" s="100"/>
      <c r="B76" s="3"/>
      <c r="C76" s="106"/>
      <c r="K76" s="78"/>
      <c r="L76" s="78"/>
      <c r="M76" s="78"/>
      <c r="N76" s="78"/>
    </row>
    <row r="77" spans="1:14">
      <c r="A77" s="100"/>
      <c r="B77" s="3"/>
      <c r="C77" s="106"/>
      <c r="I77" s="77"/>
      <c r="J77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BC2E6"/>
  </sheetPr>
  <dimension ref="A1:N76"/>
  <sheetViews>
    <sheetView topLeftCell="A47" zoomScale="145" zoomScaleNormal="145" workbookViewId="0">
      <selection activeCell="B68" sqref="A64:B68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87</v>
      </c>
      <c r="C2" s="79" t="s">
        <v>67</v>
      </c>
      <c r="D2" s="77">
        <f>SUM(D4:D34)</f>
        <v>15000</v>
      </c>
      <c r="E2" s="77">
        <f>SUM(E4:E34)</f>
        <v>-52417.06</v>
      </c>
      <c r="F2" s="77">
        <f>SUM(F4:F34)</f>
        <v>0</v>
      </c>
      <c r="G2" s="77">
        <f>SUM(G4:G33)</f>
        <v>0</v>
      </c>
      <c r="H2" s="77">
        <f>F2+G2</f>
        <v>0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E39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E54</f>
        <v>0</v>
      </c>
      <c r="F8" s="87"/>
      <c r="G8" s="87">
        <f>E8</f>
        <v>0</v>
      </c>
      <c r="H8" s="77">
        <f t="shared" si="0"/>
        <v>0</v>
      </c>
    </row>
    <row r="9" spans="1:10">
      <c r="G9" s="87"/>
      <c r="H9" s="77">
        <f t="shared" si="0"/>
        <v>0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0</v>
      </c>
    </row>
    <row r="11" spans="1:10">
      <c r="B11" s="89" t="s">
        <v>432</v>
      </c>
      <c r="C11" s="89"/>
      <c r="D11" s="90"/>
      <c r="E11" s="90">
        <v>-25000</v>
      </c>
      <c r="H11" s="77">
        <f t="shared" si="0"/>
        <v>0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0</v>
      </c>
    </row>
    <row r="13" spans="1:10">
      <c r="A13" s="88"/>
      <c r="B13" s="92"/>
      <c r="C13" s="92"/>
      <c r="D13" s="90"/>
      <c r="E13" s="90"/>
      <c r="H13" s="77">
        <f t="shared" si="0"/>
        <v>0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0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0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0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0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0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0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0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0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0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0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0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0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0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0</v>
      </c>
    </row>
    <row r="28" spans="1:13" s="78" customFormat="1">
      <c r="D28" s="77"/>
      <c r="E28" s="77"/>
      <c r="F28" s="77"/>
      <c r="G28" s="77"/>
      <c r="H28" s="77">
        <f t="shared" si="0"/>
        <v>0</v>
      </c>
    </row>
    <row r="29" spans="1:13">
      <c r="A29" s="100"/>
      <c r="B29" s="101" t="s">
        <v>88</v>
      </c>
      <c r="C29" s="101"/>
      <c r="H29" s="77">
        <f t="shared" si="0"/>
        <v>0</v>
      </c>
      <c r="I29" s="78"/>
      <c r="J29" s="78"/>
    </row>
    <row r="30" spans="1:13">
      <c r="A30" s="100"/>
      <c r="H30" s="77">
        <f t="shared" si="0"/>
        <v>0</v>
      </c>
    </row>
    <row r="31" spans="1:13">
      <c r="H31" s="77">
        <f t="shared" si="0"/>
        <v>0</v>
      </c>
    </row>
    <row r="33" spans="1:14">
      <c r="A33" s="98"/>
    </row>
    <row r="34" spans="1:14" s="78" customFormat="1">
      <c r="A34"/>
      <c r="B34"/>
      <c r="C34"/>
      <c r="D34" s="77"/>
      <c r="E34" s="77"/>
      <c r="F34" s="77"/>
      <c r="G34" s="77"/>
      <c r="H34" s="77"/>
      <c r="I34"/>
      <c r="J34"/>
    </row>
    <row r="35" spans="1:14" s="78" customFormat="1">
      <c r="B35" s="101"/>
      <c r="C35" s="101"/>
      <c r="D35" s="77"/>
      <c r="E35" s="77"/>
      <c r="F35" s="77"/>
      <c r="G35" s="77"/>
      <c r="H35" s="77"/>
      <c r="J35" s="94"/>
      <c r="K35" s="94"/>
      <c r="L35" s="95"/>
      <c r="M35" s="96"/>
    </row>
    <row r="36" spans="1:14" s="78" customFormat="1">
      <c r="A36" s="98"/>
      <c r="D36" s="77"/>
      <c r="E36" s="77"/>
      <c r="F36" s="77"/>
      <c r="G36" s="77"/>
      <c r="H36" s="77"/>
    </row>
    <row r="37" spans="1:14" s="77" customFormat="1">
      <c r="A37" s="88"/>
      <c r="B37" s="78"/>
      <c r="C37" s="78"/>
      <c r="I37" s="78"/>
      <c r="J37" s="78"/>
      <c r="K37" s="78"/>
      <c r="L37" s="78"/>
      <c r="M37" s="78"/>
      <c r="N37" s="78"/>
    </row>
    <row r="38" spans="1:14" s="77" customFormat="1">
      <c r="B38" s="102"/>
      <c r="K38" s="78"/>
      <c r="L38" s="78"/>
      <c r="M38" s="78"/>
      <c r="N38" s="78"/>
    </row>
    <row r="39" spans="1:14">
      <c r="A39" s="103"/>
      <c r="B39" s="104" t="s">
        <v>83</v>
      </c>
      <c r="C39" s="103"/>
      <c r="E39" s="77">
        <f>SUM(E40:E51)</f>
        <v>0</v>
      </c>
      <c r="I39" s="77"/>
      <c r="J39" s="77"/>
    </row>
    <row r="40" spans="1:14" s="77" customFormat="1" ht="15">
      <c r="A40"/>
      <c r="B40"/>
      <c r="C40"/>
      <c r="E40" s="105" t="s">
        <v>84</v>
      </c>
      <c r="I40"/>
      <c r="J40"/>
      <c r="K40" s="78"/>
      <c r="L40" s="78"/>
      <c r="M40" s="78"/>
      <c r="N40" s="78"/>
    </row>
    <row r="41" spans="1:14" s="77" customFormat="1">
      <c r="A41" s="88"/>
      <c r="K41" s="78"/>
      <c r="L41" s="78"/>
      <c r="M41" s="78"/>
      <c r="N41" s="78"/>
    </row>
    <row r="42" spans="1:14" s="77" customFormat="1">
      <c r="A42" s="88"/>
      <c r="K42" s="78"/>
      <c r="L42" s="78"/>
      <c r="M42" s="78"/>
      <c r="N42" s="78"/>
    </row>
    <row r="43" spans="1:14" s="77" customFormat="1">
      <c r="A43" s="88"/>
      <c r="K43" s="78"/>
      <c r="L43" s="78"/>
      <c r="M43" s="78"/>
      <c r="N43" s="78"/>
    </row>
    <row r="44" spans="1:14">
      <c r="A44" s="88"/>
      <c r="B44" s="77"/>
      <c r="C44" s="77"/>
      <c r="I44" s="77"/>
      <c r="J44" s="77"/>
    </row>
    <row r="45" spans="1:14" s="77" customFormat="1">
      <c r="A45"/>
      <c r="B45"/>
      <c r="C45"/>
      <c r="I45"/>
      <c r="J45"/>
      <c r="K45" s="78"/>
      <c r="L45" s="78"/>
      <c r="M45" s="78"/>
      <c r="N45" s="78"/>
    </row>
    <row r="46" spans="1:14" s="77" customFormat="1">
      <c r="A46" s="100"/>
      <c r="B46" s="106"/>
      <c r="C46" s="106"/>
      <c r="K46" s="78"/>
      <c r="L46" s="78"/>
      <c r="M46" s="78"/>
      <c r="N46" s="78"/>
    </row>
    <row r="47" spans="1:14" s="77" customFormat="1">
      <c r="A47" s="100"/>
      <c r="B47" s="106"/>
      <c r="C47" s="106"/>
      <c r="K47" s="78"/>
      <c r="L47" s="78"/>
      <c r="M47" s="78"/>
      <c r="N47" s="78"/>
    </row>
    <row r="48" spans="1:14" s="77" customFormat="1">
      <c r="A48" s="100"/>
      <c r="B48" s="107"/>
      <c r="C48" s="106"/>
      <c r="K48" s="78"/>
      <c r="L48" s="78"/>
      <c r="M48" s="78"/>
      <c r="N48" s="78"/>
    </row>
    <row r="49" spans="1:14" s="77" customFormat="1">
      <c r="A49" s="100"/>
      <c r="B49" s="107"/>
      <c r="C49" s="106"/>
      <c r="K49" s="78"/>
      <c r="L49" s="78"/>
      <c r="M49" s="78"/>
      <c r="N49" s="78"/>
    </row>
    <row r="50" spans="1:14" s="77" customFormat="1">
      <c r="A50" s="100"/>
      <c r="B50" s="107"/>
      <c r="K50" s="78"/>
      <c r="L50" s="78"/>
      <c r="M50" s="78"/>
      <c r="N50" s="78"/>
    </row>
    <row r="51" spans="1:14" s="77" customFormat="1">
      <c r="A51" s="100"/>
      <c r="B51" s="107"/>
      <c r="C51" s="106"/>
      <c r="K51" s="78"/>
      <c r="L51" s="78"/>
      <c r="M51" s="78"/>
      <c r="N51" s="78"/>
    </row>
    <row r="52" spans="1:14" s="77" customFormat="1">
      <c r="A52" s="100"/>
      <c r="B52" s="3"/>
      <c r="K52" s="78"/>
      <c r="L52" s="78"/>
      <c r="M52" s="78"/>
      <c r="N52" s="78"/>
    </row>
    <row r="53" spans="1:14" s="77" customFormat="1">
      <c r="A53" s="100"/>
      <c r="B53" s="106"/>
      <c r="C53" s="106"/>
      <c r="K53" s="78"/>
      <c r="L53" s="78"/>
      <c r="M53" s="78"/>
      <c r="N53" s="78"/>
    </row>
    <row r="54" spans="1:14" s="77" customFormat="1">
      <c r="A54" s="103"/>
      <c r="B54" s="104" t="s">
        <v>85</v>
      </c>
      <c r="C54" s="103"/>
      <c r="E54" s="77">
        <f>SUM(E55:E73)</f>
        <v>0</v>
      </c>
      <c r="K54" s="78"/>
      <c r="L54" s="78"/>
      <c r="M54" s="78"/>
      <c r="N54" s="78"/>
    </row>
    <row r="55" spans="1:14" s="77" customFormat="1">
      <c r="A55" s="100"/>
      <c r="B55" s="106"/>
      <c r="C55" s="106"/>
      <c r="K55" s="78"/>
      <c r="L55" s="78"/>
      <c r="M55" s="78"/>
      <c r="N55" s="78"/>
    </row>
    <row r="56" spans="1:14" s="77" customFormat="1">
      <c r="A56" s="100"/>
      <c r="B56" s="106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>
      <c r="A64" s="100"/>
      <c r="B64" s="3"/>
      <c r="C64" s="106"/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 ht="15">
      <c r="A68" s="100"/>
      <c r="B68" s="3"/>
      <c r="C68" s="106"/>
      <c r="E68" s="105" t="s">
        <v>84</v>
      </c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 s="77" customFormat="1">
      <c r="A70" s="100"/>
      <c r="B70" s="3"/>
      <c r="C70" s="106"/>
      <c r="K70" s="78"/>
      <c r="L70" s="78"/>
      <c r="M70" s="78"/>
      <c r="N70" s="78"/>
    </row>
    <row r="71" spans="1:14" s="77" customFormat="1">
      <c r="A71" s="100"/>
      <c r="B71" s="3"/>
      <c r="C71" s="106"/>
      <c r="K71" s="78"/>
      <c r="L71" s="78"/>
      <c r="M71" s="78"/>
      <c r="N71" s="78"/>
    </row>
    <row r="72" spans="1:14" s="77" customFormat="1">
      <c r="A72" s="100"/>
      <c r="B72" s="3"/>
      <c r="C72" s="106"/>
      <c r="K72" s="78"/>
      <c r="L72" s="78"/>
      <c r="M72" s="78"/>
      <c r="N72" s="78"/>
    </row>
    <row r="73" spans="1:14" s="77" customFormat="1">
      <c r="A73" s="100"/>
      <c r="B73" s="3"/>
      <c r="C73" s="106"/>
      <c r="K73" s="78"/>
      <c r="L73" s="78"/>
      <c r="M73" s="78"/>
      <c r="N73" s="78"/>
    </row>
    <row r="74" spans="1:14" s="77" customFormat="1">
      <c r="A74" s="100"/>
      <c r="B74" s="3"/>
      <c r="K74" s="78"/>
      <c r="L74" s="78"/>
      <c r="M74" s="78"/>
      <c r="N74" s="78"/>
    </row>
    <row r="75" spans="1:14" s="77" customFormat="1">
      <c r="A75" s="100"/>
      <c r="B75" s="3"/>
      <c r="C75" s="106"/>
      <c r="K75" s="78"/>
      <c r="L75" s="78"/>
      <c r="M75" s="78"/>
      <c r="N75" s="78"/>
    </row>
    <row r="76" spans="1:14">
      <c r="A76" s="100"/>
      <c r="B76" s="3"/>
      <c r="C76" s="106"/>
      <c r="I76" s="77"/>
      <c r="J76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BC2E6"/>
  </sheetPr>
  <dimension ref="A1:N71"/>
  <sheetViews>
    <sheetView topLeftCell="A43" zoomScale="145" zoomScaleNormal="145" workbookViewId="0">
      <selection activeCell="D53" sqref="D53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89</v>
      </c>
      <c r="C2" s="79" t="s">
        <v>67</v>
      </c>
      <c r="D2" s="77">
        <f>SUM(D4:D32)</f>
        <v>15000</v>
      </c>
      <c r="E2" s="77">
        <f>SUM(E4:E32)</f>
        <v>-53406.84</v>
      </c>
      <c r="F2" s="77">
        <f>SUM(F4:F32)</f>
        <v>0</v>
      </c>
      <c r="G2" s="77">
        <f>SUM(G4:G32)</f>
        <v>-989.78</v>
      </c>
      <c r="H2" s="77">
        <f>F2+G2</f>
        <v>-989.78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E35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E50</f>
        <v>-989.78</v>
      </c>
      <c r="F8" s="87"/>
      <c r="G8" s="87">
        <f>E8</f>
        <v>-989.78</v>
      </c>
      <c r="H8" s="77">
        <f t="shared" si="0"/>
        <v>-989.78</v>
      </c>
    </row>
    <row r="9" spans="1:10">
      <c r="G9" s="87"/>
      <c r="H9" s="77">
        <f t="shared" si="0"/>
        <v>-989.78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-989.78</v>
      </c>
    </row>
    <row r="11" spans="1:10">
      <c r="B11" s="89" t="s">
        <v>459</v>
      </c>
      <c r="C11" s="89"/>
      <c r="D11" s="90"/>
      <c r="E11" s="90">
        <v>-25000</v>
      </c>
      <c r="H11" s="77">
        <f t="shared" si="0"/>
        <v>-989.78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-989.78</v>
      </c>
    </row>
    <row r="13" spans="1:10">
      <c r="A13" s="88"/>
      <c r="B13" s="92"/>
      <c r="C13" s="92"/>
      <c r="D13" s="90"/>
      <c r="E13" s="90"/>
      <c r="H13" s="77">
        <f t="shared" si="0"/>
        <v>-989.78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-989.78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-989.78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-989.78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-989.78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-989.78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-989.78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-989.78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-989.78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-989.78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-989.78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-989.78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-989.78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-989.78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-989.78</v>
      </c>
    </row>
    <row r="28" spans="1:13" s="78" customFormat="1">
      <c r="D28" s="77"/>
      <c r="E28" s="77"/>
      <c r="F28" s="77"/>
      <c r="G28" s="77"/>
      <c r="H28" s="77">
        <f t="shared" si="0"/>
        <v>-989.78</v>
      </c>
    </row>
    <row r="29" spans="1:13">
      <c r="A29" s="100"/>
      <c r="B29" s="101" t="s">
        <v>90</v>
      </c>
      <c r="C29" s="101"/>
      <c r="H29" s="77">
        <f t="shared" si="0"/>
        <v>-989.78</v>
      </c>
      <c r="I29" s="78"/>
      <c r="J29" s="78"/>
    </row>
    <row r="30" spans="1:13">
      <c r="A30" s="100"/>
      <c r="H30" s="77">
        <f t="shared" si="0"/>
        <v>-989.78</v>
      </c>
    </row>
    <row r="31" spans="1:13">
      <c r="H31" s="77">
        <f t="shared" si="0"/>
        <v>-989.78</v>
      </c>
    </row>
    <row r="32" spans="1:13" s="78" customFormat="1">
      <c r="A32"/>
      <c r="B32"/>
      <c r="C32"/>
      <c r="D32" s="77"/>
      <c r="E32" s="77"/>
      <c r="F32" s="77"/>
      <c r="G32" s="77"/>
      <c r="H32" s="77"/>
      <c r="I32"/>
      <c r="J32"/>
    </row>
    <row r="33" spans="1:14" s="77" customFormat="1">
      <c r="A33" s="88"/>
      <c r="B33" s="78"/>
      <c r="C33" s="78"/>
      <c r="I33" s="78"/>
      <c r="J33" s="78"/>
      <c r="K33" s="78"/>
      <c r="L33" s="78"/>
      <c r="M33" s="78"/>
      <c r="N33" s="78"/>
    </row>
    <row r="34" spans="1:14" s="77" customFormat="1">
      <c r="B34" s="102"/>
      <c r="K34" s="78"/>
      <c r="L34" s="78"/>
      <c r="M34" s="78"/>
      <c r="N34" s="78"/>
    </row>
    <row r="35" spans="1:14">
      <c r="A35" s="103"/>
      <c r="B35" s="104" t="s">
        <v>83</v>
      </c>
      <c r="C35" s="103"/>
      <c r="E35" s="77">
        <f>SUM(E36:E47)</f>
        <v>0</v>
      </c>
      <c r="I35" s="77"/>
      <c r="J35" s="77"/>
    </row>
    <row r="36" spans="1:14" s="77" customFormat="1" ht="15">
      <c r="A36"/>
      <c r="B36"/>
      <c r="C36"/>
      <c r="E36" s="105" t="s">
        <v>84</v>
      </c>
      <c r="I36"/>
      <c r="J36"/>
      <c r="K36" s="78"/>
      <c r="L36" s="78"/>
      <c r="M36" s="78"/>
      <c r="N36" s="78"/>
    </row>
    <row r="37" spans="1:14" s="77" customFormat="1">
      <c r="A37" s="88"/>
      <c r="K37" s="78"/>
      <c r="L37" s="78"/>
      <c r="M37" s="78"/>
      <c r="N37" s="78"/>
    </row>
    <row r="38" spans="1:14" s="77" customFormat="1">
      <c r="A38" s="88"/>
      <c r="K38" s="78"/>
      <c r="L38" s="78"/>
      <c r="M38" s="78"/>
      <c r="N38" s="78"/>
    </row>
    <row r="39" spans="1:14" s="77" customFormat="1">
      <c r="A39" s="88"/>
      <c r="K39" s="78"/>
      <c r="L39" s="78"/>
      <c r="M39" s="78"/>
      <c r="N39" s="78"/>
    </row>
    <row r="40" spans="1:14">
      <c r="A40" s="88"/>
      <c r="B40" s="77"/>
      <c r="C40" s="77"/>
      <c r="I40" s="77"/>
      <c r="J40" s="77"/>
    </row>
    <row r="41" spans="1:14" s="77" customFormat="1">
      <c r="A41"/>
      <c r="B41"/>
      <c r="C41"/>
      <c r="I41"/>
      <c r="J41"/>
      <c r="K41" s="78"/>
      <c r="L41" s="78"/>
      <c r="M41" s="78"/>
      <c r="N41" s="78"/>
    </row>
    <row r="42" spans="1:14" s="77" customFormat="1">
      <c r="A42" s="100"/>
      <c r="B42" s="106"/>
      <c r="C42" s="106"/>
      <c r="K42" s="78"/>
      <c r="L42" s="78"/>
      <c r="M42" s="78"/>
      <c r="N42" s="78"/>
    </row>
    <row r="43" spans="1:14" s="77" customFormat="1">
      <c r="A43" s="100"/>
      <c r="B43" s="106"/>
      <c r="C43" s="106"/>
      <c r="K43" s="78"/>
      <c r="L43" s="78"/>
      <c r="M43" s="78"/>
      <c r="N43" s="78"/>
    </row>
    <row r="44" spans="1:14" s="77" customFormat="1">
      <c r="A44" s="100"/>
      <c r="B44" s="107"/>
      <c r="C44" s="106"/>
      <c r="K44" s="78"/>
      <c r="L44" s="78"/>
      <c r="M44" s="78"/>
      <c r="N44" s="78"/>
    </row>
    <row r="45" spans="1:14" s="77" customFormat="1">
      <c r="A45" s="100"/>
      <c r="B45" s="107"/>
      <c r="C45" s="106"/>
      <c r="K45" s="78"/>
      <c r="L45" s="78"/>
      <c r="M45" s="78"/>
      <c r="N45" s="78"/>
    </row>
    <row r="46" spans="1:14" s="77" customFormat="1">
      <c r="A46" s="100"/>
      <c r="B46" s="107"/>
      <c r="K46" s="78"/>
      <c r="L46" s="78"/>
      <c r="M46" s="78"/>
      <c r="N46" s="78"/>
    </row>
    <row r="47" spans="1:14" s="77" customFormat="1">
      <c r="A47" s="100"/>
      <c r="B47" s="107"/>
      <c r="C47" s="106"/>
      <c r="K47" s="78"/>
      <c r="L47" s="78"/>
      <c r="M47" s="78"/>
      <c r="N47" s="78"/>
    </row>
    <row r="48" spans="1:14" s="77" customFormat="1">
      <c r="A48" s="100"/>
      <c r="B48" s="3"/>
      <c r="K48" s="78"/>
      <c r="L48" s="78"/>
      <c r="M48" s="78"/>
      <c r="N48" s="78"/>
    </row>
    <row r="49" spans="1:14" s="77" customFormat="1">
      <c r="A49" s="100"/>
      <c r="B49" s="106"/>
      <c r="C49" s="106"/>
      <c r="K49" s="78"/>
      <c r="L49" s="78"/>
      <c r="M49" s="78"/>
      <c r="N49" s="78"/>
    </row>
    <row r="50" spans="1:14" s="77" customFormat="1">
      <c r="A50" s="103"/>
      <c r="B50" s="104" t="s">
        <v>85</v>
      </c>
      <c r="C50" s="103"/>
      <c r="E50" s="77">
        <f>SUM(E51:E69)</f>
        <v>-989.78</v>
      </c>
      <c r="K50" s="78"/>
      <c r="L50" s="78"/>
      <c r="M50" s="78"/>
      <c r="N50" s="78"/>
    </row>
    <row r="51" spans="1:14" s="77" customFormat="1">
      <c r="A51" s="100"/>
      <c r="B51" s="106"/>
      <c r="C51" s="106"/>
      <c r="K51" s="78"/>
      <c r="L51" s="78"/>
      <c r="M51" s="78"/>
      <c r="N51" s="78"/>
    </row>
    <row r="52" spans="1:14" s="77" customFormat="1">
      <c r="A52" s="88">
        <v>45715</v>
      </c>
      <c r="B52" s="90" t="s">
        <v>1645</v>
      </c>
      <c r="C52" s="90">
        <v>5938.68</v>
      </c>
      <c r="D52" s="90" t="s">
        <v>483</v>
      </c>
      <c r="E52" s="90">
        <v>-989.78</v>
      </c>
      <c r="K52" s="78"/>
      <c r="L52" s="78"/>
      <c r="M52" s="78"/>
      <c r="N52" s="78"/>
    </row>
    <row r="53" spans="1:14" s="77" customFormat="1">
      <c r="A53" s="100"/>
      <c r="B53" s="3"/>
      <c r="C53" s="106"/>
      <c r="K53" s="78"/>
      <c r="L53" s="78"/>
      <c r="M53" s="78"/>
      <c r="N53" s="78"/>
    </row>
    <row r="54" spans="1:14" s="77" customFormat="1">
      <c r="A54" s="100"/>
      <c r="B54" s="3"/>
      <c r="C54" s="106"/>
      <c r="K54" s="78"/>
      <c r="L54" s="78"/>
      <c r="M54" s="78"/>
      <c r="N54" s="78"/>
    </row>
    <row r="55" spans="1:14" s="77" customFormat="1">
      <c r="A55" s="100"/>
      <c r="B55" s="3"/>
      <c r="C55" s="106"/>
      <c r="K55" s="78"/>
      <c r="L55" s="78"/>
      <c r="M55" s="78"/>
      <c r="N55" s="78"/>
    </row>
    <row r="56" spans="1:14" s="77" customFormat="1">
      <c r="A56" s="100"/>
      <c r="B56" s="3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 ht="15">
      <c r="A64" s="100"/>
      <c r="B64" s="3"/>
      <c r="C64" s="106"/>
      <c r="E64" s="105" t="s">
        <v>84</v>
      </c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>
      <c r="A68" s="100"/>
      <c r="B68" s="3"/>
      <c r="C68" s="106"/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 s="77" customFormat="1">
      <c r="A70" s="100"/>
      <c r="B70" s="3"/>
      <c r="K70" s="78"/>
      <c r="L70" s="78"/>
      <c r="M70" s="78"/>
      <c r="N70" s="78"/>
    </row>
    <row r="71" spans="1:14">
      <c r="A71" s="100"/>
      <c r="B71" s="3"/>
      <c r="C71" s="106"/>
      <c r="I71" s="77"/>
      <c r="J71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BC2E6"/>
  </sheetPr>
  <dimension ref="A1:N69"/>
  <sheetViews>
    <sheetView topLeftCell="A41" zoomScale="145" zoomScaleNormal="145" workbookViewId="0">
      <selection activeCell="D53" sqref="D53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91</v>
      </c>
      <c r="C2" s="79" t="s">
        <v>67</v>
      </c>
      <c r="D2" s="77">
        <f>SUM(D4:D31)</f>
        <v>15000</v>
      </c>
      <c r="E2" s="77">
        <f>SUM(E4:E31)</f>
        <v>-53406.84</v>
      </c>
      <c r="F2" s="77">
        <f>SUM(F4:F31)</f>
        <v>0</v>
      </c>
      <c r="G2" s="77">
        <f>SUM(G4:G31)</f>
        <v>-989.78</v>
      </c>
      <c r="H2" s="77">
        <f>F2+G2</f>
        <v>-989.78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E35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E50</f>
        <v>-989.78</v>
      </c>
      <c r="F8" s="87"/>
      <c r="G8" s="87">
        <f>E8</f>
        <v>-989.78</v>
      </c>
      <c r="H8" s="77">
        <f t="shared" si="0"/>
        <v>-989.78</v>
      </c>
    </row>
    <row r="9" spans="1:10">
      <c r="G9" s="87"/>
      <c r="H9" s="77">
        <f t="shared" si="0"/>
        <v>-989.78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-989.78</v>
      </c>
    </row>
    <row r="11" spans="1:10">
      <c r="B11" s="89" t="s">
        <v>515</v>
      </c>
      <c r="C11" s="89"/>
      <c r="D11" s="90"/>
      <c r="E11" s="90">
        <v>-25000</v>
      </c>
      <c r="H11" s="77">
        <f t="shared" si="0"/>
        <v>-989.78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-989.78</v>
      </c>
    </row>
    <row r="13" spans="1:10">
      <c r="A13" s="88"/>
      <c r="B13" s="92"/>
      <c r="C13" s="92"/>
      <c r="D13" s="90"/>
      <c r="E13" s="90"/>
      <c r="H13" s="77">
        <f t="shared" si="0"/>
        <v>-989.78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-989.78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-989.78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-989.78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-989.78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-989.78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-989.78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-989.78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-989.78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-989.78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-989.78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-989.78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-989.78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-989.78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-989.78</v>
      </c>
    </row>
    <row r="28" spans="1:13" s="78" customFormat="1">
      <c r="D28" s="77"/>
      <c r="E28" s="77"/>
      <c r="F28" s="77"/>
      <c r="G28" s="77"/>
      <c r="H28" s="77">
        <f t="shared" si="0"/>
        <v>-989.78</v>
      </c>
    </row>
    <row r="29" spans="1:13">
      <c r="A29" s="100"/>
      <c r="B29" s="101" t="s">
        <v>92</v>
      </c>
      <c r="C29" s="101"/>
      <c r="H29" s="77">
        <f t="shared" si="0"/>
        <v>-989.78</v>
      </c>
      <c r="I29" s="78"/>
      <c r="J29" s="78"/>
    </row>
    <row r="30" spans="1:13">
      <c r="A30" s="100"/>
      <c r="H30" s="77">
        <f t="shared" si="0"/>
        <v>-989.78</v>
      </c>
    </row>
    <row r="31" spans="1:13" s="78" customFormat="1">
      <c r="A31"/>
      <c r="B31"/>
      <c r="C31"/>
      <c r="D31" s="77"/>
      <c r="E31" s="77"/>
      <c r="F31" s="77"/>
      <c r="G31" s="77"/>
      <c r="H31" s="77">
        <f t="shared" si="0"/>
        <v>-989.78</v>
      </c>
      <c r="I31"/>
      <c r="J31"/>
    </row>
    <row r="32" spans="1:13" s="78" customFormat="1">
      <c r="A32" s="98"/>
      <c r="D32" s="77"/>
      <c r="E32" s="77"/>
      <c r="F32" s="77"/>
      <c r="G32" s="77"/>
      <c r="H32" s="77"/>
    </row>
    <row r="33" spans="1:14" s="77" customFormat="1">
      <c r="A33" s="88"/>
      <c r="B33" s="78"/>
      <c r="C33" s="78"/>
      <c r="I33" s="78"/>
      <c r="J33" s="78"/>
      <c r="K33" s="78"/>
      <c r="L33" s="78"/>
      <c r="M33" s="78"/>
      <c r="N33" s="78"/>
    </row>
    <row r="34" spans="1:14" s="77" customFormat="1">
      <c r="B34" s="102"/>
      <c r="K34" s="78"/>
      <c r="L34" s="78"/>
      <c r="M34" s="78"/>
      <c r="N34" s="78"/>
    </row>
    <row r="35" spans="1:14">
      <c r="A35" s="103"/>
      <c r="B35" s="104" t="s">
        <v>83</v>
      </c>
      <c r="C35" s="103"/>
      <c r="E35" s="77">
        <f>SUM(E36:E47)</f>
        <v>0</v>
      </c>
      <c r="I35" s="77"/>
      <c r="J35" s="77"/>
    </row>
    <row r="36" spans="1:14" s="77" customFormat="1" ht="15">
      <c r="A36"/>
      <c r="B36"/>
      <c r="C36"/>
      <c r="E36" s="105" t="s">
        <v>84</v>
      </c>
      <c r="I36"/>
      <c r="J36"/>
      <c r="K36" s="78"/>
      <c r="L36" s="78"/>
      <c r="M36" s="78"/>
      <c r="N36" s="78"/>
    </row>
    <row r="37" spans="1:14" s="77" customFormat="1">
      <c r="A37" s="88"/>
      <c r="K37" s="78"/>
      <c r="L37" s="78"/>
      <c r="M37" s="78"/>
      <c r="N37" s="78"/>
    </row>
    <row r="38" spans="1:14" s="77" customFormat="1">
      <c r="A38" s="88"/>
      <c r="K38" s="78"/>
      <c r="L38" s="78"/>
      <c r="M38" s="78"/>
      <c r="N38" s="78"/>
    </row>
    <row r="39" spans="1:14" s="77" customFormat="1">
      <c r="A39" s="88"/>
      <c r="K39" s="78"/>
      <c r="L39" s="78"/>
      <c r="M39" s="78"/>
      <c r="N39" s="78"/>
    </row>
    <row r="40" spans="1:14">
      <c r="A40" s="88"/>
      <c r="B40" s="77"/>
      <c r="C40" s="77"/>
      <c r="I40" s="77"/>
      <c r="J40" s="77"/>
    </row>
    <row r="41" spans="1:14" s="77" customFormat="1">
      <c r="A41"/>
      <c r="B41"/>
      <c r="C41"/>
      <c r="I41"/>
      <c r="J41"/>
      <c r="K41" s="78"/>
      <c r="L41" s="78"/>
      <c r="M41" s="78"/>
      <c r="N41" s="78"/>
    </row>
    <row r="42" spans="1:14" s="77" customFormat="1">
      <c r="A42" s="100"/>
      <c r="B42" s="106"/>
      <c r="C42" s="106"/>
      <c r="K42" s="78"/>
      <c r="L42" s="78"/>
      <c r="M42" s="78"/>
      <c r="N42" s="78"/>
    </row>
    <row r="43" spans="1:14" s="77" customFormat="1">
      <c r="A43" s="100"/>
      <c r="B43" s="106"/>
      <c r="C43" s="106"/>
      <c r="K43" s="78"/>
      <c r="L43" s="78"/>
      <c r="M43" s="78"/>
      <c r="N43" s="78"/>
    </row>
    <row r="44" spans="1:14" s="77" customFormat="1">
      <c r="A44" s="100"/>
      <c r="B44" s="107"/>
      <c r="C44" s="106"/>
      <c r="K44" s="78"/>
      <c r="L44" s="78"/>
      <c r="M44" s="78"/>
      <c r="N44" s="78"/>
    </row>
    <row r="45" spans="1:14" s="77" customFormat="1">
      <c r="A45" s="100"/>
      <c r="B45" s="107"/>
      <c r="C45" s="106"/>
      <c r="K45" s="78"/>
      <c r="L45" s="78"/>
      <c r="M45" s="78"/>
      <c r="N45" s="78"/>
    </row>
    <row r="46" spans="1:14" s="77" customFormat="1">
      <c r="A46" s="100"/>
      <c r="B46" s="107"/>
      <c r="K46" s="78"/>
      <c r="L46" s="78"/>
      <c r="M46" s="78"/>
      <c r="N46" s="78"/>
    </row>
    <row r="47" spans="1:14" s="77" customFormat="1">
      <c r="A47" s="100"/>
      <c r="B47" s="107"/>
      <c r="C47" s="106"/>
      <c r="K47" s="78"/>
      <c r="L47" s="78"/>
      <c r="M47" s="78"/>
      <c r="N47" s="78"/>
    </row>
    <row r="48" spans="1:14" s="77" customFormat="1">
      <c r="A48" s="100"/>
      <c r="B48" s="3"/>
      <c r="K48" s="78"/>
      <c r="L48" s="78"/>
      <c r="M48" s="78"/>
      <c r="N48" s="78"/>
    </row>
    <row r="49" spans="1:14" s="77" customFormat="1">
      <c r="A49" s="100"/>
      <c r="B49" s="106"/>
      <c r="C49" s="106"/>
      <c r="K49" s="78"/>
      <c r="L49" s="78"/>
      <c r="M49" s="78"/>
      <c r="N49" s="78"/>
    </row>
    <row r="50" spans="1:14" s="77" customFormat="1">
      <c r="A50" s="103"/>
      <c r="B50" s="104" t="s">
        <v>85</v>
      </c>
      <c r="C50" s="103"/>
      <c r="E50" s="77">
        <f>SUM(E51:E69)</f>
        <v>-989.78</v>
      </c>
      <c r="K50" s="78"/>
      <c r="L50" s="78"/>
      <c r="M50" s="78"/>
      <c r="N50" s="78"/>
    </row>
    <row r="51" spans="1:14" s="77" customFormat="1">
      <c r="A51" s="100"/>
      <c r="B51" s="106"/>
      <c r="C51" s="106"/>
      <c r="K51" s="78"/>
      <c r="L51" s="78"/>
      <c r="M51" s="78"/>
      <c r="N51" s="78"/>
    </row>
    <row r="52" spans="1:14" s="77" customFormat="1">
      <c r="A52" s="88">
        <v>45715</v>
      </c>
      <c r="B52" s="90" t="s">
        <v>1645</v>
      </c>
      <c r="C52" s="90">
        <v>5938.68</v>
      </c>
      <c r="D52" s="90" t="s">
        <v>529</v>
      </c>
      <c r="E52" s="90">
        <v>-989.78</v>
      </c>
      <c r="K52" s="78"/>
      <c r="L52" s="78"/>
      <c r="M52" s="78"/>
      <c r="N52" s="78"/>
    </row>
    <row r="53" spans="1:14" s="77" customFormat="1">
      <c r="A53" s="100"/>
      <c r="B53" s="3"/>
      <c r="C53" s="106"/>
      <c r="K53" s="78"/>
      <c r="L53" s="78"/>
      <c r="M53" s="78"/>
      <c r="N53" s="78"/>
    </row>
    <row r="54" spans="1:14" s="77" customFormat="1">
      <c r="A54" s="100"/>
      <c r="B54" s="3"/>
      <c r="C54" s="106"/>
      <c r="K54" s="78"/>
      <c r="L54" s="78"/>
      <c r="M54" s="78"/>
      <c r="N54" s="78"/>
    </row>
    <row r="55" spans="1:14" s="77" customFormat="1">
      <c r="A55" s="100"/>
      <c r="B55" s="3"/>
      <c r="C55" s="106"/>
      <c r="K55" s="78"/>
      <c r="L55" s="78"/>
      <c r="M55" s="78"/>
      <c r="N55" s="78"/>
    </row>
    <row r="56" spans="1:14" s="77" customFormat="1">
      <c r="A56" s="100"/>
      <c r="B56" s="3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 ht="15">
      <c r="A64" s="100"/>
      <c r="B64" s="3"/>
      <c r="C64" s="106"/>
      <c r="E64" s="105" t="s">
        <v>84</v>
      </c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>
      <c r="A68" s="100"/>
      <c r="B68" s="3"/>
      <c r="C68" s="106"/>
      <c r="K68" s="78"/>
      <c r="L68" s="78"/>
      <c r="M68" s="78"/>
      <c r="N68" s="78"/>
    </row>
    <row r="69" spans="1:14">
      <c r="A69" s="100"/>
      <c r="B69" s="3"/>
      <c r="C69" s="106"/>
      <c r="I69" s="77"/>
      <c r="J69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BC2E6"/>
  </sheetPr>
  <dimension ref="A1:N70"/>
  <sheetViews>
    <sheetView topLeftCell="A35" zoomScale="145" zoomScaleNormal="145" workbookViewId="0">
      <selection activeCell="D53" sqref="D53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93</v>
      </c>
      <c r="C2" s="79" t="s">
        <v>67</v>
      </c>
      <c r="D2" s="77">
        <f>SUM(D4:D31)</f>
        <v>15000</v>
      </c>
      <c r="E2" s="77">
        <f>SUM(E4:E31)</f>
        <v>-53406.84</v>
      </c>
      <c r="F2" s="77">
        <f>SUM(F4:F31)</f>
        <v>0</v>
      </c>
      <c r="G2" s="77">
        <f>SUM(G4:G31)</f>
        <v>-989.78</v>
      </c>
      <c r="H2" s="77">
        <f>F2+G2</f>
        <v>-989.78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E35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E50</f>
        <v>-989.78</v>
      </c>
      <c r="F8" s="87"/>
      <c r="G8" s="87">
        <f>E8</f>
        <v>-989.78</v>
      </c>
      <c r="H8" s="77">
        <f t="shared" si="0"/>
        <v>-989.78</v>
      </c>
    </row>
    <row r="9" spans="1:10">
      <c r="G9" s="87"/>
      <c r="H9" s="77">
        <f t="shared" si="0"/>
        <v>-989.78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-989.78</v>
      </c>
    </row>
    <row r="11" spans="1:10">
      <c r="B11" s="89" t="s">
        <v>1604</v>
      </c>
      <c r="C11" s="89"/>
      <c r="D11" s="90"/>
      <c r="E11" s="90">
        <v>-25000</v>
      </c>
      <c r="H11" s="77">
        <f t="shared" si="0"/>
        <v>-989.78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-989.78</v>
      </c>
    </row>
    <row r="13" spans="1:10">
      <c r="A13" s="88"/>
      <c r="B13" s="92"/>
      <c r="C13" s="92"/>
      <c r="D13" s="90"/>
      <c r="E13" s="90"/>
      <c r="H13" s="77">
        <f t="shared" si="0"/>
        <v>-989.78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-989.78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-989.78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-989.78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-989.78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-989.78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-989.78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-989.78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-989.78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-989.78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-989.78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-989.78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-989.78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-989.78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-989.78</v>
      </c>
    </row>
    <row r="28" spans="1:13" s="78" customFormat="1">
      <c r="D28" s="77"/>
      <c r="E28" s="77"/>
      <c r="F28" s="77"/>
      <c r="G28" s="77"/>
      <c r="H28" s="77">
        <f t="shared" si="0"/>
        <v>-989.78</v>
      </c>
    </row>
    <row r="29" spans="1:13">
      <c r="A29" s="100"/>
      <c r="B29" s="101" t="s">
        <v>94</v>
      </c>
      <c r="C29" s="101"/>
      <c r="H29" s="77">
        <f t="shared" si="0"/>
        <v>-989.78</v>
      </c>
      <c r="I29" s="78"/>
      <c r="J29" s="78"/>
    </row>
    <row r="30" spans="1:13">
      <c r="A30" s="100"/>
      <c r="H30" s="77">
        <f t="shared" si="0"/>
        <v>-989.78</v>
      </c>
    </row>
    <row r="31" spans="1:13" s="78" customFormat="1">
      <c r="A31"/>
      <c r="B31"/>
      <c r="C31"/>
      <c r="D31" s="77"/>
      <c r="E31" s="77"/>
      <c r="F31" s="77"/>
      <c r="G31" s="77"/>
      <c r="H31" s="77">
        <f t="shared" si="0"/>
        <v>-989.78</v>
      </c>
      <c r="I31"/>
      <c r="J31"/>
    </row>
    <row r="32" spans="1:13" s="78" customFormat="1">
      <c r="A32" s="98"/>
      <c r="D32" s="77"/>
      <c r="E32" s="77"/>
      <c r="F32" s="77"/>
      <c r="G32" s="77"/>
      <c r="H32" s="77"/>
    </row>
    <row r="33" spans="1:14" s="77" customFormat="1">
      <c r="A33" s="88"/>
      <c r="B33" s="78"/>
      <c r="C33" s="78"/>
      <c r="I33" s="78"/>
      <c r="J33" s="78"/>
      <c r="K33" s="78"/>
      <c r="L33" s="78"/>
      <c r="M33" s="78"/>
      <c r="N33" s="78"/>
    </row>
    <row r="34" spans="1:14" s="77" customFormat="1">
      <c r="B34" s="102"/>
      <c r="K34" s="78"/>
      <c r="L34" s="78"/>
      <c r="M34" s="78"/>
      <c r="N34" s="78"/>
    </row>
    <row r="35" spans="1:14">
      <c r="A35" s="103"/>
      <c r="B35" s="104" t="s">
        <v>83</v>
      </c>
      <c r="C35" s="103"/>
      <c r="E35" s="77">
        <f>SUM(E36:E47)</f>
        <v>0</v>
      </c>
      <c r="I35" s="77"/>
      <c r="J35" s="77"/>
    </row>
    <row r="36" spans="1:14" s="77" customFormat="1" ht="15">
      <c r="A36"/>
      <c r="B36"/>
      <c r="C36"/>
      <c r="E36" s="105" t="s">
        <v>84</v>
      </c>
      <c r="I36"/>
      <c r="J36"/>
      <c r="K36" s="78"/>
      <c r="L36" s="78"/>
      <c r="M36" s="78"/>
      <c r="N36" s="78"/>
    </row>
    <row r="37" spans="1:14" s="77" customFormat="1">
      <c r="A37" s="88"/>
      <c r="K37" s="78"/>
      <c r="L37" s="78"/>
      <c r="M37" s="78"/>
      <c r="N37" s="78"/>
    </row>
    <row r="38" spans="1:14" s="77" customFormat="1">
      <c r="A38" s="88"/>
      <c r="K38" s="78"/>
      <c r="L38" s="78"/>
      <c r="M38" s="78"/>
      <c r="N38" s="78"/>
    </row>
    <row r="39" spans="1:14" s="77" customFormat="1">
      <c r="A39" s="88"/>
      <c r="K39" s="78"/>
      <c r="L39" s="78"/>
      <c r="M39" s="78"/>
      <c r="N39" s="78"/>
    </row>
    <row r="40" spans="1:14">
      <c r="A40" s="88"/>
      <c r="B40" s="77"/>
      <c r="C40" s="77"/>
      <c r="I40" s="77"/>
      <c r="J40" s="77"/>
    </row>
    <row r="41" spans="1:14" s="77" customFormat="1">
      <c r="A41"/>
      <c r="B41"/>
      <c r="C41"/>
      <c r="I41"/>
      <c r="J41"/>
      <c r="K41" s="78"/>
      <c r="L41" s="78"/>
      <c r="M41" s="78"/>
      <c r="N41" s="78"/>
    </row>
    <row r="42" spans="1:14" s="77" customFormat="1">
      <c r="A42" s="100"/>
      <c r="B42" s="106"/>
      <c r="C42" s="106"/>
      <c r="K42" s="78"/>
      <c r="L42" s="78"/>
      <c r="M42" s="78"/>
      <c r="N42" s="78"/>
    </row>
    <row r="43" spans="1:14" s="77" customFormat="1">
      <c r="A43" s="100"/>
      <c r="B43" s="106"/>
      <c r="C43" s="106"/>
      <c r="K43" s="78"/>
      <c r="L43" s="78"/>
      <c r="M43" s="78"/>
      <c r="N43" s="78"/>
    </row>
    <row r="44" spans="1:14" s="77" customFormat="1">
      <c r="A44" s="100"/>
      <c r="B44" s="107"/>
      <c r="C44" s="106"/>
      <c r="K44" s="78"/>
      <c r="L44" s="78"/>
      <c r="M44" s="78"/>
      <c r="N44" s="78"/>
    </row>
    <row r="45" spans="1:14" s="77" customFormat="1">
      <c r="A45" s="100"/>
      <c r="B45" s="107"/>
      <c r="C45" s="106"/>
      <c r="K45" s="78"/>
      <c r="L45" s="78"/>
      <c r="M45" s="78"/>
      <c r="N45" s="78"/>
    </row>
    <row r="46" spans="1:14" s="77" customFormat="1">
      <c r="A46" s="100"/>
      <c r="B46" s="107"/>
      <c r="K46" s="78"/>
      <c r="L46" s="78"/>
      <c r="M46" s="78"/>
      <c r="N46" s="78"/>
    </row>
    <row r="47" spans="1:14" s="77" customFormat="1">
      <c r="A47" s="100"/>
      <c r="B47" s="107"/>
      <c r="C47" s="106"/>
      <c r="K47" s="78"/>
      <c r="L47" s="78"/>
      <c r="M47" s="78"/>
      <c r="N47" s="78"/>
    </row>
    <row r="48" spans="1:14" s="77" customFormat="1">
      <c r="A48" s="100"/>
      <c r="B48" s="3"/>
      <c r="K48" s="78"/>
      <c r="L48" s="78"/>
      <c r="M48" s="78"/>
      <c r="N48" s="78"/>
    </row>
    <row r="49" spans="1:14" s="77" customFormat="1">
      <c r="A49" s="100"/>
      <c r="B49" s="106"/>
      <c r="C49" s="106"/>
      <c r="K49" s="78"/>
      <c r="L49" s="78"/>
      <c r="M49" s="78"/>
      <c r="N49" s="78"/>
    </row>
    <row r="50" spans="1:14" s="77" customFormat="1">
      <c r="A50" s="103"/>
      <c r="B50" s="104" t="s">
        <v>85</v>
      </c>
      <c r="C50" s="103"/>
      <c r="E50" s="77">
        <f>SUM(E51:E69)</f>
        <v>-989.78</v>
      </c>
      <c r="K50" s="78"/>
      <c r="L50" s="78"/>
      <c r="M50" s="78"/>
      <c r="N50" s="78"/>
    </row>
    <row r="51" spans="1:14" s="77" customFormat="1">
      <c r="A51" s="100"/>
      <c r="B51" s="106"/>
      <c r="C51" s="106"/>
      <c r="K51" s="78"/>
      <c r="L51" s="78"/>
      <c r="M51" s="78"/>
      <c r="N51" s="78"/>
    </row>
    <row r="52" spans="1:14" s="77" customFormat="1">
      <c r="A52" s="88">
        <v>45715</v>
      </c>
      <c r="B52" s="90" t="s">
        <v>1645</v>
      </c>
      <c r="C52" s="90">
        <v>5938.68</v>
      </c>
      <c r="D52" s="90" t="s">
        <v>573</v>
      </c>
      <c r="E52" s="90">
        <v>-989.78</v>
      </c>
      <c r="K52" s="78"/>
      <c r="L52" s="78"/>
      <c r="M52" s="78"/>
      <c r="N52" s="78"/>
    </row>
    <row r="53" spans="1:14" s="77" customFormat="1">
      <c r="A53" s="100"/>
      <c r="B53" s="3"/>
      <c r="C53" s="106"/>
      <c r="K53" s="78"/>
      <c r="L53" s="78"/>
      <c r="M53" s="78"/>
      <c r="N53" s="78"/>
    </row>
    <row r="54" spans="1:14" s="77" customFormat="1">
      <c r="A54" s="100"/>
      <c r="B54" s="3"/>
      <c r="C54" s="106"/>
      <c r="K54" s="78"/>
      <c r="L54" s="78"/>
      <c r="M54" s="78"/>
      <c r="N54" s="78"/>
    </row>
    <row r="55" spans="1:14" s="77" customFormat="1">
      <c r="A55" s="100"/>
      <c r="B55" s="3"/>
      <c r="C55" s="106"/>
      <c r="K55" s="78"/>
      <c r="L55" s="78"/>
      <c r="M55" s="78"/>
      <c r="N55" s="78"/>
    </row>
    <row r="56" spans="1:14" s="77" customFormat="1">
      <c r="A56" s="100"/>
      <c r="B56" s="3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 ht="15">
      <c r="A64" s="100"/>
      <c r="B64" s="3"/>
      <c r="C64" s="106"/>
      <c r="E64" s="105" t="s">
        <v>84</v>
      </c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>
      <c r="A68" s="100"/>
      <c r="B68" s="3"/>
      <c r="C68" s="106"/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>
      <c r="A70" s="100"/>
      <c r="B70" s="3"/>
      <c r="C70" s="77"/>
      <c r="I70" s="77"/>
      <c r="J70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BC2E6"/>
  </sheetPr>
  <dimension ref="A1:N72"/>
  <sheetViews>
    <sheetView topLeftCell="A45" zoomScale="145" zoomScaleNormal="145" workbookViewId="0">
      <selection activeCell="D56" sqref="D56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95</v>
      </c>
      <c r="C2" s="79" t="s">
        <v>67</v>
      </c>
      <c r="D2" s="77">
        <f>SUM(D4:D31)</f>
        <v>15000</v>
      </c>
      <c r="E2" s="77">
        <f>SUM(E4:E31)</f>
        <v>-45906.84</v>
      </c>
      <c r="F2" s="77">
        <f>SUM(F4:F31)</f>
        <v>0</v>
      </c>
      <c r="G2" s="77">
        <f>SUM(G4:G31)</f>
        <v>-989.78</v>
      </c>
      <c r="H2" s="77">
        <f>F2+G2</f>
        <v>-989.78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E37</f>
        <v>0</v>
      </c>
      <c r="F7" s="87"/>
      <c r="G7" s="87">
        <f>E7</f>
        <v>0</v>
      </c>
      <c r="H7" s="77">
        <f t="shared" si="0"/>
        <v>0</v>
      </c>
    </row>
    <row r="8" spans="1:10">
      <c r="A8" s="80"/>
      <c r="B8" s="81" t="s">
        <v>69</v>
      </c>
      <c r="C8" s="85"/>
      <c r="D8" s="86"/>
      <c r="E8" s="86">
        <f>E52</f>
        <v>-989.78</v>
      </c>
      <c r="F8" s="87"/>
      <c r="G8" s="87">
        <f>E8</f>
        <v>-989.78</v>
      </c>
      <c r="H8" s="77">
        <f t="shared" si="0"/>
        <v>-989.78</v>
      </c>
    </row>
    <row r="9" spans="1:10">
      <c r="G9" s="87"/>
      <c r="H9" s="77">
        <f t="shared" si="0"/>
        <v>-989.78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-989.78</v>
      </c>
    </row>
    <row r="11" spans="1:10">
      <c r="B11" s="89" t="s">
        <v>1603</v>
      </c>
      <c r="C11" s="89"/>
      <c r="D11" s="90"/>
      <c r="E11" s="90">
        <v>-17500</v>
      </c>
      <c r="H11" s="77">
        <f t="shared" si="0"/>
        <v>-989.78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-989.78</v>
      </c>
    </row>
    <row r="13" spans="1:10">
      <c r="A13" s="88"/>
      <c r="B13" s="92"/>
      <c r="C13" s="92"/>
      <c r="D13" s="90"/>
      <c r="E13" s="90"/>
      <c r="H13" s="77">
        <f t="shared" si="0"/>
        <v>-989.78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-989.78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-989.78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-989.78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-989.78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-989.78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-989.78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-989.78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-989.78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-989.78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-989.78</v>
      </c>
      <c r="J23" s="94"/>
      <c r="K23" s="94"/>
      <c r="L23" s="95"/>
      <c r="M23" s="96"/>
    </row>
    <row r="24" spans="1:13" s="78" customFormat="1">
      <c r="A24" s="98"/>
      <c r="B24" s="3"/>
      <c r="C24" s="3"/>
      <c r="D24" s="77"/>
      <c r="E24" s="77"/>
      <c r="F24" s="77"/>
      <c r="G24" s="77"/>
      <c r="H24" s="77">
        <f t="shared" si="0"/>
        <v>-989.78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-989.78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-989.78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-989.78</v>
      </c>
    </row>
    <row r="28" spans="1:13" s="78" customFormat="1">
      <c r="D28" s="77"/>
      <c r="E28" s="77"/>
      <c r="F28" s="77"/>
      <c r="G28" s="77"/>
      <c r="H28" s="77">
        <f t="shared" si="0"/>
        <v>-989.78</v>
      </c>
    </row>
    <row r="29" spans="1:13">
      <c r="A29" s="100"/>
      <c r="B29" s="101" t="s">
        <v>96</v>
      </c>
      <c r="C29" s="101"/>
      <c r="H29" s="77">
        <f t="shared" si="0"/>
        <v>-989.78</v>
      </c>
      <c r="I29" s="78"/>
      <c r="J29" s="78"/>
    </row>
    <row r="30" spans="1:13">
      <c r="A30" s="100"/>
      <c r="H30" s="77">
        <f t="shared" si="0"/>
        <v>-989.78</v>
      </c>
    </row>
    <row r="31" spans="1:13" s="78" customFormat="1">
      <c r="A31"/>
      <c r="B31"/>
      <c r="C31"/>
      <c r="D31" s="77"/>
      <c r="E31" s="77"/>
      <c r="F31" s="77"/>
      <c r="G31" s="77"/>
      <c r="H31" s="77">
        <f t="shared" si="0"/>
        <v>-989.78</v>
      </c>
      <c r="I31"/>
      <c r="J31"/>
    </row>
    <row r="32" spans="1:13" s="78" customFormat="1">
      <c r="B32" s="101"/>
      <c r="C32" s="101"/>
      <c r="D32" s="77"/>
      <c r="E32" s="77"/>
      <c r="F32" s="77"/>
      <c r="G32" s="77"/>
      <c r="H32" s="77"/>
      <c r="J32" s="94"/>
      <c r="K32" s="94"/>
      <c r="L32" s="95"/>
      <c r="M32" s="96"/>
    </row>
    <row r="33" spans="1:14" s="78" customFormat="1">
      <c r="B33" s="101"/>
      <c r="C33" s="101"/>
      <c r="D33" s="77"/>
      <c r="E33" s="77"/>
      <c r="F33" s="77"/>
      <c r="G33" s="77"/>
      <c r="H33" s="77"/>
      <c r="J33" s="94"/>
      <c r="K33" s="94"/>
      <c r="L33" s="95"/>
      <c r="M33" s="96"/>
    </row>
    <row r="34" spans="1:14" s="78" customFormat="1">
      <c r="A34" s="98"/>
      <c r="D34" s="77"/>
      <c r="E34" s="77"/>
      <c r="F34" s="77"/>
      <c r="G34" s="77"/>
      <c r="H34" s="77"/>
    </row>
    <row r="35" spans="1:14" s="77" customFormat="1">
      <c r="A35" s="88"/>
      <c r="B35" s="78"/>
      <c r="C35" s="78"/>
      <c r="I35" s="78"/>
      <c r="J35" s="78"/>
      <c r="K35" s="78"/>
      <c r="L35" s="78"/>
      <c r="M35" s="78"/>
      <c r="N35" s="78"/>
    </row>
    <row r="36" spans="1:14" s="77" customFormat="1">
      <c r="B36" s="102"/>
      <c r="K36" s="78"/>
      <c r="L36" s="78"/>
      <c r="M36" s="78"/>
      <c r="N36" s="78"/>
    </row>
    <row r="37" spans="1:14">
      <c r="A37" s="103"/>
      <c r="B37" s="104" t="s">
        <v>83</v>
      </c>
      <c r="C37" s="103"/>
      <c r="E37" s="77">
        <f>SUM(E38:E49)</f>
        <v>0</v>
      </c>
      <c r="I37" s="77"/>
      <c r="J37" s="77"/>
    </row>
    <row r="38" spans="1:14" s="77" customFormat="1" ht="15">
      <c r="A38"/>
      <c r="B38"/>
      <c r="C38"/>
      <c r="E38" s="105" t="s">
        <v>84</v>
      </c>
      <c r="I38"/>
      <c r="J38"/>
      <c r="K38" s="78"/>
      <c r="L38" s="78"/>
      <c r="M38" s="78"/>
      <c r="N38" s="78"/>
    </row>
    <row r="39" spans="1:14" s="77" customFormat="1">
      <c r="A39" s="88"/>
      <c r="K39" s="78"/>
      <c r="L39" s="78"/>
      <c r="M39" s="78"/>
      <c r="N39" s="78"/>
    </row>
    <row r="40" spans="1:14" s="77" customFormat="1">
      <c r="A40" s="88"/>
      <c r="K40" s="78"/>
      <c r="L40" s="78"/>
      <c r="M40" s="78"/>
      <c r="N40" s="78"/>
    </row>
    <row r="41" spans="1:14" s="77" customFormat="1">
      <c r="A41" s="88"/>
      <c r="K41" s="78"/>
      <c r="L41" s="78"/>
      <c r="M41" s="78"/>
      <c r="N41" s="78"/>
    </row>
    <row r="42" spans="1:14">
      <c r="A42" s="88"/>
      <c r="B42" s="77"/>
      <c r="C42" s="77"/>
      <c r="I42" s="77"/>
      <c r="J42" s="77"/>
    </row>
    <row r="43" spans="1:14" s="77" customFormat="1">
      <c r="A43"/>
      <c r="B43"/>
      <c r="C43"/>
      <c r="I43"/>
      <c r="J43"/>
      <c r="K43" s="78"/>
      <c r="L43" s="78"/>
      <c r="M43" s="78"/>
      <c r="N43" s="78"/>
    </row>
    <row r="44" spans="1:14" s="77" customFormat="1">
      <c r="A44" s="100"/>
      <c r="B44" s="106"/>
      <c r="C44" s="106"/>
      <c r="K44" s="78"/>
      <c r="L44" s="78"/>
      <c r="M44" s="78"/>
      <c r="N44" s="78"/>
    </row>
    <row r="45" spans="1:14" s="77" customFormat="1">
      <c r="A45" s="100"/>
      <c r="B45" s="106"/>
      <c r="C45" s="106"/>
      <c r="K45" s="78"/>
      <c r="L45" s="78"/>
      <c r="M45" s="78"/>
      <c r="N45" s="78"/>
    </row>
    <row r="46" spans="1:14" s="77" customFormat="1">
      <c r="A46" s="100"/>
      <c r="B46" s="107"/>
      <c r="C46" s="106"/>
      <c r="K46" s="78"/>
      <c r="L46" s="78"/>
      <c r="M46" s="78"/>
      <c r="N46" s="78"/>
    </row>
    <row r="47" spans="1:14" s="77" customFormat="1">
      <c r="A47" s="100"/>
      <c r="B47" s="107"/>
      <c r="C47" s="106"/>
      <c r="K47" s="78"/>
      <c r="L47" s="78"/>
      <c r="M47" s="78"/>
      <c r="N47" s="78"/>
    </row>
    <row r="48" spans="1:14" s="77" customFormat="1">
      <c r="A48" s="100"/>
      <c r="B48" s="107"/>
      <c r="K48" s="78"/>
      <c r="L48" s="78"/>
      <c r="M48" s="78"/>
      <c r="N48" s="78"/>
    </row>
    <row r="49" spans="1:14" s="77" customFormat="1">
      <c r="A49" s="100"/>
      <c r="B49" s="107"/>
      <c r="C49" s="106"/>
      <c r="K49" s="78"/>
      <c r="L49" s="78"/>
      <c r="M49" s="78"/>
      <c r="N49" s="78"/>
    </row>
    <row r="50" spans="1:14" s="77" customFormat="1">
      <c r="A50" s="100"/>
      <c r="B50" s="3"/>
      <c r="K50" s="78"/>
      <c r="L50" s="78"/>
      <c r="M50" s="78"/>
      <c r="N50" s="78"/>
    </row>
    <row r="51" spans="1:14" s="77" customFormat="1">
      <c r="A51" s="100"/>
      <c r="B51" s="106"/>
      <c r="C51" s="106"/>
      <c r="K51" s="78"/>
      <c r="L51" s="78"/>
      <c r="M51" s="78"/>
      <c r="N51" s="78"/>
    </row>
    <row r="52" spans="1:14" s="77" customFormat="1">
      <c r="A52" s="103"/>
      <c r="B52" s="104" t="s">
        <v>85</v>
      </c>
      <c r="C52" s="103"/>
      <c r="E52" s="77">
        <f>SUM(E53:E71)</f>
        <v>-989.78</v>
      </c>
      <c r="K52" s="78"/>
      <c r="L52" s="78"/>
      <c r="M52" s="78"/>
      <c r="N52" s="78"/>
    </row>
    <row r="53" spans="1:14" s="77" customFormat="1">
      <c r="A53" s="100"/>
      <c r="B53" s="106"/>
      <c r="C53" s="106"/>
      <c r="K53" s="78"/>
      <c r="L53" s="78"/>
      <c r="M53" s="78"/>
      <c r="N53" s="78"/>
    </row>
    <row r="54" spans="1:14" s="77" customFormat="1">
      <c r="A54" s="100"/>
      <c r="B54" s="106"/>
      <c r="C54" s="106"/>
      <c r="K54" s="78"/>
      <c r="L54" s="78"/>
      <c r="M54" s="78"/>
      <c r="N54" s="78"/>
    </row>
    <row r="55" spans="1:14" s="77" customFormat="1">
      <c r="A55" s="88">
        <v>45715</v>
      </c>
      <c r="B55" s="90" t="s">
        <v>1645</v>
      </c>
      <c r="C55" s="90">
        <v>5938.68</v>
      </c>
      <c r="D55" s="90" t="s">
        <v>621</v>
      </c>
      <c r="E55" s="90">
        <v>-989.78</v>
      </c>
      <c r="K55" s="78"/>
      <c r="L55" s="78"/>
      <c r="M55" s="78"/>
      <c r="N55" s="78"/>
    </row>
    <row r="56" spans="1:14" s="77" customFormat="1">
      <c r="A56" s="100"/>
      <c r="B56" s="3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>
      <c r="A64" s="100"/>
      <c r="B64" s="3"/>
      <c r="C64" s="106"/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 ht="15">
      <c r="A66" s="100"/>
      <c r="B66" s="3"/>
      <c r="C66" s="106"/>
      <c r="E66" s="105" t="s">
        <v>84</v>
      </c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>
      <c r="A68" s="100"/>
      <c r="B68" s="3"/>
      <c r="C68" s="106"/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 s="77" customFormat="1">
      <c r="A70" s="100"/>
      <c r="B70" s="3"/>
      <c r="C70" s="106"/>
      <c r="K70" s="78"/>
      <c r="L70" s="78"/>
      <c r="M70" s="78"/>
      <c r="N70" s="78"/>
    </row>
    <row r="71" spans="1:14" s="77" customFormat="1">
      <c r="A71" s="100"/>
      <c r="B71" s="3"/>
      <c r="C71" s="106"/>
      <c r="K71" s="78"/>
      <c r="L71" s="78"/>
      <c r="M71" s="78"/>
      <c r="N71" s="78"/>
    </row>
    <row r="72" spans="1:14">
      <c r="A72" s="100"/>
      <c r="B72" s="3"/>
      <c r="C72" s="77"/>
      <c r="I72" s="77"/>
      <c r="J72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BC2E6"/>
  </sheetPr>
  <dimension ref="A1:N71"/>
  <sheetViews>
    <sheetView topLeftCell="A23" zoomScale="145" zoomScaleNormal="145" workbookViewId="0">
      <selection activeCell="F34" sqref="F34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0">
      <c r="F1" s="77" t="s">
        <v>28</v>
      </c>
      <c r="G1" s="77" t="s">
        <v>29</v>
      </c>
      <c r="H1" s="77" t="s">
        <v>3</v>
      </c>
    </row>
    <row r="2" spans="1:10">
      <c r="A2" s="3" t="s">
        <v>97</v>
      </c>
      <c r="C2" s="79" t="s">
        <v>67</v>
      </c>
      <c r="D2" s="77">
        <f>SUM(D4:D32)</f>
        <v>15000</v>
      </c>
      <c r="E2" s="77">
        <f>SUM(E4:E32)</f>
        <v>-167276.39000000001</v>
      </c>
      <c r="F2" s="77">
        <f>SUM(F4:F32)</f>
        <v>0</v>
      </c>
      <c r="G2" s="77">
        <f>SUM(G4:G32)</f>
        <v>-120979.33</v>
      </c>
      <c r="H2" s="77">
        <f>F2+G2</f>
        <v>-120979.33</v>
      </c>
    </row>
    <row r="3" spans="1:10">
      <c r="B3" s="18"/>
    </row>
    <row r="4" spans="1:10">
      <c r="B4" s="41"/>
      <c r="H4" s="77">
        <f t="shared" ref="H4:H31" si="0">H3+F4+G4</f>
        <v>0</v>
      </c>
    </row>
    <row r="5" spans="1:10">
      <c r="B5" s="41"/>
      <c r="H5" s="77">
        <f t="shared" si="0"/>
        <v>0</v>
      </c>
    </row>
    <row r="6" spans="1:10">
      <c r="A6" s="80"/>
      <c r="B6" s="81"/>
      <c r="C6" s="82"/>
      <c r="D6" s="83"/>
      <c r="E6" s="83"/>
      <c r="H6" s="77">
        <f t="shared" si="0"/>
        <v>0</v>
      </c>
    </row>
    <row r="7" spans="1:10">
      <c r="A7" s="84"/>
      <c r="B7" s="81" t="s">
        <v>68</v>
      </c>
      <c r="C7" s="85"/>
      <c r="D7" s="86"/>
      <c r="E7" s="86">
        <f>E35</f>
        <v>-119989.55</v>
      </c>
      <c r="F7" s="87"/>
      <c r="G7" s="87">
        <f>E7</f>
        <v>-119989.55</v>
      </c>
      <c r="H7" s="77">
        <f t="shared" si="0"/>
        <v>-119989.55</v>
      </c>
    </row>
    <row r="8" spans="1:10">
      <c r="A8" s="80"/>
      <c r="B8" s="81" t="s">
        <v>69</v>
      </c>
      <c r="C8" s="85"/>
      <c r="D8" s="86"/>
      <c r="E8" s="86">
        <f>E50</f>
        <v>-989.78</v>
      </c>
      <c r="F8" s="87"/>
      <c r="G8" s="87">
        <f>E8</f>
        <v>-989.78</v>
      </c>
      <c r="H8" s="77">
        <f t="shared" si="0"/>
        <v>-120979.33</v>
      </c>
    </row>
    <row r="9" spans="1:10">
      <c r="G9" s="87"/>
      <c r="H9" s="77">
        <f t="shared" si="0"/>
        <v>-120979.33</v>
      </c>
    </row>
    <row r="10" spans="1:10">
      <c r="A10" s="88"/>
      <c r="B10" s="89" t="s">
        <v>70</v>
      </c>
      <c r="C10" s="89"/>
      <c r="D10" s="90"/>
      <c r="E10" s="90">
        <v>-2117.06</v>
      </c>
      <c r="H10" s="77">
        <f t="shared" si="0"/>
        <v>-120979.33</v>
      </c>
    </row>
    <row r="11" spans="1:10">
      <c r="B11" s="89" t="s">
        <v>1602</v>
      </c>
      <c r="C11" s="89"/>
      <c r="D11" s="90"/>
      <c r="E11" s="90">
        <v>-17500</v>
      </c>
      <c r="H11" s="77">
        <f t="shared" si="0"/>
        <v>-120979.33</v>
      </c>
    </row>
    <row r="12" spans="1:10">
      <c r="B12" s="91" t="s">
        <v>72</v>
      </c>
      <c r="C12" s="92"/>
      <c r="D12" s="90"/>
      <c r="E12" s="90">
        <v>0</v>
      </c>
      <c r="H12" s="77">
        <f t="shared" si="0"/>
        <v>-120979.33</v>
      </c>
    </row>
    <row r="13" spans="1:10">
      <c r="A13" s="88"/>
      <c r="B13" s="92"/>
      <c r="C13" s="92"/>
      <c r="D13" s="90"/>
      <c r="E13" s="90"/>
      <c r="H13" s="77">
        <f t="shared" si="0"/>
        <v>-120979.33</v>
      </c>
    </row>
    <row r="14" spans="1:10" s="78" customFormat="1">
      <c r="A14" s="88"/>
      <c r="B14" s="3"/>
      <c r="C14" s="3"/>
      <c r="D14" s="77"/>
      <c r="E14" s="77"/>
      <c r="F14" s="77"/>
      <c r="G14" s="77"/>
      <c r="H14" s="77">
        <f t="shared" si="0"/>
        <v>-120979.33</v>
      </c>
      <c r="I14"/>
      <c r="J14"/>
    </row>
    <row r="15" spans="1:10" s="78" customFormat="1">
      <c r="A15" s="88"/>
      <c r="B15" s="93" t="s">
        <v>73</v>
      </c>
      <c r="C15" s="93"/>
      <c r="D15" s="90"/>
      <c r="E15" s="90">
        <v>-1000</v>
      </c>
      <c r="F15" s="77"/>
      <c r="G15" s="77"/>
      <c r="H15" s="77">
        <f t="shared" si="0"/>
        <v>-120979.33</v>
      </c>
    </row>
    <row r="16" spans="1:10" s="78" customFormat="1">
      <c r="A16" s="88"/>
      <c r="B16" s="93" t="s">
        <v>74</v>
      </c>
      <c r="C16" s="93"/>
      <c r="D16" s="90"/>
      <c r="E16" s="90">
        <v>-200</v>
      </c>
      <c r="F16" s="77"/>
      <c r="G16" s="77"/>
      <c r="H16" s="77">
        <f t="shared" si="0"/>
        <v>-120979.33</v>
      </c>
    </row>
    <row r="17" spans="1:13" s="78" customFormat="1">
      <c r="A17" s="88"/>
      <c r="B17" s="89" t="s">
        <v>75</v>
      </c>
      <c r="C17" s="89"/>
      <c r="D17" s="90"/>
      <c r="E17" s="90">
        <v>-200</v>
      </c>
      <c r="F17" s="77"/>
      <c r="G17" s="77"/>
      <c r="H17" s="77">
        <f t="shared" si="0"/>
        <v>-120979.33</v>
      </c>
    </row>
    <row r="18" spans="1:13" s="78" customFormat="1">
      <c r="A18" s="88"/>
      <c r="B18" s="92" t="s">
        <v>76</v>
      </c>
      <c r="C18" s="92"/>
      <c r="D18" s="90">
        <v>15000</v>
      </c>
      <c r="E18" s="90"/>
      <c r="F18" s="77"/>
      <c r="G18" s="77"/>
      <c r="H18" s="77">
        <f t="shared" si="0"/>
        <v>-120979.33</v>
      </c>
      <c r="J18" s="94"/>
      <c r="K18" s="94"/>
      <c r="L18" s="95"/>
      <c r="M18" s="96"/>
    </row>
    <row r="19" spans="1:13" s="78" customFormat="1">
      <c r="B19" s="92" t="s">
        <v>77</v>
      </c>
      <c r="C19" s="92"/>
      <c r="D19" s="90"/>
      <c r="E19" s="90">
        <v>-7500</v>
      </c>
      <c r="F19" s="77"/>
      <c r="G19" s="77"/>
      <c r="H19" s="77">
        <f t="shared" si="0"/>
        <v>-120979.33</v>
      </c>
      <c r="J19" s="94"/>
      <c r="K19" s="94"/>
      <c r="L19" s="95"/>
      <c r="M19" s="96"/>
    </row>
    <row r="20" spans="1:13" s="78" customFormat="1">
      <c r="B20" s="92" t="s">
        <v>78</v>
      </c>
      <c r="C20" s="92"/>
      <c r="D20" s="90"/>
      <c r="E20" s="90">
        <v>-7500</v>
      </c>
      <c r="F20" s="77"/>
      <c r="G20" s="77"/>
      <c r="H20" s="77">
        <f t="shared" si="0"/>
        <v>-120979.33</v>
      </c>
      <c r="J20" s="94"/>
      <c r="K20" s="94"/>
      <c r="L20" s="95"/>
      <c r="M20" s="96"/>
    </row>
    <row r="21" spans="1:13" s="78" customFormat="1">
      <c r="B21" s="92" t="s">
        <v>79</v>
      </c>
      <c r="C21" s="92"/>
      <c r="D21" s="90"/>
      <c r="E21" s="90">
        <v>-7500</v>
      </c>
      <c r="F21" s="77"/>
      <c r="G21" s="77"/>
      <c r="H21" s="77">
        <f t="shared" si="0"/>
        <v>-120979.33</v>
      </c>
      <c r="J21" s="94"/>
      <c r="K21" s="94"/>
      <c r="L21" s="95"/>
      <c r="M21" s="96"/>
    </row>
    <row r="22" spans="1:13" s="78" customFormat="1">
      <c r="B22" s="3"/>
      <c r="C22" s="3"/>
      <c r="D22" s="77"/>
      <c r="E22" s="77"/>
      <c r="F22" s="77"/>
      <c r="G22" s="77"/>
      <c r="H22" s="77">
        <f t="shared" si="0"/>
        <v>-120979.33</v>
      </c>
      <c r="J22" s="94"/>
      <c r="K22" s="94"/>
      <c r="L22" s="95"/>
      <c r="M22" s="96"/>
    </row>
    <row r="23" spans="1:13" s="78" customFormat="1">
      <c r="A23" s="97"/>
      <c r="B23" s="92"/>
      <c r="C23" s="92"/>
      <c r="D23" s="90"/>
      <c r="E23" s="90"/>
      <c r="F23" s="77"/>
      <c r="G23" s="77"/>
      <c r="H23" s="77">
        <f t="shared" si="0"/>
        <v>-120979.33</v>
      </c>
      <c r="J23" s="94"/>
      <c r="K23" s="94"/>
      <c r="L23" s="95"/>
      <c r="M23" s="96"/>
    </row>
    <row r="24" spans="1:13" s="78" customFormat="1">
      <c r="A24" s="98">
        <v>45776</v>
      </c>
      <c r="B24" s="3" t="s">
        <v>98</v>
      </c>
      <c r="C24" s="3" t="s">
        <v>99</v>
      </c>
      <c r="D24" s="77"/>
      <c r="E24" s="77">
        <v>-1380</v>
      </c>
      <c r="F24" s="77"/>
      <c r="G24" s="77"/>
      <c r="H24" s="77">
        <f t="shared" si="0"/>
        <v>-120979.33</v>
      </c>
      <c r="J24" s="94"/>
      <c r="K24" s="94"/>
      <c r="L24" s="95"/>
      <c r="M24" s="96"/>
    </row>
    <row r="25" spans="1:13" s="78" customFormat="1">
      <c r="B25" s="99" t="s">
        <v>80</v>
      </c>
      <c r="C25" s="99"/>
      <c r="D25" s="77"/>
      <c r="E25" s="77">
        <v>-600</v>
      </c>
      <c r="F25" s="77"/>
      <c r="G25" s="77"/>
      <c r="H25" s="77">
        <f t="shared" si="0"/>
        <v>-120979.33</v>
      </c>
      <c r="J25" s="94"/>
      <c r="K25" s="94"/>
      <c r="L25" s="95"/>
      <c r="M25" s="96"/>
    </row>
    <row r="26" spans="1:13" s="78" customFormat="1">
      <c r="B26" s="99" t="s">
        <v>81</v>
      </c>
      <c r="C26" s="99"/>
      <c r="D26" s="77"/>
      <c r="E26" s="77">
        <v>-800</v>
      </c>
      <c r="F26" s="77"/>
      <c r="G26" s="77"/>
      <c r="H26" s="77">
        <f t="shared" si="0"/>
        <v>-120979.33</v>
      </c>
      <c r="J26" s="94"/>
      <c r="K26" s="94"/>
      <c r="L26" s="95"/>
      <c r="M26" s="96"/>
    </row>
    <row r="27" spans="1:13" s="78" customFormat="1">
      <c r="B27" s="3"/>
      <c r="C27" s="3"/>
      <c r="D27" s="77"/>
      <c r="E27" s="77"/>
      <c r="F27" s="77"/>
      <c r="G27" s="77"/>
      <c r="H27" s="77">
        <f t="shared" si="0"/>
        <v>-120979.33</v>
      </c>
    </row>
    <row r="28" spans="1:13" s="78" customFormat="1">
      <c r="D28" s="77"/>
      <c r="E28" s="77"/>
      <c r="F28" s="77"/>
      <c r="G28" s="77"/>
      <c r="H28" s="77">
        <f t="shared" si="0"/>
        <v>-120979.33</v>
      </c>
    </row>
    <row r="29" spans="1:13">
      <c r="A29" s="100"/>
      <c r="B29" s="101" t="s">
        <v>100</v>
      </c>
      <c r="C29" s="101"/>
      <c r="H29" s="77">
        <f t="shared" si="0"/>
        <v>-120979.33</v>
      </c>
      <c r="I29" s="78"/>
      <c r="J29" s="78"/>
    </row>
    <row r="30" spans="1:13">
      <c r="A30" s="100"/>
      <c r="H30" s="77">
        <f t="shared" si="0"/>
        <v>-120979.33</v>
      </c>
    </row>
    <row r="31" spans="1:13">
      <c r="H31" s="77">
        <f t="shared" si="0"/>
        <v>-120979.33</v>
      </c>
    </row>
    <row r="32" spans="1:13" s="78" customFormat="1">
      <c r="A32"/>
      <c r="B32"/>
      <c r="C32"/>
      <c r="D32" s="77"/>
      <c r="E32" s="77"/>
      <c r="F32" s="77"/>
      <c r="G32" s="77"/>
      <c r="H32" s="77"/>
      <c r="I32"/>
      <c r="J32"/>
    </row>
    <row r="33" spans="1:14" s="77" customFormat="1">
      <c r="A33" s="88"/>
      <c r="B33" s="78"/>
      <c r="C33" s="78"/>
      <c r="I33" s="78"/>
      <c r="J33" s="78"/>
      <c r="K33" s="78"/>
      <c r="L33" s="78"/>
      <c r="M33" s="78"/>
      <c r="N33" s="78"/>
    </row>
    <row r="34" spans="1:14" s="77" customFormat="1">
      <c r="B34" s="102"/>
      <c r="K34" s="78"/>
      <c r="L34" s="78"/>
      <c r="M34" s="78"/>
      <c r="N34" s="78"/>
    </row>
    <row r="35" spans="1:14">
      <c r="A35" s="103"/>
      <c r="B35" s="104" t="s">
        <v>83</v>
      </c>
      <c r="C35" s="103"/>
      <c r="E35" s="77">
        <f>SUM(E36:E47)</f>
        <v>-119989.55</v>
      </c>
      <c r="I35" s="77"/>
      <c r="J35" s="77"/>
    </row>
    <row r="36" spans="1:14" s="77" customFormat="1" ht="15">
      <c r="A36"/>
      <c r="B36"/>
      <c r="C36"/>
      <c r="E36" s="105" t="s">
        <v>84</v>
      </c>
      <c r="I36"/>
      <c r="J36"/>
      <c r="K36" s="78"/>
      <c r="L36" s="78"/>
      <c r="M36" s="78"/>
      <c r="N36" s="78"/>
    </row>
    <row r="37" spans="1:14" s="77" customFormat="1">
      <c r="A37" s="88"/>
      <c r="K37" s="78"/>
      <c r="L37" s="78"/>
      <c r="M37" s="78"/>
      <c r="N37" s="78"/>
    </row>
    <row r="38" spans="1:14" s="77" customFormat="1">
      <c r="A38" s="88"/>
      <c r="B38" s="77" t="s">
        <v>1680</v>
      </c>
      <c r="E38" s="77">
        <v>-1023.05</v>
      </c>
      <c r="K38" s="78"/>
      <c r="L38" s="78"/>
      <c r="M38" s="78"/>
      <c r="N38" s="78"/>
    </row>
    <row r="39" spans="1:14" s="77" customFormat="1">
      <c r="A39" s="88"/>
      <c r="B39" s="90" t="s">
        <v>1680</v>
      </c>
      <c r="E39" s="77">
        <v>-118966.5</v>
      </c>
      <c r="K39" s="78"/>
      <c r="L39" s="78"/>
      <c r="M39" s="78"/>
      <c r="N39" s="78"/>
    </row>
    <row r="40" spans="1:14">
      <c r="A40" s="88"/>
      <c r="B40" s="77"/>
      <c r="C40" s="77"/>
      <c r="I40" s="77"/>
      <c r="J40" s="77"/>
    </row>
    <row r="41" spans="1:14" s="77" customFormat="1">
      <c r="A41"/>
      <c r="B41"/>
      <c r="C41"/>
      <c r="I41"/>
      <c r="J41"/>
      <c r="K41" s="78"/>
      <c r="L41" s="78"/>
      <c r="M41" s="78"/>
      <c r="N41" s="78"/>
    </row>
    <row r="42" spans="1:14" s="77" customFormat="1">
      <c r="A42" s="100"/>
      <c r="B42" s="106"/>
      <c r="C42" s="106"/>
      <c r="K42" s="78"/>
      <c r="L42" s="78"/>
      <c r="M42" s="78"/>
      <c r="N42" s="78"/>
    </row>
    <row r="43" spans="1:14" s="77" customFormat="1">
      <c r="A43" s="100"/>
      <c r="B43" s="106"/>
      <c r="C43" s="106"/>
      <c r="K43" s="78"/>
      <c r="L43" s="78"/>
      <c r="M43" s="78"/>
      <c r="N43" s="78"/>
    </row>
    <row r="44" spans="1:14" s="77" customFormat="1">
      <c r="A44" s="100"/>
      <c r="B44" s="107"/>
      <c r="C44" s="106"/>
      <c r="K44" s="78"/>
      <c r="L44" s="78"/>
      <c r="M44" s="78"/>
      <c r="N44" s="78"/>
    </row>
    <row r="45" spans="1:14" s="77" customFormat="1">
      <c r="A45" s="100"/>
      <c r="B45" s="107"/>
      <c r="C45" s="106"/>
      <c r="K45" s="78"/>
      <c r="L45" s="78"/>
      <c r="M45" s="78"/>
      <c r="N45" s="78"/>
    </row>
    <row r="46" spans="1:14" s="77" customFormat="1">
      <c r="A46" s="100"/>
      <c r="B46" s="107"/>
      <c r="K46" s="78"/>
      <c r="L46" s="78"/>
      <c r="M46" s="78"/>
      <c r="N46" s="78"/>
    </row>
    <row r="47" spans="1:14" s="77" customFormat="1">
      <c r="A47" s="100"/>
      <c r="B47" s="107"/>
      <c r="C47" s="106"/>
      <c r="K47" s="78"/>
      <c r="L47" s="78"/>
      <c r="M47" s="78"/>
      <c r="N47" s="78"/>
    </row>
    <row r="48" spans="1:14" s="77" customFormat="1">
      <c r="A48" s="100"/>
      <c r="B48" s="3"/>
      <c r="K48" s="78"/>
      <c r="L48" s="78"/>
      <c r="M48" s="78"/>
      <c r="N48" s="78"/>
    </row>
    <row r="49" spans="1:14" s="77" customFormat="1">
      <c r="A49" s="100"/>
      <c r="B49" s="106"/>
      <c r="C49" s="106"/>
      <c r="K49" s="78"/>
      <c r="L49" s="78"/>
      <c r="M49" s="78"/>
      <c r="N49" s="78"/>
    </row>
    <row r="50" spans="1:14" s="77" customFormat="1">
      <c r="A50" s="103"/>
      <c r="B50" s="104" t="s">
        <v>85</v>
      </c>
      <c r="C50" s="103"/>
      <c r="E50" s="77">
        <f>SUM(E51:E69)</f>
        <v>-989.78</v>
      </c>
      <c r="K50" s="78"/>
      <c r="L50" s="78"/>
      <c r="M50" s="78"/>
      <c r="N50" s="78"/>
    </row>
    <row r="51" spans="1:14" s="77" customFormat="1">
      <c r="A51" s="100"/>
      <c r="B51" s="106"/>
      <c r="C51" s="106"/>
      <c r="K51" s="78"/>
      <c r="L51" s="78"/>
      <c r="M51" s="78"/>
      <c r="N51" s="78"/>
    </row>
    <row r="52" spans="1:14" s="77" customFormat="1">
      <c r="A52" s="100"/>
      <c r="B52" s="106"/>
      <c r="C52" s="106"/>
      <c r="K52" s="78"/>
      <c r="L52" s="78"/>
      <c r="M52" s="78"/>
      <c r="N52" s="78"/>
    </row>
    <row r="53" spans="1:14" s="77" customFormat="1">
      <c r="A53" s="88">
        <v>45715</v>
      </c>
      <c r="B53" s="90" t="s">
        <v>1645</v>
      </c>
      <c r="C53" s="90">
        <v>5938.68</v>
      </c>
      <c r="D53" s="90" t="s">
        <v>665</v>
      </c>
      <c r="E53" s="90">
        <v>-989.78</v>
      </c>
      <c r="K53" s="78"/>
      <c r="L53" s="78"/>
      <c r="M53" s="78"/>
      <c r="N53" s="78"/>
    </row>
    <row r="54" spans="1:14" s="77" customFormat="1">
      <c r="A54" s="100"/>
      <c r="B54" s="3"/>
      <c r="C54" s="106"/>
      <c r="K54" s="78"/>
      <c r="L54" s="78"/>
      <c r="M54" s="78"/>
      <c r="N54" s="78"/>
    </row>
    <row r="55" spans="1:14" s="77" customFormat="1">
      <c r="A55" s="100"/>
      <c r="B55" s="3"/>
      <c r="C55" s="106"/>
      <c r="K55" s="78"/>
      <c r="L55" s="78"/>
      <c r="M55" s="78"/>
      <c r="N55" s="78"/>
    </row>
    <row r="56" spans="1:14" s="77" customFormat="1">
      <c r="A56" s="100"/>
      <c r="B56" s="3"/>
      <c r="C56" s="106"/>
      <c r="K56" s="78"/>
      <c r="L56" s="78"/>
      <c r="M56" s="78"/>
      <c r="N56" s="78"/>
    </row>
    <row r="57" spans="1:14" s="77" customFormat="1">
      <c r="A57" s="100"/>
      <c r="B57" s="3"/>
      <c r="C57" s="106"/>
      <c r="K57" s="78"/>
      <c r="L57" s="78"/>
      <c r="M57" s="78"/>
      <c r="N57" s="78"/>
    </row>
    <row r="58" spans="1:14" s="77" customFormat="1">
      <c r="A58" s="100"/>
      <c r="B58" s="3"/>
      <c r="C58" s="106"/>
      <c r="K58" s="78"/>
      <c r="L58" s="78"/>
      <c r="M58" s="78"/>
      <c r="N58" s="78"/>
    </row>
    <row r="59" spans="1:14" s="77" customFormat="1">
      <c r="A59" s="100"/>
      <c r="B59" s="3"/>
      <c r="C59" s="106"/>
      <c r="K59" s="78"/>
      <c r="L59" s="78"/>
      <c r="M59" s="78"/>
      <c r="N59" s="78"/>
    </row>
    <row r="60" spans="1:14" s="77" customFormat="1">
      <c r="A60" s="100"/>
      <c r="B60" s="3"/>
      <c r="C60" s="106"/>
      <c r="K60" s="78"/>
      <c r="L60" s="78"/>
      <c r="M60" s="78"/>
      <c r="N60" s="78"/>
    </row>
    <row r="61" spans="1:14" s="77" customFormat="1">
      <c r="A61" s="100"/>
      <c r="B61" s="3"/>
      <c r="C61" s="106"/>
      <c r="K61" s="78"/>
      <c r="L61" s="78"/>
      <c r="M61" s="78"/>
      <c r="N61" s="78"/>
    </row>
    <row r="62" spans="1:14" s="77" customFormat="1">
      <c r="A62" s="100"/>
      <c r="B62" s="3"/>
      <c r="C62" s="106"/>
      <c r="K62" s="78"/>
      <c r="L62" s="78"/>
      <c r="M62" s="78"/>
      <c r="N62" s="78"/>
    </row>
    <row r="63" spans="1:14" s="77" customFormat="1">
      <c r="A63" s="100"/>
      <c r="B63" s="3"/>
      <c r="C63" s="106"/>
      <c r="K63" s="78"/>
      <c r="L63" s="78"/>
      <c r="M63" s="78"/>
      <c r="N63" s="78"/>
    </row>
    <row r="64" spans="1:14" s="77" customFormat="1" ht="15">
      <c r="A64" s="100"/>
      <c r="B64" s="3"/>
      <c r="C64" s="106"/>
      <c r="E64" s="105" t="s">
        <v>84</v>
      </c>
      <c r="K64" s="78"/>
      <c r="L64" s="78"/>
      <c r="M64" s="78"/>
      <c r="N64" s="78"/>
    </row>
    <row r="65" spans="1:14" s="77" customFormat="1">
      <c r="A65" s="100"/>
      <c r="B65" s="3"/>
      <c r="C65" s="106"/>
      <c r="K65" s="78"/>
      <c r="L65" s="78"/>
      <c r="M65" s="78"/>
      <c r="N65" s="78"/>
    </row>
    <row r="66" spans="1:14" s="77" customFormat="1">
      <c r="A66" s="100"/>
      <c r="B66" s="3"/>
      <c r="C66" s="106"/>
      <c r="K66" s="78"/>
      <c r="L66" s="78"/>
      <c r="M66" s="78"/>
      <c r="N66" s="78"/>
    </row>
    <row r="67" spans="1:14" s="77" customFormat="1">
      <c r="A67" s="100"/>
      <c r="B67" s="3"/>
      <c r="C67" s="106"/>
      <c r="K67" s="78"/>
      <c r="L67" s="78"/>
      <c r="M67" s="78"/>
      <c r="N67" s="78"/>
    </row>
    <row r="68" spans="1:14" s="77" customFormat="1">
      <c r="A68" s="100"/>
      <c r="B68" s="3"/>
      <c r="C68" s="106"/>
      <c r="K68" s="78"/>
      <c r="L68" s="78"/>
      <c r="M68" s="78"/>
      <c r="N68" s="78"/>
    </row>
    <row r="69" spans="1:14" s="77" customFormat="1">
      <c r="A69" s="100"/>
      <c r="B69" s="3"/>
      <c r="C69" s="106"/>
      <c r="K69" s="78"/>
      <c r="L69" s="78"/>
      <c r="M69" s="78"/>
      <c r="N69" s="78"/>
    </row>
    <row r="70" spans="1:14" s="77" customFormat="1">
      <c r="A70" s="100"/>
      <c r="B70" s="3"/>
      <c r="K70" s="78"/>
      <c r="L70" s="78"/>
      <c r="M70" s="78"/>
      <c r="N70" s="78"/>
    </row>
    <row r="71" spans="1:14">
      <c r="A71" s="100"/>
      <c r="B71" s="3"/>
      <c r="C71" s="106"/>
      <c r="I71" s="77"/>
      <c r="J71" s="7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BC2E6"/>
  </sheetPr>
  <dimension ref="A1:N171"/>
  <sheetViews>
    <sheetView tabSelected="1" topLeftCell="A116" zoomScale="160" zoomScaleNormal="160" workbookViewId="0">
      <selection activeCell="F129" sqref="F129"/>
    </sheetView>
  </sheetViews>
  <sheetFormatPr defaultColWidth="12.28515625" defaultRowHeight="12.75"/>
  <cols>
    <col min="1" max="1" width="12.28515625" style="98"/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8.42578125" bestFit="1" customWidth="1"/>
    <col min="11" max="11" width="10.5703125" style="78" bestFit="1" customWidth="1"/>
    <col min="12" max="12" width="6.28515625" style="78" bestFit="1" customWidth="1"/>
    <col min="13" max="13" width="7.42578125" style="78" bestFit="1" customWidth="1"/>
    <col min="14" max="14" width="12.28515625" style="78"/>
    <col min="1024" max="1024" width="9.140625" customWidth="1"/>
  </cols>
  <sheetData>
    <row r="1" spans="1:14">
      <c r="F1" s="77" t="s">
        <v>28</v>
      </c>
      <c r="G1" s="77" t="s">
        <v>29</v>
      </c>
      <c r="H1" s="77" t="s">
        <v>3</v>
      </c>
    </row>
    <row r="2" spans="1:14">
      <c r="A2" s="433" t="s">
        <v>101</v>
      </c>
      <c r="C2" s="79" t="s">
        <v>67</v>
      </c>
      <c r="D2" s="77">
        <f>SUM(D4:D36)</f>
        <v>15000</v>
      </c>
      <c r="E2" s="77">
        <f>SUM(E4:E36)</f>
        <v>-79968.850000000006</v>
      </c>
      <c r="F2" s="77">
        <f>SUM(F4:F36)</f>
        <v>0</v>
      </c>
      <c r="G2" s="77">
        <f>SUM(G4:G36)</f>
        <v>-36002.019999999997</v>
      </c>
      <c r="H2" s="77">
        <f>F2+G2</f>
        <v>-36002.019999999997</v>
      </c>
    </row>
    <row r="3" spans="1:14">
      <c r="B3" s="18"/>
    </row>
    <row r="4" spans="1:14">
      <c r="B4" s="41"/>
      <c r="H4" s="77">
        <f t="shared" ref="H4:H34" si="0">H3+F4+G4</f>
        <v>0</v>
      </c>
    </row>
    <row r="5" spans="1:14" s="11" customFormat="1">
      <c r="A5" s="98"/>
      <c r="B5" s="41"/>
      <c r="D5" s="90"/>
      <c r="E5" s="90"/>
      <c r="F5" s="90"/>
      <c r="G5" s="90"/>
      <c r="H5" s="90">
        <f t="shared" si="0"/>
        <v>0</v>
      </c>
      <c r="K5" s="78"/>
      <c r="L5" s="78"/>
      <c r="M5" s="78"/>
      <c r="N5" s="78"/>
    </row>
    <row r="6" spans="1:14" s="11" customFormat="1">
      <c r="A6" s="446">
        <v>45718</v>
      </c>
      <c r="B6" s="41" t="s">
        <v>1683</v>
      </c>
      <c r="C6" s="8"/>
      <c r="D6" s="87"/>
      <c r="E6" s="87"/>
      <c r="F6" s="87"/>
      <c r="G6" s="87">
        <v>-213.25</v>
      </c>
      <c r="H6" s="87">
        <f t="shared" si="0"/>
        <v>-213.25</v>
      </c>
      <c r="K6" s="78"/>
      <c r="L6" s="78"/>
      <c r="M6" s="78"/>
      <c r="N6" s="78"/>
    </row>
    <row r="7" spans="1:14" s="11" customFormat="1">
      <c r="A7" s="446"/>
      <c r="B7" s="177" t="s">
        <v>72</v>
      </c>
      <c r="C7" s="8"/>
      <c r="D7" s="87"/>
      <c r="E7" s="87">
        <v>0</v>
      </c>
      <c r="F7" s="87"/>
      <c r="G7" s="87"/>
      <c r="H7" s="87">
        <f t="shared" si="0"/>
        <v>-213.25</v>
      </c>
      <c r="K7" s="78"/>
      <c r="L7" s="78"/>
      <c r="M7" s="78"/>
      <c r="N7" s="78"/>
    </row>
    <row r="8" spans="1:14">
      <c r="A8" s="446">
        <v>45721</v>
      </c>
      <c r="B8" s="101" t="s">
        <v>70</v>
      </c>
      <c r="C8" s="101"/>
      <c r="D8" s="87"/>
      <c r="E8" s="87">
        <v>-2117.06</v>
      </c>
      <c r="F8" s="87"/>
      <c r="G8" s="87">
        <v>-2116.98</v>
      </c>
      <c r="H8" s="87">
        <f t="shared" si="0"/>
        <v>-2330.23</v>
      </c>
    </row>
    <row r="9" spans="1:14">
      <c r="A9" s="459">
        <v>45722</v>
      </c>
      <c r="B9" s="460" t="s">
        <v>69</v>
      </c>
      <c r="C9" s="461"/>
      <c r="D9" s="426"/>
      <c r="E9" s="426">
        <f>E64</f>
        <v>-14628.179999999997</v>
      </c>
      <c r="F9" s="87"/>
      <c r="G9" s="87">
        <f>E9</f>
        <v>-14628.179999999997</v>
      </c>
      <c r="H9" s="87">
        <f t="shared" si="0"/>
        <v>-16958.409999999996</v>
      </c>
    </row>
    <row r="10" spans="1:14">
      <c r="A10" s="447">
        <v>45723</v>
      </c>
      <c r="B10" s="448" t="s">
        <v>68</v>
      </c>
      <c r="C10" s="441"/>
      <c r="D10" s="406"/>
      <c r="E10" s="406">
        <f>E40</f>
        <v>-19043.61</v>
      </c>
      <c r="F10" s="90"/>
      <c r="G10" s="90">
        <f>E10</f>
        <v>-19043.61</v>
      </c>
      <c r="H10" s="90">
        <f t="shared" si="0"/>
        <v>-36002.019999999997</v>
      </c>
    </row>
    <row r="11" spans="1:14">
      <c r="H11" s="90">
        <f t="shared" si="0"/>
        <v>-36002.019999999997</v>
      </c>
    </row>
    <row r="12" spans="1:14">
      <c r="G12" s="87"/>
      <c r="H12" s="90">
        <f t="shared" si="0"/>
        <v>-36002.019999999997</v>
      </c>
    </row>
    <row r="13" spans="1:14">
      <c r="H13" s="90">
        <f t="shared" si="0"/>
        <v>-36002.019999999997</v>
      </c>
    </row>
    <row r="14" spans="1:14">
      <c r="A14" s="98">
        <v>45723</v>
      </c>
      <c r="B14" s="89" t="s">
        <v>1601</v>
      </c>
      <c r="C14" s="89"/>
      <c r="D14" s="90"/>
      <c r="E14" s="90">
        <v>-17500</v>
      </c>
      <c r="H14" s="90">
        <f t="shared" si="0"/>
        <v>-36002.019999999997</v>
      </c>
    </row>
    <row r="15" spans="1:14">
      <c r="H15" s="90">
        <f t="shared" si="0"/>
        <v>-36002.019999999997</v>
      </c>
    </row>
    <row r="16" spans="1:14">
      <c r="B16" s="92"/>
      <c r="C16" s="92"/>
      <c r="D16" s="90"/>
      <c r="E16" s="90"/>
      <c r="H16" s="90">
        <f t="shared" si="0"/>
        <v>-36002.019999999997</v>
      </c>
    </row>
    <row r="17" spans="1:13" s="78" customFormat="1">
      <c r="A17" s="98"/>
      <c r="B17" s="3"/>
      <c r="C17" s="3"/>
      <c r="D17" s="77"/>
      <c r="E17" s="77"/>
      <c r="F17" s="77"/>
      <c r="G17" s="77"/>
      <c r="H17" s="90">
        <f t="shared" si="0"/>
        <v>-36002.019999999997</v>
      </c>
      <c r="I17"/>
      <c r="J17"/>
    </row>
    <row r="18" spans="1:13" s="78" customFormat="1">
      <c r="A18" s="98"/>
      <c r="B18" s="93" t="s">
        <v>73</v>
      </c>
      <c r="C18" s="93"/>
      <c r="D18" s="90"/>
      <c r="E18" s="90">
        <v>-1000</v>
      </c>
      <c r="F18" s="77"/>
      <c r="G18" s="77"/>
      <c r="H18" s="90">
        <f t="shared" si="0"/>
        <v>-36002.019999999997</v>
      </c>
    </row>
    <row r="19" spans="1:13" s="78" customFormat="1">
      <c r="A19" s="98"/>
      <c r="B19" s="93" t="s">
        <v>74</v>
      </c>
      <c r="C19" s="93"/>
      <c r="D19" s="90"/>
      <c r="E19" s="90">
        <v>-200</v>
      </c>
      <c r="F19" s="77"/>
      <c r="G19" s="77"/>
      <c r="H19" s="90">
        <f t="shared" si="0"/>
        <v>-36002.019999999997</v>
      </c>
    </row>
    <row r="20" spans="1:13" s="78" customFormat="1">
      <c r="A20" s="98"/>
      <c r="B20" s="89" t="s">
        <v>75</v>
      </c>
      <c r="C20" s="89"/>
      <c r="D20" s="90"/>
      <c r="E20" s="90">
        <v>-200</v>
      </c>
      <c r="F20" s="77"/>
      <c r="G20" s="77"/>
      <c r="H20" s="90">
        <f t="shared" si="0"/>
        <v>-36002.019999999997</v>
      </c>
    </row>
    <row r="21" spans="1:13" s="78" customFormat="1">
      <c r="A21" s="98"/>
      <c r="B21" s="92" t="s">
        <v>76</v>
      </c>
      <c r="C21" s="92"/>
      <c r="D21" s="90">
        <v>15000</v>
      </c>
      <c r="E21" s="90"/>
      <c r="F21" s="77"/>
      <c r="G21" s="77"/>
      <c r="H21" s="77">
        <f t="shared" si="0"/>
        <v>-36002.019999999997</v>
      </c>
      <c r="J21" s="94"/>
      <c r="K21" s="94"/>
      <c r="L21" s="95"/>
      <c r="M21" s="96"/>
    </row>
    <row r="22" spans="1:13" s="78" customFormat="1">
      <c r="A22" s="98"/>
      <c r="B22" s="92" t="s">
        <v>77</v>
      </c>
      <c r="C22" s="92"/>
      <c r="D22" s="90"/>
      <c r="E22" s="90">
        <v>-7500</v>
      </c>
      <c r="F22" s="77"/>
      <c r="G22" s="77"/>
      <c r="H22" s="77">
        <f t="shared" si="0"/>
        <v>-36002.019999999997</v>
      </c>
      <c r="J22" s="94"/>
      <c r="K22" s="94"/>
      <c r="L22" s="95"/>
      <c r="M22" s="96"/>
    </row>
    <row r="23" spans="1:13" s="78" customFormat="1">
      <c r="A23" s="98"/>
      <c r="B23" s="92" t="s">
        <v>78</v>
      </c>
      <c r="C23" s="92"/>
      <c r="D23" s="90"/>
      <c r="E23" s="90">
        <v>-7500</v>
      </c>
      <c r="F23" s="77"/>
      <c r="G23" s="77"/>
      <c r="H23" s="77">
        <f t="shared" si="0"/>
        <v>-36002.019999999997</v>
      </c>
      <c r="J23" s="94"/>
      <c r="K23" s="94"/>
      <c r="L23" s="95"/>
      <c r="M23" s="96"/>
    </row>
    <row r="24" spans="1:13" s="78" customFormat="1">
      <c r="A24" s="98"/>
      <c r="B24" s="92" t="s">
        <v>79</v>
      </c>
      <c r="C24" s="92"/>
      <c r="D24" s="90"/>
      <c r="E24" s="90">
        <v>-7500</v>
      </c>
      <c r="F24" s="77"/>
      <c r="G24" s="77"/>
      <c r="H24" s="77">
        <f t="shared" si="0"/>
        <v>-36002.019999999997</v>
      </c>
      <c r="J24" s="94"/>
      <c r="K24" s="94"/>
      <c r="L24" s="95"/>
      <c r="M24" s="96"/>
    </row>
    <row r="25" spans="1:13" s="78" customFormat="1">
      <c r="A25" s="98"/>
      <c r="B25" s="3"/>
      <c r="C25" s="3"/>
      <c r="D25" s="77"/>
      <c r="E25" s="77"/>
      <c r="F25" s="77"/>
      <c r="G25" s="77"/>
      <c r="H25" s="77">
        <f t="shared" si="0"/>
        <v>-36002.019999999997</v>
      </c>
      <c r="J25" s="94"/>
      <c r="K25" s="94"/>
      <c r="L25" s="95"/>
      <c r="M25" s="96"/>
    </row>
    <row r="26" spans="1:13" s="78" customFormat="1">
      <c r="A26" s="98"/>
      <c r="B26" s="92"/>
      <c r="C26" s="92"/>
      <c r="D26" s="90"/>
      <c r="E26" s="90"/>
      <c r="F26" s="77"/>
      <c r="G26" s="77"/>
      <c r="H26" s="77">
        <f t="shared" si="0"/>
        <v>-36002.019999999997</v>
      </c>
      <c r="J26" s="94"/>
      <c r="K26" s="94"/>
      <c r="L26" s="95"/>
      <c r="M26" s="96"/>
    </row>
    <row r="27" spans="1:13" s="78" customFormat="1">
      <c r="A27" s="98">
        <v>45716</v>
      </c>
      <c r="B27" s="3" t="s">
        <v>98</v>
      </c>
      <c r="C27" s="3" t="s">
        <v>1605</v>
      </c>
      <c r="D27" s="77"/>
      <c r="E27" s="77">
        <v>-1380</v>
      </c>
      <c r="F27" s="77"/>
      <c r="G27" s="77"/>
      <c r="H27" s="77">
        <f t="shared" si="0"/>
        <v>-36002.019999999997</v>
      </c>
      <c r="J27" s="94"/>
      <c r="K27" s="94"/>
      <c r="L27" s="95"/>
      <c r="M27" s="96"/>
    </row>
    <row r="28" spans="1:13" s="78" customFormat="1">
      <c r="A28" s="98"/>
      <c r="B28" s="99" t="s">
        <v>80</v>
      </c>
      <c r="C28" s="99"/>
      <c r="D28" s="77"/>
      <c r="E28" s="77">
        <v>-600</v>
      </c>
      <c r="F28" s="77"/>
      <c r="G28" s="77"/>
      <c r="H28" s="77">
        <f t="shared" si="0"/>
        <v>-36002.019999999997</v>
      </c>
      <c r="J28" s="94"/>
      <c r="K28" s="94"/>
      <c r="L28" s="95"/>
      <c r="M28" s="96"/>
    </row>
    <row r="29" spans="1:13" s="78" customFormat="1">
      <c r="A29" s="98"/>
      <c r="B29" s="99" t="s">
        <v>81</v>
      </c>
      <c r="C29" s="99"/>
      <c r="D29" s="77"/>
      <c r="E29" s="77">
        <v>-800</v>
      </c>
      <c r="F29" s="77"/>
      <c r="G29" s="77"/>
      <c r="H29" s="77">
        <f t="shared" si="0"/>
        <v>-36002.019999999997</v>
      </c>
      <c r="J29" s="94"/>
      <c r="K29" s="94"/>
      <c r="L29" s="95"/>
      <c r="M29" s="96"/>
    </row>
    <row r="30" spans="1:13" s="78" customFormat="1">
      <c r="A30" s="98"/>
      <c r="B30" s="3"/>
      <c r="C30" s="3"/>
      <c r="D30" s="77"/>
      <c r="E30" s="77"/>
      <c r="F30" s="77"/>
      <c r="G30" s="77"/>
      <c r="H30" s="77">
        <f t="shared" si="0"/>
        <v>-36002.019999999997</v>
      </c>
    </row>
    <row r="31" spans="1:13" s="78" customFormat="1">
      <c r="A31" s="98"/>
      <c r="D31" s="77"/>
      <c r="E31" s="77"/>
      <c r="F31" s="77"/>
      <c r="G31" s="77"/>
      <c r="H31" s="77">
        <f t="shared" si="0"/>
        <v>-36002.019999999997</v>
      </c>
    </row>
    <row r="32" spans="1:13">
      <c r="B32" s="101" t="s">
        <v>103</v>
      </c>
      <c r="C32" s="101"/>
      <c r="H32" s="77">
        <f t="shared" si="0"/>
        <v>-36002.019999999997</v>
      </c>
      <c r="I32" s="78"/>
      <c r="J32" s="78"/>
    </row>
    <row r="33" spans="1:14">
      <c r="H33" s="77">
        <f t="shared" si="0"/>
        <v>-36002.019999999997</v>
      </c>
    </row>
    <row r="34" spans="1:14">
      <c r="H34" s="77">
        <f t="shared" si="0"/>
        <v>-36002.019999999997</v>
      </c>
    </row>
    <row r="36" spans="1:14" s="78" customFormat="1">
      <c r="A36" s="98"/>
      <c r="B36"/>
      <c r="C36"/>
      <c r="D36" s="77"/>
      <c r="E36" s="77"/>
      <c r="F36" s="77"/>
      <c r="G36" s="77"/>
      <c r="H36" s="77"/>
      <c r="I36"/>
      <c r="J36"/>
    </row>
    <row r="37" spans="1:14" s="78" customFormat="1">
      <c r="A37" s="98"/>
      <c r="D37" s="77"/>
      <c r="E37" s="77"/>
      <c r="F37" s="77"/>
      <c r="G37" s="77"/>
      <c r="H37" s="77"/>
    </row>
    <row r="38" spans="1:14" s="77" customFormat="1">
      <c r="A38" s="98"/>
      <c r="B38" s="78"/>
      <c r="C38" s="78"/>
      <c r="I38" s="78"/>
      <c r="J38" s="78"/>
      <c r="K38" s="78"/>
      <c r="L38" s="78"/>
      <c r="M38" s="78"/>
      <c r="N38" s="78"/>
    </row>
    <row r="39" spans="1:14" s="77" customFormat="1">
      <c r="A39" s="433"/>
      <c r="B39" s="102"/>
      <c r="K39" s="78"/>
      <c r="L39" s="78"/>
      <c r="M39" s="78"/>
      <c r="N39" s="78"/>
    </row>
    <row r="40" spans="1:14">
      <c r="A40" s="434"/>
      <c r="B40" s="104" t="s">
        <v>83</v>
      </c>
      <c r="C40" s="103"/>
      <c r="E40" s="77">
        <f>SUM(E41:E58)</f>
        <v>-19043.61</v>
      </c>
      <c r="I40" s="77"/>
      <c r="J40" s="77"/>
    </row>
    <row r="41" spans="1:14" s="77" customFormat="1">
      <c r="A41" s="98"/>
      <c r="B41"/>
      <c r="C41"/>
      <c r="I41"/>
      <c r="J41"/>
      <c r="K41" s="78"/>
      <c r="L41" s="78"/>
      <c r="M41" s="78"/>
      <c r="N41" s="78"/>
    </row>
    <row r="42" spans="1:14" s="77" customFormat="1">
      <c r="A42" s="98">
        <v>45715</v>
      </c>
      <c r="B42" s="90" t="s">
        <v>1645</v>
      </c>
      <c r="C42" s="90">
        <v>5938.7</v>
      </c>
      <c r="D42" s="90" t="s">
        <v>700</v>
      </c>
      <c r="E42" s="90">
        <v>-989.78</v>
      </c>
      <c r="F42" s="77">
        <v>0</v>
      </c>
      <c r="K42" s="78"/>
      <c r="L42" s="78"/>
      <c r="M42" s="78"/>
      <c r="N42" s="78"/>
    </row>
    <row r="43" spans="1:14" s="77" customFormat="1">
      <c r="A43" s="98">
        <v>45715</v>
      </c>
      <c r="B43" s="77" t="s">
        <v>1639</v>
      </c>
      <c r="E43" s="77">
        <v>-2820</v>
      </c>
      <c r="F43" s="77">
        <v>0</v>
      </c>
      <c r="K43" s="78"/>
      <c r="L43" s="78"/>
      <c r="M43" s="78"/>
      <c r="N43" s="78"/>
    </row>
    <row r="44" spans="1:14" s="77" customFormat="1">
      <c r="A44" s="98">
        <v>45715</v>
      </c>
      <c r="B44" s="77" t="s">
        <v>1641</v>
      </c>
      <c r="E44" s="77">
        <v>-3196.34</v>
      </c>
      <c r="F44" s="77">
        <v>0</v>
      </c>
      <c r="K44" s="78"/>
      <c r="L44" s="78"/>
      <c r="M44" s="78"/>
      <c r="N44" s="78"/>
    </row>
    <row r="45" spans="1:14">
      <c r="A45" s="98">
        <v>45715</v>
      </c>
      <c r="B45" s="90" t="s">
        <v>1640</v>
      </c>
      <c r="C45" s="77"/>
      <c r="E45" s="77">
        <v>-467.95</v>
      </c>
      <c r="F45" s="77">
        <v>0</v>
      </c>
      <c r="I45" s="77"/>
      <c r="J45" s="77"/>
    </row>
    <row r="46" spans="1:14" s="77" customFormat="1">
      <c r="A46" s="98">
        <v>45715</v>
      </c>
      <c r="B46" s="90" t="s">
        <v>1643</v>
      </c>
      <c r="C46"/>
      <c r="I46"/>
      <c r="J46"/>
      <c r="K46" s="78"/>
      <c r="L46" s="78"/>
      <c r="M46" s="78"/>
      <c r="N46" s="78"/>
    </row>
    <row r="47" spans="1:14" s="77" customFormat="1">
      <c r="A47" s="98"/>
      <c r="B47" s="106"/>
      <c r="C47" s="106"/>
      <c r="K47" s="78"/>
      <c r="L47" s="78"/>
      <c r="M47" s="78"/>
      <c r="N47" s="78"/>
    </row>
    <row r="48" spans="1:14" s="77" customFormat="1">
      <c r="A48" s="98">
        <v>45691</v>
      </c>
      <c r="B48" s="106" t="s">
        <v>1658</v>
      </c>
      <c r="C48" s="106"/>
      <c r="E48" s="77">
        <v>-1580</v>
      </c>
      <c r="F48" s="77">
        <v>0</v>
      </c>
      <c r="K48" s="78"/>
      <c r="L48" s="78"/>
      <c r="M48" s="78"/>
      <c r="N48" s="78"/>
    </row>
    <row r="49" spans="1:14" s="77" customFormat="1">
      <c r="A49" s="98">
        <v>45691</v>
      </c>
      <c r="B49" s="107" t="s">
        <v>1657</v>
      </c>
      <c r="C49" s="106"/>
      <c r="E49" s="77">
        <v>-1338</v>
      </c>
      <c r="F49" s="77">
        <v>0</v>
      </c>
      <c r="K49" s="78"/>
      <c r="L49" s="78"/>
      <c r="M49" s="78"/>
      <c r="N49" s="78"/>
    </row>
    <row r="50" spans="1:14" s="77" customFormat="1">
      <c r="A50" s="98">
        <v>45691</v>
      </c>
      <c r="B50" s="107" t="s">
        <v>1659</v>
      </c>
      <c r="C50" s="106"/>
      <c r="E50" s="77">
        <v>-1200</v>
      </c>
      <c r="F50" s="77">
        <v>0</v>
      </c>
      <c r="K50" s="78"/>
      <c r="L50" s="78"/>
      <c r="M50" s="78"/>
      <c r="N50" s="78"/>
    </row>
    <row r="51" spans="1:14" s="77" customFormat="1">
      <c r="A51" s="98">
        <v>45691</v>
      </c>
      <c r="B51" s="107" t="s">
        <v>1665</v>
      </c>
      <c r="E51" s="77">
        <v>-1300.54</v>
      </c>
      <c r="F51" s="77">
        <v>0</v>
      </c>
      <c r="K51" s="78"/>
      <c r="L51" s="78"/>
      <c r="M51" s="78"/>
      <c r="N51" s="78"/>
    </row>
    <row r="52" spans="1:14" s="77" customFormat="1">
      <c r="A52" s="98">
        <v>45689</v>
      </c>
      <c r="B52" s="107" t="s">
        <v>1660</v>
      </c>
      <c r="C52" s="106"/>
      <c r="E52" s="77">
        <v>-3720</v>
      </c>
      <c r="F52" s="77">
        <v>0</v>
      </c>
      <c r="K52" s="78"/>
      <c r="L52" s="78"/>
      <c r="M52" s="78"/>
      <c r="N52" s="78"/>
    </row>
    <row r="53" spans="1:14" s="77" customFormat="1">
      <c r="A53" s="98">
        <v>45699</v>
      </c>
      <c r="B53" s="3" t="s">
        <v>1673</v>
      </c>
      <c r="E53" s="77">
        <v>-2235</v>
      </c>
      <c r="F53" s="77">
        <v>0</v>
      </c>
      <c r="K53" s="78"/>
      <c r="L53" s="78"/>
      <c r="M53" s="78"/>
      <c r="N53" s="78"/>
    </row>
    <row r="54" spans="1:14" s="90" customFormat="1">
      <c r="A54" s="98">
        <v>45703</v>
      </c>
      <c r="B54" s="92" t="s">
        <v>1675</v>
      </c>
      <c r="E54" s="90">
        <v>-196</v>
      </c>
      <c r="F54" s="90">
        <v>0</v>
      </c>
      <c r="K54" s="78"/>
      <c r="L54" s="78"/>
      <c r="M54" s="78"/>
      <c r="N54" s="78"/>
    </row>
    <row r="55" spans="1:14" s="90" customFormat="1" ht="15">
      <c r="A55" s="98"/>
      <c r="B55" s="92"/>
      <c r="E55" s="105" t="s">
        <v>84</v>
      </c>
      <c r="K55" s="78"/>
      <c r="L55" s="78"/>
      <c r="M55" s="78"/>
      <c r="N55" s="78"/>
    </row>
    <row r="56" spans="1:14" s="90" customFormat="1">
      <c r="A56" s="98"/>
      <c r="B56" s="92"/>
      <c r="K56" s="78"/>
      <c r="L56" s="78"/>
      <c r="M56" s="78"/>
      <c r="N56" s="78"/>
    </row>
    <row r="57" spans="1:14" s="90" customFormat="1">
      <c r="A57" s="98"/>
      <c r="B57" s="92"/>
      <c r="K57" s="78"/>
      <c r="L57" s="78"/>
      <c r="M57" s="78"/>
      <c r="N57" s="78"/>
    </row>
    <row r="58" spans="1:14" s="90" customFormat="1">
      <c r="A58" s="98"/>
      <c r="B58" s="92"/>
      <c r="K58" s="78"/>
      <c r="L58" s="78"/>
      <c r="M58" s="78"/>
      <c r="N58" s="78"/>
    </row>
    <row r="59" spans="1:14" s="90" customFormat="1">
      <c r="A59" s="98"/>
      <c r="B59" s="92"/>
      <c r="K59" s="78"/>
      <c r="L59" s="78"/>
      <c r="M59" s="78"/>
      <c r="N59" s="78"/>
    </row>
    <row r="60" spans="1:14" s="90" customFormat="1">
      <c r="A60" s="98"/>
      <c r="B60" s="92"/>
      <c r="K60" s="78"/>
      <c r="L60" s="78"/>
      <c r="M60" s="78"/>
      <c r="N60" s="78"/>
    </row>
    <row r="61" spans="1:14" s="90" customFormat="1">
      <c r="A61" s="98"/>
      <c r="K61" s="78"/>
      <c r="L61" s="78"/>
      <c r="M61" s="78"/>
      <c r="N61" s="78"/>
    </row>
    <row r="62" spans="1:14" s="90" customFormat="1">
      <c r="A62" s="98"/>
      <c r="B62" s="92"/>
      <c r="K62" s="78"/>
      <c r="L62" s="78"/>
      <c r="M62" s="78"/>
      <c r="N62" s="78"/>
    </row>
    <row r="63" spans="1:14" s="77" customFormat="1">
      <c r="A63" s="98"/>
      <c r="B63" s="106"/>
      <c r="C63" s="106"/>
      <c r="K63" s="78"/>
      <c r="L63" s="78"/>
      <c r="M63" s="78"/>
      <c r="N63" s="78"/>
    </row>
    <row r="64" spans="1:14" s="77" customFormat="1">
      <c r="A64" s="434"/>
      <c r="B64" s="104" t="s">
        <v>85</v>
      </c>
      <c r="C64" s="103"/>
      <c r="E64" s="77">
        <f>SUM(E65:E98)</f>
        <v>-14628.179999999997</v>
      </c>
      <c r="K64" s="78"/>
      <c r="L64" s="78"/>
      <c r="M64" s="78"/>
      <c r="N64" s="78"/>
    </row>
    <row r="65" spans="1:14" s="77" customFormat="1">
      <c r="A65" s="98"/>
      <c r="B65" s="106"/>
      <c r="C65" s="106"/>
      <c r="K65" s="78"/>
      <c r="L65" s="78"/>
      <c r="M65" s="78"/>
      <c r="N65" s="78"/>
    </row>
    <row r="66" spans="1:14" s="77" customFormat="1">
      <c r="A66" s="433"/>
      <c r="F66" s="90"/>
      <c r="K66" s="78"/>
      <c r="L66" s="78"/>
      <c r="M66" s="78"/>
      <c r="N66" s="78"/>
    </row>
    <row r="67" spans="1:14" s="90" customFormat="1">
      <c r="A67" s="433">
        <v>45692</v>
      </c>
      <c r="B67" s="90" t="s">
        <v>1670</v>
      </c>
      <c r="D67" s="90" t="s">
        <v>1048</v>
      </c>
      <c r="E67" s="90">
        <v>-600.13</v>
      </c>
      <c r="K67" s="78"/>
      <c r="L67" s="78"/>
      <c r="M67" s="78"/>
      <c r="N67" s="78"/>
    </row>
    <row r="68" spans="1:14" s="90" customFormat="1">
      <c r="A68" s="433">
        <v>45692</v>
      </c>
      <c r="B68" s="90" t="s">
        <v>1670</v>
      </c>
      <c r="D68" s="90" t="s">
        <v>1048</v>
      </c>
      <c r="E68" s="90">
        <v>-2500.3000000000002</v>
      </c>
      <c r="K68" s="78"/>
      <c r="L68" s="78"/>
      <c r="M68" s="78"/>
      <c r="N68" s="78"/>
    </row>
    <row r="69" spans="1:14" s="90" customFormat="1">
      <c r="A69" s="433"/>
      <c r="K69" s="78"/>
      <c r="L69" s="78"/>
      <c r="M69" s="78"/>
      <c r="N69" s="78"/>
    </row>
    <row r="70" spans="1:14" s="90" customFormat="1">
      <c r="A70" s="433"/>
      <c r="K70" s="78"/>
      <c r="L70" s="78"/>
      <c r="M70" s="78"/>
      <c r="N70" s="78"/>
    </row>
    <row r="71" spans="1:14" s="90" customFormat="1">
      <c r="A71" s="433"/>
      <c r="K71" s="78"/>
      <c r="L71" s="78"/>
      <c r="M71" s="78"/>
      <c r="N71" s="78"/>
    </row>
    <row r="72" spans="1:14" s="90" customFormat="1">
      <c r="A72" s="98">
        <v>45681</v>
      </c>
      <c r="B72" s="92" t="s">
        <v>1631</v>
      </c>
      <c r="C72" s="106"/>
      <c r="E72" s="90">
        <v>-1798</v>
      </c>
      <c r="F72" s="77"/>
      <c r="K72" s="78"/>
      <c r="L72" s="78"/>
      <c r="M72" s="78"/>
      <c r="N72" s="78"/>
    </row>
    <row r="73" spans="1:14" s="90" customFormat="1">
      <c r="A73" s="98"/>
      <c r="B73" s="92" t="s">
        <v>539</v>
      </c>
      <c r="C73" s="106"/>
      <c r="E73" s="90">
        <v>1.8</v>
      </c>
      <c r="K73" s="78"/>
      <c r="L73" s="78"/>
      <c r="M73" s="78"/>
      <c r="N73" s="78"/>
    </row>
    <row r="74" spans="1:14" s="90" customFormat="1">
      <c r="A74" s="98">
        <v>45681</v>
      </c>
      <c r="B74" s="92" t="s">
        <v>1632</v>
      </c>
      <c r="C74" s="106"/>
      <c r="E74" s="90">
        <v>-700</v>
      </c>
      <c r="K74" s="78"/>
      <c r="L74" s="78"/>
      <c r="M74" s="78"/>
      <c r="N74" s="78"/>
    </row>
    <row r="75" spans="1:14" s="90" customFormat="1">
      <c r="A75" s="98">
        <v>45681</v>
      </c>
      <c r="B75" s="92" t="s">
        <v>1630</v>
      </c>
      <c r="C75" s="106"/>
      <c r="E75" s="90">
        <v>-120</v>
      </c>
      <c r="K75" s="78"/>
      <c r="L75" s="78"/>
      <c r="M75" s="78"/>
      <c r="N75" s="78"/>
    </row>
    <row r="76" spans="1:14" s="90" customFormat="1">
      <c r="A76" s="98">
        <v>45682</v>
      </c>
      <c r="B76" s="92" t="s">
        <v>1620</v>
      </c>
      <c r="C76" s="106"/>
      <c r="E76" s="90">
        <v>-70</v>
      </c>
      <c r="K76" s="78"/>
      <c r="L76" s="78"/>
      <c r="M76" s="78"/>
      <c r="N76" s="78"/>
    </row>
    <row r="77" spans="1:14" s="90" customFormat="1">
      <c r="A77" s="98">
        <v>45682</v>
      </c>
      <c r="B77" s="92" t="s">
        <v>1633</v>
      </c>
      <c r="C77" s="106"/>
      <c r="E77" s="90">
        <v>-699.99</v>
      </c>
      <c r="K77" s="78"/>
      <c r="L77" s="78"/>
      <c r="M77" s="78"/>
      <c r="N77" s="78"/>
    </row>
    <row r="78" spans="1:14" s="90" customFormat="1">
      <c r="A78" s="98">
        <v>45684</v>
      </c>
      <c r="B78" s="92" t="s">
        <v>1620</v>
      </c>
      <c r="C78" s="106"/>
      <c r="E78" s="90">
        <v>-70</v>
      </c>
      <c r="K78" s="78"/>
      <c r="L78" s="78"/>
      <c r="M78" s="78"/>
      <c r="N78" s="78"/>
    </row>
    <row r="79" spans="1:14" s="90" customFormat="1">
      <c r="A79" s="98">
        <v>45686</v>
      </c>
      <c r="B79" s="90" t="s">
        <v>1668</v>
      </c>
      <c r="E79" s="90">
        <v>-3600</v>
      </c>
      <c r="K79" s="78"/>
      <c r="L79" s="78"/>
      <c r="M79" s="78"/>
      <c r="N79" s="78"/>
    </row>
    <row r="80" spans="1:14" s="90" customFormat="1">
      <c r="A80" s="98">
        <v>45691</v>
      </c>
      <c r="B80" s="3" t="s">
        <v>130</v>
      </c>
      <c r="C80" s="106">
        <v>18950.04</v>
      </c>
      <c r="K80" s="78"/>
      <c r="L80" s="78"/>
      <c r="M80" s="78"/>
      <c r="N80" s="78"/>
    </row>
    <row r="81" spans="1:14" s="90" customFormat="1">
      <c r="A81" s="98">
        <v>45691</v>
      </c>
      <c r="B81" s="92" t="s">
        <v>130</v>
      </c>
      <c r="C81" s="106">
        <v>10153.299999999999</v>
      </c>
      <c r="K81" s="78"/>
      <c r="L81" s="78"/>
      <c r="M81" s="78"/>
      <c r="N81" s="78"/>
    </row>
    <row r="82" spans="1:14" s="90" customFormat="1">
      <c r="A82" s="433">
        <v>45694</v>
      </c>
      <c r="B82" s="90" t="s">
        <v>1620</v>
      </c>
      <c r="E82" s="90">
        <v>-70</v>
      </c>
      <c r="K82" s="78"/>
      <c r="L82" s="78"/>
      <c r="M82" s="78"/>
      <c r="N82" s="78"/>
    </row>
    <row r="83" spans="1:14" s="90" customFormat="1">
      <c r="A83" s="433">
        <v>45695</v>
      </c>
      <c r="B83" s="90" t="s">
        <v>1669</v>
      </c>
      <c r="E83" s="90">
        <v>-200</v>
      </c>
      <c r="K83" s="78"/>
      <c r="L83" s="78"/>
      <c r="M83" s="78"/>
      <c r="N83" s="78"/>
    </row>
    <row r="84" spans="1:14" s="77" customFormat="1">
      <c r="A84" s="433">
        <v>45696</v>
      </c>
      <c r="B84" s="77" t="s">
        <v>1671</v>
      </c>
      <c r="E84" s="77">
        <v>-550</v>
      </c>
      <c r="K84" s="78"/>
      <c r="L84" s="78"/>
      <c r="M84" s="78"/>
      <c r="N84" s="78"/>
    </row>
    <row r="85" spans="1:14" s="77" customFormat="1">
      <c r="A85" s="433">
        <v>45697</v>
      </c>
      <c r="B85" s="77" t="s">
        <v>1672</v>
      </c>
      <c r="E85" s="77">
        <v>-329.97</v>
      </c>
      <c r="K85" s="78"/>
      <c r="L85" s="78"/>
      <c r="M85" s="78"/>
      <c r="N85" s="78"/>
    </row>
    <row r="86" spans="1:14" s="77" customFormat="1">
      <c r="A86" s="433">
        <v>45699</v>
      </c>
      <c r="B86" s="77" t="s">
        <v>1676</v>
      </c>
      <c r="E86" s="77">
        <v>-200</v>
      </c>
      <c r="K86" s="78"/>
      <c r="L86" s="78"/>
      <c r="M86" s="78"/>
      <c r="N86" s="78"/>
    </row>
    <row r="87" spans="1:14" s="77" customFormat="1">
      <c r="A87" s="433">
        <v>45700</v>
      </c>
      <c r="B87" s="77" t="s">
        <v>1620</v>
      </c>
      <c r="E87" s="77">
        <v>-70</v>
      </c>
      <c r="K87" s="78"/>
      <c r="L87" s="78"/>
      <c r="M87" s="78"/>
      <c r="N87" s="78"/>
    </row>
    <row r="88" spans="1:14" s="77" customFormat="1">
      <c r="A88" s="433">
        <v>45701</v>
      </c>
      <c r="B88" s="77" t="s">
        <v>1621</v>
      </c>
      <c r="E88" s="77">
        <v>-230</v>
      </c>
      <c r="K88" s="78"/>
      <c r="L88" s="78"/>
      <c r="M88" s="78"/>
      <c r="N88" s="78"/>
    </row>
    <row r="89" spans="1:14" s="77" customFormat="1">
      <c r="A89" s="433">
        <v>45702</v>
      </c>
      <c r="B89" s="77" t="s">
        <v>489</v>
      </c>
      <c r="E89" s="77">
        <v>-250</v>
      </c>
      <c r="K89" s="78"/>
      <c r="L89" s="78"/>
      <c r="M89" s="78"/>
      <c r="N89" s="78"/>
    </row>
    <row r="90" spans="1:14" s="77" customFormat="1">
      <c r="A90" s="433">
        <v>45703</v>
      </c>
      <c r="B90" s="77" t="s">
        <v>1677</v>
      </c>
      <c r="E90" s="77">
        <v>-210</v>
      </c>
      <c r="K90" s="78"/>
      <c r="L90" s="78"/>
      <c r="M90" s="78"/>
      <c r="N90" s="78"/>
    </row>
    <row r="91" spans="1:14" s="77" customFormat="1">
      <c r="A91" s="98">
        <v>45704</v>
      </c>
      <c r="B91" s="3" t="s">
        <v>128</v>
      </c>
      <c r="C91" s="106"/>
      <c r="E91" s="77">
        <v>-467.38</v>
      </c>
      <c r="K91" s="78"/>
      <c r="L91" s="78"/>
      <c r="M91" s="78"/>
      <c r="N91" s="78"/>
    </row>
    <row r="92" spans="1:14" s="90" customFormat="1">
      <c r="A92" s="98">
        <v>45705</v>
      </c>
      <c r="B92" s="92" t="s">
        <v>1678</v>
      </c>
      <c r="C92" s="106"/>
      <c r="E92" s="90">
        <v>-350</v>
      </c>
      <c r="K92" s="78"/>
      <c r="L92" s="78"/>
      <c r="M92" s="78"/>
      <c r="N92" s="78"/>
    </row>
    <row r="93" spans="1:14" s="90" customFormat="1">
      <c r="A93" s="98">
        <v>45704</v>
      </c>
      <c r="B93" s="92"/>
      <c r="C93" s="106"/>
      <c r="E93" s="90">
        <v>-33</v>
      </c>
      <c r="K93" s="78"/>
      <c r="L93" s="78"/>
      <c r="M93" s="78"/>
      <c r="N93" s="78"/>
    </row>
    <row r="94" spans="1:14" s="90" customFormat="1">
      <c r="A94" s="98">
        <v>45705</v>
      </c>
      <c r="B94" s="92" t="s">
        <v>415</v>
      </c>
      <c r="C94" s="106"/>
      <c r="E94" s="90">
        <v>-380</v>
      </c>
      <c r="K94" s="78"/>
      <c r="L94" s="78"/>
      <c r="M94" s="78"/>
      <c r="N94" s="78"/>
    </row>
    <row r="95" spans="1:14" s="90" customFormat="1">
      <c r="A95" s="98">
        <v>45706</v>
      </c>
      <c r="B95" s="92" t="s">
        <v>1620</v>
      </c>
      <c r="C95" s="106"/>
      <c r="E95" s="90">
        <v>-400</v>
      </c>
      <c r="K95" s="78"/>
      <c r="L95" s="78"/>
      <c r="M95" s="78"/>
      <c r="N95" s="78"/>
    </row>
    <row r="96" spans="1:14" s="90" customFormat="1">
      <c r="A96" s="98">
        <v>45706</v>
      </c>
      <c r="B96" s="92" t="s">
        <v>128</v>
      </c>
      <c r="C96" s="106"/>
      <c r="E96" s="90">
        <v>-215.21</v>
      </c>
      <c r="K96" s="78"/>
      <c r="L96" s="78"/>
      <c r="M96" s="78"/>
      <c r="N96" s="78"/>
    </row>
    <row r="97" spans="1:14" s="77" customFormat="1">
      <c r="A97" s="98">
        <v>45709</v>
      </c>
      <c r="B97" s="3" t="s">
        <v>1679</v>
      </c>
      <c r="C97" s="106"/>
      <c r="E97" s="77">
        <v>-120</v>
      </c>
      <c r="K97" s="78"/>
      <c r="L97" s="78"/>
      <c r="M97" s="78"/>
      <c r="N97" s="78"/>
    </row>
    <row r="98" spans="1:14" s="77" customFormat="1">
      <c r="A98" s="98">
        <v>45710</v>
      </c>
      <c r="B98" s="3" t="s">
        <v>128</v>
      </c>
      <c r="C98" s="106"/>
      <c r="E98" s="77">
        <v>-396</v>
      </c>
      <c r="K98" s="78"/>
      <c r="L98" s="78"/>
      <c r="M98" s="78"/>
      <c r="N98" s="78"/>
    </row>
    <row r="99" spans="1:14" s="77" customFormat="1" ht="15">
      <c r="A99" s="98"/>
      <c r="B99" s="3"/>
      <c r="C99" s="106"/>
      <c r="E99" s="105" t="s">
        <v>84</v>
      </c>
      <c r="K99" s="78"/>
      <c r="L99" s="78"/>
      <c r="M99" s="78"/>
      <c r="N99" s="78"/>
    </row>
    <row r="100" spans="1:14" s="77" customFormat="1">
      <c r="A100" s="98"/>
      <c r="B100" s="3"/>
      <c r="C100" s="106"/>
      <c r="K100" s="78"/>
      <c r="L100" s="78"/>
      <c r="M100" s="78"/>
      <c r="N100" s="78"/>
    </row>
    <row r="101" spans="1:14" s="77" customFormat="1">
      <c r="A101" s="98"/>
      <c r="C101" s="106"/>
      <c r="K101" s="78"/>
      <c r="L101" s="78"/>
      <c r="M101" s="78"/>
      <c r="N101" s="78"/>
    </row>
    <row r="102" spans="1:14" s="77" customFormat="1">
      <c r="A102" s="98"/>
      <c r="B102" s="3"/>
      <c r="C102" s="106"/>
      <c r="K102" s="78"/>
      <c r="L102" s="78"/>
      <c r="M102" s="78"/>
      <c r="N102" s="78"/>
    </row>
    <row r="103" spans="1:14" s="77" customFormat="1">
      <c r="A103" s="98"/>
      <c r="B103" s="3"/>
      <c r="C103" s="106"/>
      <c r="K103" s="78"/>
      <c r="L103" s="78"/>
      <c r="M103" s="78"/>
      <c r="N103" s="78"/>
    </row>
    <row r="104" spans="1:14" s="77" customFormat="1">
      <c r="A104" s="98"/>
      <c r="B104" s="3"/>
      <c r="C104" s="106"/>
      <c r="K104" s="78"/>
      <c r="L104" s="78"/>
      <c r="M104" s="78"/>
      <c r="N104" s="78"/>
    </row>
    <row r="105" spans="1:14">
      <c r="B105" s="3"/>
      <c r="C105" s="106"/>
      <c r="I105" s="77"/>
      <c r="J105" s="77"/>
    </row>
    <row r="114" spans="1:14">
      <c r="A114" s="113" t="s">
        <v>1682</v>
      </c>
      <c r="B114" s="104" t="s">
        <v>137</v>
      </c>
      <c r="C114" s="103">
        <v>2025</v>
      </c>
      <c r="D114" s="90"/>
      <c r="E114" s="90"/>
      <c r="F114" s="90"/>
      <c r="G114" s="90">
        <f>SUM(G118:G146)</f>
        <v>1097621.0538949999</v>
      </c>
      <c r="H114" s="90"/>
      <c r="I114" s="90"/>
    </row>
    <row r="115" spans="1:14">
      <c r="A115" s="113"/>
      <c r="B115" s="104"/>
      <c r="C115" s="103"/>
      <c r="D115" s="90"/>
      <c r="E115" s="90"/>
      <c r="F115" s="90"/>
      <c r="G115" s="90"/>
      <c r="H115" s="90"/>
      <c r="I115" s="90"/>
    </row>
    <row r="116" spans="1:14">
      <c r="A116" s="113"/>
      <c r="B116" s="104"/>
      <c r="C116" s="103"/>
      <c r="D116" s="90"/>
      <c r="E116" s="90" t="s">
        <v>138</v>
      </c>
      <c r="F116" s="90"/>
      <c r="G116" s="90"/>
      <c r="H116" s="90"/>
      <c r="I116" s="90"/>
    </row>
    <row r="117" spans="1:14">
      <c r="A117" s="100"/>
      <c r="B117" s="90" t="s">
        <v>77</v>
      </c>
      <c r="C117" s="90"/>
      <c r="D117" s="90"/>
      <c r="E117" s="90"/>
      <c r="F117" s="90"/>
      <c r="G117" s="90">
        <v>0</v>
      </c>
      <c r="H117" s="90"/>
      <c r="I117" s="90"/>
    </row>
    <row r="118" spans="1:14">
      <c r="A118" s="100"/>
      <c r="B118" s="90" t="s">
        <v>78</v>
      </c>
      <c r="C118" s="90"/>
      <c r="D118" s="90"/>
      <c r="E118" s="90"/>
      <c r="F118" s="90"/>
      <c r="G118" s="90">
        <v>0</v>
      </c>
      <c r="H118" s="90"/>
      <c r="I118" s="90"/>
    </row>
    <row r="119" spans="1:14">
      <c r="A119" s="100">
        <v>45721</v>
      </c>
      <c r="B119" s="90" t="s">
        <v>139</v>
      </c>
      <c r="C119" s="90"/>
      <c r="D119" s="90"/>
      <c r="E119" s="90"/>
      <c r="F119" s="90"/>
      <c r="G119" s="90">
        <v>195330</v>
      </c>
      <c r="H119" s="90"/>
      <c r="I119" s="90"/>
    </row>
    <row r="120" spans="1:14">
      <c r="A120" s="100">
        <v>45721</v>
      </c>
      <c r="B120" s="90" t="s">
        <v>140</v>
      </c>
      <c r="C120" s="12"/>
      <c r="D120" s="12"/>
      <c r="E120" s="90"/>
      <c r="F120" s="90"/>
      <c r="G120" s="17">
        <v>18000</v>
      </c>
      <c r="H120" s="90"/>
      <c r="I120" s="90"/>
    </row>
    <row r="121" spans="1:14" s="11" customFormat="1">
      <c r="A121" s="100">
        <v>45721</v>
      </c>
      <c r="B121" s="90"/>
      <c r="C121" s="12"/>
      <c r="D121" s="12"/>
      <c r="E121" s="90"/>
      <c r="F121" s="90" t="s">
        <v>1689</v>
      </c>
      <c r="G121" s="17">
        <v>38850</v>
      </c>
      <c r="H121" s="90"/>
      <c r="I121" s="90"/>
      <c r="K121" s="78"/>
      <c r="L121" s="78"/>
      <c r="M121" s="78"/>
      <c r="N121" s="78"/>
    </row>
    <row r="122" spans="1:14">
      <c r="A122" s="100">
        <v>45721</v>
      </c>
      <c r="B122" s="90" t="s">
        <v>141</v>
      </c>
      <c r="C122" s="12"/>
      <c r="D122" s="12"/>
      <c r="E122" s="90"/>
      <c r="F122" s="90"/>
      <c r="G122" s="17">
        <v>15000</v>
      </c>
      <c r="H122" s="90"/>
      <c r="I122" s="90"/>
    </row>
    <row r="123" spans="1:14">
      <c r="A123" s="100"/>
      <c r="B123" s="90"/>
      <c r="C123" s="12"/>
      <c r="D123" s="12"/>
      <c r="E123" s="90"/>
      <c r="F123" s="90"/>
      <c r="G123" s="17"/>
      <c r="H123" s="90"/>
      <c r="I123" s="90"/>
    </row>
    <row r="124" spans="1:14">
      <c r="A124" s="100">
        <v>45667</v>
      </c>
      <c r="B124" s="82" t="s">
        <v>142</v>
      </c>
      <c r="C124" s="114">
        <v>50</v>
      </c>
      <c r="D124" s="115">
        <v>872.26366499999995</v>
      </c>
      <c r="E124" s="116">
        <f t="shared" ref="E124:E129" si="1">D124*C124</f>
        <v>43613.183249999995</v>
      </c>
      <c r="F124" s="405">
        <v>929.84559100000001</v>
      </c>
      <c r="G124" s="17">
        <f t="shared" ref="G124:G129" si="2">F124*C124</f>
        <v>46492.279549999999</v>
      </c>
      <c r="H124" s="90"/>
      <c r="I124" s="90">
        <f t="shared" ref="I124:I129" si="3">G124-E124</f>
        <v>2879.0963000000047</v>
      </c>
      <c r="M124" s="450"/>
    </row>
    <row r="125" spans="1:14">
      <c r="A125" s="100">
        <v>45672</v>
      </c>
      <c r="B125" s="82" t="s">
        <v>142</v>
      </c>
      <c r="C125" s="114">
        <v>55</v>
      </c>
      <c r="D125" s="115">
        <v>877.65409299999999</v>
      </c>
      <c r="E125" s="116">
        <f t="shared" si="1"/>
        <v>48270.975115000001</v>
      </c>
      <c r="F125" s="405">
        <f>F124</f>
        <v>929.84559100000001</v>
      </c>
      <c r="G125" s="17">
        <f t="shared" si="2"/>
        <v>51141.507505000001</v>
      </c>
      <c r="H125" s="90"/>
      <c r="I125" s="90">
        <f t="shared" si="3"/>
        <v>2870.5323900000003</v>
      </c>
    </row>
    <row r="126" spans="1:14">
      <c r="A126" s="451">
        <v>45680</v>
      </c>
      <c r="B126" s="452" t="s">
        <v>1610</v>
      </c>
      <c r="C126" s="453"/>
      <c r="D126" s="454">
        <v>305</v>
      </c>
      <c r="E126" s="455">
        <f>D126*C126</f>
        <v>0</v>
      </c>
      <c r="F126" s="418">
        <v>323.75</v>
      </c>
      <c r="G126" s="456">
        <f>F126*C126</f>
        <v>0</v>
      </c>
      <c r="H126" s="418"/>
      <c r="I126" s="418">
        <f>G126-E126</f>
        <v>0</v>
      </c>
      <c r="J126" s="449"/>
      <c r="K126" s="100"/>
      <c r="M126" s="449"/>
    </row>
    <row r="127" spans="1:14" s="11" customFormat="1">
      <c r="A127" s="451">
        <v>45721</v>
      </c>
      <c r="B127" s="452" t="s">
        <v>1610</v>
      </c>
      <c r="C127" s="453"/>
      <c r="D127" s="454"/>
      <c r="E127" s="455"/>
      <c r="F127" s="418"/>
      <c r="G127" s="456"/>
      <c r="H127" s="418"/>
      <c r="I127" s="418">
        <v>-81.59</v>
      </c>
      <c r="J127" s="78"/>
      <c r="K127" s="449"/>
      <c r="L127" s="78"/>
      <c r="M127" s="449"/>
      <c r="N127" s="78"/>
    </row>
    <row r="128" spans="1:14">
      <c r="A128" s="100">
        <v>45620</v>
      </c>
      <c r="B128" s="82" t="s">
        <v>1612</v>
      </c>
      <c r="C128" s="114">
        <v>4000</v>
      </c>
      <c r="D128" s="114">
        <v>32.549999999999997</v>
      </c>
      <c r="E128" s="116">
        <f t="shared" si="1"/>
        <v>130199.99999999999</v>
      </c>
      <c r="F128" s="90">
        <v>36.369999999999997</v>
      </c>
      <c r="G128" s="17">
        <f t="shared" si="2"/>
        <v>145480</v>
      </c>
      <c r="H128" s="90"/>
      <c r="I128" s="90">
        <f t="shared" si="3"/>
        <v>15280.000000000015</v>
      </c>
    </row>
    <row r="129" spans="1:9" ht="13.5" thickBot="1">
      <c r="A129" s="100">
        <v>45659</v>
      </c>
      <c r="B129" s="82" t="s">
        <v>1611</v>
      </c>
      <c r="C129" s="114">
        <v>4000</v>
      </c>
      <c r="D129" s="115">
        <v>30.86</v>
      </c>
      <c r="E129" s="116">
        <f t="shared" si="1"/>
        <v>123440</v>
      </c>
      <c r="F129" s="90">
        <f>F128</f>
        <v>36.369999999999997</v>
      </c>
      <c r="G129" s="17">
        <f t="shared" si="2"/>
        <v>145480</v>
      </c>
      <c r="H129" s="420">
        <f>SUM(G124:G129)</f>
        <v>388593.78705499996</v>
      </c>
      <c r="I129" s="90">
        <f t="shared" si="3"/>
        <v>22040</v>
      </c>
    </row>
    <row r="130" spans="1:9" ht="13.5" thickBot="1">
      <c r="A130" s="100"/>
      <c r="B130" s="90"/>
      <c r="C130" s="12"/>
      <c r="D130" s="12"/>
      <c r="E130" s="90">
        <f>SUM(E124:E129)</f>
        <v>345524.15836499998</v>
      </c>
      <c r="F130" s="90"/>
      <c r="G130" s="17"/>
      <c r="H130" s="117">
        <f>(SUM(G124:G129))-(SUM(E124:E129))</f>
        <v>43069.628689999983</v>
      </c>
      <c r="I130" s="117">
        <f>SUM(I124:I129)</f>
        <v>42988.038690000016</v>
      </c>
    </row>
    <row r="131" spans="1:9">
      <c r="A131" s="100"/>
      <c r="B131" s="90"/>
      <c r="C131" s="12"/>
      <c r="D131" s="12"/>
      <c r="E131" s="90"/>
      <c r="F131" s="90"/>
      <c r="G131" s="90"/>
      <c r="H131" s="90"/>
      <c r="I131" s="90"/>
    </row>
    <row r="132" spans="1:9">
      <c r="A132" s="100">
        <v>45345</v>
      </c>
      <c r="B132" s="82" t="s">
        <v>144</v>
      </c>
      <c r="C132" s="118">
        <v>125000</v>
      </c>
      <c r="D132" s="83">
        <v>1.0399430000000001</v>
      </c>
      <c r="E132" s="116">
        <f>D132*C132</f>
        <v>129992.87500000001</v>
      </c>
      <c r="F132" s="119">
        <v>0.76836099999999996</v>
      </c>
      <c r="G132" s="17">
        <f>F132*C132</f>
        <v>96045.125</v>
      </c>
      <c r="H132" s="90"/>
      <c r="I132" s="90">
        <f t="shared" ref="I132:I136" si="4">G132-E132</f>
        <v>-33947.750000000015</v>
      </c>
    </row>
    <row r="133" spans="1:9">
      <c r="A133" s="100">
        <v>45667</v>
      </c>
      <c r="B133" s="82" t="s">
        <v>1614</v>
      </c>
      <c r="C133" s="118">
        <v>240</v>
      </c>
      <c r="D133" s="83">
        <v>872.26366499999995</v>
      </c>
      <c r="E133" s="116">
        <f>D133*C133</f>
        <v>209343.27959999998</v>
      </c>
      <c r="F133" s="404">
        <f>F125</f>
        <v>929.84559100000001</v>
      </c>
      <c r="G133" s="17">
        <f>F133*C133</f>
        <v>223162.94184000001</v>
      </c>
      <c r="H133" s="90"/>
      <c r="I133" s="90">
        <f t="shared" si="4"/>
        <v>13819.662240000034</v>
      </c>
    </row>
    <row r="134" spans="1:9">
      <c r="A134" s="100">
        <v>45400</v>
      </c>
      <c r="B134" s="82" t="s">
        <v>145</v>
      </c>
      <c r="C134" s="114">
        <v>10</v>
      </c>
      <c r="D134" s="83">
        <v>135</v>
      </c>
      <c r="E134" s="116">
        <f>D134*C134</f>
        <v>1350</v>
      </c>
      <c r="F134" s="90">
        <v>112.6</v>
      </c>
      <c r="G134" s="17">
        <f>F134*C134</f>
        <v>1126</v>
      </c>
      <c r="H134" s="90"/>
      <c r="I134" s="90">
        <f t="shared" si="4"/>
        <v>-224</v>
      </c>
    </row>
    <row r="135" spans="1:9">
      <c r="A135" s="100">
        <v>45418</v>
      </c>
      <c r="B135" s="82" t="s">
        <v>146</v>
      </c>
      <c r="C135" s="114">
        <v>38</v>
      </c>
      <c r="D135" s="83">
        <v>30.5</v>
      </c>
      <c r="E135" s="116">
        <f>D135*C135</f>
        <v>1159</v>
      </c>
      <c r="F135" s="90">
        <v>16.899999999999999</v>
      </c>
      <c r="G135" s="17">
        <f>F135*C135</f>
        <v>642.19999999999993</v>
      </c>
      <c r="H135" s="90"/>
      <c r="I135" s="90">
        <f t="shared" si="4"/>
        <v>-516.80000000000007</v>
      </c>
    </row>
    <row r="136" spans="1:9" ht="13.5" thickBot="1">
      <c r="A136" s="100">
        <v>45418</v>
      </c>
      <c r="B136" s="82" t="s">
        <v>147</v>
      </c>
      <c r="C136" s="114">
        <v>26</v>
      </c>
      <c r="D136" s="83">
        <v>37.115000000000002</v>
      </c>
      <c r="E136" s="116">
        <f>D136*C136</f>
        <v>964.99</v>
      </c>
      <c r="F136" s="90">
        <v>23.5</v>
      </c>
      <c r="G136" s="17">
        <f>F136*C136</f>
        <v>611</v>
      </c>
      <c r="H136" s="420">
        <f>SUM(G132:G136)</f>
        <v>321587.26684</v>
      </c>
      <c r="I136" s="90">
        <f t="shared" si="4"/>
        <v>-353.99</v>
      </c>
    </row>
    <row r="137" spans="1:9" ht="13.5" thickBot="1">
      <c r="A137" s="100"/>
      <c r="B137" s="90"/>
      <c r="C137" s="12"/>
      <c r="D137" s="12"/>
      <c r="E137" s="90">
        <f>SUM(E132:E136)</f>
        <v>342810.1446</v>
      </c>
      <c r="F137" s="90"/>
      <c r="G137" s="90"/>
      <c r="H137" s="117">
        <f>(SUM(G132:G136))-(SUM(E132:E136))</f>
        <v>-21222.877760000003</v>
      </c>
      <c r="I137" s="90"/>
    </row>
    <row r="138" spans="1:9">
      <c r="A138" s="100"/>
      <c r="B138" s="90"/>
      <c r="C138" s="90"/>
      <c r="D138" s="90"/>
      <c r="E138" s="17"/>
      <c r="F138" s="90"/>
      <c r="G138" s="90"/>
      <c r="H138" s="90"/>
      <c r="I138" s="90"/>
    </row>
    <row r="139" spans="1:9">
      <c r="A139" s="100">
        <v>45509</v>
      </c>
      <c r="B139" s="82" t="s">
        <v>148</v>
      </c>
      <c r="C139" s="114">
        <v>1</v>
      </c>
      <c r="D139" s="83">
        <v>2500</v>
      </c>
      <c r="E139" s="116">
        <f>D139*C139</f>
        <v>2500</v>
      </c>
      <c r="F139" s="90">
        <v>3350</v>
      </c>
      <c r="G139" s="17">
        <f>C139*F139</f>
        <v>3350</v>
      </c>
      <c r="H139" s="90"/>
      <c r="I139" s="90">
        <f t="shared" ref="I139:I141" si="5">G139-E139</f>
        <v>850</v>
      </c>
    </row>
    <row r="140" spans="1:9">
      <c r="A140" s="100">
        <v>45509</v>
      </c>
      <c r="B140" s="82" t="s">
        <v>149</v>
      </c>
      <c r="C140" s="114">
        <v>16</v>
      </c>
      <c r="D140" s="83">
        <v>4100</v>
      </c>
      <c r="E140" s="116">
        <f>D140*C140</f>
        <v>65600</v>
      </c>
      <c r="F140" s="90">
        <f>F139*1.73</f>
        <v>5795.5</v>
      </c>
      <c r="G140" s="17">
        <f>C140*F140</f>
        <v>92728</v>
      </c>
      <c r="H140" s="90"/>
      <c r="I140" s="90">
        <f t="shared" si="5"/>
        <v>27128</v>
      </c>
    </row>
    <row r="141" spans="1:9" ht="13.5" thickBot="1">
      <c r="A141" s="100">
        <v>45509</v>
      </c>
      <c r="B141" s="82" t="s">
        <v>150</v>
      </c>
      <c r="C141" s="114">
        <v>1</v>
      </c>
      <c r="D141" s="83">
        <v>16200</v>
      </c>
      <c r="E141" s="116">
        <f>D141*C141</f>
        <v>16200</v>
      </c>
      <c r="F141" s="90">
        <f>F140*4</f>
        <v>23182</v>
      </c>
      <c r="G141" s="17">
        <f>C141*F141</f>
        <v>23182</v>
      </c>
      <c r="H141" s="420">
        <f>SUM(G139:G141)</f>
        <v>119260</v>
      </c>
      <c r="I141" s="90">
        <f t="shared" si="5"/>
        <v>6982</v>
      </c>
    </row>
    <row r="142" spans="1:9" ht="13.5" thickBot="1">
      <c r="A142" s="100"/>
      <c r="B142" s="90"/>
      <c r="C142" s="12"/>
      <c r="D142" s="12"/>
      <c r="E142" s="90">
        <f>SUM(E139:E141)</f>
        <v>84300</v>
      </c>
      <c r="F142" s="90"/>
      <c r="G142" s="90"/>
      <c r="H142" s="117">
        <f>(SUM(G139:G141))-(SUM(E139:E141))</f>
        <v>34960</v>
      </c>
      <c r="I142" s="90"/>
    </row>
    <row r="143" spans="1:9">
      <c r="A143" s="100"/>
      <c r="B143" s="90" t="s">
        <v>151</v>
      </c>
      <c r="C143" s="120">
        <v>33.250599999999999</v>
      </c>
      <c r="D143" s="12"/>
      <c r="E143" s="90"/>
      <c r="F143" s="90"/>
      <c r="G143" s="17"/>
      <c r="H143" s="90"/>
      <c r="I143" s="90"/>
    </row>
    <row r="144" spans="1:9">
      <c r="A144" s="100"/>
      <c r="B144" s="90" t="s">
        <v>152</v>
      </c>
      <c r="C144" s="120">
        <v>36.854999999999997</v>
      </c>
      <c r="D144" s="12"/>
      <c r="E144" s="90"/>
      <c r="F144" s="90"/>
      <c r="G144" s="17"/>
      <c r="H144" s="90"/>
      <c r="I144" s="90"/>
    </row>
    <row r="145" spans="1:13">
      <c r="A145" s="100"/>
      <c r="B145" s="90" t="s">
        <v>153</v>
      </c>
      <c r="C145" s="12"/>
      <c r="D145" s="12"/>
      <c r="E145" s="90"/>
      <c r="F145" s="90"/>
      <c r="G145" s="17">
        <v>0</v>
      </c>
      <c r="H145" s="90"/>
      <c r="I145" s="90"/>
    </row>
    <row r="146" spans="1:13" ht="13.5" thickBot="1">
      <c r="A146" s="100"/>
      <c r="B146" s="90" t="s">
        <v>154</v>
      </c>
      <c r="C146" s="12"/>
      <c r="D146" s="12"/>
      <c r="E146" s="90"/>
      <c r="F146" s="90"/>
      <c r="G146" s="17">
        <v>1000</v>
      </c>
      <c r="H146" s="90"/>
      <c r="I146" s="90"/>
    </row>
    <row r="147" spans="1:13" ht="13.5" thickBot="1">
      <c r="A147" s="100"/>
      <c r="B147" s="90"/>
      <c r="C147" s="90"/>
      <c r="D147" s="90"/>
      <c r="E147" s="121"/>
      <c r="F147" s="122"/>
      <c r="G147" s="123" t="s">
        <v>155</v>
      </c>
      <c r="H147" s="432">
        <f>H142+H137+H130</f>
        <v>56806.75092999998</v>
      </c>
      <c r="I147" s="90"/>
    </row>
    <row r="148" spans="1:13">
      <c r="A148" s="100"/>
      <c r="B148" s="90"/>
      <c r="C148" s="124"/>
      <c r="D148" s="92"/>
      <c r="E148" s="90"/>
      <c r="F148" s="90"/>
      <c r="G148" s="124"/>
      <c r="H148" s="90"/>
      <c r="I148" s="90"/>
    </row>
    <row r="149" spans="1:13">
      <c r="A149" s="100"/>
      <c r="B149" s="90"/>
      <c r="C149" s="124"/>
      <c r="D149" s="18" t="s">
        <v>156</v>
      </c>
      <c r="E149" s="90"/>
      <c r="F149" s="90"/>
      <c r="G149" s="9">
        <f>SUM(G118:G146)</f>
        <v>1097621.0538949999</v>
      </c>
      <c r="H149" s="90"/>
      <c r="I149" s="90"/>
    </row>
    <row r="150" spans="1:13">
      <c r="A150" s="100"/>
      <c r="B150" s="90"/>
      <c r="C150" s="126" t="str">
        <f>A114</f>
        <v>NİSAN 2025 e</v>
      </c>
      <c r="D150" s="126" t="s">
        <v>157</v>
      </c>
      <c r="E150" s="90"/>
      <c r="F150" s="90"/>
      <c r="G150" s="127"/>
      <c r="H150" s="90"/>
      <c r="I150" s="90"/>
    </row>
    <row r="151" spans="1:13">
      <c r="A151" s="100"/>
      <c r="B151" s="90"/>
      <c r="C151" s="125"/>
      <c r="D151" s="126"/>
      <c r="E151" s="90"/>
      <c r="F151" s="90"/>
      <c r="G151" s="127"/>
      <c r="H151" s="90"/>
      <c r="I151" s="90"/>
    </row>
    <row r="152" spans="1:13">
      <c r="A152" s="100"/>
      <c r="B152" s="90"/>
      <c r="C152" s="125"/>
      <c r="D152" s="126"/>
      <c r="E152" s="90"/>
      <c r="F152" s="90"/>
      <c r="G152" s="127"/>
      <c r="H152" s="90"/>
      <c r="I152" s="90"/>
    </row>
    <row r="153" spans="1:13">
      <c r="A153" s="100"/>
      <c r="B153" s="90"/>
      <c r="C153" s="125"/>
      <c r="D153" s="126"/>
      <c r="E153" s="90"/>
      <c r="F153" s="90"/>
      <c r="G153" s="127"/>
      <c r="H153" s="90"/>
      <c r="I153" s="90"/>
    </row>
    <row r="154" spans="1:13">
      <c r="A154" s="90"/>
      <c r="B154" s="90"/>
      <c r="C154" s="90"/>
      <c r="D154" s="90"/>
      <c r="E154" s="90"/>
      <c r="F154" s="90"/>
      <c r="G154" s="90"/>
      <c r="H154" s="90"/>
      <c r="I154" s="90" t="s">
        <v>1684</v>
      </c>
      <c r="J154" t="s">
        <v>1684</v>
      </c>
      <c r="K154" s="78" t="s">
        <v>1685</v>
      </c>
      <c r="L154" s="78" t="s">
        <v>1686</v>
      </c>
      <c r="M154" s="78" t="s">
        <v>1687</v>
      </c>
    </row>
    <row r="155" spans="1:13">
      <c r="A155" s="100">
        <v>45680</v>
      </c>
      <c r="B155" s="82" t="s">
        <v>1690</v>
      </c>
      <c r="C155" s="114">
        <v>120</v>
      </c>
      <c r="D155" s="115">
        <v>305</v>
      </c>
      <c r="E155" s="116">
        <f>D155*C155</f>
        <v>36600</v>
      </c>
      <c r="F155" s="90">
        <v>323.75</v>
      </c>
      <c r="G155" s="17">
        <f>F155*C155</f>
        <v>38850</v>
      </c>
      <c r="H155" s="90"/>
      <c r="I155" s="90">
        <f>G155-E155</f>
        <v>2250</v>
      </c>
      <c r="J155" s="449">
        <f>(I155-I156)/E155</f>
        <v>6.3704644808743174E-2</v>
      </c>
      <c r="K155" s="100">
        <v>45721</v>
      </c>
      <c r="L155" s="78">
        <f>K155-A155</f>
        <v>41</v>
      </c>
      <c r="M155" s="449">
        <f>J155/L155*30</f>
        <v>4.6613154738104762E-2</v>
      </c>
    </row>
    <row r="156" spans="1:13">
      <c r="A156" s="100">
        <v>45721</v>
      </c>
      <c r="B156" s="82" t="s">
        <v>1610</v>
      </c>
      <c r="C156" s="114"/>
      <c r="D156" s="115"/>
      <c r="E156" s="116"/>
      <c r="F156" s="90"/>
      <c r="G156" s="17"/>
      <c r="H156" s="90"/>
      <c r="I156" s="90">
        <v>-81.59</v>
      </c>
      <c r="J156" s="78">
        <f>I155-I156</f>
        <v>2331.59</v>
      </c>
      <c r="K156" s="449" t="s">
        <v>1688</v>
      </c>
      <c r="M156" s="449"/>
    </row>
    <row r="157" spans="1:13">
      <c r="A157" s="451">
        <v>45680</v>
      </c>
      <c r="B157" s="452" t="s">
        <v>1613</v>
      </c>
      <c r="C157" s="453"/>
      <c r="D157" s="454"/>
      <c r="E157" s="455">
        <v>299.37</v>
      </c>
      <c r="F157" s="418"/>
      <c r="G157" s="456"/>
      <c r="H157" s="418"/>
      <c r="I157" s="418"/>
    </row>
    <row r="158" spans="1:13">
      <c r="A158" s="451">
        <v>45691</v>
      </c>
      <c r="B158" s="452" t="s">
        <v>1653</v>
      </c>
      <c r="C158" s="453"/>
      <c r="D158" s="454">
        <v>872.26366499999995</v>
      </c>
      <c r="E158" s="455">
        <f>D158*C158</f>
        <v>0</v>
      </c>
      <c r="F158" s="457">
        <f>F164</f>
        <v>907.06739800000003</v>
      </c>
      <c r="G158" s="456">
        <f>F158*C158</f>
        <v>0</v>
      </c>
      <c r="H158" s="418"/>
      <c r="I158" s="418">
        <f>G158-E158</f>
        <v>0</v>
      </c>
    </row>
    <row r="159" spans="1:13">
      <c r="A159" s="451">
        <v>45680</v>
      </c>
      <c r="B159" s="452" t="s">
        <v>142</v>
      </c>
      <c r="C159" s="453"/>
      <c r="D159" s="454">
        <v>872.26366499999995</v>
      </c>
      <c r="E159" s="455">
        <f>D159*C159</f>
        <v>0</v>
      </c>
      <c r="F159" s="418">
        <v>899.26057400000002</v>
      </c>
      <c r="G159" s="456">
        <f>F159*C159</f>
        <v>0</v>
      </c>
      <c r="H159" s="418"/>
      <c r="I159" s="418">
        <f>E159-G159</f>
        <v>0</v>
      </c>
    </row>
    <row r="160" spans="1:13">
      <c r="A160" s="451">
        <v>45680</v>
      </c>
      <c r="B160" s="452" t="s">
        <v>1613</v>
      </c>
      <c r="C160" s="453"/>
      <c r="D160" s="454"/>
      <c r="E160" s="455"/>
      <c r="F160" s="418"/>
      <c r="G160" s="456"/>
      <c r="H160" s="418"/>
      <c r="I160" s="418"/>
    </row>
    <row r="161" spans="1:9">
      <c r="A161" s="451">
        <v>45692</v>
      </c>
      <c r="B161" s="452" t="s">
        <v>1653</v>
      </c>
      <c r="C161" s="453"/>
      <c r="D161" s="454">
        <v>872.26366499999995</v>
      </c>
      <c r="E161" s="455">
        <f>D161*C161</f>
        <v>0</v>
      </c>
      <c r="F161" s="457">
        <v>900.29758900000002</v>
      </c>
      <c r="G161" s="456">
        <f>F161*C161</f>
        <v>0</v>
      </c>
      <c r="H161" s="418"/>
      <c r="I161" s="418">
        <f>G161-E161</f>
        <v>0</v>
      </c>
    </row>
    <row r="162" spans="1:9">
      <c r="A162" s="451">
        <v>45692</v>
      </c>
      <c r="B162" s="452"/>
      <c r="C162" s="453"/>
      <c r="D162" s="454">
        <v>872.26366499999995</v>
      </c>
      <c r="E162" s="455">
        <f t="shared" ref="E162" si="6">D162*C162</f>
        <v>0</v>
      </c>
      <c r="F162" s="457">
        <v>900.29758900000002</v>
      </c>
      <c r="G162" s="456">
        <f t="shared" ref="G162" si="7">F162*C162</f>
        <v>0</v>
      </c>
      <c r="H162" s="418"/>
      <c r="I162" s="418">
        <f>E162-G162</f>
        <v>0</v>
      </c>
    </row>
    <row r="163" spans="1:9">
      <c r="A163" s="451">
        <v>45680</v>
      </c>
      <c r="B163" s="452" t="s">
        <v>1613</v>
      </c>
      <c r="C163" s="453"/>
      <c r="D163" s="454"/>
      <c r="E163" s="455"/>
      <c r="F163" s="418"/>
      <c r="G163" s="456"/>
      <c r="H163" s="418"/>
      <c r="I163" s="418"/>
    </row>
    <row r="164" spans="1:9">
      <c r="A164" s="451">
        <v>45699</v>
      </c>
      <c r="B164" s="452" t="s">
        <v>1667</v>
      </c>
      <c r="C164" s="453"/>
      <c r="D164" s="454">
        <v>872.26366499999995</v>
      </c>
      <c r="E164" s="455">
        <f>D164*C164</f>
        <v>0</v>
      </c>
      <c r="F164" s="457">
        <v>907.06739800000003</v>
      </c>
      <c r="G164" s="456">
        <f>F164*C164</f>
        <v>0</v>
      </c>
      <c r="H164" s="418"/>
      <c r="I164" s="418">
        <f>G164-E164</f>
        <v>0</v>
      </c>
    </row>
    <row r="165" spans="1:9">
      <c r="A165" s="451">
        <v>45692</v>
      </c>
      <c r="B165" s="452"/>
      <c r="C165" s="453"/>
      <c r="D165" s="454">
        <v>872.26366499999995</v>
      </c>
      <c r="E165" s="455">
        <f t="shared" ref="E165" si="8">D165*C165</f>
        <v>0</v>
      </c>
      <c r="F165" s="457">
        <v>907.06739800000003</v>
      </c>
      <c r="G165" s="456">
        <f t="shared" ref="G165" si="9">F165*C165</f>
        <v>0</v>
      </c>
      <c r="H165" s="418"/>
      <c r="I165" s="418">
        <f>E165-G165</f>
        <v>0</v>
      </c>
    </row>
    <row r="166" spans="1:9">
      <c r="A166" s="451">
        <v>45699</v>
      </c>
      <c r="B166" s="452" t="s">
        <v>1613</v>
      </c>
      <c r="C166" s="453"/>
      <c r="D166" s="454"/>
      <c r="E166" s="455"/>
      <c r="F166" s="418"/>
      <c r="G166" s="456"/>
      <c r="H166" s="418"/>
      <c r="I166" s="418"/>
    </row>
    <row r="167" spans="1:9">
      <c r="A167" s="451"/>
      <c r="B167" s="452"/>
      <c r="C167" s="453"/>
      <c r="D167" s="454"/>
      <c r="E167" s="455"/>
      <c r="F167" s="418"/>
      <c r="G167" s="456"/>
      <c r="H167" s="418"/>
      <c r="I167" s="418"/>
    </row>
    <row r="168" spans="1:9">
      <c r="A168" s="451"/>
      <c r="B168" s="452"/>
      <c r="C168" s="453"/>
      <c r="D168" s="454"/>
      <c r="E168" s="455"/>
      <c r="F168" s="418"/>
      <c r="G168" s="456"/>
      <c r="H168" s="418"/>
      <c r="I168" s="418"/>
    </row>
    <row r="169" spans="1:9">
      <c r="A169" s="431"/>
      <c r="B169" s="431"/>
      <c r="C169" s="431"/>
      <c r="D169" s="418"/>
      <c r="E169" s="418"/>
      <c r="F169" s="418"/>
      <c r="G169" s="418"/>
      <c r="H169" s="418"/>
      <c r="I169" s="431"/>
    </row>
    <row r="170" spans="1:9">
      <c r="A170" s="431"/>
      <c r="B170" s="431"/>
      <c r="C170" s="431"/>
      <c r="D170" s="418"/>
      <c r="E170" s="418"/>
      <c r="F170" s="418"/>
      <c r="G170" s="418"/>
      <c r="H170" s="418"/>
      <c r="I170" s="458">
        <f>SUM(I155:I169)</f>
        <v>2168.41</v>
      </c>
    </row>
    <row r="171" spans="1:9">
      <c r="A171" s="11"/>
      <c r="B171" s="11"/>
      <c r="C171" s="11"/>
      <c r="D171" s="90"/>
      <c r="E171" s="90"/>
      <c r="F171" s="90"/>
      <c r="G171" s="90"/>
      <c r="H171" s="90"/>
      <c r="I171" s="11"/>
    </row>
  </sheetData>
  <conditionalFormatting sqref="F139:F141 F163 F160 F157">
    <cfRule type="cellIs" dxfId="37" priority="11" operator="lessThan">
      <formula>D139</formula>
    </cfRule>
  </conditionalFormatting>
  <conditionalFormatting sqref="F134:F136">
    <cfRule type="cellIs" dxfId="36" priority="12" operator="lessThan">
      <formula>D134</formula>
    </cfRule>
  </conditionalFormatting>
  <conditionalFormatting sqref="F129">
    <cfRule type="cellIs" dxfId="35" priority="13" operator="lessThan">
      <formula>D129</formula>
    </cfRule>
  </conditionalFormatting>
  <conditionalFormatting sqref="F128">
    <cfRule type="cellIs" dxfId="34" priority="14" operator="lessThan">
      <formula>D128</formula>
    </cfRule>
  </conditionalFormatting>
  <conditionalFormatting sqref="F164 F125">
    <cfRule type="cellIs" dxfId="33" priority="15" operator="lessThan">
      <formula>D125</formula>
    </cfRule>
  </conditionalFormatting>
  <conditionalFormatting sqref="F155:F156">
    <cfRule type="cellIs" dxfId="32" priority="10" operator="lessThan">
      <formula>D155</formula>
    </cfRule>
  </conditionalFormatting>
  <conditionalFormatting sqref="F167:F168">
    <cfRule type="cellIs" dxfId="31" priority="9" operator="lessThan">
      <formula>D167</formula>
    </cfRule>
  </conditionalFormatting>
  <conditionalFormatting sqref="F158">
    <cfRule type="cellIs" dxfId="30" priority="8" operator="lessThan">
      <formula>D158</formula>
    </cfRule>
  </conditionalFormatting>
  <conditionalFormatting sqref="F159">
    <cfRule type="cellIs" dxfId="29" priority="7" operator="lessThan">
      <formula>D159</formula>
    </cfRule>
  </conditionalFormatting>
  <conditionalFormatting sqref="F161">
    <cfRule type="cellIs" dxfId="28" priority="6" operator="lessThan">
      <formula>D161</formula>
    </cfRule>
  </conditionalFormatting>
  <conditionalFormatting sqref="F162">
    <cfRule type="cellIs" dxfId="27" priority="5" operator="lessThan">
      <formula>D162</formula>
    </cfRule>
  </conditionalFormatting>
  <conditionalFormatting sqref="F124">
    <cfRule type="cellIs" dxfId="26" priority="4" operator="lessThan">
      <formula>D124</formula>
    </cfRule>
  </conditionalFormatting>
  <conditionalFormatting sqref="F166">
    <cfRule type="cellIs" dxfId="25" priority="3" operator="lessThan">
      <formula>D166</formula>
    </cfRule>
  </conditionalFormatting>
  <conditionalFormatting sqref="F165">
    <cfRule type="cellIs" dxfId="24" priority="2" operator="lessThan">
      <formula>D165</formula>
    </cfRule>
  </conditionalFormatting>
  <conditionalFormatting sqref="F126:F127">
    <cfRule type="cellIs" dxfId="23" priority="1" operator="lessThan">
      <formula>D126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7" tint="0.79998168889431442"/>
  </sheetPr>
  <dimension ref="A1:N173"/>
  <sheetViews>
    <sheetView topLeftCell="A61" zoomScale="145" zoomScaleNormal="145" workbookViewId="0">
      <selection activeCell="H143" sqref="H143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5" width="12.28515625" style="77"/>
    <col min="6" max="6" width="15" style="77" bestFit="1" customWidth="1"/>
    <col min="7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14">
      <c r="F1" s="77" t="s">
        <v>28</v>
      </c>
      <c r="G1" s="77" t="s">
        <v>29</v>
      </c>
      <c r="H1" s="77" t="s">
        <v>3</v>
      </c>
    </row>
    <row r="2" spans="1:14">
      <c r="A2" s="3" t="s">
        <v>104</v>
      </c>
      <c r="C2" s="79" t="s">
        <v>67</v>
      </c>
      <c r="D2" s="77">
        <f>SUM(D4:D31)</f>
        <v>45000</v>
      </c>
      <c r="E2" s="77">
        <f>SUM(E4:E32)</f>
        <v>-75400.399999999994</v>
      </c>
      <c r="F2" s="77">
        <f>SUM(F4:F32)</f>
        <v>30054.879999999997</v>
      </c>
      <c r="G2" s="77">
        <f>SUM(G4:G32)</f>
        <v>-96628.72</v>
      </c>
      <c r="H2" s="77">
        <f>F2+G2</f>
        <v>-66573.84</v>
      </c>
    </row>
    <row r="3" spans="1:14">
      <c r="B3" s="18"/>
    </row>
    <row r="4" spans="1:14">
      <c r="B4" s="41"/>
      <c r="H4" s="77">
        <f t="shared" ref="H4:H32" si="0">H3+F4+G4</f>
        <v>0</v>
      </c>
    </row>
    <row r="5" spans="1:14">
      <c r="B5" s="41"/>
      <c r="H5" s="77">
        <f t="shared" si="0"/>
        <v>0</v>
      </c>
    </row>
    <row r="6" spans="1:14">
      <c r="A6" s="80"/>
      <c r="B6" s="81"/>
      <c r="C6" s="82"/>
      <c r="D6" s="83"/>
      <c r="E6" s="83"/>
      <c r="H6" s="77">
        <f t="shared" si="0"/>
        <v>0</v>
      </c>
    </row>
    <row r="7" spans="1:14">
      <c r="A7" s="84">
        <v>45692</v>
      </c>
      <c r="B7" s="81" t="s">
        <v>68</v>
      </c>
      <c r="C7" s="85"/>
      <c r="D7" s="86"/>
      <c r="E7" s="86">
        <f>E37</f>
        <v>0</v>
      </c>
      <c r="F7" s="87"/>
      <c r="G7" s="87">
        <f>E7</f>
        <v>0</v>
      </c>
      <c r="H7" s="90">
        <f t="shared" si="0"/>
        <v>0</v>
      </c>
    </row>
    <row r="8" spans="1:14">
      <c r="A8" s="80">
        <v>45691</v>
      </c>
      <c r="B8" s="81" t="s">
        <v>69</v>
      </c>
      <c r="C8" s="85"/>
      <c r="D8" s="86"/>
      <c r="E8" s="86">
        <f>E52</f>
        <v>-29103.34</v>
      </c>
      <c r="F8" s="87"/>
      <c r="G8" s="87">
        <f>E8</f>
        <v>-29103.34</v>
      </c>
      <c r="H8" s="90">
        <f t="shared" si="0"/>
        <v>-29103.34</v>
      </c>
    </row>
    <row r="9" spans="1:14">
      <c r="A9" s="425">
        <v>45873</v>
      </c>
      <c r="B9" s="431" t="s">
        <v>1656</v>
      </c>
      <c r="C9" s="422"/>
      <c r="D9" s="384"/>
      <c r="E9" s="384"/>
      <c r="F9" s="384"/>
      <c r="G9" s="387">
        <v>-18000</v>
      </c>
      <c r="H9" s="90">
        <f t="shared" si="0"/>
        <v>-47103.34</v>
      </c>
    </row>
    <row r="10" spans="1:14">
      <c r="A10" s="391">
        <v>45692</v>
      </c>
      <c r="B10" s="392" t="s">
        <v>70</v>
      </c>
      <c r="C10" s="392"/>
      <c r="D10" s="387"/>
      <c r="E10" s="387">
        <v>-2117.06</v>
      </c>
      <c r="F10" s="87"/>
      <c r="G10" s="87">
        <v>-2116.98</v>
      </c>
      <c r="H10" s="87">
        <f t="shared" si="0"/>
        <v>-49220.32</v>
      </c>
    </row>
    <row r="11" spans="1:14" s="11" customFormat="1">
      <c r="A11" s="391">
        <v>45699</v>
      </c>
      <c r="B11" s="392" t="s">
        <v>1600</v>
      </c>
      <c r="C11" s="392"/>
      <c r="D11" s="387"/>
      <c r="E11" s="387">
        <v>-17500</v>
      </c>
      <c r="F11" s="77"/>
      <c r="G11" s="87">
        <v>-17500</v>
      </c>
      <c r="H11" s="87">
        <f t="shared" si="0"/>
        <v>-66720.320000000007</v>
      </c>
      <c r="K11" s="78"/>
      <c r="L11" s="78"/>
      <c r="M11" s="78"/>
      <c r="N11" s="78"/>
    </row>
    <row r="12" spans="1:14" s="11" customFormat="1">
      <c r="A12" s="391">
        <v>45699</v>
      </c>
      <c r="B12" s="392" t="s">
        <v>75</v>
      </c>
      <c r="C12" s="392"/>
      <c r="D12" s="387"/>
      <c r="E12" s="387">
        <v>-200</v>
      </c>
      <c r="F12" s="77"/>
      <c r="G12" s="87">
        <v>-391.01</v>
      </c>
      <c r="H12" s="87">
        <f t="shared" si="0"/>
        <v>-67111.33</v>
      </c>
      <c r="K12" s="78"/>
      <c r="L12" s="78"/>
      <c r="M12" s="78"/>
      <c r="N12" s="78"/>
    </row>
    <row r="13" spans="1:14" s="11" customFormat="1">
      <c r="A13" s="412"/>
      <c r="B13" s="435" t="s">
        <v>72</v>
      </c>
      <c r="C13" s="416"/>
      <c r="D13" s="384"/>
      <c r="E13" s="384">
        <v>0</v>
      </c>
      <c r="F13" s="90"/>
      <c r="G13" s="90"/>
      <c r="H13" s="87">
        <f t="shared" si="0"/>
        <v>-67111.33</v>
      </c>
      <c r="K13" s="78"/>
      <c r="L13" s="78"/>
      <c r="M13" s="78"/>
      <c r="N13" s="78"/>
    </row>
    <row r="14" spans="1:14" s="78" customFormat="1">
      <c r="A14" s="391">
        <v>45705</v>
      </c>
      <c r="B14" s="438" t="s">
        <v>114</v>
      </c>
      <c r="C14" s="438"/>
      <c r="D14" s="439">
        <v>15000</v>
      </c>
      <c r="E14" s="439"/>
      <c r="F14" s="439">
        <v>15000</v>
      </c>
      <c r="G14" s="87"/>
      <c r="H14" s="87">
        <f t="shared" si="0"/>
        <v>-52111.33</v>
      </c>
      <c r="I14"/>
      <c r="J14"/>
    </row>
    <row r="15" spans="1:14" s="78" customFormat="1">
      <c r="A15" s="391">
        <v>45705</v>
      </c>
      <c r="B15" s="411" t="s">
        <v>73</v>
      </c>
      <c r="C15" s="411"/>
      <c r="D15" s="387"/>
      <c r="E15" s="387">
        <v>-1000</v>
      </c>
      <c r="F15" s="87"/>
      <c r="G15" s="87">
        <v>-2305</v>
      </c>
      <c r="H15" s="87">
        <f t="shared" si="0"/>
        <v>-54416.33</v>
      </c>
    </row>
    <row r="16" spans="1:14" s="78" customFormat="1">
      <c r="A16" s="391">
        <v>45705</v>
      </c>
      <c r="B16" s="411" t="s">
        <v>74</v>
      </c>
      <c r="C16" s="411"/>
      <c r="D16" s="387"/>
      <c r="E16" s="387">
        <v>-200</v>
      </c>
      <c r="F16" s="87"/>
      <c r="G16" s="87">
        <v>-40</v>
      </c>
      <c r="H16" s="87">
        <f t="shared" si="0"/>
        <v>-54456.33</v>
      </c>
    </row>
    <row r="17" spans="1:13" s="78" customFormat="1">
      <c r="A17" s="391">
        <v>45709</v>
      </c>
      <c r="B17" s="436" t="s">
        <v>1674</v>
      </c>
      <c r="C17" s="436"/>
      <c r="D17" s="387"/>
      <c r="E17" s="387"/>
      <c r="F17" s="387"/>
      <c r="G17" s="387">
        <v>-2391.39</v>
      </c>
      <c r="H17" s="87">
        <f t="shared" si="0"/>
        <v>-56847.72</v>
      </c>
    </row>
    <row r="18" spans="1:13" s="78" customFormat="1">
      <c r="A18" s="88"/>
      <c r="H18" s="87">
        <f t="shared" si="0"/>
        <v>-56847.72</v>
      </c>
    </row>
    <row r="19" spans="1:13" s="78" customFormat="1">
      <c r="A19" s="412"/>
      <c r="B19" s="416" t="s">
        <v>76</v>
      </c>
      <c r="C19" s="416"/>
      <c r="D19" s="384">
        <v>15000</v>
      </c>
      <c r="E19" s="384"/>
      <c r="F19" s="77">
        <v>15054.88</v>
      </c>
      <c r="G19" s="77"/>
      <c r="H19" s="87">
        <f t="shared" si="0"/>
        <v>-41792.840000000004</v>
      </c>
      <c r="J19" s="94"/>
      <c r="K19" s="94"/>
      <c r="L19" s="95"/>
      <c r="M19" s="96"/>
    </row>
    <row r="20" spans="1:13" s="78" customFormat="1">
      <c r="A20" s="415"/>
      <c r="B20" s="416" t="s">
        <v>77</v>
      </c>
      <c r="C20" s="416"/>
      <c r="D20" s="384"/>
      <c r="E20" s="384">
        <v>-7500</v>
      </c>
      <c r="F20" s="77"/>
      <c r="G20" s="77">
        <v>-7502</v>
      </c>
      <c r="H20" s="87">
        <f t="shared" si="0"/>
        <v>-49294.840000000004</v>
      </c>
      <c r="J20" s="94"/>
      <c r="K20" s="94"/>
      <c r="L20" s="95"/>
      <c r="M20" s="96"/>
    </row>
    <row r="21" spans="1:13" s="78" customFormat="1">
      <c r="A21" s="415"/>
      <c r="B21" s="416" t="s">
        <v>78</v>
      </c>
      <c r="C21" s="416"/>
      <c r="D21" s="384"/>
      <c r="E21" s="384">
        <v>-7500</v>
      </c>
      <c r="F21" s="77"/>
      <c r="G21" s="77">
        <v>-7502</v>
      </c>
      <c r="H21" s="87">
        <f t="shared" si="0"/>
        <v>-56796.840000000004</v>
      </c>
      <c r="J21" s="94"/>
      <c r="K21" s="94"/>
      <c r="L21" s="95"/>
      <c r="M21" s="96"/>
    </row>
    <row r="22" spans="1:13" s="78" customFormat="1">
      <c r="A22" s="415"/>
      <c r="B22" s="416" t="s">
        <v>79</v>
      </c>
      <c r="C22" s="416"/>
      <c r="D22" s="384"/>
      <c r="E22" s="384">
        <v>-7500</v>
      </c>
      <c r="F22" s="77"/>
      <c r="G22" s="77">
        <v>-7502</v>
      </c>
      <c r="H22" s="87">
        <f t="shared" si="0"/>
        <v>-64298.840000000004</v>
      </c>
      <c r="J22" s="94"/>
      <c r="K22" s="94"/>
      <c r="L22" s="95"/>
      <c r="M22" s="96"/>
    </row>
    <row r="23" spans="1:13" s="78" customFormat="1">
      <c r="A23" s="415"/>
      <c r="B23" s="416"/>
      <c r="C23" s="416"/>
      <c r="D23" s="384"/>
      <c r="E23" s="384"/>
      <c r="F23" s="77"/>
      <c r="G23" s="77"/>
      <c r="H23" s="87">
        <f t="shared" si="0"/>
        <v>-64298.840000000004</v>
      </c>
      <c r="J23" s="94"/>
      <c r="K23" s="94"/>
      <c r="L23" s="95"/>
      <c r="M23" s="96"/>
    </row>
    <row r="24" spans="1:13" s="78" customFormat="1">
      <c r="A24" s="413"/>
      <c r="B24" s="416"/>
      <c r="C24" s="416"/>
      <c r="D24" s="384"/>
      <c r="E24" s="384"/>
      <c r="F24" s="77"/>
      <c r="G24" s="77"/>
      <c r="H24" s="87">
        <f t="shared" si="0"/>
        <v>-64298.840000000004</v>
      </c>
      <c r="J24" s="94"/>
      <c r="K24" s="94"/>
      <c r="L24" s="95"/>
      <c r="M24" s="96"/>
    </row>
    <row r="25" spans="1:13" s="78" customFormat="1">
      <c r="A25" s="414">
        <v>45716</v>
      </c>
      <c r="B25" s="416" t="s">
        <v>98</v>
      </c>
      <c r="C25" s="416" t="s">
        <v>1681</v>
      </c>
      <c r="D25" s="384"/>
      <c r="E25" s="384">
        <v>-1380</v>
      </c>
      <c r="F25" s="77"/>
      <c r="G25" s="77">
        <v>-1380</v>
      </c>
      <c r="H25" s="87">
        <f t="shared" si="0"/>
        <v>-65678.84</v>
      </c>
      <c r="J25" s="94"/>
      <c r="K25" s="94"/>
      <c r="L25" s="95"/>
      <c r="M25" s="96"/>
    </row>
    <row r="26" spans="1:13" s="78" customFormat="1">
      <c r="A26" s="414">
        <v>45716</v>
      </c>
      <c r="B26" s="437" t="s">
        <v>80</v>
      </c>
      <c r="C26" s="437"/>
      <c r="D26" s="384"/>
      <c r="E26" s="384">
        <v>-600</v>
      </c>
      <c r="F26" s="77"/>
      <c r="G26" s="77">
        <v>-325</v>
      </c>
      <c r="H26" s="77">
        <f t="shared" si="0"/>
        <v>-66003.839999999997</v>
      </c>
      <c r="J26" s="94"/>
      <c r="K26" s="94"/>
      <c r="L26" s="95"/>
      <c r="M26" s="96"/>
    </row>
    <row r="27" spans="1:13" s="78" customFormat="1">
      <c r="A27" s="414">
        <v>45716</v>
      </c>
      <c r="B27" s="437" t="s">
        <v>81</v>
      </c>
      <c r="C27" s="437"/>
      <c r="D27" s="384"/>
      <c r="E27" s="384">
        <v>-800</v>
      </c>
      <c r="F27" s="77"/>
      <c r="G27" s="77">
        <v>-570</v>
      </c>
      <c r="H27" s="77">
        <f t="shared" si="0"/>
        <v>-66573.84</v>
      </c>
      <c r="J27" s="94"/>
      <c r="K27" s="94"/>
      <c r="L27" s="95"/>
      <c r="M27" s="96"/>
    </row>
    <row r="28" spans="1:13" s="78" customFormat="1">
      <c r="B28" s="417" t="s">
        <v>107</v>
      </c>
      <c r="C28" s="417"/>
      <c r="D28" s="418">
        <v>15000</v>
      </c>
      <c r="E28" s="77"/>
      <c r="F28" s="77"/>
      <c r="G28" s="77"/>
      <c r="H28" s="77">
        <f t="shared" si="0"/>
        <v>-66573.84</v>
      </c>
    </row>
    <row r="29" spans="1:13" s="78" customFormat="1">
      <c r="D29" s="77"/>
      <c r="E29" s="77"/>
      <c r="F29" s="77"/>
      <c r="G29" s="77"/>
      <c r="H29" s="77">
        <f t="shared" si="0"/>
        <v>-66573.84</v>
      </c>
    </row>
    <row r="30" spans="1:13">
      <c r="A30" s="100"/>
      <c r="B30" s="101" t="s">
        <v>1662</v>
      </c>
      <c r="C30" s="101"/>
      <c r="H30" s="77">
        <f t="shared" si="0"/>
        <v>-66573.84</v>
      </c>
      <c r="I30" s="78"/>
      <c r="J30" s="78"/>
    </row>
    <row r="31" spans="1:13">
      <c r="A31" s="100"/>
      <c r="H31" s="77">
        <f t="shared" si="0"/>
        <v>-66573.84</v>
      </c>
    </row>
    <row r="32" spans="1:13" s="78" customFormat="1">
      <c r="A32"/>
      <c r="E32" s="77"/>
      <c r="F32" s="77"/>
      <c r="G32" s="77"/>
      <c r="H32" s="77">
        <f t="shared" si="0"/>
        <v>-66573.84</v>
      </c>
      <c r="I32"/>
      <c r="J32"/>
    </row>
    <row r="33" spans="1:14" s="78" customFormat="1">
      <c r="B33" s="101"/>
      <c r="C33" s="101"/>
      <c r="D33" s="77"/>
      <c r="E33" s="77"/>
      <c r="F33" s="77"/>
      <c r="G33" s="77"/>
      <c r="H33" s="77"/>
      <c r="J33" s="94"/>
      <c r="K33" s="94"/>
      <c r="L33" s="95"/>
      <c r="M33" s="96"/>
    </row>
    <row r="34" spans="1:14" s="78" customFormat="1">
      <c r="A34" s="98"/>
      <c r="D34" s="77"/>
      <c r="E34" s="77"/>
      <c r="F34" s="77"/>
      <c r="G34" s="77"/>
      <c r="H34" s="77"/>
    </row>
    <row r="35" spans="1:14" s="77" customFormat="1">
      <c r="A35" s="88"/>
      <c r="B35" s="78"/>
      <c r="C35" s="78"/>
      <c r="H35" s="77">
        <v>15000</v>
      </c>
      <c r="I35" s="78"/>
      <c r="J35" s="78"/>
      <c r="K35" s="78"/>
      <c r="L35" s="78"/>
      <c r="M35" s="78"/>
      <c r="N35" s="78"/>
    </row>
    <row r="36" spans="1:14" s="77" customFormat="1">
      <c r="B36" s="102"/>
      <c r="G36" s="77" t="s">
        <v>1663</v>
      </c>
      <c r="H36" s="427">
        <v>0.5635</v>
      </c>
      <c r="K36" s="78"/>
      <c r="L36" s="78"/>
      <c r="M36" s="78"/>
      <c r="N36" s="78"/>
    </row>
    <row r="37" spans="1:14">
      <c r="A37" s="103"/>
      <c r="B37" s="104" t="s">
        <v>83</v>
      </c>
      <c r="C37" s="103"/>
      <c r="E37" s="77">
        <f>SUM(E38:E49)</f>
        <v>0</v>
      </c>
      <c r="H37" s="77">
        <f>H36*H35</f>
        <v>8452.5</v>
      </c>
      <c r="I37" s="77"/>
      <c r="J37" s="77"/>
    </row>
    <row r="38" spans="1:14" s="77" customFormat="1" ht="15">
      <c r="A38"/>
      <c r="B38"/>
      <c r="C38"/>
      <c r="E38" s="105" t="s">
        <v>84</v>
      </c>
      <c r="G38" s="77" t="s">
        <v>1664</v>
      </c>
      <c r="H38" s="77">
        <f>SUM(H37+H35)</f>
        <v>23452.5</v>
      </c>
      <c r="I38"/>
      <c r="J38"/>
      <c r="K38" s="78"/>
      <c r="L38" s="78"/>
      <c r="M38" s="78"/>
      <c r="N38" s="78"/>
    </row>
    <row r="39" spans="1:14" s="77" customFormat="1">
      <c r="A39" s="88"/>
      <c r="K39" s="78"/>
      <c r="L39" s="78"/>
      <c r="M39" s="78"/>
      <c r="N39" s="78"/>
    </row>
    <row r="40" spans="1:14" s="77" customFormat="1">
      <c r="A40" s="88"/>
      <c r="K40" s="78"/>
      <c r="L40" s="78"/>
      <c r="M40" s="78"/>
      <c r="N40" s="78"/>
    </row>
    <row r="41" spans="1:14" s="77" customFormat="1">
      <c r="A41" s="88"/>
      <c r="K41" s="78"/>
      <c r="L41" s="78"/>
      <c r="M41" s="78"/>
      <c r="N41" s="78"/>
    </row>
    <row r="42" spans="1:14">
      <c r="A42" s="88"/>
      <c r="I42" s="77"/>
      <c r="J42" s="77"/>
    </row>
    <row r="43" spans="1:14" s="77" customFormat="1">
      <c r="A43"/>
      <c r="I43"/>
      <c r="J43"/>
      <c r="K43" s="78"/>
      <c r="L43" s="78"/>
      <c r="M43" s="78"/>
      <c r="N43" s="78"/>
    </row>
    <row r="44" spans="1:14" s="77" customFormat="1">
      <c r="A44" s="100"/>
      <c r="B44" s="106"/>
      <c r="C44" s="106"/>
      <c r="K44" s="78"/>
      <c r="L44" s="78"/>
      <c r="M44" s="78"/>
      <c r="N44" s="78"/>
    </row>
    <row r="45" spans="1:14" s="77" customFormat="1">
      <c r="A45" s="100"/>
      <c r="B45" s="106"/>
      <c r="C45" s="106"/>
      <c r="K45" s="78"/>
      <c r="L45" s="78"/>
      <c r="M45" s="78"/>
      <c r="N45" s="78"/>
    </row>
    <row r="46" spans="1:14" s="77" customFormat="1">
      <c r="A46" s="100"/>
      <c r="B46" s="107"/>
      <c r="C46" s="106"/>
      <c r="K46" s="78"/>
      <c r="L46" s="78"/>
      <c r="M46" s="78"/>
      <c r="N46" s="78"/>
    </row>
    <row r="47" spans="1:14" s="77" customFormat="1">
      <c r="A47" s="100"/>
      <c r="B47" s="107"/>
      <c r="C47" s="106"/>
      <c r="K47" s="78"/>
      <c r="L47" s="78"/>
      <c r="M47" s="78"/>
      <c r="N47" s="78"/>
    </row>
    <row r="48" spans="1:14" s="77" customFormat="1">
      <c r="A48" s="100"/>
      <c r="B48" s="107"/>
      <c r="K48" s="78"/>
      <c r="L48" s="78"/>
      <c r="M48" s="78"/>
      <c r="N48" s="78"/>
    </row>
    <row r="49" spans="1:14" s="77" customFormat="1">
      <c r="A49" s="100"/>
      <c r="B49" s="107"/>
      <c r="C49" s="106"/>
      <c r="K49" s="78"/>
      <c r="L49" s="78"/>
      <c r="M49" s="78"/>
      <c r="N49" s="78"/>
    </row>
    <row r="50" spans="1:14" s="77" customFormat="1">
      <c r="A50" s="100"/>
      <c r="B50" s="3"/>
      <c r="K50" s="78"/>
      <c r="L50" s="78"/>
      <c r="M50" s="78"/>
      <c r="N50" s="78"/>
    </row>
    <row r="51" spans="1:14" s="77" customFormat="1">
      <c r="A51" s="100"/>
      <c r="B51" s="106"/>
      <c r="C51" s="106"/>
      <c r="K51" s="78"/>
      <c r="L51" s="78"/>
      <c r="M51" s="78"/>
      <c r="N51" s="78"/>
    </row>
    <row r="52" spans="1:14" s="77" customFormat="1">
      <c r="A52" s="103"/>
      <c r="B52" s="104" t="s">
        <v>85</v>
      </c>
      <c r="C52" s="103"/>
      <c r="E52" s="77">
        <f>SUM(E53:E98)</f>
        <v>-29103.34</v>
      </c>
      <c r="K52" s="78"/>
      <c r="L52" s="78"/>
      <c r="M52" s="78"/>
      <c r="N52" s="78"/>
    </row>
    <row r="53" spans="1:14" s="77" customFormat="1">
      <c r="A53" s="100"/>
      <c r="B53" s="106"/>
      <c r="C53" s="106"/>
      <c r="K53" s="78"/>
      <c r="L53" s="78"/>
      <c r="M53" s="78"/>
      <c r="N53" s="78"/>
    </row>
    <row r="54" spans="1:14" s="90" customFormat="1">
      <c r="A54" s="100"/>
      <c r="B54" s="106"/>
      <c r="C54" s="106"/>
      <c r="K54" s="78"/>
      <c r="L54" s="78"/>
      <c r="M54" s="78"/>
      <c r="N54" s="78"/>
    </row>
    <row r="55" spans="1:14" s="90" customFormat="1">
      <c r="A55" s="100"/>
      <c r="B55" s="106"/>
      <c r="C55" s="106"/>
      <c r="K55" s="78"/>
      <c r="L55" s="78"/>
      <c r="M55" s="78"/>
      <c r="N55" s="78"/>
    </row>
    <row r="56" spans="1:14" s="90" customFormat="1">
      <c r="A56" s="100">
        <v>46018</v>
      </c>
      <c r="B56" s="106" t="s">
        <v>1636</v>
      </c>
      <c r="C56" s="106"/>
      <c r="E56" s="90">
        <v>-135</v>
      </c>
      <c r="K56" s="78"/>
      <c r="L56" s="78"/>
      <c r="M56" s="78"/>
      <c r="N56" s="78"/>
    </row>
    <row r="57" spans="1:14" s="90" customFormat="1">
      <c r="A57" s="100">
        <v>46016</v>
      </c>
      <c r="B57" s="106" t="s">
        <v>1635</v>
      </c>
      <c r="C57" s="106"/>
      <c r="E57" s="90">
        <v>-240</v>
      </c>
      <c r="K57" s="78"/>
      <c r="L57" s="78"/>
      <c r="M57" s="78"/>
      <c r="N57" s="78"/>
    </row>
    <row r="58" spans="1:14" s="77" customFormat="1">
      <c r="A58" s="100">
        <v>46015</v>
      </c>
      <c r="B58" s="106" t="s">
        <v>1634</v>
      </c>
      <c r="C58" s="106"/>
      <c r="E58" s="77">
        <v>-550</v>
      </c>
      <c r="K58" s="78"/>
      <c r="L58" s="78"/>
      <c r="M58" s="78"/>
      <c r="N58" s="78"/>
    </row>
    <row r="59" spans="1:14" s="77" customFormat="1">
      <c r="A59" s="100">
        <v>46020</v>
      </c>
      <c r="B59" s="3" t="s">
        <v>1616</v>
      </c>
      <c r="C59" s="106"/>
      <c r="E59" s="77">
        <v>-12762</v>
      </c>
      <c r="F59" s="77">
        <v>0</v>
      </c>
      <c r="K59" s="78"/>
      <c r="L59" s="78"/>
      <c r="M59" s="78"/>
      <c r="N59" s="78"/>
    </row>
    <row r="60" spans="1:14" s="77" customFormat="1">
      <c r="A60" s="100">
        <v>46021</v>
      </c>
      <c r="B60" s="3" t="s">
        <v>1615</v>
      </c>
      <c r="C60" s="106"/>
      <c r="E60" s="77">
        <v>-120</v>
      </c>
      <c r="K60" s="78"/>
      <c r="L60" s="78"/>
      <c r="M60" s="78"/>
      <c r="N60" s="78"/>
    </row>
    <row r="61" spans="1:14" s="77" customFormat="1">
      <c r="A61" s="100">
        <v>46022</v>
      </c>
      <c r="B61" s="92" t="s">
        <v>1618</v>
      </c>
      <c r="C61" s="106"/>
      <c r="E61" s="77">
        <v>-3741</v>
      </c>
      <c r="F61" s="77">
        <v>0</v>
      </c>
      <c r="K61" s="78"/>
      <c r="L61" s="78"/>
      <c r="M61" s="78"/>
      <c r="N61" s="78"/>
    </row>
    <row r="62" spans="1:14" s="77" customFormat="1">
      <c r="A62" s="100">
        <v>46022</v>
      </c>
      <c r="B62" s="92" t="s">
        <v>1617</v>
      </c>
      <c r="C62" s="106"/>
      <c r="E62" s="77">
        <v>-3741</v>
      </c>
      <c r="F62" s="77">
        <v>0</v>
      </c>
      <c r="K62" s="78"/>
      <c r="L62" s="78"/>
      <c r="M62" s="78"/>
      <c r="N62" s="78"/>
    </row>
    <row r="63" spans="1:14" s="77" customFormat="1">
      <c r="A63" s="100">
        <v>46022</v>
      </c>
      <c r="B63" s="3" t="s">
        <v>1619</v>
      </c>
      <c r="C63" s="106"/>
      <c r="E63" s="77">
        <v>-560</v>
      </c>
      <c r="K63" s="78"/>
      <c r="L63" s="78"/>
      <c r="M63" s="78"/>
      <c r="N63" s="78"/>
    </row>
    <row r="64" spans="1:14" s="90" customFormat="1">
      <c r="A64" s="100">
        <v>45658</v>
      </c>
      <c r="B64" s="92" t="s">
        <v>128</v>
      </c>
      <c r="C64" s="106"/>
      <c r="E64" s="90">
        <v>-177.87</v>
      </c>
      <c r="K64" s="78"/>
      <c r="L64" s="78"/>
      <c r="M64" s="78"/>
      <c r="N64" s="78"/>
    </row>
    <row r="65" spans="1:14" s="77" customFormat="1">
      <c r="A65" s="100">
        <v>45658</v>
      </c>
      <c r="B65" s="3" t="s">
        <v>1637</v>
      </c>
      <c r="C65" s="106"/>
      <c r="D65" s="77">
        <v>69.13</v>
      </c>
      <c r="K65" s="78"/>
      <c r="L65" s="78"/>
      <c r="M65" s="78"/>
      <c r="N65" s="78"/>
    </row>
    <row r="66" spans="1:14" s="77" customFormat="1">
      <c r="A66" s="100">
        <v>45659</v>
      </c>
      <c r="B66" s="92" t="s">
        <v>128</v>
      </c>
      <c r="C66" s="106"/>
      <c r="E66" s="77">
        <v>-470</v>
      </c>
      <c r="K66" s="78"/>
      <c r="L66" s="78"/>
      <c r="M66" s="78"/>
      <c r="N66" s="78"/>
    </row>
    <row r="67" spans="1:14" s="77" customFormat="1">
      <c r="A67" s="100">
        <v>45660</v>
      </c>
      <c r="B67" s="3" t="s">
        <v>1620</v>
      </c>
      <c r="C67" s="106"/>
      <c r="E67" s="77">
        <v>-70</v>
      </c>
      <c r="K67" s="78"/>
      <c r="L67" s="78"/>
      <c r="M67" s="78"/>
      <c r="N67" s="78"/>
    </row>
    <row r="68" spans="1:14" s="90" customFormat="1">
      <c r="A68" s="100">
        <v>45660</v>
      </c>
      <c r="B68" s="92" t="s">
        <v>130</v>
      </c>
      <c r="C68" s="106"/>
      <c r="D68" s="90">
        <v>7885.34</v>
      </c>
      <c r="K68" s="78"/>
      <c r="L68" s="78"/>
      <c r="M68" s="78"/>
      <c r="N68" s="78"/>
    </row>
    <row r="69" spans="1:14" s="77" customFormat="1">
      <c r="A69" s="100">
        <v>45664</v>
      </c>
      <c r="B69" s="3" t="s">
        <v>1621</v>
      </c>
      <c r="C69" s="106"/>
      <c r="E69" s="77">
        <v>-230</v>
      </c>
      <c r="K69" s="78"/>
      <c r="L69" s="78"/>
      <c r="M69" s="78"/>
      <c r="N69" s="78"/>
    </row>
    <row r="70" spans="1:14" s="90" customFormat="1">
      <c r="A70" s="100">
        <v>45666</v>
      </c>
      <c r="B70" s="92" t="s">
        <v>1620</v>
      </c>
      <c r="C70" s="106"/>
      <c r="E70" s="90">
        <v>-70</v>
      </c>
      <c r="K70" s="78"/>
      <c r="L70" s="78"/>
      <c r="M70" s="78"/>
      <c r="N70" s="78"/>
    </row>
    <row r="71" spans="1:14" s="90" customFormat="1">
      <c r="A71" s="100">
        <v>45667</v>
      </c>
      <c r="B71" s="92" t="s">
        <v>1622</v>
      </c>
      <c r="C71" s="106"/>
      <c r="E71" s="90">
        <v>-1000</v>
      </c>
      <c r="F71" s="90">
        <v>0</v>
      </c>
      <c r="K71" s="78"/>
      <c r="L71" s="78"/>
      <c r="M71" s="78"/>
      <c r="N71" s="78"/>
    </row>
    <row r="72" spans="1:14" s="90" customFormat="1">
      <c r="A72" s="100">
        <v>45667</v>
      </c>
      <c r="B72" s="92" t="s">
        <v>1623</v>
      </c>
      <c r="C72" s="106"/>
      <c r="E72" s="90">
        <v>-75</v>
      </c>
      <c r="K72" s="78"/>
      <c r="L72" s="78"/>
      <c r="M72" s="78"/>
      <c r="N72" s="78"/>
    </row>
    <row r="73" spans="1:14" s="90" customFormat="1">
      <c r="A73" s="100">
        <v>45667</v>
      </c>
      <c r="B73" s="92" t="s">
        <v>1624</v>
      </c>
      <c r="C73" s="106"/>
      <c r="E73" s="90">
        <v>-400</v>
      </c>
      <c r="K73" s="78"/>
      <c r="L73" s="78"/>
      <c r="M73" s="78"/>
      <c r="N73" s="78"/>
    </row>
    <row r="74" spans="1:14" s="90" customFormat="1">
      <c r="A74" s="100">
        <v>45669</v>
      </c>
      <c r="B74" s="92" t="s">
        <v>1625</v>
      </c>
      <c r="C74" s="106"/>
      <c r="E74" s="90">
        <v>-2529.9699999999998</v>
      </c>
      <c r="K74" s="78"/>
      <c r="L74" s="78"/>
      <c r="M74" s="78"/>
      <c r="N74" s="78"/>
    </row>
    <row r="75" spans="1:14" s="90" customFormat="1">
      <c r="A75" s="100">
        <v>45669</v>
      </c>
      <c r="B75" s="92" t="s">
        <v>1626</v>
      </c>
      <c r="C75" s="106"/>
      <c r="E75" s="90">
        <v>-970</v>
      </c>
      <c r="K75" s="78"/>
      <c r="L75" s="78"/>
      <c r="M75" s="78"/>
      <c r="N75" s="78"/>
    </row>
    <row r="76" spans="1:14" s="77" customFormat="1">
      <c r="A76" s="100">
        <v>45669</v>
      </c>
      <c r="B76" s="92" t="s">
        <v>1627</v>
      </c>
      <c r="C76" s="106"/>
      <c r="E76" s="77">
        <v>-970</v>
      </c>
      <c r="K76" s="78"/>
      <c r="L76" s="78"/>
      <c r="M76" s="78"/>
      <c r="N76" s="78"/>
    </row>
    <row r="77" spans="1:14" s="77" customFormat="1">
      <c r="A77" s="100">
        <v>45670</v>
      </c>
      <c r="B77" s="3" t="s">
        <v>1623</v>
      </c>
      <c r="C77" s="106"/>
      <c r="E77" s="77">
        <v>-60</v>
      </c>
      <c r="K77" s="78"/>
      <c r="L77" s="78"/>
      <c r="M77" s="78"/>
      <c r="N77" s="78"/>
    </row>
    <row r="78" spans="1:14" s="90" customFormat="1">
      <c r="A78" s="100">
        <v>45672</v>
      </c>
      <c r="B78" s="92" t="s">
        <v>1629</v>
      </c>
      <c r="C78" s="106"/>
      <c r="E78" s="90">
        <v>-794</v>
      </c>
      <c r="F78" s="90">
        <v>0</v>
      </c>
      <c r="K78" s="78"/>
      <c r="L78" s="78"/>
      <c r="M78" s="78"/>
      <c r="N78" s="78"/>
    </row>
    <row r="79" spans="1:14" s="90" customFormat="1">
      <c r="A79" s="100">
        <v>45672</v>
      </c>
      <c r="B79" s="92" t="s">
        <v>1628</v>
      </c>
      <c r="C79" s="106"/>
      <c r="E79" s="90">
        <v>1762</v>
      </c>
      <c r="F79" s="90">
        <v>0</v>
      </c>
      <c r="K79" s="78"/>
      <c r="L79" s="78"/>
      <c r="M79" s="78"/>
      <c r="N79" s="78"/>
    </row>
    <row r="80" spans="1:14" s="90" customFormat="1">
      <c r="A80" s="100">
        <v>45672</v>
      </c>
      <c r="B80" s="92" t="s">
        <v>1615</v>
      </c>
      <c r="C80" s="106"/>
      <c r="E80" s="90">
        <v>-120</v>
      </c>
      <c r="K80" s="78"/>
      <c r="L80" s="78"/>
      <c r="M80" s="78"/>
      <c r="N80" s="78"/>
    </row>
    <row r="81" spans="1:14" s="90" customFormat="1">
      <c r="A81" s="100">
        <v>45673</v>
      </c>
      <c r="B81" s="92" t="s">
        <v>1620</v>
      </c>
      <c r="C81" s="106"/>
      <c r="E81" s="90">
        <v>-70</v>
      </c>
      <c r="K81" s="78"/>
      <c r="L81" s="78"/>
      <c r="M81" s="78"/>
      <c r="N81" s="78"/>
    </row>
    <row r="82" spans="1:14" s="90" customFormat="1">
      <c r="A82" s="100">
        <v>45673</v>
      </c>
      <c r="B82" s="92" t="s">
        <v>415</v>
      </c>
      <c r="C82" s="106"/>
      <c r="E82" s="90">
        <v>-385</v>
      </c>
      <c r="K82" s="78"/>
      <c r="L82" s="78"/>
      <c r="M82" s="78"/>
      <c r="N82" s="78"/>
    </row>
    <row r="83" spans="1:14" s="90" customFormat="1">
      <c r="A83" s="100">
        <v>45674</v>
      </c>
      <c r="B83" s="92" t="s">
        <v>135</v>
      </c>
      <c r="C83" s="106"/>
      <c r="E83" s="90">
        <v>-100</v>
      </c>
      <c r="K83" s="78"/>
      <c r="L83" s="78"/>
      <c r="M83" s="78"/>
      <c r="N83" s="78"/>
    </row>
    <row r="84" spans="1:14" s="90" customFormat="1">
      <c r="A84" s="100">
        <v>45677</v>
      </c>
      <c r="B84" s="92" t="s">
        <v>1621</v>
      </c>
      <c r="C84" s="106"/>
      <c r="E84" s="90">
        <v>-230</v>
      </c>
      <c r="K84" s="78"/>
      <c r="L84" s="78"/>
      <c r="M84" s="78"/>
      <c r="N84" s="78"/>
    </row>
    <row r="85" spans="1:14" s="90" customFormat="1">
      <c r="A85" s="100">
        <v>45677</v>
      </c>
      <c r="B85" s="92" t="s">
        <v>128</v>
      </c>
      <c r="C85" s="106"/>
      <c r="E85" s="90">
        <v>-174.5</v>
      </c>
      <c r="K85" s="78"/>
      <c r="L85" s="78"/>
      <c r="M85" s="78"/>
      <c r="N85" s="78"/>
    </row>
    <row r="86" spans="1:14" s="90" customFormat="1">
      <c r="A86" s="100">
        <v>45678</v>
      </c>
      <c r="B86" s="92" t="s">
        <v>1630</v>
      </c>
      <c r="C86" s="106"/>
      <c r="E86" s="90">
        <v>-120</v>
      </c>
      <c r="K86" s="78"/>
      <c r="L86" s="78"/>
      <c r="M86" s="78"/>
      <c r="N86" s="78"/>
    </row>
    <row r="87" spans="1:14" s="90" customFormat="1" ht="15">
      <c r="E87" s="105" t="s">
        <v>84</v>
      </c>
      <c r="K87" s="78"/>
      <c r="L87" s="78"/>
      <c r="M87" s="78"/>
      <c r="N87" s="78"/>
    </row>
    <row r="88" spans="1:14" s="90" customFormat="1">
      <c r="K88" s="78"/>
      <c r="L88" s="78"/>
      <c r="M88" s="78"/>
      <c r="N88" s="78"/>
    </row>
    <row r="89" spans="1:14" s="90" customFormat="1">
      <c r="K89" s="78"/>
      <c r="L89" s="78"/>
      <c r="M89" s="78"/>
      <c r="N89" s="78"/>
    </row>
    <row r="90" spans="1:14" s="90" customFormat="1">
      <c r="K90" s="78"/>
      <c r="L90" s="78"/>
      <c r="M90" s="78"/>
      <c r="N90" s="78"/>
    </row>
    <row r="91" spans="1:14" s="90" customFormat="1">
      <c r="K91" s="78"/>
      <c r="L91" s="78"/>
      <c r="M91" s="78"/>
      <c r="N91" s="78"/>
    </row>
    <row r="92" spans="1:14" s="90" customFormat="1">
      <c r="A92" s="100"/>
      <c r="B92" s="92"/>
      <c r="C92" s="106"/>
      <c r="K92" s="78"/>
      <c r="L92" s="78"/>
      <c r="M92" s="78"/>
      <c r="N92" s="78"/>
    </row>
    <row r="93" spans="1:14" s="77" customFormat="1">
      <c r="A93" s="100"/>
      <c r="B93" s="3"/>
      <c r="C93" s="106"/>
      <c r="K93" s="78"/>
      <c r="L93" s="78"/>
      <c r="M93" s="78"/>
      <c r="N93" s="78"/>
    </row>
    <row r="94" spans="1:14" s="77" customFormat="1">
      <c r="A94" s="100"/>
      <c r="B94" s="3"/>
      <c r="C94" s="106"/>
      <c r="K94" s="78"/>
      <c r="L94" s="78"/>
      <c r="M94" s="78"/>
      <c r="N94" s="78"/>
    </row>
    <row r="95" spans="1:14" s="77" customFormat="1">
      <c r="A95" s="100"/>
      <c r="B95" s="3"/>
      <c r="C95" s="106"/>
      <c r="K95" s="78"/>
      <c r="L95" s="78"/>
      <c r="M95" s="78"/>
      <c r="N95" s="78"/>
    </row>
    <row r="96" spans="1:14" s="77" customFormat="1">
      <c r="A96" s="100"/>
      <c r="B96" s="3"/>
      <c r="C96" s="106"/>
      <c r="K96" s="78"/>
      <c r="L96" s="78"/>
      <c r="M96" s="78"/>
      <c r="N96" s="78"/>
    </row>
    <row r="97" spans="1:14" s="77" customFormat="1">
      <c r="A97" s="100"/>
      <c r="B97" s="3"/>
      <c r="C97" s="106"/>
      <c r="K97" s="78"/>
      <c r="L97" s="78"/>
      <c r="M97" s="78"/>
      <c r="N97" s="78"/>
    </row>
    <row r="98" spans="1:14">
      <c r="A98" s="100"/>
      <c r="B98" s="3"/>
      <c r="C98" s="106"/>
      <c r="I98" s="77"/>
      <c r="J98" s="77"/>
    </row>
    <row r="112" spans="1:14">
      <c r="A112" s="113" t="s">
        <v>1651</v>
      </c>
      <c r="B112" s="104" t="s">
        <v>137</v>
      </c>
      <c r="C112" s="103">
        <v>2025</v>
      </c>
      <c r="D112" s="90"/>
      <c r="E112" s="90"/>
      <c r="F112" s="90"/>
      <c r="G112" s="90">
        <f>SUM(G116:G142)</f>
        <v>857724.06030999997</v>
      </c>
      <c r="H112" s="90"/>
      <c r="I112" s="90"/>
    </row>
    <row r="113" spans="1:14">
      <c r="A113" s="113"/>
      <c r="B113" s="104"/>
      <c r="C113" s="103"/>
      <c r="D113" s="90"/>
      <c r="E113" s="90"/>
      <c r="F113" s="90"/>
      <c r="G113" s="90"/>
      <c r="H113" s="90"/>
      <c r="I113" s="90"/>
    </row>
    <row r="114" spans="1:14">
      <c r="A114" s="113"/>
      <c r="B114" s="104"/>
      <c r="C114" s="103"/>
      <c r="D114" s="90"/>
      <c r="E114" s="90" t="s">
        <v>138</v>
      </c>
      <c r="F114" s="90"/>
      <c r="G114" s="90"/>
      <c r="H114" s="90"/>
      <c r="I114" s="90"/>
    </row>
    <row r="115" spans="1:14">
      <c r="A115" s="100"/>
      <c r="B115" s="90" t="s">
        <v>77</v>
      </c>
      <c r="C115" s="90"/>
      <c r="D115" s="90"/>
      <c r="E115" s="90"/>
      <c r="F115" s="90"/>
      <c r="G115" s="90">
        <v>0</v>
      </c>
      <c r="H115" s="90"/>
      <c r="I115" s="90"/>
    </row>
    <row r="116" spans="1:14">
      <c r="A116" s="100"/>
      <c r="B116" s="90" t="s">
        <v>78</v>
      </c>
      <c r="C116" s="90"/>
      <c r="D116" s="90"/>
      <c r="E116" s="90"/>
      <c r="F116" s="90"/>
      <c r="G116" s="90">
        <v>0</v>
      </c>
      <c r="H116" s="90"/>
      <c r="I116" s="90"/>
    </row>
    <row r="117" spans="1:14">
      <c r="A117" s="100">
        <v>45716</v>
      </c>
      <c r="B117" s="90" t="s">
        <v>139</v>
      </c>
      <c r="C117" s="90"/>
      <c r="D117" s="90"/>
      <c r="E117" s="90"/>
      <c r="F117" s="90"/>
      <c r="G117" s="90">
        <v>195330</v>
      </c>
      <c r="H117" s="90"/>
      <c r="I117" s="90"/>
    </row>
    <row r="118" spans="1:14">
      <c r="A118" s="100">
        <v>45716</v>
      </c>
      <c r="B118" s="90" t="s">
        <v>140</v>
      </c>
      <c r="C118" s="12"/>
      <c r="D118" s="12"/>
      <c r="E118" s="90"/>
      <c r="F118" s="90"/>
      <c r="G118" s="17">
        <v>35797.120000000003</v>
      </c>
      <c r="H118" s="90"/>
      <c r="I118" s="90"/>
    </row>
    <row r="119" spans="1:14">
      <c r="A119" s="100"/>
      <c r="B119" s="90" t="s">
        <v>141</v>
      </c>
      <c r="C119" s="12"/>
      <c r="D119" s="12"/>
      <c r="E119" s="90"/>
      <c r="F119" s="90"/>
      <c r="G119" s="17">
        <v>500</v>
      </c>
      <c r="H119" s="90"/>
      <c r="I119" s="90"/>
    </row>
    <row r="120" spans="1:14">
      <c r="A120" s="100"/>
      <c r="B120" s="90"/>
      <c r="C120" s="12"/>
      <c r="D120" s="12"/>
      <c r="E120" s="90"/>
      <c r="F120" s="90"/>
      <c r="G120" s="17"/>
      <c r="H120" s="90"/>
      <c r="I120" s="90"/>
    </row>
    <row r="121" spans="1:14" s="11" customFormat="1">
      <c r="A121" s="100">
        <v>45667</v>
      </c>
      <c r="B121" s="82" t="s">
        <v>142</v>
      </c>
      <c r="C121" s="114">
        <v>50</v>
      </c>
      <c r="D121" s="115">
        <v>872.26366499999995</v>
      </c>
      <c r="E121" s="116">
        <f t="shared" ref="E121" si="1">D121*C121</f>
        <v>43613.183249999995</v>
      </c>
      <c r="F121" s="405">
        <v>924.55062199999998</v>
      </c>
      <c r="G121" s="17">
        <f t="shared" ref="G121" si="2">F121*C121</f>
        <v>46227.5311</v>
      </c>
      <c r="H121" s="90"/>
      <c r="I121" s="90">
        <f t="shared" ref="I121" si="3">G121-E121</f>
        <v>2614.3478500000056</v>
      </c>
      <c r="K121" s="78"/>
      <c r="L121" s="78"/>
      <c r="M121" s="78"/>
      <c r="N121" s="78"/>
    </row>
    <row r="122" spans="1:14">
      <c r="A122" s="100">
        <v>45672</v>
      </c>
      <c r="B122" s="82" t="s">
        <v>142</v>
      </c>
      <c r="C122" s="114">
        <v>55</v>
      </c>
      <c r="D122" s="115">
        <v>877.65409299999999</v>
      </c>
      <c r="E122" s="116">
        <f t="shared" ref="E122:E125" si="4">D122*C122</f>
        <v>48270.975115000001</v>
      </c>
      <c r="F122" s="405">
        <f>F121</f>
        <v>924.55062199999998</v>
      </c>
      <c r="G122" s="17">
        <f t="shared" ref="G122:G125" si="5">F122*C122</f>
        <v>50850.284209999998</v>
      </c>
      <c r="H122" s="90"/>
      <c r="I122" s="90">
        <f t="shared" ref="I122:I125" si="6">G122-E122</f>
        <v>2579.3090949999969</v>
      </c>
    </row>
    <row r="123" spans="1:14">
      <c r="A123" s="100">
        <v>45680</v>
      </c>
      <c r="B123" s="82" t="s">
        <v>1610</v>
      </c>
      <c r="C123" s="114">
        <v>120</v>
      </c>
      <c r="D123" s="115">
        <v>305</v>
      </c>
      <c r="E123" s="116">
        <f t="shared" si="4"/>
        <v>36600</v>
      </c>
      <c r="F123" s="90">
        <v>308</v>
      </c>
      <c r="G123" s="17">
        <f t="shared" si="5"/>
        <v>36960</v>
      </c>
      <c r="H123" s="90"/>
      <c r="I123" s="90">
        <f t="shared" si="6"/>
        <v>360</v>
      </c>
    </row>
    <row r="124" spans="1:14">
      <c r="A124" s="100">
        <v>45620</v>
      </c>
      <c r="B124" s="82" t="s">
        <v>1612</v>
      </c>
      <c r="C124" s="114">
        <v>4000</v>
      </c>
      <c r="D124" s="114">
        <v>32.549999999999997</v>
      </c>
      <c r="E124" s="116">
        <f t="shared" si="4"/>
        <v>130199.99999999999</v>
      </c>
      <c r="F124" s="90">
        <v>34.47</v>
      </c>
      <c r="G124" s="17">
        <f t="shared" si="5"/>
        <v>137880</v>
      </c>
      <c r="H124" s="90"/>
      <c r="I124" s="90">
        <f t="shared" si="6"/>
        <v>7680.0000000000146</v>
      </c>
    </row>
    <row r="125" spans="1:14" ht="13.5" thickBot="1">
      <c r="A125" s="100">
        <v>45659</v>
      </c>
      <c r="B125" s="82" t="s">
        <v>1611</v>
      </c>
      <c r="C125" s="114">
        <v>4000</v>
      </c>
      <c r="D125" s="115">
        <v>30.86</v>
      </c>
      <c r="E125" s="116">
        <f t="shared" si="4"/>
        <v>123440</v>
      </c>
      <c r="F125" s="90">
        <f>F124</f>
        <v>34.47</v>
      </c>
      <c r="G125" s="17">
        <f t="shared" si="5"/>
        <v>137880</v>
      </c>
      <c r="H125" s="420">
        <f>SUM(G121:G125)</f>
        <v>409797.81530999998</v>
      </c>
      <c r="I125" s="90">
        <f t="shared" si="6"/>
        <v>14440</v>
      </c>
    </row>
    <row r="126" spans="1:14" ht="15.75" thickBot="1">
      <c r="A126" s="100"/>
      <c r="B126" s="90"/>
      <c r="C126" s="12"/>
      <c r="D126" s="12"/>
      <c r="E126" s="90">
        <f>SUM(E121:E125)</f>
        <v>382124.15836499998</v>
      </c>
      <c r="F126" s="105" t="s">
        <v>84</v>
      </c>
      <c r="G126" s="17"/>
      <c r="H126" s="117">
        <f>(SUM(G121:G125))-(SUM(E121:E125))</f>
        <v>27673.656944999995</v>
      </c>
      <c r="I126" s="117">
        <f>SUM(I121:I125)</f>
        <v>27673.656945000017</v>
      </c>
    </row>
    <row r="127" spans="1:14">
      <c r="A127" s="100"/>
      <c r="B127" s="90"/>
      <c r="C127" s="12"/>
      <c r="D127" s="12"/>
      <c r="E127" s="90"/>
      <c r="F127" s="90"/>
      <c r="G127" s="90"/>
      <c r="H127" s="90"/>
      <c r="I127" s="90"/>
    </row>
    <row r="128" spans="1:14">
      <c r="A128" s="100">
        <v>45509</v>
      </c>
      <c r="B128" s="82" t="s">
        <v>148</v>
      </c>
      <c r="C128" s="114">
        <v>1</v>
      </c>
      <c r="D128" s="83">
        <v>2500</v>
      </c>
      <c r="E128" s="116">
        <f>D128*C128</f>
        <v>2500</v>
      </c>
      <c r="F128" s="90">
        <v>3283</v>
      </c>
      <c r="G128" s="17">
        <f>C128*F128</f>
        <v>3283</v>
      </c>
      <c r="H128" s="90"/>
      <c r="I128" s="90">
        <f t="shared" ref="I128:I130" si="7">G128-E128</f>
        <v>783</v>
      </c>
    </row>
    <row r="129" spans="1:14">
      <c r="A129" s="100">
        <v>45509</v>
      </c>
      <c r="B129" s="82" t="s">
        <v>149</v>
      </c>
      <c r="C129" s="114">
        <v>16</v>
      </c>
      <c r="D129" s="83">
        <v>4100</v>
      </c>
      <c r="E129" s="116">
        <f>D129*C129</f>
        <v>65600</v>
      </c>
      <c r="F129" s="90">
        <f>F128*1.73</f>
        <v>5679.59</v>
      </c>
      <c r="G129" s="17">
        <f>C129*F129</f>
        <v>90873.44</v>
      </c>
      <c r="H129" s="90"/>
      <c r="I129" s="90">
        <f t="shared" si="7"/>
        <v>25273.440000000002</v>
      </c>
    </row>
    <row r="130" spans="1:14" ht="13.5" thickBot="1">
      <c r="A130" s="100">
        <v>45509</v>
      </c>
      <c r="B130" s="82" t="s">
        <v>150</v>
      </c>
      <c r="C130" s="114">
        <v>1</v>
      </c>
      <c r="D130" s="83">
        <v>16200</v>
      </c>
      <c r="E130" s="116">
        <f>D130*C130</f>
        <v>16200</v>
      </c>
      <c r="F130" s="90">
        <f>F129*4</f>
        <v>22718.36</v>
      </c>
      <c r="G130" s="17">
        <f>C130*F130</f>
        <v>22718.36</v>
      </c>
      <c r="H130" s="420">
        <f>SUM(G128:G130)</f>
        <v>116874.8</v>
      </c>
      <c r="I130" s="90">
        <f t="shared" si="7"/>
        <v>6518.3600000000006</v>
      </c>
    </row>
    <row r="131" spans="1:14" ht="13.5" thickBot="1">
      <c r="A131" s="100"/>
      <c r="B131" s="90"/>
      <c r="C131" s="12"/>
      <c r="D131" s="12"/>
      <c r="E131" s="90">
        <f>SUM(E128:E130)</f>
        <v>84300</v>
      </c>
      <c r="F131" s="90"/>
      <c r="G131" s="90"/>
      <c r="H131" s="117">
        <f>(SUM(G128:G130))-(SUM(E128:E130))</f>
        <v>32574.800000000003</v>
      </c>
      <c r="I131" s="90"/>
    </row>
    <row r="132" spans="1:14" s="11" customFormat="1">
      <c r="A132" s="100"/>
      <c r="B132" s="90"/>
      <c r="C132" s="12"/>
      <c r="D132" s="12"/>
      <c r="E132" s="90"/>
      <c r="F132" s="90"/>
      <c r="G132" s="90"/>
      <c r="H132" s="90"/>
      <c r="I132" s="90"/>
      <c r="K132" s="78"/>
      <c r="L132" s="78"/>
      <c r="M132" s="78"/>
      <c r="N132" s="78"/>
    </row>
    <row r="133" spans="1:14">
      <c r="A133" s="100">
        <v>45345</v>
      </c>
      <c r="B133" s="82" t="s">
        <v>144</v>
      </c>
      <c r="C133" s="118">
        <v>125000</v>
      </c>
      <c r="D133" s="83">
        <v>1.0399430000000001</v>
      </c>
      <c r="E133" s="116">
        <f>D133*C133</f>
        <v>129992.87500000001</v>
      </c>
      <c r="F133" s="119">
        <v>0.76836099999999996</v>
      </c>
      <c r="G133" s="17">
        <f>F133*C133</f>
        <v>96045.125</v>
      </c>
      <c r="H133" s="90"/>
      <c r="I133" s="90">
        <f t="shared" ref="I133:I136" si="8">G133-E133</f>
        <v>-33947.750000000015</v>
      </c>
    </row>
    <row r="134" spans="1:14">
      <c r="A134" s="100">
        <v>45400</v>
      </c>
      <c r="B134" s="82" t="s">
        <v>145</v>
      </c>
      <c r="C134" s="114">
        <v>10</v>
      </c>
      <c r="D134" s="83">
        <v>135</v>
      </c>
      <c r="E134" s="116">
        <f>D134*C134</f>
        <v>1350</v>
      </c>
      <c r="F134" s="90">
        <v>112.6</v>
      </c>
      <c r="G134" s="17">
        <f>F134*C134</f>
        <v>1126</v>
      </c>
      <c r="H134" s="90"/>
      <c r="I134" s="90">
        <f t="shared" si="8"/>
        <v>-224</v>
      </c>
    </row>
    <row r="135" spans="1:14">
      <c r="A135" s="100">
        <v>45418</v>
      </c>
      <c r="B135" s="82" t="s">
        <v>146</v>
      </c>
      <c r="C135" s="114">
        <v>38</v>
      </c>
      <c r="D135" s="83">
        <v>30.5</v>
      </c>
      <c r="E135" s="116">
        <f>D135*C135</f>
        <v>1159</v>
      </c>
      <c r="F135" s="90">
        <v>16.899999999999999</v>
      </c>
      <c r="G135" s="17">
        <f>F135*C135</f>
        <v>642.19999999999993</v>
      </c>
      <c r="H135" s="90"/>
      <c r="I135" s="90">
        <f t="shared" si="8"/>
        <v>-516.80000000000007</v>
      </c>
    </row>
    <row r="136" spans="1:14" ht="13.5" thickBot="1">
      <c r="A136" s="100">
        <v>45418</v>
      </c>
      <c r="B136" s="82" t="s">
        <v>147</v>
      </c>
      <c r="C136" s="114">
        <v>26</v>
      </c>
      <c r="D136" s="83">
        <v>37.115000000000002</v>
      </c>
      <c r="E136" s="116">
        <f>D136*C136</f>
        <v>964.99</v>
      </c>
      <c r="F136" s="90">
        <v>23.5</v>
      </c>
      <c r="G136" s="17">
        <f>F136*C136</f>
        <v>611</v>
      </c>
      <c r="H136" s="420">
        <f>SUM(G133:G136)</f>
        <v>98424.324999999997</v>
      </c>
      <c r="I136" s="90">
        <f t="shared" si="8"/>
        <v>-353.99</v>
      </c>
    </row>
    <row r="137" spans="1:14" ht="15.75" thickBot="1">
      <c r="A137" s="100"/>
      <c r="B137" s="90"/>
      <c r="C137" s="12"/>
      <c r="D137" s="12"/>
      <c r="E137" s="90">
        <f>SUM(E133:E136)</f>
        <v>133466.86499999999</v>
      </c>
      <c r="F137" s="105" t="s">
        <v>84</v>
      </c>
      <c r="G137" s="90"/>
      <c r="H137" s="117">
        <f>(SUM(G133:G136))-(SUM(E133:E136))</f>
        <v>-35042.539999999994</v>
      </c>
      <c r="I137" s="90"/>
    </row>
    <row r="138" spans="1:14">
      <c r="A138" s="100"/>
      <c r="B138" s="90"/>
      <c r="C138" s="90"/>
      <c r="D138" s="90"/>
      <c r="E138" s="17"/>
      <c r="F138" s="90"/>
      <c r="G138" s="90"/>
      <c r="H138" s="90"/>
      <c r="I138" s="90"/>
    </row>
    <row r="139" spans="1:14">
      <c r="A139" s="100"/>
      <c r="B139" s="90" t="s">
        <v>151</v>
      </c>
      <c r="C139" s="120">
        <v>33.250599999999999</v>
      </c>
      <c r="D139" s="12"/>
      <c r="E139" s="90"/>
      <c r="F139" s="90"/>
      <c r="G139" s="17"/>
      <c r="H139" s="90"/>
      <c r="I139" s="90"/>
    </row>
    <row r="140" spans="1:14" ht="15">
      <c r="A140" s="100"/>
      <c r="B140" s="90" t="s">
        <v>152</v>
      </c>
      <c r="C140" s="120">
        <v>36.854999999999997</v>
      </c>
      <c r="D140" s="12"/>
      <c r="E140" s="90"/>
      <c r="F140" s="105" t="s">
        <v>84</v>
      </c>
      <c r="G140" s="17"/>
      <c r="H140" s="90"/>
      <c r="I140" s="90"/>
    </row>
    <row r="141" spans="1:14">
      <c r="A141" s="100"/>
      <c r="B141" s="90" t="s">
        <v>153</v>
      </c>
      <c r="C141" s="12"/>
      <c r="D141" s="12"/>
      <c r="E141" s="90"/>
      <c r="F141" s="90"/>
      <c r="G141" s="17">
        <v>0</v>
      </c>
      <c r="H141" s="90"/>
      <c r="I141" s="90"/>
    </row>
    <row r="142" spans="1:14" ht="13.5" thickBot="1">
      <c r="A142" s="100"/>
      <c r="B142" s="90" t="s">
        <v>154</v>
      </c>
      <c r="C142" s="12"/>
      <c r="D142" s="12"/>
      <c r="E142" s="90"/>
      <c r="F142" s="90"/>
      <c r="G142" s="17">
        <v>1000</v>
      </c>
      <c r="H142" s="90"/>
      <c r="I142" s="90"/>
    </row>
    <row r="143" spans="1:14" ht="16.5" thickBot="1">
      <c r="A143" s="100"/>
      <c r="B143" s="90"/>
      <c r="C143" s="90"/>
      <c r="D143" s="90"/>
      <c r="E143" s="121"/>
      <c r="F143" s="122"/>
      <c r="G143" s="123" t="s">
        <v>155</v>
      </c>
      <c r="H143" s="444">
        <f>H131+H137+H126</f>
        <v>25205.916945000004</v>
      </c>
      <c r="I143" s="90"/>
    </row>
    <row r="144" spans="1:14">
      <c r="A144" s="100"/>
      <c r="B144" s="90"/>
      <c r="C144" s="124"/>
      <c r="D144" s="92"/>
      <c r="E144" s="90"/>
      <c r="F144" s="90"/>
      <c r="G144" s="124"/>
      <c r="H144" s="90"/>
      <c r="I144" s="90"/>
    </row>
    <row r="145" spans="1:14" ht="15">
      <c r="A145" s="100"/>
      <c r="B145" s="90"/>
      <c r="C145" s="124"/>
      <c r="D145" s="18" t="s">
        <v>156</v>
      </c>
      <c r="E145" s="90"/>
      <c r="F145" s="105" t="s">
        <v>84</v>
      </c>
      <c r="G145" s="9">
        <f>SUM(G116:G142)</f>
        <v>857724.06030999997</v>
      </c>
      <c r="H145" s="90"/>
      <c r="I145" s="90"/>
    </row>
    <row r="146" spans="1:14">
      <c r="A146" s="100"/>
      <c r="B146" s="90"/>
      <c r="C146" s="125" t="str">
        <f>A112</f>
        <v>MART 2025 e</v>
      </c>
      <c r="D146" s="126" t="s">
        <v>157</v>
      </c>
      <c r="E146" s="90"/>
      <c r="F146" s="90"/>
      <c r="G146" s="127"/>
      <c r="H146" s="90"/>
      <c r="I146" s="90"/>
    </row>
    <row r="147" spans="1:14" s="11" customFormat="1">
      <c r="A147" s="100"/>
      <c r="B147" s="90"/>
      <c r="C147" s="441"/>
      <c r="D147" s="442"/>
      <c r="E147" s="406"/>
      <c r="F147" s="406"/>
      <c r="G147" s="410"/>
      <c r="H147" s="406"/>
      <c r="I147" s="90"/>
      <c r="K147" s="78"/>
      <c r="L147" s="78"/>
      <c r="M147" s="78"/>
      <c r="N147" s="78"/>
    </row>
    <row r="148" spans="1:14" s="11" customFormat="1">
      <c r="A148" s="100">
        <v>45667</v>
      </c>
      <c r="B148" s="82" t="s">
        <v>1614</v>
      </c>
      <c r="C148" s="118">
        <v>240</v>
      </c>
      <c r="D148" s="83">
        <v>872.26366499999995</v>
      </c>
      <c r="E148" s="116">
        <f>D148*C148</f>
        <v>209343.27959999998</v>
      </c>
      <c r="F148" s="404">
        <f>F122</f>
        <v>924.55062199999998</v>
      </c>
      <c r="G148" s="17">
        <f>F148*C148</f>
        <v>221892.14927999998</v>
      </c>
      <c r="H148" s="90"/>
      <c r="I148" s="90">
        <f>G148-E148</f>
        <v>12548.869680000003</v>
      </c>
      <c r="K148" s="78"/>
      <c r="L148" s="78"/>
      <c r="M148" s="78"/>
      <c r="N148" s="78"/>
    </row>
    <row r="149" spans="1:14" s="11" customFormat="1">
      <c r="A149" s="100"/>
      <c r="B149" s="90"/>
      <c r="C149" s="441"/>
      <c r="D149" s="442"/>
      <c r="E149" s="406"/>
      <c r="F149" s="406"/>
      <c r="G149" s="410"/>
      <c r="H149" s="90"/>
      <c r="I149" s="90"/>
      <c r="K149" s="78"/>
      <c r="L149" s="78"/>
      <c r="M149" s="78"/>
      <c r="N149" s="78"/>
    </row>
    <row r="150" spans="1:14">
      <c r="A150" s="90"/>
      <c r="B150" s="90"/>
      <c r="C150" s="90"/>
      <c r="D150" s="90"/>
      <c r="E150" s="90"/>
      <c r="F150" s="90"/>
      <c r="G150" s="90"/>
      <c r="H150" s="90"/>
      <c r="I150" s="90"/>
    </row>
    <row r="151" spans="1:14">
      <c r="A151" s="100">
        <v>45691</v>
      </c>
      <c r="B151" s="82" t="s">
        <v>1652</v>
      </c>
      <c r="C151" s="114"/>
      <c r="D151" s="115">
        <v>752.55561799999998</v>
      </c>
      <c r="E151" s="116">
        <f>D151*C151</f>
        <v>0</v>
      </c>
      <c r="F151" s="404">
        <v>899.26057400000002</v>
      </c>
      <c r="G151" s="17">
        <f>F151*C151</f>
        <v>0</v>
      </c>
      <c r="H151" s="90"/>
      <c r="I151" s="90">
        <f>G151-E151</f>
        <v>0</v>
      </c>
    </row>
    <row r="152" spans="1:14">
      <c r="A152" s="397">
        <v>45680</v>
      </c>
      <c r="B152" s="398" t="s">
        <v>1655</v>
      </c>
      <c r="C152" s="399">
        <v>-25</v>
      </c>
      <c r="D152" s="400">
        <v>752.55561799999998</v>
      </c>
      <c r="E152" s="401">
        <f>D152*C152</f>
        <v>-18813.890449999999</v>
      </c>
      <c r="F152" s="402">
        <v>899.26057400000002</v>
      </c>
      <c r="G152" s="403">
        <f>F152*C152</f>
        <v>-22481.514350000001</v>
      </c>
      <c r="H152" s="402"/>
      <c r="I152" s="402">
        <f>E152-G152</f>
        <v>3667.6239000000023</v>
      </c>
    </row>
    <row r="153" spans="1:14">
      <c r="A153" s="397">
        <v>45680</v>
      </c>
      <c r="B153" s="398" t="s">
        <v>1613</v>
      </c>
      <c r="C153" s="399"/>
      <c r="D153" s="400"/>
      <c r="E153" s="401">
        <v>299.37</v>
      </c>
      <c r="F153" s="402"/>
      <c r="G153" s="403"/>
      <c r="H153" s="402"/>
      <c r="I153" s="402">
        <f>G153-E153</f>
        <v>-299.37</v>
      </c>
    </row>
    <row r="154" spans="1:14" s="11" customFormat="1">
      <c r="A154" s="100">
        <v>45691</v>
      </c>
      <c r="B154" s="82" t="s">
        <v>1653</v>
      </c>
      <c r="C154" s="114"/>
      <c r="D154" s="115">
        <v>872.26366499999995</v>
      </c>
      <c r="E154" s="116">
        <f>D154*C154</f>
        <v>0</v>
      </c>
      <c r="F154" s="405">
        <f>F160</f>
        <v>907.06739800000003</v>
      </c>
      <c r="G154" s="17">
        <f>F154*C154</f>
        <v>0</v>
      </c>
      <c r="H154" s="90"/>
      <c r="I154" s="90">
        <f>G154-E154</f>
        <v>0</v>
      </c>
      <c r="K154" s="78"/>
      <c r="L154" s="78"/>
      <c r="M154" s="78"/>
      <c r="N154" s="78"/>
    </row>
    <row r="155" spans="1:14">
      <c r="A155" s="397">
        <v>45680</v>
      </c>
      <c r="B155" s="398" t="s">
        <v>142</v>
      </c>
      <c r="C155" s="399">
        <v>-9</v>
      </c>
      <c r="D155" s="115">
        <v>872.26366499999995</v>
      </c>
      <c r="E155" s="401">
        <f>D155*C155</f>
        <v>-7850.372985</v>
      </c>
      <c r="F155" s="402">
        <v>899.26057400000002</v>
      </c>
      <c r="G155" s="403">
        <f>F155*C155</f>
        <v>-8093.3451660000001</v>
      </c>
      <c r="H155" s="402"/>
      <c r="I155" s="402">
        <f>E155-G155</f>
        <v>242.97218100000009</v>
      </c>
    </row>
    <row r="156" spans="1:14">
      <c r="A156" s="397">
        <v>45680</v>
      </c>
      <c r="B156" s="398" t="s">
        <v>1613</v>
      </c>
      <c r="C156" s="399"/>
      <c r="D156" s="400"/>
      <c r="E156" s="401"/>
      <c r="F156" s="402"/>
      <c r="G156" s="403"/>
      <c r="H156" s="402"/>
      <c r="I156" s="402"/>
    </row>
    <row r="157" spans="1:14" s="11" customFormat="1">
      <c r="A157" s="100">
        <v>45692</v>
      </c>
      <c r="B157" s="82" t="s">
        <v>1653</v>
      </c>
      <c r="C157" s="114"/>
      <c r="D157" s="115">
        <v>872.26366499999995</v>
      </c>
      <c r="E157" s="116">
        <f>D157*C157</f>
        <v>0</v>
      </c>
      <c r="F157" s="405">
        <v>900.29758900000002</v>
      </c>
      <c r="G157" s="17">
        <f>F157*C157</f>
        <v>0</v>
      </c>
      <c r="H157" s="90"/>
      <c r="I157" s="90">
        <f>G157-E157</f>
        <v>0</v>
      </c>
      <c r="K157" s="78"/>
      <c r="L157" s="78"/>
      <c r="M157" s="78"/>
      <c r="N157" s="78"/>
    </row>
    <row r="158" spans="1:14" s="11" customFormat="1">
      <c r="A158" s="397">
        <v>45692</v>
      </c>
      <c r="B158" s="398" t="s">
        <v>1654</v>
      </c>
      <c r="C158" s="399">
        <v>-25</v>
      </c>
      <c r="D158" s="400">
        <v>872.26366499999995</v>
      </c>
      <c r="E158" s="401">
        <f t="shared" ref="E158" si="9">D158*C158</f>
        <v>-21806.591624999997</v>
      </c>
      <c r="F158" s="424">
        <v>900.29758900000002</v>
      </c>
      <c r="G158" s="403">
        <f t="shared" ref="G158" si="10">F158*C158</f>
        <v>-22507.439725</v>
      </c>
      <c r="H158" s="402"/>
      <c r="I158" s="402">
        <f>E158-G158</f>
        <v>700.84810000000289</v>
      </c>
      <c r="K158" s="78"/>
      <c r="L158" s="78"/>
      <c r="M158" s="78"/>
      <c r="N158" s="78"/>
    </row>
    <row r="159" spans="1:14" s="11" customFormat="1">
      <c r="A159" s="397">
        <v>45680</v>
      </c>
      <c r="B159" s="398" t="s">
        <v>1613</v>
      </c>
      <c r="C159" s="399"/>
      <c r="D159" s="400"/>
      <c r="E159" s="401"/>
      <c r="F159" s="402"/>
      <c r="G159" s="403"/>
      <c r="H159" s="402"/>
      <c r="I159" s="402">
        <v>-70.09</v>
      </c>
      <c r="K159" s="78"/>
      <c r="L159" s="78"/>
      <c r="M159" s="78"/>
      <c r="N159" s="78"/>
    </row>
    <row r="160" spans="1:14" s="11" customFormat="1">
      <c r="A160" s="100">
        <v>45699</v>
      </c>
      <c r="B160" s="82" t="s">
        <v>1667</v>
      </c>
      <c r="C160" s="114"/>
      <c r="D160" s="115">
        <v>872.26366499999995</v>
      </c>
      <c r="E160" s="116">
        <f>D160*C160</f>
        <v>0</v>
      </c>
      <c r="F160" s="405">
        <v>907.06739800000003</v>
      </c>
      <c r="G160" s="17">
        <f>F160*C160</f>
        <v>0</v>
      </c>
      <c r="H160" s="90"/>
      <c r="I160" s="90">
        <f>G160-E160</f>
        <v>0</v>
      </c>
      <c r="K160" s="78"/>
      <c r="L160" s="78"/>
      <c r="M160" s="78"/>
      <c r="N160" s="78"/>
    </row>
    <row r="161" spans="1:14" s="11" customFormat="1">
      <c r="A161" s="397">
        <v>45692</v>
      </c>
      <c r="B161" s="398" t="s">
        <v>1666</v>
      </c>
      <c r="C161" s="399">
        <v>-21</v>
      </c>
      <c r="D161" s="400">
        <v>872.26366499999995</v>
      </c>
      <c r="E161" s="401">
        <f t="shared" ref="E161" si="11">D161*C161</f>
        <v>-18317.536964999999</v>
      </c>
      <c r="F161" s="424">
        <v>907.06739800000003</v>
      </c>
      <c r="G161" s="403">
        <f t="shared" ref="G161" si="12">F161*C161</f>
        <v>-19048.415358000002</v>
      </c>
      <c r="H161" s="402"/>
      <c r="I161" s="402">
        <f>E161-G161</f>
        <v>730.87839300000269</v>
      </c>
      <c r="K161" s="78"/>
      <c r="L161" s="78"/>
      <c r="M161" s="78"/>
      <c r="N161" s="78"/>
    </row>
    <row r="162" spans="1:14" s="11" customFormat="1">
      <c r="A162" s="397">
        <v>45699</v>
      </c>
      <c r="B162" s="398" t="s">
        <v>1613</v>
      </c>
      <c r="C162" s="399"/>
      <c r="D162" s="400"/>
      <c r="E162" s="401"/>
      <c r="F162" s="402"/>
      <c r="G162" s="403"/>
      <c r="H162" s="402"/>
      <c r="I162" s="402">
        <v>-73.09</v>
      </c>
      <c r="K162" s="78"/>
      <c r="L162" s="78"/>
      <c r="M162" s="78"/>
      <c r="N162" s="78"/>
    </row>
    <row r="163" spans="1:14" s="11" customFormat="1">
      <c r="A163" s="397"/>
      <c r="B163" s="398"/>
      <c r="C163" s="399"/>
      <c r="D163" s="400"/>
      <c r="E163" s="401"/>
      <c r="F163" s="402"/>
      <c r="G163" s="403"/>
      <c r="H163" s="402"/>
      <c r="I163" s="402"/>
      <c r="K163" s="78"/>
      <c r="L163" s="78"/>
      <c r="M163" s="78"/>
      <c r="N163" s="78"/>
    </row>
    <row r="164" spans="1:14" s="11" customFormat="1">
      <c r="A164" s="397"/>
      <c r="B164" s="398"/>
      <c r="C164" s="399"/>
      <c r="D164" s="400"/>
      <c r="E164" s="401"/>
      <c r="F164" s="402"/>
      <c r="G164" s="403"/>
      <c r="H164" s="402"/>
      <c r="I164" s="402"/>
      <c r="K164" s="78"/>
      <c r="L164" s="78"/>
      <c r="M164" s="78"/>
      <c r="N164" s="78"/>
    </row>
    <row r="166" spans="1:14">
      <c r="I166" s="78">
        <f>SUM(I152:I165)</f>
        <v>4899.7725740000078</v>
      </c>
    </row>
    <row r="173" spans="1:14">
      <c r="F173" s="405">
        <v>900.29758900000002</v>
      </c>
    </row>
  </sheetData>
  <conditionalFormatting sqref="F128:F130 F159 F156 F152:F153">
    <cfRule type="cellIs" dxfId="22" priority="12" operator="lessThan">
      <formula>D128</formula>
    </cfRule>
  </conditionalFormatting>
  <conditionalFormatting sqref="F134:F136">
    <cfRule type="cellIs" dxfId="21" priority="13" operator="lessThan">
      <formula>D134</formula>
    </cfRule>
  </conditionalFormatting>
  <conditionalFormatting sqref="F125">
    <cfRule type="cellIs" dxfId="20" priority="14" operator="lessThan">
      <formula>D125</formula>
    </cfRule>
  </conditionalFormatting>
  <conditionalFormatting sqref="F124">
    <cfRule type="cellIs" dxfId="19" priority="15" operator="lessThan">
      <formula>D124</formula>
    </cfRule>
  </conditionalFormatting>
  <conditionalFormatting sqref="F160 F122">
    <cfRule type="cellIs" dxfId="18" priority="16" operator="lessThan">
      <formula>D122</formula>
    </cfRule>
  </conditionalFormatting>
  <conditionalFormatting sqref="F123">
    <cfRule type="cellIs" dxfId="17" priority="11" operator="lessThan">
      <formula>D123</formula>
    </cfRule>
  </conditionalFormatting>
  <conditionalFormatting sqref="F163:F164">
    <cfRule type="cellIs" dxfId="16" priority="9" operator="lessThan">
      <formula>D163</formula>
    </cfRule>
  </conditionalFormatting>
  <conditionalFormatting sqref="F154">
    <cfRule type="cellIs" dxfId="15" priority="8" operator="lessThan">
      <formula>D154</formula>
    </cfRule>
  </conditionalFormatting>
  <conditionalFormatting sqref="F155">
    <cfRule type="cellIs" dxfId="14" priority="7" operator="lessThan">
      <formula>D155</formula>
    </cfRule>
  </conditionalFormatting>
  <conditionalFormatting sqref="F157">
    <cfRule type="cellIs" dxfId="13" priority="6" operator="lessThan">
      <formula>D157</formula>
    </cfRule>
  </conditionalFormatting>
  <conditionalFormatting sqref="F173">
    <cfRule type="cellIs" dxfId="12" priority="5" operator="lessThan">
      <formula>D173</formula>
    </cfRule>
  </conditionalFormatting>
  <conditionalFormatting sqref="F158">
    <cfRule type="cellIs" dxfId="11" priority="4" operator="lessThan">
      <formula>D158</formula>
    </cfRule>
  </conditionalFormatting>
  <conditionalFormatting sqref="F121">
    <cfRule type="cellIs" dxfId="10" priority="3" operator="lessThan">
      <formula>D121</formula>
    </cfRule>
  </conditionalFormatting>
  <conditionalFormatting sqref="F162">
    <cfRule type="cellIs" dxfId="9" priority="2" operator="lessThan">
      <formula>D162</formula>
    </cfRule>
  </conditionalFormatting>
  <conditionalFormatting sqref="F161">
    <cfRule type="cellIs" dxfId="8" priority="1" operator="lessThan">
      <formula>D161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0.79998168889431442"/>
  </sheetPr>
  <dimension ref="A1:N188"/>
  <sheetViews>
    <sheetView topLeftCell="A67" zoomScale="160" zoomScaleNormal="160" workbookViewId="0">
      <selection activeCell="H140" sqref="H140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9" max="9" width="11.7109375" bestFit="1" customWidth="1"/>
    <col min="10" max="10" width="8.42578125" bestFit="1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108</v>
      </c>
      <c r="C2" s="79" t="s">
        <v>67</v>
      </c>
      <c r="D2" s="77">
        <f>SUM(D4:D44)</f>
        <v>398664</v>
      </c>
      <c r="E2" s="90">
        <f t="shared" ref="E2:G2" si="0">SUM(E4:E44)</f>
        <v>-55562.400000000001</v>
      </c>
      <c r="F2" s="90">
        <f t="shared" si="0"/>
        <v>320054.88</v>
      </c>
      <c r="G2" s="90">
        <f t="shared" si="0"/>
        <v>-59018.87</v>
      </c>
      <c r="H2" s="77">
        <f>F2+G2</f>
        <v>261036.01</v>
      </c>
    </row>
    <row r="3" spans="1:8">
      <c r="B3" s="18"/>
    </row>
    <row r="4" spans="1:8">
      <c r="B4" s="41"/>
      <c r="H4" s="87">
        <f>H3+F4+G4</f>
        <v>0</v>
      </c>
    </row>
    <row r="5" spans="1:8">
      <c r="B5" s="41"/>
      <c r="H5" s="87">
        <f>H4+F5+G5</f>
        <v>0</v>
      </c>
    </row>
    <row r="6" spans="1:8">
      <c r="A6" s="80">
        <v>45660</v>
      </c>
      <c r="B6" s="81" t="s">
        <v>105</v>
      </c>
      <c r="C6" s="82"/>
      <c r="D6" s="83"/>
      <c r="E6" s="83"/>
      <c r="H6" s="87">
        <f>H5+F6+G6</f>
        <v>0</v>
      </c>
    </row>
    <row r="7" spans="1:8">
      <c r="A7" s="80">
        <v>45660</v>
      </c>
      <c r="B7" s="81" t="s">
        <v>109</v>
      </c>
      <c r="C7" s="85"/>
      <c r="D7" s="86">
        <v>353664</v>
      </c>
      <c r="E7" s="86"/>
      <c r="F7" s="387">
        <v>290000</v>
      </c>
      <c r="H7" s="87">
        <f>H6+F7+G7</f>
        <v>290000</v>
      </c>
    </row>
    <row r="8" spans="1:8">
      <c r="A8" s="80"/>
      <c r="B8" s="81" t="s">
        <v>110</v>
      </c>
      <c r="C8" s="85"/>
      <c r="D8" s="86"/>
      <c r="E8" s="86"/>
      <c r="F8" s="87"/>
      <c r="H8" s="87">
        <f t="shared" ref="H8:H27" si="1">H7+F8+G8</f>
        <v>290000</v>
      </c>
    </row>
    <row r="9" spans="1:8">
      <c r="A9" s="84">
        <v>45660</v>
      </c>
      <c r="B9" s="81" t="s">
        <v>68</v>
      </c>
      <c r="C9" s="85"/>
      <c r="D9" s="86"/>
      <c r="E9" s="86">
        <f>E67</f>
        <v>0</v>
      </c>
      <c r="F9" s="87"/>
      <c r="G9" s="87">
        <f>E9</f>
        <v>0</v>
      </c>
      <c r="H9" s="87">
        <f t="shared" si="1"/>
        <v>290000</v>
      </c>
    </row>
    <row r="10" spans="1:8">
      <c r="A10" s="80">
        <v>45660</v>
      </c>
      <c r="B10" s="81" t="s">
        <v>69</v>
      </c>
      <c r="C10" s="85"/>
      <c r="D10" s="86"/>
      <c r="E10" s="86">
        <f>E82</f>
        <v>-7885.3399999999992</v>
      </c>
      <c r="F10" s="87"/>
      <c r="G10" s="87">
        <f>E10</f>
        <v>-7885.3399999999992</v>
      </c>
      <c r="H10" s="87">
        <f t="shared" si="1"/>
        <v>282114.65999999997</v>
      </c>
    </row>
    <row r="11" spans="1:8">
      <c r="G11" s="87"/>
      <c r="H11" s="87">
        <f t="shared" si="1"/>
        <v>282114.65999999997</v>
      </c>
    </row>
    <row r="12" spans="1:8">
      <c r="A12" s="391"/>
      <c r="B12" s="392" t="s">
        <v>70</v>
      </c>
      <c r="C12" s="392"/>
      <c r="D12" s="387"/>
      <c r="E12" s="387">
        <v>-2117.06</v>
      </c>
      <c r="F12" s="87"/>
      <c r="G12" s="87">
        <f>E12</f>
        <v>-2117.06</v>
      </c>
      <c r="H12" s="87">
        <f t="shared" si="1"/>
        <v>279997.59999999998</v>
      </c>
    </row>
    <row r="13" spans="1:8">
      <c r="A13" s="393"/>
      <c r="B13" s="392" t="s">
        <v>1599</v>
      </c>
      <c r="C13" s="392"/>
      <c r="D13" s="387"/>
      <c r="E13" s="387">
        <v>-17500</v>
      </c>
      <c r="F13" s="87"/>
      <c r="G13" s="87">
        <f>E13</f>
        <v>-17500</v>
      </c>
      <c r="H13" s="87">
        <f t="shared" si="1"/>
        <v>262497.59999999998</v>
      </c>
    </row>
    <row r="14" spans="1:8">
      <c r="A14" s="393"/>
      <c r="B14" s="394" t="s">
        <v>72</v>
      </c>
      <c r="C14" s="393"/>
      <c r="D14" s="387"/>
      <c r="E14" s="387">
        <v>0</v>
      </c>
      <c r="F14" s="87"/>
      <c r="G14" s="87">
        <v>0</v>
      </c>
      <c r="H14" s="87">
        <f t="shared" si="1"/>
        <v>262497.59999999998</v>
      </c>
    </row>
    <row r="15" spans="1:8">
      <c r="A15" s="391">
        <v>45671</v>
      </c>
      <c r="B15" s="385" t="s">
        <v>1589</v>
      </c>
      <c r="C15" s="395"/>
      <c r="D15" s="396">
        <v>15000</v>
      </c>
      <c r="E15" s="387"/>
      <c r="F15" s="387">
        <v>15000</v>
      </c>
      <c r="G15" s="87"/>
      <c r="H15" s="87">
        <f t="shared" si="1"/>
        <v>277497.59999999998</v>
      </c>
    </row>
    <row r="16" spans="1:8">
      <c r="A16" s="88"/>
      <c r="B16" s="3"/>
      <c r="C16" s="3"/>
      <c r="H16" s="87">
        <f t="shared" si="1"/>
        <v>277497.59999999998</v>
      </c>
    </row>
    <row r="17" spans="1:13" s="78" customFormat="1">
      <c r="A17" s="391">
        <v>45677</v>
      </c>
      <c r="B17" s="411" t="s">
        <v>73</v>
      </c>
      <c r="C17" s="411"/>
      <c r="D17" s="387"/>
      <c r="E17" s="387">
        <v>-1000</v>
      </c>
      <c r="F17" s="87"/>
      <c r="G17" s="87">
        <v>-2390</v>
      </c>
      <c r="H17" s="87">
        <f t="shared" si="1"/>
        <v>275107.59999999998</v>
      </c>
    </row>
    <row r="18" spans="1:13" s="78" customFormat="1">
      <c r="A18" s="391">
        <v>45677</v>
      </c>
      <c r="B18" s="411" t="s">
        <v>74</v>
      </c>
      <c r="C18" s="411"/>
      <c r="D18" s="387"/>
      <c r="E18" s="387">
        <v>-200</v>
      </c>
      <c r="F18" s="87"/>
      <c r="G18" s="87">
        <v>-25</v>
      </c>
      <c r="H18" s="87">
        <f t="shared" si="1"/>
        <v>275082.59999999998</v>
      </c>
    </row>
    <row r="19" spans="1:13" s="78" customFormat="1">
      <c r="A19" s="391">
        <v>45677</v>
      </c>
      <c r="B19" s="392" t="s">
        <v>75</v>
      </c>
      <c r="C19" s="392"/>
      <c r="D19" s="387"/>
      <c r="E19" s="387">
        <v>-200</v>
      </c>
      <c r="F19" s="87"/>
      <c r="G19" s="87">
        <v>-288.97000000000003</v>
      </c>
      <c r="H19" s="87">
        <f t="shared" si="1"/>
        <v>274793.63</v>
      </c>
    </row>
    <row r="20" spans="1:13" s="78" customFormat="1">
      <c r="A20" s="88"/>
      <c r="E20" s="90"/>
      <c r="F20" s="77"/>
      <c r="G20" s="77"/>
      <c r="H20" s="87">
        <f t="shared" si="1"/>
        <v>274793.63</v>
      </c>
      <c r="J20" s="94"/>
      <c r="K20" s="94"/>
      <c r="L20" s="95"/>
      <c r="M20" s="96"/>
    </row>
    <row r="21" spans="1:13" s="78" customFormat="1">
      <c r="A21" s="412">
        <v>45684</v>
      </c>
      <c r="B21" s="393" t="s">
        <v>1609</v>
      </c>
      <c r="C21" s="393"/>
      <c r="D21" s="387"/>
      <c r="E21" s="387"/>
      <c r="F21" s="87"/>
      <c r="G21" s="87">
        <v>-4000</v>
      </c>
      <c r="H21" s="87">
        <f t="shared" si="1"/>
        <v>270793.63</v>
      </c>
      <c r="J21" s="94"/>
      <c r="K21" s="94"/>
      <c r="L21" s="95"/>
      <c r="M21" s="96"/>
    </row>
    <row r="22" spans="1:13" s="78" customFormat="1">
      <c r="A22" s="412">
        <v>45684</v>
      </c>
      <c r="B22" s="393" t="s">
        <v>77</v>
      </c>
      <c r="C22" s="393"/>
      <c r="D22" s="387"/>
      <c r="E22" s="387">
        <v>-7500</v>
      </c>
      <c r="F22" s="87"/>
      <c r="G22" s="87">
        <v>-7501</v>
      </c>
      <c r="H22" s="87">
        <f t="shared" si="1"/>
        <v>263292.63</v>
      </c>
      <c r="J22" s="94"/>
      <c r="K22" s="94"/>
      <c r="L22" s="95"/>
      <c r="M22" s="96"/>
    </row>
    <row r="23" spans="1:13" s="78" customFormat="1">
      <c r="A23" s="412">
        <v>45684</v>
      </c>
      <c r="B23" s="393" t="s">
        <v>78</v>
      </c>
      <c r="C23" s="393"/>
      <c r="D23" s="387"/>
      <c r="E23" s="387">
        <v>-7500</v>
      </c>
      <c r="F23" s="87"/>
      <c r="G23" s="87">
        <v>-7501</v>
      </c>
      <c r="H23" s="87">
        <f t="shared" si="1"/>
        <v>255791.63</v>
      </c>
      <c r="J23" s="94"/>
      <c r="K23" s="94"/>
      <c r="L23" s="95"/>
      <c r="M23" s="96"/>
    </row>
    <row r="24" spans="1:13" s="78" customFormat="1">
      <c r="A24" s="412">
        <v>45684</v>
      </c>
      <c r="B24" s="393" t="s">
        <v>79</v>
      </c>
      <c r="C24" s="393"/>
      <c r="D24" s="387"/>
      <c r="E24" s="387">
        <v>-7500</v>
      </c>
      <c r="F24" s="87"/>
      <c r="G24" s="87">
        <v>-7500</v>
      </c>
      <c r="H24" s="87">
        <f t="shared" si="1"/>
        <v>248291.63</v>
      </c>
      <c r="J24" s="94"/>
      <c r="K24" s="94"/>
      <c r="L24" s="95"/>
      <c r="M24" s="96"/>
    </row>
    <row r="25" spans="1:13" s="78" customFormat="1">
      <c r="A25" s="412">
        <v>45684</v>
      </c>
      <c r="B25" s="393" t="s">
        <v>1638</v>
      </c>
      <c r="C25" s="393"/>
      <c r="D25" s="387"/>
      <c r="E25" s="387"/>
      <c r="F25" s="87"/>
      <c r="G25" s="87">
        <v>-1000</v>
      </c>
      <c r="H25" s="87">
        <f t="shared" si="1"/>
        <v>247291.63</v>
      </c>
      <c r="J25" s="94"/>
      <c r="K25" s="94"/>
      <c r="L25" s="95"/>
      <c r="M25" s="96"/>
    </row>
    <row r="26" spans="1:13" s="78" customFormat="1">
      <c r="A26" s="413">
        <v>45655</v>
      </c>
      <c r="B26" s="393" t="s">
        <v>98</v>
      </c>
      <c r="C26" s="393" t="s">
        <v>1606</v>
      </c>
      <c r="D26" s="387"/>
      <c r="E26" s="387">
        <v>-1380</v>
      </c>
      <c r="F26" s="87"/>
      <c r="G26" s="87"/>
      <c r="H26" s="87">
        <f t="shared" si="1"/>
        <v>247291.63</v>
      </c>
      <c r="J26" s="94"/>
      <c r="K26" s="94"/>
      <c r="L26" s="95"/>
      <c r="M26" s="96"/>
    </row>
    <row r="27" spans="1:13" s="78" customFormat="1">
      <c r="A27" s="414">
        <v>45686</v>
      </c>
      <c r="B27" s="393" t="s">
        <v>98</v>
      </c>
      <c r="C27" s="393" t="s">
        <v>1607</v>
      </c>
      <c r="D27" s="387"/>
      <c r="E27" s="387">
        <v>-1380</v>
      </c>
      <c r="F27" s="87"/>
      <c r="G27" s="87"/>
      <c r="H27" s="87">
        <f t="shared" si="1"/>
        <v>247291.63</v>
      </c>
      <c r="J27" s="94"/>
      <c r="K27" s="94"/>
      <c r="L27" s="95"/>
      <c r="M27" s="96"/>
    </row>
    <row r="28" spans="1:13" s="78" customFormat="1">
      <c r="A28" s="412">
        <v>45684</v>
      </c>
      <c r="B28" s="393" t="s">
        <v>1642</v>
      </c>
      <c r="C28" s="393"/>
      <c r="D28" s="387"/>
      <c r="E28" s="387"/>
      <c r="F28" s="87"/>
      <c r="G28" s="87"/>
      <c r="H28" s="90">
        <f t="shared" ref="H28:H37" si="2">H27+F28+G28</f>
        <v>247291.63</v>
      </c>
      <c r="J28" s="94"/>
      <c r="K28" s="94"/>
      <c r="L28" s="95"/>
      <c r="M28" s="96"/>
    </row>
    <row r="29" spans="1:13" s="78" customFormat="1">
      <c r="A29" s="98"/>
      <c r="B29" s="393" t="s">
        <v>1608</v>
      </c>
      <c r="C29" s="416" t="s">
        <v>631</v>
      </c>
      <c r="D29" s="384"/>
      <c r="E29" s="384"/>
      <c r="F29" s="90"/>
      <c r="G29" s="90"/>
      <c r="H29" s="90">
        <f t="shared" si="2"/>
        <v>247291.63</v>
      </c>
      <c r="J29" s="94"/>
      <c r="K29" s="94"/>
      <c r="L29" s="95"/>
      <c r="M29" s="96"/>
    </row>
    <row r="30" spans="1:13" s="78" customFormat="1">
      <c r="A30" s="98"/>
      <c r="B30" s="92"/>
      <c r="C30" s="92"/>
      <c r="D30" s="90"/>
      <c r="E30" s="90"/>
      <c r="F30" s="90"/>
      <c r="G30" s="90"/>
      <c r="H30" s="90">
        <f t="shared" si="2"/>
        <v>247291.63</v>
      </c>
      <c r="J30" s="94"/>
      <c r="K30" s="94"/>
      <c r="L30" s="95"/>
      <c r="M30" s="96"/>
    </row>
    <row r="31" spans="1:13" s="78" customFormat="1">
      <c r="A31" s="428">
        <v>45688</v>
      </c>
      <c r="B31" s="392" t="s">
        <v>80</v>
      </c>
      <c r="C31" s="392"/>
      <c r="D31" s="387"/>
      <c r="E31" s="387">
        <v>-600</v>
      </c>
      <c r="F31" s="426"/>
      <c r="G31" s="426">
        <v>-425</v>
      </c>
      <c r="H31" s="87">
        <f t="shared" si="2"/>
        <v>246866.63</v>
      </c>
      <c r="J31" s="94"/>
      <c r="K31" s="94"/>
      <c r="L31" s="95"/>
      <c r="M31" s="96"/>
    </row>
    <row r="32" spans="1:13" s="78" customFormat="1">
      <c r="A32" s="428">
        <v>45688</v>
      </c>
      <c r="B32" s="392" t="s">
        <v>81</v>
      </c>
      <c r="C32" s="392"/>
      <c r="D32" s="387"/>
      <c r="E32" s="387">
        <v>-800</v>
      </c>
      <c r="F32" s="426"/>
      <c r="G32" s="426">
        <v>-680</v>
      </c>
      <c r="H32" s="87">
        <f t="shared" si="2"/>
        <v>246186.63</v>
      </c>
      <c r="J32" s="94"/>
      <c r="K32" s="94"/>
      <c r="L32" s="95"/>
      <c r="M32" s="96"/>
    </row>
    <row r="33" spans="1:13" s="78" customFormat="1">
      <c r="A33" s="428">
        <v>45688</v>
      </c>
      <c r="B33" s="387" t="s">
        <v>1644</v>
      </c>
      <c r="C33" s="387"/>
      <c r="D33" s="387"/>
      <c r="E33" s="387"/>
      <c r="F33" s="426"/>
      <c r="G33" s="426">
        <v>-205.5</v>
      </c>
      <c r="H33" s="87">
        <f t="shared" si="2"/>
        <v>245981.13</v>
      </c>
      <c r="J33" s="94"/>
      <c r="K33" s="94"/>
      <c r="L33" s="95"/>
      <c r="M33" s="96"/>
    </row>
    <row r="34" spans="1:13" s="78" customFormat="1">
      <c r="B34" s="417" t="s">
        <v>114</v>
      </c>
      <c r="C34" s="417"/>
      <c r="D34" s="418">
        <v>15000</v>
      </c>
      <c r="E34" s="77"/>
      <c r="F34" s="77"/>
      <c r="G34" s="77"/>
      <c r="H34" s="90">
        <f t="shared" si="2"/>
        <v>245981.13</v>
      </c>
    </row>
    <row r="35" spans="1:13" s="78" customFormat="1">
      <c r="A35" s="415"/>
      <c r="B35" s="393" t="s">
        <v>76</v>
      </c>
      <c r="C35" s="393"/>
      <c r="D35" s="387">
        <v>15000</v>
      </c>
      <c r="E35" s="387"/>
      <c r="F35" s="387">
        <v>15054.88</v>
      </c>
      <c r="G35" s="77"/>
      <c r="H35" s="90">
        <f t="shared" si="2"/>
        <v>261036.01</v>
      </c>
    </row>
    <row r="36" spans="1:13" s="78" customFormat="1">
      <c r="A36" s="397"/>
      <c r="B36" s="429" t="s">
        <v>1661</v>
      </c>
      <c r="C36" s="430"/>
      <c r="D36" s="77"/>
      <c r="E36" s="77"/>
      <c r="F36" s="77"/>
      <c r="G36" s="77"/>
      <c r="H36" s="90">
        <f t="shared" si="2"/>
        <v>261036.01</v>
      </c>
    </row>
    <row r="37" spans="1:13">
      <c r="A37" s="100"/>
      <c r="H37" s="90">
        <f t="shared" si="2"/>
        <v>261036.01</v>
      </c>
    </row>
    <row r="38" spans="1:13">
      <c r="H38" s="90"/>
    </row>
    <row r="39" spans="1:13">
      <c r="H39" s="90"/>
    </row>
    <row r="40" spans="1:13">
      <c r="A40" s="98"/>
      <c r="F40" s="109"/>
      <c r="H40" s="90"/>
    </row>
    <row r="41" spans="1:13">
      <c r="H41" s="90"/>
    </row>
    <row r="42" spans="1:13">
      <c r="A42" s="98"/>
      <c r="H42" s="90"/>
    </row>
    <row r="43" spans="1:13">
      <c r="A43" s="98"/>
      <c r="H43" s="90"/>
    </row>
    <row r="44" spans="1:13">
      <c r="A44" s="98"/>
    </row>
    <row r="45" spans="1:13">
      <c r="A45" s="98"/>
    </row>
    <row r="46" spans="1:13">
      <c r="B46" s="101"/>
      <c r="C46" s="101"/>
    </row>
    <row r="47" spans="1:13">
      <c r="B47" s="99" t="s">
        <v>115</v>
      </c>
      <c r="C47" s="101"/>
    </row>
    <row r="48" spans="1:13">
      <c r="B48" s="99" t="s">
        <v>116</v>
      </c>
      <c r="C48" s="101"/>
    </row>
    <row r="49" spans="1:13">
      <c r="B49" s="101" t="s">
        <v>117</v>
      </c>
      <c r="C49" s="101"/>
    </row>
    <row r="50" spans="1:13">
      <c r="B50" s="101" t="s">
        <v>118</v>
      </c>
      <c r="C50" s="101"/>
    </row>
    <row r="51" spans="1:13">
      <c r="B51" s="101" t="s">
        <v>119</v>
      </c>
      <c r="C51" s="101"/>
    </row>
    <row r="52" spans="1:13">
      <c r="B52" s="101"/>
      <c r="C52" s="101"/>
    </row>
    <row r="53" spans="1:13" s="78" customFormat="1">
      <c r="F53" s="78">
        <f>E59</f>
        <v>93450</v>
      </c>
      <c r="H53" s="77"/>
      <c r="J53" s="94"/>
      <c r="K53" s="94"/>
      <c r="L53" s="95"/>
      <c r="M53" s="96"/>
    </row>
    <row r="54" spans="1:13" s="78" customFormat="1">
      <c r="B54" s="110" t="s">
        <v>120</v>
      </c>
      <c r="C54" s="78">
        <v>8</v>
      </c>
      <c r="D54" s="94">
        <v>250</v>
      </c>
      <c r="E54" s="78">
        <f>D54*C54</f>
        <v>2000</v>
      </c>
      <c r="F54" s="78">
        <f>F53-E54</f>
        <v>91450</v>
      </c>
      <c r="G54" s="78" t="s">
        <v>121</v>
      </c>
      <c r="H54" s="77"/>
      <c r="J54" s="94"/>
      <c r="K54" s="94"/>
      <c r="L54" s="95"/>
      <c r="M54" s="96"/>
    </row>
    <row r="55" spans="1:13" s="78" customFormat="1">
      <c r="B55" s="110" t="s">
        <v>122</v>
      </c>
      <c r="C55" s="94">
        <v>2</v>
      </c>
      <c r="D55" s="94">
        <v>250</v>
      </c>
      <c r="E55" s="78">
        <f>D55*C55</f>
        <v>500</v>
      </c>
      <c r="F55" s="78">
        <f>F54-E55</f>
        <v>90950</v>
      </c>
      <c r="G55" s="78" t="s">
        <v>121</v>
      </c>
      <c r="H55" s="77"/>
      <c r="J55" s="94"/>
      <c r="K55" s="94"/>
      <c r="L55" s="95"/>
      <c r="M55" s="96"/>
    </row>
    <row r="56" spans="1:13" s="78" customFormat="1">
      <c r="B56" s="110" t="s">
        <v>123</v>
      </c>
      <c r="C56" s="78">
        <v>11</v>
      </c>
      <c r="D56" s="78">
        <v>250</v>
      </c>
      <c r="E56" s="78">
        <f>D56*C56</f>
        <v>2750</v>
      </c>
      <c r="F56" s="78">
        <f>F55-E56</f>
        <v>88200</v>
      </c>
      <c r="G56" s="78" t="s">
        <v>121</v>
      </c>
      <c r="H56" s="77"/>
      <c r="J56" s="94"/>
      <c r="K56" s="94"/>
      <c r="L56" s="95"/>
      <c r="M56" s="96"/>
    </row>
    <row r="57" spans="1:13" s="78" customFormat="1">
      <c r="B57" s="110" t="s">
        <v>124</v>
      </c>
      <c r="C57" s="77">
        <v>1</v>
      </c>
      <c r="D57" s="77">
        <v>8595</v>
      </c>
      <c r="E57" s="77">
        <f>D57*C57</f>
        <v>8595</v>
      </c>
      <c r="F57" s="78">
        <f>F56-E57</f>
        <v>79605</v>
      </c>
      <c r="G57" s="3" t="s">
        <v>125</v>
      </c>
      <c r="H57" s="77"/>
      <c r="J57" s="94"/>
      <c r="K57" s="94"/>
      <c r="L57" s="95"/>
      <c r="M57" s="96"/>
    </row>
    <row r="58" spans="1:13" s="78" customFormat="1">
      <c r="B58" s="110" t="s">
        <v>124</v>
      </c>
      <c r="C58" s="77">
        <v>9</v>
      </c>
      <c r="D58" s="77">
        <v>8845</v>
      </c>
      <c r="E58" s="77">
        <f>D58*C58</f>
        <v>79605</v>
      </c>
      <c r="F58" s="78">
        <f>F57-E58</f>
        <v>0</v>
      </c>
      <c r="G58" s="3" t="s">
        <v>125</v>
      </c>
      <c r="H58" s="77"/>
      <c r="J58" s="94"/>
      <c r="K58" s="94"/>
      <c r="L58" s="95"/>
      <c r="M58" s="96"/>
    </row>
    <row r="59" spans="1:13" s="78" customFormat="1">
      <c r="B59" s="94"/>
      <c r="C59" s="94"/>
      <c r="D59" s="111" t="s">
        <v>67</v>
      </c>
      <c r="E59" s="112">
        <f>SUM(E54:E58)</f>
        <v>93450</v>
      </c>
      <c r="H59" s="77"/>
      <c r="J59" s="94"/>
      <c r="K59" s="94"/>
      <c r="L59" s="95"/>
      <c r="M59" s="96"/>
    </row>
    <row r="60" spans="1:13" s="78" customFormat="1">
      <c r="B60" s="94"/>
      <c r="C60" s="94"/>
      <c r="D60" s="95"/>
      <c r="E60" s="96"/>
      <c r="H60" s="90"/>
      <c r="J60" s="94"/>
      <c r="K60" s="94"/>
      <c r="L60" s="95"/>
      <c r="M60" s="96"/>
    </row>
    <row r="61" spans="1:13" s="78" customFormat="1">
      <c r="B61" s="101" t="s">
        <v>1149</v>
      </c>
      <c r="C61" s="94"/>
      <c r="D61" s="95"/>
      <c r="E61" s="97">
        <v>45016</v>
      </c>
      <c r="G61" s="97">
        <v>45672</v>
      </c>
      <c r="J61" s="94"/>
      <c r="K61" s="94"/>
      <c r="L61" s="95"/>
      <c r="M61" s="96"/>
    </row>
    <row r="62" spans="1:13" s="78" customFormat="1">
      <c r="B62" s="8" t="s">
        <v>1151</v>
      </c>
      <c r="C62" s="388">
        <v>3085.73</v>
      </c>
      <c r="D62" s="388" t="s">
        <v>812</v>
      </c>
      <c r="E62" s="78">
        <v>18.78</v>
      </c>
      <c r="F62" s="78">
        <f>E62*C62</f>
        <v>57950.009400000003</v>
      </c>
      <c r="G62" s="388">
        <v>35.5</v>
      </c>
      <c r="H62" s="388">
        <f>G62*C62</f>
        <v>109543.41499999999</v>
      </c>
      <c r="J62" s="94"/>
      <c r="K62" s="94"/>
      <c r="L62" s="95"/>
      <c r="M62" s="96"/>
    </row>
    <row r="63" spans="1:13" s="78" customFormat="1">
      <c r="B63" s="8" t="s">
        <v>1152</v>
      </c>
      <c r="C63" s="388">
        <v>49.12</v>
      </c>
      <c r="D63" s="388" t="s">
        <v>238</v>
      </c>
      <c r="E63" s="78">
        <v>1179.83</v>
      </c>
      <c r="F63" s="78">
        <f>E63*C63</f>
        <v>57953.249599999996</v>
      </c>
      <c r="G63" s="388">
        <v>3075</v>
      </c>
      <c r="H63" s="388">
        <f>G63*C63</f>
        <v>151044</v>
      </c>
      <c r="J63" s="94"/>
      <c r="K63" s="94"/>
      <c r="L63" s="95"/>
      <c r="M63" s="96"/>
    </row>
    <row r="64" spans="1:13" s="78" customFormat="1">
      <c r="A64" s="98"/>
      <c r="B64" s="101" t="s">
        <v>1153</v>
      </c>
      <c r="C64" s="388"/>
      <c r="D64" s="388"/>
      <c r="E64" s="388"/>
      <c r="F64" s="388"/>
      <c r="G64" s="388"/>
      <c r="H64" s="77"/>
    </row>
    <row r="65" spans="1:14" s="78" customFormat="1">
      <c r="A65" s="88"/>
      <c r="B65" s="101" t="s">
        <v>1154</v>
      </c>
      <c r="C65" s="388"/>
      <c r="D65" s="388"/>
      <c r="E65" s="388"/>
      <c r="F65" s="388"/>
      <c r="G65" s="388"/>
      <c r="H65" s="77"/>
    </row>
    <row r="66" spans="1:14" s="77" customFormat="1">
      <c r="B66" s="102"/>
      <c r="K66" s="78"/>
      <c r="L66" s="78"/>
      <c r="M66" s="78"/>
      <c r="N66" s="78"/>
    </row>
    <row r="67" spans="1:14" s="77" customFormat="1">
      <c r="A67" s="103"/>
      <c r="B67" s="104" t="s">
        <v>83</v>
      </c>
      <c r="C67" s="103"/>
      <c r="E67" s="77">
        <f>SUM(E68:E79)</f>
        <v>0</v>
      </c>
      <c r="K67" s="78"/>
      <c r="L67" s="78"/>
      <c r="M67" s="78"/>
      <c r="N67" s="78"/>
    </row>
    <row r="68" spans="1:14" ht="15">
      <c r="B68" t="s">
        <v>126</v>
      </c>
      <c r="E68" s="105" t="s">
        <v>84</v>
      </c>
    </row>
    <row r="69" spans="1:14" s="77" customFormat="1">
      <c r="A69" s="88"/>
      <c r="K69" s="78"/>
      <c r="L69" s="78"/>
      <c r="M69" s="78"/>
      <c r="N69" s="78"/>
    </row>
    <row r="70" spans="1:14" s="77" customFormat="1">
      <c r="A70" s="88">
        <v>45715</v>
      </c>
      <c r="B70" s="77" t="s">
        <v>1650</v>
      </c>
      <c r="C70" s="77">
        <v>5938.68</v>
      </c>
      <c r="D70" s="77" t="s">
        <v>1646</v>
      </c>
      <c r="K70" s="78"/>
      <c r="L70" s="78"/>
      <c r="M70" s="78"/>
      <c r="N70" s="78"/>
    </row>
    <row r="71" spans="1:14" s="77" customFormat="1">
      <c r="A71" s="88"/>
      <c r="K71" s="78"/>
      <c r="L71" s="78"/>
      <c r="M71" s="78"/>
      <c r="N71" s="78"/>
    </row>
    <row r="72" spans="1:14" s="77" customFormat="1">
      <c r="A72" s="88"/>
      <c r="B72" s="77" t="s">
        <v>1648</v>
      </c>
      <c r="K72" s="78"/>
      <c r="L72" s="78"/>
      <c r="M72" s="78"/>
      <c r="N72" s="78"/>
    </row>
    <row r="73" spans="1:14">
      <c r="B73" s="77">
        <v>989.78</v>
      </c>
      <c r="C73" s="77">
        <v>6</v>
      </c>
      <c r="D73" s="77">
        <f>C73*B73</f>
        <v>5938.68</v>
      </c>
    </row>
    <row r="74" spans="1:14" s="77" customFormat="1">
      <c r="A74" s="100"/>
      <c r="B74" s="77">
        <f>D74/C73/2</f>
        <v>469.89833333333337</v>
      </c>
      <c r="D74" s="77">
        <f>D73-299.9</f>
        <v>5638.7800000000007</v>
      </c>
      <c r="K74" s="78"/>
      <c r="L74" s="78"/>
      <c r="M74" s="78"/>
      <c r="N74" s="78"/>
    </row>
    <row r="75" spans="1:14" s="77" customFormat="1">
      <c r="A75" s="100"/>
      <c r="B75" s="77" t="s">
        <v>1647</v>
      </c>
      <c r="K75" s="78"/>
      <c r="L75" s="78"/>
      <c r="M75" s="78"/>
      <c r="N75" s="78"/>
    </row>
    <row r="76" spans="1:14" s="77" customFormat="1">
      <c r="A76" s="100"/>
      <c r="B76" s="77" t="s">
        <v>1649</v>
      </c>
      <c r="D76" s="419">
        <f>D73-D74</f>
        <v>299.89999999999964</v>
      </c>
      <c r="K76" s="78"/>
      <c r="L76" s="78"/>
      <c r="M76" s="78"/>
      <c r="N76" s="78"/>
    </row>
    <row r="77" spans="1:14" s="77" customFormat="1">
      <c r="A77" s="100"/>
      <c r="K77" s="78"/>
      <c r="L77" s="78"/>
      <c r="M77" s="78"/>
      <c r="N77" s="78"/>
    </row>
    <row r="78" spans="1:14" s="77" customFormat="1">
      <c r="A78" s="100"/>
      <c r="K78" s="78"/>
      <c r="L78" s="78"/>
      <c r="M78" s="78"/>
      <c r="N78" s="78"/>
    </row>
    <row r="79" spans="1:14" s="77" customFormat="1">
      <c r="A79" s="100"/>
      <c r="B79" s="107"/>
      <c r="C79" s="106"/>
      <c r="K79" s="78"/>
      <c r="L79" s="78"/>
      <c r="M79" s="78"/>
      <c r="N79" s="78"/>
    </row>
    <row r="80" spans="1:14" s="77" customFormat="1">
      <c r="A80" s="100"/>
      <c r="B80" s="3"/>
      <c r="K80" s="78"/>
      <c r="L80" s="78"/>
      <c r="M80" s="78"/>
      <c r="N80" s="78"/>
    </row>
    <row r="81" spans="1:14" s="77" customFormat="1">
      <c r="A81" s="100"/>
      <c r="B81" s="106"/>
      <c r="C81" s="106"/>
      <c r="K81" s="78"/>
      <c r="L81" s="78"/>
      <c r="M81" s="78"/>
      <c r="N81" s="78"/>
    </row>
    <row r="82" spans="1:14" s="77" customFormat="1">
      <c r="A82" s="103"/>
      <c r="B82" s="104" t="s">
        <v>85</v>
      </c>
      <c r="C82" s="103"/>
      <c r="E82" s="77">
        <f>SUM(E83:E101)</f>
        <v>-7885.3399999999992</v>
      </c>
      <c r="K82" s="78"/>
      <c r="L82" s="78"/>
      <c r="M82" s="78"/>
      <c r="N82" s="78"/>
    </row>
    <row r="83" spans="1:14" s="77" customFormat="1">
      <c r="A83" s="100"/>
      <c r="B83" s="106"/>
      <c r="C83" s="106"/>
      <c r="K83" s="78"/>
      <c r="L83" s="78"/>
      <c r="M83" s="78"/>
      <c r="N83" s="78"/>
    </row>
    <row r="84" spans="1:14" s="77" customFormat="1">
      <c r="A84" s="100">
        <v>45630</v>
      </c>
      <c r="B84" s="106" t="s">
        <v>127</v>
      </c>
      <c r="C84" s="106"/>
      <c r="E84" s="77">
        <v>-4408.95</v>
      </c>
      <c r="K84" s="78"/>
      <c r="L84" s="78"/>
      <c r="M84" s="78"/>
      <c r="N84" s="78"/>
    </row>
    <row r="85" spans="1:14" s="77" customFormat="1">
      <c r="A85" s="100"/>
      <c r="B85" s="3" t="s">
        <v>128</v>
      </c>
      <c r="C85" s="106"/>
      <c r="E85" s="77">
        <v>-215.45</v>
      </c>
      <c r="K85" s="78"/>
      <c r="L85" s="78"/>
      <c r="M85" s="78"/>
      <c r="N85" s="78"/>
    </row>
    <row r="86" spans="1:14" s="77" customFormat="1">
      <c r="A86" s="100">
        <v>45621</v>
      </c>
      <c r="B86" s="3" t="s">
        <v>129</v>
      </c>
      <c r="C86" s="106"/>
      <c r="E86" s="77">
        <v>-200</v>
      </c>
      <c r="K86" s="78"/>
      <c r="L86" s="78"/>
      <c r="M86" s="78"/>
      <c r="N86" s="78"/>
    </row>
    <row r="87" spans="1:14" s="77" customFormat="1">
      <c r="A87" s="100">
        <v>45630</v>
      </c>
      <c r="B87" s="3" t="s">
        <v>130</v>
      </c>
      <c r="C87" s="106">
        <v>9239.0300000000007</v>
      </c>
      <c r="E87" s="77">
        <v>-250</v>
      </c>
      <c r="K87" s="78"/>
      <c r="L87" s="78"/>
      <c r="M87" s="78"/>
      <c r="N87" s="78"/>
    </row>
    <row r="88" spans="1:14" s="77" customFormat="1">
      <c r="A88" s="100"/>
      <c r="B88" s="3" t="s">
        <v>128</v>
      </c>
      <c r="C88" s="106"/>
      <c r="E88" s="77">
        <v>-230.94</v>
      </c>
      <c r="K88" s="78"/>
      <c r="L88" s="78"/>
      <c r="M88" s="78"/>
      <c r="N88" s="78"/>
    </row>
    <row r="89" spans="1:14" s="77" customFormat="1">
      <c r="A89" s="100"/>
      <c r="B89" s="3" t="s">
        <v>131</v>
      </c>
      <c r="C89" s="106"/>
      <c r="E89" s="77">
        <v>-600</v>
      </c>
      <c r="K89" s="78"/>
      <c r="L89" s="78"/>
      <c r="M89" s="78"/>
      <c r="N89" s="78"/>
    </row>
    <row r="90" spans="1:14" s="77" customFormat="1">
      <c r="A90" s="100">
        <v>45633</v>
      </c>
      <c r="B90" s="3" t="s">
        <v>132</v>
      </c>
      <c r="C90" s="106"/>
      <c r="E90" s="77">
        <v>-200</v>
      </c>
      <c r="K90" s="78"/>
      <c r="L90" s="78"/>
      <c r="M90" s="78"/>
      <c r="N90" s="78"/>
    </row>
    <row r="91" spans="1:14" s="77" customFormat="1">
      <c r="A91" s="100"/>
      <c r="B91" s="3" t="s">
        <v>133</v>
      </c>
      <c r="C91" s="106"/>
      <c r="E91" s="77">
        <v>-500</v>
      </c>
      <c r="K91" s="78"/>
      <c r="L91" s="78"/>
      <c r="M91" s="78"/>
      <c r="N91" s="78"/>
    </row>
    <row r="92" spans="1:14" s="77" customFormat="1">
      <c r="A92" s="100"/>
      <c r="B92" s="3" t="s">
        <v>134</v>
      </c>
      <c r="C92" s="106"/>
      <c r="E92" s="77">
        <v>-630</v>
      </c>
      <c r="K92" s="78"/>
      <c r="L92" s="78"/>
      <c r="M92" s="78"/>
      <c r="N92" s="78"/>
    </row>
    <row r="93" spans="1:14" s="77" customFormat="1">
      <c r="A93" s="100"/>
      <c r="B93" s="3" t="s">
        <v>135</v>
      </c>
      <c r="C93" s="106"/>
      <c r="E93" s="77">
        <v>-50</v>
      </c>
      <c r="K93" s="78"/>
      <c r="L93" s="78"/>
      <c r="M93" s="78"/>
      <c r="N93" s="78"/>
    </row>
    <row r="94" spans="1:14" s="77" customFormat="1">
      <c r="A94" s="100"/>
      <c r="B94" s="3" t="s">
        <v>133</v>
      </c>
      <c r="C94" s="106"/>
      <c r="E94" s="77">
        <v>-500</v>
      </c>
      <c r="K94" s="78"/>
      <c r="L94" s="78"/>
      <c r="M94" s="78"/>
      <c r="N94" s="78"/>
    </row>
    <row r="95" spans="1:14" s="77" customFormat="1">
      <c r="A95" s="100">
        <v>45649</v>
      </c>
      <c r="B95" s="3" t="s">
        <v>86</v>
      </c>
      <c r="C95" s="106"/>
      <c r="E95" s="77">
        <v>-100</v>
      </c>
      <c r="K95" s="78"/>
      <c r="L95" s="78"/>
      <c r="M95" s="78"/>
      <c r="N95" s="78"/>
    </row>
    <row r="96" spans="1:14" s="77" customFormat="1" ht="15">
      <c r="A96" s="100"/>
      <c r="B96" s="3"/>
      <c r="C96" s="106"/>
      <c r="E96" s="105" t="s">
        <v>84</v>
      </c>
      <c r="K96" s="78"/>
      <c r="L96" s="78"/>
      <c r="M96" s="78"/>
      <c r="N96" s="78"/>
    </row>
    <row r="97" spans="1:14" s="77" customFormat="1">
      <c r="A97" s="100"/>
      <c r="B97" s="3"/>
      <c r="C97" s="106"/>
      <c r="K97" s="78"/>
      <c r="L97" s="78"/>
      <c r="M97" s="78"/>
      <c r="N97" s="78"/>
    </row>
    <row r="98" spans="1:14" s="77" customFormat="1">
      <c r="A98" s="100"/>
      <c r="B98" s="3"/>
      <c r="C98" s="106"/>
      <c r="K98" s="78"/>
      <c r="L98" s="78"/>
      <c r="M98" s="78"/>
      <c r="N98" s="78"/>
    </row>
    <row r="99" spans="1:14" s="77" customFormat="1">
      <c r="A99" s="100"/>
      <c r="B99" s="3"/>
      <c r="C99" s="106"/>
      <c r="K99" s="78"/>
      <c r="L99" s="78"/>
      <c r="M99" s="78"/>
      <c r="N99" s="78"/>
    </row>
    <row r="100" spans="1:14" s="77" customFormat="1">
      <c r="A100" s="100"/>
      <c r="B100" s="3"/>
      <c r="C100" s="106"/>
      <c r="K100" s="78"/>
      <c r="L100" s="78"/>
      <c r="M100" s="78"/>
      <c r="N100" s="78"/>
    </row>
    <row r="101" spans="1:14" s="77" customFormat="1">
      <c r="A101" s="100"/>
      <c r="B101" s="3"/>
      <c r="C101" s="106"/>
      <c r="K101" s="78"/>
      <c r="L101" s="78"/>
      <c r="M101" s="78"/>
      <c r="N101" s="78"/>
    </row>
    <row r="102" spans="1:14" s="77" customFormat="1">
      <c r="A102" s="100"/>
      <c r="B102" s="3"/>
      <c r="K102" s="78"/>
      <c r="L102" s="78"/>
      <c r="M102" s="78"/>
      <c r="N102" s="78"/>
    </row>
    <row r="103" spans="1:14" s="77" customFormat="1">
      <c r="A103" s="100"/>
      <c r="B103" s="3"/>
      <c r="C103" s="106"/>
      <c r="K103" s="78"/>
      <c r="L103" s="78"/>
      <c r="M103" s="78"/>
      <c r="N103" s="78"/>
    </row>
    <row r="104" spans="1:14" s="77" customFormat="1">
      <c r="A104" s="100"/>
      <c r="B104" s="3"/>
      <c r="C104" s="106"/>
      <c r="K104" s="78"/>
      <c r="L104" s="78"/>
      <c r="M104" s="78"/>
      <c r="N104" s="78"/>
    </row>
    <row r="105" spans="1:14" s="77" customFormat="1">
      <c r="A105" s="100"/>
      <c r="B105" s="3"/>
      <c r="C105" s="106"/>
      <c r="K105" s="78"/>
      <c r="L105" s="78"/>
      <c r="M105" s="78"/>
      <c r="N105" s="78"/>
    </row>
    <row r="107" spans="1:14" s="77" customFormat="1">
      <c r="A107" s="113" t="s">
        <v>136</v>
      </c>
      <c r="B107" s="104" t="s">
        <v>137</v>
      </c>
      <c r="C107" s="103">
        <v>2025</v>
      </c>
      <c r="G107" s="77">
        <f>SUM(G111:G139)</f>
        <v>906718.19331999996</v>
      </c>
      <c r="K107" s="78"/>
      <c r="L107" s="78"/>
      <c r="M107" s="78"/>
      <c r="N107" s="78"/>
    </row>
    <row r="108" spans="1:14" s="77" customFormat="1">
      <c r="A108" s="113"/>
      <c r="B108" s="104"/>
      <c r="C108" s="103"/>
      <c r="K108" s="78"/>
      <c r="L108" s="78"/>
      <c r="M108" s="78"/>
      <c r="N108" s="78"/>
    </row>
    <row r="109" spans="1:14" s="77" customFormat="1">
      <c r="A109" s="113"/>
      <c r="B109" s="104"/>
      <c r="C109" s="103"/>
      <c r="E109" s="77" t="s">
        <v>138</v>
      </c>
      <c r="K109" s="78"/>
      <c r="L109" s="78"/>
      <c r="M109" s="78"/>
      <c r="N109" s="78"/>
    </row>
    <row r="110" spans="1:14" s="77" customFormat="1">
      <c r="A110" s="100"/>
      <c r="B110" s="77" t="s">
        <v>77</v>
      </c>
      <c r="G110" s="77">
        <v>0</v>
      </c>
      <c r="K110" s="78"/>
      <c r="L110" s="78"/>
      <c r="M110" s="78"/>
      <c r="N110" s="78"/>
    </row>
    <row r="111" spans="1:14" s="77" customFormat="1">
      <c r="A111" s="100"/>
      <c r="B111" s="77" t="s">
        <v>78</v>
      </c>
      <c r="G111" s="77">
        <v>0</v>
      </c>
      <c r="K111" s="78"/>
      <c r="L111" s="78"/>
      <c r="M111" s="78"/>
      <c r="N111" s="78"/>
    </row>
    <row r="112" spans="1:14" s="77" customFormat="1">
      <c r="A112" s="100">
        <v>45691</v>
      </c>
      <c r="B112" s="77" t="s">
        <v>139</v>
      </c>
      <c r="G112" s="77">
        <v>221330</v>
      </c>
      <c r="K112" s="78"/>
      <c r="L112" s="78"/>
      <c r="M112" s="78"/>
      <c r="N112" s="78"/>
    </row>
    <row r="113" spans="1:14" s="77" customFormat="1">
      <c r="A113" s="100">
        <v>45691</v>
      </c>
      <c r="B113" s="77" t="s">
        <v>140</v>
      </c>
      <c r="C113" s="2"/>
      <c r="D113" s="2"/>
      <c r="G113" s="17">
        <v>5000</v>
      </c>
      <c r="K113" s="78"/>
      <c r="L113" s="78"/>
      <c r="M113" s="78"/>
      <c r="N113" s="78"/>
    </row>
    <row r="114" spans="1:14" s="77" customFormat="1">
      <c r="A114" s="100"/>
      <c r="B114" s="77" t="s">
        <v>141</v>
      </c>
      <c r="C114" s="2"/>
      <c r="D114" s="2"/>
      <c r="G114" s="17"/>
      <c r="K114" s="78"/>
      <c r="L114" s="78"/>
      <c r="M114" s="78"/>
      <c r="N114" s="78"/>
    </row>
    <row r="115" spans="1:14" s="77" customFormat="1">
      <c r="A115" s="100"/>
      <c r="C115" s="2"/>
      <c r="D115" s="2"/>
      <c r="G115" s="17"/>
      <c r="K115" s="78"/>
      <c r="L115" s="78"/>
      <c r="M115" s="78"/>
      <c r="N115" s="78"/>
    </row>
    <row r="116" spans="1:14" s="77" customFormat="1">
      <c r="A116" s="100"/>
      <c r="C116" s="2"/>
      <c r="D116" s="2"/>
      <c r="G116" s="17"/>
      <c r="K116" s="78"/>
      <c r="L116" s="78"/>
      <c r="M116" s="78"/>
      <c r="N116" s="78"/>
    </row>
    <row r="117" spans="1:14" s="77" customFormat="1">
      <c r="A117" s="100">
        <v>45553</v>
      </c>
      <c r="B117" s="82" t="s">
        <v>142</v>
      </c>
      <c r="C117" s="114">
        <v>25</v>
      </c>
      <c r="D117" s="115">
        <v>752.55561799999998</v>
      </c>
      <c r="E117" s="116">
        <f t="shared" ref="E117:E122" si="3">D117*C117</f>
        <v>18813.890449999999</v>
      </c>
      <c r="F117" s="404">
        <v>899.26057400000002</v>
      </c>
      <c r="G117" s="17">
        <f t="shared" ref="G117:G122" si="4">F117*C117</f>
        <v>22481.514350000001</v>
      </c>
      <c r="I117" s="77">
        <f>G117-E117</f>
        <v>3667.6239000000023</v>
      </c>
      <c r="K117" s="78"/>
      <c r="L117" s="78"/>
      <c r="M117" s="78"/>
      <c r="N117" s="78"/>
    </row>
    <row r="118" spans="1:14" s="77" customFormat="1">
      <c r="A118" s="100">
        <v>45667</v>
      </c>
      <c r="B118" s="82" t="s">
        <v>142</v>
      </c>
      <c r="C118" s="114">
        <v>100</v>
      </c>
      <c r="D118" s="115">
        <v>872.26366499999995</v>
      </c>
      <c r="E118" s="116">
        <f t="shared" si="3"/>
        <v>87226.366499999989</v>
      </c>
      <c r="F118" s="405">
        <f>F117</f>
        <v>899.26057400000002</v>
      </c>
      <c r="G118" s="17">
        <f t="shared" si="4"/>
        <v>89926.057400000005</v>
      </c>
      <c r="I118" s="90">
        <f t="shared" ref="I118:I122" si="5">G118-E118</f>
        <v>2699.690900000016</v>
      </c>
      <c r="K118" s="78"/>
      <c r="L118" s="78"/>
      <c r="M118" s="78"/>
      <c r="N118" s="78"/>
    </row>
    <row r="119" spans="1:14" s="90" customFormat="1">
      <c r="A119" s="100">
        <v>45672</v>
      </c>
      <c r="B119" s="82" t="s">
        <v>142</v>
      </c>
      <c r="C119" s="114">
        <v>55</v>
      </c>
      <c r="D119" s="115">
        <v>877.65409299999999</v>
      </c>
      <c r="E119" s="116">
        <f t="shared" si="3"/>
        <v>48270.975115000001</v>
      </c>
      <c r="F119" s="405">
        <f>F118</f>
        <v>899.26057400000002</v>
      </c>
      <c r="G119" s="17">
        <f t="shared" si="4"/>
        <v>49459.331570000002</v>
      </c>
      <c r="I119" s="90">
        <f t="shared" si="5"/>
        <v>1188.356455000001</v>
      </c>
      <c r="K119" s="78"/>
      <c r="L119" s="78"/>
      <c r="M119" s="78"/>
      <c r="N119" s="78"/>
    </row>
    <row r="120" spans="1:14" s="90" customFormat="1">
      <c r="A120" s="100">
        <v>45680</v>
      </c>
      <c r="B120" s="82" t="s">
        <v>1610</v>
      </c>
      <c r="C120" s="114">
        <v>120</v>
      </c>
      <c r="D120" s="115">
        <v>305</v>
      </c>
      <c r="E120" s="116">
        <f t="shared" si="3"/>
        <v>36600</v>
      </c>
      <c r="F120" s="90">
        <v>313.75</v>
      </c>
      <c r="G120" s="17">
        <f t="shared" si="4"/>
        <v>37650</v>
      </c>
      <c r="I120" s="90">
        <f t="shared" si="5"/>
        <v>1050</v>
      </c>
      <c r="K120" s="78"/>
      <c r="L120" s="78"/>
      <c r="M120" s="78"/>
      <c r="N120" s="78"/>
    </row>
    <row r="121" spans="1:14" s="77" customFormat="1">
      <c r="A121" s="100">
        <v>45620</v>
      </c>
      <c r="B121" s="82" t="s">
        <v>1612</v>
      </c>
      <c r="C121" s="114">
        <v>4000</v>
      </c>
      <c r="D121" s="114">
        <v>32.549999999999997</v>
      </c>
      <c r="E121" s="116">
        <f t="shared" si="3"/>
        <v>130199.99999999999</v>
      </c>
      <c r="F121" s="77">
        <v>33.549999999999997</v>
      </c>
      <c r="G121" s="17">
        <f t="shared" si="4"/>
        <v>134200</v>
      </c>
      <c r="I121" s="90">
        <f t="shared" si="5"/>
        <v>4000.0000000000146</v>
      </c>
      <c r="K121" s="78"/>
      <c r="L121" s="78"/>
      <c r="M121" s="78"/>
      <c r="N121" s="78"/>
    </row>
    <row r="122" spans="1:14" s="77" customFormat="1" ht="13.5" thickBot="1">
      <c r="A122" s="100">
        <v>45659</v>
      </c>
      <c r="B122" s="82" t="s">
        <v>1611</v>
      </c>
      <c r="C122" s="114">
        <v>4000</v>
      </c>
      <c r="D122" s="115">
        <v>30.86</v>
      </c>
      <c r="E122" s="116">
        <f t="shared" si="3"/>
        <v>123440</v>
      </c>
      <c r="F122" s="77">
        <f>F121</f>
        <v>33.549999999999997</v>
      </c>
      <c r="G122" s="17">
        <f t="shared" si="4"/>
        <v>134200</v>
      </c>
      <c r="H122" s="420">
        <f>SUM(G117:G122)</f>
        <v>467916.90332000004</v>
      </c>
      <c r="I122" s="90">
        <f t="shared" si="5"/>
        <v>10760</v>
      </c>
      <c r="K122" s="78"/>
      <c r="L122" s="78"/>
      <c r="M122" s="78"/>
      <c r="N122" s="78"/>
    </row>
    <row r="123" spans="1:14" s="77" customFormat="1" ht="15.75" thickBot="1">
      <c r="A123" s="100"/>
      <c r="C123" s="2"/>
      <c r="D123" s="2"/>
      <c r="E123" s="77">
        <f>SUM(E117:E122)</f>
        <v>444551.23206499999</v>
      </c>
      <c r="F123" s="105" t="s">
        <v>84</v>
      </c>
      <c r="G123" s="17"/>
      <c r="H123" s="117">
        <f>(SUM(G117:G122))-(SUM(E117:E122))</f>
        <v>23365.671255000052</v>
      </c>
      <c r="I123" s="117">
        <f>SUM(I117:I122)</f>
        <v>23365.671255000034</v>
      </c>
      <c r="K123" s="78"/>
      <c r="L123" s="78"/>
      <c r="M123" s="78"/>
      <c r="N123" s="78"/>
    </row>
    <row r="124" spans="1:14" s="77" customFormat="1">
      <c r="A124" s="100"/>
      <c r="C124" s="2"/>
      <c r="D124" s="2"/>
      <c r="K124" s="78"/>
      <c r="L124" s="78"/>
      <c r="M124" s="78"/>
      <c r="N124" s="78"/>
    </row>
    <row r="125" spans="1:14" s="77" customFormat="1">
      <c r="A125" s="100">
        <v>45509</v>
      </c>
      <c r="B125" s="82" t="s">
        <v>148</v>
      </c>
      <c r="C125" s="114">
        <v>1</v>
      </c>
      <c r="D125" s="83">
        <v>2500</v>
      </c>
      <c r="E125" s="116">
        <f>D125*C125</f>
        <v>2500</v>
      </c>
      <c r="F125" s="77">
        <v>3250</v>
      </c>
      <c r="G125" s="17">
        <f>C125*F125</f>
        <v>3250</v>
      </c>
      <c r="I125" s="90">
        <f t="shared" ref="I125:I127" si="6">G125-E125</f>
        <v>750</v>
      </c>
      <c r="K125" s="78"/>
      <c r="L125" s="78"/>
      <c r="M125" s="78"/>
      <c r="N125" s="78"/>
    </row>
    <row r="126" spans="1:14" s="77" customFormat="1">
      <c r="A126" s="100">
        <v>45509</v>
      </c>
      <c r="B126" s="82" t="s">
        <v>149</v>
      </c>
      <c r="C126" s="114">
        <v>16</v>
      </c>
      <c r="D126" s="83">
        <v>4100</v>
      </c>
      <c r="E126" s="116">
        <f>D126*C126</f>
        <v>65600</v>
      </c>
      <c r="F126" s="77">
        <v>5300</v>
      </c>
      <c r="G126" s="17">
        <f>C126*F126</f>
        <v>84800</v>
      </c>
      <c r="I126" s="90">
        <f t="shared" si="6"/>
        <v>19200</v>
      </c>
      <c r="K126" s="78"/>
      <c r="L126" s="78"/>
      <c r="M126" s="78"/>
      <c r="N126" s="78"/>
    </row>
    <row r="127" spans="1:14" s="77" customFormat="1">
      <c r="A127" s="100">
        <v>45509</v>
      </c>
      <c r="B127" s="82" t="s">
        <v>150</v>
      </c>
      <c r="C127" s="114">
        <v>1</v>
      </c>
      <c r="D127" s="83">
        <v>16200</v>
      </c>
      <c r="E127" s="116">
        <f>D127*C127</f>
        <v>16200</v>
      </c>
      <c r="F127" s="77">
        <f>F126*4</f>
        <v>21200</v>
      </c>
      <c r="G127" s="17">
        <f>C127*F127</f>
        <v>21200</v>
      </c>
      <c r="H127" s="420">
        <f>SUM(G125:G127)</f>
        <v>109250</v>
      </c>
      <c r="I127" s="90">
        <f t="shared" si="6"/>
        <v>5000</v>
      </c>
      <c r="K127" s="78"/>
      <c r="L127" s="78"/>
      <c r="M127" s="78"/>
      <c r="N127" s="78"/>
    </row>
    <row r="128" spans="1:14" s="77" customFormat="1" ht="15.75" thickBot="1">
      <c r="A128" s="100"/>
      <c r="C128" s="2"/>
      <c r="D128" s="2"/>
      <c r="E128" s="77">
        <f>SUM(E125:E127)</f>
        <v>84300</v>
      </c>
      <c r="F128" s="105" t="s">
        <v>84</v>
      </c>
      <c r="H128" s="117">
        <f>(SUM(G125:G127))-(SUM(E125:E127))</f>
        <v>24950</v>
      </c>
      <c r="K128" s="78"/>
      <c r="L128" s="78"/>
      <c r="M128" s="78"/>
      <c r="N128" s="78"/>
    </row>
    <row r="129" spans="1:14" s="90" customFormat="1" ht="15">
      <c r="A129" s="100"/>
      <c r="C129" s="12"/>
      <c r="D129" s="12"/>
      <c r="F129" s="182"/>
      <c r="H129" s="443"/>
      <c r="K129" s="78"/>
      <c r="L129" s="78"/>
      <c r="M129" s="78"/>
      <c r="N129" s="78"/>
    </row>
    <row r="130" spans="1:14" s="77" customFormat="1">
      <c r="A130" s="100">
        <v>45345</v>
      </c>
      <c r="B130" s="82" t="s">
        <v>144</v>
      </c>
      <c r="C130" s="118">
        <v>125000</v>
      </c>
      <c r="D130" s="83">
        <v>1.0399430000000001</v>
      </c>
      <c r="E130" s="116">
        <f>D130*C130</f>
        <v>129992.87500000001</v>
      </c>
      <c r="F130" s="119">
        <v>0.79772600000000005</v>
      </c>
      <c r="G130" s="17">
        <f>F130*C130</f>
        <v>99715.75</v>
      </c>
      <c r="I130" s="90">
        <f t="shared" ref="I130" si="7">G130-E130</f>
        <v>-30277.125000000015</v>
      </c>
      <c r="K130" s="78"/>
      <c r="L130" s="78"/>
      <c r="M130" s="78"/>
      <c r="N130" s="78"/>
    </row>
    <row r="131" spans="1:14" s="77" customFormat="1">
      <c r="A131" s="100">
        <v>45400</v>
      </c>
      <c r="B131" s="82" t="s">
        <v>145</v>
      </c>
      <c r="C131" s="114">
        <v>10</v>
      </c>
      <c r="D131" s="83">
        <v>135</v>
      </c>
      <c r="E131" s="116">
        <f>D131*C131</f>
        <v>1350</v>
      </c>
      <c r="F131" s="77">
        <v>118.2</v>
      </c>
      <c r="G131" s="17">
        <f>F131*C131</f>
        <v>1182</v>
      </c>
      <c r="I131" s="90">
        <f t="shared" ref="I131:I133" si="8">G131-E131</f>
        <v>-168</v>
      </c>
      <c r="K131" s="78"/>
      <c r="L131" s="78"/>
      <c r="M131" s="78"/>
      <c r="N131" s="78"/>
    </row>
    <row r="132" spans="1:14" s="77" customFormat="1">
      <c r="A132" s="100">
        <v>45418</v>
      </c>
      <c r="B132" s="82" t="s">
        <v>146</v>
      </c>
      <c r="C132" s="114">
        <v>38</v>
      </c>
      <c r="D132" s="83">
        <v>30.5</v>
      </c>
      <c r="E132" s="116">
        <f>D132*C132</f>
        <v>1159</v>
      </c>
      <c r="F132" s="77">
        <v>17.670000000000002</v>
      </c>
      <c r="G132" s="17">
        <f>F132*C132</f>
        <v>671.46</v>
      </c>
      <c r="I132" s="90">
        <f t="shared" si="8"/>
        <v>-487.53999999999996</v>
      </c>
      <c r="K132" s="78"/>
      <c r="L132" s="78"/>
      <c r="M132" s="78"/>
      <c r="N132" s="78"/>
    </row>
    <row r="133" spans="1:14" s="77" customFormat="1">
      <c r="A133" s="100">
        <v>45418</v>
      </c>
      <c r="B133" s="82" t="s">
        <v>147</v>
      </c>
      <c r="C133" s="114">
        <v>26</v>
      </c>
      <c r="D133" s="83">
        <v>37.115000000000002</v>
      </c>
      <c r="E133" s="116">
        <f>D133*C133</f>
        <v>964.99</v>
      </c>
      <c r="F133" s="77">
        <v>25.08</v>
      </c>
      <c r="G133" s="17">
        <f>F133*C133</f>
        <v>652.07999999999993</v>
      </c>
      <c r="H133" s="420">
        <f>SUM(G130:G133)</f>
        <v>102221.29000000001</v>
      </c>
      <c r="I133" s="90">
        <f t="shared" si="8"/>
        <v>-312.91000000000008</v>
      </c>
      <c r="K133" s="78"/>
      <c r="L133" s="78"/>
      <c r="M133" s="78"/>
      <c r="N133" s="78"/>
    </row>
    <row r="134" spans="1:14" s="77" customFormat="1" ht="15.75" thickBot="1">
      <c r="A134" s="100"/>
      <c r="C134" s="2"/>
      <c r="D134" s="2"/>
      <c r="E134" s="77">
        <f>SUM(E130:E133)</f>
        <v>133466.86499999999</v>
      </c>
      <c r="F134" s="105" t="s">
        <v>84</v>
      </c>
      <c r="H134" s="117">
        <f>(SUM(G130:G133))-(SUM(E130:E133))</f>
        <v>-31245.574999999983</v>
      </c>
      <c r="K134" s="78"/>
      <c r="L134" s="78"/>
      <c r="M134" s="78"/>
      <c r="N134" s="78"/>
    </row>
    <row r="136" spans="1:14" s="77" customFormat="1">
      <c r="A136" s="100"/>
      <c r="B136" s="77" t="s">
        <v>151</v>
      </c>
      <c r="C136" s="120">
        <v>33.250599999999999</v>
      </c>
      <c r="D136" s="2"/>
      <c r="G136" s="17"/>
      <c r="K136" s="78"/>
      <c r="L136" s="78"/>
      <c r="M136" s="78"/>
      <c r="N136" s="78"/>
    </row>
    <row r="137" spans="1:14" s="77" customFormat="1">
      <c r="A137" s="100"/>
      <c r="B137" s="77" t="s">
        <v>152</v>
      </c>
      <c r="C137" s="120">
        <v>36.854999999999997</v>
      </c>
      <c r="D137" s="2"/>
      <c r="G137" s="17"/>
      <c r="K137" s="78"/>
      <c r="L137" s="78"/>
      <c r="M137" s="78"/>
      <c r="N137" s="78"/>
    </row>
    <row r="138" spans="1:14" s="77" customFormat="1">
      <c r="A138" s="100"/>
      <c r="B138" s="77" t="s">
        <v>153</v>
      </c>
      <c r="C138" s="2"/>
      <c r="D138" s="2"/>
      <c r="G138" s="17">
        <v>0</v>
      </c>
      <c r="K138" s="78"/>
      <c r="L138" s="78"/>
      <c r="M138" s="78"/>
      <c r="N138" s="78"/>
    </row>
    <row r="139" spans="1:14" s="77" customFormat="1" ht="13.5" thickBot="1">
      <c r="A139" s="100"/>
      <c r="B139" s="77" t="s">
        <v>154</v>
      </c>
      <c r="C139" s="2"/>
      <c r="D139" s="2"/>
      <c r="G139" s="17">
        <v>1000</v>
      </c>
      <c r="K139" s="78"/>
      <c r="L139" s="78"/>
      <c r="M139" s="78"/>
      <c r="N139" s="78"/>
    </row>
    <row r="140" spans="1:14" s="77" customFormat="1" ht="16.5" thickBot="1">
      <c r="A140" s="100"/>
      <c r="E140" s="121"/>
      <c r="F140" s="122"/>
      <c r="G140" s="123" t="s">
        <v>155</v>
      </c>
      <c r="H140" s="445">
        <f>H128+H134+H123</f>
        <v>17070.09625500007</v>
      </c>
      <c r="K140" s="78"/>
      <c r="L140" s="78"/>
      <c r="M140" s="78"/>
      <c r="N140" s="78"/>
    </row>
    <row r="141" spans="1:14" s="77" customFormat="1">
      <c r="A141" s="100"/>
      <c r="C141" s="124"/>
      <c r="D141" s="3"/>
      <c r="G141" s="124"/>
      <c r="K141" s="78"/>
      <c r="L141" s="78"/>
      <c r="M141" s="78"/>
      <c r="N141" s="78"/>
    </row>
    <row r="142" spans="1:14" s="77" customFormat="1" ht="15">
      <c r="A142" s="100"/>
      <c r="C142" s="124"/>
      <c r="D142" s="18" t="s">
        <v>156</v>
      </c>
      <c r="F142" s="105" t="s">
        <v>84</v>
      </c>
      <c r="G142" s="9">
        <f>SUM(G111:G139)</f>
        <v>906718.19331999996</v>
      </c>
      <c r="K142" s="78"/>
      <c r="L142" s="78"/>
      <c r="M142" s="78"/>
      <c r="N142" s="78"/>
    </row>
    <row r="143" spans="1:14" s="77" customFormat="1">
      <c r="A143" s="100"/>
      <c r="C143" s="125" t="str">
        <f>A107</f>
        <v>ŞUBAT 2025 e</v>
      </c>
      <c r="D143" s="126" t="s">
        <v>157</v>
      </c>
      <c r="G143" s="127"/>
      <c r="K143" s="78"/>
      <c r="L143" s="78"/>
      <c r="M143" s="78"/>
      <c r="N143" s="78"/>
    </row>
    <row r="144" spans="1:14" s="77" customFormat="1">
      <c r="K144" s="78"/>
      <c r="L144" s="78"/>
      <c r="M144" s="78"/>
      <c r="N144" s="78"/>
    </row>
    <row r="145" spans="1:14" s="77" customFormat="1">
      <c r="A145" s="100">
        <v>45667</v>
      </c>
      <c r="B145" s="82" t="s">
        <v>1614</v>
      </c>
      <c r="C145" s="118">
        <v>240</v>
      </c>
      <c r="D145" s="83">
        <v>872.26366499999995</v>
      </c>
      <c r="E145" s="116">
        <f>D145*C145</f>
        <v>209343.27959999998</v>
      </c>
      <c r="F145" s="404">
        <f>F119</f>
        <v>899.26057400000002</v>
      </c>
      <c r="G145" s="17">
        <f>F145*C145</f>
        <v>215822.53776000001</v>
      </c>
      <c r="H145" s="90"/>
      <c r="I145" s="90">
        <f>G145-E145</f>
        <v>6479.2581600000267</v>
      </c>
      <c r="K145" s="78"/>
      <c r="L145" s="78"/>
      <c r="M145" s="78"/>
      <c r="N145" s="78"/>
    </row>
    <row r="146" spans="1:14" s="90" customFormat="1">
      <c r="A146" s="100"/>
      <c r="B146" s="408"/>
      <c r="C146" s="409"/>
      <c r="D146" s="406"/>
      <c r="E146" s="410"/>
      <c r="F146" s="440"/>
      <c r="G146" s="17"/>
      <c r="K146" s="78"/>
      <c r="L146" s="78"/>
      <c r="M146" s="78"/>
      <c r="N146" s="78"/>
    </row>
    <row r="147" spans="1:14" s="90" customFormat="1">
      <c r="A147" s="397">
        <v>45680</v>
      </c>
      <c r="B147" s="398" t="s">
        <v>142</v>
      </c>
      <c r="C147" s="399">
        <v>-15</v>
      </c>
      <c r="D147" s="400">
        <v>752.55561799999998</v>
      </c>
      <c r="E147" s="401">
        <f>D147*C147</f>
        <v>-11288.334269999999</v>
      </c>
      <c r="F147" s="402">
        <v>886.51320299999998</v>
      </c>
      <c r="G147" s="403">
        <f>F147*C147</f>
        <v>-13297.698044999999</v>
      </c>
      <c r="H147" s="402"/>
      <c r="I147" s="402">
        <f>E147-G147</f>
        <v>2009.3637749999998</v>
      </c>
      <c r="K147" s="78"/>
      <c r="L147" s="78"/>
      <c r="M147" s="78"/>
      <c r="N147" s="78"/>
    </row>
    <row r="148" spans="1:14" s="90" customFormat="1">
      <c r="A148" s="397">
        <v>45680</v>
      </c>
      <c r="B148" s="398" t="s">
        <v>1613</v>
      </c>
      <c r="C148" s="399"/>
      <c r="D148" s="400"/>
      <c r="E148" s="401">
        <v>150.77000000000001</v>
      </c>
      <c r="F148" s="402"/>
      <c r="G148" s="403"/>
      <c r="H148" s="402"/>
      <c r="I148" s="402">
        <f>G148-E148</f>
        <v>-150.77000000000001</v>
      </c>
      <c r="K148" s="78"/>
      <c r="L148" s="78"/>
      <c r="M148" s="78"/>
      <c r="N148" s="78"/>
    </row>
    <row r="149" spans="1:14" s="90" customFormat="1">
      <c r="K149" s="78"/>
      <c r="L149" s="78"/>
      <c r="M149" s="78"/>
      <c r="N149" s="78"/>
    </row>
    <row r="150" spans="1:14" s="90" customFormat="1">
      <c r="K150" s="78"/>
      <c r="L150" s="78"/>
      <c r="M150" s="78"/>
      <c r="N150" s="78"/>
    </row>
    <row r="151" spans="1:14" s="90" customFormat="1">
      <c r="K151" s="78"/>
      <c r="L151" s="78"/>
      <c r="M151" s="78"/>
      <c r="N151" s="78"/>
    </row>
    <row r="152" spans="1:14" s="90" customFormat="1">
      <c r="A152" s="406"/>
      <c r="B152" s="406"/>
      <c r="C152" s="406"/>
      <c r="D152" s="406"/>
      <c r="E152" s="406"/>
      <c r="F152" s="406"/>
      <c r="G152" s="406"/>
      <c r="K152" s="78"/>
      <c r="L152" s="78"/>
      <c r="M152" s="78"/>
      <c r="N152" s="78"/>
    </row>
    <row r="153" spans="1:14" s="90" customFormat="1">
      <c r="A153" s="406"/>
      <c r="B153" s="406"/>
      <c r="C153" s="406"/>
      <c r="D153" s="406"/>
      <c r="E153" s="406"/>
      <c r="F153" s="406"/>
      <c r="G153" s="406"/>
      <c r="K153" s="78"/>
      <c r="L153" s="78"/>
      <c r="M153" s="78"/>
      <c r="N153" s="78"/>
    </row>
    <row r="154" spans="1:14" s="77" customFormat="1">
      <c r="A154" s="406"/>
      <c r="B154" s="406"/>
      <c r="C154" s="406"/>
      <c r="D154" s="406"/>
      <c r="E154" s="406"/>
      <c r="F154" s="406"/>
      <c r="G154" s="406"/>
      <c r="K154" s="78"/>
      <c r="L154" s="78"/>
      <c r="M154" s="78"/>
      <c r="N154" s="78"/>
    </row>
    <row r="155" spans="1:14" s="77" customFormat="1">
      <c r="A155" s="406"/>
      <c r="B155" s="406"/>
      <c r="C155" s="406"/>
      <c r="D155" s="406"/>
      <c r="E155" s="406"/>
      <c r="F155" s="406"/>
      <c r="G155" s="406"/>
      <c r="K155" s="78"/>
      <c r="L155" s="78"/>
      <c r="M155" s="78"/>
      <c r="N155" s="78"/>
    </row>
    <row r="156" spans="1:14" s="77" customFormat="1">
      <c r="A156" s="407"/>
      <c r="B156" s="408"/>
      <c r="C156" s="409"/>
      <c r="D156" s="406"/>
      <c r="E156" s="410"/>
      <c r="F156" s="406"/>
      <c r="G156" s="410"/>
      <c r="K156" s="78"/>
      <c r="L156" s="78"/>
      <c r="M156" s="78"/>
      <c r="N156" s="78"/>
    </row>
    <row r="157" spans="1:14" s="77" customFormat="1">
      <c r="A157" s="100"/>
      <c r="K157" s="78"/>
      <c r="L157" s="78"/>
      <c r="M157" s="78"/>
      <c r="N157" s="78"/>
    </row>
    <row r="158" spans="1:14">
      <c r="B158" t="s">
        <v>158</v>
      </c>
      <c r="E158" s="77">
        <v>13006</v>
      </c>
    </row>
    <row r="159" spans="1:14">
      <c r="B159" t="s">
        <v>159</v>
      </c>
      <c r="D159" s="76">
        <v>0.1575</v>
      </c>
      <c r="E159" s="77">
        <f>E158*D159</f>
        <v>2048.4450000000002</v>
      </c>
    </row>
    <row r="160" spans="1:14">
      <c r="B160" t="s">
        <v>160</v>
      </c>
      <c r="E160" s="77">
        <f>SUM(E158:E159)</f>
        <v>15054.445</v>
      </c>
    </row>
    <row r="163" spans="1:12">
      <c r="A163" s="11"/>
      <c r="B163" s="98"/>
      <c r="C163" s="11"/>
      <c r="D163" s="11"/>
      <c r="E163" s="11"/>
      <c r="F163" s="11"/>
      <c r="G163" s="11"/>
      <c r="H163" s="11"/>
      <c r="K163" s="11"/>
      <c r="L163" s="11"/>
    </row>
    <row r="164" spans="1:12">
      <c r="A164" s="11"/>
      <c r="B164" s="98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spans="1:12" ht="15">
      <c r="A165" s="98"/>
      <c r="B165" s="11"/>
      <c r="D165" s="382"/>
      <c r="E165" s="11"/>
      <c r="F165" s="11"/>
      <c r="G165" s="11"/>
      <c r="H165" s="11"/>
      <c r="I165" s="11"/>
      <c r="J165" s="383"/>
    </row>
    <row r="166" spans="1:12" ht="15">
      <c r="A166" s="98"/>
      <c r="B166" s="11"/>
      <c r="D166" s="382"/>
      <c r="E166" s="11"/>
      <c r="F166" s="11"/>
      <c r="G166" s="11"/>
      <c r="H166" s="11"/>
      <c r="I166" s="11"/>
      <c r="J166" s="383"/>
    </row>
    <row r="167" spans="1:12" ht="15">
      <c r="A167" s="98"/>
      <c r="B167" s="11"/>
      <c r="C167" s="11"/>
      <c r="D167" s="382"/>
      <c r="E167" s="11"/>
      <c r="F167" s="11"/>
      <c r="G167" s="11"/>
      <c r="H167" s="11"/>
      <c r="I167" s="11"/>
      <c r="J167" s="11"/>
    </row>
    <row r="168" spans="1:12">
      <c r="A168" s="98"/>
      <c r="B168" s="11"/>
      <c r="C168" s="11"/>
      <c r="D168" s="11"/>
      <c r="E168" s="11"/>
      <c r="F168" s="11"/>
      <c r="G168" s="11"/>
      <c r="H168" s="11"/>
      <c r="I168" s="11"/>
      <c r="J168" s="11"/>
    </row>
    <row r="169" spans="1:12" ht="15">
      <c r="A169" s="98"/>
      <c r="B169" s="11"/>
      <c r="C169" s="11"/>
      <c r="D169" s="382"/>
      <c r="E169" s="11"/>
      <c r="F169" s="11"/>
      <c r="G169" s="11"/>
      <c r="H169" s="11"/>
      <c r="I169" s="11"/>
      <c r="J169" s="11"/>
    </row>
    <row r="170" spans="1:12" ht="15">
      <c r="A170" s="98"/>
      <c r="B170" s="11"/>
      <c r="C170" s="11"/>
      <c r="D170" s="382"/>
      <c r="E170" s="11"/>
      <c r="F170" s="11"/>
      <c r="G170" s="11"/>
      <c r="H170" s="11"/>
      <c r="I170" s="11"/>
      <c r="J170" s="11"/>
    </row>
    <row r="171" spans="1:12">
      <c r="C171" s="77"/>
      <c r="H171"/>
      <c r="J171" s="78"/>
    </row>
    <row r="172" spans="1:12">
      <c r="C172" s="11"/>
      <c r="H172"/>
      <c r="J172" s="78"/>
    </row>
    <row r="173" spans="1:12">
      <c r="C173" s="11"/>
      <c r="H173"/>
      <c r="J173" s="78"/>
    </row>
    <row r="174" spans="1:12">
      <c r="C174" s="11"/>
      <c r="H174"/>
      <c r="J174" s="78"/>
    </row>
    <row r="175" spans="1:12">
      <c r="C175" s="77"/>
      <c r="H175"/>
      <c r="J175" s="78"/>
    </row>
    <row r="176" spans="1:12">
      <c r="C176" s="77"/>
      <c r="H176"/>
      <c r="J176" s="78"/>
    </row>
    <row r="177" spans="3:10">
      <c r="C177" s="77"/>
      <c r="H177"/>
      <c r="J177" s="78"/>
    </row>
    <row r="178" spans="3:10">
      <c r="C178" s="77"/>
      <c r="H178"/>
      <c r="J178" s="78"/>
    </row>
    <row r="179" spans="3:10">
      <c r="C179" s="77"/>
      <c r="H179"/>
      <c r="J179" s="78"/>
    </row>
    <row r="180" spans="3:10">
      <c r="C180" s="77"/>
      <c r="H180"/>
      <c r="J180" s="78"/>
    </row>
    <row r="181" spans="3:10">
      <c r="C181" s="77"/>
      <c r="H181"/>
      <c r="J181" s="78"/>
    </row>
    <row r="182" spans="3:10">
      <c r="C182" s="77"/>
      <c r="H182"/>
      <c r="J182" s="78"/>
    </row>
    <row r="183" spans="3:10">
      <c r="C183" s="77"/>
      <c r="H183"/>
      <c r="J183" s="78"/>
    </row>
    <row r="184" spans="3:10">
      <c r="C184" s="77"/>
      <c r="H184"/>
      <c r="J184" s="78"/>
    </row>
    <row r="185" spans="3:10">
      <c r="C185" s="77"/>
      <c r="H185"/>
      <c r="J185" s="78"/>
    </row>
    <row r="186" spans="3:10">
      <c r="C186" s="77"/>
      <c r="H186"/>
      <c r="J186" s="78"/>
    </row>
    <row r="187" spans="3:10">
      <c r="C187" s="77"/>
      <c r="H187"/>
      <c r="J187" s="78"/>
    </row>
    <row r="188" spans="3:10">
      <c r="C188" s="77"/>
      <c r="H188"/>
      <c r="J188" s="78"/>
    </row>
  </sheetData>
  <conditionalFormatting sqref="F125:F127">
    <cfRule type="cellIs" dxfId="7" priority="8" operator="lessThan">
      <formula>D125</formula>
    </cfRule>
  </conditionalFormatting>
  <conditionalFormatting sqref="F131:F133">
    <cfRule type="cellIs" dxfId="6" priority="9" operator="lessThan">
      <formula>D131</formula>
    </cfRule>
  </conditionalFormatting>
  <conditionalFormatting sqref="F122">
    <cfRule type="cellIs" dxfId="5" priority="10" operator="lessThan">
      <formula>D122</formula>
    </cfRule>
  </conditionalFormatting>
  <conditionalFormatting sqref="F121">
    <cfRule type="cellIs" dxfId="4" priority="11" operator="lessThan">
      <formula>D121</formula>
    </cfRule>
  </conditionalFormatting>
  <conditionalFormatting sqref="F118:F119">
    <cfRule type="cellIs" dxfId="3" priority="12" operator="lessThan">
      <formula>D118</formula>
    </cfRule>
  </conditionalFormatting>
  <conditionalFormatting sqref="I165:I166">
    <cfRule type="expression" dxfId="2" priority="4">
      <formula>H165&gt;0</formula>
    </cfRule>
  </conditionalFormatting>
  <conditionalFormatting sqref="F120">
    <cfRule type="cellIs" dxfId="1" priority="2" operator="lessThan">
      <formula>D120</formula>
    </cfRule>
  </conditionalFormatting>
  <conditionalFormatting sqref="F147:F148">
    <cfRule type="cellIs" dxfId="0" priority="1" operator="lessThan">
      <formula>D147</formula>
    </cfRule>
  </conditionalFormatting>
  <pageMargins left="0" right="0" top="0.39374999999999999" bottom="0.39374999999999999" header="0" footer="0"/>
  <pageSetup paperSize="77" pageOrder="overThenDown" orientation="landscape" useFirstPageNumber="1" horizontalDpi="300" verticalDpi="300" r:id="rId1"/>
  <headerFooter>
    <oddHeader>&amp;C&amp;A</oddHeader>
    <oddFooter>&amp;CPage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0"/>
  <sheetViews>
    <sheetView topLeftCell="A58" zoomScale="175" zoomScaleNormal="175" workbookViewId="0">
      <selection activeCell="F65" sqref="F65"/>
    </sheetView>
  </sheetViews>
  <sheetFormatPr defaultColWidth="8.5703125" defaultRowHeight="12.75"/>
  <cols>
    <col min="1" max="1" width="12.28515625" style="1" customWidth="1"/>
    <col min="2" max="2" width="31.28515625" customWidth="1"/>
    <col min="3" max="3" width="10.5703125" customWidth="1"/>
    <col min="4" max="6" width="12.28515625" style="2" customWidth="1"/>
    <col min="7" max="7" width="1.42578125" customWidth="1"/>
    <col min="8" max="8" width="35.42578125" customWidth="1"/>
    <col min="10" max="10" width="10.5703125" customWidth="1"/>
  </cols>
  <sheetData>
    <row r="1" spans="1:6">
      <c r="C1" s="3"/>
      <c r="D1" s="4"/>
      <c r="E1" s="4"/>
    </row>
    <row r="2" spans="1:6" ht="27" customHeight="1">
      <c r="B2" s="5">
        <v>2024</v>
      </c>
      <c r="C2" s="6" t="s">
        <v>0</v>
      </c>
      <c r="D2" s="4" t="s">
        <v>1</v>
      </c>
      <c r="E2" s="7" t="s">
        <v>2</v>
      </c>
      <c r="F2" s="4" t="s">
        <v>3</v>
      </c>
    </row>
    <row r="5" spans="1:6">
      <c r="A5" s="1">
        <v>45291</v>
      </c>
      <c r="B5" s="8" t="s">
        <v>4</v>
      </c>
      <c r="F5" s="9">
        <v>1072</v>
      </c>
    </row>
    <row r="6" spans="1:6">
      <c r="A6" s="1">
        <v>45306</v>
      </c>
      <c r="B6" s="8" t="s">
        <v>161</v>
      </c>
      <c r="E6" s="2">
        <v>3450</v>
      </c>
      <c r="F6" s="2">
        <f t="shared" ref="F6:F33" si="0">F5+D6-E6</f>
        <v>-2378</v>
      </c>
    </row>
    <row r="7" spans="1:6">
      <c r="A7" s="1">
        <v>45309</v>
      </c>
      <c r="B7" s="8" t="s">
        <v>162</v>
      </c>
      <c r="D7" s="2">
        <v>899</v>
      </c>
      <c r="F7" s="2">
        <f t="shared" si="0"/>
        <v>-1479</v>
      </c>
    </row>
    <row r="8" spans="1:6">
      <c r="A8" s="1">
        <v>45309</v>
      </c>
      <c r="B8" s="8" t="s">
        <v>163</v>
      </c>
      <c r="D8" s="2">
        <v>1093.6500000000001</v>
      </c>
      <c r="F8" s="2">
        <f t="shared" si="0"/>
        <v>-385.34999999999991</v>
      </c>
    </row>
    <row r="9" spans="1:6">
      <c r="A9" s="1">
        <v>45310</v>
      </c>
      <c r="B9" s="8" t="s">
        <v>164</v>
      </c>
      <c r="D9" s="2">
        <v>1000</v>
      </c>
      <c r="F9" s="2">
        <f t="shared" si="0"/>
        <v>614.65000000000009</v>
      </c>
    </row>
    <row r="10" spans="1:6">
      <c r="A10" s="1">
        <v>45319</v>
      </c>
      <c r="B10" s="8" t="s">
        <v>165</v>
      </c>
      <c r="C10">
        <v>713.25</v>
      </c>
      <c r="F10" s="2">
        <f t="shared" si="0"/>
        <v>614.65000000000009</v>
      </c>
    </row>
    <row r="11" spans="1:6">
      <c r="B11" s="8" t="s">
        <v>166</v>
      </c>
      <c r="D11" s="2">
        <v>1200</v>
      </c>
      <c r="F11" s="2">
        <f t="shared" si="0"/>
        <v>1814.65</v>
      </c>
    </row>
    <row r="12" spans="1:6">
      <c r="A12" s="1">
        <v>45366</v>
      </c>
      <c r="B12" s="8" t="s">
        <v>167</v>
      </c>
      <c r="D12" s="2">
        <v>4100</v>
      </c>
      <c r="F12" s="2">
        <f t="shared" si="0"/>
        <v>5914.65</v>
      </c>
    </row>
    <row r="13" spans="1:6">
      <c r="A13" s="1">
        <v>45366</v>
      </c>
      <c r="B13" s="8" t="s">
        <v>168</v>
      </c>
      <c r="E13" s="2">
        <v>6300</v>
      </c>
      <c r="F13" s="2">
        <f t="shared" si="0"/>
        <v>-385.35000000000036</v>
      </c>
    </row>
    <row r="14" spans="1:6">
      <c r="A14" s="1">
        <v>45366</v>
      </c>
      <c r="B14" s="8" t="s">
        <v>169</v>
      </c>
      <c r="D14" s="2">
        <v>3450</v>
      </c>
      <c r="F14" s="2">
        <f t="shared" si="0"/>
        <v>3064.6499999999996</v>
      </c>
    </row>
    <row r="15" spans="1:6">
      <c r="A15" s="1">
        <v>45366</v>
      </c>
      <c r="B15" s="8" t="s">
        <v>170</v>
      </c>
      <c r="E15" s="2">
        <v>3461</v>
      </c>
      <c r="F15" s="2">
        <f t="shared" si="0"/>
        <v>-396.35000000000036</v>
      </c>
    </row>
    <row r="16" spans="1:6">
      <c r="A16" s="1">
        <v>45371</v>
      </c>
      <c r="B16" s="8" t="s">
        <v>171</v>
      </c>
      <c r="C16">
        <v>3350</v>
      </c>
      <c r="F16" s="2">
        <f t="shared" si="0"/>
        <v>-396.35000000000036</v>
      </c>
    </row>
    <row r="17" spans="1:6">
      <c r="A17" s="1">
        <v>45412</v>
      </c>
      <c r="B17" s="8" t="s">
        <v>172</v>
      </c>
      <c r="E17" s="2">
        <v>500</v>
      </c>
      <c r="F17" s="2">
        <f t="shared" si="0"/>
        <v>-896.35000000000036</v>
      </c>
    </row>
    <row r="18" spans="1:6">
      <c r="A18" s="1">
        <v>45398</v>
      </c>
      <c r="B18" s="8" t="s">
        <v>169</v>
      </c>
      <c r="D18" s="2">
        <v>3467</v>
      </c>
      <c r="E18" s="2">
        <v>3461</v>
      </c>
      <c r="F18" s="2">
        <f t="shared" si="0"/>
        <v>-890.35000000000036</v>
      </c>
    </row>
    <row r="19" spans="1:6">
      <c r="B19" s="8" t="s">
        <v>173</v>
      </c>
      <c r="E19" s="2">
        <v>7680</v>
      </c>
      <c r="F19" s="2">
        <f t="shared" si="0"/>
        <v>-8570.35</v>
      </c>
    </row>
    <row r="20" spans="1:6">
      <c r="A20" s="1">
        <v>45427</v>
      </c>
      <c r="B20" s="8" t="s">
        <v>174</v>
      </c>
      <c r="F20" s="2">
        <f t="shared" si="0"/>
        <v>-8570.35</v>
      </c>
    </row>
    <row r="21" spans="1:6">
      <c r="A21" s="1">
        <v>45442</v>
      </c>
      <c r="B21" s="8" t="s">
        <v>175</v>
      </c>
      <c r="E21" s="2">
        <v>500</v>
      </c>
      <c r="F21" s="2">
        <f t="shared" si="0"/>
        <v>-9070.35</v>
      </c>
    </row>
    <row r="22" spans="1:6">
      <c r="A22" s="1">
        <v>45442</v>
      </c>
      <c r="B22" s="3" t="s">
        <v>176</v>
      </c>
      <c r="C22" s="3"/>
      <c r="D22" s="17"/>
      <c r="E22" s="17">
        <v>120000</v>
      </c>
      <c r="F22" s="17">
        <f t="shared" si="0"/>
        <v>-129070.35</v>
      </c>
    </row>
    <row r="23" spans="1:6">
      <c r="A23" s="1">
        <v>45442</v>
      </c>
      <c r="B23" s="3" t="s">
        <v>177</v>
      </c>
      <c r="C23" s="3"/>
      <c r="D23" s="17">
        <v>21000</v>
      </c>
      <c r="E23" s="17"/>
      <c r="F23" s="17">
        <f t="shared" si="0"/>
        <v>-108070.35</v>
      </c>
    </row>
    <row r="24" spans="1:6">
      <c r="A24" s="1">
        <v>45458</v>
      </c>
      <c r="B24" s="8" t="s">
        <v>178</v>
      </c>
      <c r="D24" s="2">
        <v>3450</v>
      </c>
      <c r="F24" s="2">
        <f t="shared" si="0"/>
        <v>-104620.35</v>
      </c>
    </row>
    <row r="25" spans="1:6">
      <c r="A25" s="1">
        <v>45458</v>
      </c>
      <c r="B25" s="8" t="s">
        <v>179</v>
      </c>
      <c r="E25" s="2">
        <v>3467</v>
      </c>
      <c r="F25" s="2">
        <f t="shared" si="0"/>
        <v>-108087.35</v>
      </c>
    </row>
    <row r="26" spans="1:6">
      <c r="A26" s="1">
        <v>45453</v>
      </c>
      <c r="B26" s="8" t="s">
        <v>180</v>
      </c>
      <c r="C26">
        <v>1500</v>
      </c>
      <c r="F26" s="2">
        <f t="shared" si="0"/>
        <v>-108087.35</v>
      </c>
    </row>
    <row r="27" spans="1:6">
      <c r="B27" s="8" t="s">
        <v>181</v>
      </c>
      <c r="C27">
        <v>1300</v>
      </c>
      <c r="F27" s="2">
        <f t="shared" si="0"/>
        <v>-108087.35</v>
      </c>
    </row>
    <row r="28" spans="1:6">
      <c r="A28" s="1">
        <v>45470</v>
      </c>
      <c r="B28" s="8" t="s">
        <v>182</v>
      </c>
      <c r="D28" s="2">
        <v>20150</v>
      </c>
      <c r="F28" s="2">
        <f t="shared" si="0"/>
        <v>-87937.35</v>
      </c>
    </row>
    <row r="29" spans="1:6">
      <c r="A29" s="1">
        <v>45473</v>
      </c>
      <c r="B29" s="8" t="s">
        <v>183</v>
      </c>
      <c r="E29" s="2">
        <v>500</v>
      </c>
      <c r="F29" s="2">
        <f t="shared" si="0"/>
        <v>-88437.35</v>
      </c>
    </row>
    <row r="30" spans="1:6">
      <c r="A30" s="1">
        <v>45487</v>
      </c>
      <c r="B30" s="8" t="s">
        <v>184</v>
      </c>
      <c r="D30" s="2">
        <v>3500</v>
      </c>
      <c r="F30" s="2">
        <f t="shared" si="0"/>
        <v>-84937.35</v>
      </c>
    </row>
    <row r="31" spans="1:6">
      <c r="A31" s="1">
        <v>45487</v>
      </c>
      <c r="B31" s="8" t="s">
        <v>185</v>
      </c>
      <c r="E31" s="2">
        <v>3465.81</v>
      </c>
      <c r="F31" s="2">
        <f t="shared" si="0"/>
        <v>-88403.16</v>
      </c>
    </row>
    <row r="32" spans="1:6">
      <c r="A32" s="1">
        <v>45503</v>
      </c>
      <c r="B32" s="8" t="s">
        <v>186</v>
      </c>
      <c r="D32" s="69"/>
      <c r="E32" s="69">
        <v>3000</v>
      </c>
      <c r="F32" s="69">
        <f t="shared" si="0"/>
        <v>-91403.16</v>
      </c>
    </row>
    <row r="33" spans="1:6">
      <c r="B33" s="3" t="s">
        <v>187</v>
      </c>
      <c r="C33" s="3"/>
      <c r="D33" s="128"/>
      <c r="E33" s="128"/>
      <c r="F33" s="128">
        <f t="shared" si="0"/>
        <v>-91403.16</v>
      </c>
    </row>
    <row r="34" spans="1:6">
      <c r="B34" s="3"/>
      <c r="C34" s="3"/>
      <c r="D34" s="128"/>
      <c r="E34" s="128"/>
      <c r="F34" s="128"/>
    </row>
    <row r="35" spans="1:6">
      <c r="B35" s="129" t="s">
        <v>188</v>
      </c>
      <c r="C35" s="130"/>
      <c r="D35" s="131">
        <v>1466500</v>
      </c>
      <c r="E35" s="132"/>
      <c r="F35" s="133">
        <f>D35-E35</f>
        <v>1466500</v>
      </c>
    </row>
    <row r="36" spans="1:6">
      <c r="B36" s="134" t="s">
        <v>189</v>
      </c>
      <c r="D36" s="2">
        <v>11631</v>
      </c>
      <c r="E36" s="69"/>
      <c r="F36" s="135">
        <f t="shared" ref="F36:F73" si="1">F35+D36-E36</f>
        <v>1478131</v>
      </c>
    </row>
    <row r="37" spans="1:6">
      <c r="B37" s="134" t="s">
        <v>190</v>
      </c>
      <c r="D37" s="2">
        <v>15500</v>
      </c>
      <c r="E37" s="69"/>
      <c r="F37" s="135">
        <f t="shared" si="1"/>
        <v>1493631</v>
      </c>
    </row>
    <row r="38" spans="1:6">
      <c r="B38" s="136" t="s">
        <v>191</v>
      </c>
      <c r="C38" s="137"/>
      <c r="D38" s="138"/>
      <c r="E38" s="139"/>
      <c r="F38" s="140">
        <f t="shared" si="1"/>
        <v>1493631</v>
      </c>
    </row>
    <row r="39" spans="1:6">
      <c r="E39" s="69"/>
      <c r="F39" s="141">
        <f t="shared" si="1"/>
        <v>1493631</v>
      </c>
    </row>
    <row r="40" spans="1:6">
      <c r="B40" s="3" t="s">
        <v>192</v>
      </c>
      <c r="C40" s="3"/>
      <c r="D40" s="17"/>
      <c r="E40" s="128">
        <f>F33*-1</f>
        <v>91403.16</v>
      </c>
      <c r="F40" s="2">
        <f t="shared" si="1"/>
        <v>1402227.84</v>
      </c>
    </row>
    <row r="41" spans="1:6">
      <c r="B41" s="8" t="s">
        <v>193</v>
      </c>
      <c r="E41" s="2">
        <v>11631</v>
      </c>
      <c r="F41" s="2">
        <f t="shared" si="1"/>
        <v>1390596.84</v>
      </c>
    </row>
    <row r="42" spans="1:6">
      <c r="B42" s="8" t="s">
        <v>194</v>
      </c>
      <c r="E42" s="2">
        <v>15500</v>
      </c>
      <c r="F42" s="2">
        <f t="shared" si="1"/>
        <v>1375096.84</v>
      </c>
    </row>
    <row r="43" spans="1:6">
      <c r="B43" s="8" t="s">
        <v>195</v>
      </c>
      <c r="D43" s="69"/>
      <c r="E43" s="2">
        <v>100000</v>
      </c>
      <c r="F43" s="2">
        <f t="shared" si="1"/>
        <v>1275096.8400000001</v>
      </c>
    </row>
    <row r="44" spans="1:6">
      <c r="B44" s="8" t="s">
        <v>196</v>
      </c>
      <c r="E44" s="2">
        <v>75000</v>
      </c>
      <c r="F44" s="2">
        <f t="shared" si="1"/>
        <v>1200096.8400000001</v>
      </c>
    </row>
    <row r="45" spans="1:6">
      <c r="B45" s="8" t="s">
        <v>197</v>
      </c>
      <c r="E45" s="2">
        <v>59783.839999999997</v>
      </c>
      <c r="F45" s="2">
        <f t="shared" si="1"/>
        <v>1140313</v>
      </c>
    </row>
    <row r="46" spans="1:6">
      <c r="B46" s="8" t="s">
        <v>198</v>
      </c>
      <c r="E46" s="2">
        <v>550000</v>
      </c>
      <c r="F46" s="2">
        <f t="shared" si="1"/>
        <v>590313</v>
      </c>
    </row>
    <row r="47" spans="1:6">
      <c r="A47" s="1">
        <v>45509</v>
      </c>
      <c r="B47" s="3" t="s">
        <v>199</v>
      </c>
      <c r="F47" s="2">
        <f t="shared" si="1"/>
        <v>590313</v>
      </c>
    </row>
    <row r="48" spans="1:6">
      <c r="B48" s="3" t="s">
        <v>200</v>
      </c>
      <c r="F48" s="2">
        <f t="shared" si="1"/>
        <v>590313</v>
      </c>
    </row>
    <row r="49" spans="1:6">
      <c r="B49" s="3" t="s">
        <v>201</v>
      </c>
      <c r="F49" s="2">
        <f t="shared" si="1"/>
        <v>590313</v>
      </c>
    </row>
    <row r="50" spans="1:6">
      <c r="B50" s="142" t="s">
        <v>202</v>
      </c>
      <c r="C50" s="142"/>
      <c r="D50" s="143"/>
      <c r="E50" s="143">
        <v>84313</v>
      </c>
      <c r="F50" s="2">
        <f t="shared" si="1"/>
        <v>506000</v>
      </c>
    </row>
    <row r="51" spans="1:6">
      <c r="B51" s="8" t="s">
        <v>203</v>
      </c>
      <c r="E51" s="2">
        <v>68000</v>
      </c>
      <c r="F51" s="2">
        <f t="shared" si="1"/>
        <v>438000</v>
      </c>
    </row>
    <row r="52" spans="1:6">
      <c r="F52" s="2">
        <f t="shared" si="1"/>
        <v>438000</v>
      </c>
    </row>
    <row r="53" spans="1:6">
      <c r="F53" s="2">
        <f t="shared" si="1"/>
        <v>438000</v>
      </c>
    </row>
    <row r="54" spans="1:6">
      <c r="A54" s="1">
        <v>45519</v>
      </c>
      <c r="B54" s="8" t="s">
        <v>204</v>
      </c>
      <c r="C54" s="8" t="s">
        <v>121</v>
      </c>
      <c r="E54" s="2">
        <v>30000</v>
      </c>
      <c r="F54" s="2">
        <f t="shared" si="1"/>
        <v>408000</v>
      </c>
    </row>
    <row r="55" spans="1:6">
      <c r="B55" s="8" t="s">
        <v>205</v>
      </c>
      <c r="D55" s="2">
        <v>200</v>
      </c>
      <c r="F55" s="2">
        <f t="shared" si="1"/>
        <v>408200</v>
      </c>
    </row>
    <row r="56" spans="1:6">
      <c r="B56" s="8" t="s">
        <v>206</v>
      </c>
      <c r="E56" s="2">
        <v>1100</v>
      </c>
      <c r="F56" s="2">
        <f t="shared" si="1"/>
        <v>407100</v>
      </c>
    </row>
    <row r="57" spans="1:6">
      <c r="A57" s="144">
        <v>45536</v>
      </c>
      <c r="B57" s="145" t="s">
        <v>207</v>
      </c>
      <c r="C57" s="145" t="s">
        <v>121</v>
      </c>
      <c r="D57" s="146"/>
      <c r="E57" s="146">
        <v>5600</v>
      </c>
      <c r="F57" s="146">
        <f t="shared" si="1"/>
        <v>401500</v>
      </c>
    </row>
    <row r="58" spans="1:6">
      <c r="A58" s="144">
        <v>45550</v>
      </c>
      <c r="B58" s="145" t="s">
        <v>208</v>
      </c>
      <c r="C58" s="145" t="s">
        <v>121</v>
      </c>
      <c r="D58" s="146"/>
      <c r="E58" s="146">
        <v>30000</v>
      </c>
      <c r="F58" s="146">
        <f t="shared" si="1"/>
        <v>371500</v>
      </c>
    </row>
    <row r="59" spans="1:6">
      <c r="A59" s="144">
        <v>45565</v>
      </c>
      <c r="B59" s="67" t="s">
        <v>209</v>
      </c>
      <c r="C59" s="67" t="s">
        <v>210</v>
      </c>
      <c r="D59" s="69"/>
      <c r="E59" s="69">
        <v>6000</v>
      </c>
      <c r="F59" s="69">
        <f t="shared" si="1"/>
        <v>365500</v>
      </c>
    </row>
    <row r="60" spans="1:6">
      <c r="A60" s="144">
        <v>45580</v>
      </c>
      <c r="B60" s="145" t="s">
        <v>211</v>
      </c>
      <c r="C60" s="145" t="s">
        <v>121</v>
      </c>
      <c r="D60" s="146"/>
      <c r="E60" s="146">
        <v>30000</v>
      </c>
      <c r="F60" s="146">
        <f t="shared" si="1"/>
        <v>335500</v>
      </c>
    </row>
    <row r="61" spans="1:6">
      <c r="A61" s="144">
        <v>45595</v>
      </c>
      <c r="B61" s="67" t="s">
        <v>212</v>
      </c>
      <c r="C61" s="67" t="s">
        <v>210</v>
      </c>
      <c r="D61" s="69"/>
      <c r="E61" s="69">
        <v>6000</v>
      </c>
      <c r="F61" s="69">
        <f t="shared" si="1"/>
        <v>329500</v>
      </c>
    </row>
    <row r="62" spans="1:6">
      <c r="A62" s="147">
        <v>45611</v>
      </c>
      <c r="B62" s="8" t="s">
        <v>213</v>
      </c>
      <c r="C62" s="67" t="s">
        <v>214</v>
      </c>
      <c r="E62" s="2">
        <v>35800</v>
      </c>
      <c r="F62" s="2">
        <f t="shared" si="1"/>
        <v>293700</v>
      </c>
    </row>
    <row r="63" spans="1:6">
      <c r="A63" s="147"/>
      <c r="B63" s="8" t="s">
        <v>215</v>
      </c>
      <c r="C63" s="67"/>
      <c r="D63" s="2">
        <v>630</v>
      </c>
      <c r="F63" s="2">
        <f t="shared" si="1"/>
        <v>294330</v>
      </c>
    </row>
    <row r="64" spans="1:6" s="11" customFormat="1">
      <c r="A64" s="147"/>
      <c r="B64" s="8" t="s">
        <v>1598</v>
      </c>
      <c r="C64" s="67"/>
      <c r="D64" s="12">
        <v>1000</v>
      </c>
      <c r="E64" s="12"/>
      <c r="F64" s="12">
        <f t="shared" si="1"/>
        <v>295330</v>
      </c>
    </row>
    <row r="65" spans="1:6">
      <c r="A65" s="147">
        <v>45641</v>
      </c>
      <c r="B65" s="82" t="s">
        <v>216</v>
      </c>
      <c r="C65" s="82" t="s">
        <v>217</v>
      </c>
      <c r="D65" s="114"/>
      <c r="E65" s="114">
        <v>38000</v>
      </c>
      <c r="F65" s="390">
        <f t="shared" si="1"/>
        <v>257330</v>
      </c>
    </row>
    <row r="66" spans="1:6">
      <c r="A66" s="1">
        <v>45672</v>
      </c>
      <c r="B66" s="8" t="s">
        <v>7</v>
      </c>
      <c r="C66" s="8" t="s">
        <v>6</v>
      </c>
      <c r="E66" s="2">
        <v>36500</v>
      </c>
      <c r="F66" s="2">
        <f t="shared" si="1"/>
        <v>220830</v>
      </c>
    </row>
    <row r="67" spans="1:6">
      <c r="A67" s="1">
        <v>45703</v>
      </c>
      <c r="B67" s="8" t="s">
        <v>8</v>
      </c>
      <c r="C67" s="8" t="s">
        <v>6</v>
      </c>
      <c r="E67" s="2">
        <v>36500</v>
      </c>
      <c r="F67" s="2">
        <f t="shared" si="1"/>
        <v>184330</v>
      </c>
    </row>
    <row r="68" spans="1:6">
      <c r="A68" s="1">
        <v>45731</v>
      </c>
      <c r="B68" s="8" t="s">
        <v>9</v>
      </c>
      <c r="C68" s="8" t="s">
        <v>6</v>
      </c>
      <c r="E68" s="2">
        <v>36500</v>
      </c>
      <c r="F68" s="2">
        <f t="shared" si="1"/>
        <v>147830</v>
      </c>
    </row>
    <row r="69" spans="1:6">
      <c r="A69" s="1">
        <v>45762</v>
      </c>
      <c r="B69" s="8" t="s">
        <v>10</v>
      </c>
      <c r="C69" s="8" t="s">
        <v>6</v>
      </c>
      <c r="E69" s="2">
        <v>36500</v>
      </c>
      <c r="F69" s="2">
        <f t="shared" si="1"/>
        <v>111330</v>
      </c>
    </row>
    <row r="70" spans="1:6">
      <c r="A70" s="1">
        <v>45792</v>
      </c>
      <c r="B70" s="8" t="s">
        <v>11</v>
      </c>
      <c r="C70" s="8" t="s">
        <v>6</v>
      </c>
      <c r="E70" s="2">
        <v>36500</v>
      </c>
      <c r="F70" s="2">
        <f t="shared" si="1"/>
        <v>74830</v>
      </c>
    </row>
    <row r="71" spans="1:6">
      <c r="A71" s="1">
        <v>45823</v>
      </c>
      <c r="B71" s="8" t="s">
        <v>12</v>
      </c>
      <c r="C71" s="8" t="s">
        <v>6</v>
      </c>
      <c r="E71" s="2">
        <v>36500</v>
      </c>
      <c r="F71" s="2">
        <f t="shared" si="1"/>
        <v>38330</v>
      </c>
    </row>
    <row r="72" spans="1:6">
      <c r="A72" s="1">
        <v>45853</v>
      </c>
      <c r="B72" s="8" t="s">
        <v>13</v>
      </c>
      <c r="C72" s="8" t="s">
        <v>6</v>
      </c>
      <c r="E72" s="2">
        <v>36500</v>
      </c>
      <c r="F72" s="2">
        <f t="shared" si="1"/>
        <v>1830</v>
      </c>
    </row>
    <row r="73" spans="1:6">
      <c r="E73" s="13"/>
      <c r="F73" s="14">
        <f t="shared" si="1"/>
        <v>1830</v>
      </c>
    </row>
    <row r="74" spans="1:6">
      <c r="E74" s="15"/>
      <c r="F74" s="16" t="s">
        <v>14</v>
      </c>
    </row>
    <row r="80" spans="1:6">
      <c r="B80" s="8" t="s">
        <v>218</v>
      </c>
      <c r="D80" s="2">
        <v>1466500</v>
      </c>
      <c r="F80" s="2">
        <f t="shared" ref="F80:F85" si="2">F79+D80-E80</f>
        <v>1466500</v>
      </c>
    </row>
    <row r="81" spans="2:6">
      <c r="B81" s="8" t="s">
        <v>193</v>
      </c>
      <c r="D81" s="2">
        <v>11631</v>
      </c>
      <c r="F81" s="2">
        <f t="shared" si="2"/>
        <v>1478131</v>
      </c>
    </row>
    <row r="82" spans="2:6">
      <c r="B82" s="8" t="s">
        <v>219</v>
      </c>
      <c r="D82" s="2">
        <v>15500</v>
      </c>
      <c r="F82" s="2">
        <f t="shared" si="2"/>
        <v>1493631</v>
      </c>
    </row>
    <row r="83" spans="2:6">
      <c r="F83" s="2">
        <f t="shared" si="2"/>
        <v>1493631</v>
      </c>
    </row>
    <row r="84" spans="2:6">
      <c r="F84" s="2">
        <f t="shared" si="2"/>
        <v>1493631</v>
      </c>
    </row>
    <row r="85" spans="2:6">
      <c r="B85" s="3" t="s">
        <v>220</v>
      </c>
      <c r="C85" s="3"/>
      <c r="D85" s="17"/>
      <c r="E85" s="17"/>
      <c r="F85" s="17">
        <f t="shared" si="2"/>
        <v>1493631</v>
      </c>
    </row>
    <row r="87" spans="2:6">
      <c r="B87" s="148" t="s">
        <v>221</v>
      </c>
      <c r="C87" s="148" t="s">
        <v>222</v>
      </c>
      <c r="D87" s="149"/>
      <c r="E87" s="150" t="s">
        <v>223</v>
      </c>
      <c r="F87" s="150" t="s">
        <v>224</v>
      </c>
    </row>
    <row r="88" spans="2:6">
      <c r="F88" s="128">
        <f>F85+D88-E88</f>
        <v>1493631</v>
      </c>
    </row>
    <row r="89" spans="2:6">
      <c r="F89" s="2">
        <f t="shared" ref="F89:F95" si="3">F88-E89</f>
        <v>1493631</v>
      </c>
    </row>
    <row r="90" spans="2:6">
      <c r="B90" s="8" t="s">
        <v>225</v>
      </c>
      <c r="C90" s="8" t="s">
        <v>226</v>
      </c>
      <c r="E90" s="2">
        <f>E44+E45</f>
        <v>134783.84</v>
      </c>
      <c r="F90" s="2">
        <f t="shared" si="3"/>
        <v>1358847.16</v>
      </c>
    </row>
    <row r="91" spans="2:6">
      <c r="F91" s="2">
        <f t="shared" si="3"/>
        <v>1358847.16</v>
      </c>
    </row>
    <row r="92" spans="2:6">
      <c r="B92" s="8" t="s">
        <v>227</v>
      </c>
      <c r="C92" s="8" t="s">
        <v>228</v>
      </c>
      <c r="E92" s="2">
        <v>100000</v>
      </c>
      <c r="F92" s="2">
        <f t="shared" si="3"/>
        <v>1258847.1599999999</v>
      </c>
    </row>
    <row r="93" spans="2:6">
      <c r="F93" s="2">
        <f t="shared" si="3"/>
        <v>1258847.1599999999</v>
      </c>
    </row>
    <row r="94" spans="2:6">
      <c r="B94" s="8" t="s">
        <v>189</v>
      </c>
      <c r="C94" s="8" t="s">
        <v>229</v>
      </c>
      <c r="E94" s="2">
        <v>11631</v>
      </c>
      <c r="F94" s="2">
        <f t="shared" si="3"/>
        <v>1247216.1599999999</v>
      </c>
    </row>
    <row r="95" spans="2:6">
      <c r="B95" s="8" t="s">
        <v>190</v>
      </c>
      <c r="C95" s="8" t="s">
        <v>229</v>
      </c>
      <c r="E95" s="2">
        <v>15500</v>
      </c>
      <c r="F95" s="2">
        <f t="shared" si="3"/>
        <v>1231716.1599999999</v>
      </c>
    </row>
    <row r="96" spans="2:6">
      <c r="B96" s="121"/>
      <c r="C96" s="151"/>
      <c r="D96" s="152" t="s">
        <v>230</v>
      </c>
      <c r="E96" s="141">
        <f>SUM(E90:E95)</f>
        <v>261914.84</v>
      </c>
    </row>
    <row r="98" spans="2:6">
      <c r="F98" s="17">
        <f>F95-E98</f>
        <v>1231716.1599999999</v>
      </c>
    </row>
    <row r="99" spans="2:6">
      <c r="B99" s="8" t="s">
        <v>231</v>
      </c>
      <c r="C99" s="8" t="s">
        <v>232</v>
      </c>
      <c r="E99" s="2">
        <v>84313</v>
      </c>
      <c r="F99" s="2">
        <f>F98-E99</f>
        <v>1147403.1599999999</v>
      </c>
    </row>
    <row r="100" spans="2:6">
      <c r="B100" s="8" t="s">
        <v>233</v>
      </c>
      <c r="C100" s="8" t="s">
        <v>232</v>
      </c>
      <c r="E100" s="2">
        <v>68000</v>
      </c>
      <c r="F100" s="2">
        <f>F99-E100</f>
        <v>1079403.1599999999</v>
      </c>
    </row>
    <row r="101" spans="2:6">
      <c r="B101" s="8" t="s">
        <v>234</v>
      </c>
      <c r="C101" s="8" t="s">
        <v>232</v>
      </c>
      <c r="E101" s="2">
        <f>F33*-1</f>
        <v>91403.16</v>
      </c>
      <c r="F101" s="2">
        <f>F100-E101</f>
        <v>987999.99999999988</v>
      </c>
    </row>
    <row r="102" spans="2:6">
      <c r="B102" s="8" t="s">
        <v>235</v>
      </c>
      <c r="C102" s="8" t="s">
        <v>232</v>
      </c>
      <c r="E102" s="2">
        <v>550000</v>
      </c>
      <c r="F102" s="2">
        <f>F101-E102</f>
        <v>437999.99999999988</v>
      </c>
    </row>
    <row r="103" spans="2:6">
      <c r="B103" s="8" t="s">
        <v>236</v>
      </c>
      <c r="C103" s="8" t="s">
        <v>232</v>
      </c>
      <c r="E103" s="2">
        <v>438000</v>
      </c>
      <c r="F103" s="2">
        <f>F102-E103</f>
        <v>0</v>
      </c>
    </row>
    <row r="104" spans="2:6">
      <c r="B104" s="121"/>
      <c r="C104" s="151"/>
      <c r="D104" s="152" t="s">
        <v>237</v>
      </c>
      <c r="E104" s="141">
        <f>SUM(E99:E103)</f>
        <v>1231716.1600000001</v>
      </c>
    </row>
    <row r="121" spans="2:6">
      <c r="B121" s="8" t="s">
        <v>15</v>
      </c>
    </row>
    <row r="123" spans="2:6">
      <c r="F123" s="2">
        <f t="shared" ref="F123:F128" si="4">F122+D123-E123</f>
        <v>0</v>
      </c>
    </row>
    <row r="124" spans="2:6">
      <c r="B124" s="8" t="s">
        <v>16</v>
      </c>
      <c r="D124" s="2">
        <v>50000</v>
      </c>
      <c r="F124" s="2">
        <f t="shared" si="4"/>
        <v>50000</v>
      </c>
    </row>
    <row r="125" spans="2:6">
      <c r="B125" s="8" t="s">
        <v>17</v>
      </c>
      <c r="D125" s="2">
        <v>140000</v>
      </c>
      <c r="F125" s="2">
        <f t="shared" si="4"/>
        <v>190000</v>
      </c>
    </row>
    <row r="126" spans="2:6">
      <c r="B126" s="8" t="s">
        <v>18</v>
      </c>
      <c r="D126" s="2">
        <v>195000</v>
      </c>
      <c r="F126" s="2">
        <f t="shared" si="4"/>
        <v>385000</v>
      </c>
    </row>
    <row r="127" spans="2:6">
      <c r="B127" s="8" t="s">
        <v>19</v>
      </c>
      <c r="E127" s="2">
        <v>310000</v>
      </c>
      <c r="F127" s="2">
        <f t="shared" si="4"/>
        <v>75000</v>
      </c>
    </row>
    <row r="128" spans="2:6">
      <c r="B128" s="3" t="s">
        <v>20</v>
      </c>
      <c r="C128" s="3"/>
      <c r="D128" s="17"/>
      <c r="E128" s="17"/>
      <c r="F128" s="17">
        <f t="shared" si="4"/>
        <v>75000</v>
      </c>
    </row>
    <row r="129" spans="2:6">
      <c r="B129" s="3" t="s">
        <v>21</v>
      </c>
      <c r="C129" s="3"/>
      <c r="D129" s="17">
        <f>E90-F127</f>
        <v>59783.839999999997</v>
      </c>
      <c r="F129" s="2">
        <f>F127+D129-E129</f>
        <v>134783.84</v>
      </c>
    </row>
    <row r="130" spans="2:6">
      <c r="E130" s="18" t="s">
        <v>22</v>
      </c>
      <c r="F130" s="17">
        <f>F129</f>
        <v>134783.84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/>
  <headerFooter>
    <oddHeader>&amp;C&amp;A</oddHeader>
    <oddFooter>&amp;CPage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J82"/>
  <sheetViews>
    <sheetView topLeftCell="A13" zoomScale="170" zoomScaleNormal="170" workbookViewId="0">
      <selection activeCell="G30" sqref="G30"/>
    </sheetView>
  </sheetViews>
  <sheetFormatPr defaultColWidth="8.7109375" defaultRowHeight="12.75"/>
  <cols>
    <col min="3" max="3" width="35.42578125" customWidth="1"/>
    <col min="6" max="6" width="13" customWidth="1"/>
    <col min="7" max="7" width="13.140625" customWidth="1"/>
    <col min="8" max="8" width="12.140625" customWidth="1"/>
    <col min="10" max="10" width="12.28515625" customWidth="1"/>
  </cols>
  <sheetData>
    <row r="2" spans="1:8">
      <c r="E2" t="s">
        <v>238</v>
      </c>
      <c r="F2">
        <v>2513</v>
      </c>
    </row>
    <row r="3" spans="1:8">
      <c r="E3" t="s">
        <v>239</v>
      </c>
      <c r="F3">
        <v>4100</v>
      </c>
    </row>
    <row r="4" spans="1:8">
      <c r="E4" t="s">
        <v>240</v>
      </c>
      <c r="F4">
        <v>26.15</v>
      </c>
    </row>
    <row r="5" spans="1:8">
      <c r="E5" t="s">
        <v>241</v>
      </c>
    </row>
    <row r="7" spans="1:8">
      <c r="D7" s="153" t="s">
        <v>242</v>
      </c>
      <c r="E7" s="153" t="s">
        <v>243</v>
      </c>
      <c r="F7" s="153" t="s">
        <v>244</v>
      </c>
      <c r="G7" s="153"/>
      <c r="H7" s="153" t="s">
        <v>245</v>
      </c>
    </row>
    <row r="8" spans="1:8">
      <c r="A8" t="s">
        <v>246</v>
      </c>
      <c r="B8" s="1">
        <v>44562</v>
      </c>
      <c r="C8" s="8" t="s">
        <v>247</v>
      </c>
      <c r="D8">
        <v>94.25</v>
      </c>
      <c r="E8">
        <v>2400</v>
      </c>
      <c r="F8" s="2">
        <v>225000</v>
      </c>
      <c r="G8" s="2"/>
      <c r="H8" s="2"/>
    </row>
    <row r="9" spans="1:8">
      <c r="A9" t="s">
        <v>248</v>
      </c>
      <c r="B9" s="1">
        <v>44562</v>
      </c>
      <c r="C9" s="8" t="s">
        <v>249</v>
      </c>
      <c r="D9">
        <v>78</v>
      </c>
      <c r="E9">
        <v>4200</v>
      </c>
      <c r="F9" s="2">
        <v>325000</v>
      </c>
      <c r="G9" s="2"/>
      <c r="H9" s="2"/>
    </row>
    <row r="10" spans="1:8">
      <c r="B10" s="1"/>
      <c r="F10" s="2"/>
      <c r="G10" s="2"/>
      <c r="H10" s="2"/>
    </row>
    <row r="11" spans="1:8">
      <c r="B11" s="1">
        <v>45509</v>
      </c>
      <c r="C11" s="8" t="s">
        <v>250</v>
      </c>
      <c r="D11">
        <v>779</v>
      </c>
      <c r="E11" s="154">
        <v>710.60564599999998</v>
      </c>
      <c r="F11" s="2">
        <f>E11*D11</f>
        <v>553561.79823399999</v>
      </c>
      <c r="G11" s="2">
        <f>F11</f>
        <v>553561.79823399999</v>
      </c>
      <c r="H11" s="2">
        <f>G11</f>
        <v>553561.79823399999</v>
      </c>
    </row>
    <row r="12" spans="1:8">
      <c r="B12" s="1"/>
      <c r="F12" s="2"/>
      <c r="G12" s="2"/>
      <c r="H12" s="2"/>
    </row>
    <row r="13" spans="1:8">
      <c r="B13" s="1"/>
      <c r="F13" s="2"/>
      <c r="G13" s="2"/>
      <c r="H13" s="2"/>
    </row>
    <row r="14" spans="1:8">
      <c r="A14" t="s">
        <v>251</v>
      </c>
      <c r="B14" s="1">
        <v>45509</v>
      </c>
      <c r="C14" s="8" t="s">
        <v>252</v>
      </c>
      <c r="D14">
        <v>13</v>
      </c>
      <c r="E14" s="8">
        <f>$F$3</f>
        <v>4100</v>
      </c>
      <c r="F14" s="2">
        <f>E14*D14</f>
        <v>53300</v>
      </c>
      <c r="G14" s="2"/>
      <c r="H14" s="2">
        <f>H11+F14</f>
        <v>606861.79823399999</v>
      </c>
    </row>
    <row r="15" spans="1:8">
      <c r="B15" s="1">
        <v>45357</v>
      </c>
      <c r="C15" s="8" t="s">
        <v>253</v>
      </c>
      <c r="D15">
        <v>6</v>
      </c>
      <c r="E15" s="8">
        <f>$F$3</f>
        <v>4100</v>
      </c>
      <c r="F15" s="2">
        <f>E15*D15</f>
        <v>24600</v>
      </c>
      <c r="G15" s="2"/>
      <c r="H15" s="2">
        <f>H14+F15</f>
        <v>631461.79823399999</v>
      </c>
    </row>
    <row r="16" spans="1:8">
      <c r="B16" s="1"/>
      <c r="C16" s="8" t="s">
        <v>254</v>
      </c>
      <c r="D16">
        <v>1</v>
      </c>
      <c r="E16">
        <v>16000</v>
      </c>
      <c r="F16" s="2">
        <f>E16*D16</f>
        <v>16000</v>
      </c>
      <c r="G16" s="2"/>
      <c r="H16" s="2">
        <f>H15+F16</f>
        <v>647461.79823399999</v>
      </c>
    </row>
    <row r="17" spans="1:9">
      <c r="B17" s="1"/>
      <c r="C17" s="8" t="s">
        <v>255</v>
      </c>
      <c r="D17">
        <v>1</v>
      </c>
      <c r="E17" s="8">
        <f>$F$2</f>
        <v>2513</v>
      </c>
      <c r="F17" s="2">
        <f>E17*D17</f>
        <v>2513</v>
      </c>
      <c r="G17" s="2"/>
      <c r="H17" s="2">
        <f>H16+F17</f>
        <v>649974.79823399999</v>
      </c>
    </row>
    <row r="18" spans="1:9">
      <c r="B18" s="1"/>
      <c r="C18" s="8" t="s">
        <v>256</v>
      </c>
      <c r="D18">
        <v>10</v>
      </c>
      <c r="E18" s="8">
        <f>$F$3</f>
        <v>4100</v>
      </c>
      <c r="F18" s="2">
        <f>E18*D18</f>
        <v>41000</v>
      </c>
      <c r="G18" s="2">
        <f>SUM(F14:F18)</f>
        <v>137413</v>
      </c>
      <c r="H18" s="2">
        <f>H17+F18</f>
        <v>690974.79823399999</v>
      </c>
    </row>
    <row r="19" spans="1:9">
      <c r="B19" s="1"/>
      <c r="F19" s="2"/>
      <c r="G19" s="2"/>
      <c r="H19" s="2"/>
    </row>
    <row r="20" spans="1:9">
      <c r="A20" t="s">
        <v>229</v>
      </c>
      <c r="B20" s="1">
        <v>45509</v>
      </c>
      <c r="C20" s="8" t="s">
        <v>257</v>
      </c>
      <c r="D20">
        <v>1</v>
      </c>
      <c r="E20">
        <v>60000</v>
      </c>
      <c r="F20" s="2">
        <f t="shared" ref="F20:F25" si="0">E20*D20</f>
        <v>60000</v>
      </c>
      <c r="G20" s="2"/>
      <c r="H20" s="2">
        <f>H18+F20</f>
        <v>750974.79823399999</v>
      </c>
    </row>
    <row r="21" spans="1:9">
      <c r="B21" s="1"/>
      <c r="C21" s="8" t="s">
        <v>258</v>
      </c>
      <c r="D21">
        <v>5</v>
      </c>
      <c r="E21" s="8">
        <f>$F$2</f>
        <v>2513</v>
      </c>
      <c r="F21" s="2">
        <f t="shared" si="0"/>
        <v>12565</v>
      </c>
      <c r="G21" s="2"/>
      <c r="H21" s="2"/>
    </row>
    <row r="22" spans="1:9">
      <c r="B22" s="1"/>
      <c r="C22" s="8" t="s">
        <v>259</v>
      </c>
      <c r="D22">
        <v>32</v>
      </c>
      <c r="E22" s="154">
        <f>$F$2</f>
        <v>2513</v>
      </c>
      <c r="F22" s="2">
        <f t="shared" si="0"/>
        <v>80416</v>
      </c>
      <c r="G22" s="2"/>
      <c r="H22" s="2">
        <f>H20+F22</f>
        <v>831390.79823399999</v>
      </c>
      <c r="I22" s="8" t="s">
        <v>260</v>
      </c>
    </row>
    <row r="23" spans="1:9">
      <c r="B23" s="1"/>
      <c r="C23" s="8" t="s">
        <v>261</v>
      </c>
      <c r="D23">
        <v>93</v>
      </c>
      <c r="E23" s="154">
        <f>$F$2</f>
        <v>2513</v>
      </c>
      <c r="F23" s="2">
        <f t="shared" si="0"/>
        <v>233709</v>
      </c>
      <c r="G23" s="2"/>
      <c r="H23" s="2">
        <f>H22+F23</f>
        <v>1065099.7982339999</v>
      </c>
      <c r="I23" s="8" t="s">
        <v>260</v>
      </c>
    </row>
    <row r="24" spans="1:9">
      <c r="B24" s="1"/>
      <c r="C24" s="8" t="s">
        <v>262</v>
      </c>
      <c r="D24">
        <v>850</v>
      </c>
      <c r="E24">
        <v>31</v>
      </c>
      <c r="F24" s="2">
        <f t="shared" si="0"/>
        <v>26350</v>
      </c>
      <c r="G24" s="2"/>
      <c r="H24" s="2"/>
      <c r="I24" s="8" t="s">
        <v>260</v>
      </c>
    </row>
    <row r="25" spans="1:9">
      <c r="B25" s="1"/>
      <c r="C25" s="8" t="s">
        <v>263</v>
      </c>
      <c r="D25">
        <v>7500</v>
      </c>
      <c r="E25" s="154">
        <f>$F$4</f>
        <v>26.15</v>
      </c>
      <c r="F25" s="2">
        <f t="shared" si="0"/>
        <v>196125</v>
      </c>
      <c r="G25" s="2">
        <f>SUM(F20:F25)</f>
        <v>609165</v>
      </c>
      <c r="H25" s="2">
        <f>H23+F25</f>
        <v>1261224.7982339999</v>
      </c>
      <c r="I25" s="8" t="s">
        <v>260</v>
      </c>
    </row>
    <row r="26" spans="1:9">
      <c r="B26" s="1"/>
      <c r="H26" s="2"/>
    </row>
    <row r="27" spans="1:9">
      <c r="A27" t="s">
        <v>77</v>
      </c>
      <c r="B27" t="s">
        <v>264</v>
      </c>
      <c r="C27" t="s">
        <v>240</v>
      </c>
      <c r="D27">
        <v>471</v>
      </c>
      <c r="E27" s="154">
        <f>$F$4</f>
        <v>26.15</v>
      </c>
      <c r="F27" s="2">
        <f>E27*D27</f>
        <v>12316.65</v>
      </c>
      <c r="H27" s="2">
        <f>H25+F27</f>
        <v>1273541.4482339998</v>
      </c>
      <c r="I27" s="8" t="s">
        <v>265</v>
      </c>
    </row>
    <row r="28" spans="1:9">
      <c r="C28" t="s">
        <v>266</v>
      </c>
      <c r="D28">
        <v>31</v>
      </c>
      <c r="E28" s="154">
        <v>709</v>
      </c>
      <c r="F28" s="2">
        <f>E28*D28</f>
        <v>21979</v>
      </c>
      <c r="H28" s="2">
        <f>H27+F28</f>
        <v>1295520.4482339998</v>
      </c>
      <c r="I28" s="8" t="s">
        <v>267</v>
      </c>
    </row>
    <row r="29" spans="1:9">
      <c r="B29" t="s">
        <v>264</v>
      </c>
      <c r="C29" t="s">
        <v>268</v>
      </c>
      <c r="D29">
        <v>30</v>
      </c>
      <c r="E29" s="154">
        <v>722</v>
      </c>
      <c r="F29" s="2">
        <f>E29*D29</f>
        <v>21660</v>
      </c>
      <c r="H29" s="2">
        <f>H28+F29</f>
        <v>1317180.4482339998</v>
      </c>
      <c r="I29" s="8" t="s">
        <v>265</v>
      </c>
    </row>
    <row r="30" spans="1:9">
      <c r="C30" t="s">
        <v>269</v>
      </c>
      <c r="D30">
        <v>3680</v>
      </c>
      <c r="E30">
        <v>0.85</v>
      </c>
      <c r="F30" s="2">
        <f>E30*D30</f>
        <v>3128</v>
      </c>
      <c r="H30" s="2">
        <f>H29+F30</f>
        <v>1320308.4482339998</v>
      </c>
      <c r="I30" s="8" t="s">
        <v>270</v>
      </c>
    </row>
    <row r="31" spans="1:9">
      <c r="B31" t="s">
        <v>264</v>
      </c>
      <c r="C31" t="s">
        <v>271</v>
      </c>
      <c r="D31">
        <v>77.3</v>
      </c>
      <c r="E31">
        <f>$F$2</f>
        <v>2513</v>
      </c>
      <c r="F31" s="2">
        <f>E31*D31</f>
        <v>194254.9</v>
      </c>
      <c r="G31" s="2">
        <f>SUM(F27:F31)</f>
        <v>253338.55</v>
      </c>
      <c r="H31" s="2"/>
    </row>
    <row r="32" spans="1:9">
      <c r="H32" s="2">
        <f>H30+F32</f>
        <v>1320308.4482339998</v>
      </c>
    </row>
    <row r="33" spans="1:10">
      <c r="A33" t="s">
        <v>228</v>
      </c>
      <c r="C33" t="s">
        <v>154</v>
      </c>
      <c r="F33" s="155">
        <v>100000</v>
      </c>
      <c r="G33" s="155">
        <f>F33</f>
        <v>100000</v>
      </c>
      <c r="H33" s="2">
        <f>H32+F33</f>
        <v>1420308.4482339998</v>
      </c>
      <c r="I33" s="8" t="s">
        <v>272</v>
      </c>
    </row>
    <row r="34" spans="1:10">
      <c r="A34" t="s">
        <v>273</v>
      </c>
      <c r="C34" t="s">
        <v>154</v>
      </c>
      <c r="F34" s="155">
        <v>68000</v>
      </c>
      <c r="G34" s="155">
        <v>68000</v>
      </c>
      <c r="H34" s="2">
        <f>H33+F34</f>
        <v>1488308.4482339998</v>
      </c>
      <c r="I34" s="8" t="s">
        <v>272</v>
      </c>
    </row>
    <row r="42" spans="1:10">
      <c r="G42" t="s">
        <v>274</v>
      </c>
      <c r="J42" t="s">
        <v>275</v>
      </c>
    </row>
    <row r="43" spans="1:10">
      <c r="J43">
        <v>1500000</v>
      </c>
    </row>
    <row r="44" spans="1:10">
      <c r="C44" t="s">
        <v>276</v>
      </c>
      <c r="F44" s="155">
        <v>22058</v>
      </c>
      <c r="H44" s="2">
        <f t="shared" ref="H44:H50" si="1">H43+F44-G44</f>
        <v>22058</v>
      </c>
    </row>
    <row r="45" spans="1:10">
      <c r="A45" t="s">
        <v>77</v>
      </c>
      <c r="C45" t="s">
        <v>277</v>
      </c>
      <c r="F45" s="155">
        <v>155000</v>
      </c>
      <c r="H45" s="2">
        <f t="shared" si="1"/>
        <v>177058</v>
      </c>
    </row>
    <row r="46" spans="1:10">
      <c r="C46" t="s">
        <v>278</v>
      </c>
      <c r="F46" s="155"/>
      <c r="G46" s="156">
        <v>50000</v>
      </c>
      <c r="H46" s="2">
        <f t="shared" si="1"/>
        <v>127058</v>
      </c>
      <c r="I46" s="8" t="s">
        <v>121</v>
      </c>
      <c r="J46" s="8">
        <f>J43-G46</f>
        <v>1450000</v>
      </c>
    </row>
    <row r="47" spans="1:10">
      <c r="C47" t="s">
        <v>279</v>
      </c>
      <c r="F47" s="155">
        <v>722</v>
      </c>
      <c r="H47" s="2">
        <f t="shared" si="1"/>
        <v>127780</v>
      </c>
      <c r="I47" s="8" t="s">
        <v>280</v>
      </c>
    </row>
    <row r="48" spans="1:10">
      <c r="H48" s="2">
        <f t="shared" si="1"/>
        <v>127780</v>
      </c>
    </row>
    <row r="49" spans="2:10">
      <c r="H49" s="2">
        <f t="shared" si="1"/>
        <v>127780</v>
      </c>
    </row>
    <row r="50" spans="2:10">
      <c r="C50" t="s">
        <v>281</v>
      </c>
      <c r="F50" s="155">
        <v>12290</v>
      </c>
      <c r="G50" s="2"/>
      <c r="H50" s="17">
        <f t="shared" si="1"/>
        <v>140070</v>
      </c>
      <c r="I50" s="157" t="s">
        <v>272</v>
      </c>
      <c r="J50" s="3">
        <f>J46-G50</f>
        <v>1450000</v>
      </c>
    </row>
    <row r="51" spans="2:10">
      <c r="J51" s="17">
        <f>J50-H50</f>
        <v>1309930</v>
      </c>
    </row>
    <row r="55" spans="2:10">
      <c r="B55" s="1">
        <v>45509</v>
      </c>
      <c r="C55" s="8" t="s">
        <v>282</v>
      </c>
      <c r="D55">
        <v>779</v>
      </c>
      <c r="E55">
        <v>711.57560000000001</v>
      </c>
      <c r="F55" s="2">
        <f>E55*D55</f>
        <v>554317.39240000001</v>
      </c>
      <c r="G55" s="2"/>
      <c r="H55" s="2">
        <f t="shared" ref="H55:H62" si="2">H54+F55-G55</f>
        <v>554317.39240000001</v>
      </c>
      <c r="I55" s="8" t="s">
        <v>280</v>
      </c>
    </row>
    <row r="56" spans="2:10">
      <c r="H56" s="2">
        <f t="shared" si="2"/>
        <v>554317.39240000001</v>
      </c>
    </row>
    <row r="57" spans="2:10">
      <c r="C57" t="s">
        <v>238</v>
      </c>
      <c r="D57">
        <v>125</v>
      </c>
      <c r="E57">
        <v>2510</v>
      </c>
      <c r="F57" s="2">
        <f>E57*D57</f>
        <v>313750</v>
      </c>
      <c r="H57" s="2">
        <f t="shared" si="2"/>
        <v>868067.39240000001</v>
      </c>
      <c r="I57" s="157" t="s">
        <v>272</v>
      </c>
    </row>
    <row r="58" spans="2:10">
      <c r="C58" t="s">
        <v>283</v>
      </c>
      <c r="D58">
        <v>20</v>
      </c>
      <c r="E58">
        <v>4000</v>
      </c>
      <c r="F58" s="2">
        <f>E58*D58</f>
        <v>80000</v>
      </c>
      <c r="H58" s="2">
        <f t="shared" si="2"/>
        <v>948067.39240000001</v>
      </c>
      <c r="I58" s="157" t="s">
        <v>272</v>
      </c>
    </row>
    <row r="59" spans="2:10">
      <c r="F59" s="2"/>
      <c r="H59" s="2">
        <f t="shared" si="2"/>
        <v>948067.39240000001</v>
      </c>
      <c r="I59" s="157"/>
    </row>
    <row r="60" spans="2:10">
      <c r="C60" t="s">
        <v>284</v>
      </c>
      <c r="D60">
        <v>7500</v>
      </c>
      <c r="E60">
        <v>26.15</v>
      </c>
      <c r="F60" s="2">
        <f>E60*D60</f>
        <v>196125</v>
      </c>
      <c r="H60" s="2">
        <f t="shared" si="2"/>
        <v>1144192.3924</v>
      </c>
      <c r="I60" s="157" t="s">
        <v>272</v>
      </c>
    </row>
    <row r="61" spans="2:10">
      <c r="C61" t="s">
        <v>285</v>
      </c>
      <c r="F61">
        <v>100000</v>
      </c>
      <c r="H61" s="2">
        <f t="shared" si="2"/>
        <v>1244192.3924</v>
      </c>
      <c r="I61" s="157" t="s">
        <v>272</v>
      </c>
    </row>
    <row r="62" spans="2:10">
      <c r="C62" t="s">
        <v>286</v>
      </c>
      <c r="F62">
        <v>68000</v>
      </c>
      <c r="H62" s="17">
        <f t="shared" si="2"/>
        <v>1312192.3924</v>
      </c>
      <c r="I62" s="157" t="s">
        <v>272</v>
      </c>
    </row>
    <row r="63" spans="2:10">
      <c r="J63" s="17">
        <f>J51</f>
        <v>1309930</v>
      </c>
    </row>
    <row r="64" spans="2:10">
      <c r="J64" s="17">
        <f>J63-H62</f>
        <v>-2262.3924000000115</v>
      </c>
    </row>
    <row r="67" spans="2:9">
      <c r="B67" s="88">
        <v>45512</v>
      </c>
      <c r="C67" s="8" t="s">
        <v>287</v>
      </c>
    </row>
    <row r="69" spans="2:9">
      <c r="C69" t="s">
        <v>276</v>
      </c>
      <c r="F69" s="155">
        <v>127500</v>
      </c>
      <c r="H69" s="17">
        <f t="shared" ref="H69:H82" si="3">H68+F69-G69</f>
        <v>127500</v>
      </c>
    </row>
    <row r="70" spans="2:9">
      <c r="C70" t="s">
        <v>277</v>
      </c>
      <c r="F70" s="155"/>
      <c r="H70" s="17">
        <f t="shared" si="3"/>
        <v>127500</v>
      </c>
    </row>
    <row r="71" spans="2:9">
      <c r="C71" t="s">
        <v>278</v>
      </c>
      <c r="F71" s="155"/>
      <c r="G71" s="156">
        <v>50000</v>
      </c>
      <c r="H71" s="17">
        <f t="shared" si="3"/>
        <v>77500</v>
      </c>
      <c r="I71" s="8" t="s">
        <v>121</v>
      </c>
    </row>
    <row r="72" spans="2:9">
      <c r="C72" t="s">
        <v>279</v>
      </c>
      <c r="F72" s="155">
        <v>722</v>
      </c>
      <c r="H72" s="17">
        <f t="shared" si="3"/>
        <v>78222</v>
      </c>
      <c r="I72" s="8" t="s">
        <v>280</v>
      </c>
    </row>
    <row r="73" spans="2:9">
      <c r="C73" t="s">
        <v>19</v>
      </c>
      <c r="F73" s="155">
        <v>195000</v>
      </c>
      <c r="H73" s="17">
        <f t="shared" si="3"/>
        <v>273222</v>
      </c>
    </row>
    <row r="74" spans="2:9">
      <c r="B74" s="1">
        <v>45509</v>
      </c>
      <c r="C74" s="8" t="s">
        <v>282</v>
      </c>
      <c r="D74">
        <v>1235</v>
      </c>
      <c r="E74">
        <v>711.57560000000001</v>
      </c>
      <c r="F74" s="2">
        <f>E74*D74</f>
        <v>878795.86600000004</v>
      </c>
      <c r="G74" s="2"/>
      <c r="H74" s="17">
        <f t="shared" si="3"/>
        <v>1152017.8659999999</v>
      </c>
      <c r="I74" s="8" t="s">
        <v>280</v>
      </c>
    </row>
    <row r="75" spans="2:9">
      <c r="H75" s="17">
        <f t="shared" si="3"/>
        <v>1152017.8659999999</v>
      </c>
    </row>
    <row r="76" spans="2:9">
      <c r="F76" s="2"/>
      <c r="H76" s="17">
        <f t="shared" si="3"/>
        <v>1152017.8659999999</v>
      </c>
      <c r="I76" s="157" t="s">
        <v>272</v>
      </c>
    </row>
    <row r="77" spans="2:9">
      <c r="C77" t="s">
        <v>288</v>
      </c>
      <c r="F77" s="155">
        <v>12290</v>
      </c>
      <c r="G77" s="2"/>
      <c r="H77" s="17">
        <f t="shared" si="3"/>
        <v>1164307.8659999999</v>
      </c>
      <c r="I77" s="157" t="s">
        <v>272</v>
      </c>
    </row>
    <row r="78" spans="2:9">
      <c r="C78" t="s">
        <v>285</v>
      </c>
      <c r="F78">
        <v>100000</v>
      </c>
      <c r="H78" s="17">
        <f t="shared" si="3"/>
        <v>1264307.8659999999</v>
      </c>
      <c r="I78" s="157" t="s">
        <v>272</v>
      </c>
    </row>
    <row r="79" spans="2:9">
      <c r="C79" t="s">
        <v>286</v>
      </c>
      <c r="F79">
        <v>100000</v>
      </c>
      <c r="H79" s="17">
        <f t="shared" si="3"/>
        <v>1364307.8659999999</v>
      </c>
      <c r="I79" s="157" t="s">
        <v>272</v>
      </c>
    </row>
    <row r="80" spans="2:9">
      <c r="H80" s="17">
        <f t="shared" si="3"/>
        <v>1364307.8659999999</v>
      </c>
    </row>
    <row r="81" spans="3:9">
      <c r="C81" t="s">
        <v>289</v>
      </c>
      <c r="D81">
        <v>7500</v>
      </c>
      <c r="E81">
        <v>26.13</v>
      </c>
      <c r="F81" s="2"/>
      <c r="H81" s="17">
        <f t="shared" si="3"/>
        <v>1364307.8659999999</v>
      </c>
      <c r="I81" s="157" t="s">
        <v>272</v>
      </c>
    </row>
    <row r="82" spans="3:9">
      <c r="C82" t="s">
        <v>283</v>
      </c>
      <c r="D82">
        <v>20</v>
      </c>
      <c r="E82">
        <v>4000</v>
      </c>
      <c r="F82" s="2"/>
      <c r="G82">
        <v>1416500</v>
      </c>
      <c r="H82" s="17">
        <f t="shared" si="3"/>
        <v>-52192.134000000078</v>
      </c>
      <c r="I82" s="157" t="s">
        <v>272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68A1A"/>
  </sheetPr>
  <dimension ref="A1:N135"/>
  <sheetViews>
    <sheetView zoomScale="175" zoomScaleNormal="175" workbookViewId="0">
      <selection activeCell="C28" sqref="C28"/>
    </sheetView>
  </sheetViews>
  <sheetFormatPr defaultColWidth="8.5703125" defaultRowHeight="12.75"/>
  <cols>
    <col min="1" max="1" width="7.140625" customWidth="1"/>
    <col min="2" max="2" width="14.140625" customWidth="1"/>
    <col min="3" max="3" width="15.5703125" customWidth="1"/>
    <col min="4" max="4" width="11.42578125" customWidth="1"/>
    <col min="5" max="5" width="14.140625" customWidth="1"/>
    <col min="6" max="6" width="14.7109375" customWidth="1"/>
    <col min="7" max="7" width="11.85546875" customWidth="1"/>
    <col min="8" max="8" width="0.85546875" customWidth="1"/>
    <col min="9" max="9" width="3.5703125" customWidth="1"/>
    <col min="10" max="10" width="8" customWidth="1"/>
    <col min="11" max="11" width="7" style="2" customWidth="1"/>
    <col min="12" max="12" width="6.85546875" style="2" customWidth="1"/>
    <col min="13" max="13" width="10" style="2" customWidth="1"/>
    <col min="14" max="14" width="6" customWidth="1"/>
    <col min="15" max="15" width="9.140625" customWidth="1"/>
  </cols>
  <sheetData>
    <row r="1" spans="1:14" ht="15.75">
      <c r="A1" s="19"/>
      <c r="B1" s="20"/>
      <c r="C1" s="21" t="s">
        <v>23</v>
      </c>
      <c r="D1" s="22"/>
      <c r="E1" s="23"/>
      <c r="F1" s="21" t="s">
        <v>24</v>
      </c>
      <c r="G1" s="22"/>
      <c r="H1" s="24"/>
      <c r="I1" s="25"/>
      <c r="J1" s="26"/>
      <c r="K1" s="27" t="s">
        <v>25</v>
      </c>
      <c r="L1" s="462" t="s">
        <v>26</v>
      </c>
      <c r="M1" s="462"/>
      <c r="N1" s="8" t="s">
        <v>27</v>
      </c>
    </row>
    <row r="2" spans="1:14" ht="15.75">
      <c r="A2" s="19">
        <v>-2024</v>
      </c>
      <c r="B2" s="23" t="s">
        <v>28</v>
      </c>
      <c r="C2" s="28" t="s">
        <v>29</v>
      </c>
      <c r="D2" s="22" t="s">
        <v>30</v>
      </c>
      <c r="E2" s="23" t="s">
        <v>28</v>
      </c>
      <c r="F2" s="28" t="s">
        <v>29</v>
      </c>
      <c r="G2" s="22" t="s">
        <v>3</v>
      </c>
      <c r="H2" s="24"/>
      <c r="I2" s="25"/>
      <c r="J2" s="26" t="s">
        <v>31</v>
      </c>
      <c r="K2" s="29">
        <v>0.23538400000000001</v>
      </c>
      <c r="L2" s="30">
        <f>1-K2</f>
        <v>0.76461599999999996</v>
      </c>
      <c r="M2" s="31" t="s">
        <v>32</v>
      </c>
      <c r="N2" s="8">
        <f>F115/1000</f>
        <v>698.22030499999994</v>
      </c>
    </row>
    <row r="3" spans="1:14">
      <c r="A3" t="s">
        <v>33</v>
      </c>
      <c r="B3" s="32">
        <f>'01_24'!D2</f>
        <v>340464.6</v>
      </c>
      <c r="C3" s="32">
        <f>'01_24'!E2</f>
        <v>-52469.760000000002</v>
      </c>
      <c r="D3" s="33">
        <f>B3+C3</f>
        <v>287994.83999999997</v>
      </c>
      <c r="E3" s="32">
        <f>'01_24'!F2</f>
        <v>194911.58000000002</v>
      </c>
      <c r="F3" s="32">
        <f>'01_24'!G2</f>
        <v>-66377.209999999992</v>
      </c>
      <c r="G3" s="33">
        <f>E3+F3</f>
        <v>128534.37000000002</v>
      </c>
      <c r="H3" s="34"/>
      <c r="I3" s="35" t="s">
        <v>34</v>
      </c>
      <c r="J3">
        <v>180</v>
      </c>
      <c r="K3" s="36"/>
      <c r="L3" s="37"/>
      <c r="M3" s="38">
        <f>J3</f>
        <v>180</v>
      </c>
      <c r="N3" s="8">
        <f>'01_24'!E118/1000</f>
        <v>813.15151000000003</v>
      </c>
    </row>
    <row r="4" spans="1:14">
      <c r="A4" t="s">
        <v>35</v>
      </c>
      <c r="B4" s="32">
        <f>'02_24'!D2</f>
        <v>19300</v>
      </c>
      <c r="C4" s="32">
        <f>'02_24'!E2</f>
        <v>-65325.849999999991</v>
      </c>
      <c r="D4" s="33">
        <f t="shared" ref="D4:D14" si="0">B4+C4+D3</f>
        <v>241968.99</v>
      </c>
      <c r="E4" s="32">
        <f>'02_24'!F2</f>
        <v>20543.64</v>
      </c>
      <c r="F4" s="32">
        <f>'02_24'!G2</f>
        <v>-69834.739999999991</v>
      </c>
      <c r="G4" s="33">
        <f t="shared" ref="G4:G14" si="1">E4+F4+G3</f>
        <v>79243.270000000033</v>
      </c>
      <c r="H4" s="34"/>
      <c r="I4" s="35" t="s">
        <v>36</v>
      </c>
      <c r="J4">
        <v>235</v>
      </c>
      <c r="K4" s="39">
        <f>J4*$K$2</f>
        <v>55.315240000000003</v>
      </c>
      <c r="L4" s="40">
        <f>J4-K4</f>
        <v>179.68475999999998</v>
      </c>
      <c r="M4" s="38"/>
      <c r="N4" s="8">
        <f>'02_24'!E111/1000</f>
        <v>809.24983035699995</v>
      </c>
    </row>
    <row r="5" spans="1:14">
      <c r="A5" t="s">
        <v>37</v>
      </c>
      <c r="B5" s="32">
        <f>'03_24'!D2</f>
        <v>12800</v>
      </c>
      <c r="C5" s="32">
        <f>'03_24'!E2</f>
        <v>-114592.82</v>
      </c>
      <c r="D5" s="33">
        <f t="shared" si="0"/>
        <v>140176.16999999998</v>
      </c>
      <c r="E5" s="32">
        <f>'03_24'!F2</f>
        <v>19667.489999999998</v>
      </c>
      <c r="F5" s="32">
        <f>'03_24'!G2</f>
        <v>-116144.16</v>
      </c>
      <c r="G5" s="33">
        <f t="shared" si="1"/>
        <v>-17233.39999999998</v>
      </c>
      <c r="H5" s="34"/>
      <c r="I5" s="35" t="s">
        <v>38</v>
      </c>
      <c r="K5" s="39"/>
      <c r="L5" s="37"/>
      <c r="M5" s="38">
        <f>J5</f>
        <v>0</v>
      </c>
      <c r="N5" s="8">
        <f>'03_24'!E108/1000</f>
        <v>745.85205035699994</v>
      </c>
    </row>
    <row r="6" spans="1:14">
      <c r="A6" t="s">
        <v>39</v>
      </c>
      <c r="B6" s="32">
        <f>'04_24'!D2</f>
        <v>40000</v>
      </c>
      <c r="C6" s="32">
        <f>'04_24'!E2</f>
        <v>-51710.3</v>
      </c>
      <c r="D6" s="33">
        <f t="shared" si="0"/>
        <v>128465.86999999998</v>
      </c>
      <c r="E6" s="32">
        <f>'04_24'!F2</f>
        <v>332427.62</v>
      </c>
      <c r="F6" s="32">
        <f>'04_24'!G2</f>
        <v>-86892.22</v>
      </c>
      <c r="G6" s="33">
        <f t="shared" si="1"/>
        <v>228302</v>
      </c>
      <c r="H6" s="34"/>
      <c r="I6" s="41" t="s">
        <v>40</v>
      </c>
      <c r="K6" s="39"/>
      <c r="L6" s="37"/>
      <c r="M6" s="42">
        <f>E18/1000</f>
        <v>68.505570000000006</v>
      </c>
      <c r="N6" s="8">
        <f>'04_24'!E111/1000</f>
        <v>774.2877365999999</v>
      </c>
    </row>
    <row r="7" spans="1:14">
      <c r="A7" t="s">
        <v>41</v>
      </c>
      <c r="B7" s="32">
        <f>'05_24'!D2</f>
        <v>25000</v>
      </c>
      <c r="C7" s="32">
        <f>'05_24'!E2</f>
        <v>-64525.01</v>
      </c>
      <c r="D7" s="33">
        <f t="shared" si="0"/>
        <v>88940.859999999986</v>
      </c>
      <c r="E7" s="32">
        <f>'05_24'!F2</f>
        <v>25427.620000000003</v>
      </c>
      <c r="F7" s="32">
        <f>'05_24'!G2</f>
        <v>-64483.92</v>
      </c>
      <c r="G7" s="33">
        <f t="shared" si="1"/>
        <v>189245.7</v>
      </c>
      <c r="H7" s="34"/>
      <c r="I7" s="41" t="s">
        <v>42</v>
      </c>
      <c r="K7" s="39"/>
      <c r="L7" s="40"/>
      <c r="M7" s="42">
        <f>E19/1000</f>
        <v>77.935369999999992</v>
      </c>
      <c r="N7" s="8">
        <f>'05_24'!E101/1000</f>
        <v>1018.9678865999999</v>
      </c>
    </row>
    <row r="8" spans="1:14">
      <c r="A8" t="s">
        <v>43</v>
      </c>
      <c r="B8" s="32">
        <f>'06_24'!D2</f>
        <v>33500</v>
      </c>
      <c r="C8" s="32">
        <f>'06_24'!E2</f>
        <v>-77377.563693000004</v>
      </c>
      <c r="D8" s="33">
        <f t="shared" si="0"/>
        <v>45063.296306999982</v>
      </c>
      <c r="E8" s="32">
        <f>'06_24'!F2</f>
        <v>13427.62</v>
      </c>
      <c r="F8" s="32">
        <f>'06_24'!G2</f>
        <v>-97778.153693</v>
      </c>
      <c r="G8" s="33">
        <f t="shared" si="1"/>
        <v>104895.16630700001</v>
      </c>
      <c r="H8" s="34"/>
      <c r="I8" s="35" t="s">
        <v>44</v>
      </c>
      <c r="J8">
        <v>225</v>
      </c>
      <c r="K8" s="39"/>
      <c r="L8" s="40"/>
      <c r="M8" s="38">
        <f>J8/4</f>
        <v>56.25</v>
      </c>
      <c r="N8" s="8">
        <f>'06_24'!E118/1000</f>
        <v>794.30215999999996</v>
      </c>
    </row>
    <row r="9" spans="1:14">
      <c r="A9" t="s">
        <v>45</v>
      </c>
      <c r="B9" s="32">
        <f>'07_24'!D2</f>
        <v>51000</v>
      </c>
      <c r="C9" s="32">
        <f>'07_24'!E2</f>
        <v>-85166.06</v>
      </c>
      <c r="D9" s="33">
        <f t="shared" si="0"/>
        <v>10897.236306999985</v>
      </c>
      <c r="E9" s="32">
        <f>'07_24'!F2</f>
        <v>27984.15</v>
      </c>
      <c r="F9" s="32">
        <f>'07_24'!G2</f>
        <v>-87971.62</v>
      </c>
      <c r="G9" s="33">
        <f t="shared" si="1"/>
        <v>44907.696307000013</v>
      </c>
      <c r="H9" s="34"/>
      <c r="I9" s="35" t="s">
        <v>46</v>
      </c>
      <c r="J9">
        <v>204</v>
      </c>
      <c r="K9" s="39">
        <f>J9*$K$2</f>
        <v>48.018336000000005</v>
      </c>
      <c r="L9" s="40">
        <f>J9-K9</f>
        <v>155.98166399999999</v>
      </c>
      <c r="M9" s="43"/>
      <c r="N9" s="8">
        <f>'07_24'!E133/1000</f>
        <v>981.30372722800007</v>
      </c>
    </row>
    <row r="10" spans="1:14">
      <c r="A10" t="s">
        <v>47</v>
      </c>
      <c r="B10" s="32">
        <f>'08_24'!D2</f>
        <v>195484.15</v>
      </c>
      <c r="C10" s="32">
        <f>'08_24'!E2</f>
        <v>-88440.670000000013</v>
      </c>
      <c r="D10" s="33">
        <f t="shared" si="0"/>
        <v>117940.71630699997</v>
      </c>
      <c r="E10" s="32">
        <f>'08_24'!F2</f>
        <v>28006.379999999997</v>
      </c>
      <c r="F10" s="32">
        <f>'08_24'!G2</f>
        <v>-88381.87</v>
      </c>
      <c r="G10" s="33">
        <f t="shared" si="1"/>
        <v>-15467.793692999985</v>
      </c>
      <c r="H10" s="34"/>
      <c r="I10" s="35" t="s">
        <v>48</v>
      </c>
      <c r="J10">
        <v>500</v>
      </c>
      <c r="K10" s="39"/>
      <c r="L10" s="40"/>
      <c r="M10" s="38">
        <f>J10*0.13</f>
        <v>65</v>
      </c>
      <c r="N10" s="8">
        <f>'08_24'!E125/1000</f>
        <v>981.30372722800007</v>
      </c>
    </row>
    <row r="11" spans="1:14">
      <c r="A11" t="s">
        <v>49</v>
      </c>
      <c r="B11" s="32">
        <f>'09_24'!D2</f>
        <v>36484.15</v>
      </c>
      <c r="C11" s="32">
        <f>'09_24'!E2</f>
        <v>-81364.900000000009</v>
      </c>
      <c r="D11" s="33">
        <f t="shared" si="0"/>
        <v>73059.966306999966</v>
      </c>
      <c r="E11" s="32">
        <f>'09_24'!F2</f>
        <v>98006.38</v>
      </c>
      <c r="F11" s="32">
        <f>'09_24'!G2</f>
        <v>-69863.539999999994</v>
      </c>
      <c r="G11" s="33">
        <f t="shared" si="1"/>
        <v>12675.046307000026</v>
      </c>
      <c r="H11" s="34"/>
      <c r="I11" s="35" t="s">
        <v>50</v>
      </c>
      <c r="J11">
        <v>0</v>
      </c>
      <c r="K11" s="39">
        <f>J11*$K$2</f>
        <v>0</v>
      </c>
      <c r="L11" s="40">
        <f>J11-K11</f>
        <v>0</v>
      </c>
      <c r="M11" s="38"/>
      <c r="N11" s="8">
        <f>'09_24'!E101/1000</f>
        <v>749.1965993199999</v>
      </c>
    </row>
    <row r="12" spans="1:14">
      <c r="A12" t="s">
        <v>51</v>
      </c>
      <c r="B12" s="32">
        <f>'10_24'!D2</f>
        <v>27984.15</v>
      </c>
      <c r="C12" s="32">
        <f>'10_24'!E2</f>
        <v>-126233.26999999999</v>
      </c>
      <c r="D12" s="33">
        <f t="shared" si="0"/>
        <v>-25189.153693000029</v>
      </c>
      <c r="E12" s="32">
        <f>'10_24'!F2</f>
        <v>64006.38</v>
      </c>
      <c r="F12" s="32">
        <f>'10_24'!G2</f>
        <v>-123041.59000000001</v>
      </c>
      <c r="G12" s="33">
        <f t="shared" si="1"/>
        <v>-46360.163692999988</v>
      </c>
      <c r="H12" s="34"/>
      <c r="I12" s="35" t="s">
        <v>52</v>
      </c>
      <c r="J12">
        <v>0</v>
      </c>
      <c r="K12" s="39">
        <f>J12*$K$2</f>
        <v>0</v>
      </c>
      <c r="L12" s="40">
        <f>J12-K12</f>
        <v>0</v>
      </c>
      <c r="M12" s="38"/>
      <c r="N12" s="8">
        <f>'10_24'!E136/1000</f>
        <v>726.05859999999996</v>
      </c>
    </row>
    <row r="13" spans="1:14">
      <c r="A13" t="s">
        <v>53</v>
      </c>
      <c r="B13" s="32">
        <f>'11_24'!D2</f>
        <v>277984.15000000002</v>
      </c>
      <c r="C13" s="32">
        <f>'11_24'!E2</f>
        <v>-182434.39</v>
      </c>
      <c r="D13" s="33">
        <f t="shared" si="0"/>
        <v>70360.60630699998</v>
      </c>
      <c r="E13" s="32">
        <f>'11_24'!F2</f>
        <v>212306.38</v>
      </c>
      <c r="F13" s="32">
        <f>'11_24'!G2</f>
        <v>-220559.32</v>
      </c>
      <c r="G13" s="33">
        <f t="shared" si="1"/>
        <v>-54613.10369299999</v>
      </c>
      <c r="H13" s="34"/>
      <c r="I13" s="35" t="s">
        <v>54</v>
      </c>
      <c r="J13">
        <v>219</v>
      </c>
      <c r="K13" s="39">
        <f>J13*$K$2</f>
        <v>51.549095999999999</v>
      </c>
      <c r="L13" s="40">
        <f>J13-K13</f>
        <v>167.45090400000001</v>
      </c>
      <c r="M13" s="43"/>
      <c r="N13" s="8">
        <f>'11_24'!E111/1000</f>
        <v>695.35238000000004</v>
      </c>
    </row>
    <row r="14" spans="1:14">
      <c r="A14" t="s">
        <v>55</v>
      </c>
      <c r="B14" s="32">
        <f>'12_24'!D2</f>
        <v>27984.15</v>
      </c>
      <c r="C14" s="32">
        <f>'12_24'!E2</f>
        <v>-62202.759999999995</v>
      </c>
      <c r="D14" s="33">
        <f t="shared" si="0"/>
        <v>36141.996306999987</v>
      </c>
      <c r="E14" s="32">
        <f>'12_24'!F2</f>
        <v>246925.7</v>
      </c>
      <c r="F14" s="32">
        <f>'12_24'!G2</f>
        <v>-130909.75999999999</v>
      </c>
      <c r="G14" s="33">
        <f t="shared" si="1"/>
        <v>61402.836307000027</v>
      </c>
      <c r="H14" s="34"/>
      <c r="I14" s="44" t="s">
        <v>56</v>
      </c>
      <c r="J14" s="45">
        <v>170</v>
      </c>
      <c r="K14" s="39">
        <f>J14*$K$2</f>
        <v>40.015280000000004</v>
      </c>
      <c r="L14" s="40">
        <f>J14-K14</f>
        <v>129.98471999999998</v>
      </c>
      <c r="M14" s="38"/>
      <c r="N14" s="8">
        <f>'12_24'!E125/1000</f>
        <v>674.75337999999999</v>
      </c>
    </row>
    <row r="15" spans="1:14">
      <c r="A15" s="46" t="s">
        <v>57</v>
      </c>
      <c r="B15" s="33">
        <f>SUM(B3:B14)</f>
        <v>1087985.3500000001</v>
      </c>
      <c r="C15" s="33">
        <f>SUM(C3:C14)</f>
        <v>-1051843.353693</v>
      </c>
      <c r="D15" s="33">
        <f>B15+C15</f>
        <v>36141.996307000052</v>
      </c>
      <c r="E15" s="33">
        <f>SUM(E3:E14)</f>
        <v>1283640.9400000002</v>
      </c>
      <c r="F15" s="33">
        <f>SUM(F3:F14)</f>
        <v>-1222238.103693</v>
      </c>
      <c r="G15" s="33">
        <f>E15+F15</f>
        <v>61402.836307000136</v>
      </c>
      <c r="H15" s="47"/>
      <c r="I15" s="48"/>
      <c r="J15" s="49">
        <f>SUM(J3:J14)</f>
        <v>1733</v>
      </c>
      <c r="K15" s="50">
        <f>SUM(K4:K14)</f>
        <v>194.89795200000003</v>
      </c>
      <c r="L15" s="51">
        <f>SUM(L4:L14)</f>
        <v>633.10204799999997</v>
      </c>
      <c r="M15" s="52">
        <f>M10+M8+M6+M5+M3+M7</f>
        <v>447.69094000000001</v>
      </c>
    </row>
    <row r="16" spans="1:14">
      <c r="A16" s="53">
        <v>12</v>
      </c>
      <c r="B16" s="54">
        <f>B15/A16</f>
        <v>90665.445833333346</v>
      </c>
      <c r="C16" s="55">
        <f>C15/A16</f>
        <v>-87653.612807750003</v>
      </c>
      <c r="D16" s="55"/>
      <c r="E16" s="55">
        <f>E15/A16</f>
        <v>106970.07833333335</v>
      </c>
      <c r="F16" s="55">
        <f>F15/A16</f>
        <v>-101853.17530775</v>
      </c>
      <c r="G16" s="55">
        <f>G15/A16</f>
        <v>5116.903025583345</v>
      </c>
      <c r="H16" s="56"/>
      <c r="I16" s="57"/>
      <c r="J16" s="58">
        <f>J15/12</f>
        <v>144.41666666666666</v>
      </c>
      <c r="K16" s="59">
        <f>K15/12</f>
        <v>16.241496000000001</v>
      </c>
      <c r="L16" s="60">
        <f>L15/12</f>
        <v>52.758503999999995</v>
      </c>
      <c r="M16" s="61">
        <f>M15/12</f>
        <v>37.307578333333332</v>
      </c>
      <c r="N16" s="62">
        <f>AVERAGE(N2:N15)</f>
        <v>804.76922251461542</v>
      </c>
    </row>
    <row r="17" spans="2:13">
      <c r="C17" s="2"/>
      <c r="D17" s="2"/>
      <c r="G17" s="63"/>
      <c r="H17" s="63"/>
      <c r="I17" s="35"/>
      <c r="K17" s="2" t="s">
        <v>57</v>
      </c>
      <c r="L17" s="463">
        <f>L15+M15</f>
        <v>1080.7929879999999</v>
      </c>
      <c r="M17" s="463"/>
    </row>
    <row r="18" spans="2:13">
      <c r="D18" s="64" t="s">
        <v>58</v>
      </c>
      <c r="E18" s="2">
        <f>'01_24'!F27+'02_24'!F14+'02_24'!F25+'03_24'!F19+'04_24'!F41+'05_24'!F22+'06_24'!F19+'06_24'!F31+'04_24'!F15</f>
        <v>68505.570000000007</v>
      </c>
      <c r="J18" s="35"/>
      <c r="K18" s="2" t="s">
        <v>59</v>
      </c>
      <c r="L18" s="65"/>
      <c r="M18" s="66">
        <f>L17/12</f>
        <v>90.066082333333327</v>
      </c>
    </row>
    <row r="19" spans="2:13">
      <c r="C19" s="67"/>
      <c r="D19" s="68" t="s">
        <v>60</v>
      </c>
      <c r="E19" s="69">
        <f>'07_24'!F30+'08_24'!F25+'09_24'!F19+'10_24'!F29+'11_24'!F34+'12_24'!F22</f>
        <v>77935.37</v>
      </c>
    </row>
    <row r="20" spans="2:13">
      <c r="D20" s="18" t="s">
        <v>61</v>
      </c>
      <c r="E20" s="17">
        <f>SUM(E18:E19)</f>
        <v>146440.94</v>
      </c>
    </row>
    <row r="21" spans="2:13">
      <c r="B21" s="70">
        <v>44896</v>
      </c>
    </row>
    <row r="22" spans="2:13" ht="15">
      <c r="B22" s="2">
        <v>6986.25</v>
      </c>
      <c r="C22" s="71">
        <v>0.37578499999999998</v>
      </c>
      <c r="D22" s="72">
        <v>0.49259190000000003</v>
      </c>
    </row>
    <row r="23" spans="2:13" ht="15">
      <c r="B23" s="2">
        <f>B22*C22</f>
        <v>2625.3279562499997</v>
      </c>
      <c r="C23" s="73" t="s">
        <v>62</v>
      </c>
      <c r="D23" s="2">
        <f>B22*D22</f>
        <v>3441.3701613750004</v>
      </c>
    </row>
    <row r="24" spans="2:13" ht="14.25">
      <c r="B24" s="74">
        <f>SUM(B22:B23)</f>
        <v>9611.5779562499993</v>
      </c>
      <c r="C24" s="75" t="s">
        <v>63</v>
      </c>
      <c r="D24" s="74">
        <f>D23+B22</f>
        <v>10427.620161375</v>
      </c>
    </row>
    <row r="25" spans="2:13">
      <c r="C25" s="76">
        <f>(D27/D24)-1</f>
        <v>0.24730089883567064</v>
      </c>
    </row>
    <row r="26" spans="2:13">
      <c r="C26" t="s">
        <v>64</v>
      </c>
    </row>
    <row r="27" spans="2:13">
      <c r="C27" t="s">
        <v>65</v>
      </c>
      <c r="D27">
        <v>13006.38</v>
      </c>
    </row>
    <row r="30" spans="2:13">
      <c r="B30" t="s">
        <v>290</v>
      </c>
    </row>
    <row r="31" spans="2:13">
      <c r="C31" t="s">
        <v>291</v>
      </c>
    </row>
    <row r="32" spans="2:13">
      <c r="C32" t="s">
        <v>292</v>
      </c>
    </row>
    <row r="34" spans="2:3">
      <c r="B34" t="s">
        <v>293</v>
      </c>
    </row>
    <row r="35" spans="2:3">
      <c r="C35" t="s">
        <v>294</v>
      </c>
    </row>
    <row r="36" spans="2:3">
      <c r="C36" t="s">
        <v>295</v>
      </c>
    </row>
    <row r="37" spans="2:3">
      <c r="B37" t="s">
        <v>296</v>
      </c>
    </row>
    <row r="38" spans="2:3">
      <c r="C38" t="s">
        <v>297</v>
      </c>
    </row>
    <row r="39" spans="2:3">
      <c r="C39" t="s">
        <v>298</v>
      </c>
    </row>
    <row r="40" spans="2:3">
      <c r="C40" t="s">
        <v>299</v>
      </c>
    </row>
    <row r="41" spans="2:3">
      <c r="C41" t="s">
        <v>300</v>
      </c>
    </row>
    <row r="42" spans="2:3">
      <c r="C42" t="s">
        <v>301</v>
      </c>
    </row>
    <row r="43" spans="2:3">
      <c r="B43" t="s">
        <v>302</v>
      </c>
    </row>
    <row r="44" spans="2:3">
      <c r="C44" t="s">
        <v>303</v>
      </c>
    </row>
    <row r="115" spans="2:7">
      <c r="B115" s="113" t="s">
        <v>304</v>
      </c>
      <c r="C115" s="104" t="s">
        <v>137</v>
      </c>
      <c r="D115" s="103">
        <v>2023</v>
      </c>
      <c r="E115" s="158"/>
      <c r="F115" s="159">
        <f>SUM(F116:F132)</f>
        <v>698220.30499999993</v>
      </c>
      <c r="G115" s="159"/>
    </row>
    <row r="116" spans="2:7">
      <c r="B116" s="160">
        <v>45290</v>
      </c>
      <c r="C116" s="8" t="s">
        <v>77</v>
      </c>
      <c r="D116" s="2"/>
      <c r="E116" s="2"/>
      <c r="F116" s="17">
        <v>64000</v>
      </c>
    </row>
    <row r="117" spans="2:7">
      <c r="B117" s="160">
        <f t="shared" ref="B117:B126" si="2">B116</f>
        <v>45290</v>
      </c>
      <c r="C117" s="8" t="s">
        <v>78</v>
      </c>
      <c r="D117" s="2"/>
      <c r="E117" s="2"/>
      <c r="F117" s="17">
        <v>218088</v>
      </c>
    </row>
    <row r="118" spans="2:7">
      <c r="B118" s="160">
        <f t="shared" si="2"/>
        <v>45290</v>
      </c>
      <c r="C118" s="8" t="s">
        <v>305</v>
      </c>
      <c r="D118" s="2"/>
      <c r="E118" s="2"/>
      <c r="F118" s="17">
        <v>3609.29</v>
      </c>
    </row>
    <row r="119" spans="2:7">
      <c r="B119" s="160">
        <f t="shared" si="2"/>
        <v>45290</v>
      </c>
      <c r="C119" s="8" t="s">
        <v>306</v>
      </c>
      <c r="D119" s="2"/>
      <c r="E119" s="2"/>
      <c r="F119" s="17">
        <v>122.31</v>
      </c>
    </row>
    <row r="120" spans="2:7">
      <c r="B120" s="160">
        <f t="shared" si="2"/>
        <v>45290</v>
      </c>
      <c r="C120" s="8" t="s">
        <v>307</v>
      </c>
      <c r="E120" s="2"/>
      <c r="F120" s="17">
        <v>6267.13</v>
      </c>
    </row>
    <row r="121" spans="2:7">
      <c r="B121" s="160">
        <f t="shared" si="2"/>
        <v>45290</v>
      </c>
      <c r="C121" s="8" t="s">
        <v>241</v>
      </c>
      <c r="D121" s="2" t="s">
        <v>308</v>
      </c>
      <c r="E121" s="2"/>
      <c r="F121" s="17">
        <v>21088.49</v>
      </c>
    </row>
    <row r="122" spans="2:7">
      <c r="B122" s="160">
        <f t="shared" si="2"/>
        <v>45290</v>
      </c>
      <c r="C122" s="8" t="s">
        <v>309</v>
      </c>
      <c r="D122" s="2" t="s">
        <v>310</v>
      </c>
      <c r="E122" s="2"/>
      <c r="F122" s="17">
        <v>5587.73</v>
      </c>
    </row>
    <row r="123" spans="2:7">
      <c r="B123" s="160">
        <f t="shared" si="2"/>
        <v>45290</v>
      </c>
      <c r="C123" s="8" t="s">
        <v>311</v>
      </c>
      <c r="D123" s="160">
        <v>45295</v>
      </c>
      <c r="E123" s="161">
        <v>-629.36</v>
      </c>
      <c r="F123" s="17">
        <v>4752.22</v>
      </c>
    </row>
    <row r="124" spans="2:7">
      <c r="B124" s="160">
        <f t="shared" si="2"/>
        <v>45290</v>
      </c>
      <c r="C124" s="8" t="s">
        <v>312</v>
      </c>
      <c r="D124" s="160">
        <v>45295</v>
      </c>
      <c r="E124" s="161">
        <v>-52.52</v>
      </c>
      <c r="F124" s="17">
        <v>315.38</v>
      </c>
      <c r="G124" s="63"/>
    </row>
    <row r="125" spans="2:7">
      <c r="B125" s="160">
        <f t="shared" si="2"/>
        <v>45290</v>
      </c>
      <c r="C125" s="8" t="s">
        <v>313</v>
      </c>
      <c r="D125" s="160">
        <v>45295</v>
      </c>
      <c r="E125" s="161">
        <v>-196</v>
      </c>
      <c r="F125" s="17">
        <v>295.8</v>
      </c>
    </row>
    <row r="126" spans="2:7">
      <c r="B126" s="160">
        <f t="shared" si="2"/>
        <v>45290</v>
      </c>
      <c r="C126" s="8" t="s">
        <v>314</v>
      </c>
      <c r="D126" s="160">
        <v>45295</v>
      </c>
      <c r="E126" s="161">
        <v>-669.7</v>
      </c>
      <c r="F126" s="17">
        <v>4239.3</v>
      </c>
    </row>
    <row r="127" spans="2:7">
      <c r="B127" s="160">
        <f>B120</f>
        <v>45290</v>
      </c>
      <c r="C127" s="8" t="s">
        <v>141</v>
      </c>
      <c r="D127" s="2"/>
      <c r="E127" s="2"/>
      <c r="F127" s="17">
        <v>1000</v>
      </c>
    </row>
    <row r="128" spans="2:7">
      <c r="B128" s="160">
        <f>B119</f>
        <v>45290</v>
      </c>
      <c r="C128" s="8" t="s">
        <v>315</v>
      </c>
      <c r="D128" s="2">
        <v>1928.59</v>
      </c>
      <c r="E128" s="2">
        <v>161</v>
      </c>
      <c r="F128" s="17">
        <f>E128*D128</f>
        <v>310502.99</v>
      </c>
    </row>
    <row r="129" spans="2:6">
      <c r="B129" s="160">
        <f>B128</f>
        <v>45290</v>
      </c>
      <c r="C129" s="8" t="s">
        <v>316</v>
      </c>
      <c r="D129" s="162">
        <v>29.2927</v>
      </c>
      <c r="E129" s="2">
        <v>850</v>
      </c>
      <c r="F129" s="17">
        <f>E129*D129</f>
        <v>24898.794999999998</v>
      </c>
    </row>
    <row r="130" spans="2:6">
      <c r="B130" s="160">
        <f>B129</f>
        <v>45290</v>
      </c>
      <c r="C130" s="8" t="s">
        <v>317</v>
      </c>
      <c r="D130" s="162">
        <v>32.028700000000001</v>
      </c>
      <c r="E130" s="2">
        <v>100</v>
      </c>
      <c r="F130" s="17">
        <f>E130*D130</f>
        <v>3202.87</v>
      </c>
    </row>
    <row r="131" spans="2:6">
      <c r="B131" s="160">
        <f>B130</f>
        <v>45290</v>
      </c>
      <c r="C131" s="8" t="s">
        <v>153</v>
      </c>
      <c r="D131" s="2"/>
      <c r="E131" s="2"/>
      <c r="F131" s="17">
        <v>30000</v>
      </c>
    </row>
    <row r="132" spans="2:6">
      <c r="B132" s="160">
        <f>B131</f>
        <v>45290</v>
      </c>
      <c r="C132" s="8" t="s">
        <v>154</v>
      </c>
      <c r="D132" s="2"/>
      <c r="E132" s="2"/>
      <c r="F132" s="17">
        <v>250</v>
      </c>
    </row>
    <row r="133" spans="2:6">
      <c r="D133" s="3" t="str">
        <f>B115</f>
        <v>ARALIK</v>
      </c>
      <c r="E133" s="18" t="s">
        <v>157</v>
      </c>
      <c r="F133" s="163">
        <f>H33</f>
        <v>0</v>
      </c>
    </row>
    <row r="134" spans="2:6">
      <c r="E134" s="3"/>
    </row>
    <row r="135" spans="2:6">
      <c r="E135" s="18" t="s">
        <v>156</v>
      </c>
      <c r="F135" s="9">
        <f>SUM(F116:F132)</f>
        <v>698220.30499999993</v>
      </c>
    </row>
  </sheetData>
  <mergeCells count="2">
    <mergeCell ref="L1:M1"/>
    <mergeCell ref="L17:M17"/>
  </mergeCell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E2F0D9"/>
  </sheetPr>
  <dimension ref="A1:N196"/>
  <sheetViews>
    <sheetView zoomScale="145" zoomScaleNormal="145" workbookViewId="0">
      <selection activeCell="A31" sqref="A31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" max="10" width="27.42578125" customWidth="1"/>
    <col min="11" max="11" width="6.140625" style="78" customWidth="1"/>
    <col min="12" max="12" width="14.5703125" style="78" customWidth="1"/>
    <col min="13" max="14" width="12.28515625" style="78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318</v>
      </c>
      <c r="C2" s="79" t="s">
        <v>67</v>
      </c>
      <c r="D2" s="77">
        <f>SUM(D4:D40)</f>
        <v>27984.15</v>
      </c>
      <c r="E2" s="77">
        <f>SUM(E4:E41)</f>
        <v>-62202.759999999995</v>
      </c>
      <c r="F2" s="77">
        <f>SUM(F4:F40)</f>
        <v>246925.7</v>
      </c>
      <c r="G2" s="77">
        <f>SUM(G4:G36)</f>
        <v>-130909.75999999999</v>
      </c>
      <c r="H2" s="77">
        <f>F2+G2</f>
        <v>116015.94000000002</v>
      </c>
    </row>
    <row r="3" spans="1:8">
      <c r="B3" s="18"/>
    </row>
    <row r="4" spans="1:8">
      <c r="B4" s="41"/>
      <c r="H4" s="77">
        <f t="shared" ref="H4:H34" si="0">H3+F4+G4</f>
        <v>0</v>
      </c>
    </row>
    <row r="5" spans="1:8">
      <c r="A5" s="88">
        <v>45631</v>
      </c>
      <c r="B5" s="164" t="s">
        <v>68</v>
      </c>
      <c r="C5" s="82"/>
      <c r="D5" s="83"/>
      <c r="E5" s="83">
        <f>E76</f>
        <v>-1797.23</v>
      </c>
      <c r="G5" s="77">
        <f>E5</f>
        <v>-1797.23</v>
      </c>
      <c r="H5" s="77">
        <f t="shared" si="0"/>
        <v>-1797.23</v>
      </c>
    </row>
    <row r="6" spans="1:8">
      <c r="A6" s="165">
        <v>45630</v>
      </c>
      <c r="B6" s="164" t="s">
        <v>69</v>
      </c>
      <c r="C6" s="82"/>
      <c r="D6" s="83"/>
      <c r="E6" s="83">
        <f>E91</f>
        <v>-9239.0299999999988</v>
      </c>
      <c r="G6" s="77">
        <f>E6</f>
        <v>-9239.0299999999988</v>
      </c>
      <c r="H6" s="77">
        <f t="shared" si="0"/>
        <v>-11036.259999999998</v>
      </c>
    </row>
    <row r="7" spans="1:8">
      <c r="A7" s="88">
        <v>45630</v>
      </c>
      <c r="B7" s="166" t="s">
        <v>70</v>
      </c>
      <c r="C7" s="166"/>
      <c r="D7" s="83"/>
      <c r="E7" s="83">
        <v>-1500</v>
      </c>
      <c r="G7" s="77">
        <v>-1512.13</v>
      </c>
      <c r="H7" s="77">
        <f t="shared" si="0"/>
        <v>-12548.39</v>
      </c>
    </row>
    <row r="8" spans="1:8">
      <c r="B8" s="166" t="s">
        <v>71</v>
      </c>
      <c r="C8" s="166"/>
      <c r="D8" s="83"/>
      <c r="E8" s="83">
        <v>-17500</v>
      </c>
      <c r="G8" s="77">
        <v>-17500</v>
      </c>
      <c r="H8" s="77">
        <f t="shared" si="0"/>
        <v>-30048.39</v>
      </c>
    </row>
    <row r="9" spans="1:8">
      <c r="B9" s="164" t="s">
        <v>72</v>
      </c>
      <c r="C9" s="82"/>
      <c r="D9" s="83"/>
      <c r="E9" s="83">
        <f>E71*-1</f>
        <v>0</v>
      </c>
      <c r="H9" s="77">
        <f t="shared" si="0"/>
        <v>-30048.39</v>
      </c>
    </row>
    <row r="10" spans="1:8">
      <c r="B10" s="82"/>
      <c r="C10" s="82"/>
      <c r="D10" s="83"/>
      <c r="E10" s="83"/>
      <c r="H10" s="77">
        <f t="shared" si="0"/>
        <v>-30048.39</v>
      </c>
    </row>
    <row r="11" spans="1:8">
      <c r="A11" s="88">
        <v>45630</v>
      </c>
      <c r="B11" s="82" t="s">
        <v>98</v>
      </c>
      <c r="C11" s="82" t="s">
        <v>319</v>
      </c>
      <c r="D11" s="83" t="s">
        <v>320</v>
      </c>
      <c r="E11" s="83">
        <v>-1380</v>
      </c>
      <c r="H11" s="77">
        <f t="shared" si="0"/>
        <v>-30048.39</v>
      </c>
    </row>
    <row r="12" spans="1:8">
      <c r="A12" s="88">
        <v>45630</v>
      </c>
      <c r="B12" s="82" t="s">
        <v>98</v>
      </c>
      <c r="C12" s="82" t="s">
        <v>321</v>
      </c>
      <c r="D12" s="83" t="s">
        <v>320</v>
      </c>
      <c r="E12" s="167">
        <v>-1380</v>
      </c>
      <c r="H12" s="77">
        <f t="shared" si="0"/>
        <v>-30048.39</v>
      </c>
    </row>
    <row r="13" spans="1:8">
      <c r="A13" s="88">
        <v>45630</v>
      </c>
      <c r="B13" s="166" t="s">
        <v>322</v>
      </c>
      <c r="C13" s="82"/>
      <c r="D13" s="83" t="s">
        <v>320</v>
      </c>
      <c r="E13" s="167">
        <v>-1415</v>
      </c>
      <c r="H13" s="77">
        <f t="shared" si="0"/>
        <v>-30048.39</v>
      </c>
    </row>
    <row r="14" spans="1:8">
      <c r="A14" s="88">
        <v>45630</v>
      </c>
      <c r="B14" s="166" t="s">
        <v>323</v>
      </c>
      <c r="C14" s="82"/>
      <c r="D14" s="83" t="s">
        <v>320</v>
      </c>
      <c r="E14" s="167">
        <v>-141.5</v>
      </c>
      <c r="H14" s="77">
        <f t="shared" si="0"/>
        <v>-30048.39</v>
      </c>
    </row>
    <row r="15" spans="1:8">
      <c r="B15" s="82" t="s">
        <v>324</v>
      </c>
      <c r="C15" s="82"/>
      <c r="D15" s="83"/>
      <c r="E15" s="83"/>
      <c r="G15" s="77">
        <v>-60000</v>
      </c>
      <c r="H15" s="77">
        <f t="shared" si="0"/>
        <v>-90048.39</v>
      </c>
    </row>
    <row r="16" spans="1:8">
      <c r="B16" s="82" t="s">
        <v>325</v>
      </c>
      <c r="C16" s="82"/>
      <c r="D16" s="83"/>
      <c r="E16" s="83"/>
      <c r="G16" s="77">
        <v>-19000</v>
      </c>
      <c r="H16" s="77">
        <f t="shared" si="0"/>
        <v>-109048.39</v>
      </c>
    </row>
    <row r="17" spans="1:13">
      <c r="B17" s="82" t="s">
        <v>326</v>
      </c>
      <c r="C17" s="168"/>
      <c r="D17" s="83"/>
      <c r="E17" s="83"/>
      <c r="F17" s="77">
        <v>219000</v>
      </c>
      <c r="H17" s="77">
        <f t="shared" si="0"/>
        <v>109951.61</v>
      </c>
    </row>
    <row r="18" spans="1:13">
      <c r="B18" s="82" t="s">
        <v>327</v>
      </c>
      <c r="C18" s="82"/>
      <c r="D18" s="83"/>
      <c r="E18" s="83"/>
      <c r="F18" s="77">
        <v>15000</v>
      </c>
      <c r="H18" s="77">
        <f t="shared" si="0"/>
        <v>124951.61</v>
      </c>
    </row>
    <row r="19" spans="1:13">
      <c r="A19" s="88">
        <v>45642</v>
      </c>
      <c r="B19" s="169" t="s">
        <v>73</v>
      </c>
      <c r="C19" s="169" t="s">
        <v>328</v>
      </c>
      <c r="D19" s="83"/>
      <c r="E19" s="83">
        <v>-300</v>
      </c>
      <c r="G19" s="77">
        <v>-2035</v>
      </c>
      <c r="H19" s="77">
        <f t="shared" si="0"/>
        <v>122916.61</v>
      </c>
    </row>
    <row r="20" spans="1:13">
      <c r="A20" s="88">
        <v>45642</v>
      </c>
      <c r="B20" s="169" t="s">
        <v>74</v>
      </c>
      <c r="C20" s="169" t="s">
        <v>328</v>
      </c>
      <c r="D20" s="83"/>
      <c r="E20" s="83">
        <v>-100</v>
      </c>
      <c r="G20" s="77">
        <v>-40</v>
      </c>
      <c r="H20" s="77">
        <f t="shared" si="0"/>
        <v>122876.61</v>
      </c>
    </row>
    <row r="21" spans="1:13">
      <c r="A21" s="88">
        <v>45638</v>
      </c>
      <c r="B21" s="166" t="s">
        <v>75</v>
      </c>
      <c r="C21" s="166" t="s">
        <v>328</v>
      </c>
      <c r="D21" s="83"/>
      <c r="E21" s="83">
        <v>-150</v>
      </c>
      <c r="G21" s="77">
        <v>-262.37</v>
      </c>
      <c r="H21" s="77">
        <f t="shared" si="0"/>
        <v>122614.24</v>
      </c>
    </row>
    <row r="22" spans="1:13">
      <c r="A22" s="88">
        <v>45653</v>
      </c>
      <c r="B22" s="82" t="s">
        <v>76</v>
      </c>
      <c r="C22" s="82"/>
      <c r="D22" s="167">
        <v>12984.15</v>
      </c>
      <c r="E22" s="83"/>
      <c r="F22" s="77">
        <v>12925.7</v>
      </c>
      <c r="H22" s="77">
        <f t="shared" si="0"/>
        <v>135539.94</v>
      </c>
      <c r="J22" s="94"/>
      <c r="K22" s="94"/>
      <c r="L22" s="95"/>
      <c r="M22" s="96"/>
    </row>
    <row r="23" spans="1:13">
      <c r="B23" s="82" t="s">
        <v>77</v>
      </c>
      <c r="C23" s="82"/>
      <c r="D23" s="83"/>
      <c r="E23" s="83">
        <v>-6500</v>
      </c>
      <c r="G23" s="77">
        <v>-6512</v>
      </c>
      <c r="H23" s="77">
        <f t="shared" si="0"/>
        <v>129027.94</v>
      </c>
      <c r="J23" s="94"/>
      <c r="K23" s="94"/>
      <c r="L23" s="95"/>
      <c r="M23" s="96"/>
    </row>
    <row r="24" spans="1:13">
      <c r="B24" s="82" t="s">
        <v>78</v>
      </c>
      <c r="C24" s="82"/>
      <c r="D24" s="83"/>
      <c r="E24" s="83">
        <v>-6500</v>
      </c>
      <c r="G24" s="77">
        <v>-6512</v>
      </c>
      <c r="H24" s="77">
        <f t="shared" si="0"/>
        <v>122515.94</v>
      </c>
      <c r="J24" s="94"/>
      <c r="K24" s="94"/>
      <c r="L24" s="95"/>
      <c r="M24" s="96"/>
    </row>
    <row r="25" spans="1:13">
      <c r="B25" s="82" t="s">
        <v>79</v>
      </c>
      <c r="C25" s="82"/>
      <c r="D25" s="83"/>
      <c r="E25" s="83">
        <v>-6500</v>
      </c>
      <c r="G25" s="77">
        <v>-6500</v>
      </c>
      <c r="H25" s="77">
        <f t="shared" si="0"/>
        <v>116015.94</v>
      </c>
      <c r="J25" s="94"/>
      <c r="K25" s="94"/>
      <c r="L25" s="95"/>
      <c r="M25" s="96"/>
    </row>
    <row r="26" spans="1:13">
      <c r="H26" s="77">
        <f t="shared" si="0"/>
        <v>116015.94</v>
      </c>
      <c r="J26" s="94"/>
      <c r="K26" s="94"/>
      <c r="L26" s="95"/>
      <c r="M26" s="96"/>
    </row>
    <row r="27" spans="1:13">
      <c r="B27" s="101"/>
      <c r="C27" s="101"/>
      <c r="H27" s="77">
        <f t="shared" si="0"/>
        <v>116015.94</v>
      </c>
      <c r="J27" s="94"/>
      <c r="K27" s="94"/>
      <c r="L27" s="95"/>
      <c r="M27" s="96"/>
    </row>
    <row r="28" spans="1:13">
      <c r="B28" s="166" t="s">
        <v>80</v>
      </c>
      <c r="C28" s="166"/>
      <c r="D28" s="83"/>
      <c r="E28" s="83">
        <v>-400</v>
      </c>
      <c r="H28" s="77">
        <f t="shared" si="0"/>
        <v>116015.94</v>
      </c>
      <c r="J28" s="94"/>
      <c r="K28" s="94"/>
      <c r="L28" s="95"/>
      <c r="M28" s="96"/>
    </row>
    <row r="29" spans="1:13">
      <c r="B29" s="166" t="s">
        <v>81</v>
      </c>
      <c r="C29" s="166"/>
      <c r="D29" s="83"/>
      <c r="E29" s="83">
        <v>-500</v>
      </c>
      <c r="H29" s="77">
        <f t="shared" si="0"/>
        <v>116015.94</v>
      </c>
      <c r="J29" s="94"/>
      <c r="K29" s="94"/>
      <c r="L29" s="95"/>
      <c r="M29" s="96"/>
    </row>
    <row r="30" spans="1:13">
      <c r="A30" s="386">
        <v>45671</v>
      </c>
      <c r="B30" s="385" t="s">
        <v>113</v>
      </c>
      <c r="D30" s="384">
        <v>15000</v>
      </c>
      <c r="H30" s="77">
        <f t="shared" si="0"/>
        <v>116015.94</v>
      </c>
    </row>
    <row r="31" spans="1:13">
      <c r="H31" s="77">
        <f t="shared" si="0"/>
        <v>116015.94</v>
      </c>
    </row>
    <row r="32" spans="1:13">
      <c r="A32" s="100"/>
      <c r="H32" s="77">
        <f t="shared" si="0"/>
        <v>116015.94</v>
      </c>
    </row>
    <row r="33" spans="1:8">
      <c r="A33" s="100"/>
      <c r="H33" s="77">
        <f t="shared" si="0"/>
        <v>116015.94</v>
      </c>
    </row>
    <row r="34" spans="1:8">
      <c r="H34" s="77">
        <f t="shared" si="0"/>
        <v>116015.94</v>
      </c>
    </row>
    <row r="36" spans="1:8">
      <c r="A36" s="98">
        <v>45655</v>
      </c>
      <c r="B36" s="8" t="s">
        <v>98</v>
      </c>
      <c r="C36" s="8" t="s">
        <v>111</v>
      </c>
      <c r="E36" s="77">
        <v>-1380</v>
      </c>
    </row>
    <row r="37" spans="1:8">
      <c r="A37" s="98">
        <v>45686</v>
      </c>
      <c r="B37" s="8" t="s">
        <v>98</v>
      </c>
      <c r="C37" s="8" t="s">
        <v>112</v>
      </c>
      <c r="E37" s="77">
        <v>-1380</v>
      </c>
    </row>
    <row r="38" spans="1:8">
      <c r="A38" s="98">
        <v>45716</v>
      </c>
      <c r="B38" s="8" t="s">
        <v>98</v>
      </c>
      <c r="C38" s="8" t="s">
        <v>106</v>
      </c>
      <c r="E38" s="77">
        <v>-1380</v>
      </c>
    </row>
    <row r="39" spans="1:8">
      <c r="A39" s="98">
        <v>45745</v>
      </c>
      <c r="B39" s="8" t="s">
        <v>98</v>
      </c>
      <c r="C39" s="8" t="s">
        <v>102</v>
      </c>
      <c r="E39" s="77">
        <v>-1380</v>
      </c>
    </row>
    <row r="40" spans="1:8">
      <c r="A40" s="98">
        <v>45776</v>
      </c>
      <c r="B40" s="8" t="s">
        <v>98</v>
      </c>
      <c r="C40" s="8" t="s">
        <v>329</v>
      </c>
      <c r="E40" s="77">
        <v>-1380</v>
      </c>
    </row>
    <row r="41" spans="1:8">
      <c r="A41" s="98"/>
    </row>
    <row r="42" spans="1:8">
      <c r="B42" s="101"/>
      <c r="C42" s="101"/>
    </row>
    <row r="43" spans="1:8">
      <c r="B43" s="99" t="s">
        <v>115</v>
      </c>
      <c r="C43" s="101"/>
    </row>
    <row r="44" spans="1:8">
      <c r="B44" s="99" t="s">
        <v>116</v>
      </c>
      <c r="C44" s="101"/>
    </row>
    <row r="45" spans="1:8">
      <c r="B45" s="101" t="s">
        <v>117</v>
      </c>
      <c r="C45" s="101"/>
    </row>
    <row r="46" spans="1:8">
      <c r="B46" s="101" t="s">
        <v>118</v>
      </c>
      <c r="C46" s="101"/>
    </row>
    <row r="47" spans="1:8">
      <c r="B47" s="101" t="s">
        <v>119</v>
      </c>
      <c r="C47" s="101"/>
    </row>
    <row r="48" spans="1:8">
      <c r="B48" s="101"/>
      <c r="C48" s="101"/>
    </row>
    <row r="49" spans="1:13">
      <c r="C49" s="78"/>
      <c r="D49" s="78"/>
      <c r="E49" s="78"/>
      <c r="F49" s="78">
        <f>E55</f>
        <v>93450</v>
      </c>
      <c r="J49" s="94"/>
      <c r="K49" s="94"/>
      <c r="L49" s="95"/>
      <c r="M49" s="96"/>
    </row>
    <row r="50" spans="1:13">
      <c r="B50" s="110" t="s">
        <v>120</v>
      </c>
      <c r="C50" s="78">
        <v>8</v>
      </c>
      <c r="D50" s="94">
        <v>250</v>
      </c>
      <c r="E50" s="78">
        <f>D50*C50</f>
        <v>2000</v>
      </c>
      <c r="F50" s="78">
        <f>F49-E50</f>
        <v>91450</v>
      </c>
      <c r="G50" s="77" t="s">
        <v>121</v>
      </c>
      <c r="J50" s="94"/>
      <c r="K50" s="94"/>
      <c r="L50" s="95"/>
      <c r="M50" s="96"/>
    </row>
    <row r="51" spans="1:13">
      <c r="B51" s="110" t="s">
        <v>122</v>
      </c>
      <c r="C51" s="94">
        <v>2</v>
      </c>
      <c r="D51" s="94">
        <v>250</v>
      </c>
      <c r="E51" s="78">
        <f>D51*C51</f>
        <v>500</v>
      </c>
      <c r="F51" s="78">
        <f>F50-E51</f>
        <v>90950</v>
      </c>
      <c r="G51" s="77" t="s">
        <v>121</v>
      </c>
      <c r="J51" s="94"/>
      <c r="K51" s="94"/>
      <c r="L51" s="95"/>
      <c r="M51" s="96"/>
    </row>
    <row r="52" spans="1:13">
      <c r="B52" s="110" t="s">
        <v>123</v>
      </c>
      <c r="C52" s="78">
        <v>11</v>
      </c>
      <c r="D52" s="78">
        <v>250</v>
      </c>
      <c r="E52" s="78">
        <f>D52*C52</f>
        <v>2750</v>
      </c>
      <c r="F52" s="78">
        <f>F51-E52</f>
        <v>88200</v>
      </c>
      <c r="G52" s="77" t="s">
        <v>121</v>
      </c>
      <c r="J52" s="94"/>
      <c r="K52" s="94"/>
      <c r="L52" s="95"/>
      <c r="M52" s="96"/>
    </row>
    <row r="53" spans="1:13">
      <c r="B53" s="110" t="s">
        <v>124</v>
      </c>
      <c r="C53" s="77">
        <v>1</v>
      </c>
      <c r="D53" s="77">
        <v>8595</v>
      </c>
      <c r="E53" s="77">
        <f>D53*C53</f>
        <v>8595</v>
      </c>
      <c r="F53" s="78">
        <f>F52-E53</f>
        <v>79605</v>
      </c>
      <c r="G53" s="3" t="s">
        <v>125</v>
      </c>
      <c r="J53" s="94"/>
      <c r="K53" s="94"/>
      <c r="L53" s="95"/>
      <c r="M53" s="96"/>
    </row>
    <row r="54" spans="1:13">
      <c r="B54" s="110" t="s">
        <v>124</v>
      </c>
      <c r="C54" s="77">
        <v>9</v>
      </c>
      <c r="D54" s="77">
        <v>8845</v>
      </c>
      <c r="E54" s="77">
        <f>D54*C54</f>
        <v>79605</v>
      </c>
      <c r="F54" s="78">
        <f>F53-E54</f>
        <v>0</v>
      </c>
      <c r="G54" s="3" t="s">
        <v>125</v>
      </c>
      <c r="J54" s="94"/>
      <c r="K54" s="94"/>
      <c r="L54" s="95"/>
      <c r="M54" s="96"/>
    </row>
    <row r="55" spans="1:13">
      <c r="B55" s="94"/>
      <c r="C55" s="94"/>
      <c r="D55" s="111" t="s">
        <v>67</v>
      </c>
      <c r="E55" s="112">
        <f>SUM(E50:E54)</f>
        <v>93450</v>
      </c>
      <c r="F55" s="78"/>
      <c r="J55" s="94"/>
      <c r="K55" s="94"/>
      <c r="L55" s="95"/>
      <c r="M55" s="96"/>
    </row>
    <row r="56" spans="1:13">
      <c r="B56" s="101"/>
      <c r="C56" s="101"/>
      <c r="J56" s="94"/>
      <c r="K56" s="94"/>
      <c r="L56" s="95"/>
      <c r="M56" s="96"/>
    </row>
    <row r="57" spans="1:13">
      <c r="B57" s="101"/>
      <c r="C57" s="101"/>
      <c r="J57" s="94"/>
      <c r="K57" s="94"/>
      <c r="L57" s="95"/>
      <c r="M57" s="96"/>
    </row>
    <row r="58" spans="1:13">
      <c r="A58" s="98"/>
    </row>
    <row r="59" spans="1:13">
      <c r="A59" s="88"/>
    </row>
    <row r="60" spans="1:13">
      <c r="A60" s="88"/>
    </row>
    <row r="62" spans="1:13">
      <c r="B62" t="s">
        <v>330</v>
      </c>
    </row>
    <row r="63" spans="1:13">
      <c r="A63" s="103" t="s">
        <v>331</v>
      </c>
      <c r="B63" s="103"/>
      <c r="C63" s="103"/>
    </row>
    <row r="64" spans="1:13">
      <c r="A64" s="100"/>
      <c r="C64" s="171"/>
    </row>
    <row r="65" spans="1:5">
      <c r="A65" s="172">
        <v>44929</v>
      </c>
      <c r="B65" s="173" t="s">
        <v>332</v>
      </c>
      <c r="C65" s="103"/>
      <c r="D65" s="77">
        <f>SUM(D66:D71)</f>
        <v>0</v>
      </c>
      <c r="E65" s="77">
        <f>SUM(E66:E71)</f>
        <v>0</v>
      </c>
    </row>
    <row r="66" spans="1:5">
      <c r="A66" s="100"/>
      <c r="B66" s="106" t="s">
        <v>333</v>
      </c>
    </row>
    <row r="67" spans="1:5">
      <c r="B67" t="s">
        <v>334</v>
      </c>
    </row>
    <row r="68" spans="1:5">
      <c r="B68" t="s">
        <v>335</v>
      </c>
    </row>
    <row r="69" spans="1:5">
      <c r="B69" t="s">
        <v>336</v>
      </c>
    </row>
    <row r="70" spans="1:5">
      <c r="B70" t="s">
        <v>337</v>
      </c>
    </row>
    <row r="71" spans="1:5">
      <c r="B71" t="s">
        <v>338</v>
      </c>
      <c r="C71" s="106"/>
    </row>
    <row r="72" spans="1:5">
      <c r="C72" s="106"/>
    </row>
    <row r="74" spans="1:5">
      <c r="B74" s="17"/>
    </row>
    <row r="75" spans="1:5">
      <c r="B75" s="102"/>
    </row>
    <row r="76" spans="1:5">
      <c r="A76" s="103"/>
      <c r="B76" s="104" t="s">
        <v>83</v>
      </c>
      <c r="C76" s="103"/>
      <c r="E76" s="77">
        <f>SUM(E77:E88)</f>
        <v>-1797.23</v>
      </c>
    </row>
    <row r="78" spans="1:5">
      <c r="A78" s="88">
        <v>45373</v>
      </c>
      <c r="B78" s="8" t="s">
        <v>339</v>
      </c>
      <c r="C78">
        <v>10176.39</v>
      </c>
      <c r="D78" s="77" t="s">
        <v>340</v>
      </c>
      <c r="E78" s="77">
        <v>-1130.71</v>
      </c>
    </row>
    <row r="79" spans="1:5">
      <c r="A79" s="88">
        <v>45375</v>
      </c>
      <c r="B79" s="8" t="s">
        <v>341</v>
      </c>
      <c r="C79">
        <v>5999</v>
      </c>
      <c r="D79" s="77" t="s">
        <v>340</v>
      </c>
      <c r="E79" s="77">
        <v>-666.52</v>
      </c>
    </row>
    <row r="80" spans="1:5">
      <c r="A80" s="88"/>
    </row>
    <row r="81" spans="1:5" ht="15">
      <c r="A81" s="88"/>
      <c r="C81" s="105" t="s">
        <v>84</v>
      </c>
    </row>
    <row r="83" spans="1:5">
      <c r="A83" s="100"/>
      <c r="B83" s="106"/>
      <c r="C83" s="106"/>
    </row>
    <row r="84" spans="1:5">
      <c r="A84" s="100"/>
      <c r="B84" s="106"/>
      <c r="C84" s="106"/>
    </row>
    <row r="85" spans="1:5">
      <c r="A85" s="100"/>
      <c r="B85" s="107"/>
      <c r="C85" s="106"/>
    </row>
    <row r="86" spans="1:5">
      <c r="A86" s="100"/>
      <c r="B86" s="107"/>
      <c r="C86" s="106"/>
    </row>
    <row r="87" spans="1:5">
      <c r="A87" s="100"/>
      <c r="B87" s="107"/>
    </row>
    <row r="88" spans="1:5">
      <c r="A88" s="100"/>
      <c r="B88" s="107"/>
      <c r="C88" s="106"/>
    </row>
    <row r="89" spans="1:5">
      <c r="A89" s="100"/>
      <c r="B89" s="3"/>
    </row>
    <row r="90" spans="1:5">
      <c r="A90" s="100"/>
      <c r="B90" s="106"/>
      <c r="C90" s="106"/>
    </row>
    <row r="91" spans="1:5">
      <c r="A91" s="103"/>
      <c r="B91" s="104" t="s">
        <v>85</v>
      </c>
      <c r="C91" s="103"/>
      <c r="E91" s="77">
        <f>SUM(E92:E110)</f>
        <v>-9239.0299999999988</v>
      </c>
    </row>
    <row r="92" spans="1:5">
      <c r="A92" s="100"/>
      <c r="B92" s="106"/>
      <c r="C92" s="106"/>
    </row>
    <row r="93" spans="1:5">
      <c r="A93" s="100"/>
      <c r="B93" s="106"/>
      <c r="C93" s="106"/>
    </row>
    <row r="94" spans="1:5">
      <c r="A94" s="100"/>
      <c r="B94" s="3" t="s">
        <v>342</v>
      </c>
      <c r="C94" s="106"/>
      <c r="E94" s="77">
        <v>-429.88</v>
      </c>
    </row>
    <row r="95" spans="1:5">
      <c r="A95" s="100"/>
      <c r="B95" s="3" t="s">
        <v>343</v>
      </c>
      <c r="C95" s="106"/>
      <c r="E95" s="77">
        <v>-654.99</v>
      </c>
    </row>
    <row r="96" spans="1:5">
      <c r="A96" s="100"/>
      <c r="B96" s="3" t="s">
        <v>344</v>
      </c>
      <c r="C96" s="106"/>
      <c r="E96" s="77">
        <v>-1600</v>
      </c>
    </row>
    <row r="97" spans="1:5">
      <c r="A97" s="100"/>
      <c r="B97" s="3" t="s">
        <v>128</v>
      </c>
      <c r="C97" s="106"/>
      <c r="E97" s="77">
        <v>-125.48</v>
      </c>
    </row>
    <row r="98" spans="1:5">
      <c r="A98" s="100"/>
      <c r="B98" s="3" t="s">
        <v>128</v>
      </c>
      <c r="C98" s="106"/>
      <c r="E98" s="77">
        <v>-297.45</v>
      </c>
    </row>
    <row r="99" spans="1:5">
      <c r="A99" s="100"/>
      <c r="B99" s="3" t="s">
        <v>128</v>
      </c>
      <c r="C99" s="106"/>
      <c r="E99" s="77">
        <v>-174</v>
      </c>
    </row>
    <row r="100" spans="1:5">
      <c r="A100" s="100"/>
      <c r="B100" s="3" t="s">
        <v>128</v>
      </c>
      <c r="C100" s="106"/>
      <c r="E100" s="77">
        <v>-49</v>
      </c>
    </row>
    <row r="101" spans="1:5">
      <c r="A101" s="100"/>
      <c r="B101" s="3" t="s">
        <v>128</v>
      </c>
      <c r="C101" s="106"/>
      <c r="E101" s="77">
        <v>-29.9</v>
      </c>
    </row>
    <row r="102" spans="1:5">
      <c r="A102" s="100"/>
      <c r="B102" s="3" t="s">
        <v>345</v>
      </c>
      <c r="C102" s="106"/>
      <c r="E102" s="77">
        <v>-525</v>
      </c>
    </row>
    <row r="103" spans="1:5">
      <c r="A103" s="100"/>
      <c r="B103" s="3" t="s">
        <v>128</v>
      </c>
      <c r="C103" s="106"/>
      <c r="E103" s="77">
        <v>-257.33</v>
      </c>
    </row>
    <row r="104" spans="1:5">
      <c r="A104" s="100"/>
      <c r="B104" s="3" t="s">
        <v>346</v>
      </c>
      <c r="C104" s="106"/>
      <c r="E104" s="77">
        <v>-84.95</v>
      </c>
    </row>
    <row r="105" spans="1:5">
      <c r="A105" s="100"/>
      <c r="B105" s="3" t="s">
        <v>130</v>
      </c>
      <c r="C105" s="106">
        <v>129000.63</v>
      </c>
    </row>
    <row r="106" spans="1:5">
      <c r="A106" s="100"/>
      <c r="B106" s="3" t="s">
        <v>347</v>
      </c>
      <c r="C106" s="106"/>
      <c r="E106" s="77">
        <v>-500</v>
      </c>
    </row>
    <row r="107" spans="1:5">
      <c r="A107" s="100"/>
      <c r="B107" s="3" t="s">
        <v>346</v>
      </c>
      <c r="C107" s="106"/>
      <c r="E107" s="77">
        <v>-886.3</v>
      </c>
    </row>
    <row r="108" spans="1:5">
      <c r="A108" s="100"/>
      <c r="B108" s="3" t="s">
        <v>346</v>
      </c>
      <c r="C108" s="106"/>
      <c r="E108" s="77">
        <v>-99.75</v>
      </c>
    </row>
    <row r="109" spans="1:5">
      <c r="A109" s="100">
        <v>45606</v>
      </c>
      <c r="B109" s="3" t="s">
        <v>348</v>
      </c>
      <c r="C109" s="106"/>
      <c r="E109" s="77">
        <v>-3525</v>
      </c>
    </row>
    <row r="110" spans="1:5">
      <c r="A110" s="100"/>
      <c r="B110" s="3"/>
      <c r="C110" s="106"/>
    </row>
    <row r="111" spans="1:5" ht="15">
      <c r="A111" s="100"/>
      <c r="B111" s="3"/>
      <c r="C111" s="105" t="s">
        <v>84</v>
      </c>
    </row>
    <row r="112" spans="1:5">
      <c r="A112" s="100"/>
      <c r="B112" s="3"/>
      <c r="C112" s="106"/>
    </row>
    <row r="113" spans="1:5">
      <c r="A113" s="100"/>
      <c r="B113" s="3"/>
      <c r="C113" s="106"/>
    </row>
    <row r="114" spans="1:5">
      <c r="A114" s="100"/>
      <c r="B114" s="3"/>
      <c r="C114" s="106"/>
    </row>
    <row r="115" spans="1:5">
      <c r="A115" s="100"/>
      <c r="B115" s="3"/>
      <c r="C115" s="106"/>
    </row>
    <row r="116" spans="1:5">
      <c r="A116" s="100"/>
      <c r="B116" s="3"/>
      <c r="C116" s="106"/>
    </row>
    <row r="117" spans="1:5">
      <c r="A117" s="100"/>
      <c r="B117" s="3"/>
      <c r="C117" s="106"/>
    </row>
    <row r="118" spans="1:5">
      <c r="A118" s="100"/>
      <c r="B118" s="3"/>
      <c r="C118" s="106"/>
    </row>
    <row r="119" spans="1:5">
      <c r="A119" s="100"/>
      <c r="B119" s="3"/>
      <c r="C119" s="106"/>
    </row>
    <row r="120" spans="1:5">
      <c r="A120" s="100"/>
      <c r="B120" s="3"/>
      <c r="C120" s="106"/>
    </row>
    <row r="121" spans="1:5">
      <c r="A121" s="100"/>
      <c r="B121" s="3"/>
      <c r="C121" s="106"/>
    </row>
    <row r="122" spans="1:5">
      <c r="A122" s="100"/>
      <c r="B122" s="3"/>
      <c r="C122" s="106"/>
    </row>
    <row r="125" spans="1:5">
      <c r="A125" s="113" t="s">
        <v>349</v>
      </c>
      <c r="B125" s="104" t="s">
        <v>137</v>
      </c>
      <c r="C125" s="103">
        <v>2024</v>
      </c>
      <c r="E125" s="77">
        <f>SUM(E126:E148)</f>
        <v>674753.38</v>
      </c>
    </row>
    <row r="126" spans="1:5">
      <c r="A126" s="100"/>
      <c r="B126" s="8" t="s">
        <v>77</v>
      </c>
      <c r="E126" s="77">
        <v>0</v>
      </c>
    </row>
    <row r="127" spans="1:5">
      <c r="A127" s="100"/>
      <c r="B127" s="8" t="s">
        <v>78</v>
      </c>
    </row>
    <row r="128" spans="1:5">
      <c r="A128" s="100"/>
      <c r="B128" s="8" t="s">
        <v>139</v>
      </c>
      <c r="E128" s="77">
        <v>293700</v>
      </c>
    </row>
    <row r="129" spans="1:6">
      <c r="A129" s="100"/>
    </row>
    <row r="130" spans="1:6">
      <c r="A130" s="100"/>
      <c r="B130" s="8" t="s">
        <v>140</v>
      </c>
      <c r="C130" s="2"/>
      <c r="D130" s="2"/>
      <c r="E130" s="17">
        <v>21084</v>
      </c>
    </row>
    <row r="131" spans="1:6">
      <c r="A131" s="100"/>
      <c r="C131" s="2"/>
      <c r="D131" s="2"/>
      <c r="E131" s="17"/>
    </row>
    <row r="132" spans="1:6">
      <c r="A132" s="100"/>
      <c r="B132" s="8" t="s">
        <v>142</v>
      </c>
      <c r="C132" s="2">
        <v>40</v>
      </c>
      <c r="D132" s="174">
        <v>852</v>
      </c>
      <c r="E132" s="17">
        <f>D132*C132</f>
        <v>34080</v>
      </c>
    </row>
    <row r="133" spans="1:6">
      <c r="A133" s="100"/>
      <c r="B133" s="8" t="s">
        <v>143</v>
      </c>
      <c r="C133" s="2">
        <v>4000</v>
      </c>
      <c r="D133" s="2">
        <v>31</v>
      </c>
      <c r="E133" s="17">
        <f>D133*C133</f>
        <v>124000</v>
      </c>
      <c r="F133" s="17">
        <f>SUM(E132:E133)</f>
        <v>158080</v>
      </c>
    </row>
    <row r="134" spans="1:6">
      <c r="A134" s="100"/>
      <c r="C134" s="2"/>
      <c r="D134" s="2"/>
    </row>
    <row r="135" spans="1:6">
      <c r="A135" s="100"/>
      <c r="B135" s="8" t="s">
        <v>144</v>
      </c>
      <c r="C135" s="175">
        <v>125000</v>
      </c>
      <c r="D135" s="174">
        <v>0.77971599999999996</v>
      </c>
      <c r="E135" s="17">
        <f>D135*C135</f>
        <v>97464.5</v>
      </c>
    </row>
    <row r="136" spans="1:6">
      <c r="A136" s="100"/>
      <c r="B136" s="8" t="s">
        <v>145</v>
      </c>
      <c r="C136" s="2">
        <v>10</v>
      </c>
      <c r="D136" s="2">
        <v>103.7</v>
      </c>
      <c r="E136" s="17">
        <f>D136*C136</f>
        <v>1037</v>
      </c>
    </row>
    <row r="137" spans="1:6">
      <c r="A137" s="100"/>
      <c r="B137" s="8" t="s">
        <v>146</v>
      </c>
      <c r="C137" s="2">
        <v>38</v>
      </c>
      <c r="D137" s="2">
        <v>21.42</v>
      </c>
      <c r="E137" s="17">
        <f>D137*C137</f>
        <v>813.96</v>
      </c>
    </row>
    <row r="138" spans="1:6">
      <c r="A138" s="100"/>
      <c r="B138" s="8" t="s">
        <v>147</v>
      </c>
      <c r="C138" s="2">
        <v>26</v>
      </c>
      <c r="D138" s="2">
        <v>25.92</v>
      </c>
      <c r="E138" s="17">
        <f>D138*C138</f>
        <v>673.92000000000007</v>
      </c>
      <c r="F138" s="17">
        <f>SUM(E135:E138)</f>
        <v>99989.38</v>
      </c>
    </row>
    <row r="139" spans="1:6">
      <c r="A139" s="100"/>
      <c r="B139" s="8" t="s">
        <v>141</v>
      </c>
      <c r="C139" s="2"/>
      <c r="D139" s="2"/>
    </row>
    <row r="140" spans="1:6">
      <c r="A140" s="100"/>
    </row>
    <row r="141" spans="1:6">
      <c r="A141" s="100"/>
      <c r="B141" s="8" t="s">
        <v>350</v>
      </c>
      <c r="C141" s="2">
        <v>2900</v>
      </c>
      <c r="D141" s="2">
        <v>1</v>
      </c>
      <c r="E141" s="17">
        <f>D141*C141</f>
        <v>2900</v>
      </c>
    </row>
    <row r="142" spans="1:6">
      <c r="A142" s="100"/>
      <c r="B142" s="8" t="s">
        <v>149</v>
      </c>
      <c r="C142" s="2">
        <v>4900</v>
      </c>
      <c r="D142" s="2">
        <v>16</v>
      </c>
      <c r="E142" s="17">
        <f>D142*C142</f>
        <v>78400</v>
      </c>
    </row>
    <row r="143" spans="1:6">
      <c r="A143" s="100"/>
      <c r="B143" s="8" t="s">
        <v>150</v>
      </c>
      <c r="C143" s="2">
        <v>19600</v>
      </c>
      <c r="D143" s="2">
        <v>1</v>
      </c>
      <c r="E143" s="17">
        <f>D143*C143</f>
        <v>19600</v>
      </c>
      <c r="F143" s="17">
        <f>SUM(E141:E143)</f>
        <v>100900</v>
      </c>
    </row>
    <row r="144" spans="1:6">
      <c r="A144" s="100"/>
      <c r="C144" s="2"/>
      <c r="D144" s="2"/>
    </row>
    <row r="145" spans="1:5">
      <c r="A145" s="100"/>
      <c r="B145" s="8" t="s">
        <v>151</v>
      </c>
      <c r="C145" s="120">
        <v>33.250599999999999</v>
      </c>
      <c r="D145" s="2"/>
      <c r="E145" s="17"/>
    </row>
    <row r="146" spans="1:5">
      <c r="A146" s="100"/>
      <c r="B146" s="8" t="s">
        <v>152</v>
      </c>
      <c r="C146" s="120">
        <v>36.854999999999997</v>
      </c>
      <c r="D146" s="2"/>
      <c r="E146" s="17"/>
    </row>
    <row r="147" spans="1:5">
      <c r="A147" s="100"/>
      <c r="B147" s="8" t="s">
        <v>153</v>
      </c>
      <c r="C147" s="2"/>
      <c r="D147" s="2"/>
      <c r="E147" s="17">
        <v>0</v>
      </c>
    </row>
    <row r="148" spans="1:5">
      <c r="A148" s="100"/>
      <c r="B148" s="8" t="s">
        <v>154</v>
      </c>
      <c r="C148" s="2"/>
      <c r="D148" s="2"/>
      <c r="E148" s="17">
        <v>1000</v>
      </c>
    </row>
    <row r="149" spans="1:5">
      <c r="A149" s="100"/>
      <c r="E149" s="176"/>
    </row>
    <row r="150" spans="1:5">
      <c r="A150" s="100"/>
      <c r="C150" s="124"/>
      <c r="D150" s="3"/>
      <c r="E150" s="124"/>
    </row>
    <row r="151" spans="1:5">
      <c r="A151" s="100"/>
      <c r="C151" s="124"/>
      <c r="D151" s="18" t="s">
        <v>156</v>
      </c>
      <c r="E151" s="9">
        <f>SUM(E126:E148)</f>
        <v>674753.38</v>
      </c>
    </row>
    <row r="152" spans="1:5">
      <c r="A152" s="100"/>
      <c r="C152" s="125" t="str">
        <f>A125</f>
        <v>ARALIKa</v>
      </c>
      <c r="D152" s="126" t="s">
        <v>157</v>
      </c>
      <c r="E152" s="127" t="e">
        <f>#REF!</f>
        <v>#REF!</v>
      </c>
    </row>
    <row r="153" spans="1:5">
      <c r="A153" s="100"/>
    </row>
    <row r="154" spans="1:5">
      <c r="A154" s="100"/>
    </row>
    <row r="155" spans="1:5">
      <c r="A155" s="100"/>
    </row>
    <row r="160" spans="1:5">
      <c r="B160" s="3" t="s">
        <v>351</v>
      </c>
    </row>
    <row r="161" spans="1:8">
      <c r="B161" s="3" t="s">
        <v>352</v>
      </c>
    </row>
    <row r="162" spans="1:8">
      <c r="B162" s="3" t="s">
        <v>353</v>
      </c>
    </row>
    <row r="163" spans="1:8">
      <c r="B163" s="142"/>
    </row>
    <row r="165" spans="1:8">
      <c r="A165" s="113" t="s">
        <v>354</v>
      </c>
      <c r="B165" s="104" t="s">
        <v>137</v>
      </c>
      <c r="C165" s="103">
        <v>2024</v>
      </c>
      <c r="G165" s="77">
        <f>SUM(G169:G192)</f>
        <v>851853.7</v>
      </c>
    </row>
    <row r="166" spans="1:8">
      <c r="A166" s="113"/>
      <c r="B166" s="104"/>
      <c r="C166" s="103"/>
    </row>
    <row r="167" spans="1:8">
      <c r="A167" s="113"/>
      <c r="B167" s="104"/>
      <c r="C167" s="103"/>
      <c r="E167" s="77" t="s">
        <v>138</v>
      </c>
    </row>
    <row r="168" spans="1:8">
      <c r="A168" s="100"/>
      <c r="B168" s="8" t="s">
        <v>77</v>
      </c>
    </row>
    <row r="169" spans="1:8">
      <c r="A169" s="100"/>
      <c r="B169" s="8" t="s">
        <v>78</v>
      </c>
      <c r="G169" s="77">
        <v>0</v>
      </c>
    </row>
    <row r="170" spans="1:8">
      <c r="A170" s="100"/>
      <c r="B170" s="8" t="s">
        <v>139</v>
      </c>
      <c r="G170" s="77">
        <v>293700</v>
      </c>
    </row>
    <row r="171" spans="1:8">
      <c r="A171" s="100"/>
    </row>
    <row r="172" spans="1:8">
      <c r="A172" s="100"/>
      <c r="B172" s="8" t="s">
        <v>140</v>
      </c>
      <c r="C172" s="2"/>
      <c r="D172" s="2"/>
      <c r="G172" s="17">
        <v>195002.23999999999</v>
      </c>
    </row>
    <row r="173" spans="1:8">
      <c r="A173" s="100"/>
      <c r="C173" s="2"/>
      <c r="D173" s="2"/>
      <c r="G173" s="17"/>
    </row>
    <row r="174" spans="1:8">
      <c r="A174" s="100">
        <v>45553</v>
      </c>
      <c r="B174" s="82" t="s">
        <v>142</v>
      </c>
      <c r="C174" s="114">
        <v>40</v>
      </c>
      <c r="D174" s="115">
        <v>752.55561799999998</v>
      </c>
      <c r="E174" s="116">
        <f>D174*C174</f>
        <v>30102.224719999998</v>
      </c>
      <c r="F174" s="77">
        <v>864</v>
      </c>
      <c r="G174" s="17">
        <f>F174*C174</f>
        <v>34560</v>
      </c>
    </row>
    <row r="175" spans="1:8">
      <c r="A175" s="100">
        <v>45620</v>
      </c>
      <c r="B175" s="82" t="s">
        <v>143</v>
      </c>
      <c r="C175" s="114">
        <v>4000</v>
      </c>
      <c r="D175" s="114">
        <v>32.479999999999997</v>
      </c>
      <c r="E175" s="116">
        <f>D175*C175</f>
        <v>129919.99999999999</v>
      </c>
      <c r="F175" s="77">
        <v>30.95</v>
      </c>
      <c r="G175" s="17">
        <f>F175*C175</f>
        <v>123800</v>
      </c>
      <c r="H175" s="17">
        <f>SUM(G174:G175)</f>
        <v>158360</v>
      </c>
    </row>
    <row r="176" spans="1:8">
      <c r="A176" s="100"/>
      <c r="B176" s="82"/>
      <c r="C176" s="114"/>
      <c r="D176" s="114"/>
      <c r="E176" s="116"/>
      <c r="G176" s="17"/>
      <c r="H176" s="17"/>
    </row>
    <row r="177" spans="1:8">
      <c r="A177" s="100"/>
      <c r="C177" s="2"/>
      <c r="D177" s="2"/>
      <c r="E177" s="17"/>
      <c r="F177" s="77">
        <f>(SUM(G174:G175))-(SUM(E174:E175))</f>
        <v>-1662.2247199999983</v>
      </c>
      <c r="G177" s="17"/>
      <c r="H177" s="17"/>
    </row>
    <row r="178" spans="1:8">
      <c r="A178" s="100"/>
      <c r="C178" s="2"/>
      <c r="D178" s="2"/>
    </row>
    <row r="179" spans="1:8">
      <c r="A179" s="100">
        <v>45345</v>
      </c>
      <c r="B179" s="8" t="s">
        <v>144</v>
      </c>
      <c r="C179" s="175">
        <v>125000</v>
      </c>
      <c r="D179" s="77">
        <v>1.0399430000000001</v>
      </c>
      <c r="E179" s="17">
        <f>D179*C179</f>
        <v>129992.87500000001</v>
      </c>
      <c r="F179" s="174">
        <v>0.78469999999999995</v>
      </c>
      <c r="G179" s="17">
        <f>F179*C179</f>
        <v>98087.5</v>
      </c>
    </row>
    <row r="180" spans="1:8">
      <c r="A180" s="100">
        <v>45400</v>
      </c>
      <c r="B180" s="8" t="s">
        <v>145</v>
      </c>
      <c r="C180" s="2">
        <v>10</v>
      </c>
      <c r="D180" s="77">
        <v>135</v>
      </c>
      <c r="E180" s="17">
        <f>D180*C180</f>
        <v>1350</v>
      </c>
      <c r="F180" s="2">
        <v>127.3</v>
      </c>
      <c r="G180" s="17">
        <f>F180*C180</f>
        <v>1273</v>
      </c>
    </row>
    <row r="181" spans="1:8">
      <c r="A181" s="100">
        <v>45418</v>
      </c>
      <c r="B181" s="8" t="s">
        <v>146</v>
      </c>
      <c r="C181" s="2">
        <v>38</v>
      </c>
      <c r="D181" s="77">
        <v>30.5</v>
      </c>
      <c r="E181" s="17">
        <f>D181*C181</f>
        <v>1159</v>
      </c>
      <c r="F181" s="2">
        <v>20.14</v>
      </c>
      <c r="G181" s="17">
        <f>F181*C181</f>
        <v>765.32</v>
      </c>
    </row>
    <row r="182" spans="1:8">
      <c r="A182" s="100">
        <v>45418</v>
      </c>
      <c r="B182" s="8" t="s">
        <v>147</v>
      </c>
      <c r="C182" s="2">
        <v>26</v>
      </c>
      <c r="D182" s="77">
        <v>37.115000000000002</v>
      </c>
      <c r="E182" s="17">
        <f>D182*C182</f>
        <v>964.99</v>
      </c>
      <c r="F182" s="2">
        <v>27.14</v>
      </c>
      <c r="G182" s="17">
        <f>F182*C182</f>
        <v>705.64</v>
      </c>
      <c r="H182" s="17">
        <f>SUM(G179:G182)</f>
        <v>100831.46</v>
      </c>
    </row>
    <row r="183" spans="1:8">
      <c r="A183" s="100"/>
      <c r="B183" s="8" t="s">
        <v>141</v>
      </c>
      <c r="C183" s="2"/>
      <c r="D183" s="2"/>
      <c r="E183" s="17"/>
      <c r="F183" s="77">
        <f>(SUM(G179:G182))-(SUM(E179:E182))</f>
        <v>-32635.404999999984</v>
      </c>
    </row>
    <row r="184" spans="1:8">
      <c r="A184" s="100"/>
      <c r="E184" s="17"/>
    </row>
    <row r="185" spans="1:8">
      <c r="A185" s="100"/>
      <c r="B185" s="8" t="s">
        <v>148</v>
      </c>
      <c r="C185" s="2">
        <v>1</v>
      </c>
      <c r="D185" s="77">
        <v>2500</v>
      </c>
      <c r="E185" s="17">
        <f>D185*C185</f>
        <v>2500</v>
      </c>
      <c r="F185" s="2">
        <v>2960</v>
      </c>
      <c r="G185" s="17">
        <f>C185*F185</f>
        <v>2960</v>
      </c>
    </row>
    <row r="186" spans="1:8">
      <c r="A186" s="100"/>
      <c r="B186" s="8" t="s">
        <v>149</v>
      </c>
      <c r="C186" s="2">
        <v>16</v>
      </c>
      <c r="D186" s="77">
        <v>4100</v>
      </c>
      <c r="E186" s="17">
        <f>D186*C186</f>
        <v>65600</v>
      </c>
      <c r="F186" s="2">
        <v>5000</v>
      </c>
      <c r="G186" s="17">
        <f>C186*F186</f>
        <v>80000</v>
      </c>
    </row>
    <row r="187" spans="1:8">
      <c r="A187" s="100"/>
      <c r="B187" s="8" t="s">
        <v>150</v>
      </c>
      <c r="C187" s="2">
        <v>1</v>
      </c>
      <c r="D187" s="77">
        <v>16200</v>
      </c>
      <c r="E187" s="17">
        <f>D187*C187</f>
        <v>16200</v>
      </c>
      <c r="F187" s="2">
        <v>20000</v>
      </c>
      <c r="G187" s="17">
        <f>C187*F187</f>
        <v>20000</v>
      </c>
      <c r="H187" s="17">
        <f>SUM(G185:G187)</f>
        <v>102960</v>
      </c>
    </row>
    <row r="188" spans="1:8">
      <c r="A188" s="100"/>
      <c r="C188" s="2"/>
      <c r="D188" s="2"/>
      <c r="F188" s="77">
        <f>(SUM(G185:G187))-(SUM(E185:E187))</f>
        <v>18660</v>
      </c>
    </row>
    <row r="189" spans="1:8">
      <c r="A189" s="100"/>
      <c r="B189" s="8" t="s">
        <v>151</v>
      </c>
      <c r="C189" s="120">
        <v>33.250599999999999</v>
      </c>
      <c r="D189" s="2"/>
      <c r="G189" s="17"/>
    </row>
    <row r="190" spans="1:8">
      <c r="A190" s="100"/>
      <c r="B190" s="8" t="s">
        <v>152</v>
      </c>
      <c r="C190" s="120">
        <v>36.854999999999997</v>
      </c>
      <c r="D190" s="2"/>
      <c r="G190" s="17"/>
    </row>
    <row r="191" spans="1:8">
      <c r="A191" s="100"/>
      <c r="B191" s="8" t="s">
        <v>153</v>
      </c>
      <c r="C191" s="2"/>
      <c r="D191" s="2"/>
      <c r="G191" s="17">
        <v>0</v>
      </c>
    </row>
    <row r="192" spans="1:8">
      <c r="A192" s="100"/>
      <c r="B192" s="8" t="s">
        <v>154</v>
      </c>
      <c r="C192" s="2"/>
      <c r="D192" s="2"/>
      <c r="G192" s="17">
        <v>1000</v>
      </c>
    </row>
    <row r="193" spans="1:7">
      <c r="A193" s="100"/>
      <c r="F193" s="77">
        <f>F188+F183+F177</f>
        <v>-15637.629719999983</v>
      </c>
      <c r="G193" s="176"/>
    </row>
    <row r="194" spans="1:7">
      <c r="A194" s="100"/>
      <c r="C194" s="124"/>
      <c r="D194" s="3"/>
      <c r="G194" s="124"/>
    </row>
    <row r="195" spans="1:7">
      <c r="A195" s="100"/>
      <c r="C195" s="124"/>
      <c r="D195" s="18" t="s">
        <v>156</v>
      </c>
      <c r="G195" s="9">
        <f>SUM(G169:G192)</f>
        <v>851853.7</v>
      </c>
    </row>
    <row r="196" spans="1:7">
      <c r="A196" s="100"/>
      <c r="C196" s="125" t="str">
        <f>A165</f>
        <v>OCAK 2025 e</v>
      </c>
      <c r="D196" s="126" t="s">
        <v>157</v>
      </c>
      <c r="G196" s="127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E2F0D9"/>
  </sheetPr>
  <dimension ref="A1:H137"/>
  <sheetViews>
    <sheetView topLeftCell="A9" zoomScale="145" zoomScaleNormal="145" workbookViewId="0">
      <selection activeCell="D118" sqref="D118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355</v>
      </c>
      <c r="C2" s="79" t="s">
        <v>67</v>
      </c>
      <c r="D2" s="77">
        <f>SUM(D4:D38)</f>
        <v>277984.15000000002</v>
      </c>
      <c r="E2" s="77">
        <f>SUM(E4:E38)</f>
        <v>-182434.39</v>
      </c>
      <c r="F2" s="77">
        <f>SUM(F4:F38)</f>
        <v>212306.38</v>
      </c>
      <c r="G2" s="77">
        <f>SUM(G4:G38)</f>
        <v>-220559.32</v>
      </c>
      <c r="H2" s="77">
        <f>F2+G2</f>
        <v>-8252.9400000000023</v>
      </c>
    </row>
    <row r="3" spans="1:8">
      <c r="B3" s="18"/>
    </row>
    <row r="4" spans="1:8">
      <c r="D4" s="78"/>
      <c r="E4" s="78">
        <v>0</v>
      </c>
      <c r="H4" s="77">
        <f t="shared" ref="H4:H36" si="0">H3+F4+G4</f>
        <v>0</v>
      </c>
    </row>
    <row r="5" spans="1:8">
      <c r="D5" s="78"/>
      <c r="E5" s="78">
        <v>0</v>
      </c>
      <c r="H5" s="77">
        <f t="shared" si="0"/>
        <v>0</v>
      </c>
    </row>
    <row r="6" spans="1:8">
      <c r="B6" s="101" t="s">
        <v>356</v>
      </c>
      <c r="C6" s="101" t="s">
        <v>357</v>
      </c>
      <c r="D6" s="78"/>
      <c r="E6" s="78">
        <v>-250</v>
      </c>
      <c r="H6" s="77">
        <f t="shared" si="0"/>
        <v>0</v>
      </c>
    </row>
    <row r="7" spans="1:8">
      <c r="A7" s="165">
        <v>45596</v>
      </c>
      <c r="B7" s="177" t="s">
        <v>69</v>
      </c>
      <c r="D7" s="78"/>
      <c r="E7" s="78">
        <f>E69</f>
        <v>-129000.63</v>
      </c>
      <c r="F7" s="78"/>
      <c r="G7" s="78">
        <v>-129000.63</v>
      </c>
      <c r="H7" s="78">
        <f t="shared" si="0"/>
        <v>-129000.63</v>
      </c>
    </row>
    <row r="8" spans="1:8">
      <c r="A8" s="165">
        <v>45597</v>
      </c>
      <c r="B8" s="101" t="s">
        <v>70</v>
      </c>
      <c r="G8" s="78">
        <v>-1512.13</v>
      </c>
      <c r="H8" s="78">
        <f t="shared" si="0"/>
        <v>-130512.76000000001</v>
      </c>
    </row>
    <row r="9" spans="1:8">
      <c r="A9" s="88">
        <v>45569</v>
      </c>
      <c r="B9" s="178" t="s">
        <v>68</v>
      </c>
      <c r="E9" s="78">
        <f>E54</f>
        <v>-1797.26</v>
      </c>
      <c r="F9" s="78"/>
      <c r="G9" s="78">
        <v>-1797.26</v>
      </c>
      <c r="H9" s="78">
        <f t="shared" si="0"/>
        <v>-132310.02000000002</v>
      </c>
    </row>
    <row r="10" spans="1:8">
      <c r="B10" s="177" t="s">
        <v>72</v>
      </c>
      <c r="D10" s="78"/>
      <c r="E10" s="78">
        <f>E49*-1</f>
        <v>0</v>
      </c>
      <c r="H10" s="77">
        <f t="shared" si="0"/>
        <v>-132310.02000000002</v>
      </c>
    </row>
    <row r="11" spans="1:8">
      <c r="A11" s="88">
        <v>45604</v>
      </c>
      <c r="B11" s="101" t="s">
        <v>358</v>
      </c>
      <c r="C11" s="101"/>
      <c r="E11" s="78">
        <v>-17500</v>
      </c>
      <c r="G11" s="78">
        <v>-17500</v>
      </c>
      <c r="H11" s="77">
        <f t="shared" si="0"/>
        <v>-149810.02000000002</v>
      </c>
    </row>
    <row r="12" spans="1:8">
      <c r="A12" s="88">
        <v>45605</v>
      </c>
      <c r="B12" s="82" t="s">
        <v>359</v>
      </c>
      <c r="C12" s="101"/>
      <c r="E12" s="78"/>
      <c r="F12" s="78">
        <v>15000</v>
      </c>
      <c r="G12" s="78"/>
      <c r="H12" s="77">
        <f t="shared" si="0"/>
        <v>-134810.02000000002</v>
      </c>
    </row>
    <row r="13" spans="1:8">
      <c r="A13" s="88">
        <v>45600</v>
      </c>
      <c r="B13" s="41" t="s">
        <v>360</v>
      </c>
      <c r="C13" s="101"/>
      <c r="E13" s="78"/>
      <c r="F13" s="78"/>
      <c r="G13" s="78">
        <v>-206.3</v>
      </c>
      <c r="H13" s="77">
        <f t="shared" si="0"/>
        <v>-135016.32000000001</v>
      </c>
    </row>
    <row r="14" spans="1:8">
      <c r="B14" s="101" t="s">
        <v>80</v>
      </c>
      <c r="C14" s="101"/>
      <c r="E14" s="78">
        <v>-400</v>
      </c>
      <c r="F14" s="78"/>
      <c r="G14" s="78"/>
      <c r="H14" s="77">
        <f t="shared" si="0"/>
        <v>-135016.32000000001</v>
      </c>
    </row>
    <row r="15" spans="1:8">
      <c r="B15" s="101" t="s">
        <v>81</v>
      </c>
      <c r="C15" s="101"/>
      <c r="E15" s="78">
        <v>-500</v>
      </c>
      <c r="F15" s="78"/>
      <c r="G15" s="78"/>
      <c r="H15" s="77">
        <f t="shared" si="0"/>
        <v>-135016.32000000001</v>
      </c>
    </row>
    <row r="16" spans="1:8">
      <c r="A16" s="88">
        <v>45607</v>
      </c>
      <c r="B16" s="101" t="s">
        <v>361</v>
      </c>
      <c r="E16" s="78"/>
      <c r="F16" s="78">
        <v>148500</v>
      </c>
      <c r="G16" s="78"/>
      <c r="H16" s="77">
        <f t="shared" si="0"/>
        <v>13483.679999999993</v>
      </c>
    </row>
    <row r="17" spans="1:8">
      <c r="B17" s="101"/>
      <c r="C17" s="101"/>
      <c r="E17" s="78"/>
      <c r="F17" s="78"/>
      <c r="G17" s="78"/>
      <c r="H17" s="77">
        <f t="shared" si="0"/>
        <v>13483.679999999993</v>
      </c>
    </row>
    <row r="18" spans="1:8">
      <c r="A18" s="88">
        <v>45617</v>
      </c>
      <c r="B18" s="101" t="s">
        <v>75</v>
      </c>
      <c r="C18" s="101"/>
      <c r="E18" s="78">
        <v>-150</v>
      </c>
      <c r="F18" s="78"/>
      <c r="G18" s="78">
        <v>-146</v>
      </c>
      <c r="H18" s="77">
        <f t="shared" si="0"/>
        <v>13337.679999999993</v>
      </c>
    </row>
    <row r="19" spans="1:8">
      <c r="A19" s="88">
        <v>45614</v>
      </c>
      <c r="B19" s="106" t="s">
        <v>73</v>
      </c>
      <c r="C19" s="106"/>
      <c r="E19" s="78">
        <v>-300</v>
      </c>
      <c r="F19" s="78"/>
      <c r="G19" s="78">
        <v>-850</v>
      </c>
      <c r="H19" s="77">
        <f t="shared" si="0"/>
        <v>12487.679999999993</v>
      </c>
    </row>
    <row r="20" spans="1:8">
      <c r="A20" s="88">
        <v>45614</v>
      </c>
      <c r="B20" s="106" t="s">
        <v>74</v>
      </c>
      <c r="C20" s="106"/>
      <c r="E20" s="78">
        <v>-100</v>
      </c>
      <c r="F20" s="78"/>
      <c r="G20" s="78">
        <v>-25</v>
      </c>
      <c r="H20" s="77">
        <f t="shared" si="0"/>
        <v>12462.679999999993</v>
      </c>
    </row>
    <row r="21" spans="1:8">
      <c r="B21" s="101"/>
      <c r="C21" s="101"/>
      <c r="E21" s="78"/>
      <c r="F21" s="78"/>
      <c r="G21" s="78"/>
      <c r="H21" s="77">
        <f t="shared" si="0"/>
        <v>12462.679999999993</v>
      </c>
    </row>
    <row r="22" spans="1:8">
      <c r="A22" s="88">
        <v>45620</v>
      </c>
      <c r="B22" s="166" t="s">
        <v>362</v>
      </c>
      <c r="E22" s="78"/>
      <c r="F22" s="167">
        <v>35800</v>
      </c>
      <c r="G22" s="78"/>
      <c r="H22" s="77">
        <f t="shared" si="0"/>
        <v>48262.679999999993</v>
      </c>
    </row>
    <row r="23" spans="1:8">
      <c r="A23" s="88">
        <v>45623</v>
      </c>
      <c r="B23" s="8" t="s">
        <v>363</v>
      </c>
      <c r="D23" s="83"/>
      <c r="E23" s="78">
        <v>-10000</v>
      </c>
      <c r="F23" s="78"/>
      <c r="G23" s="78">
        <v>-40000</v>
      </c>
      <c r="H23" s="77">
        <f t="shared" si="0"/>
        <v>8262.679999999993</v>
      </c>
    </row>
    <row r="24" spans="1:8">
      <c r="A24" s="88">
        <v>45625</v>
      </c>
      <c r="B24" s="82" t="s">
        <v>98</v>
      </c>
      <c r="C24" s="82" t="s">
        <v>321</v>
      </c>
      <c r="D24" s="83"/>
      <c r="E24" s="167">
        <v>-1380</v>
      </c>
      <c r="F24" s="78"/>
      <c r="G24" s="78"/>
      <c r="H24" s="77">
        <f t="shared" si="0"/>
        <v>8262.679999999993</v>
      </c>
    </row>
    <row r="25" spans="1:8">
      <c r="A25" s="88">
        <v>45626</v>
      </c>
      <c r="B25" s="166" t="s">
        <v>322</v>
      </c>
      <c r="C25" s="82"/>
      <c r="D25" s="83"/>
      <c r="E25" s="167">
        <v>-1415</v>
      </c>
      <c r="F25" s="78"/>
      <c r="G25" s="78"/>
      <c r="H25" s="77">
        <f t="shared" si="0"/>
        <v>8262.679999999993</v>
      </c>
    </row>
    <row r="26" spans="1:8">
      <c r="A26" s="88">
        <v>45626</v>
      </c>
      <c r="B26" s="166" t="s">
        <v>323</v>
      </c>
      <c r="C26" s="82"/>
      <c r="D26" s="83"/>
      <c r="E26" s="167">
        <v>-141.5</v>
      </c>
      <c r="F26" s="78"/>
      <c r="G26" s="78"/>
      <c r="H26" s="77">
        <f t="shared" si="0"/>
        <v>8262.679999999993</v>
      </c>
    </row>
    <row r="27" spans="1:8">
      <c r="E27" s="78"/>
      <c r="F27" s="78"/>
      <c r="G27" s="78"/>
      <c r="H27" s="77">
        <f t="shared" si="0"/>
        <v>8262.679999999993</v>
      </c>
    </row>
    <row r="28" spans="1:8">
      <c r="B28" t="s">
        <v>364</v>
      </c>
      <c r="E28" s="78"/>
      <c r="F28" s="78"/>
      <c r="G28" s="78">
        <v>-5000</v>
      </c>
      <c r="H28" s="77">
        <f t="shared" si="0"/>
        <v>3262.679999999993</v>
      </c>
    </row>
    <row r="29" spans="1:8">
      <c r="B29" t="s">
        <v>77</v>
      </c>
      <c r="E29" s="78">
        <v>-6500</v>
      </c>
      <c r="F29" s="78"/>
      <c r="G29" s="78">
        <v>-6511</v>
      </c>
      <c r="H29" s="77">
        <f t="shared" si="0"/>
        <v>-3248.320000000007</v>
      </c>
    </row>
    <row r="30" spans="1:8">
      <c r="B30" t="s">
        <v>365</v>
      </c>
      <c r="E30" s="78"/>
      <c r="F30" s="78"/>
      <c r="G30" s="78">
        <v>-5000</v>
      </c>
      <c r="H30" s="77">
        <f t="shared" si="0"/>
        <v>-8248.320000000007</v>
      </c>
    </row>
    <row r="31" spans="1:8">
      <c r="B31" t="s">
        <v>78</v>
      </c>
      <c r="E31" s="78">
        <v>-6500</v>
      </c>
      <c r="F31" s="78"/>
      <c r="G31" s="78">
        <v>-6511</v>
      </c>
      <c r="H31" s="77">
        <f t="shared" si="0"/>
        <v>-14759.320000000007</v>
      </c>
    </row>
    <row r="32" spans="1:8">
      <c r="B32" t="s">
        <v>79</v>
      </c>
      <c r="E32" s="78">
        <v>-6500</v>
      </c>
      <c r="F32" s="78"/>
      <c r="G32" s="78">
        <v>-6500</v>
      </c>
      <c r="H32" s="77">
        <f t="shared" si="0"/>
        <v>-21259.320000000007</v>
      </c>
    </row>
    <row r="33" spans="1:8">
      <c r="H33" s="77">
        <f t="shared" si="0"/>
        <v>-21259.320000000007</v>
      </c>
    </row>
    <row r="34" spans="1:8">
      <c r="B34" t="s">
        <v>76</v>
      </c>
      <c r="D34" s="78">
        <v>12984.15</v>
      </c>
      <c r="F34" s="77">
        <v>13006.38</v>
      </c>
      <c r="H34" s="77">
        <f t="shared" si="0"/>
        <v>-8252.9400000000078</v>
      </c>
    </row>
    <row r="35" spans="1:8">
      <c r="A35" s="100"/>
      <c r="B35" s="82" t="s">
        <v>327</v>
      </c>
      <c r="C35" s="82"/>
      <c r="D35" s="83">
        <v>15000</v>
      </c>
      <c r="H35" s="77">
        <f t="shared" si="0"/>
        <v>-8252.9400000000078</v>
      </c>
    </row>
    <row r="36" spans="1:8">
      <c r="B36" s="82" t="s">
        <v>366</v>
      </c>
      <c r="C36" s="168">
        <v>0.234011</v>
      </c>
      <c r="D36" s="83">
        <v>250000</v>
      </c>
      <c r="H36" s="77">
        <f t="shared" si="0"/>
        <v>-8252.9400000000078</v>
      </c>
    </row>
    <row r="38" spans="1:8" ht="15.75">
      <c r="B38" s="179"/>
    </row>
    <row r="40" spans="1:8">
      <c r="B40" t="s">
        <v>330</v>
      </c>
    </row>
    <row r="41" spans="1:8">
      <c r="A41" s="103" t="s">
        <v>331</v>
      </c>
      <c r="B41" s="103"/>
      <c r="C41" s="103"/>
    </row>
    <row r="42" spans="1:8">
      <c r="A42" s="100"/>
      <c r="C42" s="171"/>
    </row>
    <row r="43" spans="1:8">
      <c r="A43" s="172">
        <v>44929</v>
      </c>
      <c r="B43" s="173" t="s">
        <v>332</v>
      </c>
      <c r="C43" s="103"/>
      <c r="D43" s="77">
        <f>SUM(D44:D49)</f>
        <v>0</v>
      </c>
      <c r="E43" s="77">
        <f>SUM(E44:E49)</f>
        <v>0</v>
      </c>
    </row>
    <row r="44" spans="1:8">
      <c r="A44" s="100"/>
      <c r="B44" s="106" t="s">
        <v>333</v>
      </c>
    </row>
    <row r="45" spans="1:8">
      <c r="B45" t="s">
        <v>334</v>
      </c>
    </row>
    <row r="46" spans="1:8">
      <c r="B46" t="s">
        <v>335</v>
      </c>
    </row>
    <row r="47" spans="1:8">
      <c r="B47" t="s">
        <v>336</v>
      </c>
    </row>
    <row r="48" spans="1:8">
      <c r="B48" t="s">
        <v>337</v>
      </c>
    </row>
    <row r="49" spans="1:5">
      <c r="B49" t="s">
        <v>338</v>
      </c>
      <c r="C49" s="106"/>
    </row>
    <row r="50" spans="1:5">
      <c r="C50" s="106"/>
    </row>
    <row r="52" spans="1:5">
      <c r="B52" s="17"/>
    </row>
    <row r="53" spans="1:5">
      <c r="B53" s="102"/>
    </row>
    <row r="54" spans="1:5">
      <c r="A54" s="103"/>
      <c r="B54" s="104" t="s">
        <v>83</v>
      </c>
      <c r="C54" s="103"/>
      <c r="E54" s="77">
        <f>SUM(E55:E66)</f>
        <v>-1797.26</v>
      </c>
    </row>
    <row r="56" spans="1:5">
      <c r="A56" s="88">
        <v>45373</v>
      </c>
      <c r="B56" s="8" t="s">
        <v>339</v>
      </c>
      <c r="C56">
        <v>10176.39</v>
      </c>
      <c r="D56" s="77" t="s">
        <v>367</v>
      </c>
      <c r="E56" s="77">
        <v>-1130.71</v>
      </c>
    </row>
    <row r="57" spans="1:5">
      <c r="A57" s="88">
        <v>45375</v>
      </c>
      <c r="B57" s="8" t="s">
        <v>341</v>
      </c>
      <c r="C57">
        <v>5999</v>
      </c>
      <c r="D57" s="77" t="s">
        <v>368</v>
      </c>
      <c r="E57" s="77">
        <v>-666.55</v>
      </c>
    </row>
    <row r="58" spans="1:5">
      <c r="A58" s="88"/>
    </row>
    <row r="59" spans="1:5" ht="15">
      <c r="D59" s="105" t="s">
        <v>84</v>
      </c>
    </row>
    <row r="61" spans="1:5">
      <c r="A61" s="100"/>
      <c r="B61" s="106"/>
      <c r="C61" s="106"/>
    </row>
    <row r="62" spans="1:5">
      <c r="A62" s="100"/>
      <c r="B62" s="106"/>
      <c r="C62" s="106"/>
    </row>
    <row r="63" spans="1:5">
      <c r="A63" s="100"/>
      <c r="B63" s="107"/>
      <c r="C63" s="106"/>
    </row>
    <row r="64" spans="1:5">
      <c r="A64" s="100"/>
      <c r="B64" s="107"/>
      <c r="C64" s="106"/>
    </row>
    <row r="65" spans="1:5">
      <c r="A65" s="100"/>
      <c r="B65" s="107"/>
    </row>
    <row r="66" spans="1:5">
      <c r="A66" s="100"/>
      <c r="B66" s="107"/>
      <c r="C66" s="106"/>
    </row>
    <row r="67" spans="1:5">
      <c r="A67" s="100"/>
      <c r="B67" s="3"/>
    </row>
    <row r="68" spans="1:5">
      <c r="A68" s="100"/>
      <c r="B68" s="106"/>
      <c r="C68" s="106"/>
    </row>
    <row r="69" spans="1:5">
      <c r="A69" s="103"/>
      <c r="B69" s="104" t="s">
        <v>85</v>
      </c>
      <c r="C69" s="103"/>
      <c r="E69" s="77">
        <f>SUM(E70:E101)</f>
        <v>-129000.63</v>
      </c>
    </row>
    <row r="70" spans="1:5">
      <c r="A70" s="100"/>
      <c r="B70" s="106"/>
      <c r="C70" s="106"/>
    </row>
    <row r="71" spans="1:5">
      <c r="A71" s="100">
        <v>45560</v>
      </c>
      <c r="B71" s="106" t="s">
        <v>369</v>
      </c>
      <c r="C71" s="106"/>
      <c r="E71" s="77">
        <v>-118966.5</v>
      </c>
    </row>
    <row r="72" spans="1:5">
      <c r="A72" s="100"/>
      <c r="B72" s="106" t="s">
        <v>369</v>
      </c>
      <c r="C72" s="106"/>
      <c r="E72" s="77">
        <v>-277.72000000000003</v>
      </c>
    </row>
    <row r="73" spans="1:5">
      <c r="A73" s="100"/>
      <c r="B73" s="3" t="s">
        <v>370</v>
      </c>
      <c r="C73" s="106"/>
      <c r="E73" s="77">
        <v>-1398.6</v>
      </c>
    </row>
    <row r="74" spans="1:5">
      <c r="A74" s="100"/>
      <c r="B74" s="3" t="s">
        <v>371</v>
      </c>
      <c r="C74" s="106"/>
      <c r="E74" s="77">
        <v>-1855</v>
      </c>
    </row>
    <row r="75" spans="1:5">
      <c r="A75" s="100"/>
      <c r="B75" s="3"/>
      <c r="C75" s="106"/>
    </row>
    <row r="76" spans="1:5">
      <c r="A76" s="100"/>
      <c r="B76" s="3" t="s">
        <v>372</v>
      </c>
      <c r="C76" s="106"/>
      <c r="E76" s="77">
        <v>-480</v>
      </c>
    </row>
    <row r="77" spans="1:5">
      <c r="A77" s="100"/>
      <c r="B77" s="3" t="s">
        <v>373</v>
      </c>
      <c r="C77" s="106"/>
      <c r="E77" s="77">
        <v>-147.80000000000001</v>
      </c>
    </row>
    <row r="78" spans="1:5">
      <c r="A78" s="100"/>
      <c r="B78" s="3" t="s">
        <v>373</v>
      </c>
      <c r="C78" s="106">
        <v>17.59</v>
      </c>
      <c r="E78" s="77">
        <v>-17.59</v>
      </c>
    </row>
    <row r="79" spans="1:5">
      <c r="A79" s="100"/>
      <c r="B79" s="3" t="s">
        <v>374</v>
      </c>
      <c r="C79" s="106">
        <v>330</v>
      </c>
      <c r="E79" s="77">
        <v>-330</v>
      </c>
    </row>
    <row r="80" spans="1:5">
      <c r="A80" s="100"/>
      <c r="B80" s="3" t="s">
        <v>375</v>
      </c>
      <c r="C80" s="106">
        <v>-130</v>
      </c>
      <c r="E80" s="77">
        <v>-130</v>
      </c>
    </row>
    <row r="81" spans="1:5">
      <c r="A81" s="100"/>
      <c r="B81" s="3" t="s">
        <v>274</v>
      </c>
      <c r="C81" s="106"/>
      <c r="D81" s="77">
        <v>71389.3</v>
      </c>
    </row>
    <row r="82" spans="1:5">
      <c r="A82" s="100"/>
      <c r="B82" s="3" t="s">
        <v>376</v>
      </c>
      <c r="C82" s="106"/>
      <c r="E82" s="77">
        <v>-140</v>
      </c>
    </row>
    <row r="83" spans="1:5">
      <c r="A83" s="100"/>
      <c r="B83" s="3" t="s">
        <v>374</v>
      </c>
      <c r="C83" s="106">
        <v>750</v>
      </c>
      <c r="E83" s="77">
        <v>-750</v>
      </c>
    </row>
    <row r="84" spans="1:5">
      <c r="A84" s="100"/>
      <c r="B84" s="3" t="s">
        <v>373</v>
      </c>
      <c r="C84" s="106"/>
      <c r="E84" s="77">
        <v>-253.55</v>
      </c>
    </row>
    <row r="85" spans="1:5">
      <c r="A85" s="100"/>
      <c r="B85" s="3" t="s">
        <v>377</v>
      </c>
      <c r="C85" s="106"/>
      <c r="E85" s="77">
        <v>-250</v>
      </c>
    </row>
    <row r="86" spans="1:5">
      <c r="A86" s="100"/>
      <c r="B86" s="3" t="s">
        <v>378</v>
      </c>
      <c r="C86" s="106"/>
      <c r="E86" s="77">
        <v>-400</v>
      </c>
    </row>
    <row r="87" spans="1:5">
      <c r="A87" s="100"/>
      <c r="B87" s="3" t="s">
        <v>378</v>
      </c>
      <c r="C87" s="106"/>
      <c r="E87" s="77">
        <v>-100</v>
      </c>
    </row>
    <row r="88" spans="1:5">
      <c r="A88" s="100"/>
      <c r="B88" s="3" t="s">
        <v>373</v>
      </c>
      <c r="C88" s="106"/>
      <c r="E88" s="77">
        <v>-68.5</v>
      </c>
    </row>
    <row r="89" spans="1:5">
      <c r="A89" s="100"/>
      <c r="B89" s="3" t="s">
        <v>373</v>
      </c>
      <c r="C89" s="106">
        <v>43.13</v>
      </c>
      <c r="E89" s="77">
        <v>-43.13</v>
      </c>
    </row>
    <row r="90" spans="1:5">
      <c r="A90" s="100"/>
      <c r="B90" s="3" t="s">
        <v>374</v>
      </c>
      <c r="C90" s="106">
        <v>235</v>
      </c>
      <c r="E90" s="77">
        <v>-235</v>
      </c>
    </row>
    <row r="91" spans="1:5">
      <c r="A91" s="100"/>
      <c r="B91" s="3" t="s">
        <v>375</v>
      </c>
      <c r="C91" s="106">
        <v>375</v>
      </c>
      <c r="E91" s="77">
        <v>-375</v>
      </c>
    </row>
    <row r="92" spans="1:5">
      <c r="A92" s="100"/>
      <c r="B92" s="3" t="s">
        <v>373</v>
      </c>
      <c r="C92" s="106">
        <v>79.84</v>
      </c>
      <c r="E92" s="77">
        <v>-79.84</v>
      </c>
    </row>
    <row r="93" spans="1:5">
      <c r="A93" s="100"/>
      <c r="B93" s="3" t="s">
        <v>374</v>
      </c>
      <c r="C93" s="106">
        <v>235</v>
      </c>
      <c r="E93" s="77">
        <v>-235</v>
      </c>
    </row>
    <row r="94" spans="1:5">
      <c r="A94" s="100"/>
      <c r="B94" s="3" t="s">
        <v>375</v>
      </c>
      <c r="C94" s="106">
        <v>210</v>
      </c>
      <c r="E94" s="77">
        <v>-210</v>
      </c>
    </row>
    <row r="95" spans="1:5">
      <c r="A95" s="100"/>
      <c r="B95" s="3" t="s">
        <v>373</v>
      </c>
      <c r="C95" s="106"/>
      <c r="E95" s="77">
        <v>-112.3</v>
      </c>
    </row>
    <row r="96" spans="1:5">
      <c r="A96" s="100"/>
      <c r="B96" s="3" t="s">
        <v>378</v>
      </c>
      <c r="C96" s="106"/>
      <c r="E96" s="77">
        <v>-230</v>
      </c>
    </row>
    <row r="97" spans="1:5">
      <c r="A97" s="100"/>
      <c r="B97" s="3" t="s">
        <v>373</v>
      </c>
      <c r="C97" s="106"/>
      <c r="E97" s="77">
        <v>-187.2</v>
      </c>
    </row>
    <row r="98" spans="1:5">
      <c r="A98" s="100"/>
      <c r="B98" s="3" t="s">
        <v>379</v>
      </c>
      <c r="C98" s="106">
        <v>1062.9000000000001</v>
      </c>
      <c r="E98" s="77">
        <v>-1062.9000000000001</v>
      </c>
    </row>
    <row r="99" spans="1:5">
      <c r="A99" s="100"/>
      <c r="B99" s="3" t="s">
        <v>380</v>
      </c>
      <c r="C99" s="106"/>
      <c r="E99" s="77">
        <v>-240</v>
      </c>
    </row>
    <row r="100" spans="1:5">
      <c r="A100" s="100"/>
      <c r="B100" s="3" t="s">
        <v>381</v>
      </c>
      <c r="C100" s="106"/>
      <c r="E100" s="77">
        <v>-280</v>
      </c>
    </row>
    <row r="101" spans="1:5">
      <c r="B101" s="3" t="s">
        <v>375</v>
      </c>
      <c r="C101">
        <v>145</v>
      </c>
      <c r="E101" s="77">
        <v>-145</v>
      </c>
    </row>
    <row r="102" spans="1:5" ht="15">
      <c r="C102">
        <f>SUM(C77:C101)</f>
        <v>3353.4599999999996</v>
      </c>
      <c r="D102" s="105" t="s">
        <v>84</v>
      </c>
    </row>
    <row r="111" spans="1:5">
      <c r="A111" s="113" t="s">
        <v>382</v>
      </c>
      <c r="B111" s="104" t="s">
        <v>137</v>
      </c>
      <c r="C111" s="103">
        <v>2024</v>
      </c>
      <c r="D111" s="158"/>
      <c r="E111" s="159">
        <f>SUM(E112:E133)</f>
        <v>695352.38</v>
      </c>
    </row>
    <row r="112" spans="1:5">
      <c r="A112" s="160">
        <v>45595</v>
      </c>
      <c r="B112" s="8" t="s">
        <v>77</v>
      </c>
      <c r="C112" s="2"/>
      <c r="D112" s="2"/>
      <c r="E112" s="2">
        <v>0</v>
      </c>
    </row>
    <row r="113" spans="1:5">
      <c r="A113" s="160">
        <f>A112</f>
        <v>45595</v>
      </c>
      <c r="B113" s="8" t="s">
        <v>383</v>
      </c>
      <c r="C113" s="2"/>
      <c r="D113" s="2"/>
      <c r="E113" s="2">
        <v>0</v>
      </c>
    </row>
    <row r="114" spans="1:5">
      <c r="A114" s="160"/>
      <c r="B114" s="8" t="s">
        <v>384</v>
      </c>
      <c r="C114" s="2"/>
      <c r="D114" s="2"/>
      <c r="E114" s="2">
        <v>329500</v>
      </c>
    </row>
    <row r="115" spans="1:5">
      <c r="A115" s="160">
        <f>A113</f>
        <v>45595</v>
      </c>
      <c r="B115" s="8" t="s">
        <v>140</v>
      </c>
      <c r="C115" s="2"/>
      <c r="D115" s="2"/>
      <c r="E115" s="17">
        <v>6923</v>
      </c>
    </row>
    <row r="116" spans="1:5">
      <c r="A116" s="160">
        <f>A113</f>
        <v>45595</v>
      </c>
      <c r="B116" s="8" t="s">
        <v>142</v>
      </c>
      <c r="C116" s="2">
        <v>40</v>
      </c>
      <c r="D116" s="174">
        <v>830</v>
      </c>
      <c r="E116" s="17">
        <f t="shared" ref="E116:E128" si="1">D116*C116</f>
        <v>33200</v>
      </c>
    </row>
    <row r="117" spans="1:5">
      <c r="A117" s="160">
        <f>A122</f>
        <v>45595</v>
      </c>
      <c r="B117" s="8" t="s">
        <v>385</v>
      </c>
      <c r="C117" s="2">
        <v>4000</v>
      </c>
      <c r="D117" s="2">
        <v>30.96</v>
      </c>
      <c r="E117" s="17">
        <f t="shared" si="1"/>
        <v>123840</v>
      </c>
    </row>
    <row r="118" spans="1:5">
      <c r="A118" s="160">
        <f>A115</f>
        <v>45595</v>
      </c>
      <c r="B118" s="8" t="s">
        <v>144</v>
      </c>
      <c r="C118" s="175">
        <v>125000</v>
      </c>
      <c r="D118" s="174">
        <v>0.77971599999999996</v>
      </c>
      <c r="E118" s="17">
        <f t="shared" si="1"/>
        <v>97464.5</v>
      </c>
    </row>
    <row r="119" spans="1:5">
      <c r="A119" s="160">
        <f>A116</f>
        <v>45595</v>
      </c>
      <c r="B119" s="8" t="s">
        <v>145</v>
      </c>
      <c r="C119" s="2">
        <v>10</v>
      </c>
      <c r="D119" s="2">
        <v>103.7</v>
      </c>
      <c r="E119" s="17">
        <f t="shared" si="1"/>
        <v>1037</v>
      </c>
    </row>
    <row r="120" spans="1:5">
      <c r="A120" s="160">
        <f>A119</f>
        <v>45595</v>
      </c>
      <c r="B120" s="8" t="s">
        <v>146</v>
      </c>
      <c r="C120" s="2">
        <v>38</v>
      </c>
      <c r="D120" s="2">
        <v>21.42</v>
      </c>
      <c r="E120" s="17">
        <f t="shared" si="1"/>
        <v>813.96</v>
      </c>
    </row>
    <row r="121" spans="1:5">
      <c r="A121" s="160">
        <f>A120</f>
        <v>45595</v>
      </c>
      <c r="B121" s="8" t="s">
        <v>147</v>
      </c>
      <c r="C121" s="2">
        <v>26</v>
      </c>
      <c r="D121" s="2">
        <v>25.92</v>
      </c>
      <c r="E121" s="17">
        <f t="shared" si="1"/>
        <v>673.92000000000007</v>
      </c>
    </row>
    <row r="122" spans="1:5">
      <c r="A122" s="160">
        <f>A121</f>
        <v>45595</v>
      </c>
      <c r="B122" s="8" t="s">
        <v>141</v>
      </c>
      <c r="C122" s="2"/>
      <c r="D122" s="2"/>
      <c r="E122" s="17">
        <f t="shared" si="1"/>
        <v>0</v>
      </c>
    </row>
    <row r="123" spans="1:5">
      <c r="E123" s="17">
        <f t="shared" si="1"/>
        <v>0</v>
      </c>
    </row>
    <row r="124" spans="1:5">
      <c r="A124" s="160">
        <f>A117</f>
        <v>45595</v>
      </c>
      <c r="C124" s="2"/>
      <c r="D124" s="2"/>
      <c r="E124" s="17">
        <f t="shared" si="1"/>
        <v>0</v>
      </c>
    </row>
    <row r="125" spans="1:5">
      <c r="A125" s="160">
        <f>A124</f>
        <v>45595</v>
      </c>
      <c r="C125" s="2"/>
      <c r="D125" s="2"/>
      <c r="E125" s="17">
        <f t="shared" si="1"/>
        <v>0</v>
      </c>
    </row>
    <row r="126" spans="1:5">
      <c r="A126" s="160">
        <f>A125</f>
        <v>45595</v>
      </c>
      <c r="B126" s="8" t="s">
        <v>350</v>
      </c>
      <c r="C126" s="2">
        <v>2900</v>
      </c>
      <c r="D126" s="2">
        <v>1</v>
      </c>
      <c r="E126" s="17">
        <f t="shared" si="1"/>
        <v>2900</v>
      </c>
    </row>
    <row r="127" spans="1:5">
      <c r="A127" s="160">
        <f>A126</f>
        <v>45595</v>
      </c>
      <c r="B127" s="8" t="s">
        <v>149</v>
      </c>
      <c r="C127" s="2">
        <v>4900</v>
      </c>
      <c r="D127" s="2">
        <v>16</v>
      </c>
      <c r="E127" s="17">
        <f t="shared" si="1"/>
        <v>78400</v>
      </c>
    </row>
    <row r="128" spans="1:5">
      <c r="A128" s="160">
        <f>A127</f>
        <v>45595</v>
      </c>
      <c r="B128" s="8" t="s">
        <v>150</v>
      </c>
      <c r="C128" s="2">
        <v>19600</v>
      </c>
      <c r="D128" s="2">
        <v>1</v>
      </c>
      <c r="E128" s="17">
        <f t="shared" si="1"/>
        <v>19600</v>
      </c>
    </row>
    <row r="129" spans="1:5">
      <c r="A129" s="160">
        <f>A128</f>
        <v>45595</v>
      </c>
      <c r="C129" s="2"/>
      <c r="D129" s="2"/>
      <c r="E129" s="17"/>
    </row>
    <row r="130" spans="1:5">
      <c r="A130" s="160">
        <f>A126</f>
        <v>45595</v>
      </c>
      <c r="B130" s="8" t="s">
        <v>151</v>
      </c>
      <c r="C130" s="120">
        <v>33.250599999999999</v>
      </c>
      <c r="D130" s="2">
        <v>0</v>
      </c>
      <c r="E130" s="17"/>
    </row>
    <row r="131" spans="1:5">
      <c r="A131" s="160">
        <f>A130</f>
        <v>45595</v>
      </c>
      <c r="B131" s="8" t="s">
        <v>152</v>
      </c>
      <c r="C131" s="120">
        <v>36.854999999999997</v>
      </c>
      <c r="D131" s="2">
        <v>0</v>
      </c>
      <c r="E131" s="17">
        <f>D131*C131</f>
        <v>0</v>
      </c>
    </row>
    <row r="132" spans="1:5">
      <c r="A132" s="160">
        <f>A131</f>
        <v>45595</v>
      </c>
      <c r="B132" s="8" t="s">
        <v>153</v>
      </c>
      <c r="C132" s="2"/>
      <c r="D132" s="2"/>
      <c r="E132" s="17">
        <v>0</v>
      </c>
    </row>
    <row r="133" spans="1:5">
      <c r="A133" s="160">
        <f>A132</f>
        <v>45595</v>
      </c>
      <c r="B133" s="8" t="s">
        <v>154</v>
      </c>
      <c r="C133" s="2"/>
      <c r="D133" s="2"/>
      <c r="E133" s="17">
        <v>1000</v>
      </c>
    </row>
    <row r="134" spans="1:5">
      <c r="E134" s="176"/>
    </row>
    <row r="135" spans="1:5">
      <c r="C135" s="124"/>
      <c r="D135" s="3"/>
      <c r="E135" s="124"/>
    </row>
    <row r="136" spans="1:5">
      <c r="C136" s="124"/>
      <c r="D136" s="18" t="s">
        <v>156</v>
      </c>
      <c r="E136" s="9">
        <f>SUM(E112:E133)</f>
        <v>695352.38</v>
      </c>
    </row>
    <row r="137" spans="1:5">
      <c r="C137" s="125" t="str">
        <f>A111</f>
        <v>KASIMa</v>
      </c>
      <c r="D137" s="126" t="s">
        <v>157</v>
      </c>
      <c r="E137" s="127">
        <f>H12</f>
        <v>-134810.02000000002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E2F0D9"/>
  </sheetPr>
  <dimension ref="A1:H137"/>
  <sheetViews>
    <sheetView topLeftCell="A7" zoomScale="145" zoomScaleNormal="145" workbookViewId="0">
      <selection activeCell="C126" sqref="C126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386</v>
      </c>
      <c r="C2" s="79" t="s">
        <v>67</v>
      </c>
      <c r="D2" s="77">
        <f>SUM(D4:D35)</f>
        <v>27984.15</v>
      </c>
      <c r="E2" s="77">
        <f>SUM(E4:E35)</f>
        <v>-126233.26999999999</v>
      </c>
      <c r="F2" s="77">
        <f>SUM(F4:F35)</f>
        <v>64006.38</v>
      </c>
      <c r="G2" s="77">
        <f>SUM(G4:G35)</f>
        <v>-123041.59000000001</v>
      </c>
      <c r="H2" s="77">
        <f>F2+G2</f>
        <v>-59035.210000000014</v>
      </c>
    </row>
    <row r="3" spans="1:8">
      <c r="B3" s="18"/>
    </row>
    <row r="4" spans="1:8">
      <c r="B4" s="41"/>
      <c r="H4" s="77">
        <f t="shared" ref="H4:H33" si="0">H3+F4+G4</f>
        <v>0</v>
      </c>
    </row>
    <row r="5" spans="1:8">
      <c r="B5" s="101" t="s">
        <v>387</v>
      </c>
      <c r="C5" s="101" t="s">
        <v>357</v>
      </c>
      <c r="D5" s="78"/>
      <c r="E5" s="78">
        <v>-250</v>
      </c>
      <c r="F5" s="78"/>
      <c r="G5" s="78"/>
      <c r="H5" s="77">
        <f t="shared" si="0"/>
        <v>0</v>
      </c>
    </row>
    <row r="6" spans="1:8">
      <c r="A6" s="88">
        <v>45568</v>
      </c>
      <c r="B6" s="101" t="s">
        <v>70</v>
      </c>
      <c r="C6" s="101"/>
      <c r="D6" s="78"/>
      <c r="E6" s="78">
        <v>-1500</v>
      </c>
      <c r="F6" s="78"/>
      <c r="G6" s="78">
        <v>-1513.12</v>
      </c>
      <c r="H6" s="77">
        <f t="shared" si="0"/>
        <v>-1513.12</v>
      </c>
    </row>
    <row r="7" spans="1:8">
      <c r="A7" s="165">
        <v>45569</v>
      </c>
      <c r="B7" s="177" t="s">
        <v>69</v>
      </c>
      <c r="D7" s="78"/>
      <c r="E7" s="78">
        <f>E66</f>
        <v>-71389.3</v>
      </c>
      <c r="F7" s="78"/>
      <c r="G7" s="78">
        <v>-71389.3</v>
      </c>
      <c r="H7" s="77">
        <f t="shared" si="0"/>
        <v>-72902.42</v>
      </c>
    </row>
    <row r="8" spans="1:8">
      <c r="A8" s="88">
        <v>45572</v>
      </c>
      <c r="B8" s="177" t="s">
        <v>68</v>
      </c>
      <c r="D8" s="78"/>
      <c r="E8" s="78">
        <f>E51</f>
        <v>-3066.5699999999997</v>
      </c>
      <c r="F8" s="78"/>
      <c r="G8" s="78">
        <v>-3066.57</v>
      </c>
      <c r="H8" s="77">
        <f t="shared" si="0"/>
        <v>-75968.990000000005</v>
      </c>
    </row>
    <row r="9" spans="1:8">
      <c r="B9" s="177" t="s">
        <v>72</v>
      </c>
      <c r="D9" s="78"/>
      <c r="E9" s="78">
        <f>E46*-1</f>
        <v>0</v>
      </c>
      <c r="F9" s="78"/>
      <c r="G9" s="78">
        <v>0</v>
      </c>
      <c r="H9" s="77">
        <f t="shared" si="0"/>
        <v>-75968.990000000005</v>
      </c>
    </row>
    <row r="10" spans="1:8">
      <c r="A10" s="88">
        <v>45573</v>
      </c>
      <c r="B10" s="101" t="s">
        <v>388</v>
      </c>
      <c r="C10" s="101"/>
      <c r="D10" s="78"/>
      <c r="E10" s="78">
        <v>-17500</v>
      </c>
      <c r="F10" s="78"/>
      <c r="G10" s="78">
        <v>-17500</v>
      </c>
      <c r="H10" s="77">
        <f t="shared" si="0"/>
        <v>-93468.99</v>
      </c>
    </row>
    <row r="11" spans="1:8">
      <c r="A11" s="88">
        <v>45573</v>
      </c>
      <c r="B11" s="101" t="s">
        <v>389</v>
      </c>
      <c r="C11" s="101"/>
      <c r="D11" s="78"/>
      <c r="E11" s="78"/>
      <c r="F11" s="78"/>
      <c r="G11" s="78">
        <v>-7080.3</v>
      </c>
      <c r="H11" s="77">
        <f t="shared" si="0"/>
        <v>-100549.29000000001</v>
      </c>
    </row>
    <row r="12" spans="1:8">
      <c r="A12" s="88">
        <v>45574</v>
      </c>
      <c r="B12" s="170" t="s">
        <v>390</v>
      </c>
      <c r="C12" s="101" t="s">
        <v>391</v>
      </c>
      <c r="E12" s="78"/>
      <c r="F12" s="78">
        <v>15000</v>
      </c>
      <c r="H12" s="77">
        <f t="shared" si="0"/>
        <v>-85549.290000000008</v>
      </c>
    </row>
    <row r="13" spans="1:8">
      <c r="B13" s="101"/>
      <c r="C13" s="101"/>
      <c r="E13" s="78"/>
      <c r="H13" s="77">
        <f t="shared" si="0"/>
        <v>-85549.290000000008</v>
      </c>
    </row>
    <row r="14" spans="1:8">
      <c r="A14" s="88">
        <v>45580</v>
      </c>
      <c r="B14" s="166" t="s">
        <v>392</v>
      </c>
      <c r="C14" s="101"/>
      <c r="E14" s="78"/>
      <c r="F14" s="77">
        <v>30000</v>
      </c>
      <c r="H14" s="77">
        <f t="shared" si="0"/>
        <v>-55549.290000000008</v>
      </c>
    </row>
    <row r="15" spans="1:8">
      <c r="A15" s="88">
        <v>45595</v>
      </c>
      <c r="B15" s="101" t="s">
        <v>80</v>
      </c>
      <c r="C15" s="101"/>
      <c r="D15" s="78"/>
      <c r="E15" s="78">
        <v>-400</v>
      </c>
      <c r="F15" s="78"/>
      <c r="G15" s="78">
        <v>-435</v>
      </c>
      <c r="H15" s="77">
        <f t="shared" si="0"/>
        <v>-55984.290000000008</v>
      </c>
    </row>
    <row r="16" spans="1:8">
      <c r="A16" s="88">
        <v>45595</v>
      </c>
      <c r="B16" s="101" t="s">
        <v>81</v>
      </c>
      <c r="C16" s="101"/>
      <c r="D16" s="78"/>
      <c r="E16" s="78">
        <v>-500</v>
      </c>
      <c r="F16" s="78"/>
      <c r="G16" s="78">
        <v>-785</v>
      </c>
      <c r="H16" s="77">
        <f t="shared" si="0"/>
        <v>-56769.290000000008</v>
      </c>
    </row>
    <row r="17" spans="1:8">
      <c r="A17" s="88">
        <v>45579</v>
      </c>
      <c r="B17" s="101" t="s">
        <v>393</v>
      </c>
      <c r="D17" s="78"/>
      <c r="E17" s="78"/>
      <c r="F17" s="78"/>
      <c r="G17" s="78">
        <v>-65</v>
      </c>
      <c r="H17" s="77">
        <f t="shared" si="0"/>
        <v>-56834.290000000008</v>
      </c>
    </row>
    <row r="18" spans="1:8">
      <c r="B18" s="101" t="s">
        <v>75</v>
      </c>
      <c r="C18" s="101" t="s">
        <v>328</v>
      </c>
      <c r="D18" s="78"/>
      <c r="E18" s="78">
        <v>-150</v>
      </c>
      <c r="F18" s="78"/>
      <c r="G18" s="78"/>
      <c r="H18" s="77">
        <f t="shared" si="0"/>
        <v>-56834.290000000008</v>
      </c>
    </row>
    <row r="19" spans="1:8">
      <c r="A19" s="88">
        <v>45582</v>
      </c>
      <c r="B19" s="106" t="s">
        <v>73</v>
      </c>
      <c r="C19" s="106" t="s">
        <v>328</v>
      </c>
      <c r="D19" s="78"/>
      <c r="E19" s="78">
        <v>-300</v>
      </c>
      <c r="F19" s="78"/>
      <c r="G19" s="78">
        <v>-78</v>
      </c>
      <c r="H19" s="77">
        <f t="shared" si="0"/>
        <v>-56912.290000000008</v>
      </c>
    </row>
    <row r="20" spans="1:8">
      <c r="A20" s="88">
        <v>45582</v>
      </c>
      <c r="B20" s="106" t="s">
        <v>74</v>
      </c>
      <c r="C20" s="106" t="s">
        <v>328</v>
      </c>
      <c r="D20" s="78"/>
      <c r="E20" s="78">
        <v>-100</v>
      </c>
      <c r="F20" s="78"/>
      <c r="G20" s="78">
        <v>-43</v>
      </c>
      <c r="H20" s="77">
        <f t="shared" si="0"/>
        <v>-56955.290000000008</v>
      </c>
    </row>
    <row r="21" spans="1:8">
      <c r="B21" s="101"/>
      <c r="C21" s="101"/>
      <c r="D21" s="78"/>
      <c r="E21" s="78"/>
      <c r="F21" s="78"/>
      <c r="G21" s="78"/>
      <c r="H21" s="77">
        <f t="shared" si="0"/>
        <v>-56955.290000000008</v>
      </c>
    </row>
    <row r="22" spans="1:8">
      <c r="B22" t="s">
        <v>394</v>
      </c>
      <c r="C22" s="78"/>
      <c r="E22" s="78"/>
      <c r="F22" s="78"/>
      <c r="G22" s="78"/>
      <c r="H22" s="77">
        <f t="shared" si="0"/>
        <v>-56955.290000000008</v>
      </c>
    </row>
    <row r="23" spans="1:8">
      <c r="A23" s="88">
        <v>45594</v>
      </c>
      <c r="B23" s="8" t="s">
        <v>98</v>
      </c>
      <c r="C23" s="8" t="s">
        <v>319</v>
      </c>
      <c r="D23" s="78" t="s">
        <v>395</v>
      </c>
      <c r="E23" s="78">
        <v>-1380</v>
      </c>
      <c r="F23" s="78"/>
      <c r="G23" s="78">
        <v>-1380</v>
      </c>
      <c r="H23" s="77">
        <f t="shared" si="0"/>
        <v>-58335.290000000008</v>
      </c>
    </row>
    <row r="24" spans="1:8">
      <c r="A24" s="88">
        <v>45595</v>
      </c>
      <c r="B24" s="8" t="s">
        <v>396</v>
      </c>
      <c r="D24" s="78"/>
      <c r="E24" s="78">
        <v>-197.4</v>
      </c>
      <c r="F24" s="78"/>
      <c r="G24" s="78">
        <v>-206.3</v>
      </c>
      <c r="H24" s="77">
        <f t="shared" si="0"/>
        <v>-58541.590000000011</v>
      </c>
    </row>
    <row r="25" spans="1:8">
      <c r="A25" s="88">
        <v>45593</v>
      </c>
      <c r="B25" s="8" t="s">
        <v>77</v>
      </c>
      <c r="D25" s="78"/>
      <c r="E25" s="78">
        <v>-6500</v>
      </c>
      <c r="F25" s="78"/>
      <c r="G25" s="78">
        <v>-6500</v>
      </c>
      <c r="H25" s="77">
        <f t="shared" si="0"/>
        <v>-65041.590000000011</v>
      </c>
    </row>
    <row r="26" spans="1:8">
      <c r="A26" s="88">
        <v>45593</v>
      </c>
      <c r="B26" s="8" t="s">
        <v>78</v>
      </c>
      <c r="D26" s="78"/>
      <c r="E26" s="78">
        <v>-6500</v>
      </c>
      <c r="F26" s="78"/>
      <c r="G26" s="78">
        <v>-6500</v>
      </c>
      <c r="H26" s="77">
        <f t="shared" si="0"/>
        <v>-71541.590000000011</v>
      </c>
    </row>
    <row r="27" spans="1:8">
      <c r="B27" t="s">
        <v>79</v>
      </c>
      <c r="D27" s="78"/>
      <c r="E27" s="78">
        <v>-6500</v>
      </c>
      <c r="F27" s="78"/>
      <c r="G27" s="78">
        <v>-6500</v>
      </c>
      <c r="H27" s="77">
        <f t="shared" si="0"/>
        <v>-78041.590000000011</v>
      </c>
    </row>
    <row r="28" spans="1:8">
      <c r="D28" s="78"/>
      <c r="E28" s="78"/>
      <c r="F28" s="78"/>
      <c r="G28" s="78"/>
      <c r="H28" s="77">
        <f t="shared" si="0"/>
        <v>-78041.590000000011</v>
      </c>
    </row>
    <row r="29" spans="1:8">
      <c r="A29" s="88">
        <v>45592</v>
      </c>
      <c r="B29" s="8" t="s">
        <v>76</v>
      </c>
      <c r="D29" s="78">
        <v>12984.15</v>
      </c>
      <c r="E29" s="78"/>
      <c r="F29" s="78">
        <v>13006.38</v>
      </c>
      <c r="G29" s="78"/>
      <c r="H29" s="77">
        <f t="shared" si="0"/>
        <v>-65035.210000000014</v>
      </c>
    </row>
    <row r="30" spans="1:8">
      <c r="A30" s="100">
        <v>45590</v>
      </c>
      <c r="B30" s="82" t="s">
        <v>397</v>
      </c>
      <c r="F30" s="77">
        <v>6000</v>
      </c>
      <c r="H30" s="77">
        <f t="shared" si="0"/>
        <v>-59035.210000000014</v>
      </c>
    </row>
    <row r="31" spans="1:8">
      <c r="A31" s="100"/>
      <c r="B31" s="170" t="s">
        <v>359</v>
      </c>
      <c r="C31" s="170"/>
      <c r="D31" s="108">
        <v>15000</v>
      </c>
      <c r="H31" s="77">
        <f t="shared" si="0"/>
        <v>-59035.210000000014</v>
      </c>
    </row>
    <row r="32" spans="1:8">
      <c r="A32" s="100"/>
      <c r="H32" s="77">
        <f t="shared" si="0"/>
        <v>-59035.210000000014</v>
      </c>
    </row>
    <row r="33" spans="1:8">
      <c r="B33" t="s">
        <v>398</v>
      </c>
      <c r="C33" s="171">
        <v>0.234011</v>
      </c>
      <c r="H33" s="77">
        <f t="shared" si="0"/>
        <v>-59035.210000000014</v>
      </c>
    </row>
    <row r="34" spans="1:8">
      <c r="B34" s="170" t="s">
        <v>399</v>
      </c>
      <c r="C34" s="170"/>
      <c r="D34" s="108"/>
      <c r="E34" s="108">
        <v>-10000</v>
      </c>
    </row>
    <row r="35" spans="1:8" ht="15.75">
      <c r="B35" s="179"/>
    </row>
    <row r="37" spans="1:8">
      <c r="B37" t="s">
        <v>330</v>
      </c>
    </row>
    <row r="38" spans="1:8">
      <c r="A38" s="103" t="s">
        <v>331</v>
      </c>
      <c r="B38" s="103"/>
      <c r="C38" s="103"/>
    </row>
    <row r="39" spans="1:8">
      <c r="A39" s="100"/>
      <c r="C39" s="171"/>
    </row>
    <row r="40" spans="1:8">
      <c r="A40" s="172">
        <v>44929</v>
      </c>
      <c r="B40" s="173" t="s">
        <v>332</v>
      </c>
      <c r="C40" s="103"/>
      <c r="D40" s="77">
        <f>SUM(D41:D46)</f>
        <v>0</v>
      </c>
      <c r="E40" s="77">
        <f>SUM(E41:E46)</f>
        <v>0</v>
      </c>
    </row>
    <row r="41" spans="1:8">
      <c r="A41" s="100"/>
      <c r="B41" s="106" t="s">
        <v>333</v>
      </c>
    </row>
    <row r="42" spans="1:8">
      <c r="B42" t="s">
        <v>334</v>
      </c>
    </row>
    <row r="43" spans="1:8">
      <c r="B43" t="s">
        <v>335</v>
      </c>
    </row>
    <row r="44" spans="1:8">
      <c r="B44" t="s">
        <v>336</v>
      </c>
    </row>
    <row r="45" spans="1:8">
      <c r="B45" t="s">
        <v>337</v>
      </c>
    </row>
    <row r="46" spans="1:8">
      <c r="B46" t="s">
        <v>338</v>
      </c>
      <c r="C46" s="106"/>
    </row>
    <row r="47" spans="1:8">
      <c r="C47" s="106"/>
    </row>
    <row r="49" spans="1:5">
      <c r="B49" s="17"/>
    </row>
    <row r="50" spans="1:5">
      <c r="B50" s="102"/>
    </row>
    <row r="51" spans="1:5">
      <c r="A51" s="103"/>
      <c r="B51" s="104" t="s">
        <v>83</v>
      </c>
      <c r="C51" s="103"/>
      <c r="E51" s="77">
        <f>SUM(E52:E63)</f>
        <v>-3066.5699999999997</v>
      </c>
    </row>
    <row r="53" spans="1:5">
      <c r="A53" s="88">
        <v>45373</v>
      </c>
      <c r="B53" s="8" t="s">
        <v>339</v>
      </c>
      <c r="C53">
        <v>10176.39</v>
      </c>
      <c r="D53" s="77" t="s">
        <v>400</v>
      </c>
      <c r="E53" s="77">
        <v>-1130.71</v>
      </c>
    </row>
    <row r="54" spans="1:5">
      <c r="A54" s="88">
        <v>45375</v>
      </c>
      <c r="B54" s="8" t="s">
        <v>341</v>
      </c>
      <c r="C54">
        <v>5999</v>
      </c>
      <c r="D54" s="77" t="s">
        <v>400</v>
      </c>
      <c r="E54" s="77">
        <v>-666.56</v>
      </c>
    </row>
    <row r="55" spans="1:5">
      <c r="A55" s="88"/>
      <c r="B55" s="8" t="s">
        <v>401</v>
      </c>
      <c r="E55" s="77">
        <v>-363.83</v>
      </c>
    </row>
    <row r="56" spans="1:5">
      <c r="B56" t="s">
        <v>402</v>
      </c>
      <c r="E56" s="77">
        <v>-905.47</v>
      </c>
    </row>
    <row r="57" spans="1:5">
      <c r="B57" t="s">
        <v>130</v>
      </c>
      <c r="C57">
        <v>8037.9</v>
      </c>
    </row>
    <row r="58" spans="1:5" ht="15">
      <c r="A58" s="100"/>
      <c r="B58" s="106"/>
      <c r="C58" s="106"/>
      <c r="D58" s="105" t="s">
        <v>84</v>
      </c>
    </row>
    <row r="59" spans="1:5">
      <c r="A59" s="100"/>
      <c r="B59" s="106"/>
      <c r="C59" s="106"/>
    </row>
    <row r="60" spans="1:5">
      <c r="A60" s="100"/>
      <c r="B60" s="107"/>
      <c r="C60" s="106"/>
    </row>
    <row r="61" spans="1:5">
      <c r="A61" s="100"/>
      <c r="B61" s="107"/>
      <c r="C61" s="106"/>
    </row>
    <row r="62" spans="1:5">
      <c r="A62" s="100"/>
      <c r="B62" s="107"/>
    </row>
    <row r="63" spans="1:5">
      <c r="A63" s="100"/>
      <c r="B63" s="107"/>
      <c r="C63" s="106"/>
    </row>
    <row r="64" spans="1:5">
      <c r="A64" s="100"/>
      <c r="B64" s="3"/>
    </row>
    <row r="65" spans="1:5">
      <c r="A65" s="100"/>
      <c r="B65" s="106"/>
      <c r="C65" s="106"/>
    </row>
    <row r="66" spans="1:5">
      <c r="A66" s="103"/>
      <c r="B66" s="104" t="s">
        <v>85</v>
      </c>
      <c r="C66" s="103"/>
      <c r="E66" s="77">
        <f>SUM(E67:E104)</f>
        <v>-71389.3</v>
      </c>
    </row>
    <row r="67" spans="1:5">
      <c r="A67" s="100"/>
      <c r="B67" s="106"/>
      <c r="C67" s="106"/>
    </row>
    <row r="68" spans="1:5">
      <c r="A68" s="100"/>
      <c r="B68" s="106" t="s">
        <v>127</v>
      </c>
      <c r="C68" s="106"/>
      <c r="E68" s="77">
        <v>-3177.5</v>
      </c>
    </row>
    <row r="69" spans="1:5">
      <c r="A69" s="100"/>
      <c r="B69" s="3"/>
      <c r="C69" s="106"/>
      <c r="E69" s="77">
        <v>-56373.38</v>
      </c>
    </row>
    <row r="70" spans="1:5">
      <c r="A70" s="100"/>
      <c r="B70" s="3"/>
      <c r="C70" s="106"/>
      <c r="E70" s="77">
        <v>-256.58999999999997</v>
      </c>
    </row>
    <row r="71" spans="1:5">
      <c r="A71" s="100"/>
      <c r="B71" s="3"/>
      <c r="C71" s="106"/>
    </row>
    <row r="72" spans="1:5">
      <c r="A72" s="100"/>
      <c r="B72" s="3" t="s">
        <v>403</v>
      </c>
      <c r="C72" s="106"/>
      <c r="E72" s="77">
        <v>-1500</v>
      </c>
    </row>
    <row r="73" spans="1:5">
      <c r="A73" s="100"/>
      <c r="B73" s="3" t="s">
        <v>404</v>
      </c>
      <c r="C73" s="106"/>
      <c r="E73" s="77">
        <v>-385</v>
      </c>
    </row>
    <row r="74" spans="1:5">
      <c r="A74" s="100"/>
      <c r="B74" s="3" t="s">
        <v>405</v>
      </c>
      <c r="C74" s="106"/>
      <c r="E74" s="77">
        <v>-195</v>
      </c>
    </row>
    <row r="75" spans="1:5">
      <c r="A75" s="100"/>
      <c r="B75" s="3">
        <v>322.04000000000002</v>
      </c>
      <c r="C75" s="106"/>
      <c r="E75" s="77">
        <v>-322.04000000000002</v>
      </c>
    </row>
    <row r="76" spans="1:5">
      <c r="A76" s="100"/>
      <c r="B76" s="3" t="s">
        <v>406</v>
      </c>
      <c r="C76" s="106"/>
      <c r="E76" s="77">
        <v>-1865</v>
      </c>
    </row>
    <row r="77" spans="1:5">
      <c r="A77" s="100"/>
      <c r="B77" s="3" t="s">
        <v>407</v>
      </c>
      <c r="C77" s="106"/>
      <c r="E77" s="77">
        <v>-80</v>
      </c>
    </row>
    <row r="78" spans="1:5">
      <c r="A78" s="100"/>
      <c r="B78" s="3" t="s">
        <v>408</v>
      </c>
      <c r="C78" s="106"/>
      <c r="E78" s="77">
        <v>-19.5</v>
      </c>
    </row>
    <row r="79" spans="1:5">
      <c r="A79" s="100"/>
      <c r="B79" s="3" t="s">
        <v>409</v>
      </c>
      <c r="C79" s="106"/>
      <c r="E79" s="77">
        <v>-706.97</v>
      </c>
    </row>
    <row r="80" spans="1:5">
      <c r="A80" s="100"/>
      <c r="B80" s="3" t="s">
        <v>410</v>
      </c>
      <c r="C80" s="106"/>
      <c r="E80" s="77">
        <v>-299.99</v>
      </c>
    </row>
    <row r="81" spans="1:5">
      <c r="A81" s="100"/>
      <c r="B81" s="3" t="s">
        <v>411</v>
      </c>
      <c r="C81" s="106"/>
      <c r="E81" s="77">
        <v>-1620</v>
      </c>
    </row>
    <row r="82" spans="1:5">
      <c r="A82" s="100"/>
      <c r="B82" s="3" t="s">
        <v>412</v>
      </c>
      <c r="C82" s="106"/>
      <c r="E82" s="77">
        <v>-66.7</v>
      </c>
    </row>
    <row r="83" spans="1:5">
      <c r="A83" s="100"/>
      <c r="B83" s="3" t="s">
        <v>413</v>
      </c>
      <c r="C83" s="106"/>
      <c r="E83" s="77">
        <v>-45</v>
      </c>
    </row>
    <row r="84" spans="1:5">
      <c r="A84" s="100"/>
      <c r="B84" s="3" t="s">
        <v>414</v>
      </c>
      <c r="C84" s="106">
        <v>69</v>
      </c>
      <c r="E84" s="77">
        <v>-69.66</v>
      </c>
    </row>
    <row r="85" spans="1:5">
      <c r="A85" s="100"/>
      <c r="B85" s="3" t="s">
        <v>415</v>
      </c>
      <c r="C85" s="106">
        <v>250</v>
      </c>
      <c r="E85" s="77">
        <v>-250</v>
      </c>
    </row>
    <row r="86" spans="1:5">
      <c r="A86" s="100"/>
      <c r="B86" s="3" t="s">
        <v>416</v>
      </c>
      <c r="C86" s="106">
        <v>145</v>
      </c>
      <c r="E86" s="77">
        <v>-145</v>
      </c>
    </row>
    <row r="87" spans="1:5">
      <c r="A87" s="100"/>
      <c r="B87" s="3" t="s">
        <v>414</v>
      </c>
      <c r="C87" s="106">
        <v>80</v>
      </c>
      <c r="E87" s="77">
        <v>-79.58</v>
      </c>
    </row>
    <row r="88" spans="1:5">
      <c r="A88" s="100"/>
      <c r="B88" s="3" t="s">
        <v>415</v>
      </c>
      <c r="C88" s="106">
        <v>300</v>
      </c>
      <c r="E88" s="77">
        <v>-300</v>
      </c>
    </row>
    <row r="89" spans="1:5">
      <c r="A89" s="100"/>
      <c r="B89" s="3" t="s">
        <v>130</v>
      </c>
      <c r="C89" s="106"/>
      <c r="D89" s="77">
        <v>21576.400000000001</v>
      </c>
    </row>
    <row r="90" spans="1:5">
      <c r="A90" s="100"/>
      <c r="B90" s="3" t="s">
        <v>414</v>
      </c>
      <c r="C90" s="106">
        <v>50</v>
      </c>
      <c r="E90" s="77">
        <v>-49.3</v>
      </c>
    </row>
    <row r="91" spans="1:5">
      <c r="A91" s="100"/>
      <c r="B91" s="3" t="s">
        <v>417</v>
      </c>
      <c r="C91" s="106"/>
      <c r="E91" s="77">
        <v>-190</v>
      </c>
    </row>
    <row r="92" spans="1:5">
      <c r="A92" s="100"/>
      <c r="B92" s="3" t="s">
        <v>414</v>
      </c>
      <c r="C92" s="106"/>
      <c r="E92" s="77">
        <v>-375.55</v>
      </c>
    </row>
    <row r="93" spans="1:5">
      <c r="A93" s="100"/>
      <c r="B93" s="3" t="s">
        <v>415</v>
      </c>
      <c r="C93" s="106">
        <v>260</v>
      </c>
      <c r="E93" s="77">
        <v>-260</v>
      </c>
    </row>
    <row r="94" spans="1:5">
      <c r="A94" s="100"/>
      <c r="B94" s="3" t="s">
        <v>414</v>
      </c>
      <c r="C94" s="106">
        <v>65.790000000000006</v>
      </c>
      <c r="E94" s="77">
        <v>-65.790000000000006</v>
      </c>
    </row>
    <row r="95" spans="1:5">
      <c r="A95" s="100"/>
      <c r="B95" s="3" t="s">
        <v>415</v>
      </c>
      <c r="C95" s="106">
        <v>330</v>
      </c>
      <c r="E95" s="77">
        <v>-330</v>
      </c>
    </row>
    <row r="96" spans="1:5">
      <c r="A96" s="100"/>
      <c r="B96" s="3" t="s">
        <v>416</v>
      </c>
      <c r="C96" s="106">
        <v>225</v>
      </c>
      <c r="E96" s="77">
        <v>-225</v>
      </c>
    </row>
    <row r="97" spans="1:5">
      <c r="A97" s="100"/>
      <c r="B97" s="3" t="s">
        <v>418</v>
      </c>
      <c r="C97" s="106"/>
      <c r="E97" s="77">
        <v>-410</v>
      </c>
    </row>
    <row r="98" spans="1:5">
      <c r="B98" s="3" t="s">
        <v>419</v>
      </c>
      <c r="E98" s="77">
        <v>-27.25</v>
      </c>
    </row>
    <row r="99" spans="1:5">
      <c r="B99" s="3" t="s">
        <v>420</v>
      </c>
      <c r="E99" s="77">
        <v>-70</v>
      </c>
    </row>
    <row r="100" spans="1:5">
      <c r="B100" s="3" t="s">
        <v>421</v>
      </c>
      <c r="E100" s="77">
        <v>-350</v>
      </c>
    </row>
    <row r="101" spans="1:5">
      <c r="B101" s="3" t="s">
        <v>417</v>
      </c>
      <c r="E101" s="77">
        <v>-420</v>
      </c>
    </row>
    <row r="102" spans="1:5">
      <c r="B102" s="3" t="s">
        <v>422</v>
      </c>
      <c r="E102" s="77">
        <v>-154.5</v>
      </c>
    </row>
    <row r="103" spans="1:5">
      <c r="B103" s="3" t="s">
        <v>417</v>
      </c>
      <c r="E103" s="77">
        <v>-290</v>
      </c>
    </row>
    <row r="104" spans="1:5">
      <c r="B104" s="3" t="s">
        <v>415</v>
      </c>
      <c r="C104">
        <v>415</v>
      </c>
      <c r="E104" s="77">
        <v>-415</v>
      </c>
    </row>
    <row r="105" spans="1:5">
      <c r="B105" s="35" t="s">
        <v>423</v>
      </c>
      <c r="C105" s="8">
        <f>SUM(C81:C104)</f>
        <v>2189.79</v>
      </c>
    </row>
    <row r="106" spans="1:5" ht="15">
      <c r="D106" s="105" t="s">
        <v>84</v>
      </c>
    </row>
    <row r="111" spans="1:5">
      <c r="A111" s="113" t="s">
        <v>424</v>
      </c>
      <c r="B111" s="104" t="s">
        <v>137</v>
      </c>
      <c r="C111" s="103">
        <v>2024</v>
      </c>
      <c r="D111" s="158"/>
      <c r="E111" s="159">
        <f>SUM(E112:E133)</f>
        <v>726058.6</v>
      </c>
    </row>
    <row r="112" spans="1:5">
      <c r="A112" s="160">
        <v>45565</v>
      </c>
      <c r="B112" s="8" t="s">
        <v>77</v>
      </c>
      <c r="C112" s="2"/>
      <c r="D112" s="2"/>
      <c r="E112" s="2">
        <v>0</v>
      </c>
    </row>
    <row r="113" spans="1:5">
      <c r="A113" s="160">
        <f>A112</f>
        <v>45565</v>
      </c>
      <c r="B113" s="8" t="s">
        <v>383</v>
      </c>
      <c r="C113" s="2"/>
      <c r="D113" s="2"/>
      <c r="E113" s="2">
        <v>0</v>
      </c>
    </row>
    <row r="114" spans="1:5">
      <c r="A114" s="160"/>
      <c r="B114" s="8" t="s">
        <v>425</v>
      </c>
      <c r="C114" s="2"/>
      <c r="D114" s="2"/>
      <c r="E114" s="2">
        <v>365500</v>
      </c>
    </row>
    <row r="115" spans="1:5">
      <c r="A115" s="160">
        <f>A113</f>
        <v>45565</v>
      </c>
      <c r="B115" s="8" t="s">
        <v>140</v>
      </c>
      <c r="C115" s="2"/>
      <c r="D115" s="2"/>
      <c r="E115" s="17">
        <v>1492</v>
      </c>
    </row>
    <row r="116" spans="1:5">
      <c r="A116" s="160">
        <f>A113</f>
        <v>45565</v>
      </c>
      <c r="B116" s="8" t="s">
        <v>142</v>
      </c>
      <c r="C116" s="2">
        <v>40</v>
      </c>
      <c r="D116" s="174">
        <v>852</v>
      </c>
      <c r="E116" s="17">
        <f t="shared" ref="E116:E122" si="1">D116*C116</f>
        <v>34080</v>
      </c>
    </row>
    <row r="117" spans="1:5">
      <c r="A117" s="160">
        <f>A122</f>
        <v>45565</v>
      </c>
      <c r="B117" s="8" t="s">
        <v>385</v>
      </c>
      <c r="C117" s="2">
        <v>30.96</v>
      </c>
      <c r="D117" s="2">
        <v>4000</v>
      </c>
      <c r="E117" s="17">
        <f t="shared" si="1"/>
        <v>123840</v>
      </c>
    </row>
    <row r="118" spans="1:5">
      <c r="A118" s="160">
        <f>A115</f>
        <v>45565</v>
      </c>
      <c r="B118" s="8" t="s">
        <v>144</v>
      </c>
      <c r="C118" s="175">
        <v>125000</v>
      </c>
      <c r="D118" s="174">
        <v>0.77300000000000002</v>
      </c>
      <c r="E118" s="17">
        <f t="shared" si="1"/>
        <v>96625</v>
      </c>
    </row>
    <row r="119" spans="1:5">
      <c r="A119" s="160">
        <f>A116</f>
        <v>45565</v>
      </c>
      <c r="B119" s="8" t="s">
        <v>145</v>
      </c>
      <c r="C119" s="2">
        <v>10</v>
      </c>
      <c r="D119" s="2">
        <v>124.8</v>
      </c>
      <c r="E119" s="17">
        <f t="shared" si="1"/>
        <v>1248</v>
      </c>
    </row>
    <row r="120" spans="1:5">
      <c r="A120" s="160">
        <f>A119</f>
        <v>45565</v>
      </c>
      <c r="B120" s="8" t="s">
        <v>146</v>
      </c>
      <c r="C120" s="2">
        <v>38</v>
      </c>
      <c r="D120" s="2">
        <v>19.22</v>
      </c>
      <c r="E120" s="17">
        <f t="shared" si="1"/>
        <v>730.3599999999999</v>
      </c>
    </row>
    <row r="121" spans="1:5">
      <c r="A121" s="160">
        <f>A120</f>
        <v>45565</v>
      </c>
      <c r="B121" s="8" t="s">
        <v>147</v>
      </c>
      <c r="C121" s="2">
        <v>26</v>
      </c>
      <c r="D121" s="2">
        <v>24.74</v>
      </c>
      <c r="E121" s="17">
        <f t="shared" si="1"/>
        <v>643.24</v>
      </c>
    </row>
    <row r="122" spans="1:5">
      <c r="A122" s="160">
        <f>A121</f>
        <v>45565</v>
      </c>
      <c r="B122" s="8" t="s">
        <v>141</v>
      </c>
      <c r="C122" s="2"/>
      <c r="D122" s="2"/>
      <c r="E122" s="17">
        <f t="shared" si="1"/>
        <v>0</v>
      </c>
    </row>
    <row r="124" spans="1:5">
      <c r="A124" s="160">
        <f>A117</f>
        <v>45565</v>
      </c>
      <c r="C124" s="2"/>
      <c r="D124" s="2"/>
      <c r="E124" s="17">
        <f>D124*C124</f>
        <v>0</v>
      </c>
    </row>
    <row r="125" spans="1:5">
      <c r="A125" s="160">
        <f>A124</f>
        <v>45565</v>
      </c>
      <c r="C125" s="2"/>
      <c r="D125" s="2"/>
      <c r="E125" s="17">
        <f>D125*C125</f>
        <v>0</v>
      </c>
    </row>
    <row r="126" spans="1:5">
      <c r="A126" s="160">
        <f>A125</f>
        <v>45565</v>
      </c>
      <c r="B126" s="8" t="s">
        <v>426</v>
      </c>
      <c r="C126" s="2">
        <v>2900</v>
      </c>
      <c r="D126" s="2">
        <v>1</v>
      </c>
      <c r="E126" s="17">
        <f>D126*C126</f>
        <v>2900</v>
      </c>
    </row>
    <row r="127" spans="1:5">
      <c r="A127" s="160">
        <f>A126</f>
        <v>45565</v>
      </c>
      <c r="B127" s="8" t="s">
        <v>427</v>
      </c>
      <c r="C127" s="2">
        <v>4900</v>
      </c>
      <c r="D127" s="2">
        <v>16</v>
      </c>
      <c r="E127" s="17">
        <f>D127*C127</f>
        <v>78400</v>
      </c>
    </row>
    <row r="128" spans="1:5">
      <c r="A128" s="160">
        <f>A127</f>
        <v>45565</v>
      </c>
      <c r="B128" s="8" t="s">
        <v>428</v>
      </c>
      <c r="C128" s="2">
        <v>19600</v>
      </c>
      <c r="D128" s="2">
        <v>1</v>
      </c>
      <c r="E128" s="17">
        <f>D128*C128</f>
        <v>19600</v>
      </c>
    </row>
    <row r="129" spans="1:5">
      <c r="A129" s="160">
        <f>A128</f>
        <v>45565</v>
      </c>
      <c r="C129" s="2"/>
      <c r="D129" s="2"/>
      <c r="E129" s="17"/>
    </row>
    <row r="130" spans="1:5">
      <c r="A130" s="160">
        <f>A126</f>
        <v>45565</v>
      </c>
      <c r="B130" s="8" t="s">
        <v>151</v>
      </c>
      <c r="C130" s="120">
        <v>33.250599999999999</v>
      </c>
      <c r="D130" s="2"/>
      <c r="E130" s="17"/>
    </row>
    <row r="131" spans="1:5">
      <c r="A131" s="160">
        <f>A130</f>
        <v>45565</v>
      </c>
      <c r="B131" s="8" t="s">
        <v>152</v>
      </c>
      <c r="C131" s="120">
        <v>36.854999999999997</v>
      </c>
      <c r="D131" s="2"/>
      <c r="E131" s="17">
        <f>D131*C131</f>
        <v>0</v>
      </c>
    </row>
    <row r="132" spans="1:5">
      <c r="A132" s="160">
        <f>A131</f>
        <v>45565</v>
      </c>
      <c r="B132" s="8" t="s">
        <v>153</v>
      </c>
      <c r="C132" s="2"/>
      <c r="D132" s="2"/>
      <c r="E132" s="17">
        <v>0</v>
      </c>
    </row>
    <row r="133" spans="1:5">
      <c r="A133" s="160">
        <f>A132</f>
        <v>45565</v>
      </c>
      <c r="B133" s="8" t="s">
        <v>154</v>
      </c>
      <c r="C133" s="2"/>
      <c r="D133" s="2"/>
      <c r="E133" s="17">
        <v>1000</v>
      </c>
    </row>
    <row r="134" spans="1:5">
      <c r="E134" s="176"/>
    </row>
    <row r="135" spans="1:5">
      <c r="C135" s="124"/>
      <c r="D135" s="3"/>
      <c r="E135" s="124"/>
    </row>
    <row r="136" spans="1:5">
      <c r="C136" s="124"/>
      <c r="D136" s="18" t="s">
        <v>156</v>
      </c>
      <c r="E136" s="9">
        <f>SUM(E112:E133)</f>
        <v>726058.6</v>
      </c>
    </row>
    <row r="137" spans="1:5">
      <c r="C137" s="125" t="str">
        <f>A111</f>
        <v>EKİMe</v>
      </c>
      <c r="D137" s="126" t="s">
        <v>157</v>
      </c>
      <c r="E137" s="127">
        <f>H12</f>
        <v>-85549.290000000008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E2F0D9"/>
  </sheetPr>
  <dimension ref="A1:H127"/>
  <sheetViews>
    <sheetView topLeftCell="A7" zoomScale="145" zoomScaleNormal="145" workbookViewId="0">
      <selection activeCell="E112" sqref="E112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429</v>
      </c>
      <c r="C2" s="79" t="s">
        <v>67</v>
      </c>
      <c r="D2" s="77">
        <f>SUM(D4:D28)</f>
        <v>36484.15</v>
      </c>
      <c r="E2" s="77">
        <f>SUM(E4:E28)</f>
        <v>-81364.900000000009</v>
      </c>
      <c r="F2" s="77">
        <f>SUM(F4:F28)</f>
        <v>98006.38</v>
      </c>
      <c r="G2" s="77">
        <f>SUM(G4:G28)</f>
        <v>-69863.539999999994</v>
      </c>
      <c r="H2" s="77">
        <f>F2+G2</f>
        <v>28142.840000000011</v>
      </c>
    </row>
    <row r="3" spans="1:8">
      <c r="B3" s="18"/>
    </row>
    <row r="4" spans="1:8">
      <c r="A4" s="88">
        <v>45534</v>
      </c>
      <c r="B4" s="41" t="s">
        <v>430</v>
      </c>
      <c r="D4" s="78"/>
      <c r="E4" s="78">
        <v>-152</v>
      </c>
      <c r="F4" s="78"/>
      <c r="G4" s="78">
        <v>-162.11000000000001</v>
      </c>
      <c r="H4" s="77">
        <f t="shared" ref="H4:H30" si="0">H3+F4+G4</f>
        <v>-162.11000000000001</v>
      </c>
    </row>
    <row r="5" spans="1:8">
      <c r="A5" s="88"/>
      <c r="B5" s="101" t="s">
        <v>431</v>
      </c>
      <c r="C5" s="101" t="s">
        <v>357</v>
      </c>
      <c r="E5" s="78">
        <v>-250</v>
      </c>
      <c r="F5" s="78"/>
      <c r="G5" s="78"/>
      <c r="H5" s="77">
        <f t="shared" si="0"/>
        <v>-162.11000000000001</v>
      </c>
    </row>
    <row r="6" spans="1:8">
      <c r="A6" s="165">
        <v>45538</v>
      </c>
      <c r="B6" s="177" t="s">
        <v>69</v>
      </c>
      <c r="D6" s="78"/>
      <c r="E6" s="78">
        <f>E61</f>
        <v>-21576.400000000001</v>
      </c>
      <c r="F6" s="78"/>
      <c r="G6" s="78">
        <f>E6</f>
        <v>-21576.400000000001</v>
      </c>
      <c r="H6" s="77">
        <f t="shared" si="0"/>
        <v>-21738.510000000002</v>
      </c>
    </row>
    <row r="7" spans="1:8">
      <c r="A7" s="88">
        <v>45539</v>
      </c>
      <c r="B7" s="177" t="s">
        <v>68</v>
      </c>
      <c r="D7" s="78"/>
      <c r="E7" s="78">
        <f>E46</f>
        <v>-8037.9</v>
      </c>
      <c r="F7" s="78"/>
      <c r="G7" s="78">
        <f>E7</f>
        <v>-8037.9</v>
      </c>
      <c r="H7" s="77">
        <f t="shared" si="0"/>
        <v>-29776.410000000003</v>
      </c>
    </row>
    <row r="8" spans="1:8">
      <c r="A8" s="88"/>
      <c r="B8" s="101" t="s">
        <v>70</v>
      </c>
      <c r="C8" s="101"/>
      <c r="E8" s="78">
        <v>-1500</v>
      </c>
      <c r="F8" s="78"/>
      <c r="G8" s="78">
        <v>-1514.73</v>
      </c>
      <c r="H8" s="77">
        <f t="shared" si="0"/>
        <v>-31291.140000000003</v>
      </c>
    </row>
    <row r="9" spans="1:8">
      <c r="A9" s="88"/>
      <c r="B9" s="101" t="s">
        <v>432</v>
      </c>
      <c r="C9" s="101"/>
      <c r="E9" s="78">
        <v>-17500</v>
      </c>
      <c r="F9" s="78"/>
      <c r="G9" s="78">
        <v>-17500</v>
      </c>
      <c r="H9" s="77">
        <f t="shared" si="0"/>
        <v>-48791.14</v>
      </c>
    </row>
    <row r="10" spans="1:8">
      <c r="A10" s="88"/>
      <c r="B10" s="106" t="s">
        <v>72</v>
      </c>
      <c r="E10" s="77">
        <f>E41*-1</f>
        <v>0</v>
      </c>
      <c r="F10" s="78"/>
      <c r="G10" s="78">
        <v>-5</v>
      </c>
      <c r="H10" s="77">
        <f t="shared" si="0"/>
        <v>-48796.14</v>
      </c>
    </row>
    <row r="11" spans="1:8">
      <c r="A11" s="88">
        <v>45544</v>
      </c>
      <c r="B11" s="8" t="s">
        <v>433</v>
      </c>
      <c r="C11" s="8" t="s">
        <v>434</v>
      </c>
      <c r="E11" s="78"/>
      <c r="F11" s="78">
        <v>15000</v>
      </c>
      <c r="G11" s="78"/>
      <c r="H11" s="77">
        <f t="shared" si="0"/>
        <v>-33796.14</v>
      </c>
    </row>
    <row r="12" spans="1:8">
      <c r="A12" s="88">
        <v>45551</v>
      </c>
      <c r="B12" s="106" t="s">
        <v>73</v>
      </c>
      <c r="C12" s="106" t="s">
        <v>328</v>
      </c>
      <c r="E12" s="78">
        <v>-300</v>
      </c>
      <c r="F12" s="78"/>
      <c r="G12" s="78">
        <v>-76</v>
      </c>
      <c r="H12" s="77">
        <f t="shared" si="0"/>
        <v>-33872.14</v>
      </c>
    </row>
    <row r="13" spans="1:8">
      <c r="A13" s="88">
        <v>45551</v>
      </c>
      <c r="B13" s="106" t="s">
        <v>74</v>
      </c>
      <c r="C13" s="106" t="s">
        <v>328</v>
      </c>
      <c r="E13" s="78">
        <v>-100</v>
      </c>
      <c r="F13" s="78"/>
      <c r="G13" s="78">
        <v>-34</v>
      </c>
      <c r="H13" s="77">
        <f t="shared" si="0"/>
        <v>-33906.14</v>
      </c>
    </row>
    <row r="14" spans="1:8">
      <c r="A14" s="88">
        <v>45552</v>
      </c>
      <c r="B14" s="8" t="s">
        <v>435</v>
      </c>
      <c r="F14" s="78">
        <v>34000</v>
      </c>
      <c r="H14" s="77">
        <f t="shared" si="0"/>
        <v>93.860000000000582</v>
      </c>
    </row>
    <row r="15" spans="1:8">
      <c r="A15" s="88">
        <v>45550</v>
      </c>
      <c r="B15" s="82" t="s">
        <v>436</v>
      </c>
      <c r="F15" s="77">
        <v>30000</v>
      </c>
      <c r="H15" s="77">
        <f t="shared" si="0"/>
        <v>30093.86</v>
      </c>
    </row>
    <row r="16" spans="1:8">
      <c r="B16" t="s">
        <v>77</v>
      </c>
      <c r="E16" s="78">
        <v>-6500</v>
      </c>
      <c r="F16" s="78"/>
      <c r="G16" s="78">
        <v>-6500</v>
      </c>
      <c r="H16" s="77">
        <f t="shared" si="0"/>
        <v>23593.86</v>
      </c>
    </row>
    <row r="17" spans="1:8">
      <c r="B17" t="s">
        <v>78</v>
      </c>
      <c r="E17" s="78">
        <v>-6500</v>
      </c>
      <c r="F17" s="78"/>
      <c r="G17" s="78">
        <v>-6500</v>
      </c>
      <c r="H17" s="77">
        <f t="shared" si="0"/>
        <v>17093.86</v>
      </c>
    </row>
    <row r="18" spans="1:8">
      <c r="B18" t="s">
        <v>79</v>
      </c>
      <c r="E18" s="78">
        <v>-6500</v>
      </c>
      <c r="F18" s="78"/>
      <c r="G18" s="78">
        <v>-6500</v>
      </c>
      <c r="H18" s="77">
        <f t="shared" si="0"/>
        <v>10593.86</v>
      </c>
    </row>
    <row r="19" spans="1:8">
      <c r="B19" t="s">
        <v>76</v>
      </c>
      <c r="D19" s="78">
        <v>12984.15</v>
      </c>
      <c r="E19" s="78"/>
      <c r="F19" s="78">
        <v>13006.38</v>
      </c>
      <c r="H19" s="77">
        <f t="shared" si="0"/>
        <v>23600.239999999998</v>
      </c>
    </row>
    <row r="20" spans="1:8">
      <c r="A20" s="100"/>
      <c r="B20" s="101" t="s">
        <v>80</v>
      </c>
      <c r="C20" s="101"/>
      <c r="E20" s="78">
        <v>-400</v>
      </c>
      <c r="F20" s="78"/>
      <c r="G20" s="78">
        <v>-455</v>
      </c>
      <c r="H20" s="77">
        <f t="shared" si="0"/>
        <v>23145.239999999998</v>
      </c>
    </row>
    <row r="21" spans="1:8">
      <c r="A21" s="100">
        <v>45565</v>
      </c>
      <c r="B21" s="101" t="s">
        <v>81</v>
      </c>
      <c r="C21" s="101"/>
      <c r="E21" s="78">
        <v>-500</v>
      </c>
      <c r="F21" s="78"/>
      <c r="G21" s="78">
        <v>-805</v>
      </c>
      <c r="H21" s="77">
        <f t="shared" si="0"/>
        <v>22340.239999999998</v>
      </c>
    </row>
    <row r="22" spans="1:8">
      <c r="A22" s="88">
        <v>45564</v>
      </c>
      <c r="B22" s="8" t="s">
        <v>98</v>
      </c>
      <c r="C22" s="8" t="s">
        <v>437</v>
      </c>
      <c r="D22" s="78" t="s">
        <v>438</v>
      </c>
      <c r="E22" s="77">
        <v>-1398.6</v>
      </c>
      <c r="H22" s="77">
        <f t="shared" si="0"/>
        <v>22340.239999999998</v>
      </c>
    </row>
    <row r="23" spans="1:8">
      <c r="A23" s="88">
        <v>45564</v>
      </c>
      <c r="B23" s="82" t="s">
        <v>439</v>
      </c>
      <c r="D23" s="78"/>
      <c r="F23" s="77">
        <v>6000</v>
      </c>
      <c r="H23" s="77">
        <f t="shared" si="0"/>
        <v>28340.239999999998</v>
      </c>
    </row>
    <row r="24" spans="1:8">
      <c r="A24" s="88">
        <v>45565</v>
      </c>
      <c r="B24" s="8" t="s">
        <v>440</v>
      </c>
      <c r="G24" s="78">
        <v>-197.4</v>
      </c>
      <c r="H24" s="77">
        <f t="shared" si="0"/>
        <v>28142.839999999997</v>
      </c>
    </row>
    <row r="25" spans="1:8">
      <c r="B25" s="170" t="s">
        <v>441</v>
      </c>
      <c r="C25" s="170"/>
      <c r="D25" s="180">
        <v>8500</v>
      </c>
      <c r="H25" s="77">
        <f t="shared" si="0"/>
        <v>28142.839999999997</v>
      </c>
    </row>
    <row r="26" spans="1:8">
      <c r="A26" s="88">
        <v>45574</v>
      </c>
      <c r="B26" s="170" t="s">
        <v>390</v>
      </c>
      <c r="C26" s="170"/>
      <c r="D26" s="83">
        <v>15000</v>
      </c>
      <c r="H26" s="77">
        <f t="shared" si="0"/>
        <v>28142.839999999997</v>
      </c>
    </row>
    <row r="27" spans="1:8">
      <c r="B27" s="170" t="s">
        <v>399</v>
      </c>
      <c r="C27" s="170"/>
      <c r="D27" s="108"/>
      <c r="E27" s="108">
        <v>-10000</v>
      </c>
      <c r="H27" s="77">
        <f t="shared" si="0"/>
        <v>28142.839999999997</v>
      </c>
    </row>
    <row r="28" spans="1:8">
      <c r="B28" s="101" t="s">
        <v>75</v>
      </c>
      <c r="C28" s="101" t="s">
        <v>328</v>
      </c>
      <c r="E28" s="77">
        <v>-150</v>
      </c>
      <c r="H28" s="77">
        <f t="shared" si="0"/>
        <v>28142.839999999997</v>
      </c>
    </row>
    <row r="29" spans="1:8">
      <c r="A29" s="88">
        <v>45574</v>
      </c>
      <c r="B29" s="107" t="s">
        <v>442</v>
      </c>
      <c r="G29" s="78">
        <v>-10000</v>
      </c>
      <c r="H29" s="77">
        <f t="shared" si="0"/>
        <v>18142.839999999997</v>
      </c>
    </row>
    <row r="30" spans="1:8">
      <c r="B30" t="s">
        <v>443</v>
      </c>
      <c r="C30" s="171">
        <v>0.234011</v>
      </c>
      <c r="D30" s="77">
        <v>144000</v>
      </c>
      <c r="H30" s="77">
        <f t="shared" si="0"/>
        <v>18142.839999999997</v>
      </c>
    </row>
    <row r="31" spans="1:8">
      <c r="C31" s="171"/>
    </row>
    <row r="32" spans="1:8">
      <c r="B32" t="s">
        <v>330</v>
      </c>
    </row>
    <row r="33" spans="1:5">
      <c r="A33" s="103" t="s">
        <v>331</v>
      </c>
      <c r="B33" s="103"/>
      <c r="C33" s="103"/>
    </row>
    <row r="34" spans="1:5">
      <c r="A34" s="100"/>
      <c r="C34" s="171"/>
    </row>
    <row r="35" spans="1:5">
      <c r="A35" s="172">
        <v>44929</v>
      </c>
      <c r="B35" s="173" t="s">
        <v>332</v>
      </c>
      <c r="C35" s="103"/>
      <c r="D35" s="77">
        <f>SUM(D36:D41)</f>
        <v>0</v>
      </c>
      <c r="E35" s="77">
        <f>SUM(E36:E41)</f>
        <v>0</v>
      </c>
    </row>
    <row r="36" spans="1:5">
      <c r="A36" s="100"/>
      <c r="B36" s="106" t="s">
        <v>333</v>
      </c>
    </row>
    <row r="37" spans="1:5">
      <c r="B37" t="s">
        <v>334</v>
      </c>
    </row>
    <row r="38" spans="1:5">
      <c r="B38" t="s">
        <v>335</v>
      </c>
    </row>
    <row r="39" spans="1:5">
      <c r="B39" t="s">
        <v>336</v>
      </c>
    </row>
    <row r="40" spans="1:5">
      <c r="B40" t="s">
        <v>337</v>
      </c>
    </row>
    <row r="41" spans="1:5">
      <c r="B41" t="s">
        <v>338</v>
      </c>
      <c r="C41" s="106"/>
    </row>
    <row r="42" spans="1:5">
      <c r="C42" s="106"/>
    </row>
    <row r="44" spans="1:5">
      <c r="B44" s="17"/>
    </row>
    <row r="45" spans="1:5">
      <c r="B45" s="102"/>
    </row>
    <row r="46" spans="1:5">
      <c r="A46" s="103"/>
      <c r="B46" s="104" t="s">
        <v>83</v>
      </c>
      <c r="C46" s="103"/>
      <c r="E46" s="77">
        <f>SUM(E47:E58)</f>
        <v>-8037.9</v>
      </c>
    </row>
    <row r="48" spans="1:5">
      <c r="A48" s="88">
        <v>45348</v>
      </c>
      <c r="B48" s="8" t="s">
        <v>444</v>
      </c>
      <c r="C48">
        <v>1406</v>
      </c>
      <c r="D48" s="77" t="s">
        <v>445</v>
      </c>
      <c r="E48" s="77">
        <v>-234.35</v>
      </c>
    </row>
    <row r="49" spans="1:5">
      <c r="A49" s="88">
        <v>45373</v>
      </c>
      <c r="B49" s="8" t="s">
        <v>339</v>
      </c>
      <c r="C49">
        <v>10176.39</v>
      </c>
      <c r="D49" s="77" t="s">
        <v>446</v>
      </c>
      <c r="E49" s="77">
        <v>-1130.71</v>
      </c>
    </row>
    <row r="50" spans="1:5">
      <c r="A50" s="88">
        <v>45375</v>
      </c>
      <c r="B50" s="8" t="s">
        <v>341</v>
      </c>
      <c r="C50">
        <v>5999</v>
      </c>
      <c r="D50" s="77" t="s">
        <v>446</v>
      </c>
      <c r="E50" s="77">
        <v>-666.56</v>
      </c>
    </row>
    <row r="51" spans="1:5">
      <c r="A51" s="88">
        <v>45358</v>
      </c>
      <c r="B51" s="8" t="s">
        <v>447</v>
      </c>
      <c r="C51">
        <v>2273</v>
      </c>
      <c r="D51" s="77" t="s">
        <v>445</v>
      </c>
      <c r="E51" s="77">
        <v>-378.87</v>
      </c>
    </row>
    <row r="52" spans="1:5">
      <c r="A52" s="88">
        <v>45371</v>
      </c>
      <c r="B52" s="8" t="s">
        <v>448</v>
      </c>
      <c r="D52" s="77" t="s">
        <v>445</v>
      </c>
      <c r="E52" s="77">
        <v>101.79</v>
      </c>
    </row>
    <row r="53" spans="1:5">
      <c r="A53" s="100">
        <v>45456</v>
      </c>
      <c r="B53" s="107" t="s">
        <v>449</v>
      </c>
      <c r="C53" s="106"/>
      <c r="D53" s="77" t="s">
        <v>450</v>
      </c>
      <c r="E53" s="77">
        <v>-3923.34</v>
      </c>
    </row>
    <row r="54" spans="1:5">
      <c r="A54" s="100"/>
      <c r="B54" s="106"/>
      <c r="C54" s="106"/>
    </row>
    <row r="55" spans="1:5">
      <c r="A55" s="100"/>
      <c r="B55" s="107" t="s">
        <v>130</v>
      </c>
      <c r="C55" s="106">
        <v>8154.2</v>
      </c>
    </row>
    <row r="56" spans="1:5">
      <c r="A56" s="100"/>
      <c r="B56" s="107" t="s">
        <v>451</v>
      </c>
      <c r="C56" s="106"/>
      <c r="E56" s="77">
        <v>-1805.86</v>
      </c>
    </row>
    <row r="57" spans="1:5" ht="15">
      <c r="A57" s="100"/>
      <c r="B57" s="107"/>
      <c r="C57" s="105" t="s">
        <v>84</v>
      </c>
    </row>
    <row r="58" spans="1:5">
      <c r="A58" s="100"/>
      <c r="B58" s="107"/>
      <c r="C58" s="106"/>
    </row>
    <row r="59" spans="1:5">
      <c r="A59" s="100"/>
      <c r="B59" s="3"/>
    </row>
    <row r="60" spans="1:5">
      <c r="A60" s="100"/>
      <c r="B60" s="106"/>
      <c r="C60" s="106"/>
    </row>
    <row r="61" spans="1:5">
      <c r="A61" s="103"/>
      <c r="B61" s="104" t="s">
        <v>85</v>
      </c>
      <c r="C61" s="103"/>
      <c r="E61" s="77">
        <f>SUM(E62:E70)</f>
        <v>-21576.400000000001</v>
      </c>
    </row>
    <row r="62" spans="1:5">
      <c r="A62" s="100"/>
      <c r="B62" s="106"/>
      <c r="C62" s="106"/>
    </row>
    <row r="63" spans="1:5">
      <c r="A63" s="100"/>
      <c r="B63" s="106"/>
      <c r="C63" s="106"/>
      <c r="E63" s="77">
        <v>-21576.400000000001</v>
      </c>
    </row>
    <row r="64" spans="1:5" ht="15">
      <c r="A64" s="100"/>
      <c r="B64" s="3"/>
      <c r="C64" s="105" t="s">
        <v>84</v>
      </c>
    </row>
    <row r="65" spans="1:3">
      <c r="A65" s="100"/>
      <c r="B65" s="3"/>
      <c r="C65" s="106"/>
    </row>
    <row r="66" spans="1:3">
      <c r="A66" s="100"/>
      <c r="B66" s="3"/>
      <c r="C66" s="106"/>
    </row>
    <row r="67" spans="1:3">
      <c r="A67" s="100"/>
      <c r="B67" s="3"/>
      <c r="C67" s="106"/>
    </row>
    <row r="68" spans="1:3">
      <c r="A68" s="100"/>
      <c r="B68" s="3"/>
      <c r="C68" s="106"/>
    </row>
    <row r="69" spans="1:3">
      <c r="A69" s="100"/>
      <c r="B69" s="3"/>
      <c r="C69" s="106"/>
    </row>
    <row r="70" spans="1:3">
      <c r="A70" s="100"/>
      <c r="B70" s="3"/>
      <c r="C70" s="106"/>
    </row>
    <row r="71" spans="1:3">
      <c r="A71" s="100"/>
      <c r="B71" s="3"/>
      <c r="C71" s="106"/>
    </row>
    <row r="72" spans="1:3">
      <c r="A72" s="100"/>
      <c r="B72" s="3"/>
      <c r="C72" s="106"/>
    </row>
    <row r="73" spans="1:3">
      <c r="A73" s="100"/>
      <c r="B73" s="3"/>
      <c r="C73" s="106"/>
    </row>
    <row r="74" spans="1:3">
      <c r="A74" s="100"/>
      <c r="B74" s="3"/>
      <c r="C74" s="106"/>
    </row>
    <row r="75" spans="1:3">
      <c r="A75" s="100"/>
      <c r="B75" s="3"/>
      <c r="C75" s="106"/>
    </row>
    <row r="76" spans="1:3">
      <c r="A76" s="100"/>
      <c r="B76" s="3"/>
      <c r="C76" s="106"/>
    </row>
    <row r="77" spans="1:3">
      <c r="A77" s="100"/>
      <c r="B77" s="3"/>
      <c r="C77" s="106"/>
    </row>
    <row r="78" spans="1:3">
      <c r="A78" s="100"/>
      <c r="B78" s="3"/>
      <c r="C78" s="106"/>
    </row>
    <row r="79" spans="1:3">
      <c r="A79" s="100"/>
      <c r="B79" s="3"/>
      <c r="C79" s="106"/>
    </row>
    <row r="80" spans="1:3">
      <c r="A80" s="100"/>
      <c r="B80" s="3"/>
      <c r="C80" s="106"/>
    </row>
    <row r="81" spans="1:3">
      <c r="A81" s="100"/>
      <c r="B81" s="3"/>
      <c r="C81" s="106"/>
    </row>
    <row r="82" spans="1:3">
      <c r="A82" s="100"/>
      <c r="B82" s="3"/>
      <c r="C82" s="106"/>
    </row>
    <row r="83" spans="1:3">
      <c r="A83" s="100"/>
      <c r="B83" s="3"/>
      <c r="C83" s="106"/>
    </row>
    <row r="84" spans="1:3">
      <c r="A84" s="100"/>
      <c r="B84" s="3"/>
      <c r="C84" s="106"/>
    </row>
    <row r="85" spans="1:3">
      <c r="A85" s="100"/>
      <c r="B85" s="3"/>
      <c r="C85" s="106"/>
    </row>
    <row r="86" spans="1:3">
      <c r="A86" s="100"/>
      <c r="B86" s="3"/>
      <c r="C86" s="106"/>
    </row>
    <row r="87" spans="1:3">
      <c r="A87" s="100"/>
      <c r="B87" s="3"/>
      <c r="C87" s="106"/>
    </row>
    <row r="88" spans="1:3">
      <c r="A88" s="100"/>
      <c r="B88" s="3"/>
      <c r="C88" s="106"/>
    </row>
    <row r="89" spans="1:3">
      <c r="A89" s="100"/>
      <c r="B89" s="3"/>
      <c r="C89" s="106"/>
    </row>
    <row r="90" spans="1:3">
      <c r="A90" s="100"/>
      <c r="B90" s="3"/>
      <c r="C90" s="106"/>
    </row>
    <row r="91" spans="1:3">
      <c r="A91" s="100"/>
      <c r="B91" s="3"/>
      <c r="C91" s="106"/>
    </row>
    <row r="92" spans="1:3">
      <c r="A92" s="100"/>
      <c r="B92" s="3"/>
      <c r="C92" s="106"/>
    </row>
    <row r="101" spans="1:5">
      <c r="A101" s="113" t="s">
        <v>452</v>
      </c>
      <c r="B101" s="104" t="s">
        <v>137</v>
      </c>
      <c r="C101" s="103">
        <v>2024</v>
      </c>
      <c r="D101" s="158"/>
      <c r="E101" s="159">
        <f>SUM(E102:E123)</f>
        <v>749196.59931999992</v>
      </c>
    </row>
    <row r="102" spans="1:5">
      <c r="A102" s="160">
        <v>45534</v>
      </c>
      <c r="B102" s="8" t="s">
        <v>77</v>
      </c>
      <c r="C102" s="2"/>
      <c r="D102" s="2"/>
      <c r="E102" s="2">
        <v>0</v>
      </c>
    </row>
    <row r="103" spans="1:5">
      <c r="A103" s="160">
        <f>A102</f>
        <v>45534</v>
      </c>
      <c r="B103" s="8" t="s">
        <v>383</v>
      </c>
      <c r="C103" s="2"/>
      <c r="D103" s="2"/>
      <c r="E103" s="2">
        <v>0</v>
      </c>
    </row>
    <row r="104" spans="1:5">
      <c r="A104" s="160"/>
      <c r="B104" s="8" t="s">
        <v>453</v>
      </c>
      <c r="C104" s="2"/>
      <c r="D104" s="2"/>
      <c r="E104" s="2">
        <v>407100</v>
      </c>
    </row>
    <row r="105" spans="1:5">
      <c r="A105" s="160">
        <f>A103</f>
        <v>45534</v>
      </c>
      <c r="B105" s="8" t="s">
        <v>140</v>
      </c>
      <c r="C105" s="2"/>
      <c r="D105" s="2"/>
      <c r="E105" s="17">
        <v>5105.2299999999996</v>
      </c>
    </row>
    <row r="106" spans="1:5">
      <c r="A106" s="160">
        <f>A103</f>
        <v>45534</v>
      </c>
      <c r="B106" s="8" t="s">
        <v>142</v>
      </c>
      <c r="C106" s="2">
        <v>40</v>
      </c>
      <c r="D106" s="174">
        <v>732.60648300000003</v>
      </c>
      <c r="E106" s="17">
        <f t="shared" ref="E106:E118" si="1">D106*C106</f>
        <v>29304.259320000001</v>
      </c>
    </row>
    <row r="107" spans="1:5">
      <c r="A107" s="160">
        <f>A112</f>
        <v>45534</v>
      </c>
      <c r="B107" s="8" t="s">
        <v>385</v>
      </c>
      <c r="C107" s="2">
        <v>28.5</v>
      </c>
      <c r="D107" s="2">
        <v>4000</v>
      </c>
      <c r="E107" s="17">
        <f t="shared" si="1"/>
        <v>114000</v>
      </c>
    </row>
    <row r="108" spans="1:5">
      <c r="A108" s="160">
        <f>A105</f>
        <v>45534</v>
      </c>
      <c r="B108" s="8" t="s">
        <v>144</v>
      </c>
      <c r="C108" s="175">
        <v>125000</v>
      </c>
      <c r="D108" s="174">
        <v>0.77971599999999996</v>
      </c>
      <c r="E108" s="17">
        <f t="shared" si="1"/>
        <v>97464.5</v>
      </c>
    </row>
    <row r="109" spans="1:5">
      <c r="A109" s="160">
        <f>A106</f>
        <v>45534</v>
      </c>
      <c r="B109" s="8" t="s">
        <v>145</v>
      </c>
      <c r="C109" s="2">
        <v>10</v>
      </c>
      <c r="D109" s="2">
        <v>103.7</v>
      </c>
      <c r="E109" s="17">
        <f t="shared" si="1"/>
        <v>1037</v>
      </c>
    </row>
    <row r="110" spans="1:5">
      <c r="A110" s="160">
        <f>A109</f>
        <v>45534</v>
      </c>
      <c r="B110" s="8" t="s">
        <v>146</v>
      </c>
      <c r="C110" s="2">
        <v>38</v>
      </c>
      <c r="D110" s="2">
        <v>21.42</v>
      </c>
      <c r="E110" s="17">
        <f t="shared" si="1"/>
        <v>813.96</v>
      </c>
    </row>
    <row r="111" spans="1:5">
      <c r="A111" s="160">
        <f>A110</f>
        <v>45534</v>
      </c>
      <c r="B111" s="8" t="s">
        <v>147</v>
      </c>
      <c r="C111" s="2">
        <v>26</v>
      </c>
      <c r="D111" s="2">
        <v>25.92</v>
      </c>
      <c r="E111" s="17">
        <f t="shared" si="1"/>
        <v>673.92000000000007</v>
      </c>
    </row>
    <row r="112" spans="1:5">
      <c r="A112" s="160">
        <f>A111</f>
        <v>45534</v>
      </c>
      <c r="B112" s="8" t="s">
        <v>141</v>
      </c>
      <c r="C112" s="2"/>
      <c r="D112" s="2"/>
      <c r="E112" s="17">
        <f t="shared" si="1"/>
        <v>0</v>
      </c>
    </row>
    <row r="113" spans="1:5">
      <c r="E113" s="17">
        <f t="shared" si="1"/>
        <v>0</v>
      </c>
    </row>
    <row r="114" spans="1:5">
      <c r="A114" s="160">
        <f>A107</f>
        <v>45534</v>
      </c>
      <c r="C114" s="2"/>
      <c r="D114" s="2"/>
      <c r="E114" s="17">
        <f t="shared" si="1"/>
        <v>0</v>
      </c>
    </row>
    <row r="115" spans="1:5">
      <c r="A115" s="160">
        <f>A114</f>
        <v>45534</v>
      </c>
      <c r="C115" s="2"/>
      <c r="D115" s="2"/>
      <c r="E115" s="17">
        <f t="shared" si="1"/>
        <v>0</v>
      </c>
    </row>
    <row r="116" spans="1:5">
      <c r="A116" s="160">
        <f>A115</f>
        <v>45534</v>
      </c>
      <c r="B116" s="8" t="s">
        <v>350</v>
      </c>
      <c r="C116" s="2">
        <v>2697.73</v>
      </c>
      <c r="D116" s="2">
        <v>1</v>
      </c>
      <c r="E116" s="17">
        <f t="shared" si="1"/>
        <v>2697.73</v>
      </c>
    </row>
    <row r="117" spans="1:5">
      <c r="A117" s="160">
        <f>A116</f>
        <v>45534</v>
      </c>
      <c r="B117" s="8" t="s">
        <v>149</v>
      </c>
      <c r="C117" s="2">
        <v>4500</v>
      </c>
      <c r="D117" s="2">
        <v>16</v>
      </c>
      <c r="E117" s="17">
        <f t="shared" si="1"/>
        <v>72000</v>
      </c>
    </row>
    <row r="118" spans="1:5">
      <c r="A118" s="160">
        <f>A117</f>
        <v>45534</v>
      </c>
      <c r="B118" s="8" t="s">
        <v>150</v>
      </c>
      <c r="C118" s="2">
        <v>18000</v>
      </c>
      <c r="D118" s="2">
        <v>1</v>
      </c>
      <c r="E118" s="17">
        <f t="shared" si="1"/>
        <v>18000</v>
      </c>
    </row>
    <row r="119" spans="1:5">
      <c r="A119" s="160">
        <f>A118</f>
        <v>45534</v>
      </c>
      <c r="C119" s="2"/>
      <c r="D119" s="2"/>
      <c r="E119" s="17"/>
    </row>
    <row r="120" spans="1:5">
      <c r="A120" s="160">
        <f>A116</f>
        <v>45534</v>
      </c>
      <c r="B120" s="8" t="s">
        <v>151</v>
      </c>
      <c r="C120" s="120">
        <v>33.250599999999999</v>
      </c>
      <c r="D120" s="2"/>
      <c r="E120" s="17"/>
    </row>
    <row r="121" spans="1:5">
      <c r="A121" s="160">
        <f>A120</f>
        <v>45534</v>
      </c>
      <c r="B121" s="8" t="s">
        <v>152</v>
      </c>
      <c r="C121" s="120">
        <v>36.854999999999997</v>
      </c>
      <c r="D121" s="2"/>
      <c r="E121" s="17"/>
    </row>
    <row r="122" spans="1:5">
      <c r="A122" s="160">
        <f>A121</f>
        <v>45534</v>
      </c>
      <c r="B122" s="8" t="s">
        <v>153</v>
      </c>
      <c r="C122" s="2"/>
      <c r="D122" s="2"/>
      <c r="E122" s="17">
        <v>0</v>
      </c>
    </row>
    <row r="123" spans="1:5">
      <c r="A123" s="160">
        <f>A122</f>
        <v>45534</v>
      </c>
      <c r="B123" s="8" t="s">
        <v>154</v>
      </c>
      <c r="C123" s="2"/>
      <c r="D123" s="2"/>
      <c r="E123" s="17">
        <v>1000</v>
      </c>
    </row>
    <row r="124" spans="1:5">
      <c r="E124" s="176"/>
    </row>
    <row r="125" spans="1:5">
      <c r="C125" s="124"/>
      <c r="D125" s="3"/>
      <c r="E125" s="124"/>
    </row>
    <row r="126" spans="1:5">
      <c r="C126" s="124"/>
      <c r="D126" s="18" t="s">
        <v>156</v>
      </c>
      <c r="E126" s="9">
        <f>SUM(E102:E123)</f>
        <v>749196.59931999992</v>
      </c>
    </row>
    <row r="127" spans="1:5">
      <c r="C127" s="125" t="str">
        <f>A101</f>
        <v>EYLÜLe</v>
      </c>
      <c r="D127" s="126" t="s">
        <v>157</v>
      </c>
      <c r="E127" s="127">
        <f>H2</f>
        <v>28142.840000000011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E2F0D9"/>
  </sheetPr>
  <dimension ref="A1:H150"/>
  <sheetViews>
    <sheetView topLeftCell="A29" zoomScale="145" zoomScaleNormal="145" workbookViewId="0">
      <selection activeCell="E125" sqref="E125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454</v>
      </c>
      <c r="C2" s="79" t="s">
        <v>67</v>
      </c>
      <c r="D2" s="77">
        <f>SUM(D4:D46)</f>
        <v>195484.15</v>
      </c>
      <c r="E2" s="77">
        <f>SUM(E4:E46)</f>
        <v>-88440.670000000013</v>
      </c>
      <c r="F2" s="77">
        <f>SUM(F4:F47)</f>
        <v>28006.379999999997</v>
      </c>
      <c r="G2" s="77">
        <f>SUM(G4:G47)</f>
        <v>-88381.87</v>
      </c>
      <c r="H2" s="77">
        <f>F2+G2</f>
        <v>-60375.49</v>
      </c>
    </row>
    <row r="3" spans="1:8">
      <c r="B3" s="35"/>
      <c r="D3" s="78"/>
      <c r="E3" s="78"/>
      <c r="F3" s="78"/>
      <c r="G3" s="78"/>
      <c r="H3" s="78"/>
    </row>
    <row r="4" spans="1:8">
      <c r="A4" s="88">
        <v>45500</v>
      </c>
      <c r="B4" s="41" t="s">
        <v>430</v>
      </c>
      <c r="C4" s="8" t="s">
        <v>455</v>
      </c>
      <c r="D4" s="78"/>
      <c r="E4" s="78">
        <v>-152</v>
      </c>
      <c r="F4" s="78"/>
      <c r="G4" s="78">
        <v>-166.9</v>
      </c>
      <c r="H4" s="78">
        <f t="shared" ref="H4:H47" si="0">H3+F4+G4</f>
        <v>-166.9</v>
      </c>
    </row>
    <row r="5" spans="1:8">
      <c r="B5" s="101" t="s">
        <v>456</v>
      </c>
      <c r="C5" s="101" t="s">
        <v>357</v>
      </c>
      <c r="D5" s="78"/>
      <c r="E5" s="78">
        <v>-250</v>
      </c>
      <c r="F5" s="78"/>
      <c r="G5" s="78"/>
      <c r="H5" s="78">
        <f t="shared" si="0"/>
        <v>-166.9</v>
      </c>
    </row>
    <row r="6" spans="1:8">
      <c r="A6" s="88">
        <v>45509</v>
      </c>
      <c r="B6" s="101" t="s">
        <v>70</v>
      </c>
      <c r="C6" s="101"/>
      <c r="D6" s="78"/>
      <c r="E6" s="78">
        <v>-1500</v>
      </c>
      <c r="F6" s="78"/>
      <c r="G6" s="78">
        <v>-1532.3</v>
      </c>
      <c r="H6" s="78">
        <f t="shared" si="0"/>
        <v>-1699.2</v>
      </c>
    </row>
    <row r="7" spans="1:8">
      <c r="A7" s="88">
        <v>45509</v>
      </c>
      <c r="B7" s="177" t="s">
        <v>68</v>
      </c>
      <c r="D7" s="78"/>
      <c r="E7" s="78">
        <f>E63</f>
        <v>-8154.2</v>
      </c>
      <c r="F7" s="78"/>
      <c r="G7" s="78">
        <v>-8154.2</v>
      </c>
      <c r="H7" s="78">
        <f t="shared" si="0"/>
        <v>-9853.4</v>
      </c>
    </row>
    <row r="8" spans="1:8">
      <c r="A8" s="165">
        <v>45509</v>
      </c>
      <c r="B8" s="177" t="s">
        <v>69</v>
      </c>
      <c r="D8" s="78"/>
      <c r="E8" s="78">
        <f>E78</f>
        <v>-21980.090000000004</v>
      </c>
      <c r="F8" s="78"/>
      <c r="G8" s="78">
        <v>-21980.09</v>
      </c>
      <c r="H8" s="78">
        <f t="shared" si="0"/>
        <v>-31833.489999999998</v>
      </c>
    </row>
    <row r="9" spans="1:8">
      <c r="A9" s="165"/>
      <c r="B9" s="177" t="s">
        <v>457</v>
      </c>
      <c r="D9" s="78"/>
      <c r="E9" s="78"/>
      <c r="F9" s="78"/>
      <c r="G9" s="78">
        <v>-10000</v>
      </c>
      <c r="H9" s="78">
        <f t="shared" si="0"/>
        <v>-41833.49</v>
      </c>
    </row>
    <row r="10" spans="1:8">
      <c r="A10" s="165"/>
      <c r="B10" s="81"/>
      <c r="D10" s="78"/>
      <c r="E10" s="78"/>
      <c r="F10" s="78"/>
      <c r="G10" s="78"/>
      <c r="H10" s="78">
        <f t="shared" si="0"/>
        <v>-41833.49</v>
      </c>
    </row>
    <row r="11" spans="1:8">
      <c r="A11" s="165">
        <v>45510</v>
      </c>
      <c r="B11" s="8" t="s">
        <v>458</v>
      </c>
      <c r="D11" s="78">
        <v>15000</v>
      </c>
      <c r="E11" s="78"/>
      <c r="F11" s="78">
        <v>15000</v>
      </c>
      <c r="G11" s="78"/>
      <c r="H11" s="78">
        <f t="shared" si="0"/>
        <v>-26833.489999999998</v>
      </c>
    </row>
    <row r="12" spans="1:8">
      <c r="A12" s="100">
        <v>45511</v>
      </c>
      <c r="B12" s="101" t="s">
        <v>459</v>
      </c>
      <c r="C12" s="101"/>
      <c r="D12" s="78"/>
      <c r="E12" s="78">
        <v>-17500</v>
      </c>
      <c r="F12" s="78"/>
      <c r="G12" s="78">
        <v>-17500</v>
      </c>
      <c r="H12" s="78">
        <f t="shared" si="0"/>
        <v>-44333.49</v>
      </c>
    </row>
    <row r="13" spans="1:8">
      <c r="A13" s="100"/>
      <c r="B13" s="178" t="s">
        <v>72</v>
      </c>
      <c r="E13" s="77">
        <f>E58*-1</f>
        <v>0</v>
      </c>
      <c r="G13" s="77">
        <v>-50</v>
      </c>
      <c r="H13" s="78">
        <f t="shared" si="0"/>
        <v>-44383.49</v>
      </c>
    </row>
    <row r="14" spans="1:8">
      <c r="A14" s="100">
        <v>45519</v>
      </c>
      <c r="B14" s="166" t="s">
        <v>460</v>
      </c>
      <c r="C14" s="101"/>
      <c r="D14" s="78"/>
      <c r="E14" s="78"/>
      <c r="F14" s="78"/>
      <c r="G14" s="78"/>
      <c r="H14" s="78">
        <f t="shared" si="0"/>
        <v>-44383.49</v>
      </c>
    </row>
    <row r="15" spans="1:8">
      <c r="A15" s="100">
        <v>45520</v>
      </c>
      <c r="B15" s="101" t="s">
        <v>461</v>
      </c>
      <c r="C15" s="101"/>
      <c r="D15" s="78"/>
      <c r="E15" s="78"/>
      <c r="F15" s="78"/>
      <c r="G15" s="78">
        <v>-95</v>
      </c>
      <c r="H15" s="78">
        <f t="shared" si="0"/>
        <v>-44478.49</v>
      </c>
    </row>
    <row r="16" spans="1:8">
      <c r="A16" s="88">
        <v>45523</v>
      </c>
      <c r="B16" s="106" t="s">
        <v>73</v>
      </c>
      <c r="C16" s="106" t="s">
        <v>328</v>
      </c>
      <c r="D16" s="78"/>
      <c r="E16" s="78">
        <v>-300</v>
      </c>
      <c r="F16" s="78"/>
      <c r="G16" s="78">
        <v>-56</v>
      </c>
      <c r="H16" s="78">
        <f t="shared" si="0"/>
        <v>-44534.49</v>
      </c>
    </row>
    <row r="17" spans="1:8">
      <c r="A17" s="88">
        <v>45523</v>
      </c>
      <c r="B17" s="106" t="s">
        <v>74</v>
      </c>
      <c r="C17" s="106" t="s">
        <v>328</v>
      </c>
      <c r="D17" s="78"/>
      <c r="E17" s="78">
        <v>-100</v>
      </c>
      <c r="F17" s="78"/>
      <c r="G17" s="78">
        <v>-28</v>
      </c>
      <c r="H17" s="78">
        <f t="shared" si="0"/>
        <v>-44562.49</v>
      </c>
    </row>
    <row r="18" spans="1:8">
      <c r="A18" s="88">
        <v>45533</v>
      </c>
      <c r="B18" s="101" t="s">
        <v>80</v>
      </c>
      <c r="C18" s="101"/>
      <c r="D18" s="78"/>
      <c r="E18" s="78">
        <v>-400</v>
      </c>
      <c r="F18" s="78"/>
      <c r="G18" s="78">
        <v>-500</v>
      </c>
      <c r="H18" s="78">
        <f t="shared" si="0"/>
        <v>-45062.49</v>
      </c>
    </row>
    <row r="19" spans="1:8">
      <c r="A19" s="88">
        <v>45533</v>
      </c>
      <c r="B19" s="101" t="s">
        <v>81</v>
      </c>
      <c r="C19" s="101"/>
      <c r="D19" s="78"/>
      <c r="E19" s="78">
        <v>-500</v>
      </c>
      <c r="F19" s="78"/>
      <c r="G19" s="78">
        <v>-865</v>
      </c>
      <c r="H19" s="78">
        <f t="shared" si="0"/>
        <v>-45927.49</v>
      </c>
    </row>
    <row r="20" spans="1:8">
      <c r="B20" t="s">
        <v>77</v>
      </c>
      <c r="D20" s="78"/>
      <c r="E20" s="78"/>
      <c r="F20" s="78"/>
      <c r="G20" s="78"/>
      <c r="H20" s="78">
        <f t="shared" si="0"/>
        <v>-45927.49</v>
      </c>
    </row>
    <row r="21" spans="1:8">
      <c r="B21" t="s">
        <v>77</v>
      </c>
      <c r="D21" s="78"/>
      <c r="E21" s="78">
        <v>-6500</v>
      </c>
      <c r="F21" s="78"/>
      <c r="G21" s="78">
        <v>-6500</v>
      </c>
      <c r="H21" s="78">
        <f t="shared" si="0"/>
        <v>-52427.49</v>
      </c>
    </row>
    <row r="22" spans="1:8">
      <c r="B22" t="s">
        <v>78</v>
      </c>
      <c r="D22" s="78"/>
      <c r="E22" s="78">
        <v>-6500</v>
      </c>
      <c r="F22" s="78"/>
      <c r="G22" s="78">
        <v>-6500</v>
      </c>
      <c r="H22" s="78">
        <f t="shared" si="0"/>
        <v>-58927.49</v>
      </c>
    </row>
    <row r="23" spans="1:8">
      <c r="B23" t="s">
        <v>79</v>
      </c>
      <c r="D23" s="78"/>
      <c r="E23" s="78">
        <v>-6500</v>
      </c>
      <c r="F23" s="78"/>
      <c r="G23" s="78">
        <v>-6500</v>
      </c>
      <c r="H23" s="78">
        <f t="shared" si="0"/>
        <v>-65427.49</v>
      </c>
    </row>
    <row r="24" spans="1:8">
      <c r="H24" s="78">
        <f t="shared" si="0"/>
        <v>-65427.49</v>
      </c>
    </row>
    <row r="25" spans="1:8">
      <c r="A25" s="100"/>
      <c r="B25" s="8" t="s">
        <v>76</v>
      </c>
      <c r="D25" s="77">
        <v>12984.15</v>
      </c>
      <c r="F25" s="77">
        <v>13006.38</v>
      </c>
      <c r="H25" s="78">
        <f t="shared" si="0"/>
        <v>-52421.11</v>
      </c>
    </row>
    <row r="26" spans="1:8">
      <c r="A26" s="100"/>
      <c r="H26" s="78">
        <f t="shared" si="0"/>
        <v>-52421.11</v>
      </c>
    </row>
    <row r="27" spans="1:8">
      <c r="H27" s="78">
        <f t="shared" si="0"/>
        <v>-52421.11</v>
      </c>
    </row>
    <row r="28" spans="1:8">
      <c r="A28" s="88">
        <v>45531</v>
      </c>
      <c r="B28" s="8" t="s">
        <v>462</v>
      </c>
      <c r="C28" s="171"/>
      <c r="D28" s="77" t="s">
        <v>463</v>
      </c>
      <c r="E28" s="78">
        <v>-750</v>
      </c>
      <c r="F28" s="78"/>
      <c r="G28" s="78">
        <f t="shared" ref="G28:G33" si="1">E28</f>
        <v>-750</v>
      </c>
      <c r="H28" s="78">
        <f t="shared" si="0"/>
        <v>-53171.11</v>
      </c>
    </row>
    <row r="29" spans="1:8">
      <c r="A29" s="88">
        <v>45531</v>
      </c>
      <c r="B29" s="8" t="s">
        <v>464</v>
      </c>
      <c r="C29" s="171"/>
      <c r="D29" s="77" t="s">
        <v>463</v>
      </c>
      <c r="E29" s="78">
        <v>-2137.5</v>
      </c>
      <c r="F29" s="78"/>
      <c r="G29" s="78">
        <f t="shared" si="1"/>
        <v>-2137.5</v>
      </c>
      <c r="H29" s="78">
        <f t="shared" si="0"/>
        <v>-55308.61</v>
      </c>
    </row>
    <row r="30" spans="1:8">
      <c r="A30" s="88">
        <v>45531</v>
      </c>
      <c r="B30" s="8" t="s">
        <v>465</v>
      </c>
      <c r="C30" s="171"/>
      <c r="D30" s="77" t="s">
        <v>463</v>
      </c>
      <c r="E30" s="78">
        <v>-925</v>
      </c>
      <c r="F30" s="78"/>
      <c r="G30" s="78">
        <f t="shared" si="1"/>
        <v>-925</v>
      </c>
      <c r="H30" s="78">
        <f t="shared" si="0"/>
        <v>-56233.61</v>
      </c>
    </row>
    <row r="31" spans="1:8">
      <c r="A31" s="88">
        <v>45531</v>
      </c>
      <c r="B31" s="8" t="s">
        <v>466</v>
      </c>
      <c r="C31" s="171"/>
      <c r="D31" s="77" t="s">
        <v>463</v>
      </c>
      <c r="E31" s="78">
        <v>-625</v>
      </c>
      <c r="F31" s="78"/>
      <c r="G31" s="78">
        <f t="shared" si="1"/>
        <v>-625</v>
      </c>
      <c r="H31" s="78">
        <f t="shared" si="0"/>
        <v>-56858.61</v>
      </c>
    </row>
    <row r="32" spans="1:8">
      <c r="A32" s="88">
        <v>45531</v>
      </c>
      <c r="B32" s="8" t="s">
        <v>467</v>
      </c>
      <c r="C32" s="171"/>
      <c r="D32" s="77" t="s">
        <v>463</v>
      </c>
      <c r="E32" s="78">
        <v>-1075</v>
      </c>
      <c r="F32" s="78"/>
      <c r="G32" s="78">
        <f t="shared" si="1"/>
        <v>-1075</v>
      </c>
      <c r="H32" s="78">
        <f t="shared" si="0"/>
        <v>-57933.61</v>
      </c>
    </row>
    <row r="33" spans="1:8">
      <c r="A33" s="88">
        <v>45531</v>
      </c>
      <c r="B33" s="8" t="s">
        <v>468</v>
      </c>
      <c r="C33" s="171"/>
      <c r="D33" s="77" t="s">
        <v>463</v>
      </c>
      <c r="E33" s="78">
        <v>-1825</v>
      </c>
      <c r="F33" s="78"/>
      <c r="G33" s="78">
        <f t="shared" si="1"/>
        <v>-1825</v>
      </c>
      <c r="H33" s="78">
        <f t="shared" si="0"/>
        <v>-59758.61</v>
      </c>
    </row>
    <row r="34" spans="1:8">
      <c r="A34" s="88"/>
      <c r="C34" s="171"/>
      <c r="E34" s="78"/>
      <c r="F34" s="78"/>
      <c r="G34" s="78"/>
      <c r="H34" s="78">
        <f t="shared" si="0"/>
        <v>-59758.61</v>
      </c>
    </row>
    <row r="35" spans="1:8">
      <c r="A35" s="88">
        <v>45531</v>
      </c>
      <c r="B35" s="8" t="s">
        <v>469</v>
      </c>
      <c r="C35" s="77" t="s">
        <v>463</v>
      </c>
      <c r="D35" s="78" t="s">
        <v>470</v>
      </c>
      <c r="E35" s="78">
        <v>-136.08000000000001</v>
      </c>
      <c r="F35" s="78"/>
      <c r="G35" s="78">
        <v>-136.08000000000001</v>
      </c>
      <c r="H35" s="78">
        <f t="shared" si="0"/>
        <v>-59894.69</v>
      </c>
    </row>
    <row r="36" spans="1:8">
      <c r="A36" s="88">
        <v>45531</v>
      </c>
      <c r="B36" s="8" t="s">
        <v>471</v>
      </c>
      <c r="C36" s="77" t="s">
        <v>463</v>
      </c>
      <c r="D36" s="78" t="s">
        <v>470</v>
      </c>
      <c r="E36" s="78">
        <v>-258.61</v>
      </c>
      <c r="F36" s="78"/>
      <c r="G36" s="78">
        <v>-258.61</v>
      </c>
      <c r="H36" s="78">
        <f t="shared" si="0"/>
        <v>-60153.3</v>
      </c>
    </row>
    <row r="37" spans="1:8">
      <c r="A37" s="88">
        <v>45531</v>
      </c>
      <c r="B37" s="8" t="s">
        <v>472</v>
      </c>
      <c r="C37" s="77" t="s">
        <v>463</v>
      </c>
      <c r="D37" s="78" t="s">
        <v>470</v>
      </c>
      <c r="E37" s="78">
        <v>-119.07</v>
      </c>
      <c r="F37" s="78"/>
      <c r="G37" s="78">
        <v>-119.07</v>
      </c>
      <c r="H37" s="78">
        <f t="shared" si="0"/>
        <v>-60272.37</v>
      </c>
    </row>
    <row r="38" spans="1:8">
      <c r="A38" s="88">
        <v>45531</v>
      </c>
      <c r="B38" s="8" t="s">
        <v>473</v>
      </c>
      <c r="C38" s="77" t="s">
        <v>463</v>
      </c>
      <c r="D38" s="78" t="s">
        <v>470</v>
      </c>
      <c r="E38" s="78">
        <v>-103.12</v>
      </c>
      <c r="F38" s="78"/>
      <c r="G38" s="78">
        <v>-103.12</v>
      </c>
      <c r="H38" s="78">
        <f t="shared" si="0"/>
        <v>-60375.490000000005</v>
      </c>
    </row>
    <row r="39" spans="1:8">
      <c r="C39" s="171"/>
      <c r="H39" s="78">
        <f t="shared" si="0"/>
        <v>-60375.490000000005</v>
      </c>
    </row>
    <row r="40" spans="1:8">
      <c r="A40" s="88">
        <v>45535</v>
      </c>
      <c r="B40" s="166" t="s">
        <v>474</v>
      </c>
      <c r="C40" s="171"/>
      <c r="H40" s="78">
        <f t="shared" si="0"/>
        <v>-60375.490000000005</v>
      </c>
    </row>
    <row r="41" spans="1:8">
      <c r="H41" s="78">
        <f t="shared" si="0"/>
        <v>-60375.490000000005</v>
      </c>
    </row>
    <row r="42" spans="1:8">
      <c r="B42" s="170" t="s">
        <v>433</v>
      </c>
      <c r="C42" s="170"/>
      <c r="D42" s="83">
        <v>15000</v>
      </c>
      <c r="H42" s="78">
        <f t="shared" si="0"/>
        <v>-60375.490000000005</v>
      </c>
    </row>
    <row r="43" spans="1:8">
      <c r="B43" s="170" t="s">
        <v>441</v>
      </c>
      <c r="C43" s="170"/>
      <c r="D43" s="180">
        <v>8500</v>
      </c>
      <c r="H43" s="78">
        <f t="shared" si="0"/>
        <v>-60375.490000000005</v>
      </c>
    </row>
    <row r="44" spans="1:8">
      <c r="B44" s="170" t="s">
        <v>399</v>
      </c>
      <c r="C44" s="170"/>
      <c r="D44" s="108"/>
      <c r="E44" s="108">
        <v>-10000</v>
      </c>
      <c r="H44" s="78">
        <f t="shared" si="0"/>
        <v>-60375.490000000005</v>
      </c>
    </row>
    <row r="45" spans="1:8">
      <c r="B45" t="s">
        <v>475</v>
      </c>
      <c r="C45" s="171">
        <v>0.234011</v>
      </c>
      <c r="D45" s="77">
        <v>144000</v>
      </c>
      <c r="H45" s="78">
        <f t="shared" si="0"/>
        <v>-60375.490000000005</v>
      </c>
    </row>
    <row r="46" spans="1:8">
      <c r="B46" s="101" t="s">
        <v>75</v>
      </c>
      <c r="C46" s="101" t="s">
        <v>328</v>
      </c>
      <c r="E46" s="77">
        <v>-150</v>
      </c>
      <c r="H46" s="78">
        <f t="shared" si="0"/>
        <v>-60375.490000000005</v>
      </c>
    </row>
    <row r="47" spans="1:8">
      <c r="H47" s="78">
        <f t="shared" si="0"/>
        <v>-60375.490000000005</v>
      </c>
    </row>
    <row r="49" spans="1:5">
      <c r="B49" t="s">
        <v>330</v>
      </c>
    </row>
    <row r="50" spans="1:5">
      <c r="A50" s="103" t="s">
        <v>331</v>
      </c>
      <c r="B50" s="103"/>
      <c r="C50" s="103"/>
    </row>
    <row r="51" spans="1:5">
      <c r="A51" s="100"/>
      <c r="C51" s="171"/>
    </row>
    <row r="52" spans="1:5">
      <c r="A52" s="172">
        <v>44929</v>
      </c>
      <c r="B52" s="173" t="s">
        <v>332</v>
      </c>
      <c r="C52" s="103"/>
      <c r="D52" s="77">
        <f>SUM(D53:D58)</f>
        <v>0</v>
      </c>
      <c r="E52" s="77">
        <f>SUM(E53:E58)</f>
        <v>0</v>
      </c>
    </row>
    <row r="53" spans="1:5">
      <c r="A53" s="100"/>
      <c r="B53" s="106" t="s">
        <v>333</v>
      </c>
    </row>
    <row r="54" spans="1:5">
      <c r="B54" t="s">
        <v>334</v>
      </c>
    </row>
    <row r="55" spans="1:5">
      <c r="B55" t="s">
        <v>335</v>
      </c>
    </row>
    <row r="56" spans="1:5">
      <c r="B56" t="s">
        <v>336</v>
      </c>
    </row>
    <row r="57" spans="1:5">
      <c r="B57" t="s">
        <v>337</v>
      </c>
    </row>
    <row r="58" spans="1:5">
      <c r="B58" t="s">
        <v>338</v>
      </c>
      <c r="C58" s="106"/>
    </row>
    <row r="59" spans="1:5">
      <c r="C59" s="106"/>
    </row>
    <row r="61" spans="1:5">
      <c r="B61" s="17"/>
    </row>
    <row r="62" spans="1:5">
      <c r="B62" s="102"/>
    </row>
    <row r="63" spans="1:5">
      <c r="A63" s="103"/>
      <c r="B63" s="104" t="s">
        <v>83</v>
      </c>
      <c r="C63" s="103"/>
      <c r="E63" s="77">
        <f>SUM(E64:E75)</f>
        <v>-8154.2</v>
      </c>
    </row>
    <row r="65" spans="1:6">
      <c r="A65" s="88">
        <v>45348</v>
      </c>
      <c r="B65" s="8" t="s">
        <v>444</v>
      </c>
      <c r="C65">
        <v>1406</v>
      </c>
      <c r="D65" s="77" t="s">
        <v>476</v>
      </c>
      <c r="E65" s="77">
        <v>-234.33</v>
      </c>
      <c r="F65" s="77">
        <v>0</v>
      </c>
    </row>
    <row r="66" spans="1:6">
      <c r="A66" s="88">
        <v>45373</v>
      </c>
      <c r="B66" s="8" t="s">
        <v>339</v>
      </c>
      <c r="C66">
        <v>10176.39</v>
      </c>
      <c r="D66" s="77" t="s">
        <v>477</v>
      </c>
      <c r="E66" s="77">
        <v>-1130.71</v>
      </c>
      <c r="F66" s="77">
        <v>0</v>
      </c>
    </row>
    <row r="67" spans="1:6">
      <c r="A67" s="88">
        <v>45375</v>
      </c>
      <c r="B67" s="8" t="s">
        <v>341</v>
      </c>
      <c r="C67">
        <v>5999</v>
      </c>
      <c r="D67" s="77" t="s">
        <v>477</v>
      </c>
      <c r="E67" s="77">
        <v>-666.56</v>
      </c>
      <c r="F67" s="77">
        <v>0</v>
      </c>
    </row>
    <row r="68" spans="1:6">
      <c r="A68" s="88">
        <v>45358</v>
      </c>
      <c r="B68" s="8" t="s">
        <v>447</v>
      </c>
      <c r="C68">
        <v>2273</v>
      </c>
      <c r="D68" s="77" t="s">
        <v>476</v>
      </c>
      <c r="E68" s="77">
        <v>-378.87</v>
      </c>
      <c r="F68" s="77">
        <v>0</v>
      </c>
    </row>
    <row r="69" spans="1:6">
      <c r="A69" s="88">
        <v>45371</v>
      </c>
      <c r="B69" s="8" t="s">
        <v>448</v>
      </c>
      <c r="D69" s="77" t="s">
        <v>476</v>
      </c>
      <c r="E69" s="77">
        <v>101.77</v>
      </c>
      <c r="F69" s="77">
        <v>0</v>
      </c>
    </row>
    <row r="70" spans="1:6">
      <c r="A70" s="100">
        <v>45442</v>
      </c>
      <c r="B70" s="181" t="s">
        <v>478</v>
      </c>
      <c r="C70" s="106"/>
      <c r="D70" s="77" t="s">
        <v>479</v>
      </c>
      <c r="E70" s="77">
        <v>-1054.1400000000001</v>
      </c>
      <c r="F70" s="77">
        <v>0</v>
      </c>
    </row>
    <row r="71" spans="1:6">
      <c r="A71" s="100">
        <v>45456</v>
      </c>
      <c r="B71" s="107" t="s">
        <v>449</v>
      </c>
      <c r="C71" s="106"/>
      <c r="D71" s="77" t="s">
        <v>480</v>
      </c>
      <c r="E71" s="77">
        <v>-3923.33</v>
      </c>
      <c r="F71" s="77">
        <v>0</v>
      </c>
    </row>
    <row r="72" spans="1:6">
      <c r="A72" s="100">
        <v>45470</v>
      </c>
      <c r="B72" s="107" t="s">
        <v>481</v>
      </c>
      <c r="C72" s="106"/>
      <c r="E72" s="77">
        <v>-868.03</v>
      </c>
    </row>
    <row r="73" spans="1:6">
      <c r="A73" s="100">
        <v>45478</v>
      </c>
      <c r="B73" s="107" t="s">
        <v>130</v>
      </c>
      <c r="C73" s="106"/>
      <c r="D73" s="77">
        <v>2700.47</v>
      </c>
    </row>
    <row r="74" spans="1:6" ht="15">
      <c r="A74" s="100">
        <v>45478</v>
      </c>
      <c r="B74" s="107" t="s">
        <v>130</v>
      </c>
      <c r="D74" s="77">
        <v>6244.07</v>
      </c>
      <c r="E74" s="105" t="s">
        <v>84</v>
      </c>
    </row>
    <row r="75" spans="1:6">
      <c r="A75" s="100"/>
      <c r="B75" s="107"/>
      <c r="C75" s="106"/>
    </row>
    <row r="76" spans="1:6">
      <c r="A76" s="100"/>
      <c r="B76" s="3"/>
    </row>
    <row r="77" spans="1:6">
      <c r="A77" s="100"/>
      <c r="B77" s="106"/>
      <c r="C77" s="106"/>
    </row>
    <row r="78" spans="1:6">
      <c r="A78" s="103"/>
      <c r="B78" s="104" t="s">
        <v>85</v>
      </c>
      <c r="C78" s="103"/>
      <c r="E78" s="77">
        <f>SUM(E79:E121)</f>
        <v>-21980.090000000004</v>
      </c>
    </row>
    <row r="79" spans="1:6">
      <c r="A79" s="100"/>
      <c r="B79" s="106"/>
      <c r="C79" s="106"/>
    </row>
    <row r="80" spans="1:6">
      <c r="A80" s="100"/>
      <c r="B80" s="3" t="s">
        <v>482</v>
      </c>
      <c r="C80" s="106"/>
      <c r="D80" s="77" t="s">
        <v>483</v>
      </c>
      <c r="E80" s="77">
        <v>-649.79999999999995</v>
      </c>
    </row>
    <row r="81" spans="1:5">
      <c r="A81" s="100"/>
      <c r="B81" s="3" t="s">
        <v>484</v>
      </c>
      <c r="C81" s="106">
        <v>50</v>
      </c>
      <c r="D81" s="77" t="s">
        <v>483</v>
      </c>
    </row>
    <row r="82" spans="1:5">
      <c r="A82" s="100"/>
      <c r="B82" s="3"/>
      <c r="C82" s="106"/>
    </row>
    <row r="83" spans="1:5">
      <c r="A83" s="100">
        <v>45456</v>
      </c>
      <c r="B83" s="8" t="s">
        <v>485</v>
      </c>
      <c r="C83" s="106"/>
      <c r="D83" s="77" t="s">
        <v>479</v>
      </c>
      <c r="E83" s="77">
        <v>-5875</v>
      </c>
    </row>
    <row r="84" spans="1:5">
      <c r="A84" s="100">
        <v>45456</v>
      </c>
      <c r="B84" s="8" t="s">
        <v>486</v>
      </c>
      <c r="C84" s="106"/>
      <c r="D84" s="77" t="s">
        <v>479</v>
      </c>
      <c r="E84" s="77">
        <v>-4300</v>
      </c>
    </row>
    <row r="85" spans="1:5">
      <c r="A85" s="100">
        <v>45475</v>
      </c>
      <c r="B85" s="3" t="s">
        <v>487</v>
      </c>
      <c r="C85" s="106"/>
      <c r="E85" s="77">
        <v>-1129.5</v>
      </c>
    </row>
    <row r="86" spans="1:5">
      <c r="A86" s="100">
        <v>45478</v>
      </c>
      <c r="B86" s="3" t="s">
        <v>488</v>
      </c>
      <c r="C86" s="106"/>
      <c r="E86" s="77">
        <v>-1060</v>
      </c>
    </row>
    <row r="87" spans="1:5">
      <c r="A87" s="100"/>
      <c r="B87" s="3"/>
      <c r="C87" s="106"/>
    </row>
    <row r="88" spans="1:5">
      <c r="A88" s="100">
        <v>45467</v>
      </c>
      <c r="B88" s="3" t="s">
        <v>489</v>
      </c>
      <c r="C88" s="106">
        <v>120</v>
      </c>
      <c r="E88" s="77">
        <v>-120</v>
      </c>
    </row>
    <row r="89" spans="1:5">
      <c r="A89" s="100">
        <v>45467</v>
      </c>
      <c r="B89" s="3" t="s">
        <v>490</v>
      </c>
      <c r="C89" s="106"/>
      <c r="E89" s="77">
        <v>-70</v>
      </c>
    </row>
    <row r="90" spans="1:5">
      <c r="A90" s="100">
        <v>45467</v>
      </c>
      <c r="B90" s="3" t="s">
        <v>491</v>
      </c>
      <c r="C90" s="106"/>
      <c r="E90" s="77">
        <v>-1400</v>
      </c>
    </row>
    <row r="91" spans="1:5">
      <c r="A91" s="100">
        <v>45468</v>
      </c>
      <c r="B91" s="3" t="s">
        <v>489</v>
      </c>
      <c r="C91" s="106">
        <v>150</v>
      </c>
      <c r="E91" s="77">
        <v>-150</v>
      </c>
    </row>
    <row r="92" spans="1:5">
      <c r="A92" s="100">
        <v>45468</v>
      </c>
      <c r="B92" s="3" t="s">
        <v>492</v>
      </c>
      <c r="C92" s="106"/>
      <c r="E92" s="77">
        <v>-230</v>
      </c>
    </row>
    <row r="93" spans="1:5">
      <c r="A93" s="100">
        <v>45469</v>
      </c>
      <c r="B93" s="3" t="s">
        <v>489</v>
      </c>
      <c r="C93" s="106">
        <v>250</v>
      </c>
      <c r="E93" s="77">
        <v>-250</v>
      </c>
    </row>
    <row r="94" spans="1:5">
      <c r="A94" s="100">
        <v>45470</v>
      </c>
      <c r="B94" s="3" t="s">
        <v>493</v>
      </c>
      <c r="C94" s="106"/>
      <c r="E94" s="77">
        <v>-130</v>
      </c>
    </row>
    <row r="95" spans="1:5">
      <c r="A95" s="100">
        <v>45470</v>
      </c>
      <c r="B95" s="3" t="s">
        <v>419</v>
      </c>
      <c r="C95" s="106"/>
      <c r="E95" s="77">
        <v>-48.99</v>
      </c>
    </row>
    <row r="96" spans="1:5">
      <c r="A96" s="100">
        <v>45470</v>
      </c>
      <c r="B96" s="3" t="s">
        <v>494</v>
      </c>
      <c r="C96" s="106"/>
      <c r="E96" s="77">
        <v>-169.5</v>
      </c>
    </row>
    <row r="97" spans="1:5">
      <c r="A97" s="100">
        <v>45471</v>
      </c>
      <c r="B97" s="3" t="s">
        <v>495</v>
      </c>
      <c r="C97" s="106"/>
      <c r="E97" s="77">
        <v>-80</v>
      </c>
    </row>
    <row r="98" spans="1:5">
      <c r="A98" s="100">
        <v>45473</v>
      </c>
      <c r="B98" s="3" t="s">
        <v>128</v>
      </c>
      <c r="C98" s="106"/>
      <c r="E98" s="77">
        <v>-50</v>
      </c>
    </row>
    <row r="99" spans="1:5">
      <c r="A99" s="100">
        <v>45474</v>
      </c>
      <c r="B99" s="3" t="s">
        <v>490</v>
      </c>
      <c r="C99" s="106"/>
      <c r="E99" s="77">
        <v>-70</v>
      </c>
    </row>
    <row r="100" spans="1:5">
      <c r="A100" s="100">
        <v>45475</v>
      </c>
      <c r="B100" s="3" t="s">
        <v>489</v>
      </c>
      <c r="C100" s="106">
        <v>440</v>
      </c>
      <c r="E100" s="77">
        <v>-440</v>
      </c>
    </row>
    <row r="101" spans="1:5">
      <c r="A101" s="100">
        <v>45475</v>
      </c>
      <c r="B101" s="3" t="s">
        <v>496</v>
      </c>
      <c r="E101" s="77">
        <v>-1673</v>
      </c>
    </row>
    <row r="102" spans="1:5">
      <c r="A102" s="100">
        <v>45475</v>
      </c>
      <c r="B102" s="3" t="s">
        <v>493</v>
      </c>
      <c r="C102" s="106"/>
      <c r="E102" s="77">
        <v>-150</v>
      </c>
    </row>
    <row r="103" spans="1:5">
      <c r="A103" s="100">
        <v>45476</v>
      </c>
      <c r="B103" s="3" t="s">
        <v>490</v>
      </c>
      <c r="C103" s="106"/>
      <c r="E103" s="77">
        <v>-140</v>
      </c>
    </row>
    <row r="104" spans="1:5">
      <c r="A104" s="100">
        <v>45477</v>
      </c>
      <c r="B104" s="3" t="s">
        <v>497</v>
      </c>
      <c r="C104" s="106">
        <v>10597.81</v>
      </c>
    </row>
    <row r="105" spans="1:5">
      <c r="A105" s="100">
        <v>45478</v>
      </c>
      <c r="B105" s="3" t="s">
        <v>498</v>
      </c>
      <c r="C105" s="106"/>
      <c r="E105" s="77">
        <v>-300</v>
      </c>
    </row>
    <row r="106" spans="1:5">
      <c r="A106" s="100">
        <v>45478</v>
      </c>
      <c r="B106" s="3" t="s">
        <v>130</v>
      </c>
      <c r="C106" s="106">
        <v>15971.71</v>
      </c>
    </row>
    <row r="107" spans="1:5">
      <c r="A107" s="100">
        <v>45479</v>
      </c>
      <c r="B107" s="3" t="s">
        <v>499</v>
      </c>
      <c r="C107" s="106"/>
      <c r="E107" s="77">
        <v>-325</v>
      </c>
    </row>
    <row r="108" spans="1:5">
      <c r="A108" s="100">
        <v>45479</v>
      </c>
      <c r="B108" s="3" t="s">
        <v>500</v>
      </c>
      <c r="C108" s="106"/>
      <c r="E108" s="77">
        <v>-629</v>
      </c>
    </row>
    <row r="109" spans="1:5">
      <c r="A109" s="100"/>
      <c r="B109" s="3" t="s">
        <v>501</v>
      </c>
      <c r="C109" s="106"/>
      <c r="E109" s="77">
        <v>-800</v>
      </c>
    </row>
    <row r="110" spans="1:5">
      <c r="E110" s="77">
        <v>-119.74</v>
      </c>
    </row>
    <row r="111" spans="1:5">
      <c r="E111" s="77">
        <v>-215.98</v>
      </c>
    </row>
    <row r="112" spans="1:5">
      <c r="E112" s="77">
        <v>-104</v>
      </c>
    </row>
    <row r="113" spans="1:5">
      <c r="E113" s="77">
        <v>-81.37</v>
      </c>
    </row>
    <row r="114" spans="1:5">
      <c r="E114" s="77">
        <v>-65.67</v>
      </c>
    </row>
    <row r="115" spans="1:5">
      <c r="E115" s="77">
        <v>-260</v>
      </c>
    </row>
    <row r="116" spans="1:5">
      <c r="E116" s="77">
        <v>-270</v>
      </c>
    </row>
    <row r="117" spans="1:5">
      <c r="E117" s="77">
        <v>-300</v>
      </c>
    </row>
    <row r="118" spans="1:5">
      <c r="B118" s="35" t="s">
        <v>423</v>
      </c>
      <c r="C118" s="106">
        <f>SUM(C88:C100)</f>
        <v>960</v>
      </c>
      <c r="E118" s="77">
        <v>-37.33</v>
      </c>
    </row>
    <row r="119" spans="1:5">
      <c r="E119" s="77">
        <v>-37.33</v>
      </c>
    </row>
    <row r="120" spans="1:5">
      <c r="E120" s="77">
        <v>-72.63</v>
      </c>
    </row>
    <row r="121" spans="1:5" ht="15">
      <c r="D121" s="105" t="s">
        <v>84</v>
      </c>
      <c r="E121" s="77">
        <v>-176.25</v>
      </c>
    </row>
    <row r="122" spans="1:5" ht="15">
      <c r="D122" s="182"/>
    </row>
    <row r="123" spans="1:5" ht="15">
      <c r="D123" s="182"/>
    </row>
    <row r="125" spans="1:5">
      <c r="A125" s="113" t="s">
        <v>502</v>
      </c>
      <c r="B125" s="104" t="s">
        <v>137</v>
      </c>
      <c r="C125" s="103">
        <v>2024</v>
      </c>
      <c r="D125" s="158"/>
      <c r="E125" s="159">
        <f>SUM(E126:E146)</f>
        <v>981303.72722800006</v>
      </c>
    </row>
    <row r="126" spans="1:5">
      <c r="A126" s="160">
        <v>45505</v>
      </c>
      <c r="B126" s="8" t="s">
        <v>77</v>
      </c>
      <c r="C126" s="2"/>
      <c r="D126" s="2"/>
      <c r="E126" s="2">
        <v>64000</v>
      </c>
    </row>
    <row r="127" spans="1:5">
      <c r="A127" s="160">
        <f t="shared" ref="A127:A146" si="2">A126</f>
        <v>45505</v>
      </c>
      <c r="B127" s="8" t="s">
        <v>383</v>
      </c>
      <c r="C127" s="2"/>
      <c r="D127" s="2"/>
      <c r="E127" s="2">
        <v>150845</v>
      </c>
    </row>
    <row r="128" spans="1:5">
      <c r="A128" s="160">
        <f t="shared" si="2"/>
        <v>45505</v>
      </c>
      <c r="B128" s="8" t="s">
        <v>305</v>
      </c>
      <c r="C128" s="2"/>
      <c r="D128" s="2"/>
      <c r="E128" s="17">
        <v>12712.47</v>
      </c>
    </row>
    <row r="129" spans="1:5">
      <c r="A129" s="160">
        <f t="shared" si="2"/>
        <v>45505</v>
      </c>
      <c r="B129" s="8" t="s">
        <v>306</v>
      </c>
      <c r="C129" s="2"/>
      <c r="D129" s="2"/>
      <c r="E129" s="17">
        <v>0</v>
      </c>
    </row>
    <row r="130" spans="1:5">
      <c r="A130" s="160">
        <f t="shared" si="2"/>
        <v>45505</v>
      </c>
      <c r="B130" s="8" t="s">
        <v>503</v>
      </c>
      <c r="C130" s="2"/>
      <c r="D130" s="2"/>
      <c r="E130" s="17">
        <v>0</v>
      </c>
    </row>
    <row r="131" spans="1:5">
      <c r="A131" s="160">
        <f t="shared" si="2"/>
        <v>45505</v>
      </c>
      <c r="B131" s="8" t="s">
        <v>307</v>
      </c>
      <c r="C131" s="124"/>
      <c r="D131" s="2"/>
      <c r="E131" s="17">
        <v>0</v>
      </c>
    </row>
    <row r="132" spans="1:5">
      <c r="A132" s="160">
        <f t="shared" si="2"/>
        <v>45505</v>
      </c>
      <c r="B132" s="8" t="s">
        <v>241</v>
      </c>
      <c r="C132" s="2">
        <v>74</v>
      </c>
      <c r="D132" s="174">
        <v>677.53942199999995</v>
      </c>
      <c r="E132" s="17">
        <f t="shared" ref="E132:E144" si="3">D132*C132</f>
        <v>50137.917227999998</v>
      </c>
    </row>
    <row r="133" spans="1:5">
      <c r="A133" s="160">
        <f t="shared" si="2"/>
        <v>45505</v>
      </c>
      <c r="B133" s="8" t="s">
        <v>504</v>
      </c>
      <c r="C133" s="175">
        <v>125000</v>
      </c>
      <c r="D133" s="174">
        <v>0.83506999999999998</v>
      </c>
      <c r="E133" s="17">
        <f t="shared" si="3"/>
        <v>104383.75</v>
      </c>
    </row>
    <row r="134" spans="1:5">
      <c r="A134" s="160">
        <f t="shared" si="2"/>
        <v>45505</v>
      </c>
      <c r="B134" s="8" t="s">
        <v>505</v>
      </c>
      <c r="C134" s="2">
        <v>10</v>
      </c>
      <c r="D134" s="2">
        <v>123.7</v>
      </c>
      <c r="E134" s="17">
        <f t="shared" si="3"/>
        <v>1237</v>
      </c>
    </row>
    <row r="135" spans="1:5">
      <c r="A135" s="160">
        <f t="shared" si="2"/>
        <v>45505</v>
      </c>
      <c r="B135" s="8" t="s">
        <v>506</v>
      </c>
      <c r="C135" s="2">
        <v>38</v>
      </c>
      <c r="D135" s="2">
        <v>22.78</v>
      </c>
      <c r="E135" s="17">
        <f t="shared" si="3"/>
        <v>865.6400000000001</v>
      </c>
    </row>
    <row r="136" spans="1:5">
      <c r="A136" s="160">
        <f t="shared" si="2"/>
        <v>45505</v>
      </c>
      <c r="B136" s="8" t="s">
        <v>507</v>
      </c>
      <c r="C136" s="2">
        <v>26</v>
      </c>
      <c r="D136" s="2">
        <v>27.26</v>
      </c>
      <c r="E136" s="17">
        <f t="shared" si="3"/>
        <v>708.76</v>
      </c>
    </row>
    <row r="137" spans="1:5">
      <c r="A137" s="160">
        <f t="shared" si="2"/>
        <v>45505</v>
      </c>
      <c r="B137" s="8" t="s">
        <v>141</v>
      </c>
      <c r="C137" s="2"/>
      <c r="D137" s="2"/>
      <c r="E137" s="17">
        <f t="shared" si="3"/>
        <v>0</v>
      </c>
    </row>
    <row r="138" spans="1:5">
      <c r="A138" s="160">
        <f t="shared" si="2"/>
        <v>45505</v>
      </c>
      <c r="B138" s="8" t="s">
        <v>385</v>
      </c>
      <c r="C138" s="2">
        <v>7500</v>
      </c>
      <c r="D138" s="2">
        <v>24.5</v>
      </c>
      <c r="E138" s="17">
        <f t="shared" si="3"/>
        <v>183750</v>
      </c>
    </row>
    <row r="139" spans="1:5">
      <c r="A139" s="160">
        <f t="shared" si="2"/>
        <v>45505</v>
      </c>
      <c r="C139" s="2"/>
      <c r="D139" s="2"/>
      <c r="E139" s="17">
        <f t="shared" si="3"/>
        <v>0</v>
      </c>
    </row>
    <row r="140" spans="1:5">
      <c r="A140" s="160">
        <f t="shared" si="2"/>
        <v>45505</v>
      </c>
      <c r="C140" s="2"/>
      <c r="D140" s="2"/>
      <c r="E140" s="17">
        <f t="shared" si="3"/>
        <v>0</v>
      </c>
    </row>
    <row r="141" spans="1:5">
      <c r="A141" s="160">
        <f t="shared" si="2"/>
        <v>45505</v>
      </c>
      <c r="B141" s="8" t="s">
        <v>508</v>
      </c>
      <c r="C141" s="2">
        <v>2375.02</v>
      </c>
      <c r="D141" s="2">
        <v>156</v>
      </c>
      <c r="E141" s="17">
        <f t="shared" si="3"/>
        <v>370503.12</v>
      </c>
    </row>
    <row r="142" spans="1:5">
      <c r="A142" s="160">
        <f t="shared" si="2"/>
        <v>45505</v>
      </c>
      <c r="B142" s="8" t="s">
        <v>509</v>
      </c>
      <c r="C142" s="162">
        <v>31.963699999999999</v>
      </c>
      <c r="D142" s="2">
        <v>850</v>
      </c>
      <c r="E142" s="17">
        <f t="shared" si="3"/>
        <v>27169.145</v>
      </c>
    </row>
    <row r="143" spans="1:5">
      <c r="A143" s="160">
        <f t="shared" si="2"/>
        <v>45505</v>
      </c>
      <c r="B143" s="8" t="s">
        <v>510</v>
      </c>
      <c r="C143" s="162">
        <f>C142</f>
        <v>31.963699999999999</v>
      </c>
      <c r="D143" s="2">
        <v>250</v>
      </c>
      <c r="E143" s="17">
        <f t="shared" si="3"/>
        <v>7990.9250000000002</v>
      </c>
    </row>
    <row r="144" spans="1:5">
      <c r="A144" s="160">
        <f t="shared" si="2"/>
        <v>45505</v>
      </c>
      <c r="B144" s="8" t="s">
        <v>511</v>
      </c>
      <c r="C144" s="162">
        <v>34.412100000000002</v>
      </c>
      <c r="D144" s="2">
        <v>0</v>
      </c>
      <c r="E144" s="17">
        <f t="shared" si="3"/>
        <v>0</v>
      </c>
    </row>
    <row r="145" spans="1:5">
      <c r="A145" s="160">
        <f t="shared" si="2"/>
        <v>45505</v>
      </c>
      <c r="B145" s="8" t="s">
        <v>153</v>
      </c>
      <c r="C145" s="2"/>
      <c r="D145" s="2"/>
      <c r="E145" s="17">
        <v>3000</v>
      </c>
    </row>
    <row r="146" spans="1:5">
      <c r="A146" s="160">
        <f t="shared" si="2"/>
        <v>45505</v>
      </c>
      <c r="B146" s="8" t="s">
        <v>154</v>
      </c>
      <c r="C146" s="2"/>
      <c r="D146" s="2"/>
      <c r="E146" s="17">
        <v>4000</v>
      </c>
    </row>
    <row r="147" spans="1:5">
      <c r="E147" s="176"/>
    </row>
    <row r="148" spans="1:5">
      <c r="C148" s="124"/>
      <c r="D148" s="3"/>
      <c r="E148" s="124"/>
    </row>
    <row r="149" spans="1:5">
      <c r="C149" s="124"/>
      <c r="D149" s="18" t="s">
        <v>156</v>
      </c>
      <c r="E149" s="9">
        <f>SUM(E126:E146)</f>
        <v>981303.72722800006</v>
      </c>
    </row>
    <row r="150" spans="1:5">
      <c r="C150" s="125" t="str">
        <f>A125</f>
        <v>AĞUSTOSa</v>
      </c>
      <c r="D150" s="126" t="s">
        <v>157</v>
      </c>
      <c r="E150" s="127">
        <f>H2</f>
        <v>-60375.49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E2F0D9"/>
  </sheetPr>
  <dimension ref="A1:H158"/>
  <sheetViews>
    <sheetView topLeftCell="A7" zoomScale="170" zoomScaleNormal="170" workbookViewId="0">
      <selection activeCell="A118" sqref="A118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7109375" style="77" customWidth="1"/>
    <col min="5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512</v>
      </c>
      <c r="C2" s="79" t="s">
        <v>67</v>
      </c>
      <c r="D2" s="77">
        <f>SUM(D4:D39)</f>
        <v>51000</v>
      </c>
      <c r="E2" s="77">
        <f>SUM(E4:E39)</f>
        <v>-85166.06</v>
      </c>
      <c r="F2" s="77">
        <f>SUM(F4:F39)</f>
        <v>27984.15</v>
      </c>
      <c r="G2" s="77">
        <f>SUM(G4:G39)</f>
        <v>-87971.62</v>
      </c>
      <c r="H2" s="77">
        <f>F2+G2</f>
        <v>-59987.469999999994</v>
      </c>
    </row>
    <row r="3" spans="1:8">
      <c r="B3" s="18"/>
    </row>
    <row r="4" spans="1:8">
      <c r="A4" s="88">
        <v>45468</v>
      </c>
      <c r="B4" s="41" t="s">
        <v>430</v>
      </c>
      <c r="D4" s="78"/>
      <c r="E4" s="78">
        <v>-152</v>
      </c>
      <c r="F4" s="78"/>
      <c r="G4" s="78">
        <v>-167</v>
      </c>
      <c r="H4" s="78">
        <f t="shared" ref="H4:H38" si="0">H3+F4+G4</f>
        <v>-167</v>
      </c>
    </row>
    <row r="5" spans="1:8">
      <c r="D5" s="78"/>
      <c r="E5" s="78"/>
      <c r="F5" s="78"/>
      <c r="G5" s="78"/>
      <c r="H5" s="78">
        <f t="shared" si="0"/>
        <v>-167</v>
      </c>
    </row>
    <row r="6" spans="1:8">
      <c r="A6" s="88">
        <v>45474</v>
      </c>
      <c r="B6" s="101" t="s">
        <v>80</v>
      </c>
      <c r="C6" s="101"/>
      <c r="D6" s="78"/>
      <c r="E6" s="78">
        <v>-400</v>
      </c>
      <c r="F6" s="78"/>
      <c r="G6" s="78">
        <v>-275</v>
      </c>
      <c r="H6" s="78">
        <f t="shared" si="0"/>
        <v>-442</v>
      </c>
    </row>
    <row r="7" spans="1:8">
      <c r="A7" s="88">
        <v>45474</v>
      </c>
      <c r="B7" s="101" t="s">
        <v>81</v>
      </c>
      <c r="C7" s="101"/>
      <c r="D7" s="78"/>
      <c r="E7" s="78">
        <v>-500</v>
      </c>
      <c r="F7" s="78"/>
      <c r="G7" s="78">
        <v>-520</v>
      </c>
      <c r="H7" s="78">
        <f t="shared" si="0"/>
        <v>-962</v>
      </c>
    </row>
    <row r="8" spans="1:8">
      <c r="B8" s="101" t="s">
        <v>513</v>
      </c>
      <c r="C8" s="101" t="s">
        <v>357</v>
      </c>
      <c r="D8" s="78"/>
      <c r="E8" s="78">
        <v>-250</v>
      </c>
      <c r="F8" s="78"/>
      <c r="G8" s="78"/>
      <c r="H8" s="78">
        <f t="shared" si="0"/>
        <v>-962</v>
      </c>
    </row>
    <row r="9" spans="1:8">
      <c r="A9" s="88">
        <v>45478</v>
      </c>
      <c r="B9" s="177" t="s">
        <v>68</v>
      </c>
      <c r="D9" s="78"/>
      <c r="E9" s="78">
        <f>E55</f>
        <v>-8944.5400000000009</v>
      </c>
      <c r="F9" s="78"/>
      <c r="G9" s="78">
        <f>E9</f>
        <v>-8944.5400000000009</v>
      </c>
      <c r="H9" s="78">
        <f t="shared" si="0"/>
        <v>-9906.5400000000009</v>
      </c>
    </row>
    <row r="10" spans="1:8">
      <c r="A10" s="165">
        <v>45478</v>
      </c>
      <c r="B10" s="177" t="s">
        <v>69</v>
      </c>
      <c r="D10" s="78"/>
      <c r="E10" s="78">
        <f>E72</f>
        <v>-26619.52</v>
      </c>
      <c r="F10" s="78"/>
      <c r="G10" s="78">
        <f>E10</f>
        <v>-26619.52</v>
      </c>
      <c r="H10" s="78">
        <f t="shared" si="0"/>
        <v>-36526.06</v>
      </c>
    </row>
    <row r="11" spans="1:8">
      <c r="A11" s="100">
        <v>45481</v>
      </c>
      <c r="B11" s="8" t="s">
        <v>514</v>
      </c>
      <c r="D11" s="78">
        <v>15000</v>
      </c>
      <c r="E11" s="78"/>
      <c r="F11" s="78">
        <v>15000</v>
      </c>
      <c r="G11" s="78"/>
      <c r="H11" s="78">
        <f t="shared" si="0"/>
        <v>-21526.059999999998</v>
      </c>
    </row>
    <row r="12" spans="1:8">
      <c r="A12" s="88">
        <v>45481</v>
      </c>
      <c r="B12" s="101" t="s">
        <v>515</v>
      </c>
      <c r="C12" s="101"/>
      <c r="D12" s="78"/>
      <c r="E12" s="78">
        <v>-17500</v>
      </c>
      <c r="F12" s="78"/>
      <c r="G12" s="78">
        <v>-17500</v>
      </c>
      <c r="H12" s="78">
        <f t="shared" si="0"/>
        <v>-39026.06</v>
      </c>
    </row>
    <row r="13" spans="1:8">
      <c r="A13" s="88">
        <v>45481</v>
      </c>
      <c r="B13" s="101" t="s">
        <v>70</v>
      </c>
      <c r="C13" s="101"/>
      <c r="D13" s="78"/>
      <c r="E13" s="78">
        <v>-1500</v>
      </c>
      <c r="F13" s="78"/>
      <c r="G13" s="78">
        <v>-1519.7</v>
      </c>
      <c r="H13" s="78">
        <f t="shared" si="0"/>
        <v>-40545.759999999995</v>
      </c>
    </row>
    <row r="14" spans="1:8">
      <c r="B14" s="101" t="s">
        <v>75</v>
      </c>
      <c r="C14" s="101" t="s">
        <v>328</v>
      </c>
      <c r="D14" s="78"/>
      <c r="E14" s="78">
        <v>-150</v>
      </c>
      <c r="F14" s="78"/>
      <c r="G14" s="78"/>
      <c r="H14" s="78">
        <f t="shared" si="0"/>
        <v>-40545.759999999995</v>
      </c>
    </row>
    <row r="15" spans="1:8">
      <c r="A15" s="88">
        <v>45481</v>
      </c>
      <c r="B15" s="8" t="s">
        <v>399</v>
      </c>
      <c r="C15" s="101"/>
      <c r="D15" s="78"/>
      <c r="E15" s="78">
        <v>-10000</v>
      </c>
      <c r="F15" s="78"/>
      <c r="G15" s="78">
        <v>-10000</v>
      </c>
      <c r="H15" s="78">
        <f t="shared" si="0"/>
        <v>-50545.759999999995</v>
      </c>
    </row>
    <row r="16" spans="1:8">
      <c r="B16" s="101"/>
      <c r="C16" s="101"/>
      <c r="D16" s="78"/>
      <c r="E16" s="78"/>
      <c r="F16" s="78"/>
      <c r="G16" s="78"/>
      <c r="H16" s="78">
        <f t="shared" si="0"/>
        <v>-50545.759999999995</v>
      </c>
    </row>
    <row r="17" spans="1:8">
      <c r="B17" s="101"/>
      <c r="C17" s="101"/>
      <c r="D17" s="78"/>
      <c r="E17" s="78"/>
      <c r="F17" s="78"/>
      <c r="G17" s="78"/>
      <c r="H17" s="78">
        <f t="shared" si="0"/>
        <v>-50545.759999999995</v>
      </c>
    </row>
    <row r="18" spans="1:8">
      <c r="D18" s="78"/>
      <c r="E18" s="78"/>
      <c r="F18" s="78"/>
      <c r="G18" s="78"/>
      <c r="H18" s="78">
        <f t="shared" si="0"/>
        <v>-50545.759999999995</v>
      </c>
    </row>
    <row r="19" spans="1:8">
      <c r="A19" s="88">
        <v>45489</v>
      </c>
      <c r="B19" s="106" t="s">
        <v>73</v>
      </c>
      <c r="C19" s="106" t="s">
        <v>328</v>
      </c>
      <c r="D19" s="78"/>
      <c r="E19" s="78">
        <v>-300</v>
      </c>
      <c r="F19" s="78"/>
      <c r="G19" s="78">
        <v>-33</v>
      </c>
      <c r="H19" s="78">
        <f t="shared" si="0"/>
        <v>-50578.759999999995</v>
      </c>
    </row>
    <row r="20" spans="1:8">
      <c r="A20" s="88">
        <v>45489</v>
      </c>
      <c r="B20" s="106" t="s">
        <v>74</v>
      </c>
      <c r="C20" s="106" t="s">
        <v>328</v>
      </c>
      <c r="D20" s="78"/>
      <c r="E20" s="78">
        <v>-100</v>
      </c>
      <c r="F20" s="78"/>
      <c r="G20" s="78">
        <v>-27</v>
      </c>
      <c r="H20" s="78">
        <f t="shared" si="0"/>
        <v>-50605.759999999995</v>
      </c>
    </row>
    <row r="21" spans="1:8">
      <c r="B21" s="101"/>
      <c r="C21" s="101"/>
      <c r="D21" s="78"/>
      <c r="E21" s="78"/>
      <c r="F21" s="78"/>
      <c r="G21" s="78"/>
      <c r="H21" s="78">
        <f t="shared" si="0"/>
        <v>-50605.759999999995</v>
      </c>
    </row>
    <row r="22" spans="1:8">
      <c r="B22" s="177" t="s">
        <v>72</v>
      </c>
      <c r="D22" s="78"/>
      <c r="E22" s="78">
        <f>F50*-1</f>
        <v>0</v>
      </c>
      <c r="F22" s="78"/>
      <c r="G22" s="78"/>
      <c r="H22" s="78">
        <f t="shared" si="0"/>
        <v>-50605.759999999995</v>
      </c>
    </row>
    <row r="23" spans="1:8">
      <c r="A23" s="88"/>
      <c r="D23" s="78"/>
      <c r="E23" s="78"/>
      <c r="F23" s="78"/>
      <c r="G23" s="78"/>
      <c r="H23" s="78">
        <f t="shared" si="0"/>
        <v>-50605.759999999995</v>
      </c>
    </row>
    <row r="24" spans="1:8">
      <c r="D24" s="78"/>
      <c r="E24" s="78"/>
      <c r="F24" s="78"/>
      <c r="G24" s="78"/>
      <c r="H24" s="78">
        <f t="shared" si="0"/>
        <v>-50605.759999999995</v>
      </c>
    </row>
    <row r="25" spans="1:8">
      <c r="D25" s="78"/>
      <c r="E25" s="78"/>
      <c r="F25" s="78"/>
      <c r="G25" s="78"/>
      <c r="H25" s="78">
        <f t="shared" si="0"/>
        <v>-50605.759999999995</v>
      </c>
    </row>
    <row r="26" spans="1:8">
      <c r="A26" s="88">
        <v>45500</v>
      </c>
      <c r="B26" s="8" t="s">
        <v>77</v>
      </c>
      <c r="D26" s="78"/>
      <c r="E26" s="78">
        <v>-6250</v>
      </c>
      <c r="F26" s="78"/>
      <c r="G26" s="78">
        <v>-6500</v>
      </c>
      <c r="H26" s="78">
        <f t="shared" si="0"/>
        <v>-57105.759999999995</v>
      </c>
    </row>
    <row r="27" spans="1:8">
      <c r="A27" s="88">
        <v>45500</v>
      </c>
      <c r="B27" s="8" t="s">
        <v>78</v>
      </c>
      <c r="D27" s="78"/>
      <c r="E27" s="78">
        <v>-6250</v>
      </c>
      <c r="F27" s="78"/>
      <c r="G27" s="78">
        <v>-6500</v>
      </c>
      <c r="H27" s="78">
        <f t="shared" si="0"/>
        <v>-63605.759999999995</v>
      </c>
    </row>
    <row r="28" spans="1:8">
      <c r="B28" t="s">
        <v>79</v>
      </c>
      <c r="D28" s="78"/>
      <c r="E28" s="78">
        <v>-6250</v>
      </c>
      <c r="F28" s="78"/>
      <c r="G28" s="78">
        <v>-6500</v>
      </c>
      <c r="H28" s="78">
        <f t="shared" si="0"/>
        <v>-70105.759999999995</v>
      </c>
    </row>
    <row r="29" spans="1:8">
      <c r="D29" s="78"/>
      <c r="E29" s="78"/>
      <c r="F29" s="78"/>
      <c r="G29" s="78"/>
      <c r="H29" s="78">
        <f t="shared" si="0"/>
        <v>-70105.759999999995</v>
      </c>
    </row>
    <row r="30" spans="1:8">
      <c r="B30" t="s">
        <v>76</v>
      </c>
      <c r="D30" s="78">
        <v>12500</v>
      </c>
      <c r="E30" s="78"/>
      <c r="F30" s="78">
        <v>12984.15</v>
      </c>
      <c r="G30" s="78"/>
      <c r="H30" s="78">
        <f t="shared" si="0"/>
        <v>-57121.609999999993</v>
      </c>
    </row>
    <row r="31" spans="1:8">
      <c r="A31" s="100"/>
      <c r="D31" s="78"/>
      <c r="E31" s="78"/>
      <c r="F31" s="78"/>
      <c r="G31" s="78"/>
      <c r="H31" s="78">
        <f t="shared" si="0"/>
        <v>-57121.609999999993</v>
      </c>
    </row>
    <row r="32" spans="1:8">
      <c r="A32" s="100"/>
      <c r="B32" s="170" t="s">
        <v>441</v>
      </c>
      <c r="C32" s="170"/>
      <c r="D32" s="183">
        <v>8500</v>
      </c>
      <c r="E32" s="78"/>
      <c r="F32" s="78"/>
      <c r="G32" s="78"/>
      <c r="H32" s="78">
        <f t="shared" si="0"/>
        <v>-57121.609999999993</v>
      </c>
    </row>
    <row r="33" spans="1:8">
      <c r="A33" s="100"/>
      <c r="B33" s="170" t="s">
        <v>458</v>
      </c>
      <c r="C33" s="170"/>
      <c r="D33" s="167">
        <v>15000</v>
      </c>
      <c r="E33" s="78"/>
      <c r="F33" s="78"/>
      <c r="G33" s="78"/>
      <c r="H33" s="78">
        <f t="shared" si="0"/>
        <v>-57121.609999999993</v>
      </c>
    </row>
    <row r="34" spans="1:8">
      <c r="A34" s="100">
        <v>45502</v>
      </c>
      <c r="B34" s="101" t="s">
        <v>80</v>
      </c>
      <c r="D34" s="78"/>
      <c r="E34" s="78"/>
      <c r="F34" s="78"/>
      <c r="G34" s="78">
        <v>-350</v>
      </c>
      <c r="H34" s="78">
        <f t="shared" si="0"/>
        <v>-57471.609999999993</v>
      </c>
    </row>
    <row r="35" spans="1:8">
      <c r="A35" s="100">
        <v>45502</v>
      </c>
      <c r="B35" s="101" t="s">
        <v>81</v>
      </c>
      <c r="D35" s="78"/>
      <c r="E35" s="78"/>
      <c r="F35" s="78"/>
      <c r="G35" s="78">
        <v>-710</v>
      </c>
      <c r="H35" s="78">
        <f t="shared" si="0"/>
        <v>-58181.609999999993</v>
      </c>
    </row>
    <row r="36" spans="1:8">
      <c r="A36" s="100">
        <v>45504</v>
      </c>
      <c r="B36" s="8" t="s">
        <v>516</v>
      </c>
      <c r="D36" s="78"/>
      <c r="E36" s="78"/>
      <c r="F36" s="78"/>
      <c r="G36" s="78">
        <v>-1805.86</v>
      </c>
      <c r="H36" s="78">
        <f t="shared" si="0"/>
        <v>-59987.469999999994</v>
      </c>
    </row>
    <row r="37" spans="1:8">
      <c r="D37" s="78"/>
      <c r="E37" s="78"/>
      <c r="F37" s="78"/>
      <c r="G37" s="78"/>
      <c r="H37" s="78">
        <f t="shared" si="0"/>
        <v>-59987.469999999994</v>
      </c>
    </row>
    <row r="38" spans="1:8">
      <c r="D38" s="78"/>
      <c r="E38" s="78"/>
      <c r="F38" s="78"/>
      <c r="G38" s="78"/>
      <c r="H38" s="78">
        <f t="shared" si="0"/>
        <v>-59987.469999999994</v>
      </c>
    </row>
    <row r="39" spans="1:8" ht="15.75">
      <c r="B39" s="179"/>
    </row>
    <row r="41" spans="1:8">
      <c r="B41" t="s">
        <v>330</v>
      </c>
    </row>
    <row r="42" spans="1:8">
      <c r="A42" s="103" t="s">
        <v>331</v>
      </c>
      <c r="B42" s="103"/>
      <c r="C42" s="103"/>
    </row>
    <row r="43" spans="1:8">
      <c r="A43" s="100"/>
      <c r="C43" s="171"/>
    </row>
    <row r="44" spans="1:8">
      <c r="A44" s="172">
        <v>44929</v>
      </c>
      <c r="B44" s="173" t="s">
        <v>332</v>
      </c>
      <c r="C44" s="103"/>
      <c r="D44" s="77">
        <f>SUM(D45:D50)</f>
        <v>0</v>
      </c>
      <c r="E44" s="77">
        <f>SUM(E45:E51)</f>
        <v>0</v>
      </c>
    </row>
    <row r="45" spans="1:8">
      <c r="A45" s="100"/>
      <c r="B45" s="106" t="s">
        <v>333</v>
      </c>
    </row>
    <row r="46" spans="1:8">
      <c r="B46" t="s">
        <v>334</v>
      </c>
    </row>
    <row r="47" spans="1:8">
      <c r="B47" t="s">
        <v>335</v>
      </c>
    </row>
    <row r="48" spans="1:8">
      <c r="B48" t="s">
        <v>336</v>
      </c>
      <c r="D48" s="77" t="s">
        <v>517</v>
      </c>
    </row>
    <row r="49" spans="1:5">
      <c r="B49" t="s">
        <v>337</v>
      </c>
      <c r="D49" s="77" t="s">
        <v>518</v>
      </c>
    </row>
    <row r="50" spans="1:5">
      <c r="B50" t="s">
        <v>338</v>
      </c>
      <c r="C50" s="106"/>
    </row>
    <row r="51" spans="1:5">
      <c r="C51" s="106"/>
    </row>
    <row r="53" spans="1:5">
      <c r="B53" s="17"/>
    </row>
    <row r="54" spans="1:5">
      <c r="B54" s="102"/>
    </row>
    <row r="55" spans="1:5">
      <c r="A55" s="103"/>
      <c r="B55" s="104" t="s">
        <v>83</v>
      </c>
      <c r="C55" s="103"/>
      <c r="E55" s="77">
        <f>SUM(E56:E68)</f>
        <v>-8944.5400000000009</v>
      </c>
    </row>
    <row r="57" spans="1:5">
      <c r="A57" s="88">
        <v>45348</v>
      </c>
      <c r="B57" s="8" t="s">
        <v>444</v>
      </c>
      <c r="C57">
        <v>1406</v>
      </c>
      <c r="D57" s="77" t="s">
        <v>519</v>
      </c>
      <c r="E57" s="77">
        <v>-234.33</v>
      </c>
    </row>
    <row r="58" spans="1:5">
      <c r="A58" s="88">
        <v>45373</v>
      </c>
      <c r="B58" s="8" t="s">
        <v>339</v>
      </c>
      <c r="C58">
        <v>10176.39</v>
      </c>
      <c r="D58" s="77" t="s">
        <v>520</v>
      </c>
      <c r="E58" s="77">
        <v>-1130.71</v>
      </c>
    </row>
    <row r="59" spans="1:5">
      <c r="A59" s="88">
        <v>45375</v>
      </c>
      <c r="B59" s="8" t="s">
        <v>341</v>
      </c>
      <c r="C59">
        <v>5999</v>
      </c>
      <c r="D59" s="77" t="s">
        <v>520</v>
      </c>
      <c r="E59" s="77">
        <v>-666.56</v>
      </c>
    </row>
    <row r="60" spans="1:5">
      <c r="A60" s="88">
        <v>45358</v>
      </c>
      <c r="B60" s="8" t="s">
        <v>447</v>
      </c>
      <c r="C60">
        <v>2273</v>
      </c>
      <c r="D60" s="77" t="s">
        <v>519</v>
      </c>
      <c r="E60" s="77">
        <v>-378.87</v>
      </c>
    </row>
    <row r="61" spans="1:5">
      <c r="A61" s="88">
        <v>45371</v>
      </c>
      <c r="B61" s="8" t="s">
        <v>448</v>
      </c>
      <c r="D61" s="77" t="s">
        <v>521</v>
      </c>
      <c r="E61" s="77">
        <v>101.77</v>
      </c>
    </row>
    <row r="62" spans="1:5">
      <c r="A62" s="88"/>
    </row>
    <row r="63" spans="1:5">
      <c r="A63" s="100">
        <v>45442</v>
      </c>
      <c r="B63" s="181" t="s">
        <v>478</v>
      </c>
      <c r="C63" s="106"/>
      <c r="D63" s="77" t="s">
        <v>522</v>
      </c>
      <c r="E63" s="77">
        <v>-1054.1400000000001</v>
      </c>
    </row>
    <row r="64" spans="1:5">
      <c r="A64" s="100">
        <v>45456</v>
      </c>
      <c r="B64" s="107" t="s">
        <v>449</v>
      </c>
      <c r="C64" s="106"/>
      <c r="D64" s="77" t="s">
        <v>523</v>
      </c>
      <c r="E64" s="77">
        <v>-3923.33</v>
      </c>
    </row>
    <row r="65" spans="1:5">
      <c r="A65" s="100">
        <v>45442</v>
      </c>
      <c r="B65" s="106" t="s">
        <v>524</v>
      </c>
      <c r="C65" s="106"/>
      <c r="E65" s="77">
        <v>-278.97000000000003</v>
      </c>
    </row>
    <row r="67" spans="1:5">
      <c r="A67" s="100">
        <v>45444</v>
      </c>
      <c r="B67" s="107" t="s">
        <v>525</v>
      </c>
      <c r="C67" s="106"/>
      <c r="E67" s="77">
        <v>-1379.4</v>
      </c>
    </row>
    <row r="68" spans="1:5" ht="15">
      <c r="A68" s="100">
        <v>45447</v>
      </c>
      <c r="B68" s="107" t="s">
        <v>130</v>
      </c>
      <c r="D68" s="77">
        <v>4300</v>
      </c>
      <c r="E68" s="105" t="s">
        <v>84</v>
      </c>
    </row>
    <row r="70" spans="1:5">
      <c r="A70" s="100"/>
      <c r="B70" s="3"/>
    </row>
    <row r="71" spans="1:5">
      <c r="A71" s="100"/>
      <c r="B71" s="106"/>
      <c r="C71" s="106"/>
    </row>
    <row r="72" spans="1:5">
      <c r="A72" s="103"/>
      <c r="B72" s="104" t="s">
        <v>85</v>
      </c>
      <c r="C72" s="103"/>
      <c r="E72" s="77">
        <f>SUM(E73:E130)</f>
        <v>-26619.52</v>
      </c>
    </row>
    <row r="73" spans="1:5">
      <c r="A73" s="100"/>
      <c r="B73" s="106"/>
      <c r="C73" s="106"/>
    </row>
    <row r="74" spans="1:5">
      <c r="A74" s="165">
        <v>45285</v>
      </c>
      <c r="B74" s="106" t="s">
        <v>526</v>
      </c>
      <c r="C74" s="106"/>
      <c r="D74" s="77" t="s">
        <v>527</v>
      </c>
      <c r="E74" s="77">
        <v>-3551.68</v>
      </c>
    </row>
    <row r="75" spans="1:5">
      <c r="A75" s="100"/>
      <c r="B75" s="3" t="s">
        <v>482</v>
      </c>
      <c r="C75" s="106"/>
      <c r="D75" s="77" t="s">
        <v>528</v>
      </c>
      <c r="E75" s="77">
        <v>-649.78</v>
      </c>
    </row>
    <row r="76" spans="1:5">
      <c r="A76" s="100"/>
      <c r="B76" s="3" t="s">
        <v>484</v>
      </c>
      <c r="C76" s="106"/>
      <c r="D76" s="77" t="s">
        <v>529</v>
      </c>
    </row>
    <row r="77" spans="1:5">
      <c r="A77" s="100"/>
      <c r="B77" s="3"/>
      <c r="C77" s="106"/>
    </row>
    <row r="78" spans="1:5">
      <c r="A78" s="100">
        <v>45456</v>
      </c>
      <c r="B78" s="8" t="s">
        <v>485</v>
      </c>
      <c r="C78" s="106"/>
      <c r="D78" s="77" t="s">
        <v>522</v>
      </c>
      <c r="E78" s="77">
        <v>-5875</v>
      </c>
    </row>
    <row r="79" spans="1:5">
      <c r="A79" s="100">
        <v>45456</v>
      </c>
      <c r="B79" s="8" t="s">
        <v>486</v>
      </c>
      <c r="C79" s="106"/>
      <c r="D79" s="77" t="s">
        <v>522</v>
      </c>
      <c r="E79" s="77">
        <v>-4300</v>
      </c>
    </row>
    <row r="80" spans="1:5">
      <c r="A80" s="100">
        <v>45465</v>
      </c>
      <c r="B80" s="3" t="s">
        <v>524</v>
      </c>
      <c r="C80" s="106"/>
      <c r="E80" s="77">
        <v>-483.01</v>
      </c>
    </row>
    <row r="81" spans="1:5">
      <c r="A81" s="100">
        <v>45436</v>
      </c>
      <c r="B81" s="3" t="s">
        <v>530</v>
      </c>
      <c r="C81" s="106"/>
      <c r="E81" s="77">
        <v>-80</v>
      </c>
    </row>
    <row r="82" spans="1:5">
      <c r="A82" s="100">
        <v>45436</v>
      </c>
      <c r="B82" s="3" t="s">
        <v>531</v>
      </c>
      <c r="C82" s="106"/>
      <c r="E82" s="77">
        <v>-1000</v>
      </c>
    </row>
    <row r="83" spans="1:5">
      <c r="A83" s="100">
        <v>45437</v>
      </c>
      <c r="B83" s="3" t="s">
        <v>532</v>
      </c>
      <c r="C83" s="106"/>
      <c r="E83" s="77">
        <v>-70</v>
      </c>
    </row>
    <row r="84" spans="1:5">
      <c r="A84" s="100">
        <v>45438</v>
      </c>
      <c r="B84" s="3" t="s">
        <v>414</v>
      </c>
      <c r="C84" s="106"/>
      <c r="E84" s="77">
        <v>-232.27</v>
      </c>
    </row>
    <row r="85" spans="1:5">
      <c r="A85" s="100">
        <v>45438</v>
      </c>
      <c r="B85" s="3" t="s">
        <v>533</v>
      </c>
      <c r="C85" s="106"/>
      <c r="E85" s="77">
        <v>-130</v>
      </c>
    </row>
    <row r="86" spans="1:5">
      <c r="A86" s="100">
        <v>45469</v>
      </c>
      <c r="B86" s="3" t="s">
        <v>534</v>
      </c>
      <c r="C86" s="106"/>
      <c r="E86" s="77">
        <v>-246.8</v>
      </c>
    </row>
    <row r="87" spans="1:5">
      <c r="A87" s="100">
        <v>45439</v>
      </c>
      <c r="B87" s="3" t="s">
        <v>532</v>
      </c>
      <c r="C87" s="106"/>
      <c r="E87" s="77">
        <v>-70</v>
      </c>
    </row>
    <row r="88" spans="1:5">
      <c r="A88" s="100">
        <v>45440</v>
      </c>
      <c r="B88" s="3" t="s">
        <v>489</v>
      </c>
      <c r="C88" s="106">
        <v>300</v>
      </c>
      <c r="E88" s="77">
        <v>-300</v>
      </c>
    </row>
    <row r="89" spans="1:5">
      <c r="A89" s="100">
        <v>45440</v>
      </c>
      <c r="B89" s="3" t="s">
        <v>535</v>
      </c>
      <c r="C89" s="106"/>
      <c r="E89" s="77">
        <v>-460</v>
      </c>
    </row>
    <row r="90" spans="1:5">
      <c r="A90" s="100">
        <v>45441</v>
      </c>
      <c r="B90" s="3" t="s">
        <v>414</v>
      </c>
      <c r="C90" s="106"/>
      <c r="E90" s="77">
        <v>-27.66</v>
      </c>
    </row>
    <row r="91" spans="1:5">
      <c r="A91" s="100">
        <v>45441</v>
      </c>
      <c r="B91" s="3" t="s">
        <v>489</v>
      </c>
      <c r="C91" s="106">
        <v>400</v>
      </c>
      <c r="E91" s="77">
        <v>-400</v>
      </c>
    </row>
    <row r="92" spans="1:5">
      <c r="A92" s="100">
        <v>45442</v>
      </c>
      <c r="B92" s="3" t="s">
        <v>489</v>
      </c>
      <c r="C92" s="106">
        <v>200</v>
      </c>
      <c r="E92" s="77">
        <v>-200</v>
      </c>
    </row>
    <row r="93" spans="1:5">
      <c r="A93" s="100">
        <v>45442</v>
      </c>
      <c r="B93" s="3" t="s">
        <v>536</v>
      </c>
      <c r="C93" s="106"/>
      <c r="E93" s="77">
        <v>-80</v>
      </c>
    </row>
    <row r="94" spans="1:5">
      <c r="A94" s="100">
        <v>45444</v>
      </c>
      <c r="B94" s="3" t="s">
        <v>537</v>
      </c>
      <c r="C94" s="106"/>
      <c r="E94" s="77">
        <v>-80</v>
      </c>
    </row>
    <row r="95" spans="1:5">
      <c r="A95" s="100">
        <v>45444</v>
      </c>
      <c r="B95" s="3" t="s">
        <v>414</v>
      </c>
      <c r="C95" s="106"/>
      <c r="E95" s="77">
        <v>-12.26</v>
      </c>
    </row>
    <row r="96" spans="1:5">
      <c r="A96" s="100">
        <v>45444</v>
      </c>
      <c r="B96" s="3" t="s">
        <v>489</v>
      </c>
      <c r="C96" s="106">
        <v>350</v>
      </c>
      <c r="E96" s="77">
        <v>-350</v>
      </c>
    </row>
    <row r="97" spans="1:5">
      <c r="A97" s="100">
        <v>45444</v>
      </c>
      <c r="B97" s="3" t="s">
        <v>538</v>
      </c>
      <c r="C97" s="106"/>
      <c r="E97" s="77">
        <v>-300</v>
      </c>
    </row>
    <row r="98" spans="1:5">
      <c r="A98" s="100">
        <v>45446</v>
      </c>
      <c r="B98" s="3" t="s">
        <v>180</v>
      </c>
      <c r="C98" s="106"/>
      <c r="E98" s="77">
        <v>-500</v>
      </c>
    </row>
    <row r="99" spans="1:5">
      <c r="A99" s="100">
        <v>45446</v>
      </c>
      <c r="B99" s="3" t="s">
        <v>532</v>
      </c>
      <c r="C99" s="106"/>
      <c r="E99" s="77">
        <v>-70</v>
      </c>
    </row>
    <row r="100" spans="1:5">
      <c r="A100" s="100">
        <v>45446</v>
      </c>
      <c r="B100" s="3" t="s">
        <v>130</v>
      </c>
      <c r="C100" s="106"/>
      <c r="D100" s="77">
        <v>7949.1</v>
      </c>
    </row>
    <row r="101" spans="1:5">
      <c r="A101" s="100">
        <v>45447</v>
      </c>
      <c r="B101" s="3" t="s">
        <v>489</v>
      </c>
      <c r="C101" s="106">
        <v>240</v>
      </c>
      <c r="E101" s="77">
        <v>-240</v>
      </c>
    </row>
    <row r="102" spans="1:5">
      <c r="A102" s="100">
        <v>45447</v>
      </c>
      <c r="B102" s="3" t="s">
        <v>532</v>
      </c>
      <c r="C102" s="106"/>
      <c r="E102" s="77">
        <v>-70</v>
      </c>
    </row>
    <row r="103" spans="1:5">
      <c r="A103" s="100">
        <v>45447</v>
      </c>
      <c r="B103" s="3" t="s">
        <v>130</v>
      </c>
      <c r="C103" s="106"/>
      <c r="D103" s="77">
        <v>11998.63</v>
      </c>
    </row>
    <row r="104" spans="1:5">
      <c r="A104" s="88">
        <v>45448</v>
      </c>
      <c r="B104" s="3" t="s">
        <v>489</v>
      </c>
      <c r="C104">
        <v>280</v>
      </c>
      <c r="E104" s="77">
        <v>-280</v>
      </c>
    </row>
    <row r="105" spans="1:5">
      <c r="A105" s="88">
        <v>45448</v>
      </c>
      <c r="B105" s="3" t="s">
        <v>539</v>
      </c>
    </row>
    <row r="106" spans="1:5">
      <c r="A106" s="88">
        <v>45449</v>
      </c>
      <c r="B106" s="3" t="s">
        <v>489</v>
      </c>
      <c r="C106">
        <v>300</v>
      </c>
      <c r="E106" s="77">
        <v>-300</v>
      </c>
    </row>
    <row r="107" spans="1:5">
      <c r="A107" s="88">
        <v>45449</v>
      </c>
      <c r="B107" s="3" t="s">
        <v>414</v>
      </c>
      <c r="E107" s="77">
        <v>-84.7</v>
      </c>
    </row>
    <row r="108" spans="1:5">
      <c r="A108" s="88">
        <v>45450</v>
      </c>
      <c r="B108" s="3" t="s">
        <v>489</v>
      </c>
      <c r="C108">
        <v>300</v>
      </c>
      <c r="E108" s="77">
        <v>-300</v>
      </c>
    </row>
    <row r="109" spans="1:5">
      <c r="A109" s="88">
        <v>45450</v>
      </c>
      <c r="B109" s="3" t="s">
        <v>537</v>
      </c>
      <c r="E109" s="77">
        <v>-80</v>
      </c>
    </row>
    <row r="110" spans="1:5">
      <c r="A110" s="88">
        <v>45451</v>
      </c>
      <c r="B110" s="3" t="s">
        <v>489</v>
      </c>
      <c r="C110">
        <v>250</v>
      </c>
      <c r="E110" s="77">
        <v>-250</v>
      </c>
    </row>
    <row r="111" spans="1:5">
      <c r="A111" s="88">
        <v>45451</v>
      </c>
      <c r="B111" s="3" t="s">
        <v>532</v>
      </c>
      <c r="E111" s="77">
        <v>-145</v>
      </c>
    </row>
    <row r="112" spans="1:5">
      <c r="A112" s="88">
        <v>45454</v>
      </c>
      <c r="B112" s="3" t="s">
        <v>489</v>
      </c>
      <c r="C112">
        <v>400</v>
      </c>
      <c r="E112" s="77">
        <v>-400</v>
      </c>
    </row>
    <row r="113" spans="1:5">
      <c r="A113" s="88">
        <v>45455</v>
      </c>
      <c r="B113" s="3" t="s">
        <v>540</v>
      </c>
      <c r="E113" s="77">
        <v>-300</v>
      </c>
    </row>
    <row r="114" spans="1:5">
      <c r="A114" s="88">
        <v>45456</v>
      </c>
      <c r="B114" s="3" t="s">
        <v>489</v>
      </c>
      <c r="C114">
        <v>300</v>
      </c>
      <c r="E114" s="77">
        <v>-300</v>
      </c>
    </row>
    <row r="115" spans="1:5">
      <c r="A115" s="88">
        <v>45456</v>
      </c>
      <c r="B115" s="3" t="s">
        <v>532</v>
      </c>
      <c r="E115" s="77">
        <v>-70</v>
      </c>
    </row>
    <row r="116" spans="1:5">
      <c r="A116" s="88">
        <v>45459</v>
      </c>
      <c r="B116" s="3" t="s">
        <v>537</v>
      </c>
      <c r="E116" s="77">
        <v>-80</v>
      </c>
    </row>
    <row r="117" spans="1:5">
      <c r="A117" s="88">
        <v>45460</v>
      </c>
      <c r="B117" s="3" t="s">
        <v>414</v>
      </c>
      <c r="E117" s="77">
        <v>-71.95</v>
      </c>
    </row>
    <row r="118" spans="1:5">
      <c r="A118" s="88">
        <v>45460</v>
      </c>
      <c r="B118" s="3" t="s">
        <v>180</v>
      </c>
      <c r="E118" s="77">
        <v>-500</v>
      </c>
    </row>
    <row r="119" spans="1:5">
      <c r="A119" s="88">
        <v>45463</v>
      </c>
      <c r="B119" s="3" t="s">
        <v>537</v>
      </c>
      <c r="E119" s="77">
        <v>-80</v>
      </c>
    </row>
    <row r="120" spans="1:5">
      <c r="A120" s="88">
        <v>45464</v>
      </c>
      <c r="B120" s="3" t="s">
        <v>541</v>
      </c>
      <c r="E120" s="77">
        <v>-105</v>
      </c>
    </row>
    <row r="121" spans="1:5">
      <c r="A121" s="88">
        <v>45464</v>
      </c>
      <c r="B121" s="3" t="s">
        <v>542</v>
      </c>
      <c r="E121" s="77">
        <v>-800</v>
      </c>
    </row>
    <row r="122" spans="1:5">
      <c r="A122" s="88">
        <v>45464</v>
      </c>
      <c r="B122" s="3" t="s">
        <v>543</v>
      </c>
      <c r="E122" s="77">
        <v>-277.5</v>
      </c>
    </row>
    <row r="123" spans="1:5">
      <c r="A123" s="88">
        <v>45465</v>
      </c>
      <c r="B123" s="3" t="s">
        <v>544</v>
      </c>
      <c r="E123" s="77">
        <v>-200</v>
      </c>
    </row>
    <row r="124" spans="1:5">
      <c r="A124" s="88">
        <v>45466</v>
      </c>
      <c r="B124" s="3" t="s">
        <v>545</v>
      </c>
      <c r="E124" s="77">
        <v>-689.5</v>
      </c>
    </row>
    <row r="125" spans="1:5">
      <c r="A125" s="88">
        <v>45466</v>
      </c>
      <c r="B125" s="3" t="s">
        <v>180</v>
      </c>
      <c r="E125" s="77">
        <v>-500</v>
      </c>
    </row>
    <row r="126" spans="1:5">
      <c r="A126" s="88">
        <v>45466</v>
      </c>
      <c r="B126" s="3" t="s">
        <v>546</v>
      </c>
      <c r="E126" s="77">
        <v>-650</v>
      </c>
    </row>
    <row r="127" spans="1:5">
      <c r="A127" s="88">
        <v>45466</v>
      </c>
      <c r="B127" s="3" t="s">
        <v>547</v>
      </c>
      <c r="E127" s="77">
        <v>-134.33000000000001</v>
      </c>
    </row>
    <row r="128" spans="1:5">
      <c r="A128" s="88">
        <v>45467</v>
      </c>
      <c r="B128" s="3" t="s">
        <v>548</v>
      </c>
      <c r="E128" s="77">
        <v>-28.05</v>
      </c>
    </row>
    <row r="129" spans="1:5">
      <c r="A129" s="88">
        <v>45467</v>
      </c>
      <c r="B129" s="3" t="s">
        <v>549</v>
      </c>
      <c r="E129" s="77">
        <v>-28.05</v>
      </c>
    </row>
    <row r="130" spans="1:5">
      <c r="A130" s="88">
        <v>45467</v>
      </c>
      <c r="B130" s="3" t="s">
        <v>550</v>
      </c>
      <c r="E130" s="77">
        <v>-186.98</v>
      </c>
    </row>
    <row r="131" spans="1:5" ht="15">
      <c r="B131" s="18" t="s">
        <v>423</v>
      </c>
      <c r="C131" s="3">
        <f>SUM(C86:C130)</f>
        <v>3320</v>
      </c>
      <c r="E131" s="105" t="s">
        <v>84</v>
      </c>
    </row>
    <row r="132" spans="1:5">
      <c r="B132" s="3" t="s">
        <v>551</v>
      </c>
    </row>
    <row r="133" spans="1:5">
      <c r="A133" s="113" t="s">
        <v>552</v>
      </c>
      <c r="B133" s="104" t="s">
        <v>137</v>
      </c>
      <c r="C133" s="103">
        <v>2024</v>
      </c>
      <c r="D133" s="158"/>
      <c r="E133" s="159">
        <f>SUM(E134:E154)</f>
        <v>981303.72722800006</v>
      </c>
    </row>
    <row r="134" spans="1:5">
      <c r="A134" s="160">
        <v>45474</v>
      </c>
      <c r="B134" s="8" t="s">
        <v>77</v>
      </c>
      <c r="C134" s="2"/>
      <c r="D134" s="2"/>
      <c r="E134" s="2">
        <v>64000</v>
      </c>
    </row>
    <row r="135" spans="1:5">
      <c r="A135" s="160">
        <f t="shared" ref="A135:A154" si="1">A134</f>
        <v>45474</v>
      </c>
      <c r="B135" s="8" t="s">
        <v>383</v>
      </c>
      <c r="C135" s="2"/>
      <c r="D135" s="2"/>
      <c r="E135" s="2">
        <v>150845</v>
      </c>
    </row>
    <row r="136" spans="1:5">
      <c r="A136" s="160">
        <f t="shared" si="1"/>
        <v>45474</v>
      </c>
      <c r="B136" s="8" t="s">
        <v>305</v>
      </c>
      <c r="C136" s="2"/>
      <c r="D136" s="2"/>
      <c r="E136" s="17">
        <v>12712.47</v>
      </c>
    </row>
    <row r="137" spans="1:5">
      <c r="A137" s="160">
        <f t="shared" si="1"/>
        <v>45474</v>
      </c>
      <c r="B137" s="8" t="s">
        <v>306</v>
      </c>
      <c r="C137" s="2"/>
      <c r="D137" s="2"/>
      <c r="E137" s="17">
        <v>0</v>
      </c>
    </row>
    <row r="138" spans="1:5">
      <c r="A138" s="160">
        <f t="shared" si="1"/>
        <v>45474</v>
      </c>
      <c r="B138" s="8" t="s">
        <v>503</v>
      </c>
      <c r="C138" s="2"/>
      <c r="D138" s="2"/>
      <c r="E138" s="17">
        <v>0</v>
      </c>
    </row>
    <row r="139" spans="1:5">
      <c r="A139" s="160">
        <f t="shared" si="1"/>
        <v>45474</v>
      </c>
      <c r="B139" s="8" t="s">
        <v>307</v>
      </c>
      <c r="C139" s="124"/>
      <c r="D139" s="2"/>
      <c r="E139" s="17">
        <v>0</v>
      </c>
    </row>
    <row r="140" spans="1:5">
      <c r="A140" s="160">
        <f t="shared" si="1"/>
        <v>45474</v>
      </c>
      <c r="B140" s="8" t="s">
        <v>241</v>
      </c>
      <c r="C140" s="2">
        <v>74</v>
      </c>
      <c r="D140" s="174">
        <v>677.53942199999995</v>
      </c>
      <c r="E140" s="17">
        <f t="shared" ref="E140:E152" si="2">D140*C140</f>
        <v>50137.917227999998</v>
      </c>
    </row>
    <row r="141" spans="1:5">
      <c r="A141" s="160">
        <f t="shared" si="1"/>
        <v>45474</v>
      </c>
      <c r="B141" s="8" t="s">
        <v>504</v>
      </c>
      <c r="C141" s="175">
        <v>125000</v>
      </c>
      <c r="D141" s="174">
        <v>0.83506999999999998</v>
      </c>
      <c r="E141" s="17">
        <f t="shared" si="2"/>
        <v>104383.75</v>
      </c>
    </row>
    <row r="142" spans="1:5">
      <c r="A142" s="160">
        <f t="shared" si="1"/>
        <v>45474</v>
      </c>
      <c r="B142" s="8" t="s">
        <v>505</v>
      </c>
      <c r="C142" s="2">
        <v>10</v>
      </c>
      <c r="D142" s="2">
        <v>123.7</v>
      </c>
      <c r="E142" s="17">
        <f t="shared" si="2"/>
        <v>1237</v>
      </c>
    </row>
    <row r="143" spans="1:5">
      <c r="A143" s="160">
        <f t="shared" si="1"/>
        <v>45474</v>
      </c>
      <c r="B143" s="8" t="s">
        <v>506</v>
      </c>
      <c r="C143" s="2">
        <v>38</v>
      </c>
      <c r="D143" s="2">
        <v>22.78</v>
      </c>
      <c r="E143" s="17">
        <f t="shared" si="2"/>
        <v>865.6400000000001</v>
      </c>
    </row>
    <row r="144" spans="1:5">
      <c r="A144" s="160">
        <f t="shared" si="1"/>
        <v>45474</v>
      </c>
      <c r="B144" s="8" t="s">
        <v>507</v>
      </c>
      <c r="C144" s="2">
        <v>26</v>
      </c>
      <c r="D144" s="2">
        <v>27.26</v>
      </c>
      <c r="E144" s="17">
        <f t="shared" si="2"/>
        <v>708.76</v>
      </c>
    </row>
    <row r="145" spans="1:5">
      <c r="A145" s="160">
        <f t="shared" si="1"/>
        <v>45474</v>
      </c>
      <c r="B145" s="8" t="s">
        <v>141</v>
      </c>
      <c r="C145" s="2"/>
      <c r="D145" s="2"/>
      <c r="E145" s="17">
        <f t="shared" si="2"/>
        <v>0</v>
      </c>
    </row>
    <row r="146" spans="1:5">
      <c r="A146" s="160">
        <f t="shared" si="1"/>
        <v>45474</v>
      </c>
      <c r="B146" s="8" t="s">
        <v>385</v>
      </c>
      <c r="C146" s="2">
        <v>7500</v>
      </c>
      <c r="D146" s="2">
        <v>24.5</v>
      </c>
      <c r="E146" s="17">
        <f t="shared" si="2"/>
        <v>183750</v>
      </c>
    </row>
    <row r="147" spans="1:5">
      <c r="A147" s="160">
        <f t="shared" si="1"/>
        <v>45474</v>
      </c>
      <c r="C147" s="2"/>
      <c r="D147" s="2"/>
      <c r="E147" s="17">
        <f t="shared" si="2"/>
        <v>0</v>
      </c>
    </row>
    <row r="148" spans="1:5">
      <c r="A148" s="160">
        <f t="shared" si="1"/>
        <v>45474</v>
      </c>
      <c r="C148" s="2"/>
      <c r="D148" s="2"/>
      <c r="E148" s="17">
        <f t="shared" si="2"/>
        <v>0</v>
      </c>
    </row>
    <row r="149" spans="1:5">
      <c r="A149" s="160">
        <f t="shared" si="1"/>
        <v>45474</v>
      </c>
      <c r="B149" s="8" t="s">
        <v>508</v>
      </c>
      <c r="C149" s="2">
        <v>2375.02</v>
      </c>
      <c r="D149" s="2">
        <v>156</v>
      </c>
      <c r="E149" s="17">
        <f t="shared" si="2"/>
        <v>370503.12</v>
      </c>
    </row>
    <row r="150" spans="1:5">
      <c r="A150" s="160">
        <f t="shared" si="1"/>
        <v>45474</v>
      </c>
      <c r="B150" s="8" t="s">
        <v>509</v>
      </c>
      <c r="C150" s="162">
        <v>31.963699999999999</v>
      </c>
      <c r="D150" s="2">
        <v>850</v>
      </c>
      <c r="E150" s="17">
        <f t="shared" si="2"/>
        <v>27169.145</v>
      </c>
    </row>
    <row r="151" spans="1:5">
      <c r="A151" s="160">
        <f t="shared" si="1"/>
        <v>45474</v>
      </c>
      <c r="B151" s="8" t="s">
        <v>510</v>
      </c>
      <c r="C151" s="162">
        <f>C150</f>
        <v>31.963699999999999</v>
      </c>
      <c r="D151" s="2">
        <v>250</v>
      </c>
      <c r="E151" s="17">
        <f t="shared" si="2"/>
        <v>7990.9250000000002</v>
      </c>
    </row>
    <row r="152" spans="1:5">
      <c r="A152" s="160">
        <f t="shared" si="1"/>
        <v>45474</v>
      </c>
      <c r="B152" s="8" t="s">
        <v>511</v>
      </c>
      <c r="C152" s="162">
        <v>34.412100000000002</v>
      </c>
      <c r="D152" s="2">
        <v>0</v>
      </c>
      <c r="E152" s="17">
        <f t="shared" si="2"/>
        <v>0</v>
      </c>
    </row>
    <row r="153" spans="1:5">
      <c r="A153" s="160">
        <f t="shared" si="1"/>
        <v>45474</v>
      </c>
      <c r="B153" s="8" t="s">
        <v>153</v>
      </c>
      <c r="C153" s="2"/>
      <c r="D153" s="2"/>
      <c r="E153" s="17">
        <v>3000</v>
      </c>
    </row>
    <row r="154" spans="1:5">
      <c r="A154" s="160">
        <f t="shared" si="1"/>
        <v>45474</v>
      </c>
      <c r="B154" s="8" t="s">
        <v>154</v>
      </c>
      <c r="C154" s="2"/>
      <c r="D154" s="2"/>
      <c r="E154" s="17">
        <v>4000</v>
      </c>
    </row>
    <row r="155" spans="1:5">
      <c r="E155" s="176"/>
    </row>
    <row r="156" spans="1:5">
      <c r="C156" s="124"/>
      <c r="D156" s="3"/>
      <c r="E156" s="124"/>
    </row>
    <row r="157" spans="1:5">
      <c r="C157" s="124"/>
      <c r="D157" s="18" t="s">
        <v>156</v>
      </c>
      <c r="E157" s="9">
        <f>SUM(E134:E154)</f>
        <v>981303.72722800006</v>
      </c>
    </row>
    <row r="158" spans="1:5">
      <c r="C158" s="125" t="str">
        <f>A133</f>
        <v>TEMMUZa</v>
      </c>
      <c r="D158" s="126" t="s">
        <v>157</v>
      </c>
      <c r="E158" s="127">
        <f>H2</f>
        <v>-59987.469999999994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E2F0D9"/>
  </sheetPr>
  <dimension ref="A1:H139"/>
  <sheetViews>
    <sheetView zoomScale="170" zoomScaleNormal="170" workbookViewId="0">
      <selection activeCell="B31" sqref="B31"/>
    </sheetView>
  </sheetViews>
  <sheetFormatPr defaultColWidth="12.28515625" defaultRowHeight="12.75"/>
  <cols>
    <col min="2" max="2" width="35.85546875" customWidth="1"/>
    <col min="3" max="3" width="9.42578125" customWidth="1"/>
    <col min="4" max="4" width="11.5703125" style="77" customWidth="1"/>
    <col min="5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553</v>
      </c>
      <c r="C2" s="79" t="s">
        <v>67</v>
      </c>
      <c r="D2" s="77">
        <f>SUM(D4:D36)</f>
        <v>33500</v>
      </c>
      <c r="E2" s="77">
        <f>SUM(E4:E36)</f>
        <v>-77377.563693000004</v>
      </c>
      <c r="F2" s="77">
        <f>SUM(F4:F36)</f>
        <v>13427.62</v>
      </c>
      <c r="G2" s="77">
        <f>SUM(G4:G36)</f>
        <v>-97778.153693</v>
      </c>
      <c r="H2" s="77">
        <f>F2+G2</f>
        <v>-84350.533693000005</v>
      </c>
    </row>
    <row r="3" spans="1:8">
      <c r="B3" s="18"/>
    </row>
    <row r="4" spans="1:8">
      <c r="A4">
        <v>29.5</v>
      </c>
      <c r="B4" s="41" t="s">
        <v>430</v>
      </c>
      <c r="E4" s="78">
        <v>-152</v>
      </c>
      <c r="F4" s="78"/>
      <c r="G4" s="78">
        <v>-166.9</v>
      </c>
      <c r="H4" s="78">
        <f t="shared" ref="H4:H34" si="0">H3+F4+G4</f>
        <v>-166.9</v>
      </c>
    </row>
    <row r="5" spans="1:8">
      <c r="B5" s="101" t="s">
        <v>554</v>
      </c>
      <c r="C5" s="101" t="s">
        <v>357</v>
      </c>
      <c r="E5" s="78">
        <v>-250</v>
      </c>
      <c r="F5" s="78"/>
      <c r="G5" s="78">
        <f>E5</f>
        <v>-250</v>
      </c>
      <c r="H5" s="78">
        <f t="shared" si="0"/>
        <v>-416.9</v>
      </c>
    </row>
    <row r="6" spans="1:8">
      <c r="A6">
        <v>29.5</v>
      </c>
      <c r="B6" s="101" t="s">
        <v>75</v>
      </c>
      <c r="C6" s="101" t="s">
        <v>328</v>
      </c>
      <c r="E6" s="78">
        <v>-150</v>
      </c>
      <c r="F6" s="78"/>
      <c r="G6" s="78">
        <v>-47.4</v>
      </c>
      <c r="H6" s="78">
        <f t="shared" si="0"/>
        <v>-464.29999999999995</v>
      </c>
    </row>
    <row r="7" spans="1:8">
      <c r="A7" s="165">
        <v>45446</v>
      </c>
      <c r="B7" s="177" t="s">
        <v>69</v>
      </c>
      <c r="D7" s="78"/>
      <c r="E7" s="78">
        <f>E65</f>
        <v>-19997.71</v>
      </c>
      <c r="F7" s="78"/>
      <c r="G7" s="78">
        <f>E7</f>
        <v>-19997.71</v>
      </c>
      <c r="H7" s="78">
        <f t="shared" si="0"/>
        <v>-20462.009999999998</v>
      </c>
    </row>
    <row r="8" spans="1:8">
      <c r="A8" s="165">
        <v>45446</v>
      </c>
      <c r="B8" s="177" t="s">
        <v>555</v>
      </c>
      <c r="D8" s="78"/>
      <c r="E8" s="78"/>
      <c r="F8" s="78"/>
      <c r="G8" s="78">
        <v>-7860.53</v>
      </c>
      <c r="H8" s="78">
        <f t="shared" si="0"/>
        <v>-28322.539999999997</v>
      </c>
    </row>
    <row r="9" spans="1:8">
      <c r="A9" s="165">
        <v>45447</v>
      </c>
      <c r="B9" s="177" t="s">
        <v>556</v>
      </c>
      <c r="D9" s="78"/>
      <c r="E9" s="78"/>
      <c r="F9" s="78"/>
      <c r="G9" s="78">
        <v>-11998.63</v>
      </c>
      <c r="H9" s="78">
        <f t="shared" si="0"/>
        <v>-40321.17</v>
      </c>
    </row>
    <row r="10" spans="1:8">
      <c r="A10" s="88">
        <v>45447</v>
      </c>
      <c r="B10" s="177" t="s">
        <v>68</v>
      </c>
      <c r="D10" s="78"/>
      <c r="E10" s="78">
        <f>E50</f>
        <v>-4300.09</v>
      </c>
      <c r="F10" s="78"/>
      <c r="G10" s="78">
        <v>-4300.09</v>
      </c>
      <c r="H10" s="78">
        <f t="shared" si="0"/>
        <v>-44621.259999999995</v>
      </c>
    </row>
    <row r="11" spans="1:8">
      <c r="A11" s="88">
        <v>45447</v>
      </c>
      <c r="B11" s="177" t="s">
        <v>557</v>
      </c>
      <c r="C11">
        <v>227.87</v>
      </c>
      <c r="D11" s="78"/>
      <c r="E11" s="78">
        <f>-1*C11*C12</f>
        <v>-8090.2736930000001</v>
      </c>
      <c r="F11" s="78"/>
      <c r="G11" s="78">
        <f>E11</f>
        <v>-8090.2736930000001</v>
      </c>
      <c r="H11" s="78">
        <f t="shared" si="0"/>
        <v>-52711.533692999998</v>
      </c>
    </row>
    <row r="12" spans="1:8">
      <c r="A12" s="88">
        <v>45447</v>
      </c>
      <c r="B12" s="177" t="s">
        <v>558</v>
      </c>
      <c r="C12">
        <v>35.503900000000002</v>
      </c>
      <c r="D12" s="78"/>
      <c r="E12" s="78"/>
      <c r="F12" s="78"/>
      <c r="G12" s="78"/>
      <c r="H12" s="78">
        <f t="shared" si="0"/>
        <v>-52711.533692999998</v>
      </c>
    </row>
    <row r="13" spans="1:8">
      <c r="A13" s="88">
        <v>45447</v>
      </c>
      <c r="B13" s="101" t="s">
        <v>559</v>
      </c>
      <c r="C13" s="101"/>
      <c r="D13" s="78"/>
      <c r="E13" s="78">
        <v>-1500</v>
      </c>
      <c r="F13" s="78"/>
      <c r="G13" s="78">
        <v>-1512.13</v>
      </c>
      <c r="H13" s="78">
        <f t="shared" si="0"/>
        <v>-54223.663692999995</v>
      </c>
    </row>
    <row r="14" spans="1:8">
      <c r="A14" s="88">
        <v>45450</v>
      </c>
      <c r="B14" s="8" t="s">
        <v>399</v>
      </c>
      <c r="E14" s="78">
        <v>-10000</v>
      </c>
      <c r="F14" s="78"/>
      <c r="G14" s="78">
        <f>E14</f>
        <v>-10000</v>
      </c>
      <c r="H14" s="78">
        <f t="shared" si="0"/>
        <v>-64223.663692999995</v>
      </c>
    </row>
    <row r="15" spans="1:8">
      <c r="A15" s="88">
        <v>45450</v>
      </c>
      <c r="B15" s="101" t="s">
        <v>560</v>
      </c>
      <c r="C15" s="101"/>
      <c r="E15" s="78">
        <v>-7500</v>
      </c>
      <c r="F15" s="78"/>
      <c r="G15" s="78">
        <f>E15</f>
        <v>-7500</v>
      </c>
      <c r="H15" s="78">
        <f t="shared" si="0"/>
        <v>-71723.663692999995</v>
      </c>
    </row>
    <row r="16" spans="1:8">
      <c r="A16" s="88">
        <v>45450</v>
      </c>
      <c r="B16" s="101" t="s">
        <v>561</v>
      </c>
      <c r="C16" s="101"/>
      <c r="E16" s="78">
        <v>-10000</v>
      </c>
      <c r="F16" s="78"/>
      <c r="G16" s="78">
        <f>E16</f>
        <v>-10000</v>
      </c>
      <c r="H16" s="78">
        <f t="shared" si="0"/>
        <v>-81723.663692999995</v>
      </c>
    </row>
    <row r="17" spans="1:8">
      <c r="A17" s="88"/>
      <c r="B17" s="101" t="s">
        <v>562</v>
      </c>
      <c r="C17" s="101"/>
      <c r="G17" s="78">
        <v>-700</v>
      </c>
      <c r="H17" s="78">
        <f t="shared" si="0"/>
        <v>-82423.663692999995</v>
      </c>
    </row>
    <row r="18" spans="1:8">
      <c r="A18" s="88"/>
      <c r="B18" s="101"/>
      <c r="C18" s="101"/>
      <c r="H18" s="78">
        <f t="shared" si="0"/>
        <v>-82423.663692999995</v>
      </c>
    </row>
    <row r="19" spans="1:8">
      <c r="A19" s="88">
        <v>45454</v>
      </c>
      <c r="B19" s="101" t="s">
        <v>563</v>
      </c>
      <c r="C19" s="101"/>
      <c r="D19" s="78"/>
      <c r="E19" s="78"/>
      <c r="F19" s="78">
        <v>3000</v>
      </c>
      <c r="G19" s="78"/>
      <c r="H19" s="78">
        <f t="shared" si="0"/>
        <v>-79423.663692999995</v>
      </c>
    </row>
    <row r="20" spans="1:8" ht="12" customHeight="1">
      <c r="A20" s="88">
        <v>45454</v>
      </c>
      <c r="B20" s="177" t="s">
        <v>72</v>
      </c>
      <c r="D20" s="78"/>
      <c r="E20" s="78">
        <f>E47*-1</f>
        <v>-37.49</v>
      </c>
      <c r="F20" s="78"/>
      <c r="G20" s="78">
        <v>-37.49</v>
      </c>
      <c r="H20" s="78">
        <f t="shared" si="0"/>
        <v>-79461.153693</v>
      </c>
    </row>
    <row r="21" spans="1:8">
      <c r="A21" s="88">
        <v>45463</v>
      </c>
      <c r="B21" s="106" t="s">
        <v>73</v>
      </c>
      <c r="C21" s="106" t="s">
        <v>328</v>
      </c>
      <c r="D21" s="78"/>
      <c r="E21" s="78">
        <v>-300</v>
      </c>
      <c r="F21" s="78"/>
      <c r="G21" s="78">
        <v>-305</v>
      </c>
      <c r="H21" s="78">
        <f t="shared" si="0"/>
        <v>-79766.153693</v>
      </c>
    </row>
    <row r="22" spans="1:8">
      <c r="A22" s="88">
        <v>45463</v>
      </c>
      <c r="B22" s="106" t="s">
        <v>74</v>
      </c>
      <c r="C22" s="106" t="s">
        <v>328</v>
      </c>
      <c r="D22" s="78"/>
      <c r="E22" s="78">
        <v>-100</v>
      </c>
      <c r="F22" s="78"/>
      <c r="G22" s="78">
        <v>0</v>
      </c>
      <c r="H22" s="78">
        <f t="shared" si="0"/>
        <v>-79766.153693</v>
      </c>
    </row>
    <row r="23" spans="1:8">
      <c r="H23" s="78">
        <f t="shared" si="0"/>
        <v>-79766.153693</v>
      </c>
    </row>
    <row r="24" spans="1:8">
      <c r="A24" s="88"/>
      <c r="B24" s="101"/>
      <c r="C24" s="101"/>
      <c r="H24" s="78">
        <f t="shared" si="0"/>
        <v>-79766.153693</v>
      </c>
    </row>
    <row r="25" spans="1:8">
      <c r="A25" s="88"/>
      <c r="B25" s="101"/>
      <c r="C25" s="101"/>
      <c r="H25" s="78">
        <f t="shared" si="0"/>
        <v>-79766.153693</v>
      </c>
    </row>
    <row r="26" spans="1:8">
      <c r="H26" s="78">
        <f t="shared" si="0"/>
        <v>-79766.153693</v>
      </c>
    </row>
    <row r="27" spans="1:8">
      <c r="A27" s="88">
        <v>45476</v>
      </c>
      <c r="B27" s="8" t="s">
        <v>77</v>
      </c>
      <c r="D27" s="78"/>
      <c r="E27" s="78">
        <v>-5000</v>
      </c>
      <c r="F27" s="78"/>
      <c r="G27" s="78">
        <v>-5006</v>
      </c>
      <c r="H27" s="78">
        <f t="shared" si="0"/>
        <v>-84772.153693</v>
      </c>
    </row>
    <row r="28" spans="1:8">
      <c r="A28" s="88">
        <v>45476</v>
      </c>
      <c r="B28" s="8" t="s">
        <v>78</v>
      </c>
      <c r="D28" s="78"/>
      <c r="E28" s="78">
        <v>-5000</v>
      </c>
      <c r="F28" s="78"/>
      <c r="G28" s="78">
        <v>-5006</v>
      </c>
      <c r="H28" s="78">
        <f t="shared" si="0"/>
        <v>-89778.153693</v>
      </c>
    </row>
    <row r="29" spans="1:8">
      <c r="B29" t="s">
        <v>79</v>
      </c>
      <c r="D29" s="78"/>
      <c r="E29" s="78">
        <v>-5000</v>
      </c>
      <c r="F29" s="78"/>
      <c r="G29" s="78">
        <v>-5000</v>
      </c>
      <c r="H29" s="78">
        <f t="shared" si="0"/>
        <v>-94778.153693</v>
      </c>
    </row>
    <row r="30" spans="1:8">
      <c r="D30" s="78"/>
      <c r="E30" s="78"/>
      <c r="F30" s="78"/>
      <c r="G30" s="78"/>
      <c r="H30" s="78">
        <f t="shared" si="0"/>
        <v>-94778.153693</v>
      </c>
    </row>
    <row r="31" spans="1:8">
      <c r="B31" t="s">
        <v>76</v>
      </c>
      <c r="D31" s="78">
        <v>10000</v>
      </c>
      <c r="E31" s="78"/>
      <c r="F31" s="78">
        <v>10427.620000000001</v>
      </c>
      <c r="G31" s="78"/>
      <c r="H31" s="78">
        <f t="shared" si="0"/>
        <v>-84350.533693000005</v>
      </c>
    </row>
    <row r="32" spans="1:8">
      <c r="A32" s="100"/>
      <c r="B32" s="170" t="s">
        <v>514</v>
      </c>
      <c r="C32" s="170"/>
      <c r="D32" s="167">
        <v>15000</v>
      </c>
      <c r="E32" s="78"/>
      <c r="F32" s="78"/>
      <c r="G32" s="78"/>
      <c r="H32" s="78">
        <f t="shared" si="0"/>
        <v>-84350.533693000005</v>
      </c>
    </row>
    <row r="33" spans="1:8">
      <c r="A33" s="88">
        <v>45351</v>
      </c>
      <c r="B33" s="170" t="s">
        <v>441</v>
      </c>
      <c r="C33" s="170"/>
      <c r="D33" s="183">
        <v>8500</v>
      </c>
      <c r="E33" s="78"/>
      <c r="F33" s="78"/>
      <c r="G33" s="78"/>
      <c r="H33" s="78">
        <f t="shared" si="0"/>
        <v>-84350.533693000005</v>
      </c>
    </row>
    <row r="34" spans="1:8">
      <c r="D34" s="78"/>
      <c r="E34" s="78"/>
      <c r="F34" s="78"/>
      <c r="G34" s="78"/>
      <c r="H34" s="78">
        <f t="shared" si="0"/>
        <v>-84350.533693000005</v>
      </c>
    </row>
    <row r="36" spans="1:8" ht="15.75">
      <c r="B36" s="179"/>
    </row>
    <row r="38" spans="1:8">
      <c r="B38" t="s">
        <v>330</v>
      </c>
    </row>
    <row r="39" spans="1:8">
      <c r="A39" s="103" t="s">
        <v>331</v>
      </c>
      <c r="B39" s="103"/>
      <c r="C39" s="103"/>
    </row>
    <row r="40" spans="1:8">
      <c r="A40" s="100"/>
      <c r="C40" s="171"/>
    </row>
    <row r="41" spans="1:8">
      <c r="A41" s="172">
        <v>44929</v>
      </c>
      <c r="B41" s="173" t="s">
        <v>332</v>
      </c>
      <c r="C41" s="103"/>
      <c r="D41" s="77">
        <f>SUM(D42:D47)</f>
        <v>5394.16</v>
      </c>
      <c r="E41" s="77">
        <f>SUM(E42:E47)</f>
        <v>4605.33</v>
      </c>
    </row>
    <row r="42" spans="1:8">
      <c r="A42" s="100"/>
      <c r="B42" s="106" t="s">
        <v>333</v>
      </c>
      <c r="D42" s="77">
        <v>468.65</v>
      </c>
    </row>
    <row r="43" spans="1:8">
      <c r="B43" t="s">
        <v>334</v>
      </c>
      <c r="D43" s="77">
        <v>1257.73</v>
      </c>
      <c r="E43" s="77">
        <v>1260</v>
      </c>
    </row>
    <row r="44" spans="1:8">
      <c r="B44" t="s">
        <v>564</v>
      </c>
      <c r="C44" t="s">
        <v>565</v>
      </c>
      <c r="D44" s="77">
        <v>919.84</v>
      </c>
      <c r="E44" s="77">
        <v>919.84</v>
      </c>
    </row>
    <row r="45" spans="1:8">
      <c r="B45" t="s">
        <v>336</v>
      </c>
      <c r="D45" s="77">
        <v>2358.0300000000002</v>
      </c>
      <c r="E45" s="77">
        <v>2358</v>
      </c>
    </row>
    <row r="46" spans="1:8">
      <c r="B46" t="s">
        <v>337</v>
      </c>
      <c r="D46" s="77">
        <v>352.42</v>
      </c>
      <c r="E46" s="77">
        <v>30</v>
      </c>
    </row>
    <row r="47" spans="1:8">
      <c r="B47" t="s">
        <v>338</v>
      </c>
      <c r="C47" s="106"/>
      <c r="D47" s="77">
        <v>37.49</v>
      </c>
      <c r="E47" s="77">
        <v>37.49</v>
      </c>
    </row>
    <row r="48" spans="1:8">
      <c r="B48">
        <v>-4625</v>
      </c>
      <c r="C48" s="106"/>
    </row>
    <row r="49" spans="1:6">
      <c r="B49" s="102"/>
    </row>
    <row r="50" spans="1:6">
      <c r="A50" s="103"/>
      <c r="B50" s="104" t="s">
        <v>83</v>
      </c>
      <c r="C50" s="103"/>
      <c r="E50" s="77">
        <f>SUM(E51:E62)</f>
        <v>-4300.09</v>
      </c>
    </row>
    <row r="52" spans="1:6">
      <c r="A52" s="100"/>
      <c r="B52" s="106"/>
      <c r="C52" s="106"/>
    </row>
    <row r="53" spans="1:6">
      <c r="A53" s="100">
        <v>45187</v>
      </c>
      <c r="B53" s="106" t="s">
        <v>566</v>
      </c>
      <c r="C53" s="106">
        <v>7648.33</v>
      </c>
      <c r="D53" s="77" t="s">
        <v>567</v>
      </c>
      <c r="E53" s="77">
        <v>-849.85</v>
      </c>
      <c r="F53" s="77">
        <v>0</v>
      </c>
    </row>
    <row r="54" spans="1:6">
      <c r="A54" s="88">
        <v>45348</v>
      </c>
      <c r="B54" s="8" t="s">
        <v>444</v>
      </c>
      <c r="C54">
        <v>1406</v>
      </c>
      <c r="D54" s="77" t="s">
        <v>568</v>
      </c>
      <c r="E54" s="77">
        <v>-234.33</v>
      </c>
      <c r="F54" s="77">
        <v>0</v>
      </c>
    </row>
    <row r="55" spans="1:6">
      <c r="A55" s="88">
        <v>45373</v>
      </c>
      <c r="B55" s="8" t="s">
        <v>339</v>
      </c>
      <c r="C55">
        <v>10176.39</v>
      </c>
      <c r="D55" s="77" t="s">
        <v>569</v>
      </c>
      <c r="E55" s="77">
        <v>-1130.71</v>
      </c>
      <c r="F55" s="77">
        <v>0</v>
      </c>
    </row>
    <row r="56" spans="1:6">
      <c r="A56" s="88">
        <v>45375</v>
      </c>
      <c r="B56" s="8" t="s">
        <v>341</v>
      </c>
      <c r="C56">
        <v>5999</v>
      </c>
      <c r="D56" s="77" t="s">
        <v>569</v>
      </c>
      <c r="E56" s="77">
        <v>-666.56</v>
      </c>
      <c r="F56" s="77">
        <v>0</v>
      </c>
    </row>
    <row r="57" spans="1:6">
      <c r="A57" s="88">
        <v>45358</v>
      </c>
      <c r="B57" s="8" t="s">
        <v>447</v>
      </c>
      <c r="C57">
        <v>2273</v>
      </c>
      <c r="D57" s="77" t="s">
        <v>568</v>
      </c>
      <c r="E57" s="77">
        <v>-378.87</v>
      </c>
      <c r="F57" s="77">
        <v>0</v>
      </c>
    </row>
    <row r="58" spans="1:6">
      <c r="A58" s="88">
        <v>45371</v>
      </c>
      <c r="B58" s="8" t="s">
        <v>448</v>
      </c>
      <c r="D58" s="77" t="s">
        <v>568</v>
      </c>
      <c r="E58" s="77">
        <v>101.77</v>
      </c>
    </row>
    <row r="59" spans="1:6">
      <c r="A59" s="88"/>
    </row>
    <row r="60" spans="1:6">
      <c r="A60" s="100">
        <v>45418</v>
      </c>
      <c r="B60" s="107" t="s">
        <v>570</v>
      </c>
      <c r="C60" s="106"/>
      <c r="E60" s="77">
        <v>-251.54</v>
      </c>
      <c r="F60" s="77">
        <v>0</v>
      </c>
    </row>
    <row r="61" spans="1:6">
      <c r="A61" s="100">
        <v>45418</v>
      </c>
      <c r="B61" s="107" t="s">
        <v>571</v>
      </c>
      <c r="E61" s="77">
        <v>-890</v>
      </c>
      <c r="F61" s="77">
        <v>0</v>
      </c>
    </row>
    <row r="62" spans="1:6" ht="15">
      <c r="A62" s="100">
        <v>45418</v>
      </c>
      <c r="B62" s="107" t="s">
        <v>130</v>
      </c>
      <c r="C62" s="106">
        <v>4278.51</v>
      </c>
      <c r="D62" s="182"/>
      <c r="E62" s="105" t="s">
        <v>84</v>
      </c>
    </row>
    <row r="63" spans="1:6">
      <c r="A63" s="100"/>
      <c r="B63" s="3"/>
    </row>
    <row r="64" spans="1:6">
      <c r="A64" s="100"/>
      <c r="B64" s="106"/>
      <c r="C64" s="106"/>
    </row>
    <row r="65" spans="1:6">
      <c r="A65" s="103"/>
      <c r="B65" s="104" t="s">
        <v>85</v>
      </c>
      <c r="C65" s="103"/>
      <c r="D65" s="77">
        <v>19997.71</v>
      </c>
      <c r="E65" s="77">
        <f>SUM(E66:E114)</f>
        <v>-19997.71</v>
      </c>
      <c r="F65" s="77">
        <f>D65+E65</f>
        <v>0</v>
      </c>
    </row>
    <row r="66" spans="1:6">
      <c r="A66" s="100"/>
      <c r="B66" s="106"/>
      <c r="C66" s="106"/>
    </row>
    <row r="67" spans="1:6">
      <c r="A67" s="165">
        <v>45285</v>
      </c>
      <c r="B67" s="106" t="s">
        <v>526</v>
      </c>
      <c r="C67" s="106"/>
      <c r="D67" s="77" t="s">
        <v>572</v>
      </c>
      <c r="E67" s="77">
        <v>-3551.66</v>
      </c>
    </row>
    <row r="68" spans="1:6">
      <c r="A68" s="100"/>
      <c r="B68" s="3" t="s">
        <v>482</v>
      </c>
      <c r="C68" s="106"/>
      <c r="D68" s="77" t="s">
        <v>573</v>
      </c>
      <c r="E68" s="77">
        <v>-649.78</v>
      </c>
    </row>
    <row r="69" spans="1:6">
      <c r="A69" s="100"/>
      <c r="B69" s="3" t="s">
        <v>484</v>
      </c>
      <c r="C69" s="106">
        <v>49.98</v>
      </c>
      <c r="D69" s="77" t="s">
        <v>573</v>
      </c>
    </row>
    <row r="70" spans="1:6">
      <c r="A70" s="100"/>
      <c r="B70" s="3"/>
      <c r="C70" s="106"/>
    </row>
    <row r="71" spans="1:6">
      <c r="A71" s="100">
        <v>45408</v>
      </c>
      <c r="B71" s="3" t="s">
        <v>574</v>
      </c>
      <c r="C71" s="106"/>
      <c r="E71" s="77">
        <v>-1407.23</v>
      </c>
    </row>
    <row r="72" spans="1:6">
      <c r="A72" s="100">
        <v>45420</v>
      </c>
      <c r="B72" s="3" t="s">
        <v>539</v>
      </c>
      <c r="C72" s="106">
        <v>300</v>
      </c>
    </row>
    <row r="73" spans="1:6">
      <c r="A73" s="100">
        <v>45426</v>
      </c>
      <c r="B73" s="3" t="s">
        <v>575</v>
      </c>
      <c r="C73" s="106"/>
      <c r="E73" s="77">
        <v>-1469</v>
      </c>
    </row>
    <row r="74" spans="1:6">
      <c r="A74" s="100">
        <v>45426</v>
      </c>
      <c r="B74" s="3" t="s">
        <v>576</v>
      </c>
      <c r="C74" s="106"/>
      <c r="E74" s="77">
        <v>-1453</v>
      </c>
    </row>
    <row r="75" spans="1:6">
      <c r="A75" s="100">
        <v>45427</v>
      </c>
      <c r="B75" s="3" t="s">
        <v>577</v>
      </c>
      <c r="C75" s="106"/>
      <c r="E75" s="77">
        <v>905.5</v>
      </c>
    </row>
    <row r="76" spans="1:6">
      <c r="A76" s="100"/>
      <c r="C76" s="106"/>
    </row>
    <row r="77" spans="1:6">
      <c r="A77" s="100">
        <v>45407</v>
      </c>
      <c r="B77" s="3" t="s">
        <v>578</v>
      </c>
      <c r="C77" s="106"/>
      <c r="E77" s="77">
        <v>-800</v>
      </c>
      <c r="F77" s="77">
        <v>0</v>
      </c>
    </row>
    <row r="78" spans="1:6">
      <c r="A78" s="100">
        <v>45408</v>
      </c>
      <c r="B78" s="3" t="s">
        <v>579</v>
      </c>
      <c r="C78" s="106"/>
      <c r="E78" s="77">
        <v>-550</v>
      </c>
      <c r="F78" s="77">
        <v>0</v>
      </c>
    </row>
    <row r="79" spans="1:6">
      <c r="A79" s="100">
        <v>45411</v>
      </c>
      <c r="B79" s="3" t="s">
        <v>580</v>
      </c>
      <c r="C79" s="106"/>
      <c r="E79" s="77">
        <v>-70</v>
      </c>
      <c r="F79" s="77">
        <v>0</v>
      </c>
    </row>
    <row r="80" spans="1:6">
      <c r="A80" s="100">
        <v>45412</v>
      </c>
      <c r="B80" s="3" t="s">
        <v>581</v>
      </c>
      <c r="C80" s="106" t="s">
        <v>582</v>
      </c>
      <c r="D80" s="77">
        <f>E80</f>
        <v>-250</v>
      </c>
      <c r="E80" s="77">
        <v>-250</v>
      </c>
      <c r="F80" s="77">
        <v>0</v>
      </c>
    </row>
    <row r="81" spans="1:6">
      <c r="A81" s="100">
        <v>45412</v>
      </c>
      <c r="B81" s="3" t="s">
        <v>583</v>
      </c>
      <c r="C81" s="106"/>
      <c r="E81" s="77">
        <v>-1508</v>
      </c>
      <c r="F81" s="77">
        <v>0</v>
      </c>
    </row>
    <row r="82" spans="1:6">
      <c r="A82" s="100">
        <v>45412</v>
      </c>
      <c r="B82" s="3" t="s">
        <v>584</v>
      </c>
      <c r="C82" s="106"/>
      <c r="E82" s="77">
        <v>-70</v>
      </c>
      <c r="F82" s="77">
        <v>0</v>
      </c>
    </row>
    <row r="83" spans="1:6">
      <c r="A83" s="100">
        <v>45413</v>
      </c>
      <c r="B83" s="3" t="s">
        <v>585</v>
      </c>
      <c r="C83" s="106"/>
      <c r="E83" s="77">
        <v>-516</v>
      </c>
      <c r="F83" s="77">
        <v>0</v>
      </c>
    </row>
    <row r="84" spans="1:6">
      <c r="A84" s="100">
        <v>45413</v>
      </c>
      <c r="B84" s="3" t="s">
        <v>586</v>
      </c>
      <c r="C84" s="106"/>
      <c r="E84" s="77">
        <v>-150</v>
      </c>
      <c r="F84" s="77">
        <v>0</v>
      </c>
    </row>
    <row r="85" spans="1:6">
      <c r="A85" s="100">
        <v>45413</v>
      </c>
      <c r="B85" s="3" t="s">
        <v>586</v>
      </c>
      <c r="C85" s="106"/>
      <c r="E85" s="77">
        <v>-150</v>
      </c>
      <c r="F85" s="77">
        <v>0</v>
      </c>
    </row>
    <row r="86" spans="1:6">
      <c r="A86" s="100">
        <v>45413</v>
      </c>
      <c r="B86" s="3" t="s">
        <v>530</v>
      </c>
      <c r="C86" s="106"/>
      <c r="E86" s="77">
        <v>-530</v>
      </c>
      <c r="F86" s="77">
        <v>0</v>
      </c>
    </row>
    <row r="87" spans="1:6">
      <c r="A87" s="100">
        <v>45418</v>
      </c>
      <c r="B87" s="3" t="s">
        <v>130</v>
      </c>
      <c r="C87" s="106">
        <v>23491.02</v>
      </c>
    </row>
    <row r="88" spans="1:6">
      <c r="A88" s="100">
        <v>45420</v>
      </c>
      <c r="B88" s="3" t="s">
        <v>414</v>
      </c>
      <c r="C88" s="106"/>
      <c r="E88" s="77">
        <v>-518.4</v>
      </c>
      <c r="F88" s="77">
        <v>0</v>
      </c>
    </row>
    <row r="89" spans="1:6">
      <c r="A89" s="100">
        <v>45422</v>
      </c>
      <c r="B89" s="3" t="s">
        <v>587</v>
      </c>
      <c r="C89" s="106"/>
      <c r="E89" s="77">
        <v>-80</v>
      </c>
      <c r="F89" s="77">
        <v>0</v>
      </c>
    </row>
    <row r="90" spans="1:6">
      <c r="A90" s="100">
        <v>45424</v>
      </c>
      <c r="B90" s="3" t="s">
        <v>414</v>
      </c>
      <c r="C90" s="106"/>
      <c r="E90" s="77">
        <v>-173.82</v>
      </c>
      <c r="F90" s="77">
        <v>0</v>
      </c>
    </row>
    <row r="91" spans="1:6">
      <c r="A91" s="100">
        <v>45425</v>
      </c>
      <c r="B91" s="3" t="s">
        <v>581</v>
      </c>
      <c r="C91" s="106" t="s">
        <v>582</v>
      </c>
      <c r="D91" s="77">
        <f>E91</f>
        <v>-200</v>
      </c>
      <c r="E91" s="77">
        <v>-200</v>
      </c>
      <c r="F91" s="77">
        <v>0</v>
      </c>
    </row>
    <row r="92" spans="1:6">
      <c r="A92" s="100">
        <v>45426</v>
      </c>
      <c r="B92" s="3" t="s">
        <v>581</v>
      </c>
      <c r="C92" s="106" t="s">
        <v>582</v>
      </c>
      <c r="D92" s="77">
        <f>E92</f>
        <v>-300</v>
      </c>
      <c r="E92" s="77">
        <v>-300</v>
      </c>
      <c r="F92" s="77">
        <v>0</v>
      </c>
    </row>
    <row r="93" spans="1:6">
      <c r="A93" s="100">
        <v>45426</v>
      </c>
      <c r="B93" s="3" t="s">
        <v>588</v>
      </c>
      <c r="C93" s="106"/>
      <c r="E93" s="77">
        <v>-600</v>
      </c>
      <c r="F93" s="77">
        <v>0</v>
      </c>
    </row>
    <row r="94" spans="1:6">
      <c r="A94" s="100">
        <v>45427</v>
      </c>
      <c r="B94" s="3" t="s">
        <v>589</v>
      </c>
      <c r="C94" s="106">
        <v>95.08</v>
      </c>
      <c r="F94" s="77">
        <v>0</v>
      </c>
    </row>
    <row r="95" spans="1:6">
      <c r="A95" s="88">
        <v>45427</v>
      </c>
      <c r="B95" s="3" t="s">
        <v>590</v>
      </c>
      <c r="E95" s="77">
        <v>-1123.1500000000001</v>
      </c>
      <c r="F95" s="77">
        <v>0</v>
      </c>
    </row>
    <row r="96" spans="1:6">
      <c r="A96" s="88">
        <v>45427</v>
      </c>
      <c r="B96" s="3" t="s">
        <v>591</v>
      </c>
      <c r="C96">
        <v>1.26</v>
      </c>
      <c r="F96" s="77">
        <v>0</v>
      </c>
    </row>
    <row r="97" spans="1:6">
      <c r="A97" s="88">
        <v>45427</v>
      </c>
      <c r="B97" s="3" t="s">
        <v>592</v>
      </c>
      <c r="E97" s="77">
        <v>-16</v>
      </c>
      <c r="F97" s="77">
        <v>0</v>
      </c>
    </row>
    <row r="98" spans="1:6">
      <c r="A98" s="88">
        <v>45427</v>
      </c>
      <c r="B98" s="3" t="s">
        <v>593</v>
      </c>
      <c r="E98" s="77">
        <v>-375</v>
      </c>
      <c r="F98" s="77">
        <v>0</v>
      </c>
    </row>
    <row r="99" spans="1:6">
      <c r="A99" s="88">
        <v>45427</v>
      </c>
      <c r="B99" s="3" t="s">
        <v>592</v>
      </c>
      <c r="E99" s="77">
        <v>-11.5</v>
      </c>
      <c r="F99" s="77">
        <v>0</v>
      </c>
    </row>
    <row r="100" spans="1:6">
      <c r="A100" s="88">
        <v>45428</v>
      </c>
      <c r="B100" s="3" t="s">
        <v>594</v>
      </c>
      <c r="E100" s="77">
        <v>-500</v>
      </c>
      <c r="F100" s="77">
        <v>0</v>
      </c>
    </row>
    <row r="101" spans="1:6">
      <c r="A101" s="88">
        <v>45428</v>
      </c>
      <c r="B101" s="3" t="s">
        <v>595</v>
      </c>
      <c r="E101" s="77">
        <v>-594.67999999999995</v>
      </c>
      <c r="F101" s="77">
        <v>0</v>
      </c>
    </row>
    <row r="102" spans="1:6">
      <c r="A102" s="88">
        <v>45430</v>
      </c>
      <c r="B102" s="3" t="s">
        <v>595</v>
      </c>
      <c r="E102" s="77">
        <v>-169.99</v>
      </c>
      <c r="F102" s="77">
        <v>0</v>
      </c>
    </row>
    <row r="103" spans="1:6">
      <c r="A103" s="88">
        <v>45430</v>
      </c>
      <c r="B103" s="3" t="s">
        <v>596</v>
      </c>
      <c r="E103" s="77">
        <v>-330</v>
      </c>
      <c r="F103" s="77">
        <v>0</v>
      </c>
    </row>
    <row r="104" spans="1:6">
      <c r="A104" s="88">
        <v>45430</v>
      </c>
      <c r="B104" s="3" t="s">
        <v>595</v>
      </c>
      <c r="E104" s="77">
        <v>-139.9</v>
      </c>
      <c r="F104" s="77">
        <v>0</v>
      </c>
    </row>
    <row r="105" spans="1:6">
      <c r="A105" s="88">
        <v>45430</v>
      </c>
      <c r="B105" s="3" t="s">
        <v>594</v>
      </c>
      <c r="E105" s="77">
        <v>-500</v>
      </c>
      <c r="F105" s="77">
        <v>0</v>
      </c>
    </row>
    <row r="106" spans="1:6">
      <c r="A106" s="88">
        <v>45431</v>
      </c>
      <c r="B106" s="3" t="s">
        <v>597</v>
      </c>
      <c r="E106" s="77">
        <v>-266</v>
      </c>
      <c r="F106" s="77">
        <v>0</v>
      </c>
    </row>
    <row r="107" spans="1:6">
      <c r="A107" s="88">
        <v>45432</v>
      </c>
      <c r="B107" s="3" t="s">
        <v>597</v>
      </c>
      <c r="E107" s="77">
        <v>-22.1</v>
      </c>
      <c r="F107" s="77">
        <v>0</v>
      </c>
    </row>
    <row r="108" spans="1:6">
      <c r="A108" s="88">
        <v>45432</v>
      </c>
      <c r="B108" s="3" t="s">
        <v>592</v>
      </c>
      <c r="E108" s="77">
        <v>-11.5</v>
      </c>
      <c r="F108" s="77">
        <v>0</v>
      </c>
    </row>
    <row r="109" spans="1:6">
      <c r="A109" s="88">
        <v>45432</v>
      </c>
      <c r="B109" s="3" t="s">
        <v>593</v>
      </c>
      <c r="E109" s="77">
        <v>-335</v>
      </c>
      <c r="F109" s="77">
        <v>0</v>
      </c>
    </row>
    <row r="110" spans="1:6">
      <c r="A110" s="88">
        <v>45432</v>
      </c>
      <c r="B110" s="3" t="s">
        <v>592</v>
      </c>
      <c r="E110" s="77">
        <v>-11.5</v>
      </c>
      <c r="F110" s="77">
        <v>0</v>
      </c>
    </row>
    <row r="111" spans="1:6">
      <c r="A111" s="88">
        <v>45432</v>
      </c>
      <c r="B111" s="3" t="s">
        <v>598</v>
      </c>
      <c r="E111" s="77">
        <v>-650</v>
      </c>
      <c r="F111" s="77">
        <v>0</v>
      </c>
    </row>
    <row r="112" spans="1:6">
      <c r="A112" s="88">
        <v>45435</v>
      </c>
      <c r="B112" s="3" t="s">
        <v>581</v>
      </c>
      <c r="C112" s="8" t="s">
        <v>582</v>
      </c>
      <c r="D112" s="77">
        <f>E112</f>
        <v>-300</v>
      </c>
      <c r="E112" s="77">
        <v>-300</v>
      </c>
      <c r="F112" s="77">
        <v>0</v>
      </c>
    </row>
    <row r="113" spans="1:6">
      <c r="A113" s="88">
        <v>45435</v>
      </c>
      <c r="B113" s="3" t="s">
        <v>599</v>
      </c>
      <c r="E113" s="77">
        <v>-550</v>
      </c>
      <c r="F113" s="77">
        <v>0</v>
      </c>
    </row>
    <row r="114" spans="1:6" ht="15">
      <c r="A114" s="88"/>
      <c r="B114" s="3"/>
      <c r="C114" s="184" t="s">
        <v>423</v>
      </c>
      <c r="D114" s="185">
        <f>SUM(D79:D113)</f>
        <v>-1050</v>
      </c>
      <c r="E114" s="105" t="s">
        <v>84</v>
      </c>
    </row>
    <row r="115" spans="1:6">
      <c r="A115" s="88"/>
      <c r="B115" s="3"/>
    </row>
    <row r="116" spans="1:6">
      <c r="A116" s="88"/>
      <c r="B116" s="3"/>
    </row>
    <row r="117" spans="1:6">
      <c r="A117" s="88"/>
      <c r="B117" s="3"/>
    </row>
    <row r="118" spans="1:6">
      <c r="A118" s="113" t="s">
        <v>600</v>
      </c>
      <c r="B118" s="104" t="s">
        <v>137</v>
      </c>
      <c r="C118" s="103">
        <v>2024</v>
      </c>
      <c r="D118" s="158"/>
      <c r="E118" s="159">
        <f>SUM(E119:E135)</f>
        <v>794302.15999999992</v>
      </c>
    </row>
    <row r="119" spans="1:6">
      <c r="A119" s="160">
        <v>45413</v>
      </c>
      <c r="B119" s="8" t="s">
        <v>77</v>
      </c>
      <c r="C119" s="2"/>
      <c r="D119" s="2"/>
      <c r="E119" s="2">
        <v>64000</v>
      </c>
    </row>
    <row r="120" spans="1:6">
      <c r="A120" s="160">
        <f t="shared" ref="A120:A127" si="1">A119</f>
        <v>45413</v>
      </c>
      <c r="B120" s="8" t="s">
        <v>383</v>
      </c>
      <c r="C120" s="2"/>
      <c r="D120" s="2"/>
      <c r="E120" s="2">
        <v>150845</v>
      </c>
    </row>
    <row r="121" spans="1:6">
      <c r="A121" s="160">
        <f t="shared" si="1"/>
        <v>45413</v>
      </c>
      <c r="B121" s="8" t="s">
        <v>305</v>
      </c>
      <c r="C121" s="2"/>
      <c r="D121" s="2"/>
      <c r="E121" s="17">
        <v>4148.6099999999997</v>
      </c>
    </row>
    <row r="122" spans="1:6">
      <c r="A122" s="160">
        <f t="shared" si="1"/>
        <v>45413</v>
      </c>
      <c r="B122" s="8" t="s">
        <v>306</v>
      </c>
      <c r="C122" s="2"/>
      <c r="D122" s="2"/>
      <c r="E122" s="17">
        <v>0</v>
      </c>
    </row>
    <row r="123" spans="1:6">
      <c r="A123" s="160">
        <f t="shared" si="1"/>
        <v>45413</v>
      </c>
      <c r="B123" s="8" t="s">
        <v>503</v>
      </c>
      <c r="C123" s="2"/>
      <c r="D123" s="2"/>
      <c r="E123" s="17">
        <v>0</v>
      </c>
    </row>
    <row r="124" spans="1:6">
      <c r="A124" s="160">
        <f t="shared" si="1"/>
        <v>45413</v>
      </c>
      <c r="B124" s="8" t="s">
        <v>307</v>
      </c>
      <c r="C124" s="124"/>
      <c r="D124" s="2"/>
      <c r="E124" s="17">
        <v>0</v>
      </c>
    </row>
    <row r="125" spans="1:6">
      <c r="A125" s="160">
        <f t="shared" si="1"/>
        <v>45413</v>
      </c>
      <c r="B125" s="8" t="s">
        <v>241</v>
      </c>
      <c r="C125" s="2"/>
      <c r="D125" s="2"/>
      <c r="E125" s="17">
        <v>0</v>
      </c>
    </row>
    <row r="126" spans="1:6">
      <c r="A126" s="160">
        <f t="shared" si="1"/>
        <v>45413</v>
      </c>
      <c r="B126" s="8" t="s">
        <v>504</v>
      </c>
      <c r="C126" s="175">
        <v>125000</v>
      </c>
      <c r="D126" s="2">
        <v>0.88097599999999998</v>
      </c>
      <c r="E126" s="17">
        <f>D126*C126</f>
        <v>110122</v>
      </c>
    </row>
    <row r="127" spans="1:6">
      <c r="A127" s="160">
        <f t="shared" si="1"/>
        <v>45413</v>
      </c>
      <c r="B127" s="8" t="s">
        <v>505</v>
      </c>
      <c r="C127" s="2">
        <v>10</v>
      </c>
      <c r="D127" s="2">
        <v>122</v>
      </c>
      <c r="E127" s="17">
        <f>D127*C127</f>
        <v>1220</v>
      </c>
    </row>
    <row r="128" spans="1:6">
      <c r="A128" s="160">
        <f>A126</f>
        <v>45413</v>
      </c>
      <c r="B128" s="8" t="s">
        <v>141</v>
      </c>
      <c r="C128" s="2"/>
      <c r="D128" s="2"/>
      <c r="E128" s="17">
        <v>450</v>
      </c>
    </row>
    <row r="129" spans="1:5">
      <c r="A129" s="160">
        <f>A128</f>
        <v>45413</v>
      </c>
      <c r="B129" s="8" t="s">
        <v>385</v>
      </c>
      <c r="C129" s="2">
        <v>2500</v>
      </c>
      <c r="D129" s="2">
        <v>24.5</v>
      </c>
      <c r="E129" s="17">
        <f>D129*C129</f>
        <v>61250</v>
      </c>
    </row>
    <row r="130" spans="1:5">
      <c r="A130" s="160">
        <f>A128</f>
        <v>45413</v>
      </c>
      <c r="B130" s="8" t="s">
        <v>508</v>
      </c>
      <c r="C130" s="2">
        <v>2308.9699999999998</v>
      </c>
      <c r="D130" s="2">
        <v>156</v>
      </c>
      <c r="E130" s="17">
        <f>D130*C130</f>
        <v>360199.31999999995</v>
      </c>
    </row>
    <row r="131" spans="1:5">
      <c r="A131" s="160">
        <f>A130</f>
        <v>45413</v>
      </c>
      <c r="B131" s="8" t="s">
        <v>601</v>
      </c>
      <c r="C131" s="162">
        <v>31.879300000000001</v>
      </c>
      <c r="D131" s="2">
        <v>850</v>
      </c>
      <c r="E131" s="17">
        <f>D131*C131</f>
        <v>27097.404999999999</v>
      </c>
    </row>
    <row r="132" spans="1:5">
      <c r="A132" s="160">
        <f>A131</f>
        <v>45413</v>
      </c>
      <c r="B132" s="8" t="s">
        <v>510</v>
      </c>
      <c r="C132" s="162">
        <f>C131</f>
        <v>31.879300000000001</v>
      </c>
      <c r="D132" s="2">
        <v>250</v>
      </c>
      <c r="E132" s="17">
        <f>D132*C132</f>
        <v>7969.8249999999998</v>
      </c>
    </row>
    <row r="133" spans="1:5">
      <c r="A133" s="160">
        <f>A132</f>
        <v>45413</v>
      </c>
      <c r="B133" s="8" t="s">
        <v>602</v>
      </c>
      <c r="C133" s="162">
        <v>34.394500000000001</v>
      </c>
      <c r="D133" s="2">
        <v>0</v>
      </c>
      <c r="E133" s="17">
        <f>D133*C133</f>
        <v>0</v>
      </c>
    </row>
    <row r="134" spans="1:5">
      <c r="A134" s="160">
        <f>A133</f>
        <v>45413</v>
      </c>
      <c r="B134" s="8" t="s">
        <v>153</v>
      </c>
      <c r="C134" s="2"/>
      <c r="D134" s="2"/>
      <c r="E134" s="17">
        <v>3000</v>
      </c>
    </row>
    <row r="135" spans="1:5">
      <c r="A135" s="160">
        <f>A134</f>
        <v>45413</v>
      </c>
      <c r="B135" s="8" t="s">
        <v>154</v>
      </c>
      <c r="C135" s="2"/>
      <c r="D135" s="2"/>
      <c r="E135" s="17">
        <v>4000</v>
      </c>
    </row>
    <row r="136" spans="1:5">
      <c r="E136" s="176"/>
    </row>
    <row r="137" spans="1:5">
      <c r="C137" s="124"/>
      <c r="D137" s="3"/>
      <c r="E137" s="124"/>
    </row>
    <row r="138" spans="1:5">
      <c r="C138" s="124"/>
      <c r="D138" s="18" t="s">
        <v>156</v>
      </c>
      <c r="E138" s="9">
        <f>SUM(E119:E135)</f>
        <v>794302.15999999992</v>
      </c>
    </row>
    <row r="139" spans="1:5">
      <c r="C139" s="125" t="str">
        <f>A118</f>
        <v>HAZİRANa</v>
      </c>
      <c r="D139" s="126" t="s">
        <v>157</v>
      </c>
      <c r="E139" s="127">
        <f>H2</f>
        <v>-84350.533693000005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2F0D9"/>
  </sheetPr>
  <dimension ref="A1:H122"/>
  <sheetViews>
    <sheetView topLeftCell="A4" zoomScale="170" zoomScaleNormal="170" workbookViewId="0">
      <selection activeCell="B8" sqref="B8"/>
    </sheetView>
  </sheetViews>
  <sheetFormatPr defaultColWidth="12.28515625" defaultRowHeight="12.75"/>
  <cols>
    <col min="2" max="2" width="35.85546875" customWidth="1"/>
    <col min="3" max="3" width="9.42578125" customWidth="1"/>
    <col min="4" max="4" width="15.85546875" style="77" customWidth="1"/>
    <col min="5" max="5" width="12.85546875" style="77" customWidth="1"/>
    <col min="6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603</v>
      </c>
      <c r="C2" s="79" t="s">
        <v>67</v>
      </c>
      <c r="D2" s="77">
        <f>SUM(D5:D26)</f>
        <v>25000</v>
      </c>
      <c r="E2" s="77">
        <f>SUM(E5:E26)</f>
        <v>-64525.01</v>
      </c>
      <c r="F2" s="77">
        <f>SUM(F5:F26)</f>
        <v>25427.620000000003</v>
      </c>
      <c r="G2" s="77">
        <f>SUM(G5:G26)</f>
        <v>-64483.92</v>
      </c>
      <c r="H2" s="77">
        <f>F2+G2</f>
        <v>-39056.299999999996</v>
      </c>
    </row>
    <row r="3" spans="1:8">
      <c r="B3" s="18"/>
    </row>
    <row r="4" spans="1:8">
      <c r="B4" s="101" t="s">
        <v>604</v>
      </c>
      <c r="C4" s="101" t="s">
        <v>357</v>
      </c>
      <c r="D4" s="78"/>
      <c r="E4" s="78">
        <v>-250</v>
      </c>
      <c r="F4" s="78"/>
      <c r="G4" s="78"/>
      <c r="H4" s="78">
        <f t="shared" ref="H4:H26" si="0">H3+F4+G4</f>
        <v>0</v>
      </c>
    </row>
    <row r="5" spans="1:8">
      <c r="A5" s="88">
        <v>45404</v>
      </c>
      <c r="B5" s="41" t="s">
        <v>430</v>
      </c>
      <c r="C5" s="8" t="s">
        <v>605</v>
      </c>
      <c r="D5" s="78"/>
      <c r="E5" s="78">
        <v>-152</v>
      </c>
      <c r="F5" s="78"/>
      <c r="G5" s="78">
        <v>-166.9</v>
      </c>
      <c r="H5" s="78">
        <f t="shared" si="0"/>
        <v>-166.9</v>
      </c>
    </row>
    <row r="6" spans="1:8">
      <c r="A6" s="97">
        <v>45414</v>
      </c>
      <c r="B6" s="101" t="s">
        <v>80</v>
      </c>
      <c r="C6" s="101"/>
      <c r="D6" s="78"/>
      <c r="E6" s="78">
        <v>-400</v>
      </c>
      <c r="F6" s="78"/>
      <c r="G6" s="78">
        <v>-330</v>
      </c>
      <c r="H6" s="78">
        <f t="shared" si="0"/>
        <v>-496.9</v>
      </c>
    </row>
    <row r="7" spans="1:8">
      <c r="A7" s="97">
        <v>45414</v>
      </c>
      <c r="B7" s="101" t="s">
        <v>81</v>
      </c>
      <c r="C7" s="101"/>
      <c r="D7" s="78"/>
      <c r="E7" s="78">
        <v>-500</v>
      </c>
      <c r="F7" s="78"/>
      <c r="G7" s="78">
        <v>-510</v>
      </c>
      <c r="H7" s="78">
        <f t="shared" si="0"/>
        <v>-1006.9</v>
      </c>
    </row>
    <row r="8" spans="1:8">
      <c r="A8" s="88">
        <v>45414</v>
      </c>
      <c r="B8" s="8" t="s">
        <v>606</v>
      </c>
      <c r="D8" s="78" t="s">
        <v>607</v>
      </c>
      <c r="E8" s="78">
        <v>-103.5</v>
      </c>
      <c r="F8" s="78"/>
      <c r="G8" s="78"/>
      <c r="H8" s="78">
        <f t="shared" si="0"/>
        <v>-1006.9</v>
      </c>
    </row>
    <row r="9" spans="1:8">
      <c r="A9" s="97">
        <v>45418</v>
      </c>
      <c r="B9" s="101" t="s">
        <v>75</v>
      </c>
      <c r="C9" s="101" t="s">
        <v>328</v>
      </c>
      <c r="D9" s="78"/>
      <c r="E9" s="78">
        <v>-150</v>
      </c>
      <c r="F9" s="78"/>
      <c r="G9" s="78">
        <v>-25.38</v>
      </c>
      <c r="H9" s="78">
        <f t="shared" si="0"/>
        <v>-1032.28</v>
      </c>
    </row>
    <row r="10" spans="1:8">
      <c r="A10" s="97">
        <v>45418</v>
      </c>
      <c r="B10" s="177" t="s">
        <v>68</v>
      </c>
      <c r="D10" s="78"/>
      <c r="E10" s="78">
        <f>E41</f>
        <v>-4278.51</v>
      </c>
      <c r="F10" s="78"/>
      <c r="G10" s="78">
        <v>-4276.51</v>
      </c>
      <c r="H10" s="78">
        <f t="shared" si="0"/>
        <v>-5308.79</v>
      </c>
    </row>
    <row r="11" spans="1:8">
      <c r="A11" s="165">
        <v>45418</v>
      </c>
      <c r="B11" s="177" t="s">
        <v>69</v>
      </c>
      <c r="D11" s="78"/>
      <c r="E11" s="78">
        <f>E57</f>
        <v>-23541</v>
      </c>
      <c r="F11" s="78"/>
      <c r="G11" s="78">
        <v>-23541</v>
      </c>
      <c r="H11" s="78">
        <f t="shared" si="0"/>
        <v>-28849.79</v>
      </c>
    </row>
    <row r="12" spans="1:8">
      <c r="A12" s="97">
        <v>45418</v>
      </c>
      <c r="B12" s="101" t="s">
        <v>608</v>
      </c>
      <c r="C12" s="101"/>
      <c r="D12" s="78"/>
      <c r="E12" s="78">
        <v>-1500</v>
      </c>
      <c r="F12" s="78"/>
      <c r="G12" s="78">
        <v>-1512.13</v>
      </c>
      <c r="H12" s="78">
        <f t="shared" si="0"/>
        <v>-30361.920000000002</v>
      </c>
    </row>
    <row r="13" spans="1:8">
      <c r="A13" s="97">
        <v>45418</v>
      </c>
      <c r="B13" s="8" t="s">
        <v>399</v>
      </c>
      <c r="D13" s="78"/>
      <c r="E13" s="78">
        <v>-10000</v>
      </c>
      <c r="F13" s="78"/>
      <c r="G13" s="78">
        <v>-10000</v>
      </c>
      <c r="H13" s="78">
        <f t="shared" si="0"/>
        <v>-40361.919999999998</v>
      </c>
    </row>
    <row r="14" spans="1:8">
      <c r="A14" s="100">
        <v>45419</v>
      </c>
      <c r="B14" s="101" t="s">
        <v>609</v>
      </c>
      <c r="C14" s="101"/>
      <c r="D14" s="78"/>
      <c r="E14" s="78">
        <v>-5375</v>
      </c>
      <c r="F14" s="78"/>
      <c r="G14" s="78">
        <v>-5375</v>
      </c>
      <c r="H14" s="78">
        <f t="shared" si="0"/>
        <v>-45736.92</v>
      </c>
    </row>
    <row r="15" spans="1:8">
      <c r="A15" s="100">
        <v>45419</v>
      </c>
      <c r="B15" s="101" t="s">
        <v>609</v>
      </c>
      <c r="C15" s="101"/>
      <c r="D15" s="78"/>
      <c r="E15" s="78">
        <v>-2125</v>
      </c>
      <c r="F15" s="78"/>
      <c r="G15" s="78">
        <v>-2125</v>
      </c>
      <c r="H15" s="78">
        <f t="shared" si="0"/>
        <v>-47861.919999999998</v>
      </c>
    </row>
    <row r="16" spans="1:8">
      <c r="A16" s="100">
        <v>45432</v>
      </c>
      <c r="B16" s="106" t="s">
        <v>73</v>
      </c>
      <c r="C16" s="106" t="s">
        <v>328</v>
      </c>
      <c r="D16" s="78"/>
      <c r="E16" s="78">
        <v>-300</v>
      </c>
      <c r="F16" s="78"/>
      <c r="G16" s="78">
        <v>-403</v>
      </c>
      <c r="H16" s="78">
        <f t="shared" si="0"/>
        <v>-48264.92</v>
      </c>
    </row>
    <row r="17" spans="1:8">
      <c r="A17" s="100">
        <v>45432</v>
      </c>
      <c r="B17" s="106" t="s">
        <v>74</v>
      </c>
      <c r="C17" s="106" t="s">
        <v>328</v>
      </c>
      <c r="D17" s="78"/>
      <c r="E17" s="78">
        <v>-100</v>
      </c>
      <c r="F17" s="78"/>
      <c r="G17" s="78">
        <v>-34</v>
      </c>
      <c r="H17" s="78">
        <f t="shared" si="0"/>
        <v>-48298.92</v>
      </c>
    </row>
    <row r="18" spans="1:8">
      <c r="A18" s="100"/>
      <c r="B18" s="177" t="s">
        <v>72</v>
      </c>
      <c r="D18" s="78"/>
      <c r="E18" s="78">
        <f>E36*-1</f>
        <v>-100</v>
      </c>
      <c r="F18" s="78"/>
      <c r="G18" s="78">
        <f>E18</f>
        <v>-100</v>
      </c>
      <c r="H18" s="78">
        <f t="shared" si="0"/>
        <v>-48398.92</v>
      </c>
    </row>
    <row r="19" spans="1:8">
      <c r="A19" s="88">
        <v>45439</v>
      </c>
      <c r="B19" s="8" t="s">
        <v>77</v>
      </c>
      <c r="D19" s="78"/>
      <c r="E19" s="78">
        <v>-5000</v>
      </c>
      <c r="F19" s="78"/>
      <c r="G19" s="78">
        <v>-5205</v>
      </c>
      <c r="H19" s="78">
        <f t="shared" si="0"/>
        <v>-53603.92</v>
      </c>
    </row>
    <row r="20" spans="1:8">
      <c r="A20" s="88">
        <v>45439</v>
      </c>
      <c r="B20" s="8" t="s">
        <v>78</v>
      </c>
      <c r="D20" s="78"/>
      <c r="E20" s="78">
        <v>-5000</v>
      </c>
      <c r="F20" s="78"/>
      <c r="G20" s="78">
        <v>-5205</v>
      </c>
      <c r="H20" s="78">
        <f t="shared" si="0"/>
        <v>-58808.92</v>
      </c>
    </row>
    <row r="21" spans="1:8">
      <c r="A21" s="88">
        <v>45439</v>
      </c>
      <c r="B21" s="8" t="s">
        <v>79</v>
      </c>
      <c r="D21" s="78"/>
      <c r="E21" s="78">
        <v>-5000</v>
      </c>
      <c r="F21" s="78"/>
      <c r="G21" s="78">
        <v>-5000</v>
      </c>
      <c r="H21" s="78">
        <f t="shared" si="0"/>
        <v>-63808.92</v>
      </c>
    </row>
    <row r="22" spans="1:8">
      <c r="B22" t="s">
        <v>76</v>
      </c>
      <c r="D22" s="78">
        <v>10000</v>
      </c>
      <c r="E22" s="78"/>
      <c r="F22" s="78">
        <v>10427.620000000001</v>
      </c>
      <c r="G22" s="78"/>
      <c r="H22" s="78">
        <f t="shared" si="0"/>
        <v>-53381.299999999996</v>
      </c>
    </row>
    <row r="23" spans="1:8">
      <c r="A23" s="100">
        <v>45447</v>
      </c>
      <c r="B23" s="8" t="s">
        <v>610</v>
      </c>
      <c r="D23" s="78">
        <v>15000</v>
      </c>
      <c r="E23" s="78"/>
      <c r="F23" s="78">
        <v>15000</v>
      </c>
      <c r="H23" s="78">
        <f t="shared" si="0"/>
        <v>-38381.299999999996</v>
      </c>
    </row>
    <row r="24" spans="1:8">
      <c r="H24" s="78">
        <f t="shared" si="0"/>
        <v>-38381.299999999996</v>
      </c>
    </row>
    <row r="25" spans="1:8">
      <c r="A25" s="97">
        <v>45442</v>
      </c>
      <c r="B25" s="101" t="s">
        <v>80</v>
      </c>
      <c r="C25" s="101"/>
      <c r="D25" s="78"/>
      <c r="E25" s="78">
        <v>-400</v>
      </c>
      <c r="G25" s="77">
        <v>-240</v>
      </c>
      <c r="H25" s="78">
        <f t="shared" si="0"/>
        <v>-38621.299999999996</v>
      </c>
    </row>
    <row r="26" spans="1:8">
      <c r="A26" s="97">
        <v>45442</v>
      </c>
      <c r="B26" s="101" t="s">
        <v>81</v>
      </c>
      <c r="C26" s="101"/>
      <c r="D26" s="78"/>
      <c r="E26" s="78">
        <v>-500</v>
      </c>
      <c r="G26" s="77">
        <v>-435</v>
      </c>
      <c r="H26" s="78">
        <f t="shared" si="0"/>
        <v>-39056.299999999996</v>
      </c>
    </row>
    <row r="28" spans="1:8">
      <c r="B28" t="s">
        <v>330</v>
      </c>
    </row>
    <row r="29" spans="1:8">
      <c r="A29" s="100"/>
      <c r="C29" s="171"/>
    </row>
    <row r="30" spans="1:8">
      <c r="A30" s="172">
        <v>44929</v>
      </c>
      <c r="B30" s="173" t="s">
        <v>332</v>
      </c>
      <c r="C30" s="103"/>
      <c r="D30" s="77">
        <f>SUM(D31:D36)</f>
        <v>3775.1600000000003</v>
      </c>
      <c r="E30" s="77">
        <f>SUM(E31:E36)</f>
        <v>3775.28</v>
      </c>
    </row>
    <row r="31" spans="1:8">
      <c r="A31" s="100"/>
      <c r="B31" s="106" t="s">
        <v>333</v>
      </c>
      <c r="D31" s="78">
        <v>786.88</v>
      </c>
      <c r="E31" s="78">
        <v>787</v>
      </c>
    </row>
    <row r="32" spans="1:8">
      <c r="B32" t="s">
        <v>334</v>
      </c>
      <c r="D32" s="78">
        <v>1205</v>
      </c>
      <c r="E32" s="78">
        <v>1205</v>
      </c>
    </row>
    <row r="33" spans="1:5">
      <c r="B33" t="s">
        <v>335</v>
      </c>
      <c r="D33" s="78">
        <v>55.4</v>
      </c>
      <c r="E33" s="78">
        <v>55.4</v>
      </c>
    </row>
    <row r="34" spans="1:5">
      <c r="B34" t="s">
        <v>336</v>
      </c>
      <c r="D34" s="78">
        <v>1257.4000000000001</v>
      </c>
      <c r="E34" s="78">
        <v>1257.4000000000001</v>
      </c>
    </row>
    <row r="35" spans="1:5">
      <c r="B35" t="s">
        <v>337</v>
      </c>
      <c r="D35" s="78">
        <v>370.48</v>
      </c>
      <c r="E35" s="78">
        <v>370.48</v>
      </c>
    </row>
    <row r="36" spans="1:5">
      <c r="B36" t="s">
        <v>338</v>
      </c>
      <c r="C36" s="106"/>
      <c r="D36" s="78">
        <v>100</v>
      </c>
      <c r="E36" s="78">
        <v>100</v>
      </c>
    </row>
    <row r="37" spans="1:5">
      <c r="C37" s="106"/>
    </row>
    <row r="39" spans="1:5">
      <c r="B39" s="17"/>
    </row>
    <row r="40" spans="1:5">
      <c r="B40" s="102"/>
    </row>
    <row r="41" spans="1:5">
      <c r="A41" s="103"/>
      <c r="B41" s="104" t="s">
        <v>83</v>
      </c>
      <c r="C41" s="103"/>
      <c r="E41" s="77">
        <f>SUM(E42:E53)</f>
        <v>-4278.51</v>
      </c>
    </row>
    <row r="43" spans="1:5">
      <c r="A43" s="100">
        <v>45187</v>
      </c>
      <c r="B43" s="106" t="s">
        <v>566</v>
      </c>
      <c r="C43" s="106">
        <v>7648.33</v>
      </c>
      <c r="D43" s="77" t="s">
        <v>368</v>
      </c>
      <c r="E43" s="77">
        <v>-849.81</v>
      </c>
    </row>
    <row r="44" spans="1:5">
      <c r="A44" s="88">
        <v>45348</v>
      </c>
      <c r="B44" s="8" t="s">
        <v>444</v>
      </c>
      <c r="C44">
        <v>1406</v>
      </c>
      <c r="D44" s="77" t="s">
        <v>611</v>
      </c>
      <c r="E44" s="77">
        <v>-234.33</v>
      </c>
    </row>
    <row r="45" spans="1:5">
      <c r="A45" s="88">
        <v>45373</v>
      </c>
      <c r="B45" s="8" t="s">
        <v>339</v>
      </c>
      <c r="C45">
        <v>10176.39</v>
      </c>
      <c r="D45" s="77" t="s">
        <v>612</v>
      </c>
      <c r="E45" s="77">
        <v>-1130.71</v>
      </c>
    </row>
    <row r="46" spans="1:5">
      <c r="A46" s="88">
        <v>45375</v>
      </c>
      <c r="B46" s="8" t="s">
        <v>341</v>
      </c>
      <c r="C46">
        <v>5999</v>
      </c>
      <c r="D46" s="77" t="s">
        <v>613</v>
      </c>
      <c r="E46" s="77">
        <v>-666.56</v>
      </c>
    </row>
    <row r="47" spans="1:5">
      <c r="A47" s="88">
        <v>45358</v>
      </c>
      <c r="B47" s="8" t="s">
        <v>447</v>
      </c>
      <c r="C47">
        <v>2273</v>
      </c>
      <c r="D47" s="77" t="s">
        <v>611</v>
      </c>
      <c r="E47" s="77">
        <v>-378.87</v>
      </c>
    </row>
    <row r="48" spans="1:5">
      <c r="A48" s="88">
        <v>45371</v>
      </c>
      <c r="B48" s="8" t="s">
        <v>448</v>
      </c>
      <c r="D48" s="77" t="s">
        <v>614</v>
      </c>
      <c r="E48" s="77">
        <v>101.77</v>
      </c>
    </row>
    <row r="49" spans="1:5">
      <c r="A49" s="88">
        <v>45377</v>
      </c>
      <c r="B49" s="8" t="s">
        <v>615</v>
      </c>
      <c r="D49" s="77" t="s">
        <v>616</v>
      </c>
    </row>
    <row r="50" spans="1:5">
      <c r="A50" s="100"/>
      <c r="B50" s="107" t="s">
        <v>617</v>
      </c>
      <c r="C50" s="106"/>
      <c r="E50" s="77">
        <v>-90</v>
      </c>
    </row>
    <row r="51" spans="1:5">
      <c r="A51" s="100"/>
      <c r="B51" s="107"/>
      <c r="C51" s="106"/>
      <c r="D51" s="77">
        <v>6693.55</v>
      </c>
    </row>
    <row r="52" spans="1:5">
      <c r="A52" s="100"/>
      <c r="B52" s="107" t="s">
        <v>618</v>
      </c>
      <c r="E52" s="77">
        <v>-790</v>
      </c>
    </row>
    <row r="53" spans="1:5">
      <c r="A53" s="100"/>
      <c r="B53" s="107" t="s">
        <v>619</v>
      </c>
      <c r="C53" s="106"/>
      <c r="E53" s="77">
        <v>-240</v>
      </c>
    </row>
    <row r="54" spans="1:5" ht="15">
      <c r="A54" s="100"/>
      <c r="B54" s="107"/>
      <c r="C54" s="106"/>
      <c r="D54" s="105" t="s">
        <v>84</v>
      </c>
    </row>
    <row r="55" spans="1:5">
      <c r="A55" s="100"/>
      <c r="B55" s="3"/>
    </row>
    <row r="56" spans="1:5">
      <c r="A56" s="100"/>
      <c r="B56" s="106"/>
      <c r="C56" s="106"/>
    </row>
    <row r="57" spans="1:5">
      <c r="A57" s="103"/>
      <c r="B57" s="104" t="s">
        <v>85</v>
      </c>
      <c r="C57" s="103"/>
      <c r="E57" s="77">
        <f>SUM(E58:E100)</f>
        <v>-23541</v>
      </c>
    </row>
    <row r="58" spans="1:5">
      <c r="A58" s="100"/>
      <c r="B58" s="106"/>
      <c r="C58" s="106"/>
    </row>
    <row r="59" spans="1:5">
      <c r="A59" s="165">
        <v>45285</v>
      </c>
      <c r="B59" s="106" t="s">
        <v>526</v>
      </c>
      <c r="C59" s="106"/>
      <c r="D59" s="77" t="s">
        <v>620</v>
      </c>
      <c r="E59" s="77">
        <v>-3551.66</v>
      </c>
    </row>
    <row r="60" spans="1:5">
      <c r="A60" s="100"/>
      <c r="B60" s="3" t="s">
        <v>482</v>
      </c>
      <c r="C60" s="106"/>
      <c r="D60" s="77" t="s">
        <v>621</v>
      </c>
      <c r="E60" s="77">
        <v>-649.78</v>
      </c>
    </row>
    <row r="61" spans="1:5">
      <c r="A61" s="100"/>
      <c r="B61" s="3" t="s">
        <v>484</v>
      </c>
      <c r="C61" s="106">
        <v>49.98</v>
      </c>
      <c r="D61" s="77" t="s">
        <v>621</v>
      </c>
    </row>
    <row r="62" spans="1:5">
      <c r="A62" s="100"/>
      <c r="B62" s="3"/>
      <c r="C62" s="106"/>
    </row>
    <row r="63" spans="1:5">
      <c r="A63" s="100"/>
      <c r="B63" s="3"/>
      <c r="C63" s="106"/>
    </row>
    <row r="64" spans="1:5">
      <c r="A64" s="100">
        <v>45405</v>
      </c>
      <c r="B64" s="3" t="s">
        <v>622</v>
      </c>
      <c r="C64" s="106"/>
      <c r="E64" s="77">
        <v>-500</v>
      </c>
    </row>
    <row r="65" spans="1:5">
      <c r="A65" s="100">
        <v>45398</v>
      </c>
      <c r="B65" s="3" t="s">
        <v>623</v>
      </c>
      <c r="C65" s="106"/>
      <c r="E65" s="77">
        <v>-400</v>
      </c>
    </row>
    <row r="66" spans="1:5">
      <c r="A66" s="100">
        <v>45398</v>
      </c>
      <c r="B66" s="3" t="s">
        <v>128</v>
      </c>
      <c r="C66" s="106"/>
      <c r="E66" s="77">
        <v>-48.5</v>
      </c>
    </row>
    <row r="67" spans="1:5">
      <c r="A67" s="100">
        <v>45398</v>
      </c>
      <c r="B67" s="3" t="s">
        <v>623</v>
      </c>
      <c r="C67" s="106"/>
      <c r="E67" s="77">
        <v>-871.29</v>
      </c>
    </row>
    <row r="68" spans="1:5">
      <c r="A68" s="100">
        <v>45398</v>
      </c>
      <c r="B68" s="3" t="s">
        <v>623</v>
      </c>
      <c r="C68" s="106"/>
      <c r="E68" s="77">
        <v>-810.42</v>
      </c>
    </row>
    <row r="69" spans="1:5">
      <c r="A69" s="100">
        <v>45397</v>
      </c>
      <c r="B69" s="3" t="s">
        <v>581</v>
      </c>
      <c r="C69" s="106">
        <v>240</v>
      </c>
      <c r="E69" s="77">
        <v>-240</v>
      </c>
    </row>
    <row r="70" spans="1:5">
      <c r="A70" s="100">
        <v>45388</v>
      </c>
      <c r="B70" s="3" t="s">
        <v>624</v>
      </c>
      <c r="C70" s="106"/>
      <c r="E70" s="77">
        <v>-400</v>
      </c>
    </row>
    <row r="71" spans="1:5">
      <c r="A71" s="100"/>
      <c r="B71" s="3"/>
      <c r="C71" s="106"/>
      <c r="D71" s="77">
        <v>6501.46</v>
      </c>
    </row>
    <row r="72" spans="1:5">
      <c r="A72" s="100">
        <v>45383</v>
      </c>
      <c r="B72" s="3" t="s">
        <v>581</v>
      </c>
      <c r="C72" s="106">
        <v>250</v>
      </c>
      <c r="E72" s="77">
        <v>-250</v>
      </c>
    </row>
    <row r="73" spans="1:5">
      <c r="A73" s="100">
        <v>45377</v>
      </c>
      <c r="B73" s="3">
        <v>2240</v>
      </c>
      <c r="C73" s="106"/>
      <c r="E73" s="77">
        <v>-167</v>
      </c>
    </row>
    <row r="74" spans="1:5">
      <c r="A74" s="100">
        <v>45377</v>
      </c>
      <c r="B74" s="3">
        <v>2240</v>
      </c>
      <c r="C74" s="106"/>
      <c r="E74" s="77">
        <v>-2.17</v>
      </c>
    </row>
    <row r="75" spans="1:5">
      <c r="A75" s="100">
        <v>45377</v>
      </c>
      <c r="B75" s="3">
        <v>2240</v>
      </c>
      <c r="C75" s="106"/>
      <c r="E75" s="77">
        <v>-0.11</v>
      </c>
    </row>
    <row r="76" spans="1:5">
      <c r="A76" s="100">
        <v>45406</v>
      </c>
      <c r="B76" s="3" t="s">
        <v>128</v>
      </c>
      <c r="C76" s="106"/>
      <c r="E76" s="77">
        <v>-34.6</v>
      </c>
    </row>
    <row r="77" spans="1:5">
      <c r="A77" s="100">
        <v>24.4</v>
      </c>
      <c r="B77" s="3" t="s">
        <v>128</v>
      </c>
      <c r="C77" s="106"/>
      <c r="E77" s="77">
        <v>-370.4</v>
      </c>
    </row>
    <row r="78" spans="1:5">
      <c r="A78" s="100">
        <v>45405</v>
      </c>
      <c r="B78" s="3" t="s">
        <v>625</v>
      </c>
      <c r="C78" s="106"/>
      <c r="E78" s="77">
        <v>-1306.8800000000001</v>
      </c>
    </row>
    <row r="79" spans="1:5">
      <c r="A79" s="100">
        <v>45387</v>
      </c>
      <c r="B79" s="3" t="s">
        <v>626</v>
      </c>
      <c r="C79" s="106"/>
      <c r="E79" s="77">
        <v>-13938.19</v>
      </c>
    </row>
    <row r="80" spans="1:5">
      <c r="A80" s="100"/>
      <c r="B80" s="3"/>
      <c r="C80" s="106"/>
    </row>
    <row r="81" spans="1:3">
      <c r="A81" s="100"/>
      <c r="B81" s="18" t="s">
        <v>627</v>
      </c>
      <c r="C81" s="106">
        <f>SUM(C69:C80)</f>
        <v>490</v>
      </c>
    </row>
    <row r="82" spans="1:3">
      <c r="A82" s="100"/>
      <c r="B82" s="3"/>
      <c r="C82" s="106"/>
    </row>
    <row r="83" spans="1:3">
      <c r="A83" s="100"/>
      <c r="B83" s="3"/>
      <c r="C83" s="106"/>
    </row>
    <row r="84" spans="1:3">
      <c r="A84" s="100"/>
      <c r="B84" s="3"/>
      <c r="C84" s="106"/>
    </row>
    <row r="85" spans="1:3">
      <c r="A85" s="100"/>
      <c r="B85" s="3"/>
      <c r="C85" s="106"/>
    </row>
    <row r="86" spans="1:3">
      <c r="A86" s="100"/>
      <c r="B86" s="3"/>
      <c r="C86" s="106"/>
    </row>
    <row r="87" spans="1:3">
      <c r="A87" s="100"/>
      <c r="B87" s="3"/>
      <c r="C87" s="106"/>
    </row>
    <row r="88" spans="1:3">
      <c r="A88" s="100"/>
      <c r="B88" s="3"/>
      <c r="C88" s="106"/>
    </row>
    <row r="89" spans="1:3">
      <c r="A89" s="100"/>
      <c r="B89" s="3"/>
      <c r="C89" s="106"/>
    </row>
    <row r="90" spans="1:3">
      <c r="A90" s="100"/>
      <c r="B90" s="3"/>
      <c r="C90" s="106"/>
    </row>
    <row r="91" spans="1:3">
      <c r="A91" s="100"/>
      <c r="B91" s="3"/>
      <c r="C91" s="106"/>
    </row>
    <row r="92" spans="1:3">
      <c r="A92" s="100"/>
      <c r="B92" s="3"/>
      <c r="C92" s="106"/>
    </row>
    <row r="93" spans="1:3">
      <c r="A93" s="100"/>
      <c r="B93" s="3"/>
      <c r="C93" s="106"/>
    </row>
    <row r="94" spans="1:3">
      <c r="A94" s="100"/>
      <c r="B94" s="3"/>
      <c r="C94" s="106"/>
    </row>
    <row r="95" spans="1:3">
      <c r="A95" s="100"/>
      <c r="B95" s="3"/>
      <c r="C95" s="106"/>
    </row>
    <row r="96" spans="1:3">
      <c r="A96" s="100"/>
      <c r="B96" s="3"/>
      <c r="C96" s="106"/>
    </row>
    <row r="97" spans="1:5">
      <c r="A97" s="100"/>
      <c r="B97" s="3"/>
      <c r="C97" s="106"/>
    </row>
    <row r="98" spans="1:5">
      <c r="A98" s="100"/>
      <c r="B98" s="3"/>
      <c r="C98" s="106"/>
    </row>
    <row r="99" spans="1:5">
      <c r="A99" s="100"/>
      <c r="B99" s="3"/>
      <c r="C99" s="106"/>
    </row>
    <row r="100" spans="1:5" ht="15">
      <c r="A100" s="100"/>
      <c r="B100" s="3"/>
      <c r="C100" s="106"/>
      <c r="D100" s="105" t="s">
        <v>84</v>
      </c>
    </row>
    <row r="101" spans="1:5">
      <c r="A101" s="113" t="s">
        <v>628</v>
      </c>
      <c r="B101" s="104" t="s">
        <v>137</v>
      </c>
      <c r="C101" s="103">
        <v>2024</v>
      </c>
      <c r="D101" s="158"/>
      <c r="E101" s="159">
        <f>SUM(E102:E118)</f>
        <v>1018967.8866</v>
      </c>
    </row>
    <row r="102" spans="1:5">
      <c r="A102" s="160">
        <v>45413</v>
      </c>
      <c r="B102" s="8" t="s">
        <v>77</v>
      </c>
      <c r="C102" s="2"/>
      <c r="D102" s="2"/>
      <c r="E102" s="2">
        <v>64000</v>
      </c>
    </row>
    <row r="103" spans="1:5">
      <c r="A103" s="160">
        <f t="shared" ref="A103:A110" si="1">A102</f>
        <v>45413</v>
      </c>
      <c r="B103" s="8" t="s">
        <v>383</v>
      </c>
      <c r="C103" s="2"/>
      <c r="D103" s="2"/>
      <c r="E103" s="2">
        <v>150845</v>
      </c>
    </row>
    <row r="104" spans="1:5">
      <c r="A104" s="160">
        <f t="shared" si="1"/>
        <v>45413</v>
      </c>
      <c r="B104" s="8" t="s">
        <v>305</v>
      </c>
      <c r="C104" s="2"/>
      <c r="D104" s="2"/>
      <c r="E104" s="17">
        <v>6036.94</v>
      </c>
    </row>
    <row r="105" spans="1:5">
      <c r="A105" s="160">
        <f t="shared" si="1"/>
        <v>45413</v>
      </c>
      <c r="B105" s="8" t="s">
        <v>306</v>
      </c>
      <c r="C105" s="2"/>
      <c r="D105" s="2"/>
      <c r="E105" s="17">
        <v>102000</v>
      </c>
    </row>
    <row r="106" spans="1:5">
      <c r="A106" s="160">
        <f t="shared" si="1"/>
        <v>45413</v>
      </c>
      <c r="B106" s="8" t="s">
        <v>503</v>
      </c>
      <c r="C106" s="2"/>
      <c r="D106" s="2"/>
      <c r="E106" s="17">
        <v>0</v>
      </c>
    </row>
    <row r="107" spans="1:5">
      <c r="A107" s="160">
        <f t="shared" si="1"/>
        <v>45413</v>
      </c>
      <c r="B107" s="8" t="s">
        <v>307</v>
      </c>
      <c r="C107" s="124"/>
      <c r="D107" s="2"/>
      <c r="E107" s="17">
        <v>0</v>
      </c>
    </row>
    <row r="108" spans="1:5">
      <c r="A108" s="160">
        <f t="shared" si="1"/>
        <v>45413</v>
      </c>
      <c r="B108" s="8" t="s">
        <v>241</v>
      </c>
      <c r="C108" s="2"/>
      <c r="D108" s="2"/>
      <c r="E108" s="17">
        <v>0</v>
      </c>
    </row>
    <row r="109" spans="1:5">
      <c r="A109" s="160">
        <f t="shared" si="1"/>
        <v>45413</v>
      </c>
      <c r="B109" s="8" t="s">
        <v>504</v>
      </c>
      <c r="C109" s="175">
        <v>125000</v>
      </c>
      <c r="D109" s="2">
        <v>0.88097599999999998</v>
      </c>
      <c r="E109" s="17">
        <f>D109*C109</f>
        <v>110122</v>
      </c>
    </row>
    <row r="110" spans="1:5">
      <c r="A110" s="160">
        <f t="shared" si="1"/>
        <v>45413</v>
      </c>
      <c r="B110" s="8" t="s">
        <v>505</v>
      </c>
      <c r="C110" s="2">
        <v>10</v>
      </c>
      <c r="D110" s="2">
        <v>145</v>
      </c>
      <c r="E110" s="17">
        <f>D110*C110</f>
        <v>1450</v>
      </c>
    </row>
    <row r="111" spans="1:5">
      <c r="A111" s="160">
        <f>A109</f>
        <v>45413</v>
      </c>
      <c r="B111" s="8" t="s">
        <v>141</v>
      </c>
      <c r="C111" s="2"/>
      <c r="D111" s="2"/>
      <c r="E111" s="17">
        <v>450</v>
      </c>
    </row>
    <row r="112" spans="1:5">
      <c r="A112" s="160">
        <f>A111</f>
        <v>45413</v>
      </c>
      <c r="B112" s="8" t="s">
        <v>385</v>
      </c>
      <c r="C112" s="2">
        <v>2500</v>
      </c>
      <c r="D112" s="2">
        <v>25.11</v>
      </c>
      <c r="E112" s="17">
        <f>D112*C112</f>
        <v>62775</v>
      </c>
    </row>
    <row r="113" spans="1:5">
      <c r="A113" s="160">
        <f>A111</f>
        <v>45413</v>
      </c>
      <c r="B113" s="8" t="s">
        <v>508</v>
      </c>
      <c r="C113" s="2">
        <v>2308.9699999999998</v>
      </c>
      <c r="D113" s="2">
        <v>156</v>
      </c>
      <c r="E113" s="17">
        <f>D113*C113</f>
        <v>360199.31999999995</v>
      </c>
    </row>
    <row r="114" spans="1:5">
      <c r="A114" s="160">
        <f>A113</f>
        <v>45413</v>
      </c>
      <c r="B114" s="8" t="s">
        <v>601</v>
      </c>
      <c r="C114" s="162">
        <v>31.879300000000001</v>
      </c>
      <c r="D114" s="2">
        <v>850</v>
      </c>
      <c r="E114" s="17">
        <f>D114*C114</f>
        <v>27097.404999999999</v>
      </c>
    </row>
    <row r="115" spans="1:5">
      <c r="A115" s="160">
        <f>A114</f>
        <v>45413</v>
      </c>
      <c r="B115" s="8" t="s">
        <v>510</v>
      </c>
      <c r="C115" s="162">
        <f>C114</f>
        <v>31.879300000000001</v>
      </c>
      <c r="D115" s="2">
        <v>250</v>
      </c>
      <c r="E115" s="17">
        <f>D115*C115</f>
        <v>7969.8249999999998</v>
      </c>
    </row>
    <row r="116" spans="1:5">
      <c r="A116" s="160">
        <f>A115</f>
        <v>45413</v>
      </c>
      <c r="B116" s="8" t="s">
        <v>602</v>
      </c>
      <c r="C116" s="162">
        <v>34.394500000000001</v>
      </c>
      <c r="D116" s="2">
        <v>58.8</v>
      </c>
      <c r="E116" s="17">
        <f>D116*C116</f>
        <v>2022.3966</v>
      </c>
    </row>
    <row r="117" spans="1:5">
      <c r="A117" s="160">
        <f>A116</f>
        <v>45413</v>
      </c>
      <c r="B117" s="8" t="s">
        <v>153</v>
      </c>
      <c r="C117" s="2"/>
      <c r="D117" s="2"/>
      <c r="E117" s="17">
        <v>120000</v>
      </c>
    </row>
    <row r="118" spans="1:5">
      <c r="A118" s="160">
        <f>A117</f>
        <v>45413</v>
      </c>
      <c r="B118" s="8" t="s">
        <v>154</v>
      </c>
      <c r="C118" s="2"/>
      <c r="D118" s="2"/>
      <c r="E118" s="17">
        <v>4000</v>
      </c>
    </row>
    <row r="119" spans="1:5">
      <c r="E119" s="176"/>
    </row>
    <row r="120" spans="1:5">
      <c r="C120" s="124"/>
      <c r="D120" s="3"/>
      <c r="E120" s="124"/>
    </row>
    <row r="121" spans="1:5">
      <c r="C121" s="124"/>
      <c r="D121" s="18" t="s">
        <v>156</v>
      </c>
      <c r="E121" s="9">
        <f>SUM(E102:E118)</f>
        <v>1018967.8866</v>
      </c>
    </row>
    <row r="122" spans="1:5">
      <c r="C122" s="125" t="str">
        <f>A101</f>
        <v>MAYISa</v>
      </c>
      <c r="D122" s="126" t="s">
        <v>157</v>
      </c>
      <c r="E122" s="127">
        <f>H2</f>
        <v>-39056.299999999996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E2F0D9"/>
  </sheetPr>
  <dimension ref="A1:H130"/>
  <sheetViews>
    <sheetView topLeftCell="A23" zoomScale="170" zoomScaleNormal="170" workbookViewId="0">
      <selection activeCell="B20" sqref="B20"/>
    </sheetView>
  </sheetViews>
  <sheetFormatPr defaultColWidth="12.28515625" defaultRowHeight="12.75"/>
  <cols>
    <col min="2" max="2" width="35.85546875" customWidth="1"/>
    <col min="3" max="3" width="9.42578125" customWidth="1"/>
    <col min="4" max="4" width="16" style="77" customWidth="1"/>
    <col min="5" max="5" width="12.5703125" style="77" customWidth="1"/>
    <col min="6" max="8" width="12.28515625" style="77"/>
    <col min="1024" max="1024" width="9.140625" customWidth="1"/>
  </cols>
  <sheetData>
    <row r="1" spans="1:8">
      <c r="F1" s="77" t="s">
        <v>28</v>
      </c>
      <c r="G1" s="77" t="s">
        <v>29</v>
      </c>
      <c r="H1" s="77" t="s">
        <v>3</v>
      </c>
    </row>
    <row r="2" spans="1:8">
      <c r="A2" s="3" t="s">
        <v>629</v>
      </c>
      <c r="C2" s="79" t="s">
        <v>67</v>
      </c>
      <c r="D2" s="77">
        <f>SUM(D5:D45)</f>
        <v>40000</v>
      </c>
      <c r="E2" s="77">
        <f>SUM(E5:E45)</f>
        <v>-51710.3</v>
      </c>
      <c r="F2" s="77">
        <f>SUM(F5:F45)</f>
        <v>332427.62</v>
      </c>
      <c r="G2" s="77">
        <f>SUM(G5:G45)</f>
        <v>-86892.22</v>
      </c>
      <c r="H2" s="77">
        <f>F2+G2</f>
        <v>245535.4</v>
      </c>
    </row>
    <row r="3" spans="1:8">
      <c r="B3" s="18"/>
    </row>
    <row r="5" spans="1:8">
      <c r="A5" s="88">
        <v>45339</v>
      </c>
      <c r="B5" s="101" t="s">
        <v>630</v>
      </c>
      <c r="C5" s="101" t="s">
        <v>357</v>
      </c>
      <c r="E5" s="78">
        <v>-250</v>
      </c>
      <c r="F5" s="78"/>
      <c r="G5" s="78"/>
      <c r="H5" s="78">
        <f t="shared" ref="H5:H45" si="0">H4+F5+G5</f>
        <v>0</v>
      </c>
    </row>
    <row r="6" spans="1:8">
      <c r="A6" s="88">
        <v>45377</v>
      </c>
      <c r="B6" s="41" t="s">
        <v>430</v>
      </c>
      <c r="C6" s="8" t="s">
        <v>631</v>
      </c>
      <c r="E6" s="78">
        <v>-152</v>
      </c>
      <c r="F6" s="78"/>
      <c r="G6" s="78">
        <v>-169.28</v>
      </c>
      <c r="H6" s="78">
        <f t="shared" si="0"/>
        <v>-169.28</v>
      </c>
    </row>
    <row r="7" spans="1:8">
      <c r="A7" s="88">
        <v>45383</v>
      </c>
      <c r="B7" s="101" t="s">
        <v>632</v>
      </c>
      <c r="C7" s="101"/>
      <c r="E7" s="78">
        <v>-1500</v>
      </c>
      <c r="G7" s="78">
        <v>-1512.13</v>
      </c>
      <c r="H7" s="78">
        <f t="shared" si="0"/>
        <v>-1681.41</v>
      </c>
    </row>
    <row r="8" spans="1:8">
      <c r="A8" s="88">
        <v>45384</v>
      </c>
      <c r="B8" s="101" t="s">
        <v>633</v>
      </c>
      <c r="C8" s="101"/>
      <c r="E8" s="78"/>
      <c r="G8" s="78">
        <v>-10000</v>
      </c>
      <c r="H8" s="78">
        <f t="shared" si="0"/>
        <v>-11681.41</v>
      </c>
    </row>
    <row r="9" spans="1:8">
      <c r="A9" s="88">
        <v>45384</v>
      </c>
      <c r="B9" s="8" t="s">
        <v>634</v>
      </c>
      <c r="D9" s="186"/>
      <c r="E9" s="78">
        <v>-2273.0700000000002</v>
      </c>
      <c r="F9" s="63"/>
      <c r="G9" s="78">
        <v>-2237.0700000000002</v>
      </c>
      <c r="H9" s="78">
        <f t="shared" si="0"/>
        <v>-13918.48</v>
      </c>
    </row>
    <row r="10" spans="1:8">
      <c r="A10" s="88">
        <v>45384</v>
      </c>
      <c r="B10" s="8" t="s">
        <v>606</v>
      </c>
      <c r="D10" s="77" t="s">
        <v>635</v>
      </c>
      <c r="E10" s="78">
        <v>-103.5</v>
      </c>
      <c r="F10" s="78"/>
      <c r="G10" s="78">
        <v>-103.5</v>
      </c>
      <c r="H10" s="78">
        <f t="shared" si="0"/>
        <v>-14021.98</v>
      </c>
    </row>
    <row r="11" spans="1:8">
      <c r="A11" s="88">
        <v>45385</v>
      </c>
      <c r="B11" s="101" t="s">
        <v>75</v>
      </c>
      <c r="C11" s="101" t="s">
        <v>328</v>
      </c>
      <c r="D11" s="78"/>
      <c r="E11" s="78">
        <v>-150</v>
      </c>
      <c r="F11" s="78"/>
      <c r="G11" s="78">
        <v>-197.34</v>
      </c>
      <c r="H11" s="78">
        <f t="shared" si="0"/>
        <v>-14219.32</v>
      </c>
    </row>
    <row r="12" spans="1:8">
      <c r="A12" s="165">
        <v>45385</v>
      </c>
      <c r="B12" s="177" t="s">
        <v>69</v>
      </c>
      <c r="D12" s="78"/>
      <c r="E12" s="78">
        <f>E97</f>
        <v>-6501.46</v>
      </c>
      <c r="F12" s="78"/>
      <c r="G12" s="78">
        <f>E12</f>
        <v>-6501.46</v>
      </c>
      <c r="H12" s="78">
        <f t="shared" si="0"/>
        <v>-20720.78</v>
      </c>
    </row>
    <row r="13" spans="1:8">
      <c r="A13" s="88">
        <v>45386</v>
      </c>
      <c r="B13" s="177" t="s">
        <v>68</v>
      </c>
      <c r="D13" s="78"/>
      <c r="E13" s="78">
        <f>E65</f>
        <v>-6693.55</v>
      </c>
      <c r="F13" s="78"/>
      <c r="G13" s="78">
        <f>E13</f>
        <v>-6693.55</v>
      </c>
      <c r="H13" s="78">
        <f t="shared" si="0"/>
        <v>-27414.329999999998</v>
      </c>
    </row>
    <row r="14" spans="1:8">
      <c r="A14" s="88">
        <v>45386</v>
      </c>
      <c r="B14" s="8" t="s">
        <v>636</v>
      </c>
      <c r="D14" s="186">
        <v>15000</v>
      </c>
      <c r="F14" s="78">
        <v>15000</v>
      </c>
      <c r="H14" s="78">
        <f t="shared" si="0"/>
        <v>-12414.329999999998</v>
      </c>
    </row>
    <row r="15" spans="1:8">
      <c r="A15" s="165">
        <v>45387</v>
      </c>
      <c r="B15" s="177" t="s">
        <v>637</v>
      </c>
      <c r="D15" s="78"/>
      <c r="E15" s="78"/>
      <c r="F15" s="78">
        <v>3000</v>
      </c>
      <c r="H15" s="78">
        <f t="shared" si="0"/>
        <v>-9414.3299999999981</v>
      </c>
    </row>
    <row r="16" spans="1:8">
      <c r="A16" s="100">
        <v>45389</v>
      </c>
      <c r="B16" s="101" t="s">
        <v>638</v>
      </c>
      <c r="C16" s="101"/>
      <c r="E16" s="78">
        <v>-5375</v>
      </c>
      <c r="F16" s="78"/>
      <c r="G16" s="78">
        <f>E16</f>
        <v>-5375</v>
      </c>
      <c r="H16" s="78">
        <f t="shared" si="0"/>
        <v>-14789.329999999998</v>
      </c>
    </row>
    <row r="17" spans="1:8">
      <c r="A17" s="100">
        <v>45389</v>
      </c>
      <c r="B17" s="101" t="s">
        <v>638</v>
      </c>
      <c r="C17" s="101"/>
      <c r="E17" s="78">
        <v>-2125</v>
      </c>
      <c r="F17" s="78"/>
      <c r="G17" s="78">
        <f>E17</f>
        <v>-2125</v>
      </c>
      <c r="H17" s="78">
        <f t="shared" si="0"/>
        <v>-16914.329999999998</v>
      </c>
    </row>
    <row r="18" spans="1:8">
      <c r="B18" t="s">
        <v>399</v>
      </c>
      <c r="D18" s="78"/>
      <c r="E18" s="78">
        <v>-10000</v>
      </c>
      <c r="F18" s="78"/>
      <c r="G18" s="78">
        <f>E18</f>
        <v>-10000</v>
      </c>
      <c r="H18" s="78">
        <f t="shared" si="0"/>
        <v>-26914.329999999998</v>
      </c>
    </row>
    <row r="19" spans="1:8">
      <c r="A19" s="88">
        <v>45397</v>
      </c>
      <c r="B19" s="177" t="s">
        <v>72</v>
      </c>
      <c r="D19" s="78"/>
      <c r="E19" s="78">
        <f>E60*-1</f>
        <v>-286.72000000000003</v>
      </c>
      <c r="F19" s="78"/>
      <c r="G19" s="78">
        <f>E19</f>
        <v>-286.72000000000003</v>
      </c>
      <c r="H19" s="78">
        <f t="shared" si="0"/>
        <v>-27201.05</v>
      </c>
    </row>
    <row r="20" spans="1:8">
      <c r="A20" s="88">
        <v>45397</v>
      </c>
      <c r="B20" s="101" t="s">
        <v>461</v>
      </c>
      <c r="D20" s="78"/>
      <c r="E20" s="78"/>
      <c r="F20" s="78"/>
      <c r="G20" s="78">
        <v>-55</v>
      </c>
      <c r="H20" s="78">
        <f t="shared" si="0"/>
        <v>-27256.05</v>
      </c>
    </row>
    <row r="21" spans="1:8">
      <c r="A21" s="88">
        <v>45397</v>
      </c>
      <c r="B21" s="101" t="s">
        <v>639</v>
      </c>
      <c r="D21" s="78"/>
      <c r="E21" s="78"/>
      <c r="F21" s="78">
        <v>85000</v>
      </c>
      <c r="G21" s="78"/>
      <c r="H21" s="78">
        <f t="shared" si="0"/>
        <v>57743.95</v>
      </c>
    </row>
    <row r="22" spans="1:8">
      <c r="A22" s="97">
        <v>45398</v>
      </c>
      <c r="B22" s="106" t="s">
        <v>73</v>
      </c>
      <c r="C22" s="106" t="s">
        <v>640</v>
      </c>
      <c r="D22" s="78"/>
      <c r="E22" s="78">
        <v>-300</v>
      </c>
      <c r="F22" s="78"/>
      <c r="G22" s="78">
        <v>-636</v>
      </c>
      <c r="H22" s="78">
        <f t="shared" si="0"/>
        <v>57107.95</v>
      </c>
    </row>
    <row r="23" spans="1:8">
      <c r="A23" s="97">
        <v>45398</v>
      </c>
      <c r="B23" s="106" t="s">
        <v>74</v>
      </c>
      <c r="C23" s="106" t="s">
        <v>328</v>
      </c>
      <c r="D23" s="78"/>
      <c r="E23" s="78">
        <v>-100</v>
      </c>
      <c r="F23" s="78"/>
      <c r="G23" s="78">
        <v>0</v>
      </c>
      <c r="H23" s="78">
        <f t="shared" si="0"/>
        <v>57107.95</v>
      </c>
    </row>
    <row r="24" spans="1:8">
      <c r="A24" s="88">
        <v>45401</v>
      </c>
      <c r="B24" s="8" t="s">
        <v>641</v>
      </c>
      <c r="D24" s="78"/>
      <c r="E24" s="78"/>
      <c r="F24" s="78"/>
      <c r="G24" s="78">
        <v>-3592.17</v>
      </c>
      <c r="H24" s="78">
        <f t="shared" si="0"/>
        <v>53515.78</v>
      </c>
    </row>
    <row r="25" spans="1:8">
      <c r="A25" s="88">
        <v>45404</v>
      </c>
      <c r="B25" s="8" t="s">
        <v>642</v>
      </c>
      <c r="C25" s="8" t="s">
        <v>154</v>
      </c>
      <c r="D25" s="78"/>
      <c r="E25" s="78"/>
      <c r="F25" s="78">
        <v>1000</v>
      </c>
      <c r="G25" s="78"/>
      <c r="H25" s="78">
        <f t="shared" si="0"/>
        <v>54515.78</v>
      </c>
    </row>
    <row r="26" spans="1:8">
      <c r="A26" s="88"/>
      <c r="B26" s="8" t="s">
        <v>642</v>
      </c>
      <c r="C26" s="8" t="s">
        <v>154</v>
      </c>
      <c r="D26" s="78"/>
      <c r="E26" s="78"/>
      <c r="F26" s="78">
        <v>50000</v>
      </c>
      <c r="G26" s="78"/>
      <c r="H26" s="78">
        <f t="shared" si="0"/>
        <v>104515.78</v>
      </c>
    </row>
    <row r="27" spans="1:8">
      <c r="A27" s="88"/>
      <c r="B27" s="8" t="s">
        <v>642</v>
      </c>
      <c r="C27" s="8" t="s">
        <v>643</v>
      </c>
      <c r="D27" s="78"/>
      <c r="E27" s="78"/>
      <c r="F27" s="78">
        <v>33000</v>
      </c>
      <c r="G27" s="78"/>
      <c r="H27" s="78">
        <f t="shared" si="0"/>
        <v>137515.78</v>
      </c>
    </row>
    <row r="28" spans="1:8">
      <c r="A28" s="88"/>
      <c r="B28" s="8" t="s">
        <v>642</v>
      </c>
      <c r="C28" s="8" t="s">
        <v>154</v>
      </c>
      <c r="D28" s="78"/>
      <c r="E28" s="78"/>
      <c r="F28" s="78">
        <v>120000</v>
      </c>
      <c r="G28" s="78"/>
      <c r="H28" s="78">
        <f t="shared" si="0"/>
        <v>257515.78</v>
      </c>
    </row>
    <row r="29" spans="1:8">
      <c r="A29" s="88"/>
      <c r="B29" s="8" t="s">
        <v>644</v>
      </c>
      <c r="D29" s="78"/>
      <c r="E29" s="78"/>
      <c r="F29" s="78"/>
      <c r="G29" s="78">
        <v>-24000</v>
      </c>
      <c r="H29" s="78">
        <f t="shared" si="0"/>
        <v>233515.78</v>
      </c>
    </row>
    <row r="30" spans="1:8">
      <c r="A30" s="88"/>
      <c r="D30" s="78"/>
      <c r="E30" s="78"/>
      <c r="F30" s="78"/>
      <c r="G30" s="78"/>
      <c r="H30" s="78">
        <f t="shared" si="0"/>
        <v>233515.78</v>
      </c>
    </row>
    <row r="31" spans="1:8">
      <c r="A31" s="88"/>
      <c r="D31" s="78"/>
      <c r="E31" s="78"/>
      <c r="F31" s="78"/>
      <c r="G31" s="78"/>
      <c r="H31" s="78">
        <f t="shared" si="0"/>
        <v>233515.78</v>
      </c>
    </row>
    <row r="32" spans="1:8">
      <c r="A32" s="88"/>
      <c r="D32" s="78"/>
      <c r="E32" s="78"/>
      <c r="F32" s="78"/>
      <c r="G32" s="78"/>
      <c r="H32" s="78">
        <f t="shared" si="0"/>
        <v>233515.78</v>
      </c>
    </row>
    <row r="33" spans="1:8">
      <c r="A33" s="88"/>
      <c r="H33" s="78">
        <f t="shared" si="0"/>
        <v>233515.78</v>
      </c>
    </row>
    <row r="34" spans="1:8">
      <c r="A34" s="88">
        <v>45414</v>
      </c>
      <c r="B34" s="101" t="s">
        <v>80</v>
      </c>
      <c r="C34" s="101"/>
      <c r="E34" s="78">
        <v>-400</v>
      </c>
      <c r="F34" s="63"/>
      <c r="H34" s="78">
        <f t="shared" si="0"/>
        <v>233515.78</v>
      </c>
    </row>
    <row r="35" spans="1:8">
      <c r="A35" s="88">
        <v>45414</v>
      </c>
      <c r="B35" s="101" t="s">
        <v>81</v>
      </c>
      <c r="C35" s="101"/>
      <c r="E35" s="78">
        <v>-500</v>
      </c>
      <c r="H35" s="78">
        <f t="shared" si="0"/>
        <v>233515.78</v>
      </c>
    </row>
    <row r="36" spans="1:8">
      <c r="H36" s="78">
        <f t="shared" si="0"/>
        <v>233515.78</v>
      </c>
    </row>
    <row r="37" spans="1:8">
      <c r="B37" t="s">
        <v>77</v>
      </c>
      <c r="D37" s="78"/>
      <c r="E37" s="78"/>
      <c r="F37" s="78"/>
      <c r="G37" s="78"/>
      <c r="H37" s="78">
        <f t="shared" si="0"/>
        <v>233515.78</v>
      </c>
    </row>
    <row r="38" spans="1:8">
      <c r="B38" t="s">
        <v>645</v>
      </c>
      <c r="D38" s="78"/>
      <c r="E38" s="78">
        <v>-5000</v>
      </c>
      <c r="F38" s="78"/>
      <c r="G38" s="78">
        <v>-6704</v>
      </c>
      <c r="H38" s="78">
        <f t="shared" si="0"/>
        <v>226811.78</v>
      </c>
    </row>
    <row r="39" spans="1:8">
      <c r="B39" t="s">
        <v>646</v>
      </c>
      <c r="D39" s="78"/>
      <c r="E39" s="78">
        <v>-5000</v>
      </c>
      <c r="F39" s="78"/>
      <c r="G39" s="78">
        <v>-6704</v>
      </c>
      <c r="H39" s="78">
        <f t="shared" si="0"/>
        <v>220107.78</v>
      </c>
    </row>
    <row r="40" spans="1:8">
      <c r="B40" t="s">
        <v>79</v>
      </c>
      <c r="D40" s="78"/>
      <c r="E40" s="78">
        <v>-5000</v>
      </c>
      <c r="F40" s="78"/>
      <c r="G40" s="78"/>
      <c r="H40" s="78">
        <f t="shared" si="0"/>
        <v>220107.78</v>
      </c>
    </row>
    <row r="41" spans="1:8">
      <c r="B41" t="s">
        <v>76</v>
      </c>
      <c r="D41" s="78">
        <v>10000</v>
      </c>
      <c r="E41" s="78"/>
      <c r="F41" s="78">
        <v>10427.620000000001</v>
      </c>
      <c r="G41" s="78"/>
      <c r="H41" s="78">
        <f t="shared" si="0"/>
        <v>230535.4</v>
      </c>
    </row>
    <row r="42" spans="1:8">
      <c r="A42" s="100"/>
      <c r="B42" s="8" t="s">
        <v>647</v>
      </c>
      <c r="D42" s="78">
        <v>15000</v>
      </c>
      <c r="E42" s="78"/>
      <c r="F42" s="78">
        <v>15000</v>
      </c>
      <c r="G42" s="78"/>
      <c r="H42" s="78">
        <f t="shared" si="0"/>
        <v>245535.4</v>
      </c>
    </row>
    <row r="43" spans="1:8">
      <c r="H43" s="78">
        <f t="shared" si="0"/>
        <v>245535.4</v>
      </c>
    </row>
    <row r="44" spans="1:8">
      <c r="H44" s="78">
        <f t="shared" si="0"/>
        <v>245535.4</v>
      </c>
    </row>
    <row r="45" spans="1:8">
      <c r="A45" s="187">
        <v>45322</v>
      </c>
      <c r="B45" s="25" t="s">
        <v>648</v>
      </c>
      <c r="C45" s="188"/>
      <c r="D45" s="188"/>
      <c r="H45" s="78">
        <f t="shared" si="0"/>
        <v>245535.4</v>
      </c>
    </row>
    <row r="46" spans="1:8">
      <c r="A46" s="88"/>
      <c r="C46" s="124"/>
      <c r="D46" s="124"/>
    </row>
    <row r="47" spans="1:8">
      <c r="A47" s="88"/>
      <c r="C47" s="124"/>
      <c r="D47" s="124"/>
    </row>
    <row r="48" spans="1:8">
      <c r="A48" s="88"/>
      <c r="C48" s="124"/>
      <c r="D48" s="124"/>
    </row>
    <row r="49" spans="1:5">
      <c r="A49" s="88"/>
      <c r="C49" s="124"/>
      <c r="D49" s="124"/>
    </row>
    <row r="51" spans="1:5">
      <c r="B51" t="s">
        <v>330</v>
      </c>
    </row>
    <row r="52" spans="1:5">
      <c r="A52" s="103" t="s">
        <v>331</v>
      </c>
      <c r="B52" s="103"/>
      <c r="C52" s="103"/>
    </row>
    <row r="53" spans="1:5">
      <c r="A53" s="100"/>
      <c r="C53" s="171"/>
    </row>
    <row r="54" spans="1:5">
      <c r="A54" s="172">
        <v>44929</v>
      </c>
      <c r="B54" s="173" t="s">
        <v>332</v>
      </c>
      <c r="C54" s="103"/>
      <c r="D54" s="77">
        <f>SUM(D55:D60)</f>
        <v>4514.12</v>
      </c>
      <c r="E54" s="77">
        <f>SUM(E55:E60)</f>
        <v>4437.22</v>
      </c>
    </row>
    <row r="55" spans="1:5">
      <c r="A55" s="100"/>
      <c r="B55" s="106" t="s">
        <v>333</v>
      </c>
      <c r="D55" s="77">
        <v>874.44</v>
      </c>
      <c r="E55" s="77">
        <v>800</v>
      </c>
    </row>
    <row r="56" spans="1:5">
      <c r="B56" t="s">
        <v>334</v>
      </c>
      <c r="D56" s="77">
        <v>1078.92</v>
      </c>
      <c r="E56" s="77">
        <v>1079</v>
      </c>
    </row>
    <row r="57" spans="1:5">
      <c r="B57" t="s">
        <v>335</v>
      </c>
      <c r="D57" s="77">
        <v>173.45</v>
      </c>
      <c r="E57" s="77">
        <v>172.5</v>
      </c>
    </row>
    <row r="58" spans="1:5">
      <c r="B58" t="s">
        <v>336</v>
      </c>
      <c r="C58" t="s">
        <v>649</v>
      </c>
      <c r="D58" s="77">
        <v>1774</v>
      </c>
      <c r="E58" s="77">
        <v>1774</v>
      </c>
    </row>
    <row r="59" spans="1:5">
      <c r="B59" t="s">
        <v>337</v>
      </c>
      <c r="D59" s="77">
        <v>326.58999999999997</v>
      </c>
      <c r="E59" s="77">
        <v>325</v>
      </c>
    </row>
    <row r="60" spans="1:5">
      <c r="B60" t="s">
        <v>338</v>
      </c>
      <c r="C60" s="106"/>
      <c r="D60" s="77">
        <v>286.72000000000003</v>
      </c>
      <c r="E60" s="77">
        <f>D60</f>
        <v>286.72000000000003</v>
      </c>
    </row>
    <row r="61" spans="1:5">
      <c r="C61" s="106"/>
    </row>
    <row r="63" spans="1:5">
      <c r="B63" s="17"/>
    </row>
    <row r="64" spans="1:5">
      <c r="B64" s="102"/>
    </row>
    <row r="65" spans="1:5">
      <c r="A65" s="103"/>
      <c r="B65" s="104" t="s">
        <v>83</v>
      </c>
      <c r="C65" s="103"/>
      <c r="E65" s="77">
        <f>SUM(E66:E91)</f>
        <v>-6693.55</v>
      </c>
    </row>
    <row r="67" spans="1:5">
      <c r="A67" s="100">
        <v>45187</v>
      </c>
      <c r="B67" s="106" t="s">
        <v>566</v>
      </c>
      <c r="C67" s="106">
        <v>7648.33</v>
      </c>
      <c r="D67" s="77" t="s">
        <v>400</v>
      </c>
      <c r="E67" s="77">
        <v>-849.81</v>
      </c>
    </row>
    <row r="68" spans="1:5">
      <c r="A68" s="88">
        <v>45348</v>
      </c>
      <c r="B68" s="8" t="s">
        <v>444</v>
      </c>
      <c r="C68">
        <v>1406</v>
      </c>
      <c r="D68" s="77" t="s">
        <v>650</v>
      </c>
      <c r="E68" s="77">
        <v>-234.33</v>
      </c>
    </row>
    <row r="69" spans="1:5">
      <c r="A69" s="88">
        <v>45358</v>
      </c>
      <c r="B69" s="8" t="s">
        <v>447</v>
      </c>
      <c r="C69">
        <v>2273</v>
      </c>
      <c r="D69" s="77" t="s">
        <v>650</v>
      </c>
      <c r="E69" s="77">
        <v>-378.87</v>
      </c>
    </row>
    <row r="70" spans="1:5">
      <c r="A70" s="88">
        <v>45371</v>
      </c>
      <c r="B70" s="8" t="s">
        <v>448</v>
      </c>
      <c r="D70" s="77" t="s">
        <v>651</v>
      </c>
      <c r="E70" s="77">
        <v>101.77</v>
      </c>
    </row>
    <row r="71" spans="1:5">
      <c r="A71" s="88">
        <v>45373</v>
      </c>
      <c r="B71" s="8" t="s">
        <v>339</v>
      </c>
      <c r="C71">
        <v>10176.39</v>
      </c>
      <c r="D71" s="77" t="s">
        <v>652</v>
      </c>
      <c r="E71" s="77">
        <v>-1130.71</v>
      </c>
    </row>
    <row r="72" spans="1:5">
      <c r="A72" s="88">
        <v>45375</v>
      </c>
      <c r="B72" s="8" t="s">
        <v>341</v>
      </c>
      <c r="C72">
        <v>5999</v>
      </c>
      <c r="D72" s="77" t="s">
        <v>652</v>
      </c>
      <c r="E72" s="77">
        <v>-666.56</v>
      </c>
    </row>
    <row r="73" spans="1:5">
      <c r="A73" s="88"/>
    </row>
    <row r="74" spans="1:5">
      <c r="A74" s="88">
        <v>45347</v>
      </c>
      <c r="B74" s="8" t="s">
        <v>653</v>
      </c>
      <c r="E74" s="77">
        <v>-343</v>
      </c>
    </row>
    <row r="75" spans="1:5">
      <c r="A75" s="100">
        <v>45348</v>
      </c>
      <c r="B75" s="106" t="s">
        <v>654</v>
      </c>
      <c r="C75" s="106"/>
      <c r="E75" s="77">
        <v>-150</v>
      </c>
    </row>
    <row r="76" spans="1:5">
      <c r="A76" s="100">
        <v>45351</v>
      </c>
      <c r="B76" s="106" t="s">
        <v>135</v>
      </c>
      <c r="C76" s="94">
        <f>E76</f>
        <v>-86.95</v>
      </c>
      <c r="E76" s="77">
        <v>-86.95</v>
      </c>
    </row>
    <row r="77" spans="1:5">
      <c r="A77" s="100">
        <v>45353</v>
      </c>
      <c r="B77" s="107" t="s">
        <v>180</v>
      </c>
      <c r="C77" s="106"/>
      <c r="E77" s="77">
        <v>-500</v>
      </c>
    </row>
    <row r="78" spans="1:5">
      <c r="A78" s="100">
        <v>45353</v>
      </c>
      <c r="B78" s="107" t="s">
        <v>655</v>
      </c>
      <c r="C78" s="106"/>
      <c r="E78" s="77">
        <v>-600</v>
      </c>
    </row>
    <row r="79" spans="1:5">
      <c r="A79" s="100">
        <v>45354</v>
      </c>
      <c r="B79" s="107" t="s">
        <v>656</v>
      </c>
      <c r="C79" s="106"/>
      <c r="E79" s="77">
        <v>-330</v>
      </c>
    </row>
    <row r="80" spans="1:5">
      <c r="A80" s="100">
        <v>45355</v>
      </c>
      <c r="B80" s="107" t="s">
        <v>657</v>
      </c>
      <c r="C80" s="94">
        <f>E80</f>
        <v>-200</v>
      </c>
      <c r="E80" s="77">
        <v>-200</v>
      </c>
    </row>
    <row r="81" spans="1:5">
      <c r="A81" s="100">
        <v>45355</v>
      </c>
      <c r="B81" s="107" t="s">
        <v>530</v>
      </c>
      <c r="C81" s="106"/>
      <c r="E81" s="77">
        <v>-50</v>
      </c>
    </row>
    <row r="82" spans="1:5">
      <c r="A82" s="100">
        <v>45356</v>
      </c>
      <c r="B82" s="107" t="s">
        <v>657</v>
      </c>
      <c r="C82" s="94">
        <f>E82</f>
        <v>-200</v>
      </c>
      <c r="E82" s="77">
        <v>-200</v>
      </c>
    </row>
    <row r="83" spans="1:5">
      <c r="A83" s="100">
        <v>45357</v>
      </c>
      <c r="B83" s="107" t="s">
        <v>658</v>
      </c>
      <c r="C83" s="106"/>
      <c r="E83" s="77">
        <v>-160</v>
      </c>
    </row>
    <row r="84" spans="1:5">
      <c r="A84" s="100">
        <v>45357</v>
      </c>
      <c r="B84" s="107" t="s">
        <v>130</v>
      </c>
      <c r="C84" s="106">
        <v>6341.66</v>
      </c>
    </row>
    <row r="85" spans="1:5">
      <c r="A85" s="100">
        <v>45361</v>
      </c>
      <c r="B85" s="107" t="s">
        <v>414</v>
      </c>
      <c r="E85" s="77">
        <v>-294.14</v>
      </c>
    </row>
    <row r="86" spans="1:5">
      <c r="A86" s="100">
        <v>45358</v>
      </c>
      <c r="B86" s="107" t="s">
        <v>657</v>
      </c>
      <c r="C86" s="94">
        <f>E86</f>
        <v>-200</v>
      </c>
      <c r="E86" s="77">
        <v>-200</v>
      </c>
    </row>
    <row r="87" spans="1:5">
      <c r="A87" s="100"/>
      <c r="B87" s="107"/>
      <c r="C87" s="106"/>
      <c r="E87" s="77">
        <v>-3.05</v>
      </c>
    </row>
    <row r="88" spans="1:5">
      <c r="A88" s="100">
        <v>45376</v>
      </c>
      <c r="B88" s="107" t="s">
        <v>659</v>
      </c>
      <c r="C88" s="106"/>
      <c r="E88" s="77">
        <v>-874.19</v>
      </c>
    </row>
    <row r="89" spans="1:5">
      <c r="A89" s="100"/>
      <c r="B89" s="107"/>
      <c r="C89" s="106"/>
      <c r="E89" s="77">
        <v>-43.71</v>
      </c>
    </row>
    <row r="90" spans="1:5">
      <c r="A90" s="100">
        <v>45374</v>
      </c>
      <c r="B90" s="107" t="s">
        <v>660</v>
      </c>
      <c r="C90" s="106"/>
      <c r="E90" s="77">
        <v>500</v>
      </c>
    </row>
    <row r="91" spans="1:5" ht="15">
      <c r="A91" s="100">
        <v>45374</v>
      </c>
      <c r="B91" s="107" t="s">
        <v>660</v>
      </c>
      <c r="D91" s="105" t="s">
        <v>84</v>
      </c>
    </row>
    <row r="92" spans="1:5" ht="15">
      <c r="A92" s="100"/>
      <c r="B92" s="35" t="s">
        <v>423</v>
      </c>
      <c r="C92">
        <v>686.95</v>
      </c>
      <c r="D92" s="182"/>
    </row>
    <row r="93" spans="1:5" ht="15">
      <c r="A93" s="100"/>
      <c r="B93" s="107"/>
      <c r="D93" s="182"/>
    </row>
    <row r="94" spans="1:5" ht="15">
      <c r="A94" s="100"/>
      <c r="B94" s="107"/>
      <c r="D94" s="182"/>
    </row>
    <row r="95" spans="1:5" ht="15">
      <c r="A95" s="100"/>
      <c r="B95" s="107"/>
      <c r="D95" s="182"/>
    </row>
    <row r="96" spans="1:5">
      <c r="A96" s="100"/>
      <c r="B96" s="106"/>
      <c r="C96" s="106"/>
    </row>
    <row r="97" spans="1:6">
      <c r="A97" s="103"/>
      <c r="B97" s="104" t="s">
        <v>85</v>
      </c>
      <c r="C97" s="103"/>
      <c r="E97" s="77">
        <f>SUM(E98:E105)</f>
        <v>-6501.46</v>
      </c>
    </row>
    <row r="98" spans="1:6">
      <c r="A98" s="100"/>
      <c r="B98" s="106"/>
      <c r="C98" s="106"/>
    </row>
    <row r="99" spans="1:6">
      <c r="A99" s="165">
        <v>45214</v>
      </c>
      <c r="B99" s="8" t="s">
        <v>661</v>
      </c>
      <c r="D99" s="77" t="s">
        <v>662</v>
      </c>
      <c r="E99" s="77">
        <v>-600</v>
      </c>
    </row>
    <row r="100" spans="1:6">
      <c r="A100" s="165">
        <v>45285</v>
      </c>
      <c r="B100" s="106" t="s">
        <v>526</v>
      </c>
      <c r="C100" s="106"/>
      <c r="D100" s="77" t="s">
        <v>663</v>
      </c>
      <c r="E100" s="77">
        <v>-3551.66</v>
      </c>
      <c r="F100" s="77">
        <v>0</v>
      </c>
    </row>
    <row r="101" spans="1:6">
      <c r="A101" s="100"/>
      <c r="B101" s="3" t="s">
        <v>664</v>
      </c>
      <c r="C101" s="106"/>
      <c r="D101" s="77" t="s">
        <v>665</v>
      </c>
      <c r="E101" s="77">
        <v>-649.78</v>
      </c>
      <c r="F101" s="77">
        <v>0</v>
      </c>
    </row>
    <row r="102" spans="1:6">
      <c r="A102" s="100"/>
      <c r="B102" s="3" t="s">
        <v>484</v>
      </c>
      <c r="C102" s="106">
        <v>49.98</v>
      </c>
      <c r="D102" s="77" t="s">
        <v>665</v>
      </c>
      <c r="E102" s="77">
        <v>49.98</v>
      </c>
      <c r="F102" s="77">
        <v>0</v>
      </c>
    </row>
    <row r="103" spans="1:6">
      <c r="A103" s="100"/>
      <c r="B103" s="3"/>
      <c r="C103" s="106"/>
    </row>
    <row r="104" spans="1:6">
      <c r="A104" s="100">
        <v>45374</v>
      </c>
      <c r="B104" s="3" t="s">
        <v>666</v>
      </c>
      <c r="C104" s="106"/>
      <c r="E104" s="77">
        <v>-1750</v>
      </c>
    </row>
    <row r="105" spans="1:6" ht="15">
      <c r="A105" s="100"/>
      <c r="B105" s="3"/>
      <c r="C105" s="106"/>
      <c r="D105" s="105" t="s">
        <v>84</v>
      </c>
    </row>
    <row r="106" spans="1:6">
      <c r="A106" s="100"/>
      <c r="B106" s="3"/>
      <c r="C106" s="106"/>
    </row>
    <row r="107" spans="1:6">
      <c r="A107" s="100"/>
      <c r="B107" s="3"/>
      <c r="C107" s="106"/>
    </row>
    <row r="108" spans="1:6">
      <c r="A108" s="100"/>
      <c r="B108" s="3"/>
      <c r="C108" s="106"/>
    </row>
    <row r="109" spans="1:6">
      <c r="A109" s="100"/>
      <c r="B109" s="3"/>
      <c r="C109" s="106"/>
    </row>
    <row r="110" spans="1:6">
      <c r="A110" s="100"/>
      <c r="B110" s="3"/>
      <c r="C110" s="106"/>
    </row>
    <row r="111" spans="1:6">
      <c r="A111" s="113" t="s">
        <v>667</v>
      </c>
      <c r="B111" s="104" t="s">
        <v>137</v>
      </c>
      <c r="C111" s="103">
        <v>2024</v>
      </c>
      <c r="D111" s="158"/>
      <c r="E111" s="159">
        <f>SUM(E112:E126)</f>
        <v>774287.73659999995</v>
      </c>
    </row>
    <row r="112" spans="1:6">
      <c r="A112" s="160">
        <v>45383</v>
      </c>
      <c r="B112" s="8" t="s">
        <v>77</v>
      </c>
      <c r="C112" s="2"/>
      <c r="D112" s="2"/>
      <c r="E112" s="2">
        <v>64000</v>
      </c>
    </row>
    <row r="113" spans="1:5">
      <c r="A113" s="160">
        <f t="shared" ref="A113:A126" si="1">A112</f>
        <v>45383</v>
      </c>
      <c r="B113" s="8" t="s">
        <v>383</v>
      </c>
      <c r="C113" s="2"/>
      <c r="D113" s="2"/>
      <c r="E113" s="2">
        <v>150845</v>
      </c>
    </row>
    <row r="114" spans="1:5">
      <c r="A114" s="160">
        <f t="shared" si="1"/>
        <v>45383</v>
      </c>
      <c r="B114" s="8" t="s">
        <v>305</v>
      </c>
      <c r="C114" s="2"/>
      <c r="D114" s="2"/>
      <c r="E114" s="17">
        <v>6036.94</v>
      </c>
    </row>
    <row r="115" spans="1:5">
      <c r="A115" s="160">
        <f t="shared" si="1"/>
        <v>45383</v>
      </c>
      <c r="B115" s="8" t="s">
        <v>306</v>
      </c>
      <c r="C115" s="2"/>
      <c r="D115" s="2"/>
      <c r="E115" s="17">
        <v>0</v>
      </c>
    </row>
    <row r="116" spans="1:5">
      <c r="A116" s="160">
        <f t="shared" si="1"/>
        <v>45383</v>
      </c>
      <c r="B116" s="8" t="s">
        <v>503</v>
      </c>
      <c r="C116" s="2"/>
      <c r="D116" s="2"/>
      <c r="E116" s="17">
        <v>0</v>
      </c>
    </row>
    <row r="117" spans="1:5">
      <c r="A117" s="160">
        <f t="shared" si="1"/>
        <v>45383</v>
      </c>
      <c r="B117" s="8" t="s">
        <v>307</v>
      </c>
      <c r="C117" s="124"/>
      <c r="D117" s="2"/>
      <c r="E117" s="17">
        <v>0</v>
      </c>
    </row>
    <row r="118" spans="1:5">
      <c r="A118" s="160">
        <f t="shared" si="1"/>
        <v>45383</v>
      </c>
      <c r="B118" s="8" t="s">
        <v>241</v>
      </c>
      <c r="C118" s="2"/>
      <c r="D118" s="2"/>
      <c r="E118" s="17">
        <v>0</v>
      </c>
    </row>
    <row r="119" spans="1:5">
      <c r="A119" s="160">
        <f t="shared" si="1"/>
        <v>45383</v>
      </c>
      <c r="B119" s="8" t="s">
        <v>504</v>
      </c>
      <c r="C119" s="2" t="s">
        <v>668</v>
      </c>
      <c r="D119" s="2"/>
      <c r="E119" s="17">
        <v>110122</v>
      </c>
    </row>
    <row r="120" spans="1:5">
      <c r="A120" s="160">
        <f t="shared" si="1"/>
        <v>45383</v>
      </c>
      <c r="B120" s="8" t="s">
        <v>141</v>
      </c>
      <c r="C120" s="2"/>
      <c r="D120" s="2"/>
      <c r="E120" s="17">
        <v>450</v>
      </c>
    </row>
    <row r="121" spans="1:5">
      <c r="A121" s="160">
        <f t="shared" si="1"/>
        <v>45383</v>
      </c>
      <c r="B121" s="8" t="s">
        <v>508</v>
      </c>
      <c r="C121" s="2">
        <v>2308.9699999999998</v>
      </c>
      <c r="D121" s="2">
        <v>161</v>
      </c>
      <c r="E121" s="17">
        <f>D121*C121</f>
        <v>371744.17</v>
      </c>
    </row>
    <row r="122" spans="1:5">
      <c r="A122" s="160">
        <f t="shared" si="1"/>
        <v>45383</v>
      </c>
      <c r="B122" s="8" t="s">
        <v>601</v>
      </c>
      <c r="C122" s="162">
        <v>31.879300000000001</v>
      </c>
      <c r="D122" s="2">
        <v>850</v>
      </c>
      <c r="E122" s="17">
        <f>D122*C122</f>
        <v>27097.404999999999</v>
      </c>
    </row>
    <row r="123" spans="1:5">
      <c r="A123" s="160">
        <f t="shared" si="1"/>
        <v>45383</v>
      </c>
      <c r="B123" s="8" t="s">
        <v>510</v>
      </c>
      <c r="C123" s="162">
        <f>C122</f>
        <v>31.879300000000001</v>
      </c>
      <c r="D123" s="2">
        <v>250</v>
      </c>
      <c r="E123" s="17">
        <f>D123*C123</f>
        <v>7969.8249999999998</v>
      </c>
    </row>
    <row r="124" spans="1:5">
      <c r="A124" s="160">
        <f t="shared" si="1"/>
        <v>45383</v>
      </c>
      <c r="B124" s="8" t="s">
        <v>602</v>
      </c>
      <c r="C124" s="162">
        <v>34.394500000000001</v>
      </c>
      <c r="D124" s="2">
        <v>58.8</v>
      </c>
      <c r="E124" s="17">
        <f>D124*C124</f>
        <v>2022.3966</v>
      </c>
    </row>
    <row r="125" spans="1:5">
      <c r="A125" s="160">
        <f t="shared" si="1"/>
        <v>45383</v>
      </c>
      <c r="B125" s="8" t="s">
        <v>153</v>
      </c>
      <c r="C125" s="2"/>
      <c r="D125" s="2"/>
      <c r="E125" s="17">
        <v>30000</v>
      </c>
    </row>
    <row r="126" spans="1:5">
      <c r="A126" s="160">
        <f t="shared" si="1"/>
        <v>45383</v>
      </c>
      <c r="B126" s="8" t="s">
        <v>154</v>
      </c>
      <c r="C126" s="2"/>
      <c r="D126" s="2"/>
      <c r="E126" s="17">
        <v>4000</v>
      </c>
    </row>
    <row r="127" spans="1:5">
      <c r="E127" s="176"/>
    </row>
    <row r="128" spans="1:5">
      <c r="C128" s="124"/>
      <c r="D128" s="3"/>
      <c r="E128" s="124"/>
    </row>
    <row r="129" spans="3:5">
      <c r="C129" s="124"/>
      <c r="D129" s="18" t="s">
        <v>156</v>
      </c>
      <c r="E129" s="9">
        <f>SUM(E112:E126)</f>
        <v>774287.73659999995</v>
      </c>
    </row>
    <row r="130" spans="3:5">
      <c r="C130" s="125" t="str">
        <f>A111</f>
        <v>NİSANa</v>
      </c>
      <c r="D130" s="126" t="s">
        <v>157</v>
      </c>
      <c r="E130" s="127">
        <f>H2</f>
        <v>245535.4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E2F0D9"/>
  </sheetPr>
  <dimension ref="A1:H131"/>
  <sheetViews>
    <sheetView topLeftCell="A69" zoomScale="170" zoomScaleNormal="170" workbookViewId="0">
      <selection activeCell="B84" sqref="B84"/>
    </sheetView>
  </sheetViews>
  <sheetFormatPr defaultColWidth="12.28515625" defaultRowHeight="12.75"/>
  <cols>
    <col min="1" max="1" width="12.140625" customWidth="1"/>
    <col min="2" max="2" width="35.85546875" customWidth="1"/>
    <col min="3" max="3" width="9.42578125" customWidth="1"/>
    <col min="4" max="4" width="11.5703125" style="102" customWidth="1"/>
    <col min="5" max="5" width="12.28515625" style="77"/>
    <col min="8" max="8" width="12.85546875" customWidth="1"/>
    <col min="1024" max="1024" width="9.140625" customWidth="1"/>
  </cols>
  <sheetData>
    <row r="1" spans="1:8">
      <c r="F1" s="189" t="s">
        <v>28</v>
      </c>
      <c r="G1" s="189" t="s">
        <v>29</v>
      </c>
      <c r="H1" s="189" t="s">
        <v>3</v>
      </c>
    </row>
    <row r="2" spans="1:8">
      <c r="B2" s="3" t="s">
        <v>669</v>
      </c>
      <c r="C2" s="79" t="s">
        <v>67</v>
      </c>
      <c r="D2" s="102">
        <f>SUM(D6:D27)</f>
        <v>12800</v>
      </c>
      <c r="E2" s="77">
        <f>SUM(E3:E29)</f>
        <v>-114592.82</v>
      </c>
      <c r="F2" s="77">
        <f>SUM(F3:F29)</f>
        <v>19667.489999999998</v>
      </c>
      <c r="G2" s="77">
        <f>SUM(G3:G29)</f>
        <v>-116144.16</v>
      </c>
      <c r="H2" s="77">
        <f>F2+G2</f>
        <v>-96476.670000000013</v>
      </c>
    </row>
    <row r="3" spans="1:8">
      <c r="B3" s="18"/>
      <c r="H3" s="77"/>
    </row>
    <row r="4" spans="1:8">
      <c r="B4" s="101" t="s">
        <v>670</v>
      </c>
      <c r="C4" s="101" t="s">
        <v>357</v>
      </c>
      <c r="E4" s="78">
        <v>-250</v>
      </c>
      <c r="H4" s="77">
        <f t="shared" ref="H4:H29" si="0">H3+F4+G4</f>
        <v>0</v>
      </c>
    </row>
    <row r="5" spans="1:8">
      <c r="A5" s="88">
        <v>45352</v>
      </c>
      <c r="B5" s="101" t="s">
        <v>671</v>
      </c>
      <c r="C5" s="101"/>
      <c r="E5" s="78">
        <v>-1500</v>
      </c>
      <c r="G5" s="78">
        <v>-1512.13</v>
      </c>
      <c r="H5" s="78">
        <f t="shared" si="0"/>
        <v>-1512.13</v>
      </c>
    </row>
    <row r="6" spans="1:8">
      <c r="A6" s="88">
        <v>45355</v>
      </c>
      <c r="B6" s="41" t="s">
        <v>430</v>
      </c>
      <c r="E6" s="78">
        <v>-152</v>
      </c>
      <c r="G6" s="78">
        <v>-166.9</v>
      </c>
      <c r="H6" s="78">
        <f t="shared" si="0"/>
        <v>-1679.0300000000002</v>
      </c>
    </row>
    <row r="7" spans="1:8">
      <c r="A7" s="88">
        <v>45356</v>
      </c>
      <c r="B7" s="8" t="s">
        <v>399</v>
      </c>
      <c r="E7" s="78">
        <v>-10000</v>
      </c>
      <c r="G7" s="78">
        <f>E7</f>
        <v>-10000</v>
      </c>
      <c r="H7" s="78">
        <f t="shared" si="0"/>
        <v>-11679.03</v>
      </c>
    </row>
    <row r="8" spans="1:8">
      <c r="A8" s="165">
        <v>45356</v>
      </c>
      <c r="B8" s="177" t="s">
        <v>69</v>
      </c>
      <c r="C8">
        <v>72000</v>
      </c>
      <c r="D8" s="186"/>
      <c r="E8" s="78">
        <f>E65</f>
        <v>-72173.5</v>
      </c>
      <c r="G8" s="78">
        <f>E8</f>
        <v>-72173.5</v>
      </c>
      <c r="H8" s="78">
        <f t="shared" si="0"/>
        <v>-83852.53</v>
      </c>
    </row>
    <row r="9" spans="1:8">
      <c r="A9" s="88">
        <v>45357</v>
      </c>
      <c r="B9" s="177" t="s">
        <v>68</v>
      </c>
      <c r="D9" s="186"/>
      <c r="E9" s="78">
        <f>E46</f>
        <v>-6341.6600000000008</v>
      </c>
      <c r="G9" s="78">
        <f>E9</f>
        <v>-6341.6600000000008</v>
      </c>
      <c r="H9" s="78">
        <f t="shared" si="0"/>
        <v>-90194.19</v>
      </c>
    </row>
    <row r="10" spans="1:8">
      <c r="A10" s="88">
        <v>45357</v>
      </c>
      <c r="B10" s="177" t="s">
        <v>672</v>
      </c>
      <c r="C10" s="8" t="s">
        <v>673</v>
      </c>
      <c r="D10" s="186"/>
      <c r="E10" s="78"/>
      <c r="G10" s="78">
        <v>-220.03</v>
      </c>
      <c r="H10" s="78">
        <f t="shared" si="0"/>
        <v>-90414.22</v>
      </c>
    </row>
    <row r="11" spans="1:8">
      <c r="A11" s="88">
        <v>45357</v>
      </c>
      <c r="B11" s="177" t="s">
        <v>672</v>
      </c>
      <c r="C11" s="8" t="s">
        <v>673</v>
      </c>
      <c r="D11" s="186"/>
      <c r="E11" s="78"/>
      <c r="G11" s="78">
        <v>-631.37</v>
      </c>
      <c r="H11" s="78">
        <f t="shared" si="0"/>
        <v>-91045.59</v>
      </c>
    </row>
    <row r="12" spans="1:8">
      <c r="A12" s="100">
        <v>45358</v>
      </c>
      <c r="B12" s="101" t="s">
        <v>674</v>
      </c>
      <c r="C12" s="101"/>
      <c r="D12" s="186"/>
      <c r="E12" s="78">
        <v>-5375</v>
      </c>
      <c r="G12" s="78">
        <f>E12</f>
        <v>-5375</v>
      </c>
      <c r="H12" s="78">
        <f t="shared" si="0"/>
        <v>-96420.59</v>
      </c>
    </row>
    <row r="13" spans="1:8">
      <c r="A13" s="100">
        <v>45358</v>
      </c>
      <c r="B13" s="101" t="s">
        <v>674</v>
      </c>
      <c r="C13" s="101"/>
      <c r="D13" s="186"/>
      <c r="E13" s="78">
        <v>-2125</v>
      </c>
      <c r="G13" s="78">
        <f>E13</f>
        <v>-2125</v>
      </c>
      <c r="H13" s="78">
        <f t="shared" si="0"/>
        <v>-98545.59</v>
      </c>
    </row>
    <row r="14" spans="1:8">
      <c r="A14" s="100">
        <v>45358</v>
      </c>
      <c r="B14" s="8" t="s">
        <v>675</v>
      </c>
      <c r="C14" s="101"/>
      <c r="D14" s="186"/>
      <c r="E14" s="78"/>
      <c r="F14">
        <v>6500</v>
      </c>
      <c r="G14" s="78"/>
      <c r="H14" s="78">
        <f t="shared" si="0"/>
        <v>-92045.59</v>
      </c>
    </row>
    <row r="15" spans="1:8">
      <c r="A15" s="88">
        <v>45359</v>
      </c>
      <c r="B15" s="101" t="s">
        <v>75</v>
      </c>
      <c r="C15" s="101"/>
      <c r="D15" s="186"/>
      <c r="E15" s="78">
        <v>-150</v>
      </c>
      <c r="G15" s="78">
        <v>-168.91</v>
      </c>
      <c r="H15" s="78">
        <f t="shared" si="0"/>
        <v>-92214.5</v>
      </c>
    </row>
    <row r="16" spans="1:8">
      <c r="A16" s="100">
        <v>45362</v>
      </c>
      <c r="B16" s="106" t="s">
        <v>72</v>
      </c>
      <c r="D16" s="186"/>
      <c r="E16" s="78">
        <f>E41*-1</f>
        <v>-225.66</v>
      </c>
      <c r="F16" s="63"/>
      <c r="G16" s="78">
        <f>-225.66</f>
        <v>-225.66</v>
      </c>
      <c r="H16" s="78">
        <f t="shared" si="0"/>
        <v>-92440.16</v>
      </c>
    </row>
    <row r="17" spans="1:8">
      <c r="A17" s="88">
        <v>45372</v>
      </c>
      <c r="B17" s="106" t="s">
        <v>73</v>
      </c>
      <c r="C17" s="106" t="s">
        <v>328</v>
      </c>
      <c r="D17" s="186"/>
      <c r="E17" s="78">
        <v>-300</v>
      </c>
      <c r="F17" s="63"/>
      <c r="G17" s="78">
        <v>-1083</v>
      </c>
      <c r="H17" s="78">
        <f t="shared" si="0"/>
        <v>-93523.16</v>
      </c>
    </row>
    <row r="18" spans="1:8">
      <c r="A18" s="88">
        <v>45372</v>
      </c>
      <c r="B18" s="106" t="s">
        <v>74</v>
      </c>
      <c r="C18" s="106" t="s">
        <v>328</v>
      </c>
      <c r="D18" s="186"/>
      <c r="E18" s="78">
        <v>-100</v>
      </c>
      <c r="F18" s="63"/>
      <c r="G18" s="78">
        <v>0</v>
      </c>
      <c r="H18" s="78">
        <f t="shared" si="0"/>
        <v>-93523.16</v>
      </c>
    </row>
    <row r="19" spans="1:8">
      <c r="A19" s="88">
        <v>45378</v>
      </c>
      <c r="B19" s="8" t="s">
        <v>76</v>
      </c>
      <c r="D19" s="186">
        <v>10000</v>
      </c>
      <c r="E19" s="78"/>
      <c r="F19" s="63">
        <v>10367.49</v>
      </c>
      <c r="G19" s="78"/>
      <c r="H19" s="78">
        <f t="shared" si="0"/>
        <v>-83155.67</v>
      </c>
    </row>
    <row r="20" spans="1:8">
      <c r="A20" s="88">
        <v>45378</v>
      </c>
      <c r="B20" s="8" t="s">
        <v>77</v>
      </c>
      <c r="D20" s="186"/>
      <c r="E20" s="78">
        <v>-5000</v>
      </c>
      <c r="F20" s="63"/>
      <c r="G20" s="78">
        <v>-5203</v>
      </c>
      <c r="H20" s="78">
        <f t="shared" si="0"/>
        <v>-88358.67</v>
      </c>
    </row>
    <row r="21" spans="1:8">
      <c r="A21" s="88"/>
      <c r="B21" s="8" t="s">
        <v>676</v>
      </c>
      <c r="D21" s="186"/>
      <c r="E21" s="78"/>
      <c r="F21" s="63"/>
      <c r="G21" s="78"/>
      <c r="H21" s="78">
        <f t="shared" si="0"/>
        <v>-88358.67</v>
      </c>
    </row>
    <row r="22" spans="1:8">
      <c r="A22" s="88">
        <v>45378</v>
      </c>
      <c r="B22" s="8" t="s">
        <v>78</v>
      </c>
      <c r="D22" s="186"/>
      <c r="E22" s="78">
        <v>-5000</v>
      </c>
      <c r="F22" s="63"/>
      <c r="G22" s="78">
        <v>-5203</v>
      </c>
      <c r="H22" s="78">
        <f t="shared" si="0"/>
        <v>-93561.67</v>
      </c>
    </row>
    <row r="23" spans="1:8">
      <c r="A23" s="88">
        <v>45378</v>
      </c>
      <c r="B23" s="8" t="s">
        <v>79</v>
      </c>
      <c r="D23" s="186"/>
      <c r="E23" s="78">
        <v>-5000</v>
      </c>
      <c r="F23" s="63"/>
      <c r="G23" s="78">
        <v>-5000</v>
      </c>
      <c r="H23" s="78">
        <f t="shared" si="0"/>
        <v>-98561.67</v>
      </c>
    </row>
    <row r="24" spans="1:8">
      <c r="A24" s="100">
        <v>45380</v>
      </c>
      <c r="B24" s="8" t="s">
        <v>677</v>
      </c>
      <c r="D24" s="186">
        <v>2800</v>
      </c>
      <c r="E24" s="78"/>
      <c r="F24" s="63">
        <v>2800</v>
      </c>
      <c r="G24" s="78"/>
      <c r="H24" s="78">
        <f t="shared" si="0"/>
        <v>-95761.67</v>
      </c>
    </row>
    <row r="25" spans="1:8">
      <c r="A25" s="88">
        <v>45380</v>
      </c>
      <c r="B25" s="101" t="s">
        <v>80</v>
      </c>
      <c r="C25" s="101"/>
      <c r="D25" s="186"/>
      <c r="E25" s="78">
        <v>-400</v>
      </c>
      <c r="G25" s="78">
        <v>-255</v>
      </c>
      <c r="H25" s="78">
        <f t="shared" si="0"/>
        <v>-96016.67</v>
      </c>
    </row>
    <row r="26" spans="1:8">
      <c r="A26" s="88">
        <v>45380</v>
      </c>
      <c r="B26" s="101" t="s">
        <v>81</v>
      </c>
      <c r="C26" s="101"/>
      <c r="D26" s="186"/>
      <c r="E26" s="78">
        <v>-500</v>
      </c>
      <c r="G26" s="78">
        <v>-460</v>
      </c>
      <c r="H26" s="78">
        <f t="shared" si="0"/>
        <v>-96476.67</v>
      </c>
    </row>
    <row r="27" spans="1:8">
      <c r="F27" s="163"/>
      <c r="G27" s="78"/>
      <c r="H27" s="78">
        <f t="shared" si="0"/>
        <v>-96476.67</v>
      </c>
    </row>
    <row r="28" spans="1:8">
      <c r="A28" s="190"/>
      <c r="G28" s="78"/>
      <c r="H28" s="78">
        <f t="shared" si="0"/>
        <v>-96476.67</v>
      </c>
    </row>
    <row r="29" spans="1:8">
      <c r="A29" s="157"/>
      <c r="E29" s="191"/>
      <c r="F29" s="63"/>
      <c r="G29" s="78"/>
      <c r="H29" s="78">
        <f t="shared" si="0"/>
        <v>-96476.67</v>
      </c>
    </row>
    <row r="30" spans="1:8">
      <c r="A30" s="192"/>
      <c r="F30" s="63"/>
      <c r="G30" s="77"/>
      <c r="H30" s="78"/>
    </row>
    <row r="31" spans="1:8">
      <c r="G31" s="63"/>
      <c r="H31" s="63"/>
    </row>
    <row r="32" spans="1:8">
      <c r="B32" t="s">
        <v>330</v>
      </c>
      <c r="G32" s="63"/>
      <c r="H32" s="63"/>
    </row>
    <row r="33" spans="1:8">
      <c r="A33" s="103"/>
      <c r="B33" s="103" t="s">
        <v>331</v>
      </c>
      <c r="C33" s="103"/>
      <c r="G33" s="63"/>
      <c r="H33" s="63"/>
    </row>
    <row r="34" spans="1:8">
      <c r="A34" s="100"/>
      <c r="C34" s="171"/>
      <c r="H34" s="63"/>
    </row>
    <row r="35" spans="1:8">
      <c r="A35" s="172">
        <v>44929</v>
      </c>
      <c r="B35" s="173" t="s">
        <v>332</v>
      </c>
      <c r="C35" s="103"/>
      <c r="D35" s="102">
        <f>SUM(D36:D41)</f>
        <v>5343.55</v>
      </c>
      <c r="E35" s="77">
        <f>SUM(E36:E41)</f>
        <v>5345.7999999999993</v>
      </c>
      <c r="H35" s="63"/>
    </row>
    <row r="36" spans="1:8">
      <c r="A36" s="100"/>
      <c r="B36" s="106" t="s">
        <v>333</v>
      </c>
      <c r="D36" s="102">
        <v>967.68</v>
      </c>
      <c r="E36" s="78">
        <v>970</v>
      </c>
      <c r="H36" s="63"/>
    </row>
    <row r="37" spans="1:8">
      <c r="B37" t="s">
        <v>678</v>
      </c>
      <c r="C37" t="s">
        <v>434</v>
      </c>
      <c r="D37" s="102">
        <v>1224.42</v>
      </c>
      <c r="E37" s="78">
        <v>1225</v>
      </c>
      <c r="F37" s="63"/>
      <c r="G37" s="63"/>
    </row>
    <row r="38" spans="1:8">
      <c r="B38" t="s">
        <v>335</v>
      </c>
      <c r="D38" s="102">
        <v>237.14</v>
      </c>
      <c r="E38" s="78">
        <v>237.14</v>
      </c>
      <c r="F38" s="63"/>
      <c r="G38" s="63"/>
    </row>
    <row r="39" spans="1:8">
      <c r="B39" t="s">
        <v>679</v>
      </c>
      <c r="D39" s="102">
        <v>2248.8000000000002</v>
      </c>
      <c r="E39" s="78">
        <v>2248</v>
      </c>
      <c r="F39" s="63"/>
      <c r="G39" s="63"/>
    </row>
    <row r="40" spans="1:8">
      <c r="B40" t="s">
        <v>337</v>
      </c>
      <c r="D40" s="102">
        <v>439.85</v>
      </c>
      <c r="E40" s="78">
        <v>440</v>
      </c>
      <c r="F40" s="63"/>
      <c r="G40" s="63"/>
    </row>
    <row r="41" spans="1:8">
      <c r="B41" t="s">
        <v>338</v>
      </c>
      <c r="C41" s="106"/>
      <c r="D41" s="106">
        <v>225.66</v>
      </c>
      <c r="E41" s="78">
        <v>225.66</v>
      </c>
      <c r="F41" s="63"/>
      <c r="G41" s="63"/>
    </row>
    <row r="42" spans="1:8">
      <c r="C42" s="106"/>
      <c r="F42" s="63"/>
      <c r="G42" s="63"/>
    </row>
    <row r="44" spans="1:8">
      <c r="B44" s="17"/>
    </row>
    <row r="45" spans="1:8">
      <c r="B45" s="102"/>
    </row>
    <row r="46" spans="1:8">
      <c r="A46" s="103"/>
      <c r="B46" s="104" t="s">
        <v>83</v>
      </c>
      <c r="C46" s="103"/>
      <c r="E46" s="193">
        <f>SUM(E47:E60)</f>
        <v>-6341.6600000000008</v>
      </c>
    </row>
    <row r="47" spans="1:8">
      <c r="A47" s="100">
        <v>45187</v>
      </c>
      <c r="B47" s="106" t="s">
        <v>566</v>
      </c>
      <c r="C47" s="106">
        <v>7648.33</v>
      </c>
      <c r="D47" s="102" t="s">
        <v>680</v>
      </c>
      <c r="E47" s="77">
        <v>-849.81</v>
      </c>
      <c r="G47" s="63"/>
      <c r="H47" s="63"/>
    </row>
    <row r="48" spans="1:8">
      <c r="A48" s="100">
        <v>45187</v>
      </c>
      <c r="B48" s="106" t="s">
        <v>681</v>
      </c>
      <c r="C48" s="106">
        <v>11128</v>
      </c>
      <c r="D48" s="102" t="s">
        <v>445</v>
      </c>
      <c r="E48" s="77">
        <v>-1854.65</v>
      </c>
      <c r="F48" s="63"/>
      <c r="G48" s="63"/>
      <c r="H48" s="63"/>
    </row>
    <row r="49" spans="1:8">
      <c r="A49" s="88">
        <v>45325</v>
      </c>
      <c r="B49" s="8" t="s">
        <v>414</v>
      </c>
      <c r="E49" s="77">
        <v>-453.4</v>
      </c>
      <c r="G49" s="63"/>
      <c r="H49" s="63"/>
    </row>
    <row r="50" spans="1:8">
      <c r="A50" s="88">
        <v>45326</v>
      </c>
      <c r="B50" s="8" t="s">
        <v>682</v>
      </c>
      <c r="E50" s="77">
        <v>-300</v>
      </c>
      <c r="G50" s="63"/>
      <c r="H50" s="63"/>
    </row>
    <row r="51" spans="1:8">
      <c r="A51" s="88">
        <v>45327</v>
      </c>
      <c r="B51" s="8" t="s">
        <v>130</v>
      </c>
      <c r="C51">
        <v>3900.57</v>
      </c>
      <c r="G51" s="63"/>
      <c r="H51" s="63"/>
    </row>
    <row r="52" spans="1:8">
      <c r="A52" s="88">
        <v>45330</v>
      </c>
      <c r="B52" s="8" t="s">
        <v>683</v>
      </c>
      <c r="E52" s="77">
        <v>-900</v>
      </c>
      <c r="G52" s="63"/>
      <c r="H52" s="63"/>
    </row>
    <row r="53" spans="1:8">
      <c r="A53" s="88">
        <v>45330</v>
      </c>
      <c r="B53" s="8" t="s">
        <v>684</v>
      </c>
      <c r="E53" s="77">
        <v>-116.38</v>
      </c>
      <c r="G53" s="63"/>
      <c r="H53" s="63"/>
    </row>
    <row r="54" spans="1:8">
      <c r="A54" s="100">
        <v>45331</v>
      </c>
      <c r="B54" s="106" t="s">
        <v>657</v>
      </c>
      <c r="C54" s="106"/>
      <c r="E54" s="77">
        <v>-100</v>
      </c>
      <c r="F54" s="63"/>
      <c r="G54" s="63"/>
      <c r="H54" s="63"/>
    </row>
    <row r="55" spans="1:8">
      <c r="A55" s="100">
        <v>45331</v>
      </c>
      <c r="B55" s="106" t="s">
        <v>685</v>
      </c>
      <c r="C55" s="106"/>
      <c r="E55" s="77">
        <v>-215.42</v>
      </c>
      <c r="F55" s="63"/>
      <c r="G55" s="63"/>
      <c r="H55" s="63"/>
    </row>
    <row r="56" spans="1:8">
      <c r="A56" s="100">
        <v>45332</v>
      </c>
      <c r="B56" s="106" t="s">
        <v>657</v>
      </c>
      <c r="C56" s="106"/>
      <c r="E56" s="77">
        <v>-100</v>
      </c>
      <c r="F56" s="63"/>
      <c r="G56" s="63"/>
      <c r="H56" s="63"/>
    </row>
    <row r="57" spans="1:8">
      <c r="A57" s="100">
        <v>45332</v>
      </c>
      <c r="B57" s="106" t="s">
        <v>686</v>
      </c>
      <c r="C57" s="106"/>
      <c r="E57" s="77">
        <v>-900</v>
      </c>
      <c r="F57" s="63"/>
      <c r="G57" s="63"/>
      <c r="H57" s="63"/>
    </row>
    <row r="58" spans="1:8">
      <c r="A58" s="100">
        <v>45337</v>
      </c>
      <c r="B58" s="106" t="s">
        <v>687</v>
      </c>
      <c r="E58" s="77">
        <v>-352</v>
      </c>
      <c r="F58" s="63"/>
      <c r="G58" s="63"/>
      <c r="H58" s="63"/>
    </row>
    <row r="59" spans="1:8">
      <c r="A59" s="100">
        <v>45338</v>
      </c>
      <c r="B59" s="106" t="s">
        <v>657</v>
      </c>
      <c r="C59" s="106"/>
      <c r="E59" s="77">
        <v>-100</v>
      </c>
      <c r="F59" s="63"/>
      <c r="G59" s="63"/>
      <c r="H59" s="63"/>
    </row>
    <row r="60" spans="1:8">
      <c r="A60" s="100">
        <v>45339</v>
      </c>
      <c r="B60" s="3" t="s">
        <v>657</v>
      </c>
      <c r="E60" s="77">
        <v>-100</v>
      </c>
      <c r="F60" s="63"/>
      <c r="G60" s="63"/>
      <c r="H60" s="63"/>
    </row>
    <row r="61" spans="1:8" ht="15">
      <c r="A61" s="100"/>
      <c r="B61" s="106"/>
      <c r="C61" s="106"/>
      <c r="D61" s="105" t="s">
        <v>84</v>
      </c>
      <c r="F61" s="63"/>
      <c r="G61" s="63"/>
      <c r="H61" s="63"/>
    </row>
    <row r="62" spans="1:8">
      <c r="A62" s="100"/>
      <c r="B62" s="106"/>
      <c r="C62" s="106"/>
      <c r="F62" s="63"/>
      <c r="G62" s="63"/>
      <c r="H62" s="63"/>
    </row>
    <row r="63" spans="1:8">
      <c r="A63" s="100"/>
      <c r="B63" s="106"/>
      <c r="C63" s="106"/>
      <c r="F63" s="63"/>
      <c r="G63" s="63"/>
      <c r="H63" s="63"/>
    </row>
    <row r="64" spans="1:8">
      <c r="A64" s="100"/>
      <c r="B64" s="106"/>
      <c r="C64" s="106"/>
      <c r="F64" s="63"/>
      <c r="G64" s="63"/>
      <c r="H64" s="63"/>
    </row>
    <row r="65" spans="1:8">
      <c r="A65" s="103"/>
      <c r="B65" s="104" t="s">
        <v>85</v>
      </c>
      <c r="C65" s="103"/>
      <c r="E65" s="194">
        <f>SUM(E66:E85)</f>
        <v>-72173.5</v>
      </c>
      <c r="F65" s="63"/>
      <c r="G65" s="63"/>
    </row>
    <row r="66" spans="1:8">
      <c r="A66" s="100"/>
      <c r="B66" s="106"/>
      <c r="C66" s="106"/>
      <c r="F66" s="63"/>
      <c r="G66" s="63"/>
      <c r="H66" s="63"/>
    </row>
    <row r="67" spans="1:8">
      <c r="A67" s="100">
        <v>45187</v>
      </c>
      <c r="B67" s="106" t="s">
        <v>688</v>
      </c>
      <c r="C67" s="106"/>
      <c r="D67" s="102" t="s">
        <v>689</v>
      </c>
      <c r="E67" s="77">
        <v>-3974.42</v>
      </c>
      <c r="F67">
        <v>0</v>
      </c>
      <c r="G67" s="63"/>
      <c r="H67" s="63"/>
    </row>
    <row r="68" spans="1:8">
      <c r="A68" s="165">
        <v>45214</v>
      </c>
      <c r="B68" s="8" t="s">
        <v>661</v>
      </c>
      <c r="D68" s="102" t="s">
        <v>690</v>
      </c>
      <c r="E68" s="77">
        <v>-600</v>
      </c>
      <c r="F68" s="63"/>
      <c r="G68" s="63"/>
      <c r="H68" s="63"/>
    </row>
    <row r="69" spans="1:8">
      <c r="A69" s="165">
        <v>45285</v>
      </c>
      <c r="B69" s="106" t="s">
        <v>526</v>
      </c>
      <c r="C69" s="106"/>
      <c r="D69" s="102" t="s">
        <v>691</v>
      </c>
      <c r="E69" s="77">
        <v>-3551.66</v>
      </c>
      <c r="F69" s="63"/>
      <c r="G69" s="63"/>
      <c r="H69" s="63"/>
    </row>
    <row r="70" spans="1:8">
      <c r="A70" s="165">
        <v>45259</v>
      </c>
      <c r="B70" s="8" t="s">
        <v>692</v>
      </c>
      <c r="C70" s="176">
        <v>-1204.5</v>
      </c>
      <c r="D70" s="102" t="s">
        <v>693</v>
      </c>
      <c r="E70" s="77">
        <v>-401.5</v>
      </c>
      <c r="F70" s="63"/>
      <c r="G70" s="63"/>
      <c r="H70" s="63"/>
    </row>
    <row r="71" spans="1:8">
      <c r="A71" s="165">
        <v>45259</v>
      </c>
      <c r="B71" s="8" t="s">
        <v>694</v>
      </c>
      <c r="C71" s="176">
        <v>-148.6</v>
      </c>
      <c r="D71" s="102" t="s">
        <v>693</v>
      </c>
      <c r="E71" s="77">
        <v>-49.54</v>
      </c>
      <c r="F71" s="63"/>
      <c r="G71" s="63"/>
      <c r="H71" s="63"/>
    </row>
    <row r="72" spans="1:8">
      <c r="A72" s="165">
        <v>45259</v>
      </c>
      <c r="B72" s="8" t="s">
        <v>695</v>
      </c>
      <c r="C72" s="176">
        <v>-244.8</v>
      </c>
      <c r="D72" s="102" t="s">
        <v>693</v>
      </c>
      <c r="E72" s="77">
        <v>-81.599999999999994</v>
      </c>
      <c r="F72" s="63"/>
      <c r="G72" s="63"/>
      <c r="H72" s="63"/>
    </row>
    <row r="73" spans="1:8">
      <c r="A73" s="165">
        <v>45259</v>
      </c>
      <c r="B73" s="8" t="s">
        <v>696</v>
      </c>
      <c r="C73" s="176">
        <v>-532.6</v>
      </c>
      <c r="D73" s="102" t="s">
        <v>693</v>
      </c>
      <c r="E73" s="77">
        <v>-177.54</v>
      </c>
      <c r="F73" s="63"/>
      <c r="G73" s="63"/>
      <c r="H73" s="63"/>
    </row>
    <row r="74" spans="1:8">
      <c r="A74" s="165"/>
      <c r="B74" s="106" t="s">
        <v>162</v>
      </c>
      <c r="C74" s="106">
        <v>899</v>
      </c>
      <c r="D74" s="195" t="s">
        <v>697</v>
      </c>
      <c r="E74" s="77">
        <v>-449.5</v>
      </c>
      <c r="F74" s="63"/>
      <c r="G74" s="63"/>
      <c r="H74" s="63"/>
    </row>
    <row r="75" spans="1:8">
      <c r="A75" s="165"/>
      <c r="B75" s="106" t="s">
        <v>698</v>
      </c>
      <c r="C75" s="106"/>
      <c r="D75" s="195" t="s">
        <v>697</v>
      </c>
      <c r="E75" s="77">
        <v>-299.64</v>
      </c>
      <c r="F75" s="63"/>
      <c r="G75" s="63"/>
      <c r="H75" s="63"/>
    </row>
    <row r="76" spans="1:8">
      <c r="A76" s="165"/>
      <c r="B76" s="106" t="s">
        <v>699</v>
      </c>
      <c r="C76" s="106"/>
      <c r="D76" s="195" t="s">
        <v>697</v>
      </c>
      <c r="E76" s="77">
        <v>-546.82000000000005</v>
      </c>
      <c r="F76" s="63"/>
      <c r="G76" s="63"/>
      <c r="H76" s="63"/>
    </row>
    <row r="77" spans="1:8">
      <c r="A77" s="100"/>
      <c r="B77" s="3" t="s">
        <v>482</v>
      </c>
      <c r="C77" s="106"/>
      <c r="D77" s="195" t="s">
        <v>700</v>
      </c>
      <c r="E77" s="77">
        <v>-649.78</v>
      </c>
      <c r="F77" s="63"/>
      <c r="G77" s="63"/>
      <c r="H77" s="63"/>
    </row>
    <row r="78" spans="1:8">
      <c r="A78" s="100"/>
      <c r="B78" s="3" t="s">
        <v>484</v>
      </c>
      <c r="C78" s="106">
        <v>49.98</v>
      </c>
      <c r="D78" s="195" t="s">
        <v>700</v>
      </c>
      <c r="F78" s="63"/>
      <c r="G78" s="63"/>
      <c r="H78" s="63"/>
    </row>
    <row r="79" spans="1:8">
      <c r="A79" s="100"/>
      <c r="B79" s="3"/>
      <c r="C79" s="106"/>
      <c r="F79" s="63"/>
      <c r="G79" s="63"/>
      <c r="H79" s="63"/>
    </row>
    <row r="80" spans="1:8">
      <c r="A80" s="100"/>
      <c r="B80" s="3"/>
      <c r="C80" s="106"/>
      <c r="F80" s="63"/>
      <c r="G80" s="63"/>
      <c r="H80" s="63"/>
    </row>
    <row r="81" spans="1:8">
      <c r="A81" s="100">
        <v>45324</v>
      </c>
      <c r="B81" s="3" t="s">
        <v>701</v>
      </c>
      <c r="C81" s="106"/>
      <c r="E81" s="77">
        <v>-1195</v>
      </c>
      <c r="F81" s="63"/>
      <c r="G81" s="63"/>
      <c r="H81" s="63"/>
    </row>
    <row r="82" spans="1:8">
      <c r="A82" s="100">
        <v>45327</v>
      </c>
      <c r="B82" s="3" t="s">
        <v>702</v>
      </c>
      <c r="C82" s="77">
        <v>-299.99</v>
      </c>
      <c r="F82" s="63"/>
      <c r="G82" s="63"/>
      <c r="H82" s="63"/>
    </row>
    <row r="83" spans="1:8">
      <c r="A83" s="100">
        <v>45336</v>
      </c>
      <c r="B83" s="3" t="s">
        <v>369</v>
      </c>
      <c r="C83" s="106"/>
      <c r="E83" s="77">
        <v>-59483.25</v>
      </c>
      <c r="F83" s="63"/>
      <c r="G83" s="63"/>
      <c r="H83" s="63"/>
    </row>
    <row r="84" spans="1:8">
      <c r="A84" s="100">
        <v>45329</v>
      </c>
      <c r="B84" s="3" t="s">
        <v>703</v>
      </c>
      <c r="C84" s="106"/>
      <c r="E84" s="77">
        <v>-713.25</v>
      </c>
      <c r="F84" s="63"/>
      <c r="G84" s="63"/>
      <c r="H84" s="63"/>
    </row>
    <row r="85" spans="1:8">
      <c r="A85" s="100">
        <v>45327</v>
      </c>
      <c r="B85" s="3" t="s">
        <v>130</v>
      </c>
      <c r="C85" s="106">
        <v>24742.959999999999</v>
      </c>
      <c r="F85" s="63"/>
      <c r="G85" s="63"/>
      <c r="H85" s="63"/>
    </row>
    <row r="86" spans="1:8">
      <c r="A86" s="100"/>
      <c r="B86" s="3"/>
      <c r="C86" s="106"/>
      <c r="F86" s="63"/>
      <c r="G86" s="63"/>
      <c r="H86" s="63"/>
    </row>
    <row r="87" spans="1:8" ht="15">
      <c r="A87" s="100"/>
      <c r="B87" s="3"/>
      <c r="C87" s="106"/>
      <c r="D87" s="105" t="s">
        <v>84</v>
      </c>
      <c r="F87" s="63"/>
      <c r="G87" s="63"/>
      <c r="H87" s="63"/>
    </row>
    <row r="88" spans="1:8">
      <c r="A88" s="100"/>
      <c r="B88" s="3"/>
      <c r="C88" s="106"/>
      <c r="F88" s="63"/>
      <c r="G88" s="63"/>
      <c r="H88" s="63"/>
    </row>
    <row r="89" spans="1:8">
      <c r="A89" s="100"/>
      <c r="B89" s="3"/>
      <c r="C89" s="106"/>
      <c r="F89" s="63"/>
      <c r="G89" s="63"/>
      <c r="H89" s="63"/>
    </row>
    <row r="90" spans="1:8">
      <c r="A90" s="100"/>
      <c r="B90" s="3"/>
      <c r="C90" s="106"/>
      <c r="F90" s="63"/>
      <c r="G90" s="63"/>
      <c r="H90" s="63"/>
    </row>
    <row r="91" spans="1:8">
      <c r="A91" s="100"/>
      <c r="B91" s="3"/>
      <c r="C91" s="106"/>
      <c r="F91" s="63"/>
      <c r="G91" s="63"/>
      <c r="H91" s="63"/>
    </row>
    <row r="92" spans="1:8">
      <c r="A92" s="100"/>
      <c r="B92" s="3"/>
      <c r="C92" s="106"/>
      <c r="F92" s="63"/>
      <c r="G92" s="63"/>
      <c r="H92" s="63"/>
    </row>
    <row r="93" spans="1:8">
      <c r="A93" s="100"/>
      <c r="B93" s="3"/>
      <c r="C93" s="106"/>
      <c r="F93" s="63"/>
      <c r="G93" s="63"/>
      <c r="H93" s="63"/>
    </row>
    <row r="94" spans="1:8">
      <c r="A94" s="100"/>
      <c r="B94" s="3"/>
      <c r="C94" s="106"/>
      <c r="F94" s="63"/>
      <c r="G94" s="63"/>
      <c r="H94" s="63"/>
    </row>
    <row r="95" spans="1:8">
      <c r="A95" s="100"/>
      <c r="B95" s="3"/>
      <c r="C95" s="106"/>
      <c r="F95" s="63"/>
      <c r="G95" s="63"/>
      <c r="H95" s="63"/>
    </row>
    <row r="96" spans="1:8">
      <c r="A96" s="100"/>
      <c r="B96" s="3"/>
      <c r="C96" s="106"/>
      <c r="F96" s="63"/>
      <c r="G96" s="63"/>
      <c r="H96" s="63"/>
    </row>
    <row r="97" spans="1:8">
      <c r="A97" s="100"/>
      <c r="B97" s="3"/>
      <c r="C97" s="106"/>
      <c r="F97" s="63"/>
      <c r="G97" s="63"/>
      <c r="H97" s="63"/>
    </row>
    <row r="106" spans="1:8">
      <c r="A106" s="100"/>
    </row>
    <row r="107" spans="1:8">
      <c r="A107" s="100"/>
    </row>
    <row r="108" spans="1:8">
      <c r="A108" s="113" t="s">
        <v>704</v>
      </c>
      <c r="B108" s="104" t="s">
        <v>137</v>
      </c>
      <c r="C108" s="103">
        <v>2024</v>
      </c>
      <c r="D108" s="158"/>
      <c r="E108" s="159">
        <f>SUM(E109:E127)</f>
        <v>745852.05035699997</v>
      </c>
    </row>
    <row r="109" spans="1:8">
      <c r="A109" s="160">
        <v>45352</v>
      </c>
      <c r="B109" s="8" t="s">
        <v>77</v>
      </c>
      <c r="C109" s="2"/>
      <c r="D109" s="2"/>
      <c r="E109" s="2">
        <v>64000</v>
      </c>
    </row>
    <row r="110" spans="1:8">
      <c r="A110" s="160">
        <f t="shared" ref="A110:A127" si="1">A109</f>
        <v>45352</v>
      </c>
      <c r="B110" s="8" t="s">
        <v>705</v>
      </c>
      <c r="C110" s="2"/>
      <c r="D110" s="2"/>
      <c r="E110" s="2">
        <v>150845</v>
      </c>
    </row>
    <row r="111" spans="1:8">
      <c r="A111" s="160">
        <f t="shared" si="1"/>
        <v>45352</v>
      </c>
      <c r="B111" s="8" t="s">
        <v>305</v>
      </c>
      <c r="C111" s="2"/>
      <c r="D111" s="2"/>
      <c r="E111" s="17">
        <v>5039.78</v>
      </c>
    </row>
    <row r="112" spans="1:8">
      <c r="A112" s="160">
        <f t="shared" si="1"/>
        <v>45352</v>
      </c>
      <c r="B112" s="8" t="s">
        <v>306</v>
      </c>
      <c r="C112" s="2"/>
      <c r="D112" s="2"/>
      <c r="E112" s="17">
        <v>0</v>
      </c>
    </row>
    <row r="113" spans="1:5">
      <c r="A113" s="160">
        <f t="shared" si="1"/>
        <v>45352</v>
      </c>
      <c r="B113" s="8" t="s">
        <v>503</v>
      </c>
      <c r="C113" s="2"/>
      <c r="D113" s="2"/>
      <c r="E113" s="17">
        <v>0</v>
      </c>
    </row>
    <row r="114" spans="1:5">
      <c r="A114" s="160">
        <f t="shared" si="1"/>
        <v>45352</v>
      </c>
      <c r="B114" s="8" t="s">
        <v>307</v>
      </c>
      <c r="C114" s="124"/>
      <c r="D114" s="2"/>
      <c r="E114" s="17">
        <v>0</v>
      </c>
    </row>
    <row r="115" spans="1:5">
      <c r="A115" s="160">
        <f t="shared" si="1"/>
        <v>45352</v>
      </c>
      <c r="B115" s="8" t="s">
        <v>241</v>
      </c>
      <c r="C115" s="2"/>
      <c r="D115" s="2"/>
      <c r="E115" s="17">
        <v>0</v>
      </c>
    </row>
    <row r="116" spans="1:5">
      <c r="A116" s="160">
        <f t="shared" si="1"/>
        <v>45352</v>
      </c>
      <c r="B116" s="8" t="s">
        <v>504</v>
      </c>
      <c r="C116" s="2" t="s">
        <v>706</v>
      </c>
      <c r="D116" s="2"/>
      <c r="E116" s="17">
        <v>129254.5</v>
      </c>
    </row>
    <row r="117" spans="1:5">
      <c r="A117" s="160">
        <f t="shared" si="1"/>
        <v>45352</v>
      </c>
      <c r="B117" s="8" t="s">
        <v>707</v>
      </c>
      <c r="C117" s="2" t="s">
        <v>708</v>
      </c>
      <c r="D117" s="2"/>
      <c r="E117" s="17">
        <v>256.56</v>
      </c>
    </row>
    <row r="118" spans="1:5">
      <c r="A118" s="160">
        <f t="shared" si="1"/>
        <v>45352</v>
      </c>
      <c r="B118" s="8" t="s">
        <v>709</v>
      </c>
      <c r="C118" s="160" t="s">
        <v>710</v>
      </c>
      <c r="D118" s="161"/>
      <c r="E118" s="17">
        <v>0</v>
      </c>
    </row>
    <row r="119" spans="1:5">
      <c r="A119" s="160">
        <f t="shared" si="1"/>
        <v>45352</v>
      </c>
      <c r="B119" s="8" t="s">
        <v>711</v>
      </c>
      <c r="C119" s="160" t="s">
        <v>712</v>
      </c>
      <c r="D119" s="161"/>
      <c r="E119" s="17">
        <v>588.6</v>
      </c>
    </row>
    <row r="120" spans="1:5">
      <c r="A120" s="160">
        <f t="shared" si="1"/>
        <v>45352</v>
      </c>
      <c r="B120" s="8" t="s">
        <v>713</v>
      </c>
      <c r="C120" s="160"/>
      <c r="D120" s="161"/>
      <c r="E120" s="17"/>
    </row>
    <row r="121" spans="1:5">
      <c r="A121" s="160">
        <f t="shared" si="1"/>
        <v>45352</v>
      </c>
      <c r="B121" s="8" t="s">
        <v>141</v>
      </c>
      <c r="C121" s="2"/>
      <c r="D121" s="2"/>
      <c r="E121" s="17">
        <v>450</v>
      </c>
    </row>
    <row r="122" spans="1:5">
      <c r="A122" s="160">
        <f t="shared" si="1"/>
        <v>45352</v>
      </c>
      <c r="B122" s="8" t="s">
        <v>714</v>
      </c>
      <c r="C122" s="2">
        <v>2017.98</v>
      </c>
      <c r="D122" s="2">
        <v>161</v>
      </c>
      <c r="E122" s="17">
        <f>D122*C122</f>
        <v>324894.78000000003</v>
      </c>
    </row>
    <row r="123" spans="1:5">
      <c r="A123" s="160">
        <f t="shared" si="1"/>
        <v>45352</v>
      </c>
      <c r="B123" s="8" t="s">
        <v>715</v>
      </c>
      <c r="C123" s="162">
        <v>30.726199999999999</v>
      </c>
      <c r="D123" s="2">
        <v>850</v>
      </c>
      <c r="E123" s="17">
        <f>D123*C123</f>
        <v>26117.27</v>
      </c>
    </row>
    <row r="124" spans="1:5">
      <c r="A124" s="160">
        <f t="shared" si="1"/>
        <v>45352</v>
      </c>
      <c r="B124" s="8" t="s">
        <v>510</v>
      </c>
      <c r="C124" s="162">
        <v>30.725999999999999</v>
      </c>
      <c r="D124" s="2">
        <v>250</v>
      </c>
      <c r="E124" s="17">
        <f>D124*C124</f>
        <v>7681.5</v>
      </c>
    </row>
    <row r="125" spans="1:5">
      <c r="A125" s="160">
        <f t="shared" si="1"/>
        <v>45352</v>
      </c>
      <c r="B125" s="8" t="s">
        <v>716</v>
      </c>
      <c r="C125" s="162">
        <v>33.224299999999999</v>
      </c>
      <c r="D125" s="2">
        <v>81.99</v>
      </c>
      <c r="E125" s="17">
        <f>D125*C125</f>
        <v>2724.0603569999998</v>
      </c>
    </row>
    <row r="126" spans="1:5">
      <c r="A126" s="160">
        <f t="shared" si="1"/>
        <v>45352</v>
      </c>
      <c r="B126" s="8" t="s">
        <v>153</v>
      </c>
      <c r="C126" s="2"/>
      <c r="D126" s="2"/>
      <c r="E126" s="17">
        <v>30000</v>
      </c>
    </row>
    <row r="127" spans="1:5">
      <c r="A127" s="160">
        <f t="shared" si="1"/>
        <v>45352</v>
      </c>
      <c r="B127" s="8" t="s">
        <v>154</v>
      </c>
      <c r="C127" s="2"/>
      <c r="D127" s="2"/>
      <c r="E127" s="17">
        <v>4000</v>
      </c>
    </row>
    <row r="128" spans="1:5">
      <c r="E128" s="176"/>
    </row>
    <row r="129" spans="3:5">
      <c r="C129" s="124"/>
      <c r="D129" s="3"/>
      <c r="E129" s="124"/>
    </row>
    <row r="130" spans="3:5">
      <c r="C130" s="124"/>
      <c r="D130" s="18" t="s">
        <v>156</v>
      </c>
      <c r="E130" s="9">
        <f>SUM(E109:E127)</f>
        <v>745852.05035699997</v>
      </c>
    </row>
    <row r="131" spans="3:5">
      <c r="C131" s="125" t="str">
        <f>A108</f>
        <v>MART</v>
      </c>
      <c r="D131" s="126" t="s">
        <v>157</v>
      </c>
      <c r="E131" s="127">
        <f>H2</f>
        <v>-96476.670000000013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E2F0D9"/>
  </sheetPr>
  <dimension ref="A1:H134"/>
  <sheetViews>
    <sheetView topLeftCell="A63" zoomScale="170" zoomScaleNormal="170" workbookViewId="0">
      <selection activeCell="D29" sqref="D29"/>
    </sheetView>
  </sheetViews>
  <sheetFormatPr defaultColWidth="12.28515625" defaultRowHeight="12.75"/>
  <cols>
    <col min="2" max="2" width="35.85546875" customWidth="1"/>
    <col min="3" max="3" width="9.42578125" customWidth="1"/>
    <col min="4" max="4" width="12.5703125" customWidth="1"/>
    <col min="5" max="5" width="12.5703125" style="176" customWidth="1"/>
    <col min="1024" max="1024" width="9.140625" customWidth="1"/>
  </cols>
  <sheetData>
    <row r="1" spans="1:8">
      <c r="E1" s="196"/>
      <c r="F1" s="189" t="s">
        <v>28</v>
      </c>
      <c r="G1" s="189" t="s">
        <v>29</v>
      </c>
      <c r="H1" s="189" t="s">
        <v>3</v>
      </c>
    </row>
    <row r="2" spans="1:8">
      <c r="A2" s="3" t="s">
        <v>717</v>
      </c>
      <c r="C2" s="79" t="s">
        <v>67</v>
      </c>
      <c r="D2" s="124">
        <f>SUM(D4:D31)</f>
        <v>19300</v>
      </c>
      <c r="E2" s="124">
        <f>SUM(E4:E31)</f>
        <v>-65325.849999999991</v>
      </c>
      <c r="F2" s="124">
        <f>SUM(F4:F31)</f>
        <v>20543.64</v>
      </c>
      <c r="G2" s="124">
        <f>SUM(G4:G31)</f>
        <v>-69834.739999999991</v>
      </c>
      <c r="H2" s="124">
        <f>F2+G2</f>
        <v>-49291.099999999991</v>
      </c>
    </row>
    <row r="3" spans="1:8">
      <c r="B3" s="18"/>
      <c r="E3" s="124"/>
      <c r="F3" s="124"/>
      <c r="G3" s="124"/>
      <c r="H3" s="124"/>
    </row>
    <row r="4" spans="1:8">
      <c r="A4" s="88">
        <v>45323</v>
      </c>
      <c r="B4" s="41" t="s">
        <v>430</v>
      </c>
      <c r="E4" s="176">
        <v>-152</v>
      </c>
      <c r="F4" s="176"/>
      <c r="G4" s="176">
        <v>-167</v>
      </c>
      <c r="H4" s="124">
        <f t="shared" ref="H4:H30" si="0">H3+F4+G4</f>
        <v>-167</v>
      </c>
    </row>
    <row r="5" spans="1:8">
      <c r="A5" s="88">
        <v>45323</v>
      </c>
      <c r="B5" s="101" t="s">
        <v>70</v>
      </c>
      <c r="C5" s="101"/>
      <c r="D5" s="101"/>
      <c r="E5" s="176">
        <v>-1500</v>
      </c>
      <c r="F5" s="176"/>
      <c r="G5" s="176">
        <v>-1512.13</v>
      </c>
      <c r="H5" s="124">
        <f t="shared" si="0"/>
        <v>-1679.13</v>
      </c>
    </row>
    <row r="6" spans="1:8">
      <c r="A6" s="88">
        <v>45323</v>
      </c>
      <c r="B6" s="8" t="s">
        <v>399</v>
      </c>
      <c r="D6" s="102"/>
      <c r="E6" s="176">
        <v>-10000</v>
      </c>
      <c r="F6" s="176"/>
      <c r="G6" s="176">
        <v>-10000</v>
      </c>
      <c r="H6" s="124">
        <f t="shared" si="0"/>
        <v>-11679.130000000001</v>
      </c>
    </row>
    <row r="7" spans="1:8">
      <c r="A7" s="88">
        <v>45323</v>
      </c>
      <c r="B7" s="101" t="s">
        <v>718</v>
      </c>
      <c r="C7" s="101"/>
      <c r="D7" s="101"/>
      <c r="E7" s="176">
        <v>-250</v>
      </c>
      <c r="F7" s="176"/>
      <c r="G7" s="176">
        <v>-250</v>
      </c>
      <c r="H7" s="124">
        <f t="shared" si="0"/>
        <v>-11929.130000000001</v>
      </c>
    </row>
    <row r="8" spans="1:8">
      <c r="A8" s="88">
        <v>45339</v>
      </c>
      <c r="B8" s="101" t="s">
        <v>719</v>
      </c>
      <c r="C8" s="101"/>
      <c r="D8" s="101"/>
      <c r="F8" s="176"/>
      <c r="G8" s="176">
        <v>-2750</v>
      </c>
      <c r="H8" s="124">
        <f t="shared" si="0"/>
        <v>-14679.130000000001</v>
      </c>
    </row>
    <row r="9" spans="1:8">
      <c r="A9" s="88">
        <v>45327</v>
      </c>
      <c r="B9" s="178" t="s">
        <v>68</v>
      </c>
      <c r="E9" s="176">
        <f>E47</f>
        <v>-3900.5699999999997</v>
      </c>
      <c r="F9" s="176"/>
      <c r="G9" s="176">
        <f>E9</f>
        <v>-3900.5699999999997</v>
      </c>
      <c r="H9" s="124">
        <f t="shared" si="0"/>
        <v>-18579.7</v>
      </c>
    </row>
    <row r="10" spans="1:8">
      <c r="A10" s="165">
        <v>45327</v>
      </c>
      <c r="B10" s="178" t="s">
        <v>69</v>
      </c>
      <c r="E10" s="176">
        <f>E64</f>
        <v>-24792.94</v>
      </c>
      <c r="F10" s="176"/>
      <c r="G10" s="176">
        <f>E10</f>
        <v>-24792.94</v>
      </c>
      <c r="H10" s="124">
        <f t="shared" si="0"/>
        <v>-43372.639999999999</v>
      </c>
    </row>
    <row r="11" spans="1:8">
      <c r="A11" s="100">
        <v>45328</v>
      </c>
      <c r="B11" s="8" t="s">
        <v>720</v>
      </c>
      <c r="C11" s="124"/>
      <c r="D11" s="124"/>
      <c r="F11" s="176">
        <v>6500</v>
      </c>
      <c r="G11" s="176"/>
      <c r="H11" s="124">
        <f t="shared" si="0"/>
        <v>-36872.639999999999</v>
      </c>
    </row>
    <row r="12" spans="1:8">
      <c r="A12" s="100">
        <v>45329</v>
      </c>
      <c r="B12" s="101" t="s">
        <v>721</v>
      </c>
      <c r="C12" s="101"/>
      <c r="D12" s="101"/>
      <c r="E12" s="176">
        <v>-5375</v>
      </c>
      <c r="F12" s="176"/>
      <c r="G12" s="176">
        <f>E12</f>
        <v>-5375</v>
      </c>
      <c r="H12" s="124">
        <f t="shared" si="0"/>
        <v>-42247.64</v>
      </c>
    </row>
    <row r="13" spans="1:8">
      <c r="A13" s="100">
        <v>45329</v>
      </c>
      <c r="B13" s="101" t="s">
        <v>721</v>
      </c>
      <c r="C13" s="101"/>
      <c r="D13" s="101"/>
      <c r="E13" s="176">
        <v>-2125</v>
      </c>
      <c r="F13" s="176"/>
      <c r="G13" s="176">
        <f>E13</f>
        <v>-2125</v>
      </c>
      <c r="H13" s="124">
        <f t="shared" si="0"/>
        <v>-44372.639999999999</v>
      </c>
    </row>
    <row r="14" spans="1:8">
      <c r="A14" s="88">
        <v>45329</v>
      </c>
      <c r="B14" s="8" t="s">
        <v>722</v>
      </c>
      <c r="E14" s="124"/>
      <c r="F14" s="176">
        <v>816.04</v>
      </c>
      <c r="G14" s="176"/>
      <c r="H14" s="124">
        <f t="shared" si="0"/>
        <v>-43556.6</v>
      </c>
    </row>
    <row r="15" spans="1:8">
      <c r="A15" s="197">
        <v>45329</v>
      </c>
      <c r="B15" s="198" t="s">
        <v>723</v>
      </c>
      <c r="C15" s="101"/>
      <c r="E15" s="176">
        <v>-713.25</v>
      </c>
      <c r="F15" s="176"/>
      <c r="G15" s="176">
        <f>E15</f>
        <v>-713.25</v>
      </c>
      <c r="H15" s="124">
        <f t="shared" si="0"/>
        <v>-44269.85</v>
      </c>
    </row>
    <row r="16" spans="1:8">
      <c r="A16" s="165"/>
      <c r="B16" s="8" t="s">
        <v>724</v>
      </c>
      <c r="E16" s="124"/>
      <c r="F16" s="124"/>
      <c r="G16" s="124"/>
      <c r="H16" s="124">
        <f t="shared" si="0"/>
        <v>-44269.85</v>
      </c>
    </row>
    <row r="17" spans="1:8">
      <c r="A17" s="88">
        <v>45329</v>
      </c>
      <c r="B17" s="106" t="s">
        <v>74</v>
      </c>
      <c r="C17" s="106" t="s">
        <v>725</v>
      </c>
      <c r="D17" s="106"/>
      <c r="E17" s="176">
        <v>-100</v>
      </c>
      <c r="F17" s="124"/>
      <c r="G17" s="176">
        <v>0</v>
      </c>
      <c r="H17" s="124">
        <f t="shared" si="0"/>
        <v>-44269.85</v>
      </c>
    </row>
    <row r="18" spans="1:8">
      <c r="A18" s="88">
        <v>45334</v>
      </c>
      <c r="B18" s="101" t="s">
        <v>75</v>
      </c>
      <c r="C18" s="101" t="s">
        <v>328</v>
      </c>
      <c r="D18" s="101"/>
      <c r="E18" s="176">
        <v>-150</v>
      </c>
      <c r="F18" s="176"/>
      <c r="G18" s="176">
        <v>-242.76</v>
      </c>
      <c r="H18" s="124">
        <f t="shared" si="0"/>
        <v>-44512.61</v>
      </c>
    </row>
    <row r="19" spans="1:8">
      <c r="A19" s="88">
        <v>45334</v>
      </c>
      <c r="B19" s="178" t="s">
        <v>72</v>
      </c>
      <c r="D19" s="63"/>
      <c r="E19" s="176">
        <f>E42*-1</f>
        <v>-67.09</v>
      </c>
      <c r="G19" s="176">
        <f>E19</f>
        <v>-67.09</v>
      </c>
      <c r="H19" s="124">
        <f t="shared" si="0"/>
        <v>-44579.7</v>
      </c>
    </row>
    <row r="20" spans="1:8">
      <c r="A20" s="88">
        <v>45341</v>
      </c>
      <c r="B20" s="106" t="s">
        <v>73</v>
      </c>
      <c r="C20" s="106" t="s">
        <v>726</v>
      </c>
      <c r="D20" s="106"/>
      <c r="E20" s="176">
        <v>-300</v>
      </c>
      <c r="F20" s="176"/>
      <c r="G20" s="176">
        <v>-1734</v>
      </c>
      <c r="H20" s="124">
        <f t="shared" si="0"/>
        <v>-46313.7</v>
      </c>
    </row>
    <row r="21" spans="1:8">
      <c r="A21" s="197">
        <v>45341</v>
      </c>
      <c r="B21" s="8" t="s">
        <v>677</v>
      </c>
      <c r="D21" s="186">
        <v>2800</v>
      </c>
      <c r="F21" s="176">
        <v>2800</v>
      </c>
      <c r="G21" s="124"/>
      <c r="H21" s="124">
        <f t="shared" si="0"/>
        <v>-43513.7</v>
      </c>
    </row>
    <row r="22" spans="1:8">
      <c r="A22" s="88">
        <v>45349</v>
      </c>
      <c r="B22" s="8" t="s">
        <v>77</v>
      </c>
      <c r="E22" s="176">
        <v>-5000</v>
      </c>
      <c r="F22" s="176"/>
      <c r="G22" s="176">
        <v>-5200</v>
      </c>
      <c r="H22" s="124">
        <f t="shared" si="0"/>
        <v>-48713.7</v>
      </c>
    </row>
    <row r="23" spans="1:8">
      <c r="A23" s="88">
        <v>45349</v>
      </c>
      <c r="B23" s="8" t="s">
        <v>78</v>
      </c>
      <c r="E23" s="176">
        <v>-5000</v>
      </c>
      <c r="F23" s="176"/>
      <c r="G23" s="176">
        <v>-5200</v>
      </c>
      <c r="H23" s="124">
        <f t="shared" si="0"/>
        <v>-53913.7</v>
      </c>
    </row>
    <row r="24" spans="1:8">
      <c r="A24" s="88">
        <v>45349</v>
      </c>
      <c r="B24" s="8" t="s">
        <v>79</v>
      </c>
      <c r="E24" s="176">
        <v>-5000</v>
      </c>
      <c r="F24" s="176"/>
      <c r="G24" s="176">
        <v>-5000</v>
      </c>
      <c r="H24" s="124">
        <f t="shared" si="0"/>
        <v>-58913.7</v>
      </c>
    </row>
    <row r="25" spans="1:8">
      <c r="A25" s="88">
        <v>45349</v>
      </c>
      <c r="B25" s="8" t="s">
        <v>76</v>
      </c>
      <c r="D25" s="186">
        <v>10000</v>
      </c>
      <c r="F25" s="176">
        <v>10427.6</v>
      </c>
      <c r="G25" s="124"/>
      <c r="H25" s="124">
        <f t="shared" si="0"/>
        <v>-48486.1</v>
      </c>
    </row>
    <row r="26" spans="1:8">
      <c r="A26" s="88">
        <v>45358</v>
      </c>
      <c r="B26" s="8" t="s">
        <v>675</v>
      </c>
      <c r="D26" s="102">
        <v>6500</v>
      </c>
      <c r="F26" s="124"/>
      <c r="G26" s="124"/>
      <c r="H26" s="124">
        <f t="shared" si="0"/>
        <v>-48486.1</v>
      </c>
    </row>
    <row r="27" spans="1:8">
      <c r="A27" s="100"/>
      <c r="H27" s="124">
        <f t="shared" si="0"/>
        <v>-48486.1</v>
      </c>
    </row>
    <row r="28" spans="1:8">
      <c r="A28" s="88">
        <v>45351</v>
      </c>
      <c r="B28" s="101" t="s">
        <v>80</v>
      </c>
      <c r="C28" s="101"/>
      <c r="D28" s="101"/>
      <c r="E28" s="124">
        <v>-400</v>
      </c>
      <c r="F28" s="124"/>
      <c r="G28" s="124">
        <v>-300</v>
      </c>
      <c r="H28" s="124">
        <f t="shared" si="0"/>
        <v>-48786.1</v>
      </c>
    </row>
    <row r="29" spans="1:8">
      <c r="A29" s="88">
        <v>45351</v>
      </c>
      <c r="B29" s="101" t="s">
        <v>81</v>
      </c>
      <c r="C29" s="101"/>
      <c r="D29" s="101"/>
      <c r="E29" s="124">
        <v>-500</v>
      </c>
      <c r="F29" s="124"/>
      <c r="G29" s="124">
        <v>-505</v>
      </c>
      <c r="H29" s="124">
        <f t="shared" si="0"/>
        <v>-49291.1</v>
      </c>
    </row>
    <row r="30" spans="1:8">
      <c r="A30" s="192"/>
      <c r="B30" s="170" t="s">
        <v>727</v>
      </c>
      <c r="C30" s="199">
        <v>7000</v>
      </c>
      <c r="D30" s="199"/>
      <c r="F30" s="124"/>
      <c r="G30" s="124"/>
      <c r="H30" s="124">
        <f t="shared" si="0"/>
        <v>-49291.1</v>
      </c>
    </row>
    <row r="31" spans="1:8" ht="15.75">
      <c r="B31" s="179"/>
      <c r="F31" s="63"/>
      <c r="G31" s="63"/>
      <c r="H31" s="124"/>
    </row>
    <row r="32" spans="1:8">
      <c r="G32" s="63"/>
      <c r="H32" s="124"/>
    </row>
    <row r="33" spans="1:8">
      <c r="B33" t="s">
        <v>330</v>
      </c>
      <c r="G33" s="63"/>
      <c r="H33" s="124"/>
    </row>
    <row r="34" spans="1:8">
      <c r="A34" s="103" t="s">
        <v>331</v>
      </c>
      <c r="B34" s="103"/>
      <c r="C34" s="103"/>
      <c r="D34" s="103"/>
      <c r="E34" s="200"/>
      <c r="G34" s="63"/>
      <c r="H34" s="63"/>
    </row>
    <row r="35" spans="1:8">
      <c r="A35" s="100"/>
      <c r="C35" s="171"/>
      <c r="H35" s="63"/>
    </row>
    <row r="36" spans="1:8">
      <c r="A36" s="172">
        <v>44929</v>
      </c>
      <c r="B36" s="173" t="s">
        <v>332</v>
      </c>
      <c r="C36" s="103"/>
      <c r="D36" s="201">
        <f>SUM(D37:D42)</f>
        <v>3749.5300000000007</v>
      </c>
      <c r="E36" s="202">
        <f>SUM(E37:E42)</f>
        <v>3837.4900000000002</v>
      </c>
      <c r="H36" s="63"/>
    </row>
    <row r="37" spans="1:8">
      <c r="A37" s="100"/>
      <c r="B37" s="106" t="s">
        <v>333</v>
      </c>
      <c r="D37" s="2">
        <v>999.4</v>
      </c>
      <c r="E37" s="176">
        <v>999.4</v>
      </c>
      <c r="H37" s="63"/>
    </row>
    <row r="38" spans="1:8">
      <c r="B38" t="s">
        <v>334</v>
      </c>
      <c r="D38" s="2">
        <v>876.64</v>
      </c>
      <c r="E38" s="176">
        <v>875</v>
      </c>
      <c r="F38" s="63"/>
      <c r="G38" s="63"/>
    </row>
    <row r="39" spans="1:8">
      <c r="B39" t="s">
        <v>335</v>
      </c>
      <c r="D39" s="2">
        <v>431.36</v>
      </c>
      <c r="E39" s="176">
        <v>431</v>
      </c>
      <c r="F39" s="63"/>
      <c r="G39" s="63"/>
    </row>
    <row r="40" spans="1:8">
      <c r="A40" s="88">
        <v>45334</v>
      </c>
      <c r="B40" s="8" t="s">
        <v>728</v>
      </c>
      <c r="C40" s="176">
        <f>E40-D40</f>
        <v>90.67999999999995</v>
      </c>
      <c r="D40" s="2">
        <v>891.32</v>
      </c>
      <c r="E40" s="176">
        <v>982</v>
      </c>
      <c r="F40" s="63"/>
      <c r="G40" s="63"/>
    </row>
    <row r="41" spans="1:8">
      <c r="B41" t="s">
        <v>337</v>
      </c>
      <c r="D41" s="2">
        <v>483.72</v>
      </c>
      <c r="E41" s="176">
        <v>483</v>
      </c>
      <c r="F41" s="63"/>
      <c r="G41" s="63"/>
    </row>
    <row r="42" spans="1:8">
      <c r="B42" t="s">
        <v>338</v>
      </c>
      <c r="C42" s="106"/>
      <c r="D42" s="2">
        <v>67.09</v>
      </c>
      <c r="E42" s="203">
        <v>67.09</v>
      </c>
      <c r="F42" s="63"/>
      <c r="G42" s="63"/>
    </row>
    <row r="43" spans="1:8">
      <c r="C43" s="106"/>
      <c r="D43" s="106"/>
      <c r="E43" s="124"/>
      <c r="F43" s="63"/>
      <c r="G43" s="63"/>
    </row>
    <row r="45" spans="1:8">
      <c r="B45" s="17"/>
    </row>
    <row r="46" spans="1:8">
      <c r="B46" s="102"/>
    </row>
    <row r="47" spans="1:8">
      <c r="A47" s="103"/>
      <c r="B47" s="104" t="s">
        <v>83</v>
      </c>
      <c r="C47" s="103"/>
      <c r="D47" s="158"/>
      <c r="E47" s="202">
        <f>SUM(E48:E61)</f>
        <v>-3900.5699999999997</v>
      </c>
    </row>
    <row r="48" spans="1:8">
      <c r="G48" s="63"/>
      <c r="H48" s="63"/>
    </row>
    <row r="49" spans="1:8">
      <c r="A49" s="160"/>
      <c r="B49" s="106"/>
      <c r="C49" s="106"/>
      <c r="D49" s="35"/>
      <c r="E49" s="124"/>
      <c r="F49" s="63"/>
      <c r="G49" s="63"/>
      <c r="H49" s="63"/>
    </row>
    <row r="50" spans="1:8">
      <c r="A50" s="160">
        <v>45043</v>
      </c>
      <c r="B50" s="106" t="s">
        <v>729</v>
      </c>
      <c r="C50" s="106">
        <v>10764.57</v>
      </c>
      <c r="D50" s="35" t="s">
        <v>730</v>
      </c>
      <c r="E50" s="124">
        <v>-1196.0899999999999</v>
      </c>
      <c r="G50" s="63"/>
      <c r="H50" s="63"/>
    </row>
    <row r="51" spans="1:8">
      <c r="A51" s="100">
        <v>45187</v>
      </c>
      <c r="B51" s="106" t="s">
        <v>566</v>
      </c>
      <c r="C51" s="106">
        <v>7648.33</v>
      </c>
      <c r="D51" s="204" t="s">
        <v>731</v>
      </c>
      <c r="E51" s="124">
        <v>-849.81</v>
      </c>
      <c r="G51" s="63"/>
      <c r="H51" s="63"/>
    </row>
    <row r="52" spans="1:8">
      <c r="A52" s="100">
        <v>45187</v>
      </c>
      <c r="B52" s="106" t="s">
        <v>681</v>
      </c>
      <c r="C52" s="106">
        <v>11128</v>
      </c>
      <c r="D52" s="204" t="s">
        <v>476</v>
      </c>
      <c r="E52" s="124">
        <v>-1854.67</v>
      </c>
      <c r="G52" s="63"/>
      <c r="H52" s="63"/>
    </row>
    <row r="53" spans="1:8" ht="15">
      <c r="D53" s="105" t="s">
        <v>84</v>
      </c>
      <c r="G53" s="63"/>
      <c r="H53" s="63"/>
    </row>
    <row r="54" spans="1:8">
      <c r="G54" s="63"/>
      <c r="H54" s="63"/>
    </row>
    <row r="55" spans="1:8">
      <c r="G55" s="63"/>
      <c r="H55" s="63"/>
    </row>
    <row r="56" spans="1:8">
      <c r="A56" s="100"/>
      <c r="B56" s="106"/>
      <c r="C56" s="106"/>
      <c r="D56" s="106"/>
      <c r="F56" s="63"/>
      <c r="G56" s="63"/>
      <c r="H56" s="63"/>
    </row>
    <row r="57" spans="1:8">
      <c r="A57" s="100"/>
      <c r="B57" s="106"/>
      <c r="C57" s="106"/>
      <c r="D57" s="106"/>
      <c r="F57" s="63"/>
      <c r="G57" s="63"/>
      <c r="H57" s="63"/>
    </row>
    <row r="58" spans="1:8">
      <c r="A58" s="100"/>
      <c r="B58" s="107"/>
      <c r="C58" s="106"/>
      <c r="D58" s="106"/>
      <c r="F58" s="63"/>
      <c r="G58" s="63"/>
      <c r="H58" s="63"/>
    </row>
    <row r="59" spans="1:8">
      <c r="A59" s="100"/>
      <c r="B59" s="107"/>
      <c r="C59" s="106"/>
      <c r="D59" s="106"/>
      <c r="F59" s="63"/>
      <c r="G59" s="63"/>
      <c r="H59" s="63"/>
    </row>
    <row r="60" spans="1:8">
      <c r="A60" s="100"/>
      <c r="B60" s="107"/>
      <c r="F60" s="63"/>
      <c r="G60" s="63"/>
      <c r="H60" s="63"/>
    </row>
    <row r="61" spans="1:8">
      <c r="A61" s="100"/>
      <c r="B61" s="107"/>
      <c r="C61" s="106"/>
      <c r="D61" s="106"/>
      <c r="F61" s="63"/>
      <c r="G61" s="63"/>
      <c r="H61" s="63"/>
    </row>
    <row r="62" spans="1:8">
      <c r="A62" s="100"/>
      <c r="B62" s="3"/>
      <c r="F62" s="63"/>
      <c r="G62" s="63"/>
      <c r="H62" s="63"/>
    </row>
    <row r="63" spans="1:8">
      <c r="A63" s="100"/>
      <c r="B63" s="106"/>
      <c r="C63" s="106"/>
      <c r="D63" s="106"/>
      <c r="F63" s="63"/>
      <c r="G63" s="63"/>
      <c r="H63" s="63"/>
    </row>
    <row r="64" spans="1:8">
      <c r="A64" s="103"/>
      <c r="B64" s="104" t="s">
        <v>85</v>
      </c>
      <c r="C64" s="103"/>
      <c r="D64" s="103"/>
      <c r="E64" s="205">
        <f>SUM(E65:E102)</f>
        <v>-24792.94</v>
      </c>
      <c r="F64" s="63"/>
      <c r="G64" s="63"/>
    </row>
    <row r="65" spans="1:8">
      <c r="A65" s="100"/>
      <c r="B65" s="106"/>
      <c r="C65" s="106"/>
      <c r="E65" s="124"/>
      <c r="F65" s="63"/>
      <c r="G65" s="63"/>
      <c r="H65" s="63"/>
    </row>
    <row r="66" spans="1:8">
      <c r="A66" s="100">
        <v>45187</v>
      </c>
      <c r="B66" s="106" t="s">
        <v>688</v>
      </c>
      <c r="C66" s="106"/>
      <c r="D66" s="8" t="s">
        <v>732</v>
      </c>
      <c r="E66" s="124">
        <v>-3974.44</v>
      </c>
      <c r="G66" s="63"/>
      <c r="H66" s="63"/>
    </row>
    <row r="67" spans="1:8">
      <c r="A67" s="165">
        <v>45214</v>
      </c>
      <c r="B67" s="8" t="s">
        <v>661</v>
      </c>
      <c r="D67" s="8" t="s">
        <v>733</v>
      </c>
      <c r="E67" s="124">
        <v>-600</v>
      </c>
      <c r="F67" s="63"/>
      <c r="G67" s="63"/>
      <c r="H67" s="63"/>
    </row>
    <row r="68" spans="1:8">
      <c r="A68" s="165">
        <v>45285</v>
      </c>
      <c r="B68" s="106" t="s">
        <v>526</v>
      </c>
      <c r="C68" s="106"/>
      <c r="D68" s="8" t="s">
        <v>734</v>
      </c>
      <c r="E68" s="124">
        <v>-3551.66</v>
      </c>
      <c r="F68" s="63"/>
      <c r="G68" s="63"/>
      <c r="H68" s="63"/>
    </row>
    <row r="69" spans="1:8">
      <c r="A69" s="165">
        <v>45259</v>
      </c>
      <c r="B69" s="8" t="s">
        <v>692</v>
      </c>
      <c r="C69" s="176">
        <v>-1204.5</v>
      </c>
      <c r="D69" s="8" t="s">
        <v>735</v>
      </c>
      <c r="E69" s="124">
        <v>-401.5</v>
      </c>
      <c r="F69" s="63"/>
      <c r="G69" s="63"/>
      <c r="H69" s="63"/>
    </row>
    <row r="70" spans="1:8">
      <c r="A70" s="165">
        <v>45259</v>
      </c>
      <c r="B70" s="8" t="s">
        <v>694</v>
      </c>
      <c r="C70" s="176">
        <v>-148.6</v>
      </c>
      <c r="D70" s="8" t="s">
        <v>735</v>
      </c>
      <c r="E70" s="124">
        <v>-49.53</v>
      </c>
      <c r="F70" s="63"/>
      <c r="G70" s="63"/>
      <c r="H70" s="63"/>
    </row>
    <row r="71" spans="1:8">
      <c r="A71" s="165">
        <v>45259</v>
      </c>
      <c r="B71" s="8" t="s">
        <v>695</v>
      </c>
      <c r="C71" s="176">
        <v>-244.8</v>
      </c>
      <c r="D71" s="8" t="s">
        <v>735</v>
      </c>
      <c r="E71" s="124">
        <v>-81.599999999999994</v>
      </c>
      <c r="F71" s="63"/>
      <c r="G71" s="63"/>
      <c r="H71" s="63"/>
    </row>
    <row r="72" spans="1:8">
      <c r="A72" s="165">
        <v>45259</v>
      </c>
      <c r="B72" s="8" t="s">
        <v>696</v>
      </c>
      <c r="C72" s="176">
        <v>-532.6</v>
      </c>
      <c r="D72" s="8" t="s">
        <v>735</v>
      </c>
      <c r="E72" s="124">
        <v>-177.53</v>
      </c>
      <c r="F72" s="63"/>
      <c r="G72" s="63"/>
      <c r="H72" s="63"/>
    </row>
    <row r="73" spans="1:8">
      <c r="A73" s="165"/>
      <c r="B73" s="106" t="s">
        <v>162</v>
      </c>
      <c r="C73" s="106">
        <v>899</v>
      </c>
      <c r="D73" s="8" t="s">
        <v>736</v>
      </c>
      <c r="E73" s="124">
        <v>-449.5</v>
      </c>
      <c r="F73" s="63"/>
      <c r="G73" s="63"/>
      <c r="H73" s="63"/>
    </row>
    <row r="74" spans="1:8">
      <c r="A74" s="165"/>
      <c r="B74" s="106" t="s">
        <v>698</v>
      </c>
      <c r="C74" s="106"/>
      <c r="D74" s="8" t="s">
        <v>736</v>
      </c>
      <c r="E74" s="124">
        <v>-299.64</v>
      </c>
      <c r="F74" s="63"/>
      <c r="G74" s="63"/>
      <c r="H74" s="63"/>
    </row>
    <row r="75" spans="1:8">
      <c r="A75" s="165"/>
      <c r="B75" s="106" t="s">
        <v>699</v>
      </c>
      <c r="C75" s="106"/>
      <c r="D75" s="8" t="s">
        <v>736</v>
      </c>
      <c r="E75" s="124">
        <v>-546.83000000000004</v>
      </c>
      <c r="F75" s="63"/>
      <c r="G75" s="63"/>
      <c r="H75" s="63"/>
    </row>
    <row r="76" spans="1:8">
      <c r="A76" s="100"/>
      <c r="B76" s="3"/>
      <c r="C76" s="106"/>
      <c r="D76" s="106"/>
      <c r="E76" s="124"/>
      <c r="F76" s="63"/>
      <c r="G76" s="63"/>
      <c r="H76" s="63"/>
    </row>
    <row r="77" spans="1:8">
      <c r="A77" s="100">
        <v>45312</v>
      </c>
      <c r="B77" s="3" t="s">
        <v>546</v>
      </c>
      <c r="C77" s="106"/>
      <c r="D77" s="106"/>
      <c r="E77" s="124">
        <v>-505</v>
      </c>
      <c r="F77" s="63"/>
      <c r="G77" s="63"/>
      <c r="H77" s="63"/>
    </row>
    <row r="78" spans="1:8">
      <c r="A78" s="100">
        <v>45312</v>
      </c>
      <c r="B78" s="3" t="s">
        <v>534</v>
      </c>
      <c r="C78" s="106"/>
      <c r="D78" s="106"/>
      <c r="E78" s="124">
        <v>-223.2</v>
      </c>
      <c r="F78" s="63"/>
      <c r="G78" s="63"/>
      <c r="H78" s="63"/>
    </row>
    <row r="79" spans="1:8">
      <c r="A79" s="100">
        <v>45310</v>
      </c>
      <c r="B79" s="3" t="s">
        <v>546</v>
      </c>
      <c r="C79" s="106"/>
      <c r="D79" s="106"/>
      <c r="E79" s="124">
        <v>-655</v>
      </c>
      <c r="F79" s="63"/>
      <c r="G79" s="63"/>
      <c r="H79" s="63"/>
    </row>
    <row r="80" spans="1:8">
      <c r="A80" s="100">
        <v>45293</v>
      </c>
      <c r="B80" s="3" t="s">
        <v>737</v>
      </c>
      <c r="C80" s="106"/>
      <c r="D80" s="106"/>
      <c r="E80" s="124">
        <v>-480</v>
      </c>
      <c r="F80" s="63"/>
      <c r="G80" s="63"/>
      <c r="H80" s="63"/>
    </row>
    <row r="81" spans="1:8">
      <c r="A81" s="100">
        <v>45293</v>
      </c>
      <c r="B81" s="3" t="s">
        <v>738</v>
      </c>
      <c r="C81" s="106"/>
      <c r="D81" s="106"/>
      <c r="E81" s="124">
        <v>-1200</v>
      </c>
      <c r="F81" s="63"/>
      <c r="G81" s="63"/>
      <c r="H81" s="63"/>
    </row>
    <row r="82" spans="1:8">
      <c r="A82" s="100">
        <v>45293</v>
      </c>
      <c r="B82" s="3" t="s">
        <v>738</v>
      </c>
      <c r="C82" s="106"/>
      <c r="D82" s="106"/>
      <c r="E82" s="124">
        <v>-500</v>
      </c>
      <c r="F82" s="63"/>
      <c r="G82" s="63"/>
      <c r="H82" s="63"/>
    </row>
    <row r="83" spans="1:8">
      <c r="A83" s="100"/>
      <c r="B83" s="3" t="s">
        <v>130</v>
      </c>
      <c r="C83" s="106">
        <v>12474.55</v>
      </c>
      <c r="D83" s="106"/>
      <c r="E83" s="124"/>
      <c r="F83" s="63"/>
      <c r="G83" s="63"/>
      <c r="H83" s="63"/>
    </row>
    <row r="84" spans="1:8">
      <c r="A84" s="100">
        <v>45293</v>
      </c>
      <c r="B84" s="3" t="s">
        <v>739</v>
      </c>
      <c r="C84" s="106"/>
      <c r="D84" s="106"/>
      <c r="E84" s="124">
        <v>-150</v>
      </c>
      <c r="F84" s="63"/>
      <c r="G84" s="63"/>
      <c r="H84" s="63"/>
    </row>
    <row r="85" spans="1:8">
      <c r="A85" s="100">
        <v>45291</v>
      </c>
      <c r="B85" s="3" t="s">
        <v>740</v>
      </c>
      <c r="C85" s="106"/>
      <c r="D85" s="106"/>
      <c r="E85" s="124">
        <v>-60</v>
      </c>
      <c r="F85" s="63"/>
      <c r="G85" s="63"/>
      <c r="H85" s="63"/>
    </row>
    <row r="86" spans="1:8">
      <c r="A86" s="100">
        <v>45290</v>
      </c>
      <c r="B86" s="3" t="s">
        <v>741</v>
      </c>
      <c r="C86" s="106"/>
      <c r="D86" s="106"/>
      <c r="E86" s="124">
        <v>-73</v>
      </c>
      <c r="F86" s="63"/>
      <c r="G86" s="63"/>
      <c r="H86" s="63"/>
    </row>
    <row r="87" spans="1:8">
      <c r="A87" s="100">
        <v>45290</v>
      </c>
      <c r="B87" s="3" t="s">
        <v>741</v>
      </c>
      <c r="C87" s="106"/>
      <c r="D87" s="106"/>
      <c r="E87" s="124">
        <v>-100</v>
      </c>
      <c r="F87" s="63"/>
      <c r="G87" s="63"/>
      <c r="H87" s="63"/>
    </row>
    <row r="88" spans="1:8">
      <c r="A88" s="100">
        <v>45289</v>
      </c>
      <c r="B88" s="3" t="s">
        <v>737</v>
      </c>
      <c r="C88" s="106"/>
      <c r="D88" s="106"/>
      <c r="E88" s="124">
        <v>-944</v>
      </c>
      <c r="F88" s="63"/>
      <c r="G88" s="63"/>
      <c r="H88" s="63"/>
    </row>
    <row r="89" spans="1:8">
      <c r="A89" s="100">
        <v>45288</v>
      </c>
      <c r="B89" s="3" t="s">
        <v>742</v>
      </c>
      <c r="C89" s="106"/>
      <c r="D89" s="106"/>
      <c r="E89" s="124">
        <v>-140</v>
      </c>
      <c r="F89" s="63"/>
      <c r="G89" s="63"/>
      <c r="H89" s="63"/>
    </row>
    <row r="90" spans="1:8">
      <c r="A90" s="100">
        <v>45288</v>
      </c>
      <c r="B90" s="3" t="s">
        <v>743</v>
      </c>
      <c r="C90" s="106"/>
      <c r="D90" s="106"/>
      <c r="E90" s="124">
        <v>-1570.18</v>
      </c>
      <c r="F90" s="63"/>
      <c r="G90" s="63"/>
      <c r="H90" s="63"/>
    </row>
    <row r="91" spans="1:8">
      <c r="A91" s="100">
        <v>45288</v>
      </c>
      <c r="B91" s="3" t="s">
        <v>414</v>
      </c>
      <c r="C91" s="106"/>
      <c r="D91" s="106"/>
      <c r="E91" s="124">
        <v>-169.27</v>
      </c>
      <c r="F91" s="63"/>
      <c r="G91" s="63"/>
      <c r="H91" s="63"/>
    </row>
    <row r="92" spans="1:8">
      <c r="A92" s="100">
        <v>45288</v>
      </c>
      <c r="B92" s="3" t="s">
        <v>744</v>
      </c>
      <c r="C92" s="106"/>
      <c r="D92" s="106"/>
      <c r="E92" s="124">
        <v>-800</v>
      </c>
      <c r="F92" s="63"/>
      <c r="G92" s="63"/>
      <c r="H92" s="63"/>
    </row>
    <row r="93" spans="1:8">
      <c r="A93" s="100">
        <v>45287</v>
      </c>
      <c r="B93" s="3" t="s">
        <v>414</v>
      </c>
      <c r="C93" s="106"/>
      <c r="D93" s="106"/>
      <c r="E93" s="124">
        <v>-438.05</v>
      </c>
      <c r="F93" s="63"/>
      <c r="G93" s="63"/>
      <c r="H93" s="63"/>
    </row>
    <row r="94" spans="1:8">
      <c r="A94" s="100">
        <v>45653</v>
      </c>
      <c r="B94" s="3" t="s">
        <v>489</v>
      </c>
      <c r="C94" s="106"/>
      <c r="D94" s="106">
        <v>185</v>
      </c>
      <c r="E94" s="124">
        <v>-185</v>
      </c>
      <c r="F94" s="63"/>
      <c r="G94" s="63"/>
      <c r="H94" s="63"/>
    </row>
    <row r="95" spans="1:8">
      <c r="A95" s="100">
        <v>45653</v>
      </c>
      <c r="B95" s="3" t="s">
        <v>745</v>
      </c>
      <c r="C95" s="106"/>
      <c r="D95" s="106">
        <v>25.85</v>
      </c>
      <c r="E95" s="124">
        <v>-25.85</v>
      </c>
      <c r="F95" s="63"/>
      <c r="G95" s="63"/>
      <c r="H95" s="63"/>
    </row>
    <row r="96" spans="1:8">
      <c r="A96" s="100">
        <v>45286</v>
      </c>
      <c r="B96" s="3" t="s">
        <v>746</v>
      </c>
      <c r="C96" s="106"/>
      <c r="D96" s="106"/>
      <c r="E96" s="124">
        <v>-160</v>
      </c>
      <c r="F96" s="63"/>
      <c r="G96" s="63"/>
      <c r="H96" s="63"/>
    </row>
    <row r="97" spans="1:8">
      <c r="A97" s="100">
        <v>45286</v>
      </c>
      <c r="B97" s="3" t="s">
        <v>747</v>
      </c>
      <c r="C97" s="106"/>
      <c r="D97" s="106"/>
      <c r="E97" s="124">
        <v>-300</v>
      </c>
      <c r="F97" s="63"/>
      <c r="G97" s="63"/>
      <c r="H97" s="63"/>
    </row>
    <row r="98" spans="1:8">
      <c r="A98" s="100">
        <v>45651</v>
      </c>
      <c r="B98" s="3" t="s">
        <v>748</v>
      </c>
      <c r="C98" s="106"/>
      <c r="D98" s="106">
        <v>112.64</v>
      </c>
      <c r="E98" s="124">
        <v>-112.64</v>
      </c>
      <c r="F98" s="63"/>
      <c r="G98" s="63"/>
      <c r="H98" s="63"/>
    </row>
    <row r="99" spans="1:8">
      <c r="A99" s="100"/>
      <c r="B99" s="3" t="s">
        <v>749</v>
      </c>
      <c r="C99" s="106"/>
      <c r="D99" s="106"/>
      <c r="E99" s="124">
        <v>-193</v>
      </c>
      <c r="F99" s="63"/>
      <c r="G99" s="63"/>
      <c r="H99" s="63"/>
    </row>
    <row r="100" spans="1:8">
      <c r="A100" s="100"/>
      <c r="B100" s="3" t="s">
        <v>750</v>
      </c>
      <c r="C100" s="106"/>
      <c r="D100" s="106"/>
      <c r="E100" s="124">
        <v>-5517.52</v>
      </c>
      <c r="F100" s="63"/>
      <c r="G100" s="63"/>
      <c r="H100" s="63"/>
    </row>
    <row r="101" spans="1:8">
      <c r="A101" s="100"/>
      <c r="B101" s="3" t="s">
        <v>751</v>
      </c>
      <c r="C101" s="106"/>
      <c r="D101" s="106"/>
      <c r="E101" s="124">
        <v>-105</v>
      </c>
      <c r="F101" s="63"/>
      <c r="G101" s="63"/>
      <c r="H101" s="63"/>
    </row>
    <row r="102" spans="1:8">
      <c r="A102" s="100"/>
      <c r="B102" s="3" t="s">
        <v>751</v>
      </c>
      <c r="C102" s="106"/>
      <c r="D102" s="106"/>
      <c r="E102" s="124">
        <v>-54</v>
      </c>
      <c r="F102" s="63"/>
      <c r="G102" s="63"/>
      <c r="H102" s="63"/>
    </row>
    <row r="103" spans="1:8">
      <c r="A103" s="100"/>
      <c r="B103" s="3"/>
      <c r="C103" s="206" t="s">
        <v>752</v>
      </c>
      <c r="D103" s="107">
        <f>SUM(D94:D102)</f>
        <v>323.49</v>
      </c>
      <c r="E103" s="124"/>
      <c r="F103" s="63"/>
      <c r="G103" s="63"/>
      <c r="H103" s="63"/>
    </row>
    <row r="104" spans="1:8" ht="15">
      <c r="A104" s="100"/>
      <c r="B104" s="3"/>
      <c r="C104" s="106"/>
      <c r="D104" s="105" t="s">
        <v>84</v>
      </c>
      <c r="E104" s="124"/>
      <c r="F104" s="63"/>
      <c r="G104" s="63"/>
      <c r="H104" s="63"/>
    </row>
    <row r="105" spans="1:8" ht="15">
      <c r="A105" s="100"/>
      <c r="B105" s="3"/>
      <c r="C105" s="106"/>
      <c r="D105" s="182"/>
      <c r="E105" s="124"/>
      <c r="F105" s="63"/>
      <c r="G105" s="63"/>
      <c r="H105" s="63"/>
    </row>
    <row r="106" spans="1:8" ht="15">
      <c r="A106" s="100"/>
      <c r="B106" s="3"/>
      <c r="C106" s="106"/>
      <c r="D106" s="182"/>
      <c r="E106" s="124"/>
      <c r="F106" s="63"/>
      <c r="G106" s="63"/>
      <c r="H106" s="63"/>
    </row>
    <row r="107" spans="1:8" ht="15">
      <c r="A107" s="100"/>
      <c r="B107" s="3"/>
      <c r="C107" s="106"/>
      <c r="D107" s="182"/>
      <c r="E107" s="124"/>
      <c r="F107" s="63"/>
      <c r="G107" s="63"/>
      <c r="H107" s="63"/>
    </row>
    <row r="108" spans="1:8" ht="15">
      <c r="A108" s="100"/>
      <c r="B108" s="3"/>
      <c r="C108" s="106"/>
      <c r="D108" s="182"/>
      <c r="E108" s="124"/>
      <c r="F108" s="63"/>
      <c r="G108" s="63"/>
      <c r="H108" s="63"/>
    </row>
    <row r="109" spans="1:8">
      <c r="D109" s="18"/>
    </row>
    <row r="111" spans="1:8">
      <c r="A111" s="113" t="s">
        <v>753</v>
      </c>
      <c r="B111" s="104" t="s">
        <v>137</v>
      </c>
      <c r="C111" s="103">
        <v>2024</v>
      </c>
      <c r="D111" s="158"/>
      <c r="E111" s="159">
        <f>SUM(E112:E130)</f>
        <v>809249.830357</v>
      </c>
    </row>
    <row r="112" spans="1:8">
      <c r="A112" s="160">
        <v>45352</v>
      </c>
      <c r="B112" s="8" t="s">
        <v>77</v>
      </c>
      <c r="C112" s="2"/>
      <c r="D112" s="2"/>
      <c r="E112" s="17">
        <v>64000</v>
      </c>
    </row>
    <row r="113" spans="1:6">
      <c r="A113" s="160">
        <f t="shared" ref="A113:A130" si="1">A112</f>
        <v>45352</v>
      </c>
      <c r="B113" s="8" t="s">
        <v>754</v>
      </c>
      <c r="C113" s="2"/>
      <c r="D113" s="2"/>
      <c r="E113" s="17">
        <v>180345.5</v>
      </c>
      <c r="F113">
        <v>30000</v>
      </c>
    </row>
    <row r="114" spans="1:6">
      <c r="A114" s="160">
        <f t="shared" si="1"/>
        <v>45352</v>
      </c>
      <c r="B114" s="8" t="s">
        <v>305</v>
      </c>
      <c r="C114" s="2"/>
      <c r="D114" s="2"/>
      <c r="E114" s="17">
        <v>5039.78</v>
      </c>
      <c r="F114" s="2">
        <f>E114</f>
        <v>5039.78</v>
      </c>
    </row>
    <row r="115" spans="1:6">
      <c r="A115" s="160">
        <f t="shared" si="1"/>
        <v>45352</v>
      </c>
      <c r="B115" s="8" t="s">
        <v>306</v>
      </c>
      <c r="C115" s="2"/>
      <c r="D115" s="2"/>
      <c r="E115" s="17">
        <v>0</v>
      </c>
    </row>
    <row r="116" spans="1:6">
      <c r="A116" s="160">
        <f t="shared" si="1"/>
        <v>45352</v>
      </c>
      <c r="B116" s="8" t="s">
        <v>503</v>
      </c>
      <c r="C116" s="2"/>
      <c r="D116" s="2"/>
      <c r="E116" s="17">
        <v>0</v>
      </c>
    </row>
    <row r="117" spans="1:6">
      <c r="A117" s="160">
        <f t="shared" si="1"/>
        <v>45352</v>
      </c>
      <c r="B117" s="8" t="s">
        <v>307</v>
      </c>
      <c r="C117" s="124"/>
      <c r="D117" s="2"/>
      <c r="E117" s="17">
        <v>0</v>
      </c>
    </row>
    <row r="118" spans="1:6">
      <c r="A118" s="160">
        <f t="shared" si="1"/>
        <v>45352</v>
      </c>
      <c r="B118" s="8" t="s">
        <v>241</v>
      </c>
      <c r="C118" s="2" t="s">
        <v>755</v>
      </c>
      <c r="D118" s="2"/>
      <c r="E118" s="17">
        <v>32865.519999999997</v>
      </c>
      <c r="F118" s="2">
        <f>E118</f>
        <v>32865.519999999997</v>
      </c>
    </row>
    <row r="119" spans="1:6">
      <c r="A119" s="160">
        <f t="shared" si="1"/>
        <v>45352</v>
      </c>
      <c r="B119" s="8" t="s">
        <v>504</v>
      </c>
      <c r="C119" s="2" t="s">
        <v>706</v>
      </c>
      <c r="D119" s="2"/>
      <c r="E119" s="17">
        <v>129254.5</v>
      </c>
    </row>
    <row r="120" spans="1:6">
      <c r="A120" s="160">
        <f t="shared" si="1"/>
        <v>45352</v>
      </c>
      <c r="B120" s="8" t="s">
        <v>707</v>
      </c>
      <c r="C120" s="2" t="s">
        <v>708</v>
      </c>
      <c r="D120" s="2"/>
      <c r="E120" s="17">
        <v>256.56</v>
      </c>
      <c r="F120" s="2">
        <f>E120</f>
        <v>256.56</v>
      </c>
    </row>
    <row r="121" spans="1:6">
      <c r="A121" s="160">
        <f t="shared" si="1"/>
        <v>45352</v>
      </c>
      <c r="B121" s="8" t="s">
        <v>709</v>
      </c>
      <c r="C121" s="160" t="s">
        <v>756</v>
      </c>
      <c r="D121" s="161"/>
      <c r="E121" s="17">
        <v>1031.76</v>
      </c>
      <c r="F121" s="2">
        <f>E121</f>
        <v>1031.76</v>
      </c>
    </row>
    <row r="122" spans="1:6">
      <c r="A122" s="160">
        <f t="shared" si="1"/>
        <v>45352</v>
      </c>
      <c r="B122" s="8" t="s">
        <v>711</v>
      </c>
      <c r="C122" s="160" t="s">
        <v>712</v>
      </c>
      <c r="D122" s="161"/>
      <c r="E122" s="17">
        <v>588.6</v>
      </c>
    </row>
    <row r="123" spans="1:6">
      <c r="A123" s="160">
        <f t="shared" si="1"/>
        <v>45352</v>
      </c>
      <c r="B123" s="8" t="s">
        <v>713</v>
      </c>
      <c r="C123" s="160"/>
      <c r="D123" s="161"/>
      <c r="E123" s="17"/>
    </row>
    <row r="124" spans="1:6">
      <c r="A124" s="160">
        <f t="shared" si="1"/>
        <v>45352</v>
      </c>
      <c r="B124" s="8" t="s">
        <v>141</v>
      </c>
      <c r="C124" s="2"/>
      <c r="D124" s="2"/>
      <c r="E124" s="17">
        <v>450</v>
      </c>
      <c r="F124" s="2">
        <f>E124</f>
        <v>450</v>
      </c>
    </row>
    <row r="125" spans="1:6">
      <c r="A125" s="160">
        <f t="shared" si="1"/>
        <v>45352</v>
      </c>
      <c r="B125" s="8" t="s">
        <v>714</v>
      </c>
      <c r="C125" s="2">
        <v>2017.98</v>
      </c>
      <c r="D125" s="2">
        <v>161</v>
      </c>
      <c r="E125" s="17">
        <f>D125*C125</f>
        <v>324894.78000000003</v>
      </c>
    </row>
    <row r="126" spans="1:6">
      <c r="A126" s="160">
        <f t="shared" si="1"/>
        <v>45352</v>
      </c>
      <c r="B126" s="8" t="s">
        <v>715</v>
      </c>
      <c r="C126" s="162">
        <v>30.726199999999999</v>
      </c>
      <c r="D126" s="2">
        <v>850</v>
      </c>
      <c r="E126" s="17">
        <f>D126*C126</f>
        <v>26117.27</v>
      </c>
      <c r="F126" s="2"/>
    </row>
    <row r="127" spans="1:6">
      <c r="A127" s="160">
        <f t="shared" si="1"/>
        <v>45352</v>
      </c>
      <c r="B127" s="8" t="s">
        <v>510</v>
      </c>
      <c r="C127" s="162">
        <v>30.725999999999999</v>
      </c>
      <c r="D127" s="2">
        <v>250</v>
      </c>
      <c r="E127" s="17">
        <f>D127*C127</f>
        <v>7681.5</v>
      </c>
    </row>
    <row r="128" spans="1:6">
      <c r="A128" s="160">
        <f t="shared" si="1"/>
        <v>45352</v>
      </c>
      <c r="B128" s="8" t="s">
        <v>716</v>
      </c>
      <c r="C128" s="162">
        <v>33.224299999999999</v>
      </c>
      <c r="D128" s="2">
        <v>81.99</v>
      </c>
      <c r="E128" s="17">
        <f>D128*C128</f>
        <v>2724.0603569999998</v>
      </c>
    </row>
    <row r="129" spans="1:6">
      <c r="A129" s="160">
        <f t="shared" si="1"/>
        <v>45352</v>
      </c>
      <c r="B129" s="8" t="s">
        <v>153</v>
      </c>
      <c r="C129" s="2"/>
      <c r="D129" s="2"/>
      <c r="E129" s="17">
        <v>30000</v>
      </c>
      <c r="F129" s="2">
        <f>E129</f>
        <v>30000</v>
      </c>
    </row>
    <row r="130" spans="1:6">
      <c r="A130" s="160">
        <f t="shared" si="1"/>
        <v>45352</v>
      </c>
      <c r="B130" s="8" t="s">
        <v>154</v>
      </c>
      <c r="C130" s="2"/>
      <c r="D130" s="2"/>
      <c r="E130" s="17">
        <v>4000</v>
      </c>
      <c r="F130" s="2">
        <f>E130</f>
        <v>4000</v>
      </c>
    </row>
    <row r="131" spans="1:6">
      <c r="F131" s="8">
        <f>SUM(F113:F130)</f>
        <v>103643.61999999998</v>
      </c>
    </row>
    <row r="132" spans="1:6">
      <c r="C132" s="124"/>
      <c r="D132" s="3"/>
      <c r="E132" s="124"/>
    </row>
    <row r="133" spans="1:6">
      <c r="C133" s="124"/>
      <c r="D133" s="18" t="s">
        <v>156</v>
      </c>
      <c r="E133" s="9">
        <f>SUM(E112:E130)</f>
        <v>809249.830357</v>
      </c>
    </row>
    <row r="134" spans="1:6">
      <c r="C134" s="125" t="str">
        <f>A111</f>
        <v>ŞUBAT</v>
      </c>
      <c r="D134" s="126" t="s">
        <v>157</v>
      </c>
      <c r="E134" s="127">
        <f>H2</f>
        <v>-49291.099999999991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E2F0D9"/>
  </sheetPr>
  <dimension ref="A1:H149"/>
  <sheetViews>
    <sheetView topLeftCell="A59" zoomScale="170" zoomScaleNormal="170" workbookViewId="0">
      <selection activeCell="B42" sqref="B42"/>
    </sheetView>
  </sheetViews>
  <sheetFormatPr defaultColWidth="12.28515625" defaultRowHeight="12.75"/>
  <cols>
    <col min="2" max="2" width="35.85546875" customWidth="1"/>
    <col min="3" max="3" width="9.85546875" style="124" customWidth="1"/>
    <col min="4" max="4" width="15.5703125" style="124" customWidth="1"/>
    <col min="5" max="5" width="13.140625" style="124" customWidth="1"/>
    <col min="6" max="8" width="12.28515625" style="124"/>
    <col min="1024" max="1024" width="9.140625" customWidth="1"/>
  </cols>
  <sheetData>
    <row r="1" spans="1:8">
      <c r="F1" s="124" t="s">
        <v>28</v>
      </c>
      <c r="G1" s="124" t="s">
        <v>29</v>
      </c>
      <c r="H1" s="124" t="s">
        <v>3</v>
      </c>
    </row>
    <row r="2" spans="1:8">
      <c r="A2" s="3" t="s">
        <v>757</v>
      </c>
      <c r="C2" s="124" t="s">
        <v>67</v>
      </c>
      <c r="D2" s="124">
        <f>SUM(D4:D42)</f>
        <v>340464.6</v>
      </c>
      <c r="E2" s="124">
        <f>SUM(E4:E42)</f>
        <v>-52469.760000000002</v>
      </c>
      <c r="F2" s="124">
        <f>SUM(F4:F42)</f>
        <v>194911.58000000002</v>
      </c>
      <c r="G2" s="124">
        <f>SUM(G4:G42)</f>
        <v>-66377.209999999992</v>
      </c>
      <c r="H2" s="124">
        <f>F2+G2</f>
        <v>128534.37000000002</v>
      </c>
    </row>
    <row r="3" spans="1:8">
      <c r="B3" s="18"/>
    </row>
    <row r="4" spans="1:8">
      <c r="A4" s="165">
        <v>45231</v>
      </c>
      <c r="B4" s="41" t="s">
        <v>430</v>
      </c>
      <c r="E4" s="124">
        <v>-152</v>
      </c>
      <c r="G4" s="124">
        <v>-152</v>
      </c>
      <c r="H4" s="124">
        <f t="shared" ref="H4:H45" si="0">H3+F4+G4</f>
        <v>-152</v>
      </c>
    </row>
    <row r="5" spans="1:8">
      <c r="A5" s="165"/>
      <c r="B5" s="8" t="s">
        <v>399</v>
      </c>
      <c r="E5" s="124">
        <v>-10000</v>
      </c>
      <c r="G5" s="124">
        <v>-10000</v>
      </c>
      <c r="H5" s="124">
        <f t="shared" si="0"/>
        <v>-10152</v>
      </c>
    </row>
    <row r="6" spans="1:8">
      <c r="B6" s="101" t="s">
        <v>758</v>
      </c>
      <c r="E6" s="124">
        <v>-250</v>
      </c>
      <c r="G6" s="124">
        <v>-250</v>
      </c>
      <c r="H6" s="124">
        <f t="shared" si="0"/>
        <v>-10402</v>
      </c>
    </row>
    <row r="7" spans="1:8">
      <c r="B7" s="101"/>
      <c r="H7" s="124">
        <f t="shared" si="0"/>
        <v>-10402</v>
      </c>
    </row>
    <row r="8" spans="1:8">
      <c r="B8" s="101" t="s">
        <v>75</v>
      </c>
      <c r="C8" s="124" t="s">
        <v>328</v>
      </c>
      <c r="E8" s="124">
        <v>-150</v>
      </c>
      <c r="G8" s="124">
        <v>0</v>
      </c>
      <c r="H8" s="124">
        <f t="shared" si="0"/>
        <v>-10402</v>
      </c>
    </row>
    <row r="9" spans="1:8">
      <c r="A9" s="165">
        <v>45309</v>
      </c>
      <c r="B9" s="106" t="s">
        <v>73</v>
      </c>
      <c r="C9" s="124" t="s">
        <v>328</v>
      </c>
      <c r="D9" s="124">
        <v>137.30000000000001</v>
      </c>
      <c r="E9" s="124">
        <v>-300</v>
      </c>
      <c r="G9" s="124">
        <v>-1408</v>
      </c>
      <c r="H9" s="124">
        <f t="shared" si="0"/>
        <v>-11810</v>
      </c>
    </row>
    <row r="10" spans="1:8">
      <c r="A10" s="165">
        <v>45299</v>
      </c>
      <c r="B10" s="106" t="s">
        <v>74</v>
      </c>
      <c r="C10" s="124" t="s">
        <v>328</v>
      </c>
      <c r="D10" s="124">
        <v>27.3</v>
      </c>
      <c r="E10" s="124">
        <v>-100</v>
      </c>
      <c r="G10" s="124">
        <v>0</v>
      </c>
      <c r="H10" s="124">
        <f t="shared" si="0"/>
        <v>-11810</v>
      </c>
    </row>
    <row r="11" spans="1:8">
      <c r="B11" s="101"/>
      <c r="H11" s="124">
        <f t="shared" si="0"/>
        <v>-11810</v>
      </c>
    </row>
    <row r="12" spans="1:8">
      <c r="B12" s="178" t="s">
        <v>72</v>
      </c>
      <c r="E12" s="124">
        <f>E55*-1</f>
        <v>-169.14</v>
      </c>
      <c r="G12" s="124">
        <f>E12</f>
        <v>-169.14</v>
      </c>
      <c r="H12" s="124">
        <f t="shared" si="0"/>
        <v>-11979.14</v>
      </c>
    </row>
    <row r="13" spans="1:8">
      <c r="A13" s="165"/>
      <c r="B13" s="178" t="s">
        <v>68</v>
      </c>
      <c r="E13" s="124">
        <f>E60</f>
        <v>-3961.94</v>
      </c>
      <c r="G13" s="124">
        <f>E13</f>
        <v>-3961.94</v>
      </c>
      <c r="H13" s="124">
        <f t="shared" si="0"/>
        <v>-15941.08</v>
      </c>
    </row>
    <row r="14" spans="1:8">
      <c r="A14" s="165">
        <v>45294</v>
      </c>
      <c r="B14" s="178" t="s">
        <v>69</v>
      </c>
      <c r="E14" s="124">
        <f>E77</f>
        <v>-12474.550000000001</v>
      </c>
      <c r="G14" s="124">
        <v>-12474</v>
      </c>
      <c r="H14" s="124">
        <f t="shared" si="0"/>
        <v>-28415.08</v>
      </c>
    </row>
    <row r="15" spans="1:8">
      <c r="A15" s="100">
        <v>45295</v>
      </c>
      <c r="B15" s="101" t="s">
        <v>759</v>
      </c>
      <c r="E15" s="124">
        <v>-5375</v>
      </c>
      <c r="G15" s="124">
        <f>E15</f>
        <v>-5375</v>
      </c>
      <c r="H15" s="124">
        <f t="shared" si="0"/>
        <v>-33790.080000000002</v>
      </c>
    </row>
    <row r="16" spans="1:8">
      <c r="A16" s="100"/>
      <c r="B16" s="101" t="s">
        <v>759</v>
      </c>
      <c r="E16" s="124">
        <v>-2125</v>
      </c>
      <c r="G16" s="124">
        <f>E16</f>
        <v>-2125</v>
      </c>
      <c r="H16" s="124">
        <f t="shared" si="0"/>
        <v>-35915.08</v>
      </c>
    </row>
    <row r="17" spans="1:8">
      <c r="B17" s="101" t="s">
        <v>760</v>
      </c>
      <c r="E17" s="124">
        <v>-1512.13</v>
      </c>
      <c r="G17" s="124">
        <v>-1512.13</v>
      </c>
      <c r="H17" s="124">
        <f t="shared" si="0"/>
        <v>-37427.21</v>
      </c>
    </row>
    <row r="18" spans="1:8">
      <c r="H18" s="124">
        <f t="shared" si="0"/>
        <v>-37427.21</v>
      </c>
    </row>
    <row r="19" spans="1:8">
      <c r="B19" t="s">
        <v>77</v>
      </c>
      <c r="E19" s="124">
        <v>-5000</v>
      </c>
      <c r="G19" s="124">
        <v>-4800</v>
      </c>
      <c r="H19" s="124">
        <f t="shared" si="0"/>
        <v>-42227.21</v>
      </c>
    </row>
    <row r="20" spans="1:8">
      <c r="B20" t="s">
        <v>78</v>
      </c>
      <c r="E20" s="124">
        <v>-5000</v>
      </c>
      <c r="G20" s="124">
        <v>-4800</v>
      </c>
      <c r="H20" s="124">
        <f t="shared" si="0"/>
        <v>-47027.21</v>
      </c>
    </row>
    <row r="21" spans="1:8">
      <c r="B21" t="s">
        <v>79</v>
      </c>
      <c r="E21" s="124">
        <v>-5000</v>
      </c>
      <c r="G21" s="124">
        <v>-5000</v>
      </c>
      <c r="H21" s="124">
        <f t="shared" si="0"/>
        <v>-52027.21</v>
      </c>
    </row>
    <row r="22" spans="1:8">
      <c r="B22" s="101" t="s">
        <v>80</v>
      </c>
      <c r="E22" s="124">
        <v>-400</v>
      </c>
      <c r="G22" s="124">
        <v>-230</v>
      </c>
      <c r="H22" s="124">
        <f t="shared" si="0"/>
        <v>-52257.21</v>
      </c>
    </row>
    <row r="23" spans="1:8">
      <c r="B23" s="101" t="s">
        <v>81</v>
      </c>
      <c r="E23" s="124">
        <v>-500</v>
      </c>
      <c r="G23" s="124">
        <v>-420</v>
      </c>
      <c r="H23" s="124">
        <f t="shared" si="0"/>
        <v>-52677.21</v>
      </c>
    </row>
    <row r="24" spans="1:8">
      <c r="H24" s="124">
        <f t="shared" si="0"/>
        <v>-52677.21</v>
      </c>
    </row>
    <row r="25" spans="1:8">
      <c r="A25" s="165">
        <v>45300</v>
      </c>
      <c r="B25" s="8" t="s">
        <v>761</v>
      </c>
      <c r="G25" s="124">
        <v>-5000</v>
      </c>
      <c r="H25" s="124">
        <f t="shared" si="0"/>
        <v>-57677.21</v>
      </c>
    </row>
    <row r="26" spans="1:8">
      <c r="H26" s="124">
        <f t="shared" si="0"/>
        <v>-57677.21</v>
      </c>
    </row>
    <row r="27" spans="1:8">
      <c r="B27" t="s">
        <v>76</v>
      </c>
      <c r="D27" s="176">
        <v>10000</v>
      </c>
      <c r="F27" s="176">
        <v>9611.58</v>
      </c>
      <c r="H27" s="124">
        <f t="shared" si="0"/>
        <v>-48065.63</v>
      </c>
    </row>
    <row r="28" spans="1:8">
      <c r="A28" s="100"/>
      <c r="B28" s="8" t="s">
        <v>677</v>
      </c>
      <c r="D28" s="176">
        <v>2800</v>
      </c>
      <c r="F28" s="176">
        <v>2800</v>
      </c>
      <c r="H28" s="124">
        <f t="shared" si="0"/>
        <v>-45265.63</v>
      </c>
    </row>
    <row r="29" spans="1:8">
      <c r="A29" s="160">
        <v>45293</v>
      </c>
      <c r="B29" s="8" t="s">
        <v>762</v>
      </c>
      <c r="F29" s="176">
        <v>6500</v>
      </c>
      <c r="H29" s="124">
        <f t="shared" si="0"/>
        <v>-38765.629999999997</v>
      </c>
    </row>
    <row r="30" spans="1:8">
      <c r="A30" s="100">
        <v>45328</v>
      </c>
      <c r="B30" s="8" t="s">
        <v>763</v>
      </c>
      <c r="D30" s="176">
        <v>6500</v>
      </c>
      <c r="F30" s="176"/>
      <c r="H30" s="124">
        <f t="shared" si="0"/>
        <v>-38765.629999999997</v>
      </c>
    </row>
    <row r="31" spans="1:8">
      <c r="A31" s="160">
        <v>45294</v>
      </c>
      <c r="B31" s="8" t="s">
        <v>764</v>
      </c>
      <c r="F31" s="176">
        <v>6000</v>
      </c>
      <c r="H31" s="124">
        <f t="shared" si="0"/>
        <v>-32765.629999999997</v>
      </c>
    </row>
    <row r="32" spans="1:8">
      <c r="A32" s="192"/>
      <c r="B32" s="170" t="s">
        <v>727</v>
      </c>
      <c r="C32" s="199"/>
      <c r="D32" s="199">
        <v>7000</v>
      </c>
      <c r="E32" s="199"/>
      <c r="F32" s="207"/>
      <c r="H32" s="124">
        <f t="shared" si="0"/>
        <v>-32765.629999999997</v>
      </c>
    </row>
    <row r="33" spans="1:8">
      <c r="B33" t="s">
        <v>765</v>
      </c>
      <c r="D33" s="176">
        <v>170000</v>
      </c>
      <c r="F33" s="176"/>
      <c r="H33" s="124">
        <f t="shared" si="0"/>
        <v>-32765.629999999997</v>
      </c>
    </row>
    <row r="34" spans="1:8">
      <c r="A34" s="165">
        <v>45295</v>
      </c>
      <c r="B34" s="8" t="s">
        <v>766</v>
      </c>
      <c r="F34" s="176">
        <v>120000</v>
      </c>
      <c r="H34" s="124">
        <f t="shared" si="0"/>
        <v>87234.37</v>
      </c>
    </row>
    <row r="35" spans="1:8">
      <c r="A35" s="165">
        <v>45296</v>
      </c>
      <c r="B35" s="8" t="s">
        <v>766</v>
      </c>
      <c r="F35" s="176">
        <v>26000</v>
      </c>
      <c r="H35" s="124">
        <f t="shared" si="0"/>
        <v>113234.37</v>
      </c>
    </row>
    <row r="36" spans="1:8">
      <c r="A36" s="165">
        <v>45299</v>
      </c>
      <c r="B36" s="8" t="s">
        <v>767</v>
      </c>
      <c r="F36" s="176">
        <v>24000</v>
      </c>
      <c r="H36" s="124">
        <f t="shared" si="0"/>
        <v>137234.37</v>
      </c>
    </row>
    <row r="37" spans="1:8">
      <c r="A37" s="165"/>
      <c r="B37" s="8" t="s">
        <v>768</v>
      </c>
      <c r="G37" s="124">
        <v>-4000</v>
      </c>
      <c r="H37" s="124">
        <f t="shared" si="0"/>
        <v>133234.37</v>
      </c>
    </row>
    <row r="38" spans="1:8">
      <c r="A38" s="165">
        <v>45321</v>
      </c>
      <c r="B38" s="8" t="s">
        <v>768</v>
      </c>
      <c r="G38" s="124">
        <v>-1000</v>
      </c>
      <c r="H38" s="124">
        <f t="shared" si="0"/>
        <v>132234.37</v>
      </c>
    </row>
    <row r="39" spans="1:8">
      <c r="A39" s="165"/>
      <c r="B39" s="8" t="s">
        <v>769</v>
      </c>
      <c r="G39" s="124">
        <v>-3700</v>
      </c>
      <c r="H39" s="124">
        <f t="shared" si="0"/>
        <v>128534.37</v>
      </c>
    </row>
    <row r="40" spans="1:8">
      <c r="A40" s="165"/>
      <c r="H40" s="124">
        <f t="shared" si="0"/>
        <v>128534.37</v>
      </c>
    </row>
    <row r="41" spans="1:8">
      <c r="A41" s="88">
        <v>45315</v>
      </c>
      <c r="B41" s="8" t="s">
        <v>770</v>
      </c>
      <c r="H41" s="124">
        <f t="shared" si="0"/>
        <v>128534.37</v>
      </c>
    </row>
    <row r="42" spans="1:8">
      <c r="B42" t="s">
        <v>771</v>
      </c>
      <c r="C42" s="124">
        <v>0.234011</v>
      </c>
      <c r="D42" s="124">
        <v>144000</v>
      </c>
      <c r="H42" s="124">
        <f t="shared" si="0"/>
        <v>128534.37</v>
      </c>
    </row>
    <row r="43" spans="1:8">
      <c r="A43" s="160"/>
      <c r="H43" s="124">
        <f t="shared" si="0"/>
        <v>128534.37</v>
      </c>
    </row>
    <row r="44" spans="1:8">
      <c r="A44" s="160"/>
      <c r="H44" s="124">
        <f t="shared" si="0"/>
        <v>128534.37</v>
      </c>
    </row>
    <row r="45" spans="1:8">
      <c r="H45" s="124">
        <f t="shared" si="0"/>
        <v>128534.37</v>
      </c>
    </row>
    <row r="46" spans="1:8">
      <c r="B46" t="s">
        <v>330</v>
      </c>
    </row>
    <row r="47" spans="1:8">
      <c r="A47" s="103" t="s">
        <v>331</v>
      </c>
      <c r="B47" s="103"/>
    </row>
    <row r="48" spans="1:8">
      <c r="A48" s="100"/>
    </row>
    <row r="49" spans="1:5">
      <c r="A49" s="172">
        <v>44929</v>
      </c>
      <c r="B49" s="173" t="s">
        <v>332</v>
      </c>
      <c r="D49" s="124">
        <f>SUM(D50:D55)</f>
        <v>4772.1500000000005</v>
      </c>
      <c r="E49" s="124">
        <f>SUM(E50:E55)</f>
        <v>4742.6400000000003</v>
      </c>
    </row>
    <row r="50" spans="1:5">
      <c r="A50" s="100"/>
      <c r="B50" s="106" t="s">
        <v>333</v>
      </c>
      <c r="C50" s="124" t="s">
        <v>772</v>
      </c>
      <c r="D50" s="124">
        <v>1329.72</v>
      </c>
      <c r="E50" s="124">
        <v>1330</v>
      </c>
    </row>
    <row r="51" spans="1:5">
      <c r="B51" t="s">
        <v>773</v>
      </c>
      <c r="D51" s="124">
        <v>1282.42</v>
      </c>
      <c r="E51" s="124">
        <v>1250</v>
      </c>
    </row>
    <row r="52" spans="1:5">
      <c r="B52" t="s">
        <v>335</v>
      </c>
      <c r="D52" s="124">
        <v>298.67</v>
      </c>
      <c r="E52" s="124">
        <v>298.5</v>
      </c>
    </row>
    <row r="53" spans="1:5">
      <c r="B53" t="s">
        <v>774</v>
      </c>
      <c r="D53" s="124">
        <v>1204.3800000000001</v>
      </c>
      <c r="E53" s="124">
        <v>1205</v>
      </c>
    </row>
    <row r="54" spans="1:5">
      <c r="B54" t="s">
        <v>337</v>
      </c>
      <c r="D54" s="124">
        <v>487.82</v>
      </c>
      <c r="E54" s="124">
        <v>490</v>
      </c>
    </row>
    <row r="55" spans="1:5">
      <c r="B55" t="s">
        <v>338</v>
      </c>
      <c r="D55" s="124">
        <v>169.14</v>
      </c>
      <c r="E55" s="124">
        <v>169.14</v>
      </c>
    </row>
    <row r="58" spans="1:5">
      <c r="B58" s="17"/>
    </row>
    <row r="59" spans="1:5">
      <c r="B59" s="102"/>
    </row>
    <row r="60" spans="1:5">
      <c r="A60" s="103"/>
      <c r="B60" s="104" t="s">
        <v>83</v>
      </c>
      <c r="E60" s="124">
        <f>SUM(E61:E74)</f>
        <v>-3961.94</v>
      </c>
    </row>
    <row r="62" spans="1:5">
      <c r="A62" s="160"/>
      <c r="B62" s="106"/>
    </row>
    <row r="63" spans="1:5">
      <c r="A63" s="160">
        <v>45043</v>
      </c>
      <c r="B63" s="106" t="s">
        <v>729</v>
      </c>
      <c r="C63" s="124">
        <v>10764.57</v>
      </c>
      <c r="D63" s="124" t="s">
        <v>775</v>
      </c>
      <c r="E63" s="124">
        <v>-1196.06</v>
      </c>
    </row>
    <row r="64" spans="1:5">
      <c r="A64" s="100">
        <v>45187</v>
      </c>
      <c r="B64" s="106" t="s">
        <v>566</v>
      </c>
      <c r="C64" s="124">
        <v>7648.33</v>
      </c>
      <c r="D64" s="124" t="s">
        <v>776</v>
      </c>
      <c r="E64" s="124">
        <v>-849.81</v>
      </c>
    </row>
    <row r="65" spans="1:5">
      <c r="A65" s="100">
        <v>45187</v>
      </c>
      <c r="B65" s="106" t="s">
        <v>681</v>
      </c>
      <c r="C65" s="124">
        <v>11128</v>
      </c>
      <c r="D65" s="124" t="s">
        <v>519</v>
      </c>
      <c r="E65" s="124">
        <v>-1854.67</v>
      </c>
    </row>
    <row r="66" spans="1:5">
      <c r="A66" s="160">
        <v>44995</v>
      </c>
      <c r="B66" s="8" t="s">
        <v>777</v>
      </c>
      <c r="C66" s="124">
        <v>613.91</v>
      </c>
      <c r="D66" s="124" t="s">
        <v>778</v>
      </c>
      <c r="E66" s="124">
        <v>-61.4</v>
      </c>
    </row>
    <row r="67" spans="1:5">
      <c r="D67" s="124" t="s">
        <v>84</v>
      </c>
    </row>
    <row r="69" spans="1:5">
      <c r="A69" s="100"/>
      <c r="B69" s="106"/>
    </row>
    <row r="70" spans="1:5">
      <c r="A70" s="100"/>
      <c r="B70" s="106"/>
    </row>
    <row r="71" spans="1:5">
      <c r="A71" s="100"/>
      <c r="B71" s="107"/>
    </row>
    <row r="72" spans="1:5">
      <c r="A72" s="100"/>
      <c r="B72" s="107"/>
    </row>
    <row r="73" spans="1:5">
      <c r="A73" s="100"/>
      <c r="B73" s="107"/>
    </row>
    <row r="74" spans="1:5">
      <c r="A74" s="100"/>
      <c r="B74" s="107"/>
    </row>
    <row r="75" spans="1:5">
      <c r="A75" s="100"/>
      <c r="B75" s="3"/>
    </row>
    <row r="76" spans="1:5">
      <c r="A76" s="100"/>
      <c r="B76" s="106"/>
    </row>
    <row r="77" spans="1:5">
      <c r="A77" s="103"/>
      <c r="B77" s="104" t="s">
        <v>85</v>
      </c>
      <c r="E77" s="124">
        <f>SUM(E78:E112)</f>
        <v>-12474.550000000001</v>
      </c>
    </row>
    <row r="78" spans="1:5">
      <c r="A78" s="100"/>
      <c r="B78" s="106"/>
    </row>
    <row r="79" spans="1:5">
      <c r="A79" s="100">
        <v>45187</v>
      </c>
      <c r="B79" s="106" t="s">
        <v>688</v>
      </c>
      <c r="D79" s="124" t="s">
        <v>779</v>
      </c>
      <c r="E79" s="124">
        <v>-3974.44</v>
      </c>
    </row>
    <row r="80" spans="1:5">
      <c r="A80" s="165">
        <v>45214</v>
      </c>
      <c r="B80" s="8" t="s">
        <v>661</v>
      </c>
      <c r="D80" s="124" t="s">
        <v>663</v>
      </c>
      <c r="E80" s="124">
        <v>-600</v>
      </c>
    </row>
    <row r="81" spans="1:5">
      <c r="A81" s="100"/>
      <c r="B81" s="3"/>
    </row>
    <row r="82" spans="1:5">
      <c r="A82" s="165">
        <v>45259</v>
      </c>
      <c r="B82" s="8" t="s">
        <v>692</v>
      </c>
      <c r="C82" s="124">
        <v>-1204.5</v>
      </c>
      <c r="D82" s="124" t="s">
        <v>780</v>
      </c>
      <c r="E82" s="124">
        <v>-401.5</v>
      </c>
    </row>
    <row r="83" spans="1:5">
      <c r="A83" s="165">
        <v>45259</v>
      </c>
      <c r="B83" s="8" t="s">
        <v>694</v>
      </c>
      <c r="C83" s="124">
        <v>-148.6</v>
      </c>
      <c r="D83" s="124" t="s">
        <v>780</v>
      </c>
      <c r="E83" s="124">
        <v>-49.53</v>
      </c>
    </row>
    <row r="84" spans="1:5">
      <c r="A84" s="165">
        <v>45259</v>
      </c>
      <c r="B84" s="8" t="s">
        <v>695</v>
      </c>
      <c r="C84" s="124">
        <v>-244.8</v>
      </c>
      <c r="D84" s="124" t="s">
        <v>780</v>
      </c>
      <c r="E84" s="124">
        <v>-81.599999999999994</v>
      </c>
    </row>
    <row r="85" spans="1:5">
      <c r="A85" s="165">
        <v>45259</v>
      </c>
      <c r="B85" s="8" t="s">
        <v>696</v>
      </c>
      <c r="C85" s="124">
        <v>-532.6</v>
      </c>
      <c r="D85" s="124" t="s">
        <v>780</v>
      </c>
      <c r="E85" s="124">
        <v>-177.53</v>
      </c>
    </row>
    <row r="86" spans="1:5">
      <c r="A86" s="165">
        <v>45285</v>
      </c>
      <c r="B86" s="106" t="s">
        <v>526</v>
      </c>
    </row>
    <row r="87" spans="1:5">
      <c r="A87" s="100"/>
      <c r="B87" s="3" t="s">
        <v>539</v>
      </c>
      <c r="C87" s="124">
        <v>109.92</v>
      </c>
    </row>
    <row r="88" spans="1:5">
      <c r="A88" s="100">
        <v>45283</v>
      </c>
      <c r="B88" s="3" t="s">
        <v>546</v>
      </c>
      <c r="E88" s="124">
        <v>-90</v>
      </c>
    </row>
    <row r="89" spans="1:5">
      <c r="A89" s="100">
        <v>45283</v>
      </c>
      <c r="B89" s="3" t="s">
        <v>135</v>
      </c>
      <c r="C89" s="124">
        <f>E89</f>
        <v>-105.12</v>
      </c>
      <c r="E89" s="124">
        <v>-105.12</v>
      </c>
    </row>
    <row r="90" spans="1:5">
      <c r="A90" s="100">
        <v>45282</v>
      </c>
      <c r="B90" s="3" t="s">
        <v>135</v>
      </c>
      <c r="C90" s="124">
        <f>E90</f>
        <v>-58.63</v>
      </c>
      <c r="E90" s="124">
        <v>-58.63</v>
      </c>
    </row>
    <row r="91" spans="1:5">
      <c r="A91" s="100">
        <v>45281</v>
      </c>
      <c r="B91" s="3" t="s">
        <v>546</v>
      </c>
      <c r="E91" s="124">
        <v>-110</v>
      </c>
    </row>
    <row r="92" spans="1:5">
      <c r="A92" s="100">
        <v>45281</v>
      </c>
      <c r="B92" s="3" t="s">
        <v>135</v>
      </c>
      <c r="C92" s="124">
        <f>E92</f>
        <v>-70</v>
      </c>
      <c r="E92" s="124">
        <v>-70</v>
      </c>
    </row>
    <row r="93" spans="1:5">
      <c r="A93" s="100">
        <v>45281</v>
      </c>
      <c r="B93" s="3" t="s">
        <v>135</v>
      </c>
      <c r="C93" s="124">
        <f>E93</f>
        <v>-76.66</v>
      </c>
      <c r="E93" s="124">
        <v>-76.66</v>
      </c>
    </row>
    <row r="94" spans="1:5">
      <c r="A94" s="100">
        <v>45279</v>
      </c>
      <c r="B94" s="3" t="s">
        <v>781</v>
      </c>
      <c r="E94" s="124">
        <v>-260</v>
      </c>
    </row>
    <row r="95" spans="1:5">
      <c r="A95" s="100">
        <v>45278</v>
      </c>
      <c r="B95" s="3" t="s">
        <v>135</v>
      </c>
      <c r="C95" s="124">
        <f>E95</f>
        <v>-370</v>
      </c>
      <c r="E95" s="124">
        <v>-370</v>
      </c>
    </row>
    <row r="96" spans="1:5">
      <c r="A96" s="100">
        <v>45276</v>
      </c>
      <c r="B96" s="3" t="s">
        <v>782</v>
      </c>
      <c r="E96" s="124">
        <v>-300</v>
      </c>
    </row>
    <row r="97" spans="1:5">
      <c r="A97" s="100">
        <v>45276</v>
      </c>
      <c r="B97" s="3" t="s">
        <v>135</v>
      </c>
      <c r="C97" s="124">
        <f>E97</f>
        <v>-250</v>
      </c>
      <c r="E97" s="124">
        <v>-250</v>
      </c>
    </row>
    <row r="98" spans="1:5">
      <c r="A98" s="100">
        <v>45275</v>
      </c>
      <c r="B98" s="3" t="s">
        <v>783</v>
      </c>
      <c r="E98" s="124">
        <v>-470</v>
      </c>
    </row>
    <row r="99" spans="1:5">
      <c r="A99" s="100">
        <v>45275</v>
      </c>
      <c r="B99" s="3" t="s">
        <v>784</v>
      </c>
      <c r="E99" s="124">
        <v>-285</v>
      </c>
    </row>
    <row r="100" spans="1:5">
      <c r="A100" s="100">
        <v>45274</v>
      </c>
      <c r="B100" s="3" t="s">
        <v>135</v>
      </c>
      <c r="C100" s="124">
        <f>E100</f>
        <v>-150</v>
      </c>
      <c r="E100" s="124">
        <v>-150</v>
      </c>
    </row>
    <row r="101" spans="1:5">
      <c r="A101" s="100">
        <v>45272</v>
      </c>
      <c r="B101" s="3" t="s">
        <v>785</v>
      </c>
      <c r="E101" s="124">
        <v>-1108.1500000000001</v>
      </c>
    </row>
    <row r="102" spans="1:5">
      <c r="A102" s="100">
        <v>45271</v>
      </c>
      <c r="B102" s="3" t="s">
        <v>135</v>
      </c>
      <c r="C102" s="124">
        <f>E102</f>
        <v>-150</v>
      </c>
      <c r="E102" s="124">
        <v>-150</v>
      </c>
    </row>
    <row r="103" spans="1:5">
      <c r="A103" s="100">
        <v>45270</v>
      </c>
      <c r="B103" s="3" t="s">
        <v>133</v>
      </c>
      <c r="E103" s="124">
        <v>-1551.29</v>
      </c>
    </row>
    <row r="104" spans="1:5">
      <c r="A104" s="100">
        <v>45270</v>
      </c>
      <c r="B104" s="3" t="s">
        <v>786</v>
      </c>
      <c r="E104" s="124">
        <v>-315.10000000000002</v>
      </c>
    </row>
    <row r="105" spans="1:5">
      <c r="A105" s="100">
        <v>45267</v>
      </c>
      <c r="B105" s="3" t="s">
        <v>546</v>
      </c>
      <c r="E105" s="124">
        <v>-300</v>
      </c>
    </row>
    <row r="106" spans="1:5">
      <c r="A106" s="100">
        <v>45266</v>
      </c>
      <c r="B106" s="3" t="s">
        <v>135</v>
      </c>
      <c r="C106" s="124">
        <f>E106</f>
        <v>-200</v>
      </c>
      <c r="E106" s="124">
        <v>-200</v>
      </c>
    </row>
    <row r="107" spans="1:5">
      <c r="A107" s="100">
        <v>45265</v>
      </c>
      <c r="B107" s="3" t="s">
        <v>135</v>
      </c>
      <c r="C107" s="124">
        <f>E107</f>
        <v>-200</v>
      </c>
      <c r="E107" s="124">
        <v>-200</v>
      </c>
    </row>
    <row r="108" spans="1:5">
      <c r="A108" s="100">
        <v>45264</v>
      </c>
      <c r="B108" s="3" t="s">
        <v>130</v>
      </c>
      <c r="D108" s="124">
        <v>11990.16</v>
      </c>
    </row>
    <row r="109" spans="1:5">
      <c r="A109" s="100">
        <v>45260</v>
      </c>
      <c r="B109" s="3" t="s">
        <v>135</v>
      </c>
      <c r="C109" s="124">
        <f>E109</f>
        <v>-200</v>
      </c>
      <c r="E109" s="124">
        <v>-200</v>
      </c>
    </row>
    <row r="110" spans="1:5">
      <c r="A110" s="165">
        <v>45257</v>
      </c>
      <c r="B110" s="3" t="s">
        <v>135</v>
      </c>
      <c r="C110" s="124">
        <f>E110</f>
        <v>-250</v>
      </c>
      <c r="E110" s="124">
        <v>-250</v>
      </c>
    </row>
    <row r="111" spans="1:5">
      <c r="A111" s="165">
        <v>45255</v>
      </c>
      <c r="B111" s="3" t="s">
        <v>135</v>
      </c>
      <c r="C111" s="124">
        <f>E111</f>
        <v>-160</v>
      </c>
      <c r="E111" s="124">
        <v>-160</v>
      </c>
    </row>
    <row r="112" spans="1:5">
      <c r="A112" s="165">
        <v>45254</v>
      </c>
      <c r="B112" s="3" t="s">
        <v>135</v>
      </c>
      <c r="C112" s="124">
        <f>E112</f>
        <v>-160</v>
      </c>
      <c r="E112" s="124">
        <v>-160</v>
      </c>
    </row>
    <row r="113" spans="1:5">
      <c r="D113" s="124" t="s">
        <v>84</v>
      </c>
    </row>
    <row r="114" spans="1:5">
      <c r="B114" s="18" t="s">
        <v>423</v>
      </c>
      <c r="C114" s="124">
        <f>SUM(C89:C113)</f>
        <v>-2400.41</v>
      </c>
    </row>
    <row r="118" spans="1:5">
      <c r="A118" s="113" t="s">
        <v>787</v>
      </c>
      <c r="B118" s="104" t="s">
        <v>137</v>
      </c>
      <c r="C118" s="103">
        <v>2023</v>
      </c>
      <c r="D118" s="158"/>
      <c r="E118" s="159">
        <f>SUM(E119:E135)</f>
        <v>813151.51</v>
      </c>
    </row>
    <row r="119" spans="1:5">
      <c r="A119" s="160">
        <v>45322</v>
      </c>
      <c r="B119" s="8" t="s">
        <v>77</v>
      </c>
      <c r="C119" s="2"/>
      <c r="D119" s="2"/>
      <c r="E119" s="17">
        <v>64000</v>
      </c>
    </row>
    <row r="120" spans="1:5">
      <c r="A120" s="160">
        <f>A119</f>
        <v>45322</v>
      </c>
      <c r="B120" s="8" t="s">
        <v>788</v>
      </c>
      <c r="C120" s="2"/>
      <c r="D120" s="2"/>
      <c r="E120" s="17">
        <v>210345.5</v>
      </c>
    </row>
    <row r="121" spans="1:5">
      <c r="A121" s="160">
        <f>A120</f>
        <v>45322</v>
      </c>
      <c r="B121" s="8" t="s">
        <v>305</v>
      </c>
      <c r="C121" s="2"/>
      <c r="D121" s="2"/>
      <c r="E121" s="17">
        <v>7564.7</v>
      </c>
    </row>
    <row r="122" spans="1:5">
      <c r="A122" s="160">
        <f>A121</f>
        <v>45322</v>
      </c>
      <c r="B122" s="8" t="s">
        <v>306</v>
      </c>
      <c r="C122" s="2"/>
      <c r="D122" s="2"/>
      <c r="E122" s="17">
        <v>122.31</v>
      </c>
    </row>
    <row r="123" spans="1:5">
      <c r="A123" s="160">
        <f>A122</f>
        <v>45322</v>
      </c>
      <c r="B123" s="8" t="s">
        <v>503</v>
      </c>
      <c r="C123" s="2"/>
      <c r="D123" s="2"/>
      <c r="E123" s="17">
        <v>10000</v>
      </c>
    </row>
    <row r="124" spans="1:5">
      <c r="A124" s="160">
        <f>A123</f>
        <v>45322</v>
      </c>
      <c r="B124" s="8" t="s">
        <v>307</v>
      </c>
      <c r="D124" s="2"/>
      <c r="E124" s="17">
        <v>0</v>
      </c>
    </row>
    <row r="125" spans="1:5">
      <c r="A125" s="160">
        <v>45327</v>
      </c>
      <c r="B125" s="8" t="s">
        <v>241</v>
      </c>
      <c r="C125" s="2" t="s">
        <v>789</v>
      </c>
      <c r="D125" s="2"/>
      <c r="E125" s="17">
        <v>132120.79</v>
      </c>
    </row>
    <row r="126" spans="1:5">
      <c r="A126" s="160">
        <f>A125</f>
        <v>45327</v>
      </c>
      <c r="B126" s="8" t="s">
        <v>790</v>
      </c>
      <c r="C126" s="2"/>
      <c r="D126" s="2"/>
      <c r="E126" s="17">
        <v>0</v>
      </c>
    </row>
    <row r="127" spans="1:5">
      <c r="A127" s="160">
        <v>45327</v>
      </c>
      <c r="B127" s="8" t="s">
        <v>791</v>
      </c>
      <c r="C127" s="160">
        <v>45327</v>
      </c>
      <c r="D127" s="161">
        <v>21.7</v>
      </c>
      <c r="E127" s="17">
        <v>513.5</v>
      </c>
    </row>
    <row r="128" spans="1:5">
      <c r="A128" s="160">
        <f>A127</f>
        <v>45327</v>
      </c>
      <c r="B128" s="8" t="s">
        <v>792</v>
      </c>
      <c r="C128" s="160">
        <v>45327</v>
      </c>
      <c r="D128" s="161">
        <v>539.29</v>
      </c>
      <c r="E128" s="17">
        <v>5448.3</v>
      </c>
    </row>
    <row r="129" spans="1:5">
      <c r="A129" s="160">
        <v>45327</v>
      </c>
      <c r="B129" s="8" t="s">
        <v>141</v>
      </c>
      <c r="C129" s="2"/>
      <c r="D129" s="2"/>
      <c r="E129" s="17">
        <v>500</v>
      </c>
    </row>
    <row r="130" spans="1:5">
      <c r="A130" s="160">
        <v>45327</v>
      </c>
      <c r="B130" s="8" t="s">
        <v>793</v>
      </c>
      <c r="C130" s="2">
        <v>1959.94</v>
      </c>
      <c r="D130" s="2">
        <v>161</v>
      </c>
      <c r="E130" s="17">
        <f>D130*C130</f>
        <v>315550.34000000003</v>
      </c>
    </row>
    <row r="131" spans="1:5">
      <c r="A131" s="160">
        <f>A130</f>
        <v>45327</v>
      </c>
      <c r="B131" s="8" t="s">
        <v>794</v>
      </c>
      <c r="C131" s="162">
        <v>30.452000000000002</v>
      </c>
      <c r="D131" s="2">
        <v>850</v>
      </c>
      <c r="E131" s="17">
        <f>D131*C131</f>
        <v>25884.2</v>
      </c>
    </row>
    <row r="132" spans="1:5">
      <c r="A132" s="160">
        <f>A131</f>
        <v>45327</v>
      </c>
      <c r="B132" s="8" t="s">
        <v>510</v>
      </c>
      <c r="C132" s="162">
        <v>30.452000000000002</v>
      </c>
      <c r="D132" s="2">
        <v>250</v>
      </c>
      <c r="E132" s="17">
        <f>D132*C132</f>
        <v>7613</v>
      </c>
    </row>
    <row r="133" spans="1:5">
      <c r="A133" s="160">
        <f>A131</f>
        <v>45327</v>
      </c>
      <c r="B133" s="8" t="s">
        <v>795</v>
      </c>
      <c r="C133" s="162">
        <v>32.3887</v>
      </c>
      <c r="D133" s="2">
        <v>100</v>
      </c>
      <c r="E133" s="17">
        <f>D133*C133</f>
        <v>3238.87</v>
      </c>
    </row>
    <row r="134" spans="1:5">
      <c r="A134" s="160">
        <f>A133</f>
        <v>45327</v>
      </c>
      <c r="B134" s="8" t="s">
        <v>153</v>
      </c>
      <c r="C134" s="2"/>
      <c r="D134" s="2"/>
      <c r="E134" s="17">
        <v>30000</v>
      </c>
    </row>
    <row r="135" spans="1:5">
      <c r="A135" s="160">
        <f>A134</f>
        <v>45327</v>
      </c>
      <c r="B135" s="8" t="s">
        <v>154</v>
      </c>
      <c r="C135" s="2"/>
      <c r="D135" s="2"/>
      <c r="E135" s="17">
        <v>250</v>
      </c>
    </row>
    <row r="136" spans="1:5">
      <c r="C136" s="125" t="str">
        <f>A118</f>
        <v>OCAK</v>
      </c>
      <c r="D136" s="126" t="s">
        <v>157</v>
      </c>
      <c r="E136" s="127">
        <f>H2</f>
        <v>128534.37000000002</v>
      </c>
    </row>
    <row r="137" spans="1:5">
      <c r="D137" s="3"/>
    </row>
    <row r="138" spans="1:5">
      <c r="D138" s="18" t="s">
        <v>156</v>
      </c>
      <c r="E138" s="9">
        <f>SUM(E119:E135)</f>
        <v>813151.51</v>
      </c>
    </row>
    <row r="140" spans="1:5">
      <c r="B140" t="s">
        <v>796</v>
      </c>
    </row>
    <row r="141" spans="1:5">
      <c r="A141" s="88">
        <v>45317</v>
      </c>
      <c r="B141" s="8" t="s">
        <v>797</v>
      </c>
      <c r="C141" s="124">
        <v>12500</v>
      </c>
      <c r="D141" s="124" t="s">
        <v>798</v>
      </c>
      <c r="E141" s="124">
        <v>10000</v>
      </c>
    </row>
    <row r="142" spans="1:5">
      <c r="B142" t="s">
        <v>797</v>
      </c>
      <c r="C142" s="124">
        <v>13400</v>
      </c>
      <c r="D142" s="124" t="s">
        <v>141</v>
      </c>
      <c r="E142" s="124">
        <v>25000</v>
      </c>
    </row>
    <row r="143" spans="1:5">
      <c r="B143" t="s">
        <v>797</v>
      </c>
      <c r="C143" s="124">
        <v>13700</v>
      </c>
      <c r="D143" s="124" t="s">
        <v>799</v>
      </c>
      <c r="E143" s="124">
        <v>10400</v>
      </c>
    </row>
    <row r="144" spans="1:5">
      <c r="B144" t="s">
        <v>797</v>
      </c>
      <c r="C144" s="124">
        <v>5800</v>
      </c>
      <c r="D144" s="124">
        <f>SUM(C141:C144)</f>
        <v>45400</v>
      </c>
      <c r="E144" s="124">
        <f>SUM(E141:E143)</f>
        <v>45400</v>
      </c>
    </row>
    <row r="146" spans="2:4">
      <c r="B146" t="s">
        <v>800</v>
      </c>
      <c r="C146" s="124">
        <v>14400</v>
      </c>
    </row>
    <row r="147" spans="2:4">
      <c r="B147" t="s">
        <v>801</v>
      </c>
      <c r="C147" s="124">
        <v>2800</v>
      </c>
      <c r="D147" s="124">
        <f>SUM(C146:C147)</f>
        <v>17200</v>
      </c>
    </row>
    <row r="148" spans="2:4">
      <c r="B148" t="s">
        <v>802</v>
      </c>
      <c r="C148" s="124">
        <v>200</v>
      </c>
    </row>
    <row r="149" spans="2:4">
      <c r="C149" s="124">
        <f>SUM(C141:C148)</f>
        <v>62800</v>
      </c>
      <c r="D149" s="124">
        <f>SUM(D141:D148)</f>
        <v>62600</v>
      </c>
    </row>
  </sheetData>
  <pageMargins left="0" right="0" top="0.39374999999999999" bottom="0.39374999999999999" header="0" footer="0"/>
  <pageSetup paperSize="9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468A1A"/>
  </sheetPr>
  <dimension ref="A1:N35"/>
  <sheetViews>
    <sheetView zoomScale="170" zoomScaleNormal="170" workbookViewId="0">
      <selection activeCell="J14" sqref="J14"/>
    </sheetView>
  </sheetViews>
  <sheetFormatPr defaultColWidth="8.5703125" defaultRowHeight="12.75"/>
  <cols>
    <col min="1" max="1" width="7.28515625" customWidth="1"/>
    <col min="2" max="2" width="12.7109375" customWidth="1"/>
    <col min="3" max="3" width="16.85546875" customWidth="1"/>
    <col min="4" max="4" width="27.42578125" customWidth="1"/>
    <col min="5" max="5" width="12.7109375" customWidth="1"/>
    <col min="6" max="6" width="15.140625" customWidth="1"/>
    <col min="7" max="7" width="14.85546875" customWidth="1"/>
    <col min="8" max="8" width="0.85546875" customWidth="1"/>
    <col min="9" max="9" width="5.42578125" customWidth="1"/>
    <col min="10" max="10" width="7" customWidth="1"/>
    <col min="11" max="13" width="6.5703125" style="2" customWidth="1"/>
    <col min="14" max="14" width="7.140625" style="78" customWidth="1"/>
    <col min="15" max="15" width="9.140625" customWidth="1"/>
  </cols>
  <sheetData>
    <row r="1" spans="1:14" ht="15.75">
      <c r="A1" s="19"/>
      <c r="B1" s="20"/>
      <c r="C1" s="21" t="s">
        <v>23</v>
      </c>
      <c r="D1" s="22"/>
      <c r="E1" s="23"/>
      <c r="F1" s="21" t="s">
        <v>24</v>
      </c>
      <c r="G1" s="22"/>
      <c r="H1" s="24"/>
      <c r="I1" s="25"/>
      <c r="J1" s="26"/>
      <c r="K1" s="208">
        <v>0.23538400000000001</v>
      </c>
      <c r="L1" s="209">
        <f>1-K1</f>
        <v>0.76461599999999996</v>
      </c>
      <c r="M1" s="210"/>
      <c r="N1" s="78" t="s">
        <v>27</v>
      </c>
    </row>
    <row r="2" spans="1:14" ht="15.75">
      <c r="A2" s="19">
        <v>-2022</v>
      </c>
      <c r="B2" s="23" t="s">
        <v>28</v>
      </c>
      <c r="C2" s="28" t="s">
        <v>29</v>
      </c>
      <c r="D2" s="22" t="s">
        <v>30</v>
      </c>
      <c r="E2" s="23" t="s">
        <v>28</v>
      </c>
      <c r="F2" s="28" t="s">
        <v>29</v>
      </c>
      <c r="G2" s="22" t="s">
        <v>3</v>
      </c>
      <c r="H2" s="24"/>
      <c r="I2" s="25"/>
      <c r="J2" s="26" t="s">
        <v>31</v>
      </c>
      <c r="K2" s="211" t="s">
        <v>803</v>
      </c>
      <c r="L2" s="212" t="s">
        <v>804</v>
      </c>
      <c r="M2" s="31" t="s">
        <v>32</v>
      </c>
      <c r="N2" s="78">
        <f>F26/1000</f>
        <v>356.02226999999999</v>
      </c>
    </row>
    <row r="3" spans="1:14">
      <c r="A3" t="s">
        <v>33</v>
      </c>
      <c r="B3" s="213">
        <f>'01_23'!D2</f>
        <v>13261</v>
      </c>
      <c r="C3" s="214">
        <f>'01_23'!E2</f>
        <v>-22808.309999999998</v>
      </c>
      <c r="D3" s="215">
        <f>B3+C3</f>
        <v>-9547.3099999999977</v>
      </c>
      <c r="E3" s="213">
        <f>'01_23'!F2</f>
        <v>8049.2</v>
      </c>
      <c r="F3" s="214">
        <f>'01_23'!G2</f>
        <v>-23047.62</v>
      </c>
      <c r="G3" s="216">
        <f>E3+F3</f>
        <v>-14998.419999999998</v>
      </c>
      <c r="H3" s="34"/>
      <c r="I3" s="35" t="s">
        <v>34</v>
      </c>
      <c r="J3">
        <v>78</v>
      </c>
      <c r="K3" s="217"/>
      <c r="L3" s="37"/>
      <c r="M3" s="38">
        <f>J3</f>
        <v>78</v>
      </c>
      <c r="N3" s="78">
        <f>'01_23'!E111/1000</f>
        <v>356.02226999999999</v>
      </c>
    </row>
    <row r="4" spans="1:14">
      <c r="A4" t="s">
        <v>35</v>
      </c>
      <c r="B4" s="213">
        <f>'02_23'!D2</f>
        <v>15761</v>
      </c>
      <c r="C4" s="214">
        <f>'02_23'!E2</f>
        <v>-56286.92</v>
      </c>
      <c r="D4" s="215">
        <f t="shared" ref="D4:D14" si="0">B4+C4+D3</f>
        <v>-50073.229999999996</v>
      </c>
      <c r="E4" s="213">
        <f>'02_23'!F2</f>
        <v>26990.010000000002</v>
      </c>
      <c r="F4" s="214">
        <f>'02_23'!G2</f>
        <v>-77441.489999999991</v>
      </c>
      <c r="G4" s="216">
        <f t="shared" ref="G4:G14" si="1">E4+F4+G3</f>
        <v>-65449.899999999987</v>
      </c>
      <c r="H4" s="34"/>
      <c r="I4" s="35" t="s">
        <v>36</v>
      </c>
      <c r="J4">
        <v>83.16</v>
      </c>
      <c r="K4" s="217">
        <f>J4*$K$1</f>
        <v>19.57453344</v>
      </c>
      <c r="L4" s="40">
        <f>J4-K4</f>
        <v>63.58546656</v>
      </c>
      <c r="M4" s="38"/>
      <c r="N4" s="78">
        <f>'02_23'!E111/1000</f>
        <v>335.74799999999999</v>
      </c>
    </row>
    <row r="5" spans="1:14">
      <c r="A5" t="s">
        <v>37</v>
      </c>
      <c r="B5" s="213">
        <f>'03_23'!D2</f>
        <v>88189</v>
      </c>
      <c r="C5" s="214">
        <f>'03_23'!E2</f>
        <v>-24634.690000000002</v>
      </c>
      <c r="D5" s="215">
        <f t="shared" si="0"/>
        <v>13481.080000000002</v>
      </c>
      <c r="E5" s="213">
        <f>'03_23'!F2</f>
        <v>23139.34</v>
      </c>
      <c r="F5" s="214">
        <f>'03_23'!G2</f>
        <v>-33283.54</v>
      </c>
      <c r="G5" s="216">
        <f t="shared" si="1"/>
        <v>-75594.099999999991</v>
      </c>
      <c r="H5" s="34"/>
      <c r="I5" s="35" t="s">
        <v>38</v>
      </c>
      <c r="J5">
        <v>33</v>
      </c>
      <c r="K5" s="217"/>
      <c r="L5" s="37"/>
      <c r="M5" s="38">
        <v>33</v>
      </c>
      <c r="N5" s="78">
        <f>'03_23'!E111/1000</f>
        <v>310.9323</v>
      </c>
    </row>
    <row r="6" spans="1:14">
      <c r="A6" t="s">
        <v>39</v>
      </c>
      <c r="B6" s="213">
        <f>'04_23'!D2</f>
        <v>20911</v>
      </c>
      <c r="C6" s="214">
        <f>'04_23'!E2</f>
        <v>-54277.093000000001</v>
      </c>
      <c r="D6" s="215">
        <f t="shared" si="0"/>
        <v>-19885.012999999999</v>
      </c>
      <c r="E6" s="213">
        <f>'04_23'!F2</f>
        <v>72630</v>
      </c>
      <c r="F6" s="214">
        <f>'04_23'!G2</f>
        <v>-58332.79</v>
      </c>
      <c r="G6" s="216">
        <f t="shared" si="1"/>
        <v>-61296.889999999992</v>
      </c>
      <c r="H6" s="34"/>
      <c r="I6" s="41" t="s">
        <v>40</v>
      </c>
      <c r="K6" s="218"/>
      <c r="L6" s="37"/>
      <c r="M6" s="42">
        <f>E18/1000</f>
        <v>39.208550000000002</v>
      </c>
      <c r="N6" s="78">
        <f>'04_23'!E111/1000</f>
        <v>367.48341000000005</v>
      </c>
    </row>
    <row r="7" spans="1:14">
      <c r="A7" t="s">
        <v>41</v>
      </c>
      <c r="B7" s="213">
        <f>'05_23'!D2</f>
        <v>17911</v>
      </c>
      <c r="C7" s="214">
        <f>'05_23'!E2</f>
        <v>-20977.52</v>
      </c>
      <c r="D7" s="215">
        <f t="shared" si="0"/>
        <v>-22951.532999999999</v>
      </c>
      <c r="E7" s="213">
        <f>'05_23'!F2</f>
        <v>19800</v>
      </c>
      <c r="F7" s="214">
        <f>'05_23'!G2</f>
        <v>-25248.52</v>
      </c>
      <c r="G7" s="216">
        <f t="shared" si="1"/>
        <v>-66745.409999999989</v>
      </c>
      <c r="H7" s="34"/>
      <c r="I7" s="41" t="s">
        <v>42</v>
      </c>
      <c r="K7" s="217"/>
      <c r="L7" s="40"/>
      <c r="M7" s="42">
        <f>(E19+E20)/1000</f>
        <v>51.93253</v>
      </c>
      <c r="N7" s="78">
        <f>'05_23'!E111/1000</f>
        <v>358.02833999999996</v>
      </c>
    </row>
    <row r="8" spans="1:14">
      <c r="A8" t="s">
        <v>43</v>
      </c>
      <c r="B8" s="213">
        <f>'06_23'!D2</f>
        <v>28744</v>
      </c>
      <c r="C8" s="214">
        <f>'06_23'!E2</f>
        <v>-26572.629999999997</v>
      </c>
      <c r="D8" s="215">
        <f t="shared" si="0"/>
        <v>-20780.162999999997</v>
      </c>
      <c r="E8" s="213">
        <f>'06_23'!F2</f>
        <v>33133</v>
      </c>
      <c r="F8" s="214">
        <f>'06_23'!G2</f>
        <v>-28830.22</v>
      </c>
      <c r="G8" s="216">
        <f t="shared" si="1"/>
        <v>-62442.62999999999</v>
      </c>
      <c r="H8" s="34"/>
      <c r="I8" s="35" t="s">
        <v>44</v>
      </c>
      <c r="J8">
        <v>150</v>
      </c>
      <c r="K8" s="217"/>
      <c r="L8" s="40"/>
      <c r="M8" s="38">
        <f>J8/4</f>
        <v>37.5</v>
      </c>
      <c r="N8" s="78">
        <f>'06_23'!E111/1000</f>
        <v>377.42543000000001</v>
      </c>
    </row>
    <row r="9" spans="1:14">
      <c r="A9" t="s">
        <v>45</v>
      </c>
      <c r="B9" s="213">
        <f>'07_23'!D2</f>
        <v>67911</v>
      </c>
      <c r="C9" s="214">
        <f>'07_23'!E2</f>
        <v>-35277.64</v>
      </c>
      <c r="D9" s="215">
        <f t="shared" si="0"/>
        <v>11853.197000000004</v>
      </c>
      <c r="E9" s="213">
        <f>'07_23'!F2</f>
        <v>70250</v>
      </c>
      <c r="F9" s="214">
        <f>'07_23'!G2</f>
        <v>-42110.31</v>
      </c>
      <c r="G9" s="216">
        <f t="shared" si="1"/>
        <v>-34302.939999999988</v>
      </c>
      <c r="H9" s="34"/>
      <c r="I9" s="35" t="s">
        <v>46</v>
      </c>
      <c r="J9">
        <v>96</v>
      </c>
      <c r="K9" s="217">
        <f>J9*$K$1</f>
        <v>22.596864</v>
      </c>
      <c r="L9" s="40">
        <f>J9-K9</f>
        <v>73.403136000000003</v>
      </c>
      <c r="M9" s="43"/>
      <c r="N9" s="78">
        <f>'07_23'!E111/1000</f>
        <v>433.28658999999999</v>
      </c>
    </row>
    <row r="10" spans="1:14">
      <c r="A10" t="s">
        <v>47</v>
      </c>
      <c r="B10" s="213">
        <f>'08_23'!D2</f>
        <v>87911</v>
      </c>
      <c r="C10" s="214">
        <f>'08_23'!E2</f>
        <v>-32079.01</v>
      </c>
      <c r="D10" s="215">
        <f t="shared" si="0"/>
        <v>67685.187000000005</v>
      </c>
      <c r="E10" s="213">
        <f>'08_23'!F2</f>
        <v>16800</v>
      </c>
      <c r="F10" s="214">
        <f>'08_23'!G2</f>
        <v>-37135.350000000006</v>
      </c>
      <c r="G10" s="216">
        <f t="shared" si="1"/>
        <v>-54638.289999999994</v>
      </c>
      <c r="H10" s="34"/>
      <c r="I10" s="35" t="s">
        <v>48</v>
      </c>
      <c r="J10">
        <v>100</v>
      </c>
      <c r="K10" s="217"/>
      <c r="L10" s="40"/>
      <c r="M10" s="38">
        <v>10</v>
      </c>
      <c r="N10" s="78">
        <f>'08_23'!E111/1000</f>
        <v>399.80056999999999</v>
      </c>
    </row>
    <row r="11" spans="1:14">
      <c r="A11" t="s">
        <v>49</v>
      </c>
      <c r="B11" s="213">
        <f>'09_23'!D2</f>
        <v>133300</v>
      </c>
      <c r="C11" s="214">
        <f>'09_23'!E2</f>
        <v>-31871.02</v>
      </c>
      <c r="D11" s="215">
        <f t="shared" si="0"/>
        <v>169114.16700000002</v>
      </c>
      <c r="E11" s="213">
        <f>'09_23'!F2</f>
        <v>257800</v>
      </c>
      <c r="F11" s="214">
        <f>'09_23'!G2</f>
        <v>-34914.910000000003</v>
      </c>
      <c r="G11" s="216">
        <f t="shared" si="1"/>
        <v>168246.8</v>
      </c>
      <c r="H11" s="34"/>
      <c r="I11" s="35" t="s">
        <v>50</v>
      </c>
      <c r="J11">
        <v>96</v>
      </c>
      <c r="K11" s="217">
        <f>J11*$K$1</f>
        <v>22.596864</v>
      </c>
      <c r="L11" s="40">
        <f>J11-K11</f>
        <v>73.403136000000003</v>
      </c>
      <c r="M11" s="38"/>
      <c r="N11" s="78">
        <f>'09_23'!E111/1000</f>
        <v>604.37009999999998</v>
      </c>
    </row>
    <row r="12" spans="1:14">
      <c r="A12" t="s">
        <v>51</v>
      </c>
      <c r="B12" s="213">
        <f>'10_23'!D2</f>
        <v>32800</v>
      </c>
      <c r="C12" s="214">
        <f>'10_23'!E2</f>
        <v>-44478.170000000006</v>
      </c>
      <c r="D12" s="215">
        <f t="shared" si="0"/>
        <v>157435.997</v>
      </c>
      <c r="E12" s="213">
        <f>'10_23'!F2</f>
        <v>23200</v>
      </c>
      <c r="F12" s="214">
        <f>'10_23'!G2</f>
        <v>-43968.17</v>
      </c>
      <c r="G12" s="216">
        <f t="shared" si="1"/>
        <v>147478.63</v>
      </c>
      <c r="H12" s="34"/>
      <c r="I12" s="35" t="s">
        <v>52</v>
      </c>
      <c r="J12">
        <v>84</v>
      </c>
      <c r="K12" s="217">
        <f>J12*$K$1</f>
        <v>19.772256000000002</v>
      </c>
      <c r="L12" s="40">
        <f>J12-K12</f>
        <v>64.227744000000001</v>
      </c>
      <c r="M12" s="38"/>
      <c r="N12" s="78">
        <f>'10_23'!E111/1000</f>
        <v>610.64972999999998</v>
      </c>
    </row>
    <row r="13" spans="1:14">
      <c r="A13" t="s">
        <v>53</v>
      </c>
      <c r="B13" s="213">
        <f>'11_23'!D2</f>
        <v>262800</v>
      </c>
      <c r="C13" s="214">
        <f>'11_23'!E2</f>
        <v>-98843.11</v>
      </c>
      <c r="D13" s="215">
        <f t="shared" si="0"/>
        <v>321392.88699999999</v>
      </c>
      <c r="E13" s="213">
        <f>'11_23'!F2</f>
        <v>177687.06</v>
      </c>
      <c r="F13" s="214">
        <f>'11_23'!G2</f>
        <v>-242504.11</v>
      </c>
      <c r="G13" s="216">
        <f t="shared" si="1"/>
        <v>82661.580000000016</v>
      </c>
      <c r="H13" s="34"/>
      <c r="I13" s="35" t="s">
        <v>54</v>
      </c>
      <c r="J13">
        <v>135</v>
      </c>
      <c r="K13" s="217">
        <f>J13*$K$1</f>
        <v>31.77684</v>
      </c>
      <c r="L13" s="40">
        <f>J13-K13</f>
        <v>103.22316000000001</v>
      </c>
      <c r="M13" s="43"/>
      <c r="N13" s="78">
        <f>'11_23'!E111/1000</f>
        <v>709.39308499999993</v>
      </c>
    </row>
    <row r="14" spans="1:14">
      <c r="A14" t="s">
        <v>55</v>
      </c>
      <c r="B14" s="213">
        <f>'12_23'!D2</f>
        <v>22800</v>
      </c>
      <c r="C14" s="214">
        <f>'12_23'!E2</f>
        <v>-38101.83</v>
      </c>
      <c r="D14" s="215">
        <f t="shared" si="0"/>
        <v>306091.05699999997</v>
      </c>
      <c r="E14" s="213">
        <f>'12_23'!F2</f>
        <v>16232.529999999999</v>
      </c>
      <c r="F14" s="214">
        <f>'12_23'!G2</f>
        <v>-41854.230000000003</v>
      </c>
      <c r="G14" s="216">
        <f t="shared" si="1"/>
        <v>57039.880000000012</v>
      </c>
      <c r="H14" s="34"/>
      <c r="I14" s="35" t="s">
        <v>56</v>
      </c>
      <c r="K14" s="217">
        <f>J14*$K$1</f>
        <v>0</v>
      </c>
      <c r="L14" s="40">
        <f>J14-K14</f>
        <v>0</v>
      </c>
      <c r="M14" s="43"/>
      <c r="N14" s="78">
        <f>'12_23'!E113/1000</f>
        <v>218.08799999999999</v>
      </c>
    </row>
    <row r="15" spans="1:14">
      <c r="A15" s="46" t="s">
        <v>57</v>
      </c>
      <c r="B15" s="219">
        <f>SUM(B3:B14)</f>
        <v>792299</v>
      </c>
      <c r="C15" s="220">
        <f>SUM(C3:C14)</f>
        <v>-486207.94300000003</v>
      </c>
      <c r="D15" s="221">
        <f>B15+C15</f>
        <v>306091.05699999997</v>
      </c>
      <c r="E15" s="219">
        <f>SUM(E3:E14)</f>
        <v>745711.14000000013</v>
      </c>
      <c r="F15" s="220">
        <f>SUM(F3:F14)</f>
        <v>-688671.26</v>
      </c>
      <c r="G15" s="221">
        <f>E15+F15</f>
        <v>57039.880000000121</v>
      </c>
      <c r="H15" s="34"/>
      <c r="I15" s="222"/>
      <c r="J15" s="222">
        <f>SUM(J3:J14)</f>
        <v>855.16</v>
      </c>
      <c r="K15" s="223">
        <f>SUM(K4:K14)</f>
        <v>116.31735743999999</v>
      </c>
      <c r="L15" s="51">
        <f>SUM(L4:L14)</f>
        <v>377.84264256000006</v>
      </c>
      <c r="M15" s="52">
        <f>SUM(M3:M10)</f>
        <v>249.64107999999999</v>
      </c>
    </row>
    <row r="16" spans="1:14">
      <c r="A16" s="53">
        <v>12</v>
      </c>
      <c r="B16" s="54">
        <f>B15/A16</f>
        <v>66024.916666666672</v>
      </c>
      <c r="C16" s="55">
        <f>C15/A16</f>
        <v>-40517.328583333336</v>
      </c>
      <c r="D16" s="55"/>
      <c r="E16" s="55">
        <f>E15/A16</f>
        <v>62142.595000000008</v>
      </c>
      <c r="F16" s="55">
        <f>F15/A16</f>
        <v>-57389.271666666667</v>
      </c>
      <c r="G16" s="55">
        <f>G15/A16</f>
        <v>4753.3233333333437</v>
      </c>
      <c r="H16" s="56"/>
      <c r="I16" s="224"/>
      <c r="J16" s="55">
        <f>J15/12</f>
        <v>71.263333333333335</v>
      </c>
      <c r="K16" s="225">
        <f>K15/12</f>
        <v>9.6931131199999996</v>
      </c>
      <c r="L16" s="226">
        <f>L15/12</f>
        <v>31.486886880000004</v>
      </c>
      <c r="M16" s="227">
        <f>M15/12</f>
        <v>20.803423333333331</v>
      </c>
      <c r="N16" s="228">
        <f>AVERAGE(N2:N15)</f>
        <v>418.25000730769227</v>
      </c>
    </row>
    <row r="17" spans="2:13">
      <c r="C17" s="2"/>
      <c r="D17" s="2"/>
      <c r="G17" s="63"/>
      <c r="H17" s="63"/>
      <c r="I17" s="35"/>
      <c r="L17" s="229" t="s">
        <v>805</v>
      </c>
      <c r="M17" s="230">
        <f>L15+M15</f>
        <v>627.48372256000005</v>
      </c>
    </row>
    <row r="18" spans="2:13" ht="15">
      <c r="D18" s="64" t="s">
        <v>58</v>
      </c>
      <c r="E18" s="2">
        <f>'01_23'!F20+'02_23'!F21+'03_23'!F20+'04_23'!F20+'05_23'!F19+'06_23'!F21</f>
        <v>39208.550000000003</v>
      </c>
      <c r="F18">
        <v>5589</v>
      </c>
      <c r="G18" s="73">
        <v>25</v>
      </c>
      <c r="J18" s="35"/>
      <c r="L18" s="231" t="s">
        <v>806</v>
      </c>
      <c r="M18" s="66">
        <f>M17/12</f>
        <v>52.290310213333335</v>
      </c>
    </row>
    <row r="19" spans="2:13" ht="15">
      <c r="C19" s="67"/>
      <c r="D19" s="68" t="s">
        <v>60</v>
      </c>
      <c r="E19" s="69">
        <f>'07_23'!F26+'08_23'!F22+'09_23'!F21+'10_23'!F23+'11_23'!F21+'12_23'!F28</f>
        <v>44932.53</v>
      </c>
      <c r="F19" s="8">
        <f>F18*G18/100</f>
        <v>1397.25</v>
      </c>
      <c r="G19" s="73" t="s">
        <v>807</v>
      </c>
    </row>
    <row r="20" spans="2:13" ht="15">
      <c r="C20" s="67"/>
      <c r="D20" s="68" t="s">
        <v>808</v>
      </c>
      <c r="E20" s="69">
        <v>7000</v>
      </c>
      <c r="G20" s="73"/>
    </row>
    <row r="21" spans="2:13" ht="14.25">
      <c r="D21" s="18" t="s">
        <v>61</v>
      </c>
      <c r="E21" s="17">
        <f>SUM(E18:E20)</f>
        <v>91141.08</v>
      </c>
      <c r="F21" s="75">
        <f>SUM(F18:F19)</f>
        <v>6986.25</v>
      </c>
      <c r="G21" s="75" t="s">
        <v>809</v>
      </c>
    </row>
    <row r="26" spans="2:13">
      <c r="B26" s="103"/>
      <c r="C26" s="104" t="s">
        <v>810</v>
      </c>
      <c r="D26" s="103"/>
      <c r="E26" s="158"/>
      <c r="F26" s="159">
        <f>SUM(F27:F65)</f>
        <v>356022.27</v>
      </c>
    </row>
    <row r="27" spans="2:13">
      <c r="B27" s="100">
        <v>45291</v>
      </c>
      <c r="C27" s="8" t="s">
        <v>77</v>
      </c>
      <c r="F27">
        <v>32000</v>
      </c>
    </row>
    <row r="28" spans="2:13">
      <c r="B28" s="100">
        <v>45291</v>
      </c>
      <c r="C28" s="8" t="s">
        <v>78</v>
      </c>
      <c r="F28">
        <v>40000</v>
      </c>
    </row>
    <row r="29" spans="2:13">
      <c r="B29" s="100">
        <v>45291</v>
      </c>
      <c r="C29" s="8" t="s">
        <v>305</v>
      </c>
      <c r="F29">
        <v>40162.18</v>
      </c>
    </row>
    <row r="30" spans="2:13">
      <c r="B30" s="100">
        <v>45291</v>
      </c>
      <c r="C30" s="8" t="s">
        <v>306</v>
      </c>
      <c r="F30">
        <v>44912.09</v>
      </c>
    </row>
    <row r="31" spans="2:13">
      <c r="B31" s="100">
        <v>45291</v>
      </c>
      <c r="C31" s="8" t="s">
        <v>811</v>
      </c>
      <c r="D31">
        <v>1093</v>
      </c>
      <c r="E31">
        <v>111</v>
      </c>
      <c r="F31" s="8">
        <f>E31*D31</f>
        <v>121323</v>
      </c>
    </row>
    <row r="32" spans="2:13">
      <c r="B32" s="100">
        <v>45291</v>
      </c>
      <c r="C32" s="8" t="s">
        <v>812</v>
      </c>
      <c r="D32">
        <v>18.5</v>
      </c>
      <c r="E32">
        <v>850</v>
      </c>
      <c r="F32" s="8">
        <f>E32*D32</f>
        <v>15725</v>
      </c>
    </row>
    <row r="33" spans="2:6">
      <c r="B33" s="100">
        <v>45291</v>
      </c>
      <c r="C33" s="8" t="s">
        <v>813</v>
      </c>
      <c r="D33">
        <v>19</v>
      </c>
      <c r="E33">
        <v>100</v>
      </c>
      <c r="F33" s="8">
        <f>E33*D33</f>
        <v>1900</v>
      </c>
    </row>
    <row r="34" spans="2:6">
      <c r="B34" s="100">
        <v>45291</v>
      </c>
      <c r="C34" s="8" t="s">
        <v>814</v>
      </c>
      <c r="F34">
        <v>60000</v>
      </c>
    </row>
    <row r="35" spans="2:6">
      <c r="F35" s="6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G62"/>
  <sheetViews>
    <sheetView topLeftCell="A26" zoomScale="170" zoomScaleNormal="170" workbookViewId="0">
      <selection activeCell="E58" sqref="E58"/>
    </sheetView>
  </sheetViews>
  <sheetFormatPr defaultColWidth="8.5703125" defaultRowHeight="12.75"/>
  <cols>
    <col min="1" max="1" width="7" customWidth="1"/>
    <col min="2" max="2" width="12.28515625" style="1" customWidth="1"/>
    <col min="3" max="3" width="31.28515625" customWidth="1"/>
    <col min="4" max="4" width="10.5703125" customWidth="1"/>
    <col min="5" max="7" width="12.28515625" style="2" customWidth="1"/>
    <col min="8" max="8" width="9.140625" customWidth="1"/>
  </cols>
  <sheetData>
    <row r="1" spans="2:7" ht="27.75" customHeight="1">
      <c r="D1" s="232" t="s">
        <v>0</v>
      </c>
      <c r="F1" s="4" t="s">
        <v>815</v>
      </c>
      <c r="G1" s="4" t="s">
        <v>3</v>
      </c>
    </row>
    <row r="2" spans="2:7">
      <c r="F2" s="7" t="s">
        <v>130</v>
      </c>
    </row>
    <row r="3" spans="2:7">
      <c r="B3" s="1">
        <v>44873</v>
      </c>
      <c r="C3" s="8" t="s">
        <v>816</v>
      </c>
      <c r="E3" s="2">
        <v>1250</v>
      </c>
      <c r="G3" s="2">
        <f t="shared" ref="G3:G37" si="0">G2+E3-F3</f>
        <v>1250</v>
      </c>
    </row>
    <row r="4" spans="2:7">
      <c r="B4" s="1">
        <v>44888</v>
      </c>
      <c r="C4" s="3" t="s">
        <v>2</v>
      </c>
      <c r="D4" s="3"/>
      <c r="F4" s="17">
        <v>2250</v>
      </c>
      <c r="G4" s="2">
        <f t="shared" si="0"/>
        <v>-1000</v>
      </c>
    </row>
    <row r="5" spans="2:7">
      <c r="B5" s="1">
        <v>44873</v>
      </c>
      <c r="C5" s="8" t="s">
        <v>817</v>
      </c>
      <c r="F5" s="17"/>
      <c r="G5" s="2">
        <f t="shared" si="0"/>
        <v>-1000</v>
      </c>
    </row>
    <row r="6" spans="2:7">
      <c r="B6" s="1">
        <v>44873</v>
      </c>
      <c r="C6" s="8" t="s">
        <v>818</v>
      </c>
      <c r="E6" s="2">
        <v>1111.1099999999999</v>
      </c>
      <c r="F6" s="17"/>
      <c r="G6" s="2">
        <f t="shared" si="0"/>
        <v>111.1099999999999</v>
      </c>
    </row>
    <row r="7" spans="2:7">
      <c r="B7" s="1">
        <v>44888</v>
      </c>
      <c r="C7" s="3" t="s">
        <v>2</v>
      </c>
      <c r="D7" s="3"/>
      <c r="F7" s="17">
        <v>150</v>
      </c>
      <c r="G7" s="2">
        <f t="shared" si="0"/>
        <v>-38.8900000000001</v>
      </c>
    </row>
    <row r="8" spans="2:7">
      <c r="B8" s="1">
        <v>44903</v>
      </c>
      <c r="C8" s="8" t="s">
        <v>819</v>
      </c>
      <c r="E8" s="2">
        <v>1111.1099999999999</v>
      </c>
      <c r="F8" s="17"/>
      <c r="G8" s="2">
        <f t="shared" si="0"/>
        <v>1072.2199999999998</v>
      </c>
    </row>
    <row r="9" spans="2:7">
      <c r="B9" s="1">
        <v>44914</v>
      </c>
      <c r="C9" s="3" t="s">
        <v>2</v>
      </c>
      <c r="D9" s="3"/>
      <c r="F9" s="17">
        <v>2500</v>
      </c>
      <c r="G9" s="2">
        <f t="shared" si="0"/>
        <v>-1427.7800000000002</v>
      </c>
    </row>
    <row r="10" spans="2:7">
      <c r="B10" s="1">
        <v>44934</v>
      </c>
      <c r="C10" s="8" t="s">
        <v>820</v>
      </c>
      <c r="E10" s="2">
        <v>1111.1099999999999</v>
      </c>
      <c r="F10" s="17"/>
      <c r="G10" s="2">
        <f t="shared" si="0"/>
        <v>-316.6700000000003</v>
      </c>
    </row>
    <row r="11" spans="2:7">
      <c r="B11" s="1">
        <v>44941</v>
      </c>
      <c r="C11" s="3" t="s">
        <v>821</v>
      </c>
      <c r="D11" s="3"/>
      <c r="F11" s="17">
        <v>1500</v>
      </c>
      <c r="G11" s="2">
        <f t="shared" si="0"/>
        <v>-1816.6700000000003</v>
      </c>
    </row>
    <row r="12" spans="2:7">
      <c r="B12" s="1">
        <v>44957</v>
      </c>
      <c r="C12" s="8" t="s">
        <v>822</v>
      </c>
      <c r="E12" s="2">
        <v>225.4</v>
      </c>
      <c r="F12" s="17"/>
      <c r="G12" s="2">
        <f t="shared" si="0"/>
        <v>-1591.2700000000002</v>
      </c>
    </row>
    <row r="13" spans="2:7">
      <c r="B13" s="1">
        <v>44957</v>
      </c>
      <c r="C13" s="8" t="s">
        <v>822</v>
      </c>
      <c r="E13" s="2">
        <v>225.4</v>
      </c>
      <c r="F13" s="17"/>
      <c r="G13" s="2">
        <f t="shared" si="0"/>
        <v>-1365.8700000000001</v>
      </c>
    </row>
    <row r="14" spans="2:7">
      <c r="B14" s="1">
        <v>44957</v>
      </c>
      <c r="C14" s="8" t="s">
        <v>823</v>
      </c>
      <c r="E14" s="2">
        <v>437.97</v>
      </c>
      <c r="F14" s="17"/>
      <c r="G14" s="2">
        <f t="shared" si="0"/>
        <v>-927.90000000000009</v>
      </c>
    </row>
    <row r="15" spans="2:7">
      <c r="B15" s="1">
        <v>44957</v>
      </c>
      <c r="C15" s="8" t="s">
        <v>824</v>
      </c>
      <c r="E15" s="2">
        <v>404.23</v>
      </c>
      <c r="F15" s="17"/>
      <c r="G15" s="2">
        <f t="shared" si="0"/>
        <v>-523.67000000000007</v>
      </c>
    </row>
    <row r="16" spans="2:7">
      <c r="B16" s="1">
        <v>44957</v>
      </c>
      <c r="C16" s="8" t="s">
        <v>825</v>
      </c>
      <c r="E16" s="2">
        <v>1135</v>
      </c>
      <c r="F16" s="17"/>
      <c r="G16" s="2">
        <f t="shared" si="0"/>
        <v>611.32999999999993</v>
      </c>
    </row>
    <row r="17" spans="2:7">
      <c r="B17" s="1">
        <v>44965</v>
      </c>
      <c r="C17" s="8" t="s">
        <v>826</v>
      </c>
      <c r="E17" s="2">
        <v>1111.1099999999999</v>
      </c>
      <c r="F17" s="17"/>
      <c r="G17" s="2">
        <f t="shared" si="0"/>
        <v>1722.4399999999998</v>
      </c>
    </row>
    <row r="18" spans="2:7">
      <c r="B18" s="1">
        <v>44981</v>
      </c>
      <c r="C18" s="3" t="s">
        <v>673</v>
      </c>
      <c r="D18" s="3"/>
      <c r="F18" s="17">
        <v>2000</v>
      </c>
      <c r="G18" s="2">
        <f t="shared" si="0"/>
        <v>-277.56000000000017</v>
      </c>
    </row>
    <row r="19" spans="2:7">
      <c r="B19" s="1">
        <v>44993</v>
      </c>
      <c r="C19" s="8" t="s">
        <v>827</v>
      </c>
      <c r="E19" s="2">
        <v>1111.1099999999999</v>
      </c>
      <c r="F19" s="17"/>
      <c r="G19" s="2">
        <f t="shared" si="0"/>
        <v>833.54999999999973</v>
      </c>
    </row>
    <row r="20" spans="2:7">
      <c r="B20" s="1">
        <v>45024</v>
      </c>
      <c r="C20" s="8" t="s">
        <v>828</v>
      </c>
      <c r="E20" s="2">
        <v>1111.1099999999999</v>
      </c>
      <c r="F20" s="17"/>
      <c r="G20" s="2">
        <f t="shared" si="0"/>
        <v>1944.6599999999996</v>
      </c>
    </row>
    <row r="21" spans="2:7">
      <c r="B21" s="1">
        <v>45031</v>
      </c>
      <c r="C21" s="3" t="s">
        <v>673</v>
      </c>
      <c r="D21" s="3"/>
      <c r="F21" s="17">
        <v>6000</v>
      </c>
      <c r="G21" s="2">
        <f t="shared" si="0"/>
        <v>-4055.34</v>
      </c>
    </row>
    <row r="22" spans="2:7">
      <c r="B22" s="1">
        <v>45054</v>
      </c>
      <c r="C22" s="8" t="s">
        <v>829</v>
      </c>
      <c r="E22" s="2">
        <v>1111.1099999999999</v>
      </c>
      <c r="F22" s="17"/>
      <c r="G22" s="2">
        <f t="shared" si="0"/>
        <v>-2944.2300000000005</v>
      </c>
    </row>
    <row r="23" spans="2:7">
      <c r="B23" s="1">
        <v>45085</v>
      </c>
      <c r="C23" s="8" t="s">
        <v>830</v>
      </c>
      <c r="E23" s="2">
        <v>1111.1099999999999</v>
      </c>
      <c r="F23" s="17"/>
      <c r="G23" s="2">
        <f t="shared" si="0"/>
        <v>-1833.1200000000006</v>
      </c>
    </row>
    <row r="24" spans="2:7">
      <c r="B24" s="1">
        <v>45115</v>
      </c>
      <c r="C24" s="8" t="s">
        <v>831</v>
      </c>
      <c r="E24" s="2">
        <v>1111.1199999999999</v>
      </c>
      <c r="F24" s="17"/>
      <c r="G24" s="2">
        <f t="shared" si="0"/>
        <v>-722.00000000000068</v>
      </c>
    </row>
    <row r="25" spans="2:7">
      <c r="B25" s="1">
        <v>45000</v>
      </c>
      <c r="C25" s="8" t="s">
        <v>832</v>
      </c>
      <c r="E25" s="2">
        <v>2258</v>
      </c>
      <c r="F25" s="17"/>
      <c r="G25" s="2">
        <f t="shared" si="0"/>
        <v>1535.9999999999993</v>
      </c>
    </row>
    <row r="26" spans="2:7">
      <c r="C26" s="8" t="s">
        <v>833</v>
      </c>
      <c r="E26" s="2">
        <v>613</v>
      </c>
      <c r="F26" s="4"/>
      <c r="G26" s="2">
        <f t="shared" si="0"/>
        <v>2148.9999999999991</v>
      </c>
    </row>
    <row r="27" spans="2:7">
      <c r="C27" s="8" t="s">
        <v>834</v>
      </c>
      <c r="E27" s="2">
        <v>720</v>
      </c>
      <c r="F27" s="4"/>
      <c r="G27" s="2">
        <f t="shared" si="0"/>
        <v>2868.9999999999991</v>
      </c>
    </row>
    <row r="28" spans="2:7">
      <c r="C28" s="8" t="s">
        <v>835</v>
      </c>
      <c r="F28" s="4">
        <v>1036</v>
      </c>
      <c r="G28" s="2">
        <f t="shared" si="0"/>
        <v>1832.9999999999991</v>
      </c>
    </row>
    <row r="29" spans="2:7">
      <c r="B29" s="1">
        <v>45112</v>
      </c>
      <c r="C29" s="8" t="s">
        <v>836</v>
      </c>
      <c r="F29" s="4">
        <v>500</v>
      </c>
      <c r="G29" s="2">
        <f t="shared" si="0"/>
        <v>1332.9999999999991</v>
      </c>
    </row>
    <row r="30" spans="2:7">
      <c r="B30" s="1">
        <v>45114</v>
      </c>
      <c r="C30" s="8" t="s">
        <v>837</v>
      </c>
      <c r="E30" s="2">
        <v>2650</v>
      </c>
      <c r="F30" s="4"/>
      <c r="G30" s="2">
        <f t="shared" si="0"/>
        <v>3982.9999999999991</v>
      </c>
    </row>
    <row r="31" spans="2:7">
      <c r="C31" s="8" t="s">
        <v>838</v>
      </c>
      <c r="E31" s="2">
        <v>1356</v>
      </c>
      <c r="F31" s="4"/>
      <c r="G31" s="2">
        <f t="shared" si="0"/>
        <v>5338.9999999999991</v>
      </c>
    </row>
    <row r="32" spans="2:7">
      <c r="C32" s="8" t="s">
        <v>838</v>
      </c>
      <c r="E32" s="2">
        <v>869</v>
      </c>
      <c r="F32" s="4"/>
      <c r="G32" s="2">
        <f t="shared" si="0"/>
        <v>6207.9999999999991</v>
      </c>
    </row>
    <row r="33" spans="2:7">
      <c r="C33" s="8" t="s">
        <v>839</v>
      </c>
      <c r="D33">
        <v>1120</v>
      </c>
      <c r="F33" s="4"/>
      <c r="G33" s="2">
        <f t="shared" si="0"/>
        <v>6207.9999999999991</v>
      </c>
    </row>
    <row r="34" spans="2:7">
      <c r="B34" s="1">
        <v>45122</v>
      </c>
      <c r="C34" s="8" t="s">
        <v>840</v>
      </c>
      <c r="F34" s="4">
        <v>3450</v>
      </c>
      <c r="G34" s="2">
        <f t="shared" si="0"/>
        <v>2757.9999999999991</v>
      </c>
    </row>
    <row r="35" spans="2:7">
      <c r="C35" s="8" t="s">
        <v>841</v>
      </c>
      <c r="E35" s="2">
        <v>1750</v>
      </c>
      <c r="F35" s="17"/>
      <c r="G35" s="2">
        <f t="shared" si="0"/>
        <v>4507.9999999999991</v>
      </c>
    </row>
    <row r="36" spans="2:7">
      <c r="B36" s="1">
        <v>45149</v>
      </c>
      <c r="C36" s="8" t="s">
        <v>842</v>
      </c>
      <c r="F36" s="17">
        <v>3450</v>
      </c>
      <c r="G36" s="2">
        <f t="shared" si="0"/>
        <v>1057.9999999999991</v>
      </c>
    </row>
    <row r="37" spans="2:7">
      <c r="F37" s="17"/>
      <c r="G37" s="2">
        <f t="shared" si="0"/>
        <v>1057.9999999999991</v>
      </c>
    </row>
    <row r="38" spans="2:7">
      <c r="F38" s="17"/>
    </row>
    <row r="39" spans="2:7" ht="15.75">
      <c r="B39" s="233">
        <v>45168</v>
      </c>
      <c r="D39" s="18" t="s">
        <v>843</v>
      </c>
      <c r="E39" s="2">
        <f>SUM(E3:E37)</f>
        <v>23894</v>
      </c>
      <c r="F39" s="17">
        <f>SUM(F3:F37)</f>
        <v>22836</v>
      </c>
      <c r="G39" s="234">
        <f>E39-F39</f>
        <v>1058</v>
      </c>
    </row>
    <row r="41" spans="2:7">
      <c r="B41" s="1">
        <v>45179</v>
      </c>
      <c r="C41" s="8" t="s">
        <v>844</v>
      </c>
      <c r="E41" s="2">
        <v>3450</v>
      </c>
      <c r="G41" s="2">
        <f>G39+E41-F41</f>
        <v>4508</v>
      </c>
    </row>
    <row r="42" spans="2:7">
      <c r="B42" s="1">
        <v>45184</v>
      </c>
      <c r="C42" s="8" t="s">
        <v>845</v>
      </c>
      <c r="E42" s="2">
        <v>3300</v>
      </c>
      <c r="G42" s="2">
        <f t="shared" ref="G42:G58" si="1">G41+E42-F42</f>
        <v>7808</v>
      </c>
    </row>
    <row r="43" spans="2:7">
      <c r="B43" s="1">
        <v>45184</v>
      </c>
      <c r="C43" s="8" t="s">
        <v>846</v>
      </c>
      <c r="F43" s="17">
        <v>3450</v>
      </c>
      <c r="G43" s="2">
        <f t="shared" si="1"/>
        <v>4358</v>
      </c>
    </row>
    <row r="44" spans="2:7">
      <c r="B44" s="1">
        <v>45192</v>
      </c>
      <c r="C44" s="8" t="s">
        <v>847</v>
      </c>
      <c r="D44">
        <v>450</v>
      </c>
      <c r="G44" s="2">
        <f t="shared" si="1"/>
        <v>4358</v>
      </c>
    </row>
    <row r="45" spans="2:7">
      <c r="B45" s="1">
        <v>45192</v>
      </c>
      <c r="C45" s="8" t="s">
        <v>848</v>
      </c>
      <c r="D45">
        <v>699</v>
      </c>
      <c r="G45" s="2">
        <f t="shared" si="1"/>
        <v>4358</v>
      </c>
    </row>
    <row r="46" spans="2:7">
      <c r="B46" s="1">
        <v>45189</v>
      </c>
      <c r="C46" s="8" t="s">
        <v>849</v>
      </c>
      <c r="E46" s="2">
        <v>573</v>
      </c>
      <c r="G46" s="2">
        <f t="shared" si="1"/>
        <v>4931</v>
      </c>
    </row>
    <row r="47" spans="2:7">
      <c r="C47" s="8" t="s">
        <v>850</v>
      </c>
      <c r="D47">
        <v>1500</v>
      </c>
      <c r="G47" s="2">
        <f t="shared" si="1"/>
        <v>4931</v>
      </c>
    </row>
    <row r="48" spans="2:7">
      <c r="C48" s="8" t="s">
        <v>851</v>
      </c>
      <c r="E48" s="2">
        <v>1207</v>
      </c>
      <c r="G48" s="2">
        <f t="shared" si="1"/>
        <v>6138</v>
      </c>
    </row>
    <row r="49" spans="2:7">
      <c r="C49" s="8" t="s">
        <v>852</v>
      </c>
      <c r="D49">
        <v>1502</v>
      </c>
      <c r="G49" s="2">
        <f t="shared" si="1"/>
        <v>6138</v>
      </c>
    </row>
    <row r="50" spans="2:7">
      <c r="B50" s="1">
        <v>45214</v>
      </c>
      <c r="C50" s="8" t="s">
        <v>853</v>
      </c>
      <c r="F50" s="17">
        <v>3450</v>
      </c>
      <c r="G50" s="2">
        <f t="shared" si="1"/>
        <v>2688</v>
      </c>
    </row>
    <row r="51" spans="2:7">
      <c r="B51" s="1">
        <v>45246</v>
      </c>
      <c r="C51" s="8" t="s">
        <v>854</v>
      </c>
      <c r="E51" s="2">
        <v>1500</v>
      </c>
      <c r="G51" s="2">
        <f t="shared" si="1"/>
        <v>4188</v>
      </c>
    </row>
    <row r="52" spans="2:7">
      <c r="B52" s="1">
        <v>45246</v>
      </c>
      <c r="C52" s="8" t="s">
        <v>855</v>
      </c>
      <c r="F52" s="2">
        <v>3450</v>
      </c>
      <c r="G52" s="2">
        <f t="shared" si="1"/>
        <v>738</v>
      </c>
    </row>
    <row r="53" spans="2:7">
      <c r="B53" s="1">
        <v>45260</v>
      </c>
      <c r="C53" s="8" t="s">
        <v>856</v>
      </c>
      <c r="E53" s="2">
        <v>573</v>
      </c>
      <c r="G53" s="2">
        <f t="shared" si="1"/>
        <v>1311</v>
      </c>
    </row>
    <row r="54" spans="2:7">
      <c r="B54" s="1">
        <v>45266</v>
      </c>
      <c r="C54" s="8" t="s">
        <v>857</v>
      </c>
      <c r="F54" s="2">
        <v>3450</v>
      </c>
      <c r="G54" s="2">
        <f t="shared" si="1"/>
        <v>-2139</v>
      </c>
    </row>
    <row r="55" spans="2:7">
      <c r="B55" s="1">
        <v>45267</v>
      </c>
      <c r="C55" s="8" t="s">
        <v>858</v>
      </c>
      <c r="E55" s="2">
        <v>1500</v>
      </c>
      <c r="G55" s="2">
        <f t="shared" si="1"/>
        <v>-639</v>
      </c>
    </row>
    <row r="56" spans="2:7">
      <c r="B56" s="1">
        <v>45270</v>
      </c>
      <c r="C56" s="8" t="s">
        <v>133</v>
      </c>
      <c r="E56" s="2">
        <v>1711</v>
      </c>
      <c r="G56" s="2">
        <f t="shared" si="1"/>
        <v>1072</v>
      </c>
    </row>
    <row r="57" spans="2:7">
      <c r="G57" s="2">
        <f t="shared" si="1"/>
        <v>1072</v>
      </c>
    </row>
    <row r="58" spans="2:7">
      <c r="G58" s="235">
        <f t="shared" si="1"/>
        <v>1072</v>
      </c>
    </row>
    <row r="59" spans="2:7">
      <c r="G59" s="236"/>
    </row>
    <row r="60" spans="2:7" ht="15">
      <c r="C60" s="237" t="s">
        <v>859</v>
      </c>
      <c r="D60" s="238">
        <f>SUM(D3:D36)+SUM(D41:D52)</f>
        <v>5271</v>
      </c>
      <c r="E60" s="238">
        <f>SUM(E3:E36)+SUM(E41:E56)</f>
        <v>37708</v>
      </c>
      <c r="F60" s="238">
        <f>SUM(F3:F36)+SUM(F41:F56)</f>
        <v>36636</v>
      </c>
      <c r="G60" s="239">
        <f>E60-F60</f>
        <v>1072</v>
      </c>
    </row>
    <row r="61" spans="2:7">
      <c r="D61" s="240" t="s">
        <v>860</v>
      </c>
      <c r="E61" s="241" t="s">
        <v>861</v>
      </c>
      <c r="F61" s="241" t="s">
        <v>862</v>
      </c>
      <c r="G61" s="242" t="s">
        <v>862</v>
      </c>
    </row>
    <row r="62" spans="2:7">
      <c r="D62" s="240" t="s">
        <v>863</v>
      </c>
      <c r="E62" s="241" t="s">
        <v>864</v>
      </c>
      <c r="F62" s="241" t="s">
        <v>274</v>
      </c>
      <c r="G62" s="243" t="s">
        <v>865</v>
      </c>
    </row>
  </sheetData>
  <pageMargins left="0" right="0" top="0.39374999999999999" bottom="0.39374999999999999" header="0" footer="0"/>
  <pageSetup paperSize="9" pageOrder="overThenDown" orientation="portrait" useFirstPageNumber="1" horizontalDpi="300" verticalDpi="300"/>
  <headerFooter>
    <oddHeader>&amp;C&amp;A</oddHeader>
    <oddFooter>&amp;CPage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K49"/>
  <sheetViews>
    <sheetView topLeftCell="A7" zoomScale="170" zoomScaleNormal="170" workbookViewId="0">
      <selection activeCell="D16" sqref="D16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style="176" customWidth="1"/>
    <col min="5" max="5" width="12" style="176" customWidth="1"/>
    <col min="6" max="6" width="12.5703125" style="176" customWidth="1"/>
    <col min="7" max="7" width="4.140625" style="244" customWidth="1"/>
    <col min="8" max="8" width="11.85546875" style="176" customWidth="1"/>
    <col min="9" max="9" width="15.5703125" style="176" customWidth="1"/>
    <col min="10" max="10" width="9.140625" customWidth="1"/>
  </cols>
  <sheetData>
    <row r="2" spans="2:9">
      <c r="C2" s="245" t="s">
        <v>866</v>
      </c>
    </row>
    <row r="3" spans="2:9">
      <c r="D3" s="246" t="s">
        <v>867</v>
      </c>
      <c r="E3" s="124" t="s">
        <v>868</v>
      </c>
      <c r="F3" s="246" t="s">
        <v>869</v>
      </c>
      <c r="G3" s="247"/>
      <c r="I3" s="246" t="s">
        <v>870</v>
      </c>
    </row>
    <row r="4" spans="2:9">
      <c r="D4" s="246" t="s">
        <v>871</v>
      </c>
      <c r="E4" s="124" t="s">
        <v>224</v>
      </c>
      <c r="F4" s="246" t="s">
        <v>871</v>
      </c>
      <c r="G4" s="247"/>
      <c r="I4" s="246" t="s">
        <v>224</v>
      </c>
    </row>
    <row r="5" spans="2:9" ht="14.25">
      <c r="E5" s="248">
        <v>119305.95</v>
      </c>
      <c r="F5" s="248"/>
      <c r="G5" s="249"/>
      <c r="H5" s="250" t="s">
        <v>872</v>
      </c>
      <c r="I5" s="251">
        <f>NZN_23!I8*-1</f>
        <v>119305.95484700002</v>
      </c>
    </row>
    <row r="6" spans="2:9" ht="14.25">
      <c r="H6" s="252" t="s">
        <v>873</v>
      </c>
      <c r="I6" s="253">
        <f>I23*-1</f>
        <v>39967</v>
      </c>
    </row>
    <row r="7" spans="2:9" ht="14.25">
      <c r="I7" s="253">
        <f>I6+I5</f>
        <v>159272.95484700002</v>
      </c>
    </row>
    <row r="8" spans="2:9">
      <c r="B8" s="160">
        <v>45295</v>
      </c>
      <c r="C8" s="8" t="s">
        <v>874</v>
      </c>
      <c r="D8" s="124">
        <v>10000</v>
      </c>
      <c r="E8" s="176">
        <f>I7-D8</f>
        <v>149272.95484700002</v>
      </c>
      <c r="F8" s="254">
        <v>10000</v>
      </c>
      <c r="G8" s="255"/>
      <c r="H8" s="256" t="s">
        <v>875</v>
      </c>
      <c r="I8" s="256">
        <f t="shared" ref="I8:I19" si="0">I7-F8</f>
        <v>149272.95484700002</v>
      </c>
    </row>
    <row r="9" spans="2:9">
      <c r="B9" s="160">
        <v>45324</v>
      </c>
      <c r="C9" s="8" t="s">
        <v>874</v>
      </c>
      <c r="D9" s="124">
        <v>10000</v>
      </c>
      <c r="E9" s="176">
        <f t="shared" ref="E9:E19" si="1">E8-D9</f>
        <v>139272.95484700002</v>
      </c>
      <c r="F9" s="254">
        <v>10000</v>
      </c>
      <c r="H9" s="256" t="s">
        <v>875</v>
      </c>
      <c r="I9" s="176">
        <f t="shared" si="0"/>
        <v>139272.95484700002</v>
      </c>
    </row>
    <row r="10" spans="2:9">
      <c r="B10" s="160">
        <v>45352</v>
      </c>
      <c r="D10" s="124">
        <v>10000</v>
      </c>
      <c r="E10" s="176">
        <f t="shared" si="1"/>
        <v>129272.95484700002</v>
      </c>
      <c r="F10" s="254">
        <v>10000</v>
      </c>
      <c r="H10" s="256" t="s">
        <v>875</v>
      </c>
      <c r="I10" s="176">
        <f t="shared" si="0"/>
        <v>129272.95484700002</v>
      </c>
    </row>
    <row r="11" spans="2:9">
      <c r="B11" s="160">
        <v>45383</v>
      </c>
      <c r="D11" s="124">
        <v>10000</v>
      </c>
      <c r="E11" s="176">
        <f t="shared" si="1"/>
        <v>119272.95484700002</v>
      </c>
      <c r="F11" s="254">
        <v>10000</v>
      </c>
      <c r="H11" s="256" t="s">
        <v>875</v>
      </c>
      <c r="I11" s="176">
        <f t="shared" si="0"/>
        <v>119272.95484700002</v>
      </c>
    </row>
    <row r="12" spans="2:9">
      <c r="B12" s="160">
        <v>45413</v>
      </c>
      <c r="D12" s="124">
        <v>10000</v>
      </c>
      <c r="E12" s="176">
        <f t="shared" si="1"/>
        <v>109272.95484700002</v>
      </c>
      <c r="F12" s="254">
        <v>10000</v>
      </c>
      <c r="H12" s="256" t="s">
        <v>875</v>
      </c>
      <c r="I12" s="176">
        <f t="shared" si="0"/>
        <v>109272.95484700002</v>
      </c>
    </row>
    <row r="13" spans="2:9">
      <c r="B13" s="160">
        <v>45444</v>
      </c>
      <c r="D13" s="124">
        <v>10000</v>
      </c>
      <c r="E13" s="176">
        <f t="shared" si="1"/>
        <v>99272.954847000015</v>
      </c>
      <c r="F13" s="254">
        <v>10000</v>
      </c>
      <c r="H13" s="256" t="s">
        <v>875</v>
      </c>
      <c r="I13" s="176">
        <f t="shared" si="0"/>
        <v>99272.954847000015</v>
      </c>
    </row>
    <row r="14" spans="2:9">
      <c r="B14" s="160">
        <v>45474</v>
      </c>
      <c r="D14" s="124">
        <v>10000</v>
      </c>
      <c r="E14" s="176">
        <f t="shared" si="1"/>
        <v>89272.954847000015</v>
      </c>
      <c r="F14" s="254">
        <v>10000</v>
      </c>
      <c r="H14" s="256" t="s">
        <v>875</v>
      </c>
      <c r="I14" s="176">
        <f t="shared" si="0"/>
        <v>89272.954847000015</v>
      </c>
    </row>
    <row r="15" spans="2:9">
      <c r="B15" s="160">
        <v>45505</v>
      </c>
      <c r="D15" s="124">
        <v>10000</v>
      </c>
      <c r="E15" s="176">
        <f t="shared" si="1"/>
        <v>79272.954847000015</v>
      </c>
      <c r="H15" s="176" t="s">
        <v>876</v>
      </c>
      <c r="I15" s="176">
        <f t="shared" si="0"/>
        <v>89272.954847000015</v>
      </c>
    </row>
    <row r="16" spans="2:9">
      <c r="B16" s="160">
        <v>45536</v>
      </c>
      <c r="D16" s="124">
        <v>10000</v>
      </c>
      <c r="E16" s="176">
        <f t="shared" si="1"/>
        <v>69272.954847000015</v>
      </c>
      <c r="H16" s="176" t="s">
        <v>876</v>
      </c>
      <c r="I16" s="176">
        <f t="shared" si="0"/>
        <v>89272.954847000015</v>
      </c>
    </row>
    <row r="17" spans="2:11">
      <c r="B17" s="160">
        <v>45566</v>
      </c>
      <c r="D17" s="124">
        <v>10000</v>
      </c>
      <c r="E17" s="176">
        <f t="shared" si="1"/>
        <v>59272.954847000015</v>
      </c>
      <c r="H17" s="176" t="s">
        <v>876</v>
      </c>
      <c r="I17" s="176">
        <f t="shared" si="0"/>
        <v>89272.954847000015</v>
      </c>
    </row>
    <row r="18" spans="2:11">
      <c r="B18" s="160">
        <v>45597</v>
      </c>
      <c r="D18" s="124">
        <v>10000</v>
      </c>
      <c r="E18" s="176">
        <f t="shared" si="1"/>
        <v>49272.954847000015</v>
      </c>
      <c r="H18" s="176" t="s">
        <v>876</v>
      </c>
      <c r="I18" s="176">
        <f t="shared" si="0"/>
        <v>89272.954847000015</v>
      </c>
    </row>
    <row r="19" spans="2:11">
      <c r="B19" s="160">
        <v>45627</v>
      </c>
      <c r="D19" s="124">
        <v>10000</v>
      </c>
      <c r="E19" s="176">
        <f t="shared" si="1"/>
        <v>39272.954847000015</v>
      </c>
      <c r="I19" s="176">
        <f t="shared" si="0"/>
        <v>89272.954847000015</v>
      </c>
    </row>
    <row r="20" spans="2:11">
      <c r="D20" s="124"/>
    </row>
    <row r="21" spans="2:11" ht="15.75">
      <c r="C21" s="257" t="s">
        <v>877</v>
      </c>
      <c r="E21" s="258">
        <v>0.2351</v>
      </c>
      <c r="F21" s="258">
        <f>1-E21</f>
        <v>0.76490000000000002</v>
      </c>
    </row>
    <row r="22" spans="2:11">
      <c r="B22" s="259" t="s">
        <v>878</v>
      </c>
      <c r="C22" s="259" t="s">
        <v>879</v>
      </c>
      <c r="D22" s="260" t="s">
        <v>880</v>
      </c>
      <c r="E22" s="261" t="s">
        <v>881</v>
      </c>
      <c r="F22" s="260" t="s">
        <v>882</v>
      </c>
      <c r="G22" s="262" t="s">
        <v>883</v>
      </c>
      <c r="H22" s="260" t="s">
        <v>884</v>
      </c>
      <c r="I22" s="260" t="s">
        <v>885</v>
      </c>
    </row>
    <row r="23" spans="2:11">
      <c r="B23" s="263"/>
      <c r="C23" s="264" t="s">
        <v>886</v>
      </c>
      <c r="D23" s="265">
        <f>SUBTOTAL(109,D24:D37)</f>
        <v>331000</v>
      </c>
      <c r="E23" s="265">
        <f>SUBTOTAL(109,$E$24:$E$37)</f>
        <v>170000</v>
      </c>
      <c r="F23" s="265">
        <f>SUM(F24:F37)</f>
        <v>-37851.1</v>
      </c>
      <c r="G23" s="266"/>
      <c r="H23" s="265">
        <f>SUBTOTAL(109,$H$24:$H$37)</f>
        <v>-39967</v>
      </c>
      <c r="I23" s="265">
        <f>I24</f>
        <v>-39967</v>
      </c>
      <c r="K23" s="267"/>
    </row>
    <row r="24" spans="2:11">
      <c r="B24" s="268">
        <v>45656</v>
      </c>
      <c r="C24" s="8" t="s">
        <v>887</v>
      </c>
      <c r="E24" s="124">
        <f t="shared" ref="E24:E37" si="2">IF(G24=1,$D24,0)</f>
        <v>0</v>
      </c>
      <c r="F24" s="269">
        <f t="shared" ref="F24:F37" si="3">IF(G24=0,D24*$E$21*-1,0)</f>
        <v>0</v>
      </c>
      <c r="G24" s="270">
        <v>0</v>
      </c>
      <c r="H24" s="124">
        <f t="shared" ref="H24:H37" si="4">IF(G24=1,D24*$E$21*-1,0)</f>
        <v>0</v>
      </c>
      <c r="I24" s="176">
        <f t="shared" ref="I24:I36" si="5">I25+H24</f>
        <v>-39967</v>
      </c>
      <c r="K24" s="267"/>
    </row>
    <row r="25" spans="2:11">
      <c r="B25" s="271"/>
      <c r="C25" s="272"/>
      <c r="D25" s="273"/>
      <c r="E25" s="124">
        <f t="shared" si="2"/>
        <v>0</v>
      </c>
      <c r="F25" s="269">
        <f t="shared" si="3"/>
        <v>0</v>
      </c>
      <c r="G25" s="270">
        <v>0</v>
      </c>
      <c r="H25" s="124">
        <f t="shared" si="4"/>
        <v>0</v>
      </c>
      <c r="I25" s="176">
        <f t="shared" si="5"/>
        <v>-39967</v>
      </c>
    </row>
    <row r="26" spans="2:11">
      <c r="B26" s="274"/>
      <c r="C26" s="275"/>
      <c r="D26" s="276"/>
      <c r="E26" s="124">
        <f t="shared" si="2"/>
        <v>0</v>
      </c>
      <c r="F26" s="269">
        <f t="shared" si="3"/>
        <v>0</v>
      </c>
      <c r="G26" s="270">
        <v>0</v>
      </c>
      <c r="H26" s="124">
        <f t="shared" si="4"/>
        <v>0</v>
      </c>
      <c r="I26" s="176">
        <f t="shared" si="5"/>
        <v>-39967</v>
      </c>
    </row>
    <row r="27" spans="2:11">
      <c r="B27" s="274"/>
      <c r="C27" s="275"/>
      <c r="D27" s="276"/>
      <c r="E27" s="124">
        <f t="shared" si="2"/>
        <v>0</v>
      </c>
      <c r="F27" s="269">
        <f t="shared" si="3"/>
        <v>0</v>
      </c>
      <c r="G27" s="270">
        <v>0</v>
      </c>
      <c r="H27" s="124">
        <f t="shared" si="4"/>
        <v>0</v>
      </c>
      <c r="I27" s="176">
        <f t="shared" si="5"/>
        <v>-39967</v>
      </c>
    </row>
    <row r="28" spans="2:11">
      <c r="B28" s="271"/>
      <c r="C28" s="272"/>
      <c r="D28" s="273"/>
      <c r="E28" s="124">
        <f t="shared" si="2"/>
        <v>0</v>
      </c>
      <c r="F28" s="269">
        <f t="shared" si="3"/>
        <v>0</v>
      </c>
      <c r="G28" s="270">
        <v>0</v>
      </c>
      <c r="H28" s="124">
        <f t="shared" si="4"/>
        <v>0</v>
      </c>
      <c r="I28" s="176">
        <f t="shared" si="5"/>
        <v>-39967</v>
      </c>
    </row>
    <row r="29" spans="2:11">
      <c r="B29" s="271"/>
      <c r="C29" s="272" t="s">
        <v>888</v>
      </c>
      <c r="D29" s="273"/>
      <c r="E29" s="124">
        <f t="shared" si="2"/>
        <v>0</v>
      </c>
      <c r="F29" s="269">
        <f t="shared" si="3"/>
        <v>0</v>
      </c>
      <c r="G29" s="270">
        <v>0</v>
      </c>
      <c r="H29" s="124">
        <f t="shared" si="4"/>
        <v>0</v>
      </c>
      <c r="I29" s="176">
        <f t="shared" si="5"/>
        <v>-39967</v>
      </c>
    </row>
    <row r="30" spans="2:11">
      <c r="B30" s="271"/>
      <c r="C30" s="272"/>
      <c r="D30" s="273"/>
      <c r="E30" s="124">
        <f t="shared" si="2"/>
        <v>0</v>
      </c>
      <c r="F30" s="269">
        <f t="shared" si="3"/>
        <v>0</v>
      </c>
      <c r="G30" s="270">
        <v>0</v>
      </c>
      <c r="H30" s="124">
        <f t="shared" si="4"/>
        <v>0</v>
      </c>
      <c r="I30" s="176">
        <f t="shared" si="5"/>
        <v>-39967</v>
      </c>
    </row>
    <row r="31" spans="2:11">
      <c r="B31" s="271"/>
      <c r="C31" s="272"/>
      <c r="D31" s="273"/>
      <c r="E31" s="124">
        <f t="shared" si="2"/>
        <v>0</v>
      </c>
      <c r="F31" s="269">
        <f t="shared" si="3"/>
        <v>0</v>
      </c>
      <c r="G31" s="270">
        <v>0</v>
      </c>
      <c r="H31" s="124">
        <f t="shared" si="4"/>
        <v>0</v>
      </c>
      <c r="I31" s="176">
        <f t="shared" si="5"/>
        <v>-39967</v>
      </c>
    </row>
    <row r="32" spans="2:11">
      <c r="B32" s="274"/>
      <c r="C32" s="275"/>
      <c r="D32" s="276"/>
      <c r="E32" s="124">
        <f t="shared" si="2"/>
        <v>0</v>
      </c>
      <c r="F32" s="269">
        <f t="shared" si="3"/>
        <v>0</v>
      </c>
      <c r="G32" s="270">
        <v>0</v>
      </c>
      <c r="H32" s="124">
        <f t="shared" si="4"/>
        <v>0</v>
      </c>
      <c r="I32" s="176">
        <f t="shared" si="5"/>
        <v>-39967</v>
      </c>
    </row>
    <row r="33" spans="2:11">
      <c r="B33" s="268">
        <v>45321</v>
      </c>
      <c r="C33" s="277" t="s">
        <v>889</v>
      </c>
      <c r="D33" s="278">
        <v>7000</v>
      </c>
      <c r="E33" s="124">
        <f t="shared" si="2"/>
        <v>0</v>
      </c>
      <c r="F33" s="269">
        <f t="shared" si="3"/>
        <v>-1645.7</v>
      </c>
      <c r="G33" s="270">
        <v>0</v>
      </c>
      <c r="H33" s="124">
        <f t="shared" si="4"/>
        <v>0</v>
      </c>
      <c r="I33" s="176">
        <f t="shared" si="5"/>
        <v>-39967</v>
      </c>
    </row>
    <row r="34" spans="2:11">
      <c r="B34" s="274"/>
      <c r="C34" s="275" t="s">
        <v>890</v>
      </c>
      <c r="D34" s="276">
        <v>24000</v>
      </c>
      <c r="E34" s="124">
        <f t="shared" si="2"/>
        <v>24000</v>
      </c>
      <c r="F34" s="269">
        <f t="shared" si="3"/>
        <v>0</v>
      </c>
      <c r="G34" s="270">
        <v>1</v>
      </c>
      <c r="H34" s="124">
        <f t="shared" si="4"/>
        <v>-5642.4</v>
      </c>
      <c r="I34" s="176">
        <f t="shared" si="5"/>
        <v>-39967</v>
      </c>
    </row>
    <row r="35" spans="2:11">
      <c r="B35" s="274">
        <v>45296</v>
      </c>
      <c r="C35" s="275" t="s">
        <v>891</v>
      </c>
      <c r="D35" s="276">
        <v>26000</v>
      </c>
      <c r="E35" s="124">
        <f t="shared" si="2"/>
        <v>26000</v>
      </c>
      <c r="F35" s="269">
        <f t="shared" si="3"/>
        <v>0</v>
      </c>
      <c r="G35" s="270">
        <v>1</v>
      </c>
      <c r="H35" s="124">
        <f t="shared" si="4"/>
        <v>-6112.6</v>
      </c>
      <c r="I35" s="176">
        <f t="shared" si="5"/>
        <v>-34324.6</v>
      </c>
    </row>
    <row r="36" spans="2:11">
      <c r="B36" s="271">
        <v>45295</v>
      </c>
      <c r="C36" s="275" t="s">
        <v>891</v>
      </c>
      <c r="D36" s="273">
        <v>120000</v>
      </c>
      <c r="E36" s="124">
        <f t="shared" si="2"/>
        <v>120000</v>
      </c>
      <c r="F36" s="269">
        <f t="shared" si="3"/>
        <v>0</v>
      </c>
      <c r="G36" s="270">
        <v>1</v>
      </c>
      <c r="H36" s="124">
        <f t="shared" si="4"/>
        <v>-28212</v>
      </c>
      <c r="I36" s="176">
        <f t="shared" si="5"/>
        <v>-28212</v>
      </c>
    </row>
    <row r="37" spans="2:11">
      <c r="B37" s="274">
        <v>45292</v>
      </c>
      <c r="C37" s="275" t="s">
        <v>771</v>
      </c>
      <c r="D37" s="279">
        <v>154000</v>
      </c>
      <c r="E37" s="124">
        <f t="shared" si="2"/>
        <v>0</v>
      </c>
      <c r="F37" s="269">
        <f t="shared" si="3"/>
        <v>-36205.4</v>
      </c>
      <c r="G37" s="280">
        <v>0</v>
      </c>
      <c r="H37" s="124">
        <f t="shared" si="4"/>
        <v>0</v>
      </c>
      <c r="I37" s="176">
        <f>H37</f>
        <v>0</v>
      </c>
    </row>
    <row r="40" spans="2:11">
      <c r="D40" s="124" t="s">
        <v>892</v>
      </c>
      <c r="E40" s="176" t="s">
        <v>893</v>
      </c>
      <c r="F40" s="176" t="s">
        <v>894</v>
      </c>
      <c r="H40" s="281"/>
      <c r="I40" s="281"/>
      <c r="J40" s="282"/>
    </row>
    <row r="41" spans="2:11" ht="15.75">
      <c r="C41" t="s">
        <v>895</v>
      </c>
      <c r="D41" s="283">
        <v>1</v>
      </c>
      <c r="E41" s="284">
        <f>1-F41</f>
        <v>0.76490000000000002</v>
      </c>
      <c r="F41" s="284">
        <f>E21</f>
        <v>0.2351</v>
      </c>
    </row>
    <row r="42" spans="2:11">
      <c r="C42" t="s">
        <v>896</v>
      </c>
      <c r="D42" s="285">
        <f>$D$23*D41</f>
        <v>331000</v>
      </c>
      <c r="E42" s="286">
        <f>$D$23*E41</f>
        <v>253181.9</v>
      </c>
      <c r="F42" s="286">
        <f>$D$23*F41</f>
        <v>77818.100000000006</v>
      </c>
    </row>
    <row r="43" spans="2:11">
      <c r="C43" t="s">
        <v>897</v>
      </c>
      <c r="D43" s="124">
        <f>E43+F43</f>
        <v>170000</v>
      </c>
      <c r="E43" s="176">
        <f>F43/F41*E41</f>
        <v>130033</v>
      </c>
      <c r="F43" s="176">
        <f>$I$23*-1</f>
        <v>39967</v>
      </c>
      <c r="K43" s="63"/>
    </row>
    <row r="44" spans="2:11">
      <c r="C44" t="s">
        <v>898</v>
      </c>
      <c r="D44" s="124">
        <f>D42-D43</f>
        <v>161000</v>
      </c>
      <c r="E44" s="176">
        <f>E42-E43</f>
        <v>123148.9</v>
      </c>
      <c r="F44" s="176">
        <f>F42-F43</f>
        <v>37851.100000000006</v>
      </c>
      <c r="K44" s="63"/>
    </row>
    <row r="45" spans="2:11">
      <c r="D45" s="287"/>
      <c r="E45" s="287"/>
      <c r="F45" s="287"/>
      <c r="K45" s="63"/>
    </row>
    <row r="46" spans="2:11">
      <c r="K46" s="63"/>
    </row>
    <row r="47" spans="2:11">
      <c r="D47" s="246" t="s">
        <v>899</v>
      </c>
      <c r="E47" s="246" t="s">
        <v>900</v>
      </c>
      <c r="F47" s="246" t="s">
        <v>901</v>
      </c>
      <c r="K47" s="63"/>
    </row>
    <row r="48" spans="2:11">
      <c r="E48" s="252"/>
      <c r="K48" s="63"/>
    </row>
    <row r="49" spans="3:6">
      <c r="C49" s="63" t="s">
        <v>805</v>
      </c>
      <c r="D49" s="176">
        <f>E43</f>
        <v>130033</v>
      </c>
      <c r="E49" s="176">
        <v>2.5000000000000001E-2</v>
      </c>
      <c r="F49" s="176">
        <f>D49*E49</f>
        <v>3250.8250000000003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2:K41"/>
  <sheetViews>
    <sheetView zoomScale="170" zoomScaleNormal="170" workbookViewId="0">
      <selection activeCell="C12" sqref="C12"/>
    </sheetView>
  </sheetViews>
  <sheetFormatPr defaultColWidth="8.5703125" defaultRowHeight="12.75"/>
  <cols>
    <col min="1" max="1" width="2" customWidth="1"/>
    <col min="2" max="2" width="10.7109375" customWidth="1"/>
    <col min="3" max="3" width="27.140625" customWidth="1"/>
    <col min="4" max="4" width="11.85546875" customWidth="1"/>
    <col min="5" max="5" width="12" customWidth="1"/>
    <col min="6" max="6" width="12.42578125" customWidth="1"/>
    <col min="7" max="7" width="4.140625" customWidth="1"/>
    <col min="8" max="8" width="11" customWidth="1"/>
    <col min="9" max="9" width="17.42578125" customWidth="1"/>
    <col min="10" max="10" width="9.140625" customWidth="1"/>
  </cols>
  <sheetData>
    <row r="2" spans="2:11">
      <c r="C2" s="245" t="s">
        <v>866</v>
      </c>
    </row>
    <row r="3" spans="2:11">
      <c r="D3" s="102"/>
      <c r="E3" s="102"/>
      <c r="I3" s="63"/>
    </row>
    <row r="4" spans="2:11">
      <c r="E4" s="102"/>
      <c r="I4" s="63"/>
    </row>
    <row r="5" spans="2:11" ht="15.75">
      <c r="C5" s="257" t="s">
        <v>877</v>
      </c>
      <c r="E5" s="288">
        <v>0.2351</v>
      </c>
      <c r="F5" s="288">
        <f>1-E5</f>
        <v>0.76490000000000002</v>
      </c>
      <c r="I5" s="63"/>
    </row>
    <row r="6" spans="2:11">
      <c r="B6" s="8" t="s">
        <v>878</v>
      </c>
      <c r="C6" s="8" t="s">
        <v>879</v>
      </c>
      <c r="D6" s="35" t="s">
        <v>880</v>
      </c>
      <c r="E6" s="195" t="s">
        <v>881</v>
      </c>
      <c r="F6" s="35" t="s">
        <v>882</v>
      </c>
      <c r="G6" s="289" t="s">
        <v>883</v>
      </c>
      <c r="H6" s="35" t="s">
        <v>884</v>
      </c>
      <c r="I6" s="290" t="s">
        <v>885</v>
      </c>
    </row>
    <row r="7" spans="2:11">
      <c r="K7" s="267"/>
    </row>
    <row r="8" spans="2:11" ht="15.75">
      <c r="B8" s="268">
        <v>45290</v>
      </c>
      <c r="C8" s="8" t="s">
        <v>887</v>
      </c>
      <c r="D8">
        <v>-5843.55</v>
      </c>
      <c r="E8" s="163">
        <f t="shared" ref="E8:E25" si="0">IF(G8=1,$D8,0)</f>
        <v>-5843.55</v>
      </c>
      <c r="F8" s="291">
        <f t="shared" ref="F8:F25" si="1">IF(G8=0,D8*$E$5*-1,0)</f>
        <v>0</v>
      </c>
      <c r="G8" s="292">
        <v>1</v>
      </c>
      <c r="H8" s="163">
        <f t="shared" ref="H8:H25" si="2">IF(G8=1,D8*$E$5*-1,0)</f>
        <v>1373.8186050000002</v>
      </c>
      <c r="I8" s="293">
        <f t="shared" ref="I8:I25" si="3">I9+H8</f>
        <v>-119305.95484700002</v>
      </c>
      <c r="K8" s="267"/>
    </row>
    <row r="9" spans="2:11">
      <c r="B9" s="294">
        <v>45290</v>
      </c>
      <c r="C9" s="85" t="s">
        <v>902</v>
      </c>
      <c r="D9" s="295">
        <v>135000</v>
      </c>
      <c r="E9" s="163">
        <f t="shared" si="0"/>
        <v>135000</v>
      </c>
      <c r="F9" s="291">
        <f t="shared" si="1"/>
        <v>0</v>
      </c>
      <c r="G9" s="292">
        <v>1</v>
      </c>
      <c r="H9" s="163">
        <f t="shared" si="2"/>
        <v>-31738.5</v>
      </c>
      <c r="I9" s="63">
        <f t="shared" si="3"/>
        <v>-120679.77345200001</v>
      </c>
    </row>
    <row r="10" spans="2:11">
      <c r="B10" s="296">
        <v>45260</v>
      </c>
      <c r="C10" s="297" t="s">
        <v>903</v>
      </c>
      <c r="D10" s="298"/>
      <c r="E10" s="299">
        <f t="shared" si="0"/>
        <v>0</v>
      </c>
      <c r="F10" s="300">
        <f t="shared" si="1"/>
        <v>0</v>
      </c>
      <c r="G10" s="301">
        <v>0</v>
      </c>
      <c r="H10" s="299">
        <f t="shared" si="2"/>
        <v>0</v>
      </c>
      <c r="I10" s="298">
        <f t="shared" si="3"/>
        <v>-88941.273452000009</v>
      </c>
    </row>
    <row r="11" spans="2:11">
      <c r="B11" s="294">
        <v>45236</v>
      </c>
      <c r="C11" s="85" t="s">
        <v>904</v>
      </c>
      <c r="D11" s="295">
        <v>15887.06</v>
      </c>
      <c r="E11" s="163">
        <f t="shared" si="0"/>
        <v>15887.06</v>
      </c>
      <c r="F11" s="291">
        <f t="shared" si="1"/>
        <v>0</v>
      </c>
      <c r="G11" s="292">
        <v>1</v>
      </c>
      <c r="H11" s="163">
        <f t="shared" si="2"/>
        <v>-3735.047806</v>
      </c>
      <c r="I11" s="63">
        <f t="shared" si="3"/>
        <v>-88941.273452000009</v>
      </c>
    </row>
    <row r="12" spans="2:11">
      <c r="B12" s="294">
        <v>45195</v>
      </c>
      <c r="C12" s="85" t="s">
        <v>905</v>
      </c>
      <c r="D12" s="295">
        <v>84000</v>
      </c>
      <c r="E12" s="163">
        <f t="shared" si="0"/>
        <v>84000</v>
      </c>
      <c r="F12" s="291">
        <f t="shared" si="1"/>
        <v>0</v>
      </c>
      <c r="G12" s="292">
        <v>1</v>
      </c>
      <c r="H12" s="163">
        <f t="shared" si="2"/>
        <v>-19748.400000000001</v>
      </c>
      <c r="I12" s="63">
        <f t="shared" si="3"/>
        <v>-85206.225646000006</v>
      </c>
    </row>
    <row r="13" spans="2:11">
      <c r="B13" s="294">
        <v>45229</v>
      </c>
      <c r="C13" s="85" t="s">
        <v>906</v>
      </c>
      <c r="D13" s="295">
        <v>10000</v>
      </c>
      <c r="E13" s="163">
        <f t="shared" si="0"/>
        <v>10000</v>
      </c>
      <c r="F13" s="291">
        <f t="shared" si="1"/>
        <v>0</v>
      </c>
      <c r="G13" s="292">
        <v>1</v>
      </c>
      <c r="H13" s="163">
        <f t="shared" si="2"/>
        <v>-2351</v>
      </c>
      <c r="I13" s="63">
        <f t="shared" si="3"/>
        <v>-65457.825645999998</v>
      </c>
    </row>
    <row r="14" spans="2:11">
      <c r="B14" s="294">
        <v>45194</v>
      </c>
      <c r="C14" s="85" t="s">
        <v>906</v>
      </c>
      <c r="D14" s="295">
        <v>3000</v>
      </c>
      <c r="E14" s="163">
        <f t="shared" si="0"/>
        <v>3000</v>
      </c>
      <c r="F14" s="291">
        <f t="shared" si="1"/>
        <v>0</v>
      </c>
      <c r="G14" s="292">
        <v>1</v>
      </c>
      <c r="H14" s="163">
        <f t="shared" si="2"/>
        <v>-705.3</v>
      </c>
      <c r="I14" s="63">
        <f t="shared" si="3"/>
        <v>-63106.825645999998</v>
      </c>
    </row>
    <row r="15" spans="2:11">
      <c r="B15" s="294">
        <v>45192</v>
      </c>
      <c r="C15" s="85" t="s">
        <v>906</v>
      </c>
      <c r="D15" s="295">
        <v>83000</v>
      </c>
      <c r="E15" s="163">
        <f t="shared" si="0"/>
        <v>83000</v>
      </c>
      <c r="F15" s="291">
        <f t="shared" si="1"/>
        <v>0</v>
      </c>
      <c r="G15" s="292">
        <v>1</v>
      </c>
      <c r="H15" s="163">
        <f t="shared" si="2"/>
        <v>-19513.3</v>
      </c>
      <c r="I15" s="63">
        <f t="shared" si="3"/>
        <v>-62401.525645999995</v>
      </c>
    </row>
    <row r="16" spans="2:11">
      <c r="B16" s="268">
        <v>45321</v>
      </c>
      <c r="C16" s="277" t="s">
        <v>889</v>
      </c>
      <c r="D16" s="220">
        <v>7000</v>
      </c>
      <c r="E16" s="163">
        <f t="shared" si="0"/>
        <v>0</v>
      </c>
      <c r="F16" s="291">
        <f t="shared" si="1"/>
        <v>-1645.7</v>
      </c>
      <c r="G16" s="292">
        <v>0</v>
      </c>
      <c r="H16" s="163">
        <f t="shared" si="2"/>
        <v>0</v>
      </c>
      <c r="I16" s="63">
        <f t="shared" si="3"/>
        <v>-42888.225645999992</v>
      </c>
    </row>
    <row r="17" spans="2:10">
      <c r="B17" s="294">
        <v>45290</v>
      </c>
      <c r="C17" s="85" t="s">
        <v>907</v>
      </c>
      <c r="D17" s="295">
        <v>6000</v>
      </c>
      <c r="E17" s="163">
        <f t="shared" si="0"/>
        <v>6000</v>
      </c>
      <c r="F17" s="291">
        <f t="shared" si="1"/>
        <v>0</v>
      </c>
      <c r="G17" s="292">
        <v>1</v>
      </c>
      <c r="H17" s="163">
        <f t="shared" si="2"/>
        <v>-1410.6</v>
      </c>
      <c r="I17" s="63">
        <f t="shared" si="3"/>
        <v>-42888.225645999992</v>
      </c>
    </row>
    <row r="18" spans="2:10">
      <c r="B18" s="294">
        <v>45260</v>
      </c>
      <c r="C18" s="85" t="s">
        <v>908</v>
      </c>
      <c r="D18" s="295">
        <v>6000</v>
      </c>
      <c r="E18" s="163">
        <f t="shared" si="0"/>
        <v>6000</v>
      </c>
      <c r="F18" s="291">
        <f t="shared" si="1"/>
        <v>0</v>
      </c>
      <c r="G18" s="292">
        <v>1</v>
      </c>
      <c r="H18" s="163">
        <f t="shared" si="2"/>
        <v>-1410.6</v>
      </c>
      <c r="I18" s="63">
        <f t="shared" si="3"/>
        <v>-41477.625645999993</v>
      </c>
    </row>
    <row r="19" spans="2:10">
      <c r="B19" s="294">
        <v>45229</v>
      </c>
      <c r="C19" s="85" t="s">
        <v>909</v>
      </c>
      <c r="D19" s="295">
        <v>6000</v>
      </c>
      <c r="E19" s="163">
        <f t="shared" si="0"/>
        <v>6000</v>
      </c>
      <c r="F19" s="291">
        <f t="shared" si="1"/>
        <v>0</v>
      </c>
      <c r="G19" s="292">
        <v>1</v>
      </c>
      <c r="H19" s="163">
        <f t="shared" si="2"/>
        <v>-1410.6</v>
      </c>
      <c r="I19" s="63">
        <f t="shared" si="3"/>
        <v>-40067.025645999995</v>
      </c>
    </row>
    <row r="20" spans="2:10">
      <c r="B20" s="294">
        <v>45199</v>
      </c>
      <c r="C20" s="85" t="s">
        <v>889</v>
      </c>
      <c r="D20" s="295">
        <v>6000</v>
      </c>
      <c r="E20" s="163">
        <f t="shared" si="0"/>
        <v>6000</v>
      </c>
      <c r="F20" s="291">
        <f t="shared" si="1"/>
        <v>0</v>
      </c>
      <c r="G20" s="292">
        <v>1</v>
      </c>
      <c r="H20" s="163">
        <f t="shared" si="2"/>
        <v>-1410.6</v>
      </c>
      <c r="I20" s="63">
        <f t="shared" si="3"/>
        <v>-38656.425645999996</v>
      </c>
    </row>
    <row r="21" spans="2:10">
      <c r="B21" s="294">
        <v>45171</v>
      </c>
      <c r="C21" s="85" t="s">
        <v>889</v>
      </c>
      <c r="D21" s="295">
        <v>65000</v>
      </c>
      <c r="E21" s="163">
        <f t="shared" si="0"/>
        <v>65000</v>
      </c>
      <c r="F21" s="291">
        <f t="shared" si="1"/>
        <v>0</v>
      </c>
      <c r="G21" s="292">
        <v>1</v>
      </c>
      <c r="H21" s="163">
        <f t="shared" si="2"/>
        <v>-15281.5</v>
      </c>
      <c r="I21" s="63">
        <f t="shared" si="3"/>
        <v>-37245.825645999998</v>
      </c>
    </row>
    <row r="22" spans="2:10">
      <c r="B22" s="294">
        <v>45122</v>
      </c>
      <c r="C22" s="85" t="s">
        <v>910</v>
      </c>
      <c r="D22" s="295">
        <v>50000</v>
      </c>
      <c r="E22" s="163">
        <f t="shared" si="0"/>
        <v>50000</v>
      </c>
      <c r="F22" s="291">
        <f t="shared" si="1"/>
        <v>0</v>
      </c>
      <c r="G22" s="292">
        <v>1</v>
      </c>
      <c r="H22" s="163">
        <f t="shared" si="2"/>
        <v>-11755</v>
      </c>
      <c r="I22" s="63">
        <f t="shared" si="3"/>
        <v>-21964.325646000001</v>
      </c>
    </row>
    <row r="23" spans="2:10">
      <c r="B23" s="85"/>
      <c r="C23" s="85" t="s">
        <v>911</v>
      </c>
      <c r="D23" s="295">
        <v>28080</v>
      </c>
      <c r="E23" s="163">
        <f t="shared" si="0"/>
        <v>28080</v>
      </c>
      <c r="F23" s="291">
        <f t="shared" si="1"/>
        <v>0</v>
      </c>
      <c r="G23" s="292">
        <v>1</v>
      </c>
      <c r="H23" s="163">
        <f t="shared" si="2"/>
        <v>-6601.6080000000002</v>
      </c>
      <c r="I23" s="63">
        <f t="shared" si="3"/>
        <v>-10209.325646000001</v>
      </c>
    </row>
    <row r="24" spans="2:10">
      <c r="B24" s="85"/>
      <c r="C24" s="85" t="s">
        <v>912</v>
      </c>
      <c r="D24" s="295">
        <v>8425.4599999999991</v>
      </c>
      <c r="E24" s="163">
        <f t="shared" si="0"/>
        <v>8425.4599999999991</v>
      </c>
      <c r="F24" s="291">
        <f t="shared" si="1"/>
        <v>0</v>
      </c>
      <c r="G24" s="292">
        <v>1</v>
      </c>
      <c r="H24" s="163">
        <f t="shared" si="2"/>
        <v>-1980.8256459999998</v>
      </c>
      <c r="I24" s="63">
        <f t="shared" si="3"/>
        <v>-3607.7176460000001</v>
      </c>
    </row>
    <row r="25" spans="2:10">
      <c r="B25" s="294">
        <v>44963</v>
      </c>
      <c r="C25" s="85" t="s">
        <v>913</v>
      </c>
      <c r="D25" s="295">
        <v>6920</v>
      </c>
      <c r="E25" s="163">
        <f t="shared" si="0"/>
        <v>6920</v>
      </c>
      <c r="F25" s="291">
        <f t="shared" si="1"/>
        <v>0</v>
      </c>
      <c r="G25" s="302">
        <v>1</v>
      </c>
      <c r="H25" s="163">
        <f t="shared" si="2"/>
        <v>-1626.8920000000001</v>
      </c>
      <c r="I25" s="63">
        <f t="shared" si="3"/>
        <v>-1626.8920000000001</v>
      </c>
    </row>
    <row r="27" spans="2:10">
      <c r="C27" t="s">
        <v>886</v>
      </c>
      <c r="D27" s="63">
        <f>SUBTOTAL(109,$D$7:$D$26)</f>
        <v>514468.97000000003</v>
      </c>
      <c r="E27" s="63">
        <f>SUBTOTAL(109,$E$9:$E$26)</f>
        <v>513312.52</v>
      </c>
      <c r="F27" s="63">
        <f>SUM(F8:F25)</f>
        <v>-1645.7</v>
      </c>
      <c r="H27" s="63">
        <f>SUBTOTAL(109,$H$7:$H$26)</f>
        <v>-119305.95484700004</v>
      </c>
      <c r="I27" s="63"/>
    </row>
    <row r="28" spans="2:10">
      <c r="C28" t="s">
        <v>914</v>
      </c>
      <c r="D28" s="63"/>
      <c r="E28" s="63">
        <f>E8</f>
        <v>-5843.55</v>
      </c>
      <c r="F28" s="63"/>
      <c r="H28" s="63"/>
      <c r="I28" s="63"/>
    </row>
    <row r="29" spans="2:10">
      <c r="C29" t="s">
        <v>915</v>
      </c>
      <c r="D29" s="63"/>
      <c r="E29" s="63">
        <f>E28+E27</f>
        <v>507468.97000000003</v>
      </c>
      <c r="F29" s="63"/>
      <c r="H29" s="63"/>
      <c r="I29" s="63"/>
    </row>
    <row r="30" spans="2:10">
      <c r="D30" s="63"/>
      <c r="E30" s="63"/>
      <c r="F30" s="63"/>
      <c r="H30" s="63"/>
      <c r="I30" s="63"/>
    </row>
    <row r="31" spans="2:10">
      <c r="D31" s="163" t="s">
        <v>892</v>
      </c>
      <c r="E31" s="63" t="s">
        <v>893</v>
      </c>
      <c r="F31" s="63" t="s">
        <v>894</v>
      </c>
      <c r="H31" s="303"/>
      <c r="I31" s="303"/>
      <c r="J31" s="282"/>
    </row>
    <row r="32" spans="2:10" ht="15.75">
      <c r="C32" t="s">
        <v>895</v>
      </c>
      <c r="D32" s="304">
        <v>1</v>
      </c>
      <c r="E32" s="305">
        <f>1-F32</f>
        <v>0.76490000000000002</v>
      </c>
      <c r="F32" s="305">
        <v>0.2351</v>
      </c>
      <c r="I32" s="63"/>
    </row>
    <row r="33" spans="3:11">
      <c r="C33" t="s">
        <v>896</v>
      </c>
      <c r="D33" s="306">
        <f>$D$27*D32</f>
        <v>514468.97000000003</v>
      </c>
      <c r="E33" s="307">
        <f>$D$27*E32</f>
        <v>393517.31515300006</v>
      </c>
      <c r="F33" s="307">
        <f>$D$27*F32</f>
        <v>120951.65484700001</v>
      </c>
      <c r="I33" s="63"/>
    </row>
    <row r="34" spans="3:11">
      <c r="C34" t="s">
        <v>897</v>
      </c>
      <c r="D34" s="163">
        <f>E34+F34</f>
        <v>507468.9700000002</v>
      </c>
      <c r="E34" s="63">
        <f>F34/F32*E32</f>
        <v>388163.01515300019</v>
      </c>
      <c r="F34" s="63">
        <f>$H$27*-1</f>
        <v>119305.95484700004</v>
      </c>
      <c r="H34" s="308"/>
      <c r="I34" s="63"/>
      <c r="K34" s="63"/>
    </row>
    <row r="35" spans="3:11">
      <c r="C35" t="s">
        <v>898</v>
      </c>
      <c r="D35" s="163">
        <f>D33-D34</f>
        <v>6999.9999999998254</v>
      </c>
      <c r="E35" s="63">
        <f>E33-E34</f>
        <v>5354.2999999998719</v>
      </c>
      <c r="F35" s="63">
        <f>F33-F34</f>
        <v>1645.699999999968</v>
      </c>
      <c r="H35" s="63"/>
      <c r="I35" s="63"/>
      <c r="K35" s="63"/>
    </row>
    <row r="36" spans="3:11">
      <c r="D36" s="309"/>
      <c r="E36" s="309"/>
      <c r="F36" s="309"/>
      <c r="H36" s="63"/>
      <c r="I36" s="63"/>
      <c r="K36" s="63"/>
    </row>
    <row r="37" spans="3:11">
      <c r="I37" s="63"/>
      <c r="K37" s="63"/>
    </row>
    <row r="38" spans="3:11">
      <c r="D38" s="18" t="s">
        <v>899</v>
      </c>
      <c r="E38" s="18" t="s">
        <v>900</v>
      </c>
      <c r="F38" s="18" t="s">
        <v>901</v>
      </c>
      <c r="H38" s="63"/>
      <c r="I38" s="63"/>
      <c r="K38" s="63"/>
    </row>
    <row r="39" spans="3:11">
      <c r="C39" t="s">
        <v>916</v>
      </c>
      <c r="D39" s="63">
        <f>F34</f>
        <v>119305.95484700004</v>
      </c>
      <c r="E39" s="310">
        <v>2.5000000000000001E-2</v>
      </c>
      <c r="F39" s="63">
        <f>D39*E39</f>
        <v>2982.6488711750012</v>
      </c>
      <c r="I39" s="63"/>
      <c r="K39" s="63"/>
    </row>
    <row r="40" spans="3:11">
      <c r="C40" s="63" t="s">
        <v>805</v>
      </c>
      <c r="D40" s="63">
        <f>E34</f>
        <v>388163.01515300019</v>
      </c>
      <c r="E40" s="171">
        <v>2.5000000000000001E-2</v>
      </c>
      <c r="F40" s="63">
        <f>D40*E40</f>
        <v>9704.0753788250058</v>
      </c>
      <c r="I40" s="63"/>
    </row>
    <row r="41" spans="3:11">
      <c r="F41" s="63"/>
      <c r="H41" s="63"/>
      <c r="I41" s="63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375623"/>
  </sheetPr>
  <dimension ref="A1:H131"/>
  <sheetViews>
    <sheetView zoomScale="170" zoomScaleNormal="170" workbookViewId="0">
      <selection activeCell="A111" sqref="A111"/>
    </sheetView>
  </sheetViews>
  <sheetFormatPr defaultColWidth="12.28515625" defaultRowHeight="12.75"/>
  <cols>
    <col min="1" max="1" width="12.42578125" customWidth="1"/>
    <col min="2" max="2" width="32.42578125" customWidth="1"/>
    <col min="3" max="3" width="11.140625" customWidth="1"/>
    <col min="4" max="4" width="11.85546875" customWidth="1"/>
    <col min="5" max="5" width="13.28515625" bestFit="1" customWidth="1"/>
    <col min="6" max="6" width="12.5703125" bestFit="1" customWidth="1"/>
    <col min="7" max="7" width="11.140625" customWidth="1"/>
    <col min="8" max="8" width="13.42578125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917</v>
      </c>
      <c r="C2" s="79" t="s">
        <v>67</v>
      </c>
      <c r="D2" s="306">
        <f>SUM(D5:D35)</f>
        <v>22800</v>
      </c>
      <c r="E2" s="306">
        <f>SUM(E5:E35)</f>
        <v>-38101.83</v>
      </c>
      <c r="F2" s="306">
        <f>SUM(F5:F35)</f>
        <v>16232.529999999999</v>
      </c>
      <c r="G2" s="306">
        <f>SUM(G5:G35)</f>
        <v>-41854.230000000003</v>
      </c>
      <c r="H2" s="306">
        <f>F2+G2</f>
        <v>-25621.700000000004</v>
      </c>
    </row>
    <row r="3" spans="1:8">
      <c r="B3" s="18"/>
      <c r="H3" s="63"/>
    </row>
    <row r="4" spans="1:8">
      <c r="A4" s="165">
        <v>45259</v>
      </c>
      <c r="B4" s="311" t="s">
        <v>430</v>
      </c>
      <c r="C4" s="8" t="s">
        <v>438</v>
      </c>
      <c r="E4" s="63">
        <v>-152</v>
      </c>
      <c r="G4" s="63">
        <v>-152</v>
      </c>
      <c r="H4" s="63">
        <f t="shared" ref="H4:H35" si="0">H3+F4+G4</f>
        <v>-152</v>
      </c>
    </row>
    <row r="5" spans="1:8">
      <c r="A5" s="165">
        <v>45260</v>
      </c>
      <c r="B5" s="101" t="s">
        <v>80</v>
      </c>
      <c r="C5" s="101"/>
      <c r="D5" s="101"/>
      <c r="E5" s="63">
        <v>-400</v>
      </c>
      <c r="G5">
        <v>-240</v>
      </c>
      <c r="H5" s="63">
        <f t="shared" si="0"/>
        <v>-392</v>
      </c>
    </row>
    <row r="6" spans="1:8">
      <c r="A6" s="165">
        <v>45260</v>
      </c>
      <c r="B6" s="101" t="s">
        <v>81</v>
      </c>
      <c r="C6" s="101"/>
      <c r="D6" s="101"/>
      <c r="E6" s="63">
        <v>-500</v>
      </c>
      <c r="G6">
        <v>-455</v>
      </c>
      <c r="H6" s="63">
        <f t="shared" si="0"/>
        <v>-847</v>
      </c>
    </row>
    <row r="7" spans="1:8">
      <c r="A7" s="165">
        <v>45264</v>
      </c>
      <c r="B7" s="101" t="s">
        <v>918</v>
      </c>
      <c r="C7" s="101"/>
      <c r="D7" s="101"/>
      <c r="E7" s="63">
        <v>-250</v>
      </c>
      <c r="G7" s="63">
        <f>E7</f>
        <v>-250</v>
      </c>
      <c r="H7" s="63">
        <f t="shared" si="0"/>
        <v>-1097</v>
      </c>
    </row>
    <row r="8" spans="1:8">
      <c r="B8" s="101" t="s">
        <v>919</v>
      </c>
      <c r="C8" s="101"/>
      <c r="D8" s="101"/>
      <c r="E8" s="163"/>
      <c r="H8" s="63">
        <f t="shared" si="0"/>
        <v>-1097</v>
      </c>
    </row>
    <row r="9" spans="1:8">
      <c r="B9" s="101" t="s">
        <v>920</v>
      </c>
      <c r="C9" s="101"/>
      <c r="D9" s="101"/>
      <c r="E9" s="163"/>
      <c r="H9" s="63">
        <f t="shared" si="0"/>
        <v>-1097</v>
      </c>
    </row>
    <row r="10" spans="1:8">
      <c r="B10" s="101" t="s">
        <v>119</v>
      </c>
      <c r="C10" s="101"/>
      <c r="D10" s="101"/>
      <c r="E10" s="163"/>
      <c r="H10" s="63">
        <f t="shared" si="0"/>
        <v>-1097</v>
      </c>
    </row>
    <row r="11" spans="1:8">
      <c r="B11" s="178" t="s">
        <v>72</v>
      </c>
      <c r="D11" s="63"/>
      <c r="E11" s="63">
        <f>E52*-1</f>
        <v>-138.01</v>
      </c>
      <c r="F11" s="63"/>
      <c r="G11" s="63">
        <f t="shared" ref="G11:G16" si="1">E11</f>
        <v>-138.01</v>
      </c>
      <c r="H11" s="63">
        <f t="shared" si="0"/>
        <v>-1235.01</v>
      </c>
    </row>
    <row r="12" spans="1:8">
      <c r="B12" s="178" t="s">
        <v>68</v>
      </c>
      <c r="E12" s="63">
        <f>E58</f>
        <v>-4628.58</v>
      </c>
      <c r="F12" s="63"/>
      <c r="G12" s="63">
        <f t="shared" si="1"/>
        <v>-4628.58</v>
      </c>
      <c r="H12" s="63">
        <f t="shared" si="0"/>
        <v>-5863.59</v>
      </c>
    </row>
    <row r="13" spans="1:8">
      <c r="A13" s="165">
        <v>45264</v>
      </c>
      <c r="B13" s="178" t="s">
        <v>69</v>
      </c>
      <c r="E13" s="63">
        <f>E81</f>
        <v>-11990.160000000002</v>
      </c>
      <c r="G13" s="63">
        <f t="shared" si="1"/>
        <v>-11990.160000000002</v>
      </c>
      <c r="H13" s="63">
        <f t="shared" si="0"/>
        <v>-17853.75</v>
      </c>
    </row>
    <row r="14" spans="1:8">
      <c r="A14" s="160"/>
      <c r="B14" s="101" t="s">
        <v>921</v>
      </c>
      <c r="C14" s="101"/>
      <c r="D14" s="101"/>
      <c r="E14" s="63">
        <v>-5375</v>
      </c>
      <c r="G14" s="63">
        <f t="shared" si="1"/>
        <v>-5375</v>
      </c>
      <c r="H14" s="63">
        <f t="shared" si="0"/>
        <v>-23228.75</v>
      </c>
    </row>
    <row r="15" spans="1:8">
      <c r="A15" s="160"/>
      <c r="B15" s="101" t="s">
        <v>921</v>
      </c>
      <c r="C15" s="101"/>
      <c r="D15" s="101"/>
      <c r="E15" s="63">
        <v>-2125</v>
      </c>
      <c r="G15" s="63">
        <f t="shared" si="1"/>
        <v>-2125</v>
      </c>
      <c r="H15" s="63">
        <f t="shared" si="0"/>
        <v>-25353.75</v>
      </c>
    </row>
    <row r="16" spans="1:8">
      <c r="B16" s="101" t="s">
        <v>922</v>
      </c>
      <c r="C16" s="101"/>
      <c r="D16" s="101"/>
      <c r="E16" s="63">
        <v>-945.08</v>
      </c>
      <c r="F16" s="163"/>
      <c r="G16" s="63">
        <f t="shared" si="1"/>
        <v>-945.08</v>
      </c>
      <c r="H16" s="63">
        <f t="shared" si="0"/>
        <v>-26298.83</v>
      </c>
    </row>
    <row r="17" spans="1:8">
      <c r="B17" s="101" t="s">
        <v>75</v>
      </c>
      <c r="C17" s="101"/>
      <c r="D17" s="101"/>
      <c r="E17" s="63">
        <v>-150</v>
      </c>
      <c r="F17" s="163"/>
      <c r="G17" s="63">
        <v>-133.4</v>
      </c>
      <c r="H17" s="63">
        <f t="shared" si="0"/>
        <v>-26432.230000000003</v>
      </c>
    </row>
    <row r="18" spans="1:8">
      <c r="B18" s="106" t="s">
        <v>73</v>
      </c>
      <c r="C18" s="106"/>
      <c r="D18" s="106"/>
      <c r="E18" s="63">
        <v>-1000</v>
      </c>
      <c r="F18" s="163"/>
      <c r="G18" s="63">
        <v>-621</v>
      </c>
      <c r="H18" s="63">
        <f t="shared" si="0"/>
        <v>-27053.230000000003</v>
      </c>
    </row>
    <row r="19" spans="1:8">
      <c r="B19" s="106" t="s">
        <v>74</v>
      </c>
      <c r="C19" s="106"/>
      <c r="D19" s="106"/>
      <c r="E19" s="63">
        <v>-100</v>
      </c>
      <c r="F19" s="163"/>
      <c r="G19" s="63">
        <v>0</v>
      </c>
      <c r="H19" s="63">
        <f t="shared" si="0"/>
        <v>-27053.230000000003</v>
      </c>
    </row>
    <row r="20" spans="1:8">
      <c r="A20" s="165">
        <v>45272</v>
      </c>
      <c r="B20" s="106" t="s">
        <v>77</v>
      </c>
      <c r="C20" s="106"/>
      <c r="D20" s="106"/>
      <c r="E20" s="163"/>
      <c r="F20" s="163"/>
      <c r="G20" s="63">
        <v>-3512</v>
      </c>
      <c r="H20" s="63">
        <f t="shared" si="0"/>
        <v>-30565.230000000003</v>
      </c>
    </row>
    <row r="21" spans="1:8">
      <c r="A21" s="165">
        <v>45287</v>
      </c>
      <c r="B21" s="8" t="s">
        <v>77</v>
      </c>
      <c r="E21" s="63">
        <v>-3500</v>
      </c>
      <c r="F21" s="63"/>
      <c r="G21" s="63">
        <v>-3512</v>
      </c>
      <c r="H21" s="63">
        <f t="shared" si="0"/>
        <v>-34077.230000000003</v>
      </c>
    </row>
    <row r="22" spans="1:8">
      <c r="A22" s="165">
        <v>45287</v>
      </c>
      <c r="B22" s="8" t="s">
        <v>78</v>
      </c>
      <c r="E22" s="63">
        <v>-3500</v>
      </c>
      <c r="F22" s="63"/>
      <c r="G22" s="63">
        <v>-3512</v>
      </c>
      <c r="H22" s="63">
        <f t="shared" si="0"/>
        <v>-37589.230000000003</v>
      </c>
    </row>
    <row r="23" spans="1:8">
      <c r="B23" t="s">
        <v>79</v>
      </c>
      <c r="E23" s="63">
        <v>-3500</v>
      </c>
      <c r="F23" s="63"/>
      <c r="G23" s="63">
        <v>-3512</v>
      </c>
      <c r="H23" s="63">
        <f t="shared" si="0"/>
        <v>-41101.230000000003</v>
      </c>
    </row>
    <row r="24" spans="1:8">
      <c r="B24" t="s">
        <v>923</v>
      </c>
      <c r="E24" s="163"/>
      <c r="F24" s="63"/>
      <c r="G24" s="63">
        <v>-155</v>
      </c>
      <c r="H24" s="63">
        <f t="shared" si="0"/>
        <v>-41256.230000000003</v>
      </c>
    </row>
    <row r="25" spans="1:8">
      <c r="A25" s="165">
        <v>45655</v>
      </c>
      <c r="B25" s="101" t="s">
        <v>80</v>
      </c>
      <c r="C25" s="101"/>
      <c r="D25" s="101"/>
      <c r="E25" s="163"/>
      <c r="F25" s="63"/>
      <c r="G25" s="63">
        <v>-250</v>
      </c>
      <c r="H25" s="63">
        <f t="shared" si="0"/>
        <v>-41506.230000000003</v>
      </c>
    </row>
    <row r="26" spans="1:8">
      <c r="A26" s="165">
        <v>45655</v>
      </c>
      <c r="B26" s="101" t="s">
        <v>81</v>
      </c>
      <c r="C26" s="101"/>
      <c r="D26" s="101"/>
      <c r="E26" s="163"/>
      <c r="F26" s="63"/>
      <c r="G26" s="63">
        <v>-500</v>
      </c>
      <c r="H26" s="63">
        <f t="shared" si="0"/>
        <v>-42006.23</v>
      </c>
    </row>
    <row r="27" spans="1:8">
      <c r="E27" s="163"/>
      <c r="F27" s="63"/>
      <c r="G27" s="63"/>
      <c r="H27" s="63">
        <f t="shared" si="0"/>
        <v>-42006.23</v>
      </c>
    </row>
    <row r="28" spans="1:8">
      <c r="B28" t="s">
        <v>76</v>
      </c>
      <c r="D28" s="186">
        <v>7500</v>
      </c>
      <c r="F28" s="63">
        <v>7432.53</v>
      </c>
      <c r="G28" s="63"/>
      <c r="H28" s="63">
        <f t="shared" si="0"/>
        <v>-34573.700000000004</v>
      </c>
    </row>
    <row r="29" spans="1:8">
      <c r="A29" s="165">
        <v>45275</v>
      </c>
      <c r="B29" s="8" t="s">
        <v>924</v>
      </c>
      <c r="D29" s="186">
        <v>2800</v>
      </c>
      <c r="F29" s="63">
        <v>2800</v>
      </c>
      <c r="G29" s="63"/>
      <c r="H29" s="63">
        <f t="shared" si="0"/>
        <v>-31773.700000000004</v>
      </c>
    </row>
    <row r="30" spans="1:8">
      <c r="A30" s="160">
        <v>45293</v>
      </c>
      <c r="B30" s="8" t="s">
        <v>762</v>
      </c>
      <c r="D30" s="186">
        <v>6500</v>
      </c>
      <c r="F30" s="63"/>
      <c r="G30" s="63"/>
      <c r="H30" s="63">
        <f t="shared" si="0"/>
        <v>-31773.700000000004</v>
      </c>
    </row>
    <row r="31" spans="1:8">
      <c r="A31" s="160"/>
      <c r="D31" s="102"/>
      <c r="H31" s="63">
        <f t="shared" si="0"/>
        <v>-31773.700000000004</v>
      </c>
    </row>
    <row r="32" spans="1:8">
      <c r="A32" s="160">
        <v>45294</v>
      </c>
      <c r="B32" s="8" t="s">
        <v>764</v>
      </c>
      <c r="D32" s="186">
        <v>6000</v>
      </c>
      <c r="F32" s="63"/>
      <c r="G32" s="63"/>
      <c r="H32" s="63">
        <f t="shared" si="0"/>
        <v>-31773.700000000004</v>
      </c>
    </row>
    <row r="33" spans="1:8">
      <c r="A33" s="160">
        <v>45266</v>
      </c>
      <c r="B33" s="8" t="s">
        <v>925</v>
      </c>
      <c r="D33" s="102"/>
      <c r="F33" s="63">
        <v>6000</v>
      </c>
      <c r="G33" s="63"/>
      <c r="H33" s="63">
        <f t="shared" si="0"/>
        <v>-25773.700000000004</v>
      </c>
    </row>
    <row r="34" spans="1:8">
      <c r="D34" s="102"/>
      <c r="F34" s="63"/>
      <c r="G34" s="63"/>
      <c r="H34" s="63">
        <f t="shared" si="0"/>
        <v>-25773.700000000004</v>
      </c>
    </row>
    <row r="35" spans="1:8">
      <c r="D35" s="102"/>
      <c r="F35" s="63"/>
      <c r="G35" s="63"/>
      <c r="H35" s="63">
        <f t="shared" si="0"/>
        <v>-25773.700000000004</v>
      </c>
    </row>
    <row r="41" spans="1:8">
      <c r="A41" s="103" t="s">
        <v>331</v>
      </c>
      <c r="B41" s="103"/>
      <c r="C41" s="103"/>
      <c r="D41" s="103"/>
      <c r="E41" s="158"/>
      <c r="G41" s="63"/>
      <c r="H41" s="63"/>
    </row>
    <row r="42" spans="1:8">
      <c r="A42" s="312"/>
      <c r="B42" s="312"/>
      <c r="C42" s="312"/>
      <c r="D42" s="312"/>
      <c r="E42" s="313"/>
      <c r="H42" s="63"/>
    </row>
    <row r="43" spans="1:8">
      <c r="A43" s="312"/>
      <c r="B43" s="312"/>
      <c r="C43" s="314"/>
      <c r="D43" s="312"/>
      <c r="E43" s="312"/>
      <c r="H43" s="63"/>
    </row>
    <row r="44" spans="1:8">
      <c r="A44" s="312"/>
      <c r="B44" s="312"/>
      <c r="C44" s="314"/>
      <c r="D44" s="312"/>
      <c r="E44" s="312"/>
      <c r="H44" s="63"/>
    </row>
    <row r="45" spans="1:8">
      <c r="C45" s="171"/>
      <c r="H45" s="63"/>
    </row>
    <row r="46" spans="1:8">
      <c r="A46" s="315">
        <v>44929</v>
      </c>
      <c r="B46" s="173" t="s">
        <v>332</v>
      </c>
      <c r="C46" s="103"/>
      <c r="D46" s="201">
        <f>SUM(D47:D54)</f>
        <v>5357.51</v>
      </c>
      <c r="E46" s="201">
        <f>SUM(E47:E53)</f>
        <v>5360.01</v>
      </c>
      <c r="H46" s="63"/>
    </row>
    <row r="47" spans="1:8">
      <c r="B47" t="s">
        <v>926</v>
      </c>
      <c r="C47" t="s">
        <v>154</v>
      </c>
      <c r="D47">
        <v>947.93</v>
      </c>
      <c r="E47" s="63">
        <v>950</v>
      </c>
      <c r="F47" s="63"/>
      <c r="G47" s="63"/>
    </row>
    <row r="48" spans="1:8">
      <c r="B48" t="s">
        <v>334</v>
      </c>
      <c r="C48" t="s">
        <v>927</v>
      </c>
      <c r="D48">
        <v>1830.06</v>
      </c>
      <c r="E48" s="63">
        <v>1830</v>
      </c>
      <c r="F48" s="63"/>
      <c r="G48" s="63"/>
    </row>
    <row r="49" spans="1:8">
      <c r="B49" t="s">
        <v>335</v>
      </c>
      <c r="C49" t="s">
        <v>927</v>
      </c>
      <c r="D49">
        <v>209.55</v>
      </c>
      <c r="E49">
        <v>210</v>
      </c>
      <c r="F49" s="63"/>
      <c r="G49" s="63"/>
    </row>
    <row r="50" spans="1:8">
      <c r="B50" t="s">
        <v>336</v>
      </c>
      <c r="C50" t="s">
        <v>928</v>
      </c>
      <c r="D50">
        <v>1732.62</v>
      </c>
      <c r="E50">
        <v>1732</v>
      </c>
      <c r="F50" s="63"/>
      <c r="G50" s="63"/>
    </row>
    <row r="51" spans="1:8">
      <c r="B51" t="s">
        <v>337</v>
      </c>
      <c r="C51" t="s">
        <v>927</v>
      </c>
      <c r="D51">
        <v>499.34</v>
      </c>
      <c r="E51">
        <v>500</v>
      </c>
      <c r="F51" s="63"/>
      <c r="G51" s="63"/>
    </row>
    <row r="52" spans="1:8">
      <c r="B52" t="s">
        <v>338</v>
      </c>
      <c r="C52" s="106"/>
      <c r="D52" s="106">
        <v>138.01</v>
      </c>
      <c r="E52">
        <v>138.01</v>
      </c>
      <c r="F52" s="63"/>
      <c r="G52" s="63"/>
    </row>
    <row r="53" spans="1:8">
      <c r="C53" s="106"/>
      <c r="E53" s="106"/>
      <c r="F53" s="63"/>
      <c r="G53" s="63"/>
    </row>
    <row r="54" spans="1:8">
      <c r="C54" s="106"/>
      <c r="D54" s="106"/>
    </row>
    <row r="56" spans="1:8">
      <c r="B56" s="17"/>
    </row>
    <row r="57" spans="1:8">
      <c r="B57" s="102"/>
    </row>
    <row r="58" spans="1:8">
      <c r="A58" s="103"/>
      <c r="B58" s="104" t="s">
        <v>83</v>
      </c>
      <c r="C58" s="103"/>
      <c r="D58" s="158"/>
      <c r="E58" s="316">
        <f>SUM(E59:E78)</f>
        <v>-4628.58</v>
      </c>
      <c r="F58" s="159">
        <f>SUM(F59:F78)</f>
        <v>0</v>
      </c>
    </row>
    <row r="59" spans="1:8">
      <c r="C59" s="106"/>
      <c r="D59" s="106"/>
      <c r="E59" s="163"/>
      <c r="G59" s="63"/>
      <c r="H59" s="63"/>
    </row>
    <row r="60" spans="1:8">
      <c r="A60" s="160">
        <v>44995</v>
      </c>
      <c r="B60" s="8" t="s">
        <v>777</v>
      </c>
      <c r="C60">
        <v>613.91</v>
      </c>
      <c r="D60" s="35" t="s">
        <v>929</v>
      </c>
      <c r="E60" s="163">
        <v>-61.39</v>
      </c>
      <c r="F60" s="63"/>
      <c r="G60" s="63"/>
      <c r="H60" s="63"/>
    </row>
    <row r="61" spans="1:8">
      <c r="F61" s="63"/>
      <c r="G61" s="63"/>
      <c r="H61" s="63"/>
    </row>
    <row r="62" spans="1:8">
      <c r="A62" s="160">
        <v>45043</v>
      </c>
      <c r="B62" s="106" t="s">
        <v>729</v>
      </c>
      <c r="C62" s="106">
        <v>10764.57</v>
      </c>
      <c r="D62" s="35" t="s">
        <v>400</v>
      </c>
      <c r="E62" s="163">
        <v>-1196.06</v>
      </c>
      <c r="F62" s="63"/>
      <c r="G62" s="63"/>
      <c r="H62" s="63"/>
    </row>
    <row r="63" spans="1:8">
      <c r="A63" s="160">
        <v>45078</v>
      </c>
      <c r="B63" s="106" t="s">
        <v>930</v>
      </c>
      <c r="D63" s="204" t="s">
        <v>445</v>
      </c>
      <c r="E63" s="163">
        <v>-666.65</v>
      </c>
      <c r="F63" s="63"/>
      <c r="G63" s="63"/>
      <c r="H63" s="63"/>
    </row>
    <row r="64" spans="1:8">
      <c r="A64" s="100">
        <v>45187</v>
      </c>
      <c r="B64" s="106" t="s">
        <v>566</v>
      </c>
      <c r="C64" s="106">
        <v>7648.33</v>
      </c>
      <c r="D64" s="204" t="s">
        <v>931</v>
      </c>
      <c r="E64" s="163">
        <v>-849.81</v>
      </c>
      <c r="F64" s="63"/>
      <c r="G64" s="63"/>
      <c r="H64" s="63"/>
    </row>
    <row r="65" spans="1:8">
      <c r="A65" s="100">
        <v>45187</v>
      </c>
      <c r="B65" s="106" t="s">
        <v>681</v>
      </c>
      <c r="C65" s="106">
        <v>11128</v>
      </c>
      <c r="D65" s="204" t="s">
        <v>932</v>
      </c>
      <c r="E65" s="163">
        <v>-1854.67</v>
      </c>
      <c r="F65" s="63"/>
      <c r="G65" s="63"/>
      <c r="H65" s="63"/>
    </row>
    <row r="66" spans="1:8" ht="15">
      <c r="A66" s="100"/>
      <c r="B66" s="106"/>
      <c r="C66" s="106"/>
      <c r="D66" s="105" t="s">
        <v>84</v>
      </c>
      <c r="E66" s="163"/>
      <c r="F66" s="63"/>
      <c r="G66" s="63"/>
      <c r="H66" s="63"/>
    </row>
    <row r="67" spans="1:8">
      <c r="A67" s="100"/>
      <c r="B67" s="106"/>
      <c r="C67" s="106"/>
      <c r="D67" s="204"/>
      <c r="E67" s="163"/>
      <c r="F67" s="63"/>
      <c r="G67" s="63"/>
      <c r="H67" s="63"/>
    </row>
    <row r="68" spans="1:8">
      <c r="A68" s="100"/>
      <c r="B68" s="106"/>
      <c r="C68" s="106"/>
      <c r="D68" s="204"/>
      <c r="E68" s="163"/>
      <c r="F68" s="63"/>
      <c r="G68" s="63"/>
      <c r="H68" s="63"/>
    </row>
    <row r="69" spans="1:8">
      <c r="A69" s="100"/>
      <c r="B69" s="106"/>
      <c r="C69" s="106"/>
      <c r="D69" s="204"/>
      <c r="E69" s="163"/>
      <c r="F69" s="63"/>
      <c r="G69" s="63"/>
      <c r="H69" s="63"/>
    </row>
    <row r="70" spans="1:8">
      <c r="A70" s="100"/>
      <c r="B70" s="106"/>
      <c r="C70" s="106"/>
      <c r="D70" s="204"/>
      <c r="E70" s="163"/>
      <c r="F70" s="63"/>
      <c r="G70" s="63"/>
      <c r="H70" s="63"/>
    </row>
    <row r="71" spans="1:8">
      <c r="A71" s="100"/>
      <c r="B71" s="106"/>
      <c r="C71" s="106"/>
      <c r="D71" s="204"/>
      <c r="E71" s="163"/>
      <c r="F71" s="63"/>
      <c r="G71" s="63"/>
      <c r="H71" s="63"/>
    </row>
    <row r="72" spans="1:8">
      <c r="A72" s="100"/>
      <c r="B72" s="106"/>
      <c r="C72" s="106"/>
      <c r="D72" s="204"/>
      <c r="E72" s="163"/>
      <c r="F72" s="63"/>
      <c r="G72" s="63"/>
      <c r="H72" s="63"/>
    </row>
    <row r="73" spans="1:8">
      <c r="A73" s="100"/>
      <c r="B73" s="106"/>
      <c r="C73" s="106"/>
      <c r="D73" s="204"/>
      <c r="E73" s="163"/>
      <c r="F73" s="63"/>
      <c r="G73" s="63"/>
      <c r="H73" s="63"/>
    </row>
    <row r="74" spans="1:8">
      <c r="B74" s="106"/>
      <c r="C74" s="106"/>
      <c r="D74" s="106"/>
      <c r="E74" s="163"/>
      <c r="F74" s="63"/>
      <c r="G74" s="63"/>
      <c r="H74" s="63"/>
    </row>
    <row r="75" spans="1:8">
      <c r="C75" s="106"/>
      <c r="D75" s="106"/>
      <c r="E75" s="163"/>
      <c r="F75" s="63"/>
      <c r="G75" s="63"/>
      <c r="H75" s="63"/>
    </row>
    <row r="76" spans="1:8">
      <c r="E76" s="163"/>
    </row>
    <row r="77" spans="1:8">
      <c r="E77" s="163"/>
    </row>
    <row r="78" spans="1:8">
      <c r="E78" s="163"/>
    </row>
    <row r="79" spans="1:8">
      <c r="D79" s="35"/>
    </row>
    <row r="81" spans="1:8">
      <c r="A81" s="103"/>
      <c r="B81" s="104" t="s">
        <v>85</v>
      </c>
      <c r="C81" s="103"/>
      <c r="D81" s="103"/>
      <c r="E81" s="201">
        <f>SUM(E82:E107)</f>
        <v>-11990.160000000002</v>
      </c>
      <c r="F81" s="159">
        <f>SUM(F82:F90)</f>
        <v>0</v>
      </c>
    </row>
    <row r="82" spans="1:8">
      <c r="A82" s="100">
        <v>45217</v>
      </c>
      <c r="B82" s="106" t="s">
        <v>688</v>
      </c>
      <c r="C82" s="106"/>
      <c r="D82" s="8" t="s">
        <v>933</v>
      </c>
      <c r="E82" s="163">
        <v>-3974.44</v>
      </c>
      <c r="F82" s="63"/>
      <c r="G82" s="63"/>
      <c r="H82" s="63"/>
    </row>
    <row r="83" spans="1:8">
      <c r="A83" s="165">
        <v>45214</v>
      </c>
      <c r="B83" s="8" t="s">
        <v>661</v>
      </c>
      <c r="D83" s="8" t="s">
        <v>934</v>
      </c>
      <c r="E83" s="163">
        <v>-600</v>
      </c>
      <c r="F83" s="63"/>
      <c r="G83" s="63"/>
      <c r="H83" s="63"/>
    </row>
    <row r="84" spans="1:8">
      <c r="B84" s="107"/>
      <c r="E84" s="163"/>
    </row>
    <row r="85" spans="1:8">
      <c r="A85" s="165">
        <v>45226</v>
      </c>
      <c r="B85" s="8" t="s">
        <v>935</v>
      </c>
      <c r="E85" s="163">
        <v>-1046.0999999999999</v>
      </c>
    </row>
    <row r="86" spans="1:8">
      <c r="A86" s="165">
        <v>45226</v>
      </c>
      <c r="B86" s="8" t="s">
        <v>935</v>
      </c>
      <c r="E86" s="163">
        <v>-1046.0999999999999</v>
      </c>
    </row>
    <row r="87" spans="1:8">
      <c r="A87" s="165">
        <v>45224</v>
      </c>
      <c r="B87" s="8" t="s">
        <v>657</v>
      </c>
      <c r="D87">
        <v>160</v>
      </c>
      <c r="E87" s="163">
        <v>-160</v>
      </c>
    </row>
    <row r="88" spans="1:8">
      <c r="A88" s="165">
        <v>45225</v>
      </c>
      <c r="B88" s="8" t="s">
        <v>657</v>
      </c>
      <c r="D88">
        <v>200</v>
      </c>
      <c r="E88" s="163">
        <v>-200</v>
      </c>
    </row>
    <row r="89" spans="1:8">
      <c r="A89" s="165">
        <v>45225</v>
      </c>
      <c r="B89" s="8" t="s">
        <v>347</v>
      </c>
      <c r="E89" s="163">
        <v>-200</v>
      </c>
    </row>
    <row r="90" spans="1:8">
      <c r="A90" s="165">
        <v>45226</v>
      </c>
      <c r="B90" s="8" t="s">
        <v>657</v>
      </c>
      <c r="D90" s="35">
        <v>150</v>
      </c>
      <c r="E90" s="163">
        <v>-150</v>
      </c>
    </row>
    <row r="91" spans="1:8">
      <c r="A91" s="165">
        <v>45227</v>
      </c>
      <c r="B91" s="8" t="s">
        <v>657</v>
      </c>
      <c r="D91" s="35">
        <v>100</v>
      </c>
      <c r="E91" s="163">
        <v>-100</v>
      </c>
    </row>
    <row r="92" spans="1:8">
      <c r="A92" s="165">
        <v>45227</v>
      </c>
      <c r="B92" s="8" t="s">
        <v>135</v>
      </c>
      <c r="D92">
        <v>70</v>
      </c>
      <c r="E92" s="163">
        <v>-70</v>
      </c>
    </row>
    <row r="93" spans="1:8">
      <c r="A93" s="165">
        <v>45229</v>
      </c>
      <c r="B93" s="8" t="s">
        <v>657</v>
      </c>
      <c r="D93">
        <v>200</v>
      </c>
      <c r="E93" s="163">
        <v>-200</v>
      </c>
    </row>
    <row r="94" spans="1:8">
      <c r="A94" s="165">
        <v>45229</v>
      </c>
      <c r="B94" s="8" t="s">
        <v>936</v>
      </c>
      <c r="D94">
        <v>95.49</v>
      </c>
      <c r="E94" s="163">
        <v>-95.49</v>
      </c>
    </row>
    <row r="95" spans="1:8">
      <c r="A95" s="165">
        <v>45232</v>
      </c>
      <c r="B95" s="8" t="s">
        <v>657</v>
      </c>
      <c r="D95">
        <v>250</v>
      </c>
      <c r="E95" s="163">
        <v>-250</v>
      </c>
    </row>
    <row r="96" spans="1:8">
      <c r="A96" s="165">
        <v>45233</v>
      </c>
      <c r="B96" s="8" t="s">
        <v>657</v>
      </c>
      <c r="D96">
        <v>180</v>
      </c>
      <c r="E96" s="163">
        <v>-160</v>
      </c>
    </row>
    <row r="97" spans="1:5">
      <c r="A97" s="165">
        <v>45234</v>
      </c>
      <c r="B97" s="8" t="s">
        <v>657</v>
      </c>
      <c r="D97">
        <v>320</v>
      </c>
      <c r="E97" s="163">
        <v>-320</v>
      </c>
    </row>
    <row r="98" spans="1:5">
      <c r="A98" s="165">
        <v>45237</v>
      </c>
      <c r="B98" s="8" t="s">
        <v>657</v>
      </c>
      <c r="D98">
        <v>200</v>
      </c>
      <c r="E98" s="163">
        <v>-200</v>
      </c>
    </row>
    <row r="99" spans="1:5">
      <c r="A99" s="165">
        <v>45237</v>
      </c>
      <c r="B99" s="8" t="s">
        <v>180</v>
      </c>
      <c r="E99" s="163">
        <v>-500</v>
      </c>
    </row>
    <row r="100" spans="1:5">
      <c r="A100" s="165">
        <v>45237</v>
      </c>
      <c r="B100" s="8" t="s">
        <v>937</v>
      </c>
      <c r="E100" s="163">
        <v>-180</v>
      </c>
    </row>
    <row r="101" spans="1:5">
      <c r="A101" s="165">
        <v>45238</v>
      </c>
      <c r="B101" s="8" t="s">
        <v>657</v>
      </c>
      <c r="D101">
        <v>160</v>
      </c>
      <c r="E101" s="163">
        <v>-160</v>
      </c>
    </row>
    <row r="102" spans="1:5">
      <c r="A102" s="165">
        <v>45239</v>
      </c>
      <c r="B102" s="8" t="s">
        <v>657</v>
      </c>
      <c r="D102">
        <v>250</v>
      </c>
      <c r="E102" s="163">
        <v>-250</v>
      </c>
    </row>
    <row r="103" spans="1:5">
      <c r="A103" s="165">
        <v>45240</v>
      </c>
      <c r="B103" s="8" t="s">
        <v>657</v>
      </c>
      <c r="D103">
        <v>160</v>
      </c>
      <c r="E103" s="163">
        <v>-160</v>
      </c>
    </row>
    <row r="104" spans="1:5">
      <c r="A104" s="165">
        <v>45241</v>
      </c>
      <c r="B104" s="8" t="s">
        <v>657</v>
      </c>
      <c r="D104">
        <v>250</v>
      </c>
      <c r="E104" s="163">
        <v>-250</v>
      </c>
    </row>
    <row r="105" spans="1:5">
      <c r="A105" s="165">
        <v>45244</v>
      </c>
      <c r="B105" s="8" t="s">
        <v>129</v>
      </c>
      <c r="E105" s="163">
        <v>-1144.1099999999999</v>
      </c>
    </row>
    <row r="106" spans="1:5">
      <c r="A106" s="165">
        <v>45245</v>
      </c>
      <c r="B106" s="8" t="s">
        <v>938</v>
      </c>
      <c r="E106" s="163">
        <v>-373.92</v>
      </c>
    </row>
    <row r="107" spans="1:5">
      <c r="A107" s="165">
        <v>45253</v>
      </c>
      <c r="B107" s="8" t="s">
        <v>657</v>
      </c>
      <c r="D107">
        <v>200</v>
      </c>
      <c r="E107" s="163">
        <v>-200</v>
      </c>
    </row>
    <row r="108" spans="1:5">
      <c r="E108" s="163"/>
    </row>
    <row r="109" spans="1:5">
      <c r="B109" t="s">
        <v>939</v>
      </c>
      <c r="D109">
        <f>SUM(D87:D108)</f>
        <v>2945.49</v>
      </c>
      <c r="E109" s="163"/>
    </row>
    <row r="110" spans="1:5" ht="15">
      <c r="D110" s="105" t="s">
        <v>84</v>
      </c>
    </row>
    <row r="111" spans="1:5">
      <c r="A111" s="113" t="s">
        <v>304</v>
      </c>
      <c r="B111" s="104" t="s">
        <v>137</v>
      </c>
      <c r="C111" s="103">
        <v>2023</v>
      </c>
      <c r="D111" s="158"/>
      <c r="E111" s="159">
        <f>SUM(E112:E128)</f>
        <v>698220.30499999993</v>
      </c>
    </row>
    <row r="112" spans="1:5">
      <c r="A112" s="160">
        <v>45290</v>
      </c>
      <c r="B112" s="8" t="s">
        <v>77</v>
      </c>
      <c r="C112" s="2"/>
      <c r="D112" s="2"/>
      <c r="E112" s="17">
        <v>64000</v>
      </c>
    </row>
    <row r="113" spans="1:5">
      <c r="A113" s="160">
        <f t="shared" ref="A113:A122" si="2">A112</f>
        <v>45290</v>
      </c>
      <c r="B113" s="8" t="s">
        <v>78</v>
      </c>
      <c r="C113" s="2"/>
      <c r="D113" s="2"/>
      <c r="E113" s="17">
        <v>218088</v>
      </c>
    </row>
    <row r="114" spans="1:5">
      <c r="A114" s="160">
        <f t="shared" si="2"/>
        <v>45290</v>
      </c>
      <c r="B114" s="8" t="s">
        <v>305</v>
      </c>
      <c r="C114" s="2"/>
      <c r="D114" s="2"/>
      <c r="E114" s="17">
        <v>3609.29</v>
      </c>
    </row>
    <row r="115" spans="1:5">
      <c r="A115" s="160">
        <f t="shared" si="2"/>
        <v>45290</v>
      </c>
      <c r="B115" s="8" t="s">
        <v>306</v>
      </c>
      <c r="C115" s="2"/>
      <c r="D115" s="2"/>
      <c r="E115" s="17">
        <v>122.31</v>
      </c>
    </row>
    <row r="116" spans="1:5">
      <c r="A116" s="160">
        <f t="shared" si="2"/>
        <v>45290</v>
      </c>
      <c r="B116" s="8" t="s">
        <v>307</v>
      </c>
      <c r="D116" s="2"/>
      <c r="E116" s="17">
        <v>6267.13</v>
      </c>
    </row>
    <row r="117" spans="1:5">
      <c r="A117" s="160">
        <f t="shared" si="2"/>
        <v>45290</v>
      </c>
      <c r="B117" s="8" t="s">
        <v>241</v>
      </c>
      <c r="C117" s="2" t="s">
        <v>308</v>
      </c>
      <c r="D117" s="2"/>
      <c r="E117" s="17">
        <v>21088.49</v>
      </c>
    </row>
    <row r="118" spans="1:5">
      <c r="A118" s="160">
        <f t="shared" si="2"/>
        <v>45290</v>
      </c>
      <c r="B118" s="8" t="s">
        <v>309</v>
      </c>
      <c r="C118" s="2" t="s">
        <v>310</v>
      </c>
      <c r="D118" s="2"/>
      <c r="E118" s="17">
        <v>5587.73</v>
      </c>
    </row>
    <row r="119" spans="1:5">
      <c r="A119" s="160">
        <f t="shared" si="2"/>
        <v>45290</v>
      </c>
      <c r="B119" s="8" t="s">
        <v>311</v>
      </c>
      <c r="C119" s="160">
        <v>45295</v>
      </c>
      <c r="D119" s="161">
        <v>-629.36</v>
      </c>
      <c r="E119" s="17">
        <v>4752.22</v>
      </c>
    </row>
    <row r="120" spans="1:5">
      <c r="A120" s="160">
        <f t="shared" si="2"/>
        <v>45290</v>
      </c>
      <c r="B120" s="8" t="s">
        <v>312</v>
      </c>
      <c r="C120" s="160">
        <v>45295</v>
      </c>
      <c r="D120" s="161">
        <v>-52.52</v>
      </c>
      <c r="E120" s="17">
        <v>315.38</v>
      </c>
    </row>
    <row r="121" spans="1:5">
      <c r="A121" s="160">
        <f t="shared" si="2"/>
        <v>45290</v>
      </c>
      <c r="B121" s="8" t="s">
        <v>313</v>
      </c>
      <c r="C121" s="160">
        <v>45295</v>
      </c>
      <c r="D121" s="161">
        <v>-196</v>
      </c>
      <c r="E121" s="17">
        <v>295.8</v>
      </c>
    </row>
    <row r="122" spans="1:5">
      <c r="A122" s="160">
        <f t="shared" si="2"/>
        <v>45290</v>
      </c>
      <c r="B122" s="8" t="s">
        <v>314</v>
      </c>
      <c r="C122" s="160">
        <v>45295</v>
      </c>
      <c r="D122" s="161">
        <v>-669.7</v>
      </c>
      <c r="E122" s="17">
        <v>4239.3</v>
      </c>
    </row>
    <row r="123" spans="1:5">
      <c r="A123" s="160">
        <f>A116</f>
        <v>45290</v>
      </c>
      <c r="B123" s="8" t="s">
        <v>141</v>
      </c>
      <c r="C123" s="2"/>
      <c r="D123" s="2"/>
      <c r="E123" s="17">
        <v>1000</v>
      </c>
    </row>
    <row r="124" spans="1:5">
      <c r="A124" s="160">
        <f>A115</f>
        <v>45290</v>
      </c>
      <c r="B124" s="8" t="s">
        <v>315</v>
      </c>
      <c r="C124" s="2">
        <v>1928.59</v>
      </c>
      <c r="D124" s="2">
        <v>161</v>
      </c>
      <c r="E124" s="17">
        <f>D124*C124</f>
        <v>310502.99</v>
      </c>
    </row>
    <row r="125" spans="1:5">
      <c r="A125" s="160">
        <f>A124</f>
        <v>45290</v>
      </c>
      <c r="B125" s="8" t="s">
        <v>316</v>
      </c>
      <c r="C125" s="162">
        <v>29.2927</v>
      </c>
      <c r="D125" s="2">
        <v>850</v>
      </c>
      <c r="E125" s="17">
        <f>D125*C125</f>
        <v>24898.794999999998</v>
      </c>
    </row>
    <row r="126" spans="1:5">
      <c r="A126" s="160">
        <f>A125</f>
        <v>45290</v>
      </c>
      <c r="B126" s="8" t="s">
        <v>317</v>
      </c>
      <c r="C126" s="162">
        <v>32.028700000000001</v>
      </c>
      <c r="D126" s="2">
        <v>100</v>
      </c>
      <c r="E126" s="17">
        <f>D126*C126</f>
        <v>3202.87</v>
      </c>
    </row>
    <row r="127" spans="1:5">
      <c r="A127" s="160">
        <f>A126</f>
        <v>45290</v>
      </c>
      <c r="B127" s="8" t="s">
        <v>153</v>
      </c>
      <c r="C127" s="2"/>
      <c r="D127" s="2"/>
      <c r="E127" s="17">
        <v>30000</v>
      </c>
    </row>
    <row r="128" spans="1:5">
      <c r="A128" s="160">
        <f>A127</f>
        <v>45290</v>
      </c>
      <c r="B128" s="8" t="s">
        <v>154</v>
      </c>
      <c r="C128" s="2"/>
      <c r="D128" s="2"/>
      <c r="E128" s="17">
        <v>250</v>
      </c>
    </row>
    <row r="129" spans="3:5">
      <c r="C129" s="3" t="str">
        <f>A111</f>
        <v>ARALIK</v>
      </c>
      <c r="D129" s="18" t="s">
        <v>157</v>
      </c>
      <c r="E129" s="163">
        <f>H33</f>
        <v>-25773.700000000004</v>
      </c>
    </row>
    <row r="130" spans="3:5">
      <c r="D130" s="3"/>
    </row>
    <row r="131" spans="3:5">
      <c r="D131" s="18" t="s">
        <v>156</v>
      </c>
      <c r="E131" s="9">
        <f>SUM(E112:E128)</f>
        <v>698220.30499999993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75623"/>
  </sheetPr>
  <dimension ref="A1:H125"/>
  <sheetViews>
    <sheetView topLeftCell="A15" zoomScale="170" zoomScaleNormal="170" workbookViewId="0">
      <selection activeCell="A13" sqref="A13"/>
    </sheetView>
  </sheetViews>
  <sheetFormatPr defaultColWidth="12.28515625" defaultRowHeight="12.75"/>
  <cols>
    <col min="1" max="1" width="12" customWidth="1"/>
    <col min="2" max="2" width="37.85546875" customWidth="1"/>
    <col min="3" max="3" width="10.5703125" customWidth="1"/>
    <col min="4" max="4" width="12.85546875" customWidth="1"/>
    <col min="5" max="5" width="13.28515625" bestFit="1" customWidth="1"/>
    <col min="6" max="6" width="13.7109375" bestFit="1" customWidth="1"/>
    <col min="7" max="7" width="14.42578125" bestFit="1" customWidth="1"/>
    <col min="8" max="8" width="13.28515625" bestFit="1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940</v>
      </c>
      <c r="C2" s="79" t="s">
        <v>67</v>
      </c>
      <c r="D2" s="306">
        <f>SUM(D5:D36)</f>
        <v>262800</v>
      </c>
      <c r="E2" s="306">
        <f>SUM(E4:E27)</f>
        <v>-98843.11</v>
      </c>
      <c r="F2" s="306">
        <f>SUM(F5:F37)</f>
        <v>177687.06</v>
      </c>
      <c r="G2" s="306">
        <f>SUM(G4:G37)</f>
        <v>-242504.11</v>
      </c>
      <c r="H2" s="306">
        <f>F2+G2</f>
        <v>-64817.049999999988</v>
      </c>
    </row>
    <row r="3" spans="1:8">
      <c r="B3" s="18"/>
      <c r="H3" s="63"/>
    </row>
    <row r="4" spans="1:8">
      <c r="A4" s="165">
        <v>45231</v>
      </c>
      <c r="B4" s="311" t="s">
        <v>430</v>
      </c>
      <c r="E4" s="63">
        <v>-152</v>
      </c>
      <c r="G4" s="63">
        <v>-152</v>
      </c>
      <c r="H4" s="63">
        <f t="shared" ref="H4:H33" si="0">H3+F4+G4</f>
        <v>-152</v>
      </c>
    </row>
    <row r="5" spans="1:8">
      <c r="A5" s="165">
        <v>45232</v>
      </c>
      <c r="B5" s="101" t="s">
        <v>80</v>
      </c>
      <c r="C5" s="101"/>
      <c r="D5" s="101"/>
      <c r="E5" s="63">
        <v>-400</v>
      </c>
      <c r="G5" s="63">
        <v>-277</v>
      </c>
      <c r="H5" s="63">
        <f t="shared" si="0"/>
        <v>-429</v>
      </c>
    </row>
    <row r="6" spans="1:8">
      <c r="A6" s="165">
        <v>45232</v>
      </c>
      <c r="B6" s="101" t="s">
        <v>81</v>
      </c>
      <c r="C6" s="101"/>
      <c r="D6" s="101"/>
      <c r="E6" s="63">
        <v>-500</v>
      </c>
      <c r="G6" s="63">
        <v>-512</v>
      </c>
      <c r="H6" s="63">
        <f t="shared" si="0"/>
        <v>-941</v>
      </c>
    </row>
    <row r="7" spans="1:8">
      <c r="A7" s="165">
        <v>45231</v>
      </c>
      <c r="B7" s="101" t="s">
        <v>941</v>
      </c>
      <c r="C7" s="101"/>
      <c r="D7" s="101"/>
      <c r="E7" s="63">
        <v>-250</v>
      </c>
      <c r="G7" s="63">
        <v>-250</v>
      </c>
      <c r="H7" s="63">
        <f t="shared" si="0"/>
        <v>-1191</v>
      </c>
    </row>
    <row r="8" spans="1:8">
      <c r="B8" s="178" t="s">
        <v>72</v>
      </c>
      <c r="D8" s="63"/>
      <c r="E8" s="63">
        <f>E49*-1</f>
        <v>-51.54</v>
      </c>
      <c r="F8" s="63"/>
      <c r="G8" s="63">
        <f>E8</f>
        <v>-51.54</v>
      </c>
      <c r="H8" s="63">
        <f t="shared" si="0"/>
        <v>-1242.54</v>
      </c>
    </row>
    <row r="9" spans="1:8">
      <c r="B9" s="178" t="s">
        <v>68</v>
      </c>
      <c r="E9" s="63">
        <f>E55</f>
        <v>-5698.99</v>
      </c>
      <c r="F9" s="63"/>
      <c r="G9" s="63">
        <f>E9</f>
        <v>-5698.99</v>
      </c>
      <c r="H9" s="63">
        <f t="shared" si="0"/>
        <v>-6941.53</v>
      </c>
    </row>
    <row r="10" spans="1:8">
      <c r="A10" s="165">
        <v>45232</v>
      </c>
      <c r="B10" s="178" t="s">
        <v>69</v>
      </c>
      <c r="E10" s="63">
        <f>E71</f>
        <v>-71595.5</v>
      </c>
      <c r="G10" s="63">
        <f>E10</f>
        <v>-71595.5</v>
      </c>
      <c r="H10" s="63">
        <f t="shared" si="0"/>
        <v>-78537.03</v>
      </c>
    </row>
    <row r="11" spans="1:8">
      <c r="A11" s="100"/>
      <c r="B11" s="101" t="s">
        <v>942</v>
      </c>
      <c r="C11" s="101"/>
      <c r="D11" s="101"/>
      <c r="E11" s="63">
        <v>-5375</v>
      </c>
      <c r="G11" s="63">
        <v>-5375</v>
      </c>
      <c r="H11" s="63">
        <f t="shared" si="0"/>
        <v>-83912.03</v>
      </c>
    </row>
    <row r="12" spans="1:8">
      <c r="A12" s="100"/>
      <c r="B12" s="101" t="s">
        <v>942</v>
      </c>
      <c r="C12" s="101"/>
      <c r="D12" s="101"/>
      <c r="E12" s="63">
        <v>-2125</v>
      </c>
      <c r="G12" s="63">
        <v>-2125</v>
      </c>
      <c r="H12" s="63">
        <f t="shared" si="0"/>
        <v>-86037.03</v>
      </c>
    </row>
    <row r="13" spans="1:8">
      <c r="A13" s="165">
        <v>45231</v>
      </c>
      <c r="B13" s="101" t="s">
        <v>943</v>
      </c>
      <c r="C13" s="101"/>
      <c r="D13" s="101"/>
      <c r="E13" s="63">
        <v>-945.08</v>
      </c>
      <c r="F13" s="163"/>
      <c r="G13" s="63">
        <v>-945.08</v>
      </c>
      <c r="H13" s="63">
        <f t="shared" si="0"/>
        <v>-86982.11</v>
      </c>
    </row>
    <row r="14" spans="1:8">
      <c r="B14" s="101" t="s">
        <v>75</v>
      </c>
      <c r="C14" s="101"/>
      <c r="D14" s="101"/>
      <c r="E14" s="63">
        <v>-150</v>
      </c>
      <c r="F14" s="163"/>
      <c r="G14" s="63">
        <v>0</v>
      </c>
      <c r="H14" s="63">
        <f t="shared" si="0"/>
        <v>-86982.11</v>
      </c>
    </row>
    <row r="15" spans="1:8">
      <c r="B15" s="106" t="s">
        <v>73</v>
      </c>
      <c r="C15" s="106"/>
      <c r="D15" s="106"/>
      <c r="E15" s="63">
        <v>-1000</v>
      </c>
      <c r="F15" s="163"/>
      <c r="G15" s="63">
        <v>0</v>
      </c>
      <c r="H15" s="63">
        <f t="shared" si="0"/>
        <v>-86982.11</v>
      </c>
    </row>
    <row r="16" spans="1:8">
      <c r="B16" s="106" t="s">
        <v>74</v>
      </c>
      <c r="C16" s="106"/>
      <c r="D16" s="106"/>
      <c r="E16" s="63">
        <v>-100</v>
      </c>
      <c r="F16" s="163"/>
      <c r="G16" s="63">
        <v>0</v>
      </c>
      <c r="H16" s="63">
        <f t="shared" si="0"/>
        <v>-86982.11</v>
      </c>
    </row>
    <row r="17" spans="1:8">
      <c r="B17" t="s">
        <v>77</v>
      </c>
      <c r="E17" s="63">
        <v>-3500</v>
      </c>
      <c r="F17" s="63"/>
      <c r="G17" s="63">
        <v>-3511</v>
      </c>
      <c r="H17" s="63">
        <f t="shared" si="0"/>
        <v>-90493.11</v>
      </c>
    </row>
    <row r="18" spans="1:8">
      <c r="B18" t="s">
        <v>78</v>
      </c>
      <c r="E18" s="63">
        <v>-3500</v>
      </c>
      <c r="F18" s="63"/>
      <c r="G18" s="63">
        <v>-3511</v>
      </c>
      <c r="H18" s="63">
        <f t="shared" si="0"/>
        <v>-94004.11</v>
      </c>
    </row>
    <row r="19" spans="1:8">
      <c r="B19" t="s">
        <v>79</v>
      </c>
      <c r="E19" s="63">
        <v>-3500</v>
      </c>
      <c r="F19" s="63"/>
      <c r="G19" s="63">
        <v>-3500</v>
      </c>
      <c r="H19" s="63">
        <f t="shared" si="0"/>
        <v>-97504.11</v>
      </c>
    </row>
    <row r="20" spans="1:8">
      <c r="A20" s="165">
        <v>45236</v>
      </c>
      <c r="B20" s="8" t="s">
        <v>944</v>
      </c>
      <c r="E20" s="163"/>
      <c r="F20" s="63">
        <v>15887.06</v>
      </c>
      <c r="G20" s="63"/>
      <c r="H20" s="63">
        <f t="shared" si="0"/>
        <v>-81617.05</v>
      </c>
    </row>
    <row r="21" spans="1:8">
      <c r="B21" t="s">
        <v>76</v>
      </c>
      <c r="D21" s="186">
        <v>7500</v>
      </c>
      <c r="F21" s="63">
        <v>7500</v>
      </c>
      <c r="G21" s="63"/>
      <c r="H21" s="63">
        <f t="shared" si="0"/>
        <v>-74117.05</v>
      </c>
    </row>
    <row r="22" spans="1:8">
      <c r="A22" s="165">
        <v>45232</v>
      </c>
      <c r="B22" s="8" t="s">
        <v>945</v>
      </c>
      <c r="C22" s="8" t="s">
        <v>946</v>
      </c>
      <c r="D22" s="186">
        <v>2800</v>
      </c>
      <c r="F22" s="63">
        <v>2800</v>
      </c>
      <c r="G22" s="63"/>
      <c r="H22" s="63">
        <f t="shared" si="0"/>
        <v>-71317.05</v>
      </c>
    </row>
    <row r="23" spans="1:8">
      <c r="B23" t="s">
        <v>947</v>
      </c>
      <c r="D23" s="186">
        <v>6500</v>
      </c>
      <c r="F23" s="63">
        <v>6500</v>
      </c>
      <c r="G23" s="63"/>
      <c r="H23" s="63">
        <f t="shared" si="0"/>
        <v>-64817.05</v>
      </c>
    </row>
    <row r="24" spans="1:8">
      <c r="A24" s="100">
        <v>45231</v>
      </c>
      <c r="B24" s="8" t="s">
        <v>948</v>
      </c>
      <c r="D24" s="186"/>
      <c r="G24" s="63"/>
      <c r="H24" s="63">
        <f t="shared" si="0"/>
        <v>-64817.05</v>
      </c>
    </row>
    <row r="25" spans="1:8">
      <c r="A25" s="100">
        <v>45260</v>
      </c>
      <c r="B25" s="8" t="s">
        <v>949</v>
      </c>
      <c r="D25" s="186">
        <v>240000</v>
      </c>
      <c r="F25" s="63">
        <v>135000</v>
      </c>
      <c r="G25" s="63"/>
      <c r="H25" s="63">
        <f t="shared" si="0"/>
        <v>70182.95</v>
      </c>
    </row>
    <row r="26" spans="1:8">
      <c r="A26" s="100"/>
      <c r="D26" s="186"/>
      <c r="F26" s="63"/>
      <c r="G26" s="63">
        <v>-135000</v>
      </c>
      <c r="H26" s="63">
        <f t="shared" si="0"/>
        <v>-64817.05</v>
      </c>
    </row>
    <row r="27" spans="1:8">
      <c r="A27" s="100">
        <v>45266</v>
      </c>
      <c r="B27" s="8" t="s">
        <v>950</v>
      </c>
      <c r="D27" s="186">
        <v>6000</v>
      </c>
      <c r="G27" s="63"/>
      <c r="H27" s="63">
        <f t="shared" si="0"/>
        <v>-64817.05</v>
      </c>
    </row>
    <row r="28" spans="1:8">
      <c r="A28" s="160">
        <v>45258</v>
      </c>
      <c r="B28" s="8" t="s">
        <v>951</v>
      </c>
      <c r="D28" s="186"/>
      <c r="F28" s="63">
        <v>10000</v>
      </c>
      <c r="H28" s="63">
        <f t="shared" si="0"/>
        <v>-54817.05</v>
      </c>
    </row>
    <row r="29" spans="1:8">
      <c r="A29" s="160">
        <v>45258</v>
      </c>
      <c r="B29" s="8" t="s">
        <v>952</v>
      </c>
      <c r="D29" s="186"/>
      <c r="F29" s="63"/>
      <c r="G29" s="63">
        <v>-10000</v>
      </c>
      <c r="H29" s="63">
        <f t="shared" si="0"/>
        <v>-64817.05</v>
      </c>
    </row>
    <row r="30" spans="1:8">
      <c r="A30" s="165">
        <v>45259</v>
      </c>
      <c r="B30" s="8" t="s">
        <v>692</v>
      </c>
      <c r="C30" s="8" t="s">
        <v>438</v>
      </c>
      <c r="E30" s="63">
        <v>-1204.5</v>
      </c>
      <c r="H30" s="63">
        <f t="shared" si="0"/>
        <v>-64817.05</v>
      </c>
    </row>
    <row r="31" spans="1:8">
      <c r="A31" s="165">
        <v>45259</v>
      </c>
      <c r="B31" s="8" t="s">
        <v>694</v>
      </c>
      <c r="C31" s="8" t="s">
        <v>438</v>
      </c>
      <c r="E31" s="63">
        <v>-148.6</v>
      </c>
      <c r="H31" s="63">
        <f t="shared" si="0"/>
        <v>-64817.05</v>
      </c>
    </row>
    <row r="32" spans="1:8">
      <c r="A32" s="165">
        <v>45259</v>
      </c>
      <c r="B32" s="8" t="s">
        <v>695</v>
      </c>
      <c r="C32" s="8" t="s">
        <v>438</v>
      </c>
      <c r="E32" s="63">
        <v>-244.8</v>
      </c>
      <c r="H32" s="63">
        <f t="shared" si="0"/>
        <v>-64817.05</v>
      </c>
    </row>
    <row r="33" spans="1:8">
      <c r="A33" s="165">
        <v>45259</v>
      </c>
      <c r="B33" s="8" t="s">
        <v>953</v>
      </c>
      <c r="C33" s="8" t="s">
        <v>438</v>
      </c>
      <c r="E33" s="63">
        <v>-532.6</v>
      </c>
      <c r="F33" s="63"/>
      <c r="G33" s="63"/>
      <c r="H33" s="63">
        <f t="shared" si="0"/>
        <v>-64817.05</v>
      </c>
    </row>
    <row r="34" spans="1:8">
      <c r="F34" s="63"/>
      <c r="G34" s="63"/>
      <c r="H34" s="63"/>
    </row>
    <row r="35" spans="1:8">
      <c r="F35" s="63"/>
      <c r="G35" s="63"/>
      <c r="H35" s="63"/>
    </row>
    <row r="36" spans="1:8">
      <c r="E36" s="63"/>
      <c r="G36" s="63"/>
      <c r="H36" s="63"/>
    </row>
    <row r="37" spans="1:8">
      <c r="B37" t="s">
        <v>330</v>
      </c>
      <c r="E37" s="63"/>
      <c r="G37" s="63"/>
      <c r="H37" s="63"/>
    </row>
    <row r="38" spans="1:8">
      <c r="A38" s="103" t="s">
        <v>331</v>
      </c>
      <c r="B38" s="103"/>
      <c r="C38" s="103"/>
      <c r="D38" s="103"/>
      <c r="E38" s="158"/>
      <c r="G38" s="63"/>
      <c r="H38" s="63"/>
    </row>
    <row r="39" spans="1:8">
      <c r="A39" s="317"/>
      <c r="B39" s="312"/>
      <c r="C39" s="312"/>
      <c r="D39" s="312"/>
      <c r="E39" s="313"/>
      <c r="H39" s="63"/>
    </row>
    <row r="40" spans="1:8">
      <c r="A40" s="317"/>
      <c r="B40" s="312"/>
      <c r="C40" s="314"/>
      <c r="D40" s="312"/>
      <c r="E40" s="312"/>
      <c r="H40" s="63"/>
    </row>
    <row r="41" spans="1:8">
      <c r="A41" s="317"/>
      <c r="B41" s="312"/>
      <c r="C41" s="314"/>
      <c r="D41" s="312"/>
      <c r="E41" s="312"/>
      <c r="H41" s="63"/>
    </row>
    <row r="42" spans="1:8">
      <c r="A42" s="100"/>
      <c r="C42" s="171"/>
      <c r="H42" s="63"/>
    </row>
    <row r="43" spans="1:8">
      <c r="A43" s="172">
        <v>44929</v>
      </c>
      <c r="B43" s="173" t="s">
        <v>332</v>
      </c>
      <c r="C43" s="103"/>
      <c r="D43" s="201">
        <f>SUM(D44:D51)</f>
        <v>3906.8500000000004</v>
      </c>
      <c r="E43" s="201">
        <f>SUM(E44:E51)</f>
        <v>3907.8</v>
      </c>
      <c r="H43" s="63"/>
    </row>
    <row r="44" spans="1:8">
      <c r="B44" t="s">
        <v>926</v>
      </c>
      <c r="D44">
        <v>628.12</v>
      </c>
      <c r="E44" s="63">
        <v>630</v>
      </c>
      <c r="F44" s="63"/>
      <c r="G44" s="63"/>
    </row>
    <row r="45" spans="1:8">
      <c r="B45" t="s">
        <v>334</v>
      </c>
      <c r="D45">
        <v>1539.74</v>
      </c>
      <c r="E45" s="63">
        <v>1540</v>
      </c>
      <c r="F45" s="63"/>
      <c r="G45" s="63"/>
    </row>
    <row r="46" spans="1:8">
      <c r="B46" t="s">
        <v>335</v>
      </c>
      <c r="D46">
        <v>165.4</v>
      </c>
      <c r="E46">
        <v>165</v>
      </c>
      <c r="F46" s="63"/>
      <c r="G46" s="63"/>
    </row>
    <row r="47" spans="1:8">
      <c r="B47" t="s">
        <v>336</v>
      </c>
      <c r="D47">
        <v>1142.79</v>
      </c>
      <c r="E47">
        <v>1142</v>
      </c>
      <c r="F47" s="63"/>
      <c r="G47" s="63"/>
    </row>
    <row r="48" spans="1:8">
      <c r="B48" t="s">
        <v>337</v>
      </c>
      <c r="D48" s="3">
        <v>379.26</v>
      </c>
      <c r="E48">
        <v>379.26</v>
      </c>
      <c r="F48" s="63"/>
      <c r="G48" s="63"/>
    </row>
    <row r="49" spans="1:8">
      <c r="B49" t="s">
        <v>338</v>
      </c>
      <c r="C49" s="106"/>
      <c r="D49" s="106">
        <v>51.54</v>
      </c>
      <c r="E49">
        <v>51.54</v>
      </c>
      <c r="F49" s="63"/>
      <c r="G49" s="63"/>
    </row>
    <row r="50" spans="1:8">
      <c r="C50" s="106"/>
      <c r="E50" s="106"/>
      <c r="F50" s="63"/>
      <c r="G50" s="63"/>
    </row>
    <row r="51" spans="1:8">
      <c r="C51" s="106"/>
      <c r="D51" s="106"/>
      <c r="E51" s="163"/>
      <c r="F51" s="63"/>
      <c r="G51" s="63"/>
    </row>
    <row r="53" spans="1:8">
      <c r="B53" s="17"/>
    </row>
    <row r="54" spans="1:8">
      <c r="B54" s="102"/>
    </row>
    <row r="55" spans="1:8">
      <c r="A55" s="103"/>
      <c r="B55" s="104" t="s">
        <v>83</v>
      </c>
      <c r="C55" s="103"/>
      <c r="D55" s="158"/>
      <c r="E55" s="159">
        <f>SUM(E56:E68)</f>
        <v>-5698.99</v>
      </c>
    </row>
    <row r="56" spans="1:8">
      <c r="A56" s="100"/>
      <c r="C56" s="106"/>
      <c r="D56" s="106"/>
      <c r="E56" s="163"/>
      <c r="G56" s="63"/>
      <c r="H56" s="63"/>
    </row>
    <row r="57" spans="1:8">
      <c r="A57" s="100">
        <v>44995</v>
      </c>
      <c r="B57" s="8" t="s">
        <v>777</v>
      </c>
      <c r="C57">
        <v>613.91</v>
      </c>
      <c r="D57" s="35" t="s">
        <v>954</v>
      </c>
      <c r="E57" s="163">
        <v>-61.39</v>
      </c>
      <c r="F57" s="63"/>
      <c r="G57" s="63"/>
      <c r="H57" s="63"/>
    </row>
    <row r="58" spans="1:8">
      <c r="A58" s="100">
        <v>45043</v>
      </c>
      <c r="B58" s="106" t="s">
        <v>955</v>
      </c>
      <c r="C58" s="106">
        <v>3299</v>
      </c>
      <c r="D58" s="35" t="s">
        <v>956</v>
      </c>
      <c r="E58" s="163">
        <v>-549.85</v>
      </c>
      <c r="F58" s="63"/>
      <c r="G58" s="63"/>
      <c r="H58" s="63"/>
    </row>
    <row r="59" spans="1:8">
      <c r="A59" s="100">
        <v>45043</v>
      </c>
      <c r="B59" s="106" t="s">
        <v>729</v>
      </c>
      <c r="C59" s="106">
        <v>10764.57</v>
      </c>
      <c r="D59" s="35" t="s">
        <v>680</v>
      </c>
      <c r="E59" s="163">
        <v>-1196.06</v>
      </c>
      <c r="F59" s="63"/>
      <c r="G59" s="63"/>
      <c r="H59" s="63"/>
    </row>
    <row r="60" spans="1:8">
      <c r="A60" s="100">
        <v>45044</v>
      </c>
      <c r="B60" s="8" t="s">
        <v>957</v>
      </c>
      <c r="C60" s="106">
        <v>3123.29</v>
      </c>
      <c r="D60" s="204" t="s">
        <v>956</v>
      </c>
      <c r="E60" s="163">
        <v>-520.54</v>
      </c>
      <c r="F60" s="63"/>
      <c r="G60" s="63"/>
      <c r="H60" s="63"/>
    </row>
    <row r="61" spans="1:8">
      <c r="A61" s="100">
        <v>45078</v>
      </c>
      <c r="B61" s="106" t="s">
        <v>930</v>
      </c>
      <c r="D61" s="204" t="s">
        <v>476</v>
      </c>
      <c r="E61" s="163">
        <v>-666.67</v>
      </c>
      <c r="F61" s="63"/>
      <c r="G61" s="63"/>
      <c r="H61" s="63"/>
    </row>
    <row r="62" spans="1:8">
      <c r="A62" s="100">
        <v>45187</v>
      </c>
      <c r="B62" s="106" t="s">
        <v>566</v>
      </c>
      <c r="C62" s="106">
        <v>7648.33</v>
      </c>
      <c r="D62" s="204" t="s">
        <v>613</v>
      </c>
      <c r="E62" s="163">
        <v>-849.81</v>
      </c>
      <c r="F62" s="63"/>
      <c r="G62" s="63"/>
      <c r="H62" s="63"/>
    </row>
    <row r="63" spans="1:8">
      <c r="A63" s="100">
        <v>45187</v>
      </c>
      <c r="B63" s="106" t="s">
        <v>681</v>
      </c>
      <c r="C63" s="106">
        <v>11128</v>
      </c>
      <c r="D63" s="204" t="s">
        <v>611</v>
      </c>
      <c r="E63" s="163">
        <v>-1854.67</v>
      </c>
      <c r="F63" s="63"/>
      <c r="G63" s="63"/>
      <c r="H63" s="63"/>
    </row>
    <row r="64" spans="1:8">
      <c r="A64" s="100">
        <v>45204</v>
      </c>
      <c r="B64" s="106" t="s">
        <v>130</v>
      </c>
      <c r="C64" s="106">
        <v>-6481.59</v>
      </c>
      <c r="D64" s="106"/>
      <c r="E64" s="163"/>
      <c r="F64" s="63"/>
      <c r="G64" s="63"/>
      <c r="H64" s="63"/>
    </row>
    <row r="65" spans="1:8">
      <c r="A65" s="100"/>
      <c r="C65" s="106"/>
      <c r="D65" s="106"/>
      <c r="E65" s="163"/>
      <c r="F65" s="63"/>
      <c r="G65" s="63"/>
      <c r="H65" s="63"/>
    </row>
    <row r="66" spans="1:8" ht="15">
      <c r="A66" s="100"/>
      <c r="D66" s="105" t="s">
        <v>84</v>
      </c>
      <c r="E66" s="163"/>
    </row>
    <row r="67" spans="1:8">
      <c r="A67" s="100"/>
      <c r="E67" s="163"/>
    </row>
    <row r="69" spans="1:8">
      <c r="D69" s="35"/>
    </row>
    <row r="71" spans="1:8">
      <c r="A71" s="103"/>
      <c r="B71" s="104" t="s">
        <v>85</v>
      </c>
      <c r="C71" s="103"/>
      <c r="D71" s="103"/>
      <c r="E71" s="159">
        <f>SUM(E72:E104)</f>
        <v>-71595.5</v>
      </c>
    </row>
    <row r="72" spans="1:8">
      <c r="A72" s="100">
        <v>45026</v>
      </c>
      <c r="B72" s="8" t="s">
        <v>958</v>
      </c>
      <c r="C72">
        <v>1140.99</v>
      </c>
      <c r="D72" s="8" t="s">
        <v>662</v>
      </c>
      <c r="E72" s="163">
        <v>-190.14</v>
      </c>
      <c r="F72" s="63"/>
      <c r="G72" s="63"/>
      <c r="H72" s="63"/>
    </row>
    <row r="73" spans="1:8">
      <c r="A73" s="165">
        <v>45141</v>
      </c>
      <c r="B73" s="8" t="s">
        <v>959</v>
      </c>
      <c r="D73" s="35" t="s">
        <v>960</v>
      </c>
      <c r="E73" s="163">
        <v>-181.84</v>
      </c>
      <c r="F73" s="63"/>
      <c r="G73" s="63"/>
      <c r="H73" s="63"/>
    </row>
    <row r="74" spans="1:8">
      <c r="A74" s="100">
        <v>45217</v>
      </c>
      <c r="B74" s="106" t="s">
        <v>688</v>
      </c>
      <c r="C74" s="106"/>
      <c r="D74" s="8" t="s">
        <v>934</v>
      </c>
      <c r="E74" s="163">
        <v>-3974.44</v>
      </c>
      <c r="F74" s="63"/>
      <c r="G74" s="63"/>
      <c r="H74" s="63"/>
    </row>
    <row r="75" spans="1:8">
      <c r="A75" s="100">
        <v>45194</v>
      </c>
      <c r="B75" s="106" t="s">
        <v>369</v>
      </c>
      <c r="C75" s="106"/>
      <c r="D75" s="106"/>
      <c r="E75" s="163">
        <v>-59483.25</v>
      </c>
    </row>
    <row r="76" spans="1:8">
      <c r="A76" s="165">
        <v>45214</v>
      </c>
      <c r="B76" s="8" t="s">
        <v>661</v>
      </c>
      <c r="D76" s="8" t="s">
        <v>961</v>
      </c>
      <c r="E76" s="163">
        <v>-600</v>
      </c>
      <c r="F76" s="63"/>
    </row>
    <row r="77" spans="1:8">
      <c r="A77" s="165">
        <v>45198</v>
      </c>
      <c r="B77" s="8" t="s">
        <v>657</v>
      </c>
      <c r="E77" s="163">
        <v>-160</v>
      </c>
    </row>
    <row r="78" spans="1:8">
      <c r="A78" s="165">
        <v>45201</v>
      </c>
      <c r="B78" s="8" t="s">
        <v>962</v>
      </c>
      <c r="E78" s="163">
        <v>-1180</v>
      </c>
    </row>
    <row r="79" spans="1:8">
      <c r="A79" s="165">
        <v>45204</v>
      </c>
      <c r="B79" s="8" t="s">
        <v>963</v>
      </c>
      <c r="E79" s="163">
        <v>-713.25</v>
      </c>
    </row>
    <row r="80" spans="1:8">
      <c r="A80" s="165">
        <v>45204</v>
      </c>
      <c r="B80" s="8" t="s">
        <v>963</v>
      </c>
      <c r="E80" s="163">
        <v>-713.25</v>
      </c>
    </row>
    <row r="81" spans="1:5">
      <c r="A81" s="165">
        <v>45194</v>
      </c>
      <c r="B81" s="8" t="s">
        <v>657</v>
      </c>
      <c r="D81" s="35"/>
      <c r="E81" s="163">
        <v>-200</v>
      </c>
    </row>
    <row r="82" spans="1:5">
      <c r="A82" s="165">
        <v>45225</v>
      </c>
      <c r="B82" s="8" t="s">
        <v>657</v>
      </c>
      <c r="D82" s="35"/>
      <c r="E82" s="163">
        <v>-160</v>
      </c>
    </row>
    <row r="83" spans="1:5">
      <c r="A83" s="165">
        <v>45226</v>
      </c>
      <c r="B83" s="8" t="s">
        <v>657</v>
      </c>
      <c r="E83" s="163">
        <v>-200</v>
      </c>
    </row>
    <row r="84" spans="1:5">
      <c r="A84" s="165">
        <v>45227</v>
      </c>
      <c r="B84" s="8" t="s">
        <v>657</v>
      </c>
      <c r="E84" s="163">
        <v>-200</v>
      </c>
    </row>
    <row r="85" spans="1:5">
      <c r="A85" s="165">
        <v>45227</v>
      </c>
      <c r="B85" s="8" t="s">
        <v>546</v>
      </c>
      <c r="E85" s="163">
        <v>-245</v>
      </c>
    </row>
    <row r="86" spans="1:5">
      <c r="A86" s="165">
        <v>45228</v>
      </c>
      <c r="B86" s="8" t="s">
        <v>657</v>
      </c>
      <c r="E86" s="163">
        <v>-160</v>
      </c>
    </row>
    <row r="87" spans="1:5">
      <c r="A87" s="165">
        <v>45228</v>
      </c>
      <c r="B87" s="8" t="s">
        <v>964</v>
      </c>
      <c r="E87" s="163">
        <v>-33.65</v>
      </c>
    </row>
    <row r="88" spans="1:5">
      <c r="A88" s="165">
        <v>45201</v>
      </c>
      <c r="B88" s="8" t="s">
        <v>657</v>
      </c>
      <c r="E88" s="163">
        <v>-160</v>
      </c>
    </row>
    <row r="89" spans="1:5">
      <c r="A89" s="165">
        <v>45201</v>
      </c>
      <c r="B89" s="8" t="s">
        <v>130</v>
      </c>
      <c r="C89">
        <v>-16000.55</v>
      </c>
      <c r="E89" s="163"/>
    </row>
    <row r="90" spans="1:5">
      <c r="A90" s="165">
        <v>45202</v>
      </c>
      <c r="B90" s="8" t="s">
        <v>657</v>
      </c>
      <c r="E90" s="163">
        <v>-250</v>
      </c>
    </row>
    <row r="91" spans="1:5">
      <c r="A91" s="165">
        <v>45204</v>
      </c>
      <c r="B91" s="8" t="s">
        <v>657</v>
      </c>
      <c r="E91" s="163">
        <v>-300</v>
      </c>
    </row>
    <row r="92" spans="1:5">
      <c r="A92" s="165">
        <v>45205</v>
      </c>
      <c r="B92" s="8" t="s">
        <v>657</v>
      </c>
      <c r="E92" s="163">
        <v>-250</v>
      </c>
    </row>
    <row r="93" spans="1:5">
      <c r="A93" s="165">
        <v>45206</v>
      </c>
      <c r="B93" s="8" t="s">
        <v>657</v>
      </c>
      <c r="E93" s="163">
        <v>-250</v>
      </c>
    </row>
    <row r="94" spans="1:5">
      <c r="A94" s="165">
        <v>45206</v>
      </c>
      <c r="B94" s="8" t="s">
        <v>965</v>
      </c>
      <c r="E94" s="163">
        <v>-107.32</v>
      </c>
    </row>
    <row r="95" spans="1:5">
      <c r="A95" s="165">
        <v>45210</v>
      </c>
      <c r="B95" s="8" t="s">
        <v>657</v>
      </c>
      <c r="E95" s="163">
        <v>-200</v>
      </c>
    </row>
    <row r="96" spans="1:5">
      <c r="A96" s="165">
        <v>45215</v>
      </c>
      <c r="B96" s="8" t="s">
        <v>657</v>
      </c>
      <c r="E96" s="163">
        <v>-160</v>
      </c>
    </row>
    <row r="97" spans="1:5">
      <c r="A97" s="165">
        <v>45216</v>
      </c>
      <c r="B97" s="8" t="s">
        <v>657</v>
      </c>
      <c r="E97" s="163">
        <v>-160</v>
      </c>
    </row>
    <row r="98" spans="1:5">
      <c r="A98" s="165">
        <v>45217</v>
      </c>
      <c r="B98" s="8" t="s">
        <v>657</v>
      </c>
      <c r="E98" s="163">
        <v>-160</v>
      </c>
    </row>
    <row r="99" spans="1:5">
      <c r="A99" s="165">
        <v>45218</v>
      </c>
      <c r="B99" s="8" t="s">
        <v>657</v>
      </c>
      <c r="E99" s="163">
        <v>-200</v>
      </c>
    </row>
    <row r="100" spans="1:5">
      <c r="A100" s="165">
        <v>45219</v>
      </c>
      <c r="B100" s="8" t="s">
        <v>657</v>
      </c>
      <c r="E100" s="163">
        <v>-165</v>
      </c>
    </row>
    <row r="101" spans="1:5">
      <c r="A101" s="165">
        <v>45219</v>
      </c>
      <c r="B101" s="8" t="s">
        <v>964</v>
      </c>
      <c r="E101" s="163">
        <v>-93.36</v>
      </c>
    </row>
    <row r="102" spans="1:5">
      <c r="A102" s="165">
        <v>45220</v>
      </c>
      <c r="B102" s="8" t="s">
        <v>657</v>
      </c>
      <c r="E102" s="163">
        <v>-165</v>
      </c>
    </row>
    <row r="103" spans="1:5">
      <c r="A103" s="165">
        <v>45220</v>
      </c>
      <c r="B103" s="8" t="s">
        <v>966</v>
      </c>
      <c r="E103" s="163">
        <v>-80</v>
      </c>
    </row>
    <row r="104" spans="1:5">
      <c r="A104" s="165">
        <v>45221</v>
      </c>
      <c r="B104" s="8" t="s">
        <v>967</v>
      </c>
      <c r="E104" s="163">
        <v>-500</v>
      </c>
    </row>
    <row r="105" spans="1:5" ht="15">
      <c r="D105" s="105" t="s">
        <v>84</v>
      </c>
    </row>
    <row r="107" spans="1:5">
      <c r="B107" t="s">
        <v>968</v>
      </c>
      <c r="E107" s="163">
        <v>3707.01</v>
      </c>
    </row>
    <row r="108" spans="1:5">
      <c r="B108" t="s">
        <v>969</v>
      </c>
      <c r="E108" s="163">
        <v>540</v>
      </c>
    </row>
    <row r="109" spans="1:5">
      <c r="E109" s="63">
        <f>SUM(E107:E108)</f>
        <v>4247.01</v>
      </c>
    </row>
    <row r="111" spans="1:5">
      <c r="A111" s="113" t="s">
        <v>970</v>
      </c>
      <c r="B111" s="104" t="s">
        <v>137</v>
      </c>
      <c r="C111" s="103">
        <v>2023</v>
      </c>
      <c r="D111" s="158"/>
      <c r="E111" s="159">
        <f>SUM(E112:E122)</f>
        <v>709393.08499999996</v>
      </c>
    </row>
    <row r="112" spans="1:5">
      <c r="A112" s="160">
        <v>45260</v>
      </c>
      <c r="B112" s="8" t="s">
        <v>77</v>
      </c>
      <c r="C112" s="2"/>
      <c r="D112" s="2"/>
      <c r="E112" s="17">
        <v>64000</v>
      </c>
    </row>
    <row r="113" spans="1:5">
      <c r="A113" s="160">
        <f>A112</f>
        <v>45260</v>
      </c>
      <c r="B113" s="8" t="s">
        <v>971</v>
      </c>
      <c r="C113" s="2">
        <v>145000</v>
      </c>
      <c r="D113" s="2"/>
      <c r="E113" s="17">
        <v>218088</v>
      </c>
    </row>
    <row r="114" spans="1:5">
      <c r="A114" s="160">
        <f>A113</f>
        <v>45260</v>
      </c>
      <c r="B114" s="8" t="s">
        <v>305</v>
      </c>
      <c r="C114" s="2"/>
      <c r="D114" s="2"/>
      <c r="E114" s="17">
        <v>37657.35</v>
      </c>
    </row>
    <row r="115" spans="1:5">
      <c r="A115" s="160">
        <f>A114</f>
        <v>45260</v>
      </c>
      <c r="B115" s="8" t="s">
        <v>306</v>
      </c>
      <c r="C115" s="2"/>
      <c r="D115" s="2"/>
      <c r="E115" s="17">
        <v>64.31</v>
      </c>
    </row>
    <row r="116" spans="1:5">
      <c r="A116" s="160">
        <v>45260</v>
      </c>
      <c r="B116" s="8" t="s">
        <v>307</v>
      </c>
      <c r="C116" s="2"/>
      <c r="D116" s="2"/>
      <c r="E116" s="17">
        <v>3242.78</v>
      </c>
    </row>
    <row r="117" spans="1:5">
      <c r="A117" s="160">
        <v>45260</v>
      </c>
      <c r="B117" s="8" t="s">
        <v>141</v>
      </c>
      <c r="C117" s="2"/>
      <c r="D117" s="2"/>
      <c r="E117" s="17">
        <v>1000</v>
      </c>
    </row>
    <row r="118" spans="1:5">
      <c r="A118" s="160">
        <f>A115</f>
        <v>45260</v>
      </c>
      <c r="B118" s="8" t="s">
        <v>315</v>
      </c>
      <c r="C118" s="2">
        <v>1851.05</v>
      </c>
      <c r="D118" s="2">
        <v>161</v>
      </c>
      <c r="E118" s="17">
        <f>D118*C118</f>
        <v>298019.05</v>
      </c>
    </row>
    <row r="119" spans="1:5">
      <c r="A119" s="160">
        <f>A118</f>
        <v>45260</v>
      </c>
      <c r="B119" s="8" t="s">
        <v>972</v>
      </c>
      <c r="C119" s="162">
        <v>28.198699999999999</v>
      </c>
      <c r="D119" s="2">
        <v>850</v>
      </c>
      <c r="E119" s="17">
        <f>D119*C119</f>
        <v>23968.895</v>
      </c>
    </row>
    <row r="120" spans="1:5">
      <c r="A120" s="160">
        <f>A119</f>
        <v>45260</v>
      </c>
      <c r="B120" s="8" t="s">
        <v>973</v>
      </c>
      <c r="C120" s="162">
        <v>31.027000000000001</v>
      </c>
      <c r="D120" s="2">
        <v>100</v>
      </c>
      <c r="E120" s="17">
        <f>D120*C120</f>
        <v>3102.7000000000003</v>
      </c>
    </row>
    <row r="121" spans="1:5">
      <c r="A121" s="160">
        <f>A120</f>
        <v>45260</v>
      </c>
      <c r="B121" s="8" t="s">
        <v>153</v>
      </c>
      <c r="C121" s="2"/>
      <c r="D121" s="2"/>
      <c r="E121" s="17">
        <v>60000</v>
      </c>
    </row>
    <row r="122" spans="1:5">
      <c r="A122" s="160">
        <f>A121</f>
        <v>45260</v>
      </c>
      <c r="B122" s="8" t="s">
        <v>154</v>
      </c>
      <c r="C122" s="2"/>
      <c r="D122" s="2"/>
      <c r="E122" s="17">
        <v>250</v>
      </c>
    </row>
    <row r="123" spans="1:5">
      <c r="C123" s="3" t="str">
        <f>A111</f>
        <v>KASIM</v>
      </c>
      <c r="D123" s="18" t="s">
        <v>157</v>
      </c>
      <c r="E123" s="163">
        <f>H33</f>
        <v>-64817.05</v>
      </c>
    </row>
    <row r="124" spans="1:5">
      <c r="D124" s="3"/>
    </row>
    <row r="125" spans="1:5">
      <c r="D125" s="18" t="s">
        <v>156</v>
      </c>
      <c r="E125" s="9">
        <f>SUM(E112:E122)</f>
        <v>709393.08499999996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375623"/>
  </sheetPr>
  <dimension ref="A1:I124"/>
  <sheetViews>
    <sheetView topLeftCell="A4" zoomScale="170" zoomScaleNormal="170" workbookViewId="0">
      <selection activeCell="A4" sqref="A4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5703125" customWidth="1"/>
    <col min="5" max="5" width="12.140625" customWidth="1"/>
    <col min="6" max="6" width="9.42578125" customWidth="1"/>
    <col min="7" max="8" width="11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974</v>
      </c>
      <c r="C2" s="79" t="s">
        <v>67</v>
      </c>
      <c r="D2" s="306">
        <f>SUM(D4:D32)</f>
        <v>32800</v>
      </c>
      <c r="E2" s="306">
        <f>SUM(E4:E32)</f>
        <v>-44478.170000000006</v>
      </c>
      <c r="F2" s="306">
        <f>SUM(F4:F32)</f>
        <v>23200</v>
      </c>
      <c r="G2" s="306">
        <f>SUM(G4:G32)</f>
        <v>-43968.17</v>
      </c>
      <c r="H2" s="306">
        <f>F2+G2</f>
        <v>-20768.169999999998</v>
      </c>
    </row>
    <row r="3" spans="1:8">
      <c r="B3" s="18"/>
      <c r="H3" s="63"/>
    </row>
    <row r="4" spans="1:8">
      <c r="A4" s="160">
        <v>45201</v>
      </c>
      <c r="B4" s="101" t="s">
        <v>80</v>
      </c>
      <c r="C4" s="101"/>
      <c r="D4" s="101"/>
      <c r="E4" s="63">
        <v>-400</v>
      </c>
      <c r="G4" s="63">
        <v>-327</v>
      </c>
      <c r="H4" s="63">
        <f t="shared" ref="H4:H29" si="0">H3+F4+G4</f>
        <v>-327</v>
      </c>
    </row>
    <row r="5" spans="1:8">
      <c r="A5" s="160">
        <v>45201</v>
      </c>
      <c r="B5" s="101" t="s">
        <v>81</v>
      </c>
      <c r="C5" s="101"/>
      <c r="D5" s="101"/>
      <c r="E5" s="63">
        <v>-500</v>
      </c>
      <c r="G5" s="63">
        <v>-593</v>
      </c>
      <c r="H5" s="63">
        <f t="shared" si="0"/>
        <v>-920</v>
      </c>
    </row>
    <row r="6" spans="1:8">
      <c r="A6" s="160">
        <v>45201</v>
      </c>
      <c r="B6" s="101" t="s">
        <v>975</v>
      </c>
      <c r="C6" s="101"/>
      <c r="D6" s="101"/>
      <c r="E6" s="63">
        <v>-137.19999999999999</v>
      </c>
      <c r="G6" s="63">
        <v>-137.19999999999999</v>
      </c>
      <c r="H6" s="63">
        <f t="shared" si="0"/>
        <v>-1057.2</v>
      </c>
    </row>
    <row r="7" spans="1:8">
      <c r="A7" s="160">
        <v>45201</v>
      </c>
      <c r="B7" s="101" t="s">
        <v>976</v>
      </c>
      <c r="C7" s="101"/>
      <c r="D7" s="101"/>
      <c r="E7" s="63">
        <v>-1180</v>
      </c>
      <c r="G7" s="63">
        <v>-1180</v>
      </c>
      <c r="H7" s="63">
        <f t="shared" si="0"/>
        <v>-2237.1999999999998</v>
      </c>
    </row>
    <row r="8" spans="1:8">
      <c r="A8" s="160">
        <v>45201</v>
      </c>
      <c r="B8" s="101" t="s">
        <v>977</v>
      </c>
      <c r="C8" s="101"/>
      <c r="D8" s="101"/>
      <c r="E8" s="63">
        <v>-250</v>
      </c>
      <c r="G8" s="63">
        <v>-250</v>
      </c>
      <c r="H8" s="63">
        <f t="shared" si="0"/>
        <v>-2487.1999999999998</v>
      </c>
    </row>
    <row r="9" spans="1:8">
      <c r="B9" s="178" t="s">
        <v>72</v>
      </c>
      <c r="D9" s="63"/>
      <c r="E9" s="63">
        <f>D45*-1</f>
        <v>-33.729999999999997</v>
      </c>
      <c r="F9" s="63"/>
      <c r="G9" s="63">
        <f>E9</f>
        <v>-33.729999999999997</v>
      </c>
      <c r="H9" s="63">
        <f t="shared" si="0"/>
        <v>-2520.9299999999998</v>
      </c>
    </row>
    <row r="10" spans="1:8">
      <c r="B10" s="178" t="s">
        <v>68</v>
      </c>
      <c r="E10" s="63">
        <f>E51</f>
        <v>-6481.6100000000006</v>
      </c>
      <c r="F10" s="63"/>
      <c r="G10" s="63">
        <v>-6481.61</v>
      </c>
      <c r="H10" s="63">
        <f t="shared" si="0"/>
        <v>-9002.5399999999991</v>
      </c>
    </row>
    <row r="11" spans="1:8">
      <c r="B11" s="178" t="s">
        <v>69</v>
      </c>
      <c r="E11" s="63">
        <f>E68</f>
        <v>-16000.550000000001</v>
      </c>
      <c r="G11" s="63">
        <v>-16000.55</v>
      </c>
      <c r="H11" s="63">
        <f t="shared" si="0"/>
        <v>-25003.089999999997</v>
      </c>
    </row>
    <row r="12" spans="1:8">
      <c r="A12" s="160">
        <v>44933</v>
      </c>
      <c r="B12" s="101" t="s">
        <v>978</v>
      </c>
      <c r="C12" s="101"/>
      <c r="D12" s="101"/>
      <c r="E12" s="63">
        <v>-5375</v>
      </c>
      <c r="G12" s="63">
        <v>-5375</v>
      </c>
      <c r="H12" s="63">
        <f t="shared" si="0"/>
        <v>-30378.089999999997</v>
      </c>
    </row>
    <row r="13" spans="1:8">
      <c r="B13" s="101" t="s">
        <v>979</v>
      </c>
      <c r="C13" s="101"/>
      <c r="D13" s="101"/>
      <c r="E13" s="63">
        <v>-2125</v>
      </c>
      <c r="G13" s="63">
        <v>-2125</v>
      </c>
      <c r="H13" s="63">
        <f t="shared" si="0"/>
        <v>-32503.089999999997</v>
      </c>
    </row>
    <row r="14" spans="1:8">
      <c r="B14" s="101" t="s">
        <v>980</v>
      </c>
      <c r="C14" s="101"/>
      <c r="D14" s="101"/>
      <c r="E14" s="63">
        <v>-945.08</v>
      </c>
      <c r="F14" s="163"/>
      <c r="G14" s="63">
        <v>-945.08</v>
      </c>
      <c r="H14" s="63">
        <f t="shared" si="0"/>
        <v>-33448.17</v>
      </c>
    </row>
    <row r="15" spans="1:8">
      <c r="B15" s="101" t="s">
        <v>75</v>
      </c>
      <c r="C15" s="101" t="s">
        <v>328</v>
      </c>
      <c r="D15" s="101"/>
      <c r="E15" s="63">
        <v>-150</v>
      </c>
      <c r="F15" s="163"/>
      <c r="G15" s="63"/>
      <c r="H15" s="63">
        <f t="shared" si="0"/>
        <v>-33448.17</v>
      </c>
    </row>
    <row r="16" spans="1:8">
      <c r="B16" s="106" t="s">
        <v>73</v>
      </c>
      <c r="C16" s="106" t="s">
        <v>328</v>
      </c>
      <c r="D16" s="106"/>
      <c r="E16" s="63">
        <v>-300</v>
      </c>
      <c r="F16" s="163"/>
      <c r="G16" s="63"/>
      <c r="H16" s="63">
        <f t="shared" si="0"/>
        <v>-33448.17</v>
      </c>
    </row>
    <row r="17" spans="1:8">
      <c r="B17" s="106" t="s">
        <v>74</v>
      </c>
      <c r="C17" s="106" t="s">
        <v>328</v>
      </c>
      <c r="D17" s="106"/>
      <c r="E17" s="63">
        <v>-100</v>
      </c>
      <c r="F17" s="163"/>
      <c r="G17" s="63"/>
      <c r="H17" s="63">
        <f t="shared" si="0"/>
        <v>-33448.17</v>
      </c>
    </row>
    <row r="18" spans="1:8">
      <c r="B18" t="s">
        <v>77</v>
      </c>
      <c r="E18" s="63">
        <v>-3500</v>
      </c>
      <c r="F18" s="63"/>
      <c r="G18" s="63">
        <v>-3510</v>
      </c>
      <c r="H18" s="63">
        <f t="shared" si="0"/>
        <v>-36958.17</v>
      </c>
    </row>
    <row r="19" spans="1:8">
      <c r="B19" t="s">
        <v>981</v>
      </c>
      <c r="E19" s="63"/>
      <c r="F19" s="63"/>
      <c r="G19" s="63"/>
      <c r="H19" s="63">
        <f t="shared" si="0"/>
        <v>-36958.17</v>
      </c>
    </row>
    <row r="20" spans="1:8">
      <c r="B20" t="s">
        <v>78</v>
      </c>
      <c r="E20" s="63">
        <v>-3500</v>
      </c>
      <c r="F20" s="63"/>
      <c r="G20" s="63">
        <v>-3510</v>
      </c>
      <c r="H20" s="63">
        <f t="shared" si="0"/>
        <v>-40468.17</v>
      </c>
    </row>
    <row r="21" spans="1:8">
      <c r="B21" t="s">
        <v>79</v>
      </c>
      <c r="E21" s="63">
        <v>-3500</v>
      </c>
      <c r="F21" s="63"/>
      <c r="G21" s="63">
        <v>-3500</v>
      </c>
      <c r="H21" s="63">
        <f t="shared" si="0"/>
        <v>-43968.17</v>
      </c>
    </row>
    <row r="22" spans="1:8">
      <c r="E22" s="163"/>
      <c r="F22" s="63"/>
      <c r="G22" s="63"/>
      <c r="H22" s="63">
        <f t="shared" si="0"/>
        <v>-43968.17</v>
      </c>
    </row>
    <row r="23" spans="1:8">
      <c r="B23" t="s">
        <v>76</v>
      </c>
      <c r="D23" s="186">
        <v>7500</v>
      </c>
      <c r="F23" s="63">
        <v>7500</v>
      </c>
      <c r="G23" s="63"/>
      <c r="H23" s="63">
        <f t="shared" si="0"/>
        <v>-36468.17</v>
      </c>
    </row>
    <row r="24" spans="1:8">
      <c r="A24" s="160">
        <v>45232</v>
      </c>
      <c r="B24" s="8" t="s">
        <v>982</v>
      </c>
      <c r="C24" s="8" t="s">
        <v>946</v>
      </c>
      <c r="D24" s="186">
        <v>2800</v>
      </c>
      <c r="F24" s="63">
        <v>2800</v>
      </c>
      <c r="G24" s="63"/>
      <c r="H24" s="63">
        <f t="shared" si="0"/>
        <v>-33668.17</v>
      </c>
    </row>
    <row r="25" spans="1:8">
      <c r="B25" t="s">
        <v>983</v>
      </c>
      <c r="D25" s="186">
        <v>6500</v>
      </c>
      <c r="F25" s="63">
        <v>6500</v>
      </c>
      <c r="G25" s="63"/>
      <c r="H25" s="63">
        <f t="shared" si="0"/>
        <v>-27168.17</v>
      </c>
    </row>
    <row r="26" spans="1:8">
      <c r="A26" s="160">
        <v>45236</v>
      </c>
      <c r="B26" s="8" t="s">
        <v>984</v>
      </c>
      <c r="D26" s="186">
        <v>6000</v>
      </c>
      <c r="F26" s="63">
        <v>6000</v>
      </c>
      <c r="H26" s="63">
        <f t="shared" si="0"/>
        <v>-21168.17</v>
      </c>
    </row>
    <row r="27" spans="1:8">
      <c r="A27" s="160">
        <v>45229</v>
      </c>
      <c r="B27" s="8" t="s">
        <v>951</v>
      </c>
      <c r="D27" s="186">
        <v>10000</v>
      </c>
      <c r="F27" s="63"/>
      <c r="G27" s="63"/>
      <c r="H27" s="63">
        <f t="shared" si="0"/>
        <v>-21168.17</v>
      </c>
    </row>
    <row r="28" spans="1:8">
      <c r="A28" s="160"/>
      <c r="B28" s="8" t="s">
        <v>985</v>
      </c>
      <c r="D28" s="102"/>
      <c r="F28" s="63"/>
      <c r="G28" s="63"/>
      <c r="H28" s="63">
        <f t="shared" si="0"/>
        <v>-21168.17</v>
      </c>
    </row>
    <row r="29" spans="1:8">
      <c r="A29" s="160">
        <v>45227</v>
      </c>
      <c r="B29" s="8" t="s">
        <v>986</v>
      </c>
      <c r="D29" s="102"/>
      <c r="F29" s="63">
        <v>400</v>
      </c>
      <c r="H29" s="63">
        <f t="shared" si="0"/>
        <v>-20768.169999999998</v>
      </c>
    </row>
    <row r="30" spans="1:8">
      <c r="D30" s="63"/>
      <c r="F30" s="63"/>
      <c r="G30" s="63"/>
      <c r="H30" s="63"/>
    </row>
    <row r="31" spans="1:8" ht="15.75">
      <c r="B31" s="179"/>
      <c r="F31" s="63"/>
      <c r="G31" s="63"/>
      <c r="H31" s="63"/>
    </row>
    <row r="32" spans="1:8">
      <c r="E32" s="63"/>
      <c r="G32" s="63"/>
      <c r="H32" s="63"/>
    </row>
    <row r="33" spans="1:8">
      <c r="B33" t="s">
        <v>330</v>
      </c>
      <c r="E33" s="63"/>
      <c r="G33" s="63"/>
      <c r="H33" s="63"/>
    </row>
    <row r="34" spans="1:8">
      <c r="A34" s="103" t="s">
        <v>331</v>
      </c>
      <c r="B34" s="103"/>
      <c r="C34" s="103"/>
      <c r="D34" s="103"/>
      <c r="E34" s="158"/>
      <c r="G34" s="63"/>
      <c r="H34" s="63"/>
    </row>
    <row r="35" spans="1:8">
      <c r="A35" s="312"/>
      <c r="B35" s="312"/>
      <c r="C35" s="312"/>
      <c r="D35" s="312"/>
      <c r="E35" s="313"/>
      <c r="H35" s="63"/>
    </row>
    <row r="36" spans="1:8">
      <c r="A36" s="312"/>
      <c r="B36" s="312"/>
      <c r="C36" s="314"/>
      <c r="D36" s="312"/>
      <c r="E36" s="312"/>
      <c r="H36" s="63"/>
    </row>
    <row r="37" spans="1:8">
      <c r="A37" s="312"/>
      <c r="B37" s="312"/>
      <c r="C37" s="314"/>
      <c r="D37" s="312"/>
      <c r="E37" s="312"/>
      <c r="H37" s="63"/>
    </row>
    <row r="38" spans="1:8">
      <c r="C38" s="171"/>
      <c r="H38" s="63"/>
    </row>
    <row r="39" spans="1:8">
      <c r="A39" s="315">
        <v>44929</v>
      </c>
      <c r="B39" s="173" t="s">
        <v>332</v>
      </c>
      <c r="C39" s="103"/>
      <c r="D39" s="201">
        <f>SUM(D40:D47)</f>
        <v>3425.3799999999997</v>
      </c>
      <c r="E39" s="201">
        <f>SUM(E40:E47)</f>
        <v>3422.73</v>
      </c>
      <c r="H39" s="63"/>
    </row>
    <row r="40" spans="1:8">
      <c r="B40" t="s">
        <v>926</v>
      </c>
      <c r="D40">
        <v>578.66</v>
      </c>
      <c r="E40" s="63">
        <v>578</v>
      </c>
      <c r="F40" s="63"/>
      <c r="G40" s="63"/>
    </row>
    <row r="41" spans="1:8">
      <c r="B41" t="s">
        <v>334</v>
      </c>
      <c r="D41">
        <v>1237.75</v>
      </c>
      <c r="E41" s="63">
        <v>1237</v>
      </c>
      <c r="F41" s="63"/>
      <c r="G41" s="63"/>
    </row>
    <row r="42" spans="1:8">
      <c r="B42" t="s">
        <v>335</v>
      </c>
      <c r="D42">
        <v>155.32</v>
      </c>
      <c r="E42">
        <v>155</v>
      </c>
      <c r="F42" s="63"/>
      <c r="G42" s="63"/>
    </row>
    <row r="43" spans="1:8">
      <c r="B43" t="s">
        <v>336</v>
      </c>
      <c r="D43">
        <v>1102.24</v>
      </c>
      <c r="E43">
        <v>1102</v>
      </c>
      <c r="F43" s="63"/>
      <c r="G43" s="63"/>
    </row>
    <row r="44" spans="1:8">
      <c r="B44" t="s">
        <v>337</v>
      </c>
      <c r="D44">
        <v>317.68</v>
      </c>
      <c r="E44">
        <v>317</v>
      </c>
      <c r="F44" s="63"/>
      <c r="G44" s="63"/>
    </row>
    <row r="45" spans="1:8">
      <c r="B45" t="s">
        <v>338</v>
      </c>
      <c r="C45" s="106"/>
      <c r="D45" s="106">
        <v>33.729999999999997</v>
      </c>
      <c r="E45">
        <v>33.729999999999997</v>
      </c>
      <c r="F45" s="63"/>
      <c r="G45" s="63"/>
    </row>
    <row r="46" spans="1:8">
      <c r="C46" s="106"/>
      <c r="E46" s="106"/>
      <c r="F46" s="63"/>
      <c r="G46" s="63"/>
    </row>
    <row r="47" spans="1:8">
      <c r="C47" s="106"/>
      <c r="D47" s="106"/>
      <c r="E47" s="163"/>
      <c r="F47" s="63"/>
      <c r="G47" s="63"/>
    </row>
    <row r="49" spans="1:8">
      <c r="B49" s="17"/>
    </row>
    <row r="50" spans="1:8">
      <c r="B50" s="102"/>
    </row>
    <row r="51" spans="1:8">
      <c r="A51" s="103"/>
      <c r="B51" s="104" t="s">
        <v>83</v>
      </c>
      <c r="C51" s="103"/>
      <c r="D51" s="158"/>
      <c r="E51" s="159">
        <f>SUM(E52:E65)</f>
        <v>-6481.6100000000006</v>
      </c>
    </row>
    <row r="52" spans="1:8">
      <c r="A52" s="160">
        <v>44995</v>
      </c>
      <c r="B52" s="8" t="s">
        <v>777</v>
      </c>
      <c r="C52">
        <v>613.91</v>
      </c>
      <c r="D52" s="35" t="s">
        <v>987</v>
      </c>
      <c r="E52" s="163">
        <v>-61.39</v>
      </c>
      <c r="G52" s="63"/>
      <c r="H52" s="63"/>
    </row>
    <row r="53" spans="1:8">
      <c r="A53" s="160">
        <v>45043</v>
      </c>
      <c r="B53" s="106" t="s">
        <v>955</v>
      </c>
      <c r="C53" s="106">
        <v>3299</v>
      </c>
      <c r="D53" s="35" t="s">
        <v>476</v>
      </c>
      <c r="E53" s="163">
        <v>-549.83000000000004</v>
      </c>
      <c r="F53" s="63"/>
      <c r="G53" s="63"/>
      <c r="H53" s="63"/>
    </row>
    <row r="54" spans="1:8">
      <c r="A54" s="160">
        <v>45043</v>
      </c>
      <c r="B54" s="106" t="s">
        <v>729</v>
      </c>
      <c r="C54" s="106">
        <v>10764.57</v>
      </c>
      <c r="D54" s="35" t="s">
        <v>731</v>
      </c>
      <c r="E54" s="163">
        <v>-1196.06</v>
      </c>
      <c r="F54" s="63"/>
      <c r="G54" s="63"/>
      <c r="H54" s="63"/>
    </row>
    <row r="55" spans="1:8">
      <c r="A55" s="160">
        <v>45044</v>
      </c>
      <c r="B55" s="8" t="s">
        <v>957</v>
      </c>
      <c r="C55" s="106">
        <v>3123.29</v>
      </c>
      <c r="D55" s="204" t="s">
        <v>476</v>
      </c>
      <c r="E55" s="163">
        <v>-520.54999999999995</v>
      </c>
      <c r="F55" s="63"/>
      <c r="G55" s="63"/>
      <c r="H55" s="63"/>
    </row>
    <row r="56" spans="1:8">
      <c r="A56" s="160">
        <v>45078</v>
      </c>
      <c r="B56" s="106" t="s">
        <v>930</v>
      </c>
      <c r="D56" s="204" t="s">
        <v>519</v>
      </c>
      <c r="E56" s="163">
        <v>-666.67</v>
      </c>
      <c r="F56" s="63"/>
      <c r="G56" s="63"/>
      <c r="H56" s="63"/>
    </row>
    <row r="57" spans="1:8">
      <c r="A57" s="160">
        <v>45168</v>
      </c>
      <c r="B57" s="106" t="s">
        <v>489</v>
      </c>
      <c r="D57" s="204"/>
      <c r="E57" s="163">
        <v>-250</v>
      </c>
      <c r="F57" s="63"/>
      <c r="G57" s="63"/>
      <c r="H57" s="63"/>
    </row>
    <row r="58" spans="1:8">
      <c r="A58" s="160">
        <v>45077</v>
      </c>
      <c r="B58" s="106" t="s">
        <v>988</v>
      </c>
      <c r="C58" s="106">
        <v>148.6</v>
      </c>
      <c r="D58" s="204" t="s">
        <v>989</v>
      </c>
      <c r="E58" s="163">
        <v>-37.15</v>
      </c>
      <c r="F58" s="63"/>
      <c r="G58" s="63"/>
      <c r="H58" s="63"/>
    </row>
    <row r="59" spans="1:8">
      <c r="A59" s="160">
        <v>45077</v>
      </c>
      <c r="B59" s="106" t="s">
        <v>990</v>
      </c>
      <c r="C59" s="106">
        <v>244.8</v>
      </c>
      <c r="D59" s="204" t="s">
        <v>989</v>
      </c>
      <c r="E59" s="163">
        <v>-61.2</v>
      </c>
      <c r="F59" s="63"/>
      <c r="G59" s="63"/>
      <c r="H59" s="63"/>
    </row>
    <row r="60" spans="1:8">
      <c r="A60" s="160">
        <v>45077</v>
      </c>
      <c r="B60" s="106" t="s">
        <v>991</v>
      </c>
      <c r="C60" s="106">
        <v>1204.5</v>
      </c>
      <c r="D60" s="204" t="s">
        <v>989</v>
      </c>
      <c r="E60" s="163">
        <v>-301.13</v>
      </c>
      <c r="F60" s="63"/>
      <c r="G60" s="63"/>
      <c r="H60" s="63"/>
    </row>
    <row r="61" spans="1:8">
      <c r="A61" s="160">
        <v>45077</v>
      </c>
      <c r="B61" s="8" t="s">
        <v>992</v>
      </c>
      <c r="C61" s="106">
        <v>532.6</v>
      </c>
      <c r="D61" s="204" t="s">
        <v>989</v>
      </c>
      <c r="E61" s="163">
        <v>-133.15</v>
      </c>
      <c r="F61" s="63"/>
      <c r="G61" s="63"/>
      <c r="H61" s="63"/>
    </row>
    <row r="62" spans="1:8">
      <c r="A62" s="160">
        <v>45173</v>
      </c>
      <c r="B62" s="106" t="s">
        <v>993</v>
      </c>
      <c r="C62" s="106">
        <v>7338.29</v>
      </c>
      <c r="D62" s="106"/>
      <c r="E62" s="163"/>
      <c r="F62" s="63"/>
      <c r="G62" s="63"/>
      <c r="H62" s="63"/>
    </row>
    <row r="63" spans="1:8">
      <c r="A63" s="160">
        <v>45187</v>
      </c>
      <c r="B63" s="106" t="s">
        <v>566</v>
      </c>
      <c r="C63" s="106">
        <v>7648.33</v>
      </c>
      <c r="D63" s="204" t="s">
        <v>994</v>
      </c>
      <c r="E63" s="163">
        <v>-849.81</v>
      </c>
      <c r="F63" s="63"/>
    </row>
    <row r="64" spans="1:8">
      <c r="A64" s="160">
        <v>45187</v>
      </c>
      <c r="B64" s="106" t="s">
        <v>995</v>
      </c>
      <c r="C64" s="106">
        <v>11128</v>
      </c>
      <c r="D64" s="204" t="s">
        <v>650</v>
      </c>
      <c r="E64" s="163">
        <v>-1854.67</v>
      </c>
      <c r="F64" s="63"/>
    </row>
    <row r="66" spans="1:9" ht="15">
      <c r="D66" s="105" t="s">
        <v>84</v>
      </c>
    </row>
    <row r="68" spans="1:9">
      <c r="A68" s="103"/>
      <c r="B68" s="104" t="s">
        <v>85</v>
      </c>
      <c r="C68" s="103"/>
      <c r="D68" s="103"/>
      <c r="E68" s="159">
        <f>SUM(E69:E104)</f>
        <v>-16000.550000000001</v>
      </c>
    </row>
    <row r="69" spans="1:9">
      <c r="A69" s="160">
        <v>45026</v>
      </c>
      <c r="B69" s="8" t="s">
        <v>958</v>
      </c>
      <c r="C69">
        <v>1140.99</v>
      </c>
      <c r="D69" s="8" t="s">
        <v>690</v>
      </c>
      <c r="E69" s="163">
        <v>-190.17</v>
      </c>
      <c r="F69" s="63"/>
      <c r="G69" s="63"/>
      <c r="H69" s="63"/>
    </row>
    <row r="70" spans="1:9">
      <c r="A70" s="160">
        <v>45141</v>
      </c>
      <c r="B70" s="8" t="s">
        <v>959</v>
      </c>
      <c r="D70" s="35" t="s">
        <v>996</v>
      </c>
      <c r="E70" s="163">
        <v>-181.83</v>
      </c>
      <c r="F70" s="63"/>
      <c r="G70" s="63"/>
      <c r="H70" s="63"/>
    </row>
    <row r="71" spans="1:9">
      <c r="A71" s="160">
        <v>45187</v>
      </c>
      <c r="B71" s="106" t="s">
        <v>997</v>
      </c>
      <c r="C71" s="106"/>
      <c r="D71" s="8" t="s">
        <v>961</v>
      </c>
      <c r="E71" s="163">
        <v>-3974.44</v>
      </c>
      <c r="G71" s="63"/>
      <c r="H71" s="63"/>
      <c r="I71" s="63"/>
    </row>
    <row r="72" spans="1:9">
      <c r="A72" s="160">
        <v>45187</v>
      </c>
      <c r="B72" s="106" t="s">
        <v>998</v>
      </c>
      <c r="C72" s="106"/>
      <c r="D72" s="106"/>
      <c r="E72" s="163">
        <v>-573.17999999999995</v>
      </c>
      <c r="F72" s="63"/>
      <c r="G72" s="63"/>
      <c r="H72" s="63"/>
    </row>
    <row r="73" spans="1:9">
      <c r="A73" s="160">
        <v>45163</v>
      </c>
      <c r="B73" s="106"/>
      <c r="C73" s="106"/>
      <c r="D73" s="106"/>
      <c r="E73" s="163">
        <v>-525</v>
      </c>
      <c r="F73" s="63"/>
      <c r="G73" s="63"/>
    </row>
    <row r="74" spans="1:9">
      <c r="A74" s="160">
        <v>45163</v>
      </c>
      <c r="B74" s="106"/>
      <c r="C74" s="106"/>
      <c r="D74" s="106"/>
      <c r="E74" s="163">
        <v>-200</v>
      </c>
      <c r="F74" s="63"/>
    </row>
    <row r="75" spans="1:9">
      <c r="A75" s="160">
        <v>45164</v>
      </c>
      <c r="B75" s="106"/>
      <c r="C75" s="106"/>
      <c r="D75" s="106"/>
      <c r="E75" s="163">
        <v>-200</v>
      </c>
      <c r="F75" s="63"/>
    </row>
    <row r="76" spans="1:9">
      <c r="A76" s="160">
        <v>45165</v>
      </c>
      <c r="B76" s="106" t="s">
        <v>999</v>
      </c>
      <c r="C76" s="106"/>
      <c r="D76" s="106"/>
      <c r="E76" s="163">
        <v>-200</v>
      </c>
      <c r="F76" s="63"/>
    </row>
    <row r="77" spans="1:9">
      <c r="A77" s="160">
        <v>45165</v>
      </c>
      <c r="B77" s="106" t="s">
        <v>1000</v>
      </c>
      <c r="C77" s="106"/>
      <c r="D77" s="106"/>
      <c r="E77" s="163">
        <v>-300</v>
      </c>
      <c r="F77" s="63"/>
    </row>
    <row r="78" spans="1:9">
      <c r="A78" s="160">
        <v>45167</v>
      </c>
      <c r="B78" s="106" t="s">
        <v>1001</v>
      </c>
      <c r="C78" s="106"/>
      <c r="D78" s="106"/>
      <c r="E78" s="163">
        <v>-70</v>
      </c>
      <c r="F78" s="63"/>
      <c r="G78" s="63"/>
      <c r="H78" s="63"/>
    </row>
    <row r="79" spans="1:9">
      <c r="A79" s="160">
        <v>45169</v>
      </c>
      <c r="B79" s="106" t="s">
        <v>1002</v>
      </c>
      <c r="C79" s="106"/>
      <c r="D79" s="106"/>
      <c r="E79" s="163">
        <v>-300</v>
      </c>
      <c r="F79" s="63"/>
      <c r="G79" s="63"/>
      <c r="H79" s="63"/>
    </row>
    <row r="80" spans="1:9">
      <c r="A80" s="160">
        <v>45169</v>
      </c>
      <c r="B80" s="106"/>
      <c r="C80" s="106"/>
      <c r="D80" s="106"/>
      <c r="E80" s="163">
        <v>-200</v>
      </c>
      <c r="F80" s="63"/>
      <c r="G80" s="63"/>
      <c r="H80" s="63"/>
    </row>
    <row r="81" spans="1:8">
      <c r="A81" s="160">
        <v>45170</v>
      </c>
      <c r="B81" s="106" t="s">
        <v>130</v>
      </c>
      <c r="C81" s="106">
        <v>-3842.65</v>
      </c>
      <c r="D81" s="106"/>
      <c r="E81" s="163"/>
      <c r="F81" s="63"/>
      <c r="G81" s="63"/>
      <c r="H81" s="63"/>
    </row>
    <row r="82" spans="1:8">
      <c r="A82" s="160">
        <v>45170</v>
      </c>
      <c r="B82" s="106"/>
      <c r="C82" s="106"/>
      <c r="D82" s="106"/>
      <c r="E82" s="163">
        <v>-200</v>
      </c>
      <c r="F82" s="63"/>
      <c r="G82" s="63"/>
      <c r="H82" s="63"/>
    </row>
    <row r="83" spans="1:8">
      <c r="A83" s="160">
        <v>45171</v>
      </c>
      <c r="B83" s="106"/>
      <c r="C83" s="106"/>
      <c r="D83" s="106"/>
      <c r="E83" s="163">
        <v>-180</v>
      </c>
      <c r="F83" s="63"/>
      <c r="G83" s="63"/>
      <c r="H83" s="63"/>
    </row>
    <row r="84" spans="1:8">
      <c r="A84" s="160">
        <v>45172</v>
      </c>
      <c r="B84" s="106" t="s">
        <v>414</v>
      </c>
      <c r="C84" s="106"/>
      <c r="D84" s="106"/>
      <c r="E84" s="163">
        <v>-339.4</v>
      </c>
      <c r="F84" s="63"/>
      <c r="G84" s="63"/>
      <c r="H84" s="63"/>
    </row>
    <row r="85" spans="1:8">
      <c r="A85" s="160">
        <v>45174</v>
      </c>
      <c r="B85" s="106"/>
      <c r="C85" s="106"/>
      <c r="D85" s="106"/>
      <c r="E85" s="163">
        <v>-250</v>
      </c>
      <c r="F85" s="63"/>
      <c r="G85" s="63"/>
      <c r="H85" s="63"/>
    </row>
    <row r="86" spans="1:8">
      <c r="A86" s="160">
        <v>45175</v>
      </c>
      <c r="B86" s="107"/>
      <c r="E86" s="163">
        <v>-200</v>
      </c>
    </row>
    <row r="87" spans="1:8">
      <c r="A87" s="160">
        <v>45177</v>
      </c>
      <c r="E87" s="163">
        <v>-200</v>
      </c>
    </row>
    <row r="88" spans="1:8">
      <c r="A88" s="160">
        <v>45179</v>
      </c>
      <c r="B88" s="8" t="s">
        <v>410</v>
      </c>
      <c r="E88" s="163">
        <v>-529.98</v>
      </c>
    </row>
    <row r="89" spans="1:8">
      <c r="A89" s="160">
        <v>45179</v>
      </c>
      <c r="B89" s="8" t="s">
        <v>410</v>
      </c>
      <c r="E89" s="163">
        <v>-2351.9499999999998</v>
      </c>
    </row>
    <row r="90" spans="1:8">
      <c r="A90" s="160">
        <v>45180</v>
      </c>
      <c r="B90" s="8" t="s">
        <v>1003</v>
      </c>
      <c r="E90" s="163">
        <v>-200</v>
      </c>
    </row>
    <row r="91" spans="1:8">
      <c r="A91" s="160">
        <v>45181</v>
      </c>
      <c r="E91" s="163">
        <v>-165</v>
      </c>
    </row>
    <row r="92" spans="1:8">
      <c r="A92" s="160">
        <v>45182</v>
      </c>
      <c r="B92" s="8" t="s">
        <v>1003</v>
      </c>
      <c r="D92" s="35"/>
      <c r="E92" s="163">
        <v>-200</v>
      </c>
    </row>
    <row r="93" spans="1:8">
      <c r="A93" s="160">
        <v>45183</v>
      </c>
      <c r="D93" s="35"/>
      <c r="E93" s="163">
        <v>-200</v>
      </c>
    </row>
    <row r="94" spans="1:8">
      <c r="A94" s="160">
        <v>45184</v>
      </c>
      <c r="B94" s="8" t="s">
        <v>1004</v>
      </c>
      <c r="E94" s="163">
        <v>-578</v>
      </c>
    </row>
    <row r="95" spans="1:8">
      <c r="A95" s="160">
        <v>45184</v>
      </c>
      <c r="B95" s="8" t="s">
        <v>1005</v>
      </c>
      <c r="E95" s="163">
        <v>-1000</v>
      </c>
    </row>
    <row r="96" spans="1:8">
      <c r="A96" s="160">
        <v>45184</v>
      </c>
      <c r="E96" s="163">
        <v>-250</v>
      </c>
    </row>
    <row r="97" spans="1:5">
      <c r="A97" s="160">
        <v>45185</v>
      </c>
      <c r="E97" s="163">
        <v>-200</v>
      </c>
    </row>
    <row r="98" spans="1:5">
      <c r="A98" s="160">
        <v>45187</v>
      </c>
      <c r="E98" s="163">
        <v>-160</v>
      </c>
    </row>
    <row r="99" spans="1:5">
      <c r="A99" s="160">
        <v>45188</v>
      </c>
      <c r="E99" s="163">
        <v>-250</v>
      </c>
    </row>
    <row r="100" spans="1:5">
      <c r="A100" s="160">
        <v>45189</v>
      </c>
      <c r="E100" s="163">
        <v>-160</v>
      </c>
    </row>
    <row r="101" spans="1:5">
      <c r="A101" s="160">
        <v>45191</v>
      </c>
      <c r="B101" s="8" t="s">
        <v>1006</v>
      </c>
      <c r="E101" s="163">
        <v>-230</v>
      </c>
    </row>
    <row r="102" spans="1:5">
      <c r="A102" s="160">
        <v>45191</v>
      </c>
      <c r="B102" s="8" t="s">
        <v>1007</v>
      </c>
      <c r="E102" s="163">
        <v>-382</v>
      </c>
    </row>
    <row r="103" spans="1:5">
      <c r="A103" s="160">
        <v>45191</v>
      </c>
      <c r="B103" s="8" t="s">
        <v>1008</v>
      </c>
      <c r="E103" s="163">
        <v>-699.6</v>
      </c>
    </row>
    <row r="104" spans="1:5">
      <c r="A104" s="160">
        <v>45192</v>
      </c>
      <c r="B104" s="8" t="s">
        <v>135</v>
      </c>
      <c r="E104" s="163">
        <v>-160</v>
      </c>
    </row>
    <row r="106" spans="1:5" ht="15">
      <c r="D106" s="105" t="s">
        <v>84</v>
      </c>
    </row>
    <row r="111" spans="1:5">
      <c r="A111" s="113" t="s">
        <v>1009</v>
      </c>
      <c r="B111" s="104" t="s">
        <v>137</v>
      </c>
      <c r="C111" s="103">
        <v>2023</v>
      </c>
      <c r="D111" s="158"/>
      <c r="E111" s="159">
        <f>SUM(E112:E121)</f>
        <v>610649.73</v>
      </c>
    </row>
    <row r="112" spans="1:5">
      <c r="A112" s="160">
        <v>45230</v>
      </c>
      <c r="B112" s="8" t="s">
        <v>77</v>
      </c>
      <c r="C112" s="2"/>
      <c r="D112" s="2"/>
      <c r="E112" s="17">
        <v>64000</v>
      </c>
    </row>
    <row r="113" spans="1:5">
      <c r="A113" s="160">
        <v>45230</v>
      </c>
      <c r="B113" s="8" t="s">
        <v>1010</v>
      </c>
      <c r="C113" s="2"/>
      <c r="D113" s="2"/>
      <c r="E113" s="17">
        <v>73088</v>
      </c>
    </row>
    <row r="114" spans="1:5">
      <c r="A114" s="160">
        <v>45230</v>
      </c>
      <c r="B114" s="8" t="s">
        <v>305</v>
      </c>
      <c r="C114" s="2"/>
      <c r="D114" s="2"/>
      <c r="E114" s="17">
        <v>20950.34</v>
      </c>
    </row>
    <row r="115" spans="1:5">
      <c r="A115" s="160">
        <v>45230</v>
      </c>
      <c r="B115" s="8" t="s">
        <v>306</v>
      </c>
      <c r="C115" s="2"/>
      <c r="D115" s="2"/>
      <c r="E115" s="17">
        <v>73011.39</v>
      </c>
    </row>
    <row r="116" spans="1:5">
      <c r="A116" s="160">
        <v>45230</v>
      </c>
      <c r="B116" s="8" t="s">
        <v>1011</v>
      </c>
      <c r="C116" s="2">
        <v>1800</v>
      </c>
      <c r="D116" s="2">
        <v>111</v>
      </c>
      <c r="E116" s="17">
        <f>D116*C116</f>
        <v>199800</v>
      </c>
    </row>
    <row r="117" spans="1:5">
      <c r="B117" t="s">
        <v>1012</v>
      </c>
      <c r="C117" s="2">
        <v>1800</v>
      </c>
      <c r="D117" s="2">
        <v>50</v>
      </c>
      <c r="E117" s="17">
        <f>D117*C117</f>
        <v>90000</v>
      </c>
    </row>
    <row r="118" spans="1:5">
      <c r="A118" s="160">
        <v>45230</v>
      </c>
      <c r="B118" s="8" t="s">
        <v>1013</v>
      </c>
      <c r="C118" s="162">
        <v>28</v>
      </c>
      <c r="D118" s="2">
        <v>850</v>
      </c>
      <c r="E118" s="17">
        <f>D118*C118</f>
        <v>23800</v>
      </c>
    </row>
    <row r="119" spans="1:5">
      <c r="A119" s="160">
        <v>45230</v>
      </c>
      <c r="B119" s="8" t="s">
        <v>1014</v>
      </c>
      <c r="C119" s="162">
        <v>30</v>
      </c>
      <c r="D119" s="2">
        <v>100</v>
      </c>
      <c r="E119" s="17">
        <f>D119*C119</f>
        <v>3000</v>
      </c>
    </row>
    <row r="120" spans="1:5">
      <c r="A120" s="160">
        <v>45230</v>
      </c>
      <c r="B120" s="8" t="s">
        <v>153</v>
      </c>
      <c r="C120" s="2"/>
      <c r="D120" s="2"/>
      <c r="E120" s="17">
        <v>60000</v>
      </c>
    </row>
    <row r="121" spans="1:5">
      <c r="A121" s="160">
        <v>45230</v>
      </c>
      <c r="B121" s="8" t="s">
        <v>154</v>
      </c>
      <c r="C121" s="2"/>
      <c r="D121" s="2"/>
      <c r="E121" s="17">
        <v>3000</v>
      </c>
    </row>
    <row r="122" spans="1:5">
      <c r="C122" s="3" t="s">
        <v>1009</v>
      </c>
      <c r="D122" s="18" t="s">
        <v>157</v>
      </c>
      <c r="E122" s="163">
        <f>H41</f>
        <v>0</v>
      </c>
    </row>
    <row r="123" spans="1:5">
      <c r="D123" s="3"/>
    </row>
    <row r="124" spans="1:5">
      <c r="D124" s="18" t="s">
        <v>156</v>
      </c>
      <c r="E124" s="9">
        <f>SUM(E112:E121)</f>
        <v>610649.73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395511"/>
  </sheetPr>
  <dimension ref="A1:H123"/>
  <sheetViews>
    <sheetView topLeftCell="A14" zoomScale="170" zoomScaleNormal="170" workbookViewId="0">
      <selection activeCell="B9" sqref="B9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10.5703125" customWidth="1"/>
    <col min="7" max="7" width="9.85546875" customWidth="1"/>
    <col min="8" max="8" width="11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1015</v>
      </c>
      <c r="C2" s="79" t="s">
        <v>67</v>
      </c>
      <c r="D2" s="306">
        <f>SUM(D4:D38)</f>
        <v>133300</v>
      </c>
      <c r="E2" s="306">
        <f>SUM(E4:E37)</f>
        <v>-31871.02</v>
      </c>
      <c r="F2" s="306">
        <f>SUM(F4:F44)</f>
        <v>257800</v>
      </c>
      <c r="G2" s="306">
        <f>SUM(G4:G44)</f>
        <v>-34914.910000000003</v>
      </c>
      <c r="H2" s="306">
        <f>F2+G2</f>
        <v>222885.09</v>
      </c>
    </row>
    <row r="3" spans="1:8">
      <c r="B3" s="18"/>
      <c r="H3" s="63"/>
    </row>
    <row r="4" spans="1:8">
      <c r="B4" s="101" t="s">
        <v>80</v>
      </c>
      <c r="C4" s="101"/>
      <c r="D4" s="101"/>
      <c r="E4" s="63">
        <v>-400</v>
      </c>
      <c r="G4" s="63">
        <v>-317</v>
      </c>
      <c r="H4" s="63">
        <f t="shared" ref="H4:H40" si="0">H3+F4+G4</f>
        <v>-317</v>
      </c>
    </row>
    <row r="5" spans="1:8">
      <c r="B5" s="101" t="s">
        <v>81</v>
      </c>
      <c r="C5" s="101"/>
      <c r="D5" s="101"/>
      <c r="E5" s="63">
        <v>-500</v>
      </c>
      <c r="G5" s="63">
        <v>-559</v>
      </c>
      <c r="H5" s="63">
        <f t="shared" si="0"/>
        <v>-876</v>
      </c>
    </row>
    <row r="6" spans="1:8">
      <c r="B6" s="101" t="s">
        <v>1016</v>
      </c>
      <c r="C6" s="101"/>
      <c r="D6" s="101"/>
      <c r="E6" s="63">
        <v>-250</v>
      </c>
      <c r="G6" s="63">
        <v>-250</v>
      </c>
      <c r="H6" s="63">
        <f t="shared" si="0"/>
        <v>-1126</v>
      </c>
    </row>
    <row r="7" spans="1:8">
      <c r="B7" s="178" t="s">
        <v>72</v>
      </c>
      <c r="D7" s="63"/>
      <c r="E7" s="63">
        <f>D56*-1</f>
        <v>-44.99</v>
      </c>
      <c r="F7" s="63"/>
      <c r="G7" s="63">
        <f>E56*-1</f>
        <v>-44.99</v>
      </c>
      <c r="H7" s="63">
        <f t="shared" si="0"/>
        <v>-1170.99</v>
      </c>
    </row>
    <row r="8" spans="1:8">
      <c r="B8" s="178" t="s">
        <v>68</v>
      </c>
      <c r="E8" s="63">
        <f>E62</f>
        <v>-7338.2899999999991</v>
      </c>
      <c r="F8" s="63"/>
      <c r="G8" s="63">
        <v>-7338.29</v>
      </c>
      <c r="H8" s="63">
        <f t="shared" si="0"/>
        <v>-8509.2800000000007</v>
      </c>
    </row>
    <row r="9" spans="1:8">
      <c r="A9" s="165">
        <v>45173</v>
      </c>
      <c r="B9" s="178" t="s">
        <v>69</v>
      </c>
      <c r="E9" s="63">
        <f>E87</f>
        <v>-3842.66</v>
      </c>
      <c r="G9" s="63">
        <v>-3842.65</v>
      </c>
      <c r="H9" s="63">
        <f t="shared" si="0"/>
        <v>-12351.93</v>
      </c>
    </row>
    <row r="10" spans="1:8">
      <c r="A10" s="100">
        <v>45173</v>
      </c>
      <c r="B10" s="101" t="s">
        <v>1017</v>
      </c>
      <c r="C10" s="101"/>
      <c r="D10" s="101"/>
      <c r="E10" s="63">
        <v>-5375</v>
      </c>
      <c r="G10" s="63">
        <v>-5375</v>
      </c>
      <c r="H10" s="63">
        <f t="shared" si="0"/>
        <v>-17726.93</v>
      </c>
    </row>
    <row r="11" spans="1:8">
      <c r="A11" s="100"/>
      <c r="B11" s="101" t="s">
        <v>1017</v>
      </c>
      <c r="C11" s="101"/>
      <c r="D11" s="101"/>
      <c r="E11" s="63">
        <v>-2125</v>
      </c>
      <c r="G11" s="63">
        <v>-2125</v>
      </c>
      <c r="H11" s="63">
        <f t="shared" si="0"/>
        <v>-19851.93</v>
      </c>
    </row>
    <row r="12" spans="1:8">
      <c r="B12" s="101" t="s">
        <v>1018</v>
      </c>
      <c r="C12" s="101"/>
      <c r="D12" s="101"/>
      <c r="E12" s="63">
        <v>-945.08</v>
      </c>
      <c r="F12" s="163"/>
      <c r="G12" s="63">
        <v>-945.08</v>
      </c>
      <c r="H12" s="63">
        <f t="shared" si="0"/>
        <v>-20797.010000000002</v>
      </c>
    </row>
    <row r="13" spans="1:8">
      <c r="B13" s="101" t="s">
        <v>75</v>
      </c>
      <c r="C13" s="101" t="s">
        <v>328</v>
      </c>
      <c r="D13" s="101"/>
      <c r="E13" s="63">
        <v>-150</v>
      </c>
      <c r="F13" s="163"/>
      <c r="G13" s="63"/>
      <c r="H13" s="63">
        <f t="shared" si="0"/>
        <v>-20797.010000000002</v>
      </c>
    </row>
    <row r="14" spans="1:8">
      <c r="B14" s="106" t="s">
        <v>73</v>
      </c>
      <c r="C14" s="106" t="s">
        <v>328</v>
      </c>
      <c r="D14" s="106"/>
      <c r="E14" s="63">
        <v>-300</v>
      </c>
      <c r="F14" s="163"/>
      <c r="G14" s="63"/>
      <c r="H14" s="63">
        <f t="shared" si="0"/>
        <v>-20797.010000000002</v>
      </c>
    </row>
    <row r="15" spans="1:8">
      <c r="B15" s="106" t="s">
        <v>74</v>
      </c>
      <c r="C15" s="106" t="s">
        <v>328</v>
      </c>
      <c r="D15" s="106"/>
      <c r="E15" s="63">
        <v>-100</v>
      </c>
      <c r="F15" s="163"/>
      <c r="G15" s="63"/>
      <c r="H15" s="63">
        <f t="shared" si="0"/>
        <v>-20797.010000000002</v>
      </c>
    </row>
    <row r="16" spans="1:8">
      <c r="B16" t="s">
        <v>77</v>
      </c>
      <c r="E16" s="63">
        <v>-3500</v>
      </c>
      <c r="F16" s="63"/>
      <c r="G16" s="63">
        <v>-3509</v>
      </c>
      <c r="H16" s="63">
        <f t="shared" si="0"/>
        <v>-24306.010000000002</v>
      </c>
    </row>
    <row r="17" spans="1:8">
      <c r="B17" t="s">
        <v>77</v>
      </c>
      <c r="E17" s="63"/>
      <c r="F17" s="63"/>
      <c r="G17" s="63">
        <v>-3509</v>
      </c>
      <c r="H17" s="63">
        <f t="shared" si="0"/>
        <v>-27815.010000000002</v>
      </c>
    </row>
    <row r="18" spans="1:8">
      <c r="B18" t="s">
        <v>78</v>
      </c>
      <c r="E18" s="63">
        <v>-3500</v>
      </c>
      <c r="F18" s="63"/>
      <c r="G18" s="63">
        <v>-3509</v>
      </c>
      <c r="H18" s="63">
        <f t="shared" si="0"/>
        <v>-31324.010000000002</v>
      </c>
    </row>
    <row r="19" spans="1:8">
      <c r="B19" t="s">
        <v>79</v>
      </c>
      <c r="E19" s="63">
        <v>-3500</v>
      </c>
      <c r="F19" s="63"/>
      <c r="G19" s="63">
        <v>-3500</v>
      </c>
      <c r="H19" s="63">
        <f t="shared" si="0"/>
        <v>-34824.01</v>
      </c>
    </row>
    <row r="20" spans="1:8">
      <c r="E20" s="163"/>
      <c r="F20" s="63"/>
      <c r="G20" s="63"/>
      <c r="H20" s="63">
        <f t="shared" si="0"/>
        <v>-34824.01</v>
      </c>
    </row>
    <row r="21" spans="1:8">
      <c r="B21" t="s">
        <v>76</v>
      </c>
      <c r="D21" s="186">
        <v>7500</v>
      </c>
      <c r="F21" s="63">
        <v>7500</v>
      </c>
      <c r="G21" s="63"/>
      <c r="H21" s="63">
        <f t="shared" si="0"/>
        <v>-27324.010000000002</v>
      </c>
    </row>
    <row r="22" spans="1:8">
      <c r="A22" s="100">
        <v>45202</v>
      </c>
      <c r="B22" s="8" t="s">
        <v>677</v>
      </c>
      <c r="D22" s="186">
        <v>2800</v>
      </c>
      <c r="F22" s="63">
        <v>2800</v>
      </c>
      <c r="G22" s="63"/>
      <c r="H22" s="63">
        <f t="shared" si="0"/>
        <v>-24524.010000000002</v>
      </c>
    </row>
    <row r="23" spans="1:8">
      <c r="A23" s="100">
        <v>45204</v>
      </c>
      <c r="B23" s="8" t="s">
        <v>1019</v>
      </c>
      <c r="D23" s="186">
        <v>6500</v>
      </c>
      <c r="F23" s="63">
        <v>6500</v>
      </c>
      <c r="G23" s="63"/>
      <c r="H23" s="63">
        <f t="shared" si="0"/>
        <v>-18024.010000000002</v>
      </c>
    </row>
    <row r="24" spans="1:8">
      <c r="A24" s="100">
        <v>45170</v>
      </c>
      <c r="B24" s="8" t="s">
        <v>1020</v>
      </c>
      <c r="D24" s="186">
        <v>37500</v>
      </c>
      <c r="F24" s="63"/>
      <c r="G24" s="63"/>
      <c r="H24" s="63">
        <f t="shared" si="0"/>
        <v>-18024.010000000002</v>
      </c>
    </row>
    <row r="25" spans="1:8">
      <c r="A25" s="100">
        <v>45199</v>
      </c>
      <c r="B25" s="8" t="s">
        <v>443</v>
      </c>
      <c r="D25" s="186">
        <v>70000</v>
      </c>
      <c r="G25" s="63"/>
      <c r="H25" s="63">
        <f t="shared" si="0"/>
        <v>-18024.010000000002</v>
      </c>
    </row>
    <row r="26" spans="1:8">
      <c r="A26" s="100"/>
      <c r="B26" s="8" t="s">
        <v>1021</v>
      </c>
      <c r="D26" s="102"/>
      <c r="G26" s="63"/>
      <c r="H26" s="63">
        <f t="shared" si="0"/>
        <v>-18024.010000000002</v>
      </c>
    </row>
    <row r="27" spans="1:8">
      <c r="A27" s="100"/>
      <c r="B27" s="8" t="s">
        <v>1022</v>
      </c>
      <c r="D27" s="102"/>
      <c r="F27" s="63">
        <v>83000</v>
      </c>
      <c r="G27" s="63"/>
      <c r="H27" s="63">
        <f t="shared" si="0"/>
        <v>64975.99</v>
      </c>
    </row>
    <row r="28" spans="1:8">
      <c r="A28" s="100"/>
      <c r="B28" s="8" t="s">
        <v>1023</v>
      </c>
      <c r="D28" s="186">
        <v>3000</v>
      </c>
      <c r="F28">
        <v>3000</v>
      </c>
      <c r="G28" s="63"/>
      <c r="H28" s="63">
        <f t="shared" si="0"/>
        <v>67975.989999999991</v>
      </c>
    </row>
    <row r="29" spans="1:8">
      <c r="A29" s="100"/>
      <c r="B29" s="8" t="s">
        <v>1024</v>
      </c>
      <c r="G29" s="63"/>
      <c r="H29" s="63">
        <f t="shared" si="0"/>
        <v>67975.989999999991</v>
      </c>
    </row>
    <row r="30" spans="1:8">
      <c r="A30" s="165">
        <v>45171</v>
      </c>
      <c r="B30" s="8" t="s">
        <v>1025</v>
      </c>
      <c r="D30" s="102"/>
      <c r="F30" s="63">
        <v>65000</v>
      </c>
      <c r="G30" s="63"/>
      <c r="H30" s="63">
        <f t="shared" si="0"/>
        <v>132975.99</v>
      </c>
    </row>
    <row r="31" spans="1:8">
      <c r="A31" s="100">
        <v>45199</v>
      </c>
      <c r="B31" s="8" t="s">
        <v>1026</v>
      </c>
      <c r="D31" s="186">
        <v>6000</v>
      </c>
      <c r="F31">
        <v>6000</v>
      </c>
      <c r="G31" s="63"/>
      <c r="H31" s="63">
        <f t="shared" si="0"/>
        <v>138975.99</v>
      </c>
    </row>
    <row r="32" spans="1:8">
      <c r="A32" s="100"/>
      <c r="B32" s="8" t="s">
        <v>1027</v>
      </c>
      <c r="D32" s="102"/>
      <c r="G32" s="63"/>
      <c r="H32" s="63">
        <f t="shared" si="0"/>
        <v>138975.99</v>
      </c>
    </row>
    <row r="33" spans="1:8">
      <c r="A33" s="100"/>
      <c r="B33" s="8" t="s">
        <v>1028</v>
      </c>
      <c r="D33" s="102"/>
      <c r="G33" s="63"/>
      <c r="H33" s="63">
        <f t="shared" si="0"/>
        <v>138975.99</v>
      </c>
    </row>
    <row r="34" spans="1:8">
      <c r="A34" s="100"/>
      <c r="B34" s="8" t="s">
        <v>1029</v>
      </c>
      <c r="D34" s="102"/>
      <c r="G34" s="63"/>
      <c r="H34" s="63">
        <f t="shared" si="0"/>
        <v>138975.99</v>
      </c>
    </row>
    <row r="35" spans="1:8">
      <c r="A35" s="100"/>
      <c r="B35" s="8" t="s">
        <v>727</v>
      </c>
      <c r="D35" s="102"/>
      <c r="G35" s="63"/>
      <c r="H35" s="63">
        <f t="shared" si="0"/>
        <v>138975.99</v>
      </c>
    </row>
    <row r="36" spans="1:8">
      <c r="A36" s="165">
        <v>45173</v>
      </c>
      <c r="B36" s="8" t="s">
        <v>1030</v>
      </c>
      <c r="D36" s="63"/>
      <c r="F36" s="63"/>
      <c r="G36" s="63">
        <v>-90.9</v>
      </c>
      <c r="H36" s="63">
        <f t="shared" si="0"/>
        <v>138885.09</v>
      </c>
    </row>
    <row r="37" spans="1:8">
      <c r="A37" s="100">
        <v>45196</v>
      </c>
      <c r="B37" s="8" t="s">
        <v>1031</v>
      </c>
      <c r="F37" s="63">
        <v>74000</v>
      </c>
      <c r="G37" s="63"/>
      <c r="H37" s="63">
        <f t="shared" si="0"/>
        <v>212885.09</v>
      </c>
    </row>
    <row r="38" spans="1:8">
      <c r="A38" s="100">
        <v>45196</v>
      </c>
      <c r="B38" s="8" t="s">
        <v>1032</v>
      </c>
      <c r="E38" s="63"/>
      <c r="F38">
        <v>10000</v>
      </c>
      <c r="G38" s="63"/>
      <c r="H38" s="63">
        <f t="shared" si="0"/>
        <v>222885.09</v>
      </c>
    </row>
    <row r="39" spans="1:8">
      <c r="A39" s="100"/>
      <c r="E39" s="63"/>
      <c r="G39" s="63"/>
      <c r="H39" s="63">
        <f t="shared" si="0"/>
        <v>222885.09</v>
      </c>
    </row>
    <row r="40" spans="1:8">
      <c r="A40" s="100"/>
      <c r="E40" s="63"/>
      <c r="G40" s="63"/>
      <c r="H40" s="163">
        <f t="shared" si="0"/>
        <v>222885.09</v>
      </c>
    </row>
    <row r="41" spans="1:8">
      <c r="A41" s="100"/>
      <c r="E41" s="63"/>
      <c r="G41" s="63"/>
      <c r="H41" s="63"/>
    </row>
    <row r="42" spans="1:8">
      <c r="A42" s="100"/>
      <c r="E42" s="63"/>
      <c r="G42" s="63"/>
      <c r="H42" s="63"/>
    </row>
    <row r="43" spans="1:8">
      <c r="A43" s="100"/>
      <c r="E43" s="63"/>
      <c r="G43" s="63"/>
      <c r="H43" s="63"/>
    </row>
    <row r="44" spans="1:8">
      <c r="B44" t="s">
        <v>330</v>
      </c>
      <c r="E44" s="63"/>
      <c r="G44" s="63"/>
      <c r="H44" s="63"/>
    </row>
    <row r="45" spans="1:8">
      <c r="A45" s="103" t="s">
        <v>331</v>
      </c>
      <c r="B45" s="103"/>
      <c r="C45" s="103"/>
      <c r="D45" s="103"/>
      <c r="E45" s="158"/>
      <c r="G45" s="63"/>
      <c r="H45" s="63"/>
    </row>
    <row r="46" spans="1:8">
      <c r="A46" s="317"/>
      <c r="B46" s="312"/>
      <c r="C46" s="312"/>
      <c r="D46" s="312"/>
      <c r="E46" s="313"/>
      <c r="H46" s="63"/>
    </row>
    <row r="47" spans="1:8">
      <c r="A47" s="317"/>
      <c r="B47" s="312"/>
      <c r="C47" s="314"/>
      <c r="D47" s="312"/>
      <c r="E47" s="312"/>
      <c r="H47" s="63"/>
    </row>
    <row r="48" spans="1:8">
      <c r="A48" s="317"/>
      <c r="B48" s="312"/>
      <c r="C48" s="314"/>
      <c r="D48" s="312"/>
      <c r="E48" s="312"/>
      <c r="H48" s="63"/>
    </row>
    <row r="49" spans="1:8">
      <c r="A49" s="100"/>
      <c r="C49" s="171"/>
      <c r="H49" s="63"/>
    </row>
    <row r="50" spans="1:8">
      <c r="A50" s="172">
        <v>44929</v>
      </c>
      <c r="B50" s="173" t="s">
        <v>332</v>
      </c>
      <c r="C50" s="103"/>
      <c r="D50" s="201">
        <f>SUM(D51:D58)</f>
        <v>3502.0099999999998</v>
      </c>
      <c r="E50" s="201">
        <f>SUM(E51:E58)</f>
        <v>3502.0099999999998</v>
      </c>
      <c r="H50" s="63"/>
    </row>
    <row r="51" spans="1:8">
      <c r="B51" t="s">
        <v>926</v>
      </c>
      <c r="D51">
        <v>673.8</v>
      </c>
      <c r="E51" s="63">
        <v>673.8</v>
      </c>
      <c r="F51" s="63"/>
      <c r="G51" s="63"/>
    </row>
    <row r="52" spans="1:8">
      <c r="B52" t="s">
        <v>334</v>
      </c>
      <c r="D52">
        <v>1165.77</v>
      </c>
      <c r="E52" s="63">
        <v>1165.77</v>
      </c>
      <c r="F52" s="63"/>
      <c r="G52" s="63"/>
    </row>
    <row r="53" spans="1:8">
      <c r="B53" t="s">
        <v>335</v>
      </c>
      <c r="D53">
        <v>106.22</v>
      </c>
      <c r="E53">
        <v>106.22</v>
      </c>
      <c r="F53" s="63"/>
      <c r="G53" s="63"/>
    </row>
    <row r="54" spans="1:8">
      <c r="B54" t="s">
        <v>336</v>
      </c>
      <c r="D54">
        <v>1157.58</v>
      </c>
      <c r="E54">
        <v>1157.58</v>
      </c>
      <c r="F54" s="63"/>
      <c r="G54" s="63"/>
    </row>
    <row r="55" spans="1:8">
      <c r="B55" t="s">
        <v>337</v>
      </c>
      <c r="D55">
        <v>353.65</v>
      </c>
      <c r="E55">
        <v>353.65</v>
      </c>
      <c r="F55" s="63"/>
      <c r="G55" s="63"/>
    </row>
    <row r="56" spans="1:8">
      <c r="B56" t="s">
        <v>338</v>
      </c>
      <c r="D56" s="106">
        <v>44.99</v>
      </c>
      <c r="E56">
        <v>44.99</v>
      </c>
      <c r="F56" s="63"/>
      <c r="G56" s="63"/>
    </row>
    <row r="57" spans="1:8">
      <c r="C57" s="106"/>
      <c r="E57" s="106"/>
      <c r="F57" s="63"/>
      <c r="G57" s="63"/>
    </row>
    <row r="58" spans="1:8">
      <c r="C58" s="106"/>
      <c r="D58" s="106"/>
      <c r="E58" s="163"/>
      <c r="F58" s="63"/>
      <c r="G58" s="63"/>
    </row>
    <row r="60" spans="1:8">
      <c r="B60" s="17"/>
    </row>
    <row r="61" spans="1:8">
      <c r="B61" s="102"/>
    </row>
    <row r="62" spans="1:8">
      <c r="A62" s="103"/>
      <c r="B62" s="104" t="s">
        <v>83</v>
      </c>
      <c r="C62" s="103"/>
      <c r="D62" s="158"/>
      <c r="E62" s="201">
        <f>SUM(E63:E84)</f>
        <v>-7338.2899999999991</v>
      </c>
    </row>
    <row r="63" spans="1:8">
      <c r="A63" s="100"/>
      <c r="C63" s="106"/>
      <c r="D63" s="106"/>
      <c r="E63" s="163"/>
      <c r="G63" s="63"/>
      <c r="H63" s="63"/>
    </row>
    <row r="64" spans="1:8">
      <c r="A64" s="100">
        <v>44995</v>
      </c>
      <c r="B64" s="8" t="s">
        <v>777</v>
      </c>
      <c r="C64">
        <v>613.91</v>
      </c>
      <c r="D64" s="35" t="s">
        <v>1033</v>
      </c>
      <c r="E64" s="163">
        <v>-61.39</v>
      </c>
      <c r="F64" s="63"/>
      <c r="G64" s="63"/>
      <c r="H64" s="63"/>
    </row>
    <row r="65" spans="1:8">
      <c r="A65" s="100">
        <v>44995</v>
      </c>
      <c r="B65" s="8" t="s">
        <v>1034</v>
      </c>
      <c r="C65">
        <v>2258.94</v>
      </c>
      <c r="D65" s="35" t="s">
        <v>445</v>
      </c>
      <c r="E65" s="163">
        <v>-376.49</v>
      </c>
      <c r="F65" s="63"/>
      <c r="G65" s="63"/>
      <c r="H65" s="63"/>
    </row>
    <row r="66" spans="1:8">
      <c r="A66" s="100">
        <v>45043</v>
      </c>
      <c r="B66" s="106" t="s">
        <v>955</v>
      </c>
      <c r="C66" s="106">
        <v>3299</v>
      </c>
      <c r="D66" s="35" t="s">
        <v>519</v>
      </c>
      <c r="E66" s="163">
        <v>-549.83000000000004</v>
      </c>
      <c r="F66" s="63"/>
      <c r="G66" s="63"/>
      <c r="H66" s="63"/>
    </row>
    <row r="67" spans="1:8">
      <c r="A67" s="100">
        <v>45043</v>
      </c>
      <c r="B67" s="106" t="s">
        <v>729</v>
      </c>
      <c r="C67" s="106">
        <v>10764.57</v>
      </c>
      <c r="D67" s="35" t="s">
        <v>776</v>
      </c>
      <c r="E67" s="163">
        <v>-1196.06</v>
      </c>
      <c r="F67" s="63"/>
      <c r="G67" s="63"/>
      <c r="H67" s="63"/>
    </row>
    <row r="68" spans="1:8">
      <c r="A68" s="100">
        <v>45044</v>
      </c>
      <c r="B68" s="8" t="s">
        <v>957</v>
      </c>
      <c r="C68" s="106">
        <v>3123.29</v>
      </c>
      <c r="D68" s="204" t="s">
        <v>519</v>
      </c>
      <c r="E68" s="163">
        <v>-520.54999999999995</v>
      </c>
      <c r="F68" s="63"/>
      <c r="G68" s="63"/>
      <c r="H68" s="63"/>
    </row>
    <row r="69" spans="1:8">
      <c r="A69" s="100">
        <v>45078</v>
      </c>
      <c r="B69" s="106" t="s">
        <v>930</v>
      </c>
      <c r="D69" s="204" t="s">
        <v>932</v>
      </c>
      <c r="E69" s="163">
        <v>-666.67</v>
      </c>
      <c r="F69" s="63"/>
      <c r="G69" s="63"/>
      <c r="H69" s="63"/>
    </row>
    <row r="70" spans="1:8">
      <c r="A70" s="100">
        <v>45077</v>
      </c>
      <c r="B70" s="106" t="s">
        <v>988</v>
      </c>
      <c r="C70" s="106">
        <v>148.6</v>
      </c>
      <c r="D70" s="204" t="s">
        <v>1035</v>
      </c>
      <c r="E70" s="163">
        <v>-37.15</v>
      </c>
      <c r="F70" s="63"/>
      <c r="G70" s="63"/>
      <c r="H70" s="63"/>
    </row>
    <row r="71" spans="1:8">
      <c r="A71" s="100">
        <v>45077</v>
      </c>
      <c r="B71" s="106" t="s">
        <v>990</v>
      </c>
      <c r="C71" s="106">
        <v>244.8</v>
      </c>
      <c r="D71" s="204" t="s">
        <v>1035</v>
      </c>
      <c r="E71" s="163">
        <v>-61.2</v>
      </c>
      <c r="F71" s="63"/>
      <c r="G71" s="63"/>
      <c r="H71" s="63"/>
    </row>
    <row r="72" spans="1:8">
      <c r="A72" s="100">
        <v>45077</v>
      </c>
      <c r="B72" s="106" t="s">
        <v>991</v>
      </c>
      <c r="C72" s="106">
        <v>1204.5</v>
      </c>
      <c r="D72" s="204" t="s">
        <v>1035</v>
      </c>
      <c r="E72" s="163">
        <v>-301.13</v>
      </c>
      <c r="F72" s="63"/>
      <c r="G72" s="63"/>
      <c r="H72" s="63"/>
    </row>
    <row r="73" spans="1:8">
      <c r="A73" s="100">
        <v>45077</v>
      </c>
      <c r="B73" s="8" t="s">
        <v>992</v>
      </c>
      <c r="C73" s="106">
        <v>532.6</v>
      </c>
      <c r="D73" s="204" t="s">
        <v>1035</v>
      </c>
      <c r="E73" s="163">
        <v>-133.15</v>
      </c>
      <c r="F73" s="63"/>
    </row>
    <row r="74" spans="1:8">
      <c r="A74" s="100">
        <v>45139</v>
      </c>
      <c r="B74" s="106" t="s">
        <v>1036</v>
      </c>
      <c r="E74" s="163">
        <v>-260.02</v>
      </c>
    </row>
    <row r="75" spans="1:8">
      <c r="A75" s="165">
        <v>45139</v>
      </c>
      <c r="B75" s="106" t="s">
        <v>451</v>
      </c>
      <c r="E75" s="163">
        <v>-116.6</v>
      </c>
    </row>
    <row r="76" spans="1:8">
      <c r="A76" s="165">
        <v>45139</v>
      </c>
      <c r="B76" s="106" t="s">
        <v>451</v>
      </c>
      <c r="E76" s="163">
        <v>-23.75</v>
      </c>
    </row>
    <row r="77" spans="1:8">
      <c r="A77" s="165">
        <v>45140</v>
      </c>
      <c r="B77" s="106" t="s">
        <v>1037</v>
      </c>
      <c r="E77" s="163">
        <v>-600</v>
      </c>
    </row>
    <row r="78" spans="1:8">
      <c r="A78" s="165">
        <v>45147</v>
      </c>
      <c r="B78" s="106">
        <v>2240</v>
      </c>
      <c r="E78" s="163">
        <v>-165.4</v>
      </c>
    </row>
    <row r="79" spans="1:8">
      <c r="A79" s="165">
        <v>45148</v>
      </c>
      <c r="B79" s="106" t="s">
        <v>1038</v>
      </c>
      <c r="E79" s="163">
        <v>-71</v>
      </c>
    </row>
    <row r="80" spans="1:8">
      <c r="A80" s="165">
        <v>45153</v>
      </c>
      <c r="B80" s="106" t="s">
        <v>1039</v>
      </c>
      <c r="E80" s="163">
        <v>-1806</v>
      </c>
    </row>
    <row r="81" spans="1:8">
      <c r="A81" s="165">
        <v>45158</v>
      </c>
      <c r="B81" s="106" t="s">
        <v>1040</v>
      </c>
      <c r="E81" s="163">
        <v>-160.9</v>
      </c>
    </row>
    <row r="82" spans="1:8">
      <c r="A82" s="165">
        <v>45160</v>
      </c>
      <c r="B82" s="106" t="s">
        <v>1041</v>
      </c>
      <c r="D82" s="35"/>
      <c r="E82" s="163">
        <v>-231</v>
      </c>
    </row>
    <row r="83" spans="1:8" ht="15">
      <c r="A83" s="165"/>
      <c r="B83" s="106"/>
      <c r="D83" s="105" t="s">
        <v>84</v>
      </c>
      <c r="E83" s="163"/>
    </row>
    <row r="84" spans="1:8">
      <c r="A84" s="165"/>
      <c r="B84" s="106"/>
      <c r="D84" s="35"/>
      <c r="E84" s="163"/>
    </row>
    <row r="85" spans="1:8">
      <c r="A85" s="165"/>
      <c r="B85" s="106"/>
      <c r="D85" s="35"/>
      <c r="E85" s="163"/>
    </row>
    <row r="87" spans="1:8">
      <c r="A87" s="103"/>
      <c r="B87" s="104" t="s">
        <v>85</v>
      </c>
      <c r="C87" s="103"/>
      <c r="D87" s="103"/>
      <c r="E87" s="159">
        <f>SUM(E88:E108)</f>
        <v>-3842.66</v>
      </c>
    </row>
    <row r="88" spans="1:8">
      <c r="A88" s="100">
        <v>45026</v>
      </c>
      <c r="B88" s="8" t="s">
        <v>958</v>
      </c>
      <c r="C88">
        <v>1140.99</v>
      </c>
      <c r="D88" s="8" t="s">
        <v>733</v>
      </c>
      <c r="E88">
        <v>-190.17</v>
      </c>
      <c r="F88" s="63"/>
      <c r="G88" s="63"/>
      <c r="H88" s="63"/>
    </row>
    <row r="89" spans="1:8">
      <c r="A89" s="100">
        <v>45133</v>
      </c>
      <c r="B89" s="106" t="s">
        <v>1042</v>
      </c>
      <c r="C89" s="106"/>
      <c r="D89" s="106"/>
      <c r="E89" s="163">
        <v>-245</v>
      </c>
      <c r="F89" s="63"/>
      <c r="G89" s="63"/>
      <c r="H89" s="63"/>
    </row>
    <row r="90" spans="1:8">
      <c r="A90" s="100">
        <v>45134</v>
      </c>
      <c r="B90" s="106" t="s">
        <v>657</v>
      </c>
      <c r="C90" s="106"/>
      <c r="D90" s="106"/>
      <c r="E90" s="163">
        <v>-150</v>
      </c>
      <c r="F90" s="63"/>
      <c r="G90" s="63"/>
      <c r="H90" s="63"/>
    </row>
    <row r="91" spans="1:8">
      <c r="A91" s="100">
        <v>45135</v>
      </c>
      <c r="B91" s="106" t="s">
        <v>1043</v>
      </c>
      <c r="C91" s="106"/>
      <c r="D91" s="106"/>
      <c r="E91" s="163">
        <v>-555.87</v>
      </c>
      <c r="F91" s="63"/>
      <c r="G91" s="63"/>
      <c r="H91" s="63"/>
    </row>
    <row r="92" spans="1:8">
      <c r="A92" s="100">
        <v>45135</v>
      </c>
      <c r="B92" s="106" t="s">
        <v>1044</v>
      </c>
      <c r="C92" s="106"/>
      <c r="D92" s="106"/>
      <c r="E92" s="163">
        <v>-328</v>
      </c>
      <c r="F92" s="63"/>
      <c r="G92" s="63"/>
      <c r="H92" s="63"/>
    </row>
    <row r="93" spans="1:8">
      <c r="A93" s="100">
        <v>45136</v>
      </c>
      <c r="B93" s="107" t="s">
        <v>128</v>
      </c>
      <c r="E93" s="163">
        <v>-42.15</v>
      </c>
      <c r="F93" s="63"/>
    </row>
    <row r="94" spans="1:8">
      <c r="A94" s="100">
        <v>45136</v>
      </c>
      <c r="B94" s="8" t="s">
        <v>1045</v>
      </c>
      <c r="E94">
        <v>-400</v>
      </c>
      <c r="F94" s="63"/>
    </row>
    <row r="95" spans="1:8">
      <c r="A95" s="100">
        <v>45136</v>
      </c>
      <c r="B95" s="8" t="s">
        <v>1046</v>
      </c>
      <c r="E95">
        <v>-266</v>
      </c>
      <c r="F95" s="63"/>
    </row>
    <row r="96" spans="1:8">
      <c r="A96" s="100">
        <v>45199</v>
      </c>
      <c r="B96" s="8" t="s">
        <v>1047</v>
      </c>
      <c r="E96">
        <v>-489.97</v>
      </c>
      <c r="F96" s="63"/>
    </row>
    <row r="97" spans="1:6">
      <c r="A97" s="100">
        <v>45139</v>
      </c>
      <c r="B97" s="8" t="s">
        <v>130</v>
      </c>
      <c r="C97">
        <v>6556.63</v>
      </c>
    </row>
    <row r="98" spans="1:6">
      <c r="E98">
        <v>-156.47999999999999</v>
      </c>
    </row>
    <row r="99" spans="1:6">
      <c r="A99" s="165">
        <v>45141</v>
      </c>
      <c r="B99" s="8" t="s">
        <v>959</v>
      </c>
      <c r="D99" s="35" t="s">
        <v>1048</v>
      </c>
      <c r="E99">
        <v>-181.83</v>
      </c>
    </row>
    <row r="100" spans="1:6">
      <c r="A100" s="165">
        <v>45141</v>
      </c>
      <c r="B100" s="8" t="s">
        <v>135</v>
      </c>
      <c r="D100" s="35"/>
      <c r="E100">
        <v>-150</v>
      </c>
    </row>
    <row r="101" spans="1:6">
      <c r="A101" s="165">
        <v>45143</v>
      </c>
      <c r="B101" s="8" t="s">
        <v>135</v>
      </c>
      <c r="E101">
        <v>-150</v>
      </c>
    </row>
    <row r="102" spans="1:6">
      <c r="A102" s="165">
        <v>45143</v>
      </c>
      <c r="B102" s="8" t="s">
        <v>128</v>
      </c>
      <c r="E102">
        <v>-337.19</v>
      </c>
    </row>
    <row r="103" spans="1:6">
      <c r="A103" s="165">
        <v>45161</v>
      </c>
      <c r="B103" s="8" t="s">
        <v>135</v>
      </c>
      <c r="E103">
        <v>-200</v>
      </c>
    </row>
    <row r="104" spans="1:6" ht="15">
      <c r="D104" s="105" t="s">
        <v>84</v>
      </c>
    </row>
    <row r="111" spans="1:6">
      <c r="A111" s="113" t="s">
        <v>1049</v>
      </c>
      <c r="B111" s="104" t="s">
        <v>137</v>
      </c>
      <c r="C111" s="103">
        <v>2023</v>
      </c>
      <c r="D111" s="158"/>
      <c r="E111" s="159">
        <f>SUM(E112:E120)</f>
        <v>604370.1</v>
      </c>
    </row>
    <row r="112" spans="1:6">
      <c r="A112" s="100">
        <v>45169</v>
      </c>
      <c r="B112" s="8" t="s">
        <v>77</v>
      </c>
      <c r="C112" s="2"/>
      <c r="D112" s="2"/>
      <c r="E112" s="17">
        <v>64000</v>
      </c>
      <c r="F112">
        <v>0</v>
      </c>
    </row>
    <row r="113" spans="1:6">
      <c r="A113" s="100">
        <v>45169</v>
      </c>
      <c r="B113" s="8" t="s">
        <v>1050</v>
      </c>
      <c r="C113" s="2"/>
      <c r="D113" s="2"/>
      <c r="E113" s="17">
        <v>63088</v>
      </c>
      <c r="F113">
        <v>0</v>
      </c>
    </row>
    <row r="114" spans="1:6">
      <c r="A114" s="100">
        <v>45169</v>
      </c>
      <c r="B114" s="8" t="s">
        <v>305</v>
      </c>
      <c r="C114" s="2"/>
      <c r="D114" s="2"/>
      <c r="E114" s="17">
        <v>126493.51</v>
      </c>
      <c r="F114">
        <v>0</v>
      </c>
    </row>
    <row r="115" spans="1:6">
      <c r="A115" s="100">
        <v>45169</v>
      </c>
      <c r="B115" s="8" t="s">
        <v>306</v>
      </c>
      <c r="C115" s="2"/>
      <c r="D115" s="2"/>
      <c r="E115" s="17">
        <v>359.59</v>
      </c>
      <c r="F115">
        <v>0</v>
      </c>
    </row>
    <row r="116" spans="1:6">
      <c r="A116" s="100">
        <v>45169</v>
      </c>
      <c r="B116" s="8" t="s">
        <v>1011</v>
      </c>
      <c r="C116" s="2">
        <v>1573</v>
      </c>
      <c r="D116" s="2">
        <v>111</v>
      </c>
      <c r="E116" s="17">
        <f>D116*C116</f>
        <v>174603</v>
      </c>
      <c r="F116">
        <v>0</v>
      </c>
    </row>
    <row r="117" spans="1:6">
      <c r="A117" s="100">
        <v>45169</v>
      </c>
      <c r="B117" s="8" t="s">
        <v>1013</v>
      </c>
      <c r="C117" s="162">
        <v>26.76</v>
      </c>
      <c r="D117" s="2">
        <v>850</v>
      </c>
      <c r="E117" s="17">
        <f>D117*C117</f>
        <v>22746</v>
      </c>
      <c r="F117">
        <v>0</v>
      </c>
    </row>
    <row r="118" spans="1:6">
      <c r="A118" s="100">
        <v>45169</v>
      </c>
      <c r="B118" s="8" t="s">
        <v>1014</v>
      </c>
      <c r="C118" s="162">
        <v>28.3</v>
      </c>
      <c r="D118" s="2">
        <v>100</v>
      </c>
      <c r="E118" s="17">
        <f>D118*C118</f>
        <v>2830</v>
      </c>
      <c r="F118">
        <v>0</v>
      </c>
    </row>
    <row r="119" spans="1:6">
      <c r="A119" s="100">
        <v>45192</v>
      </c>
      <c r="B119" s="8" t="s">
        <v>153</v>
      </c>
      <c r="C119" s="2"/>
      <c r="D119" s="2"/>
      <c r="E119" s="17">
        <v>146650</v>
      </c>
      <c r="F119">
        <v>0</v>
      </c>
    </row>
    <row r="120" spans="1:6">
      <c r="A120" s="100">
        <v>45192</v>
      </c>
      <c r="B120" s="8" t="s">
        <v>154</v>
      </c>
      <c r="C120" s="2"/>
      <c r="D120" s="2"/>
      <c r="E120" s="17">
        <v>3600</v>
      </c>
    </row>
    <row r="121" spans="1:6">
      <c r="C121" s="3" t="str">
        <f>A111</f>
        <v>EYLÜL</v>
      </c>
      <c r="D121" s="18" t="s">
        <v>157</v>
      </c>
      <c r="E121" s="163">
        <f>H40</f>
        <v>222885.09</v>
      </c>
    </row>
    <row r="122" spans="1:6">
      <c r="D122" s="3"/>
    </row>
    <row r="123" spans="1:6">
      <c r="D123" s="18" t="s">
        <v>156</v>
      </c>
      <c r="E123" s="9">
        <f>SUM(E112:E120)</f>
        <v>604370.1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395511"/>
  </sheetPr>
  <dimension ref="A1:H123"/>
  <sheetViews>
    <sheetView zoomScale="170" zoomScaleNormal="17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1.710937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1051</v>
      </c>
      <c r="C2" s="79" t="s">
        <v>67</v>
      </c>
      <c r="D2" s="306">
        <f>SUM(D4:D30)</f>
        <v>87911</v>
      </c>
      <c r="E2" s="306">
        <f>SUM(E4:E29)</f>
        <v>-32079.01</v>
      </c>
      <c r="F2" s="306">
        <f>SUM(F4:F31)</f>
        <v>16800</v>
      </c>
      <c r="G2" s="306">
        <f>SUM(G4:G31)</f>
        <v>-37135.350000000006</v>
      </c>
      <c r="H2" s="306">
        <f>F2+G2</f>
        <v>-20335.350000000006</v>
      </c>
    </row>
    <row r="3" spans="1:8">
      <c r="B3" s="18"/>
      <c r="H3" s="63"/>
    </row>
    <row r="4" spans="1:8">
      <c r="A4" s="165">
        <v>45141</v>
      </c>
      <c r="B4" s="101" t="s">
        <v>80</v>
      </c>
      <c r="C4" s="101"/>
      <c r="D4" s="101"/>
      <c r="E4" s="63">
        <v>-400</v>
      </c>
      <c r="G4" s="63">
        <v>-311</v>
      </c>
      <c r="H4" s="63">
        <f t="shared" ref="H4:H28" si="0">H3+F4+G4</f>
        <v>-311</v>
      </c>
    </row>
    <row r="5" spans="1:8">
      <c r="A5" s="165">
        <v>45141</v>
      </c>
      <c r="B5" s="101" t="s">
        <v>81</v>
      </c>
      <c r="C5" s="101"/>
      <c r="D5" s="101"/>
      <c r="E5" s="63">
        <v>-500</v>
      </c>
      <c r="G5" s="63">
        <v>-520</v>
      </c>
      <c r="H5" s="63">
        <f t="shared" si="0"/>
        <v>-831</v>
      </c>
    </row>
    <row r="6" spans="1:8">
      <c r="B6" s="101" t="s">
        <v>1052</v>
      </c>
      <c r="C6" s="101"/>
      <c r="D6" s="101"/>
      <c r="E6" s="63">
        <v>-250</v>
      </c>
      <c r="G6" s="63">
        <v>-250</v>
      </c>
      <c r="H6" s="63">
        <f t="shared" si="0"/>
        <v>-1081</v>
      </c>
    </row>
    <row r="7" spans="1:8">
      <c r="B7" s="178" t="s">
        <v>72</v>
      </c>
      <c r="D7" s="63">
        <f>D37</f>
        <v>0</v>
      </c>
      <c r="E7" s="2"/>
      <c r="F7" s="63">
        <f>E37</f>
        <v>0</v>
      </c>
      <c r="G7" s="63"/>
      <c r="H7" s="63">
        <f t="shared" si="0"/>
        <v>-1081</v>
      </c>
    </row>
    <row r="8" spans="1:8">
      <c r="B8" s="178" t="s">
        <v>68</v>
      </c>
      <c r="E8" s="63">
        <f>E49</f>
        <v>-5147.6399999999985</v>
      </c>
      <c r="F8" s="63"/>
      <c r="G8" s="63">
        <v>-5147.6400000000003</v>
      </c>
      <c r="H8" s="63">
        <f t="shared" si="0"/>
        <v>-6228.64</v>
      </c>
    </row>
    <row r="9" spans="1:8">
      <c r="B9" s="178" t="s">
        <v>69</v>
      </c>
      <c r="E9" s="63">
        <f>E67</f>
        <v>-6556.6299999999992</v>
      </c>
      <c r="G9" s="63">
        <v>-6556.63</v>
      </c>
      <c r="H9" s="63">
        <f t="shared" si="0"/>
        <v>-12785.27</v>
      </c>
    </row>
    <row r="10" spans="1:8">
      <c r="A10" s="100">
        <v>45139</v>
      </c>
      <c r="B10" s="101" t="s">
        <v>1053</v>
      </c>
      <c r="C10" s="101"/>
      <c r="D10" s="101"/>
      <c r="E10" s="63">
        <v>-5375</v>
      </c>
      <c r="G10" s="63">
        <v>-5375</v>
      </c>
      <c r="H10" s="63">
        <f t="shared" si="0"/>
        <v>-18160.27</v>
      </c>
    </row>
    <row r="11" spans="1:8">
      <c r="A11" s="100">
        <v>45139</v>
      </c>
      <c r="B11" s="101" t="s">
        <v>1053</v>
      </c>
      <c r="C11" s="101"/>
      <c r="D11" s="101"/>
      <c r="E11" s="63">
        <v>-2125</v>
      </c>
      <c r="G11" s="63">
        <v>-2125</v>
      </c>
      <c r="H11" s="63">
        <f t="shared" si="0"/>
        <v>-20285.27</v>
      </c>
    </row>
    <row r="12" spans="1:8">
      <c r="B12" s="101" t="s">
        <v>1054</v>
      </c>
      <c r="C12" s="101"/>
      <c r="D12" s="101"/>
      <c r="E12" s="63">
        <v>-674.74</v>
      </c>
      <c r="F12" s="163"/>
      <c r="G12" s="63">
        <v>-945.08</v>
      </c>
      <c r="H12" s="63">
        <f t="shared" si="0"/>
        <v>-21230.350000000002</v>
      </c>
    </row>
    <row r="13" spans="1:8">
      <c r="B13" s="101" t="s">
        <v>75</v>
      </c>
      <c r="C13" s="101" t="s">
        <v>328</v>
      </c>
      <c r="D13" s="101"/>
      <c r="E13" s="63">
        <v>-150</v>
      </c>
      <c r="F13" s="163"/>
      <c r="G13" s="63">
        <v>0</v>
      </c>
      <c r="H13" s="63">
        <f t="shared" si="0"/>
        <v>-21230.350000000002</v>
      </c>
    </row>
    <row r="14" spans="1:8">
      <c r="B14" s="106" t="s">
        <v>73</v>
      </c>
      <c r="C14" s="106" t="s">
        <v>328</v>
      </c>
      <c r="D14" s="106"/>
      <c r="E14" s="63">
        <v>-300</v>
      </c>
      <c r="F14" s="163"/>
      <c r="G14" s="63">
        <v>0</v>
      </c>
      <c r="H14" s="63">
        <f t="shared" si="0"/>
        <v>-21230.350000000002</v>
      </c>
    </row>
    <row r="15" spans="1:8">
      <c r="B15" s="106" t="s">
        <v>74</v>
      </c>
      <c r="C15" s="106" t="s">
        <v>328</v>
      </c>
      <c r="D15" s="106"/>
      <c r="E15" s="63">
        <v>-100</v>
      </c>
      <c r="F15" s="163"/>
      <c r="G15" s="63">
        <v>0</v>
      </c>
      <c r="H15" s="63">
        <f t="shared" si="0"/>
        <v>-21230.350000000002</v>
      </c>
    </row>
    <row r="16" spans="1:8">
      <c r="A16" s="165">
        <v>45152</v>
      </c>
      <c r="B16" s="101" t="s">
        <v>461</v>
      </c>
      <c r="G16" s="63">
        <v>-139</v>
      </c>
      <c r="H16" s="63">
        <f t="shared" si="0"/>
        <v>-21369.350000000002</v>
      </c>
    </row>
    <row r="17" spans="1:8">
      <c r="H17" s="63">
        <f t="shared" si="0"/>
        <v>-21369.350000000002</v>
      </c>
    </row>
    <row r="18" spans="1:8">
      <c r="B18" t="s">
        <v>77</v>
      </c>
      <c r="E18" s="63">
        <v>-3500</v>
      </c>
      <c r="F18" s="63"/>
      <c r="G18" s="63">
        <v>-3508</v>
      </c>
      <c r="H18" s="63">
        <f t="shared" si="0"/>
        <v>-24877.350000000002</v>
      </c>
    </row>
    <row r="19" spans="1:8">
      <c r="B19" t="s">
        <v>78</v>
      </c>
      <c r="E19" s="63">
        <v>-3500</v>
      </c>
      <c r="F19" s="63"/>
      <c r="G19" s="63">
        <v>-3508</v>
      </c>
      <c r="H19" s="63">
        <f t="shared" si="0"/>
        <v>-28385.350000000002</v>
      </c>
    </row>
    <row r="20" spans="1:8">
      <c r="B20" t="s">
        <v>79</v>
      </c>
      <c r="E20" s="63">
        <v>-3500</v>
      </c>
      <c r="F20" s="63"/>
      <c r="G20" s="63">
        <v>-3500</v>
      </c>
      <c r="H20" s="63">
        <f t="shared" si="0"/>
        <v>-31885.350000000002</v>
      </c>
    </row>
    <row r="21" spans="1:8">
      <c r="B21" t="s">
        <v>2</v>
      </c>
      <c r="D21">
        <v>1111</v>
      </c>
      <c r="E21" s="163"/>
      <c r="F21" s="63"/>
      <c r="G21" s="63"/>
      <c r="H21" s="63">
        <f t="shared" si="0"/>
        <v>-31885.350000000002</v>
      </c>
    </row>
    <row r="22" spans="1:8">
      <c r="B22" t="s">
        <v>76</v>
      </c>
      <c r="D22" s="186">
        <v>7500</v>
      </c>
      <c r="F22" s="63">
        <v>7500</v>
      </c>
      <c r="G22" s="63"/>
      <c r="H22" s="63">
        <f t="shared" si="0"/>
        <v>-24385.350000000002</v>
      </c>
    </row>
    <row r="23" spans="1:8">
      <c r="B23" t="s">
        <v>677</v>
      </c>
      <c r="D23" s="186">
        <v>2800</v>
      </c>
      <c r="F23" s="63">
        <v>2800</v>
      </c>
      <c r="G23" s="63"/>
      <c r="H23" s="63">
        <f t="shared" si="0"/>
        <v>-21585.350000000002</v>
      </c>
    </row>
    <row r="24" spans="1:8">
      <c r="B24" t="s">
        <v>1055</v>
      </c>
      <c r="D24" s="186">
        <v>6500</v>
      </c>
      <c r="F24" s="63">
        <v>6500</v>
      </c>
      <c r="G24" s="63"/>
      <c r="H24" s="63">
        <f t="shared" si="0"/>
        <v>-15085.350000000002</v>
      </c>
    </row>
    <row r="25" spans="1:8">
      <c r="A25" s="100">
        <v>45167</v>
      </c>
      <c r="B25" s="8" t="s">
        <v>1056</v>
      </c>
      <c r="D25" s="102"/>
      <c r="F25" s="63"/>
      <c r="G25" s="63"/>
      <c r="H25" s="63">
        <f t="shared" si="0"/>
        <v>-15085.350000000002</v>
      </c>
    </row>
    <row r="26" spans="1:8">
      <c r="B26" t="s">
        <v>1057</v>
      </c>
      <c r="D26" s="102"/>
      <c r="F26" s="63"/>
      <c r="G26" s="63"/>
      <c r="H26" s="63">
        <f t="shared" si="0"/>
        <v>-15085.350000000002</v>
      </c>
    </row>
    <row r="27" spans="1:8">
      <c r="A27" s="100"/>
      <c r="B27" s="8" t="s">
        <v>1058</v>
      </c>
      <c r="D27" s="186">
        <v>70000</v>
      </c>
      <c r="G27" s="63"/>
      <c r="H27" s="63">
        <f t="shared" si="0"/>
        <v>-15085.350000000002</v>
      </c>
    </row>
    <row r="28" spans="1:8">
      <c r="B28" t="s">
        <v>1059</v>
      </c>
      <c r="D28" s="102"/>
      <c r="F28" s="63"/>
      <c r="G28" s="63">
        <v>-5250</v>
      </c>
      <c r="H28" s="63">
        <f t="shared" si="0"/>
        <v>-20335.350000000002</v>
      </c>
    </row>
    <row r="29" spans="1:8" ht="15.75">
      <c r="B29" s="179"/>
      <c r="F29" s="63"/>
      <c r="G29" s="63"/>
      <c r="H29" s="63"/>
    </row>
    <row r="30" spans="1:8">
      <c r="E30" s="63"/>
      <c r="G30" s="63"/>
      <c r="H30" s="63"/>
    </row>
    <row r="31" spans="1:8">
      <c r="B31" t="s">
        <v>330</v>
      </c>
      <c r="E31" s="63"/>
      <c r="G31" s="63"/>
      <c r="H31" s="63"/>
    </row>
    <row r="32" spans="1:8">
      <c r="A32" s="103" t="s">
        <v>331</v>
      </c>
      <c r="B32" s="103"/>
      <c r="C32" s="103"/>
      <c r="D32" s="103"/>
      <c r="E32" s="158"/>
      <c r="G32" s="63"/>
      <c r="H32" s="63"/>
    </row>
    <row r="33" spans="1:8">
      <c r="A33" s="317"/>
      <c r="B33" s="312"/>
      <c r="C33" s="312"/>
      <c r="D33" s="312"/>
      <c r="E33" s="313"/>
      <c r="H33" s="63"/>
    </row>
    <row r="34" spans="1:8">
      <c r="A34" s="317"/>
      <c r="B34" s="312"/>
      <c r="C34" s="314"/>
      <c r="D34" s="312"/>
      <c r="E34" s="312"/>
      <c r="H34" s="63"/>
    </row>
    <row r="35" spans="1:8">
      <c r="A35" s="317"/>
      <c r="B35" s="312"/>
      <c r="C35" s="314"/>
      <c r="D35" s="312"/>
      <c r="E35" s="312"/>
      <c r="H35" s="63"/>
    </row>
    <row r="36" spans="1:8">
      <c r="A36" s="100"/>
      <c r="C36" s="171"/>
      <c r="H36" s="63"/>
    </row>
    <row r="37" spans="1:8">
      <c r="A37" s="172">
        <v>44929</v>
      </c>
      <c r="B37" s="173" t="s">
        <v>332</v>
      </c>
      <c r="C37" s="103"/>
      <c r="D37" s="201">
        <f>SUM(D38:D45)</f>
        <v>0</v>
      </c>
      <c r="E37" s="201">
        <f>SUM(E38:E45)</f>
        <v>0</v>
      </c>
      <c r="H37" s="63"/>
    </row>
    <row r="38" spans="1:8">
      <c r="B38" t="s">
        <v>926</v>
      </c>
      <c r="E38" s="63"/>
      <c r="F38" s="63"/>
      <c r="G38" s="63"/>
    </row>
    <row r="39" spans="1:8">
      <c r="B39" t="s">
        <v>334</v>
      </c>
      <c r="E39" s="63"/>
      <c r="F39" s="63"/>
      <c r="G39" s="63"/>
    </row>
    <row r="40" spans="1:8">
      <c r="B40" t="s">
        <v>335</v>
      </c>
      <c r="F40" s="63"/>
      <c r="G40" s="63"/>
    </row>
    <row r="41" spans="1:8">
      <c r="B41" t="s">
        <v>336</v>
      </c>
      <c r="F41" s="63"/>
      <c r="G41" s="63"/>
    </row>
    <row r="42" spans="1:8">
      <c r="B42" t="s">
        <v>337</v>
      </c>
      <c r="F42" s="63"/>
      <c r="G42" s="63"/>
    </row>
    <row r="43" spans="1:8">
      <c r="B43" t="s">
        <v>338</v>
      </c>
      <c r="C43" s="106"/>
      <c r="D43" s="106"/>
      <c r="F43" s="63"/>
      <c r="G43" s="63"/>
    </row>
    <row r="44" spans="1:8">
      <c r="C44" s="106"/>
      <c r="E44" s="106"/>
      <c r="F44" s="63"/>
      <c r="G44" s="63"/>
    </row>
    <row r="45" spans="1:8">
      <c r="C45" s="106"/>
      <c r="D45" s="106"/>
      <c r="E45" s="163"/>
      <c r="F45" s="63"/>
      <c r="G45" s="63"/>
    </row>
    <row r="47" spans="1:8">
      <c r="B47" s="17"/>
    </row>
    <row r="48" spans="1:8">
      <c r="B48" s="102"/>
    </row>
    <row r="49" spans="1:8">
      <c r="A49" s="103"/>
      <c r="B49" s="104" t="s">
        <v>83</v>
      </c>
      <c r="C49" s="103"/>
      <c r="D49" s="158"/>
      <c r="E49" s="159">
        <f>SUM(E50:E64)</f>
        <v>-5147.6399999999985</v>
      </c>
    </row>
    <row r="50" spans="1:8">
      <c r="A50" s="100">
        <v>44873</v>
      </c>
      <c r="B50" s="8" t="s">
        <v>1060</v>
      </c>
      <c r="C50" s="106"/>
      <c r="D50" s="106" t="s">
        <v>730</v>
      </c>
      <c r="E50" s="163">
        <v>-1111.1199999999999</v>
      </c>
      <c r="G50" s="63"/>
      <c r="H50" s="63"/>
    </row>
    <row r="51" spans="1:8">
      <c r="A51" s="100">
        <v>44995</v>
      </c>
      <c r="B51" s="8" t="s">
        <v>777</v>
      </c>
      <c r="C51">
        <v>613.91</v>
      </c>
      <c r="D51" s="35" t="s">
        <v>1061</v>
      </c>
      <c r="E51" s="163">
        <v>-61.39</v>
      </c>
      <c r="F51" s="63"/>
      <c r="G51" s="63"/>
      <c r="H51" s="63"/>
    </row>
    <row r="52" spans="1:8">
      <c r="A52" s="100">
        <v>44995</v>
      </c>
      <c r="B52" s="8" t="s">
        <v>1034</v>
      </c>
      <c r="C52">
        <v>2258.94</v>
      </c>
      <c r="D52" s="35" t="s">
        <v>476</v>
      </c>
      <c r="E52" s="163">
        <v>-376.49</v>
      </c>
      <c r="F52" s="63"/>
      <c r="G52" s="63"/>
      <c r="H52" s="63"/>
    </row>
    <row r="53" spans="1:8">
      <c r="A53" s="100">
        <v>45043</v>
      </c>
      <c r="B53" s="106" t="s">
        <v>955</v>
      </c>
      <c r="C53" s="106">
        <v>3299</v>
      </c>
      <c r="D53" s="35" t="s">
        <v>932</v>
      </c>
      <c r="E53" s="163">
        <v>-549.83000000000004</v>
      </c>
      <c r="F53" s="63"/>
      <c r="G53" s="63"/>
      <c r="H53" s="63"/>
    </row>
    <row r="54" spans="1:8">
      <c r="A54" s="100">
        <v>45043</v>
      </c>
      <c r="B54" s="106" t="s">
        <v>729</v>
      </c>
      <c r="C54" s="106">
        <v>10764.57</v>
      </c>
      <c r="D54" s="35" t="s">
        <v>931</v>
      </c>
      <c r="E54" s="163">
        <v>-1196.06</v>
      </c>
      <c r="F54" s="63"/>
      <c r="G54" s="63"/>
      <c r="H54" s="63"/>
    </row>
    <row r="55" spans="1:8">
      <c r="A55" s="100">
        <v>45044</v>
      </c>
      <c r="B55" s="8" t="s">
        <v>957</v>
      </c>
      <c r="C55" s="106">
        <v>3123.29</v>
      </c>
      <c r="D55" s="204" t="s">
        <v>932</v>
      </c>
      <c r="E55" s="163">
        <v>-520.54999999999995</v>
      </c>
      <c r="F55" s="63"/>
      <c r="G55" s="63"/>
      <c r="H55" s="63"/>
    </row>
    <row r="56" spans="1:8">
      <c r="A56" s="100">
        <v>45078</v>
      </c>
      <c r="B56" s="106" t="s">
        <v>930</v>
      </c>
      <c r="D56" s="204" t="s">
        <v>611</v>
      </c>
      <c r="E56" s="163">
        <v>-666.67</v>
      </c>
      <c r="F56" s="63"/>
      <c r="G56" s="63"/>
      <c r="H56" s="63"/>
    </row>
    <row r="57" spans="1:8">
      <c r="A57" s="100">
        <v>45077</v>
      </c>
      <c r="B57" s="106" t="s">
        <v>988</v>
      </c>
      <c r="C57" s="106">
        <v>148.6</v>
      </c>
      <c r="D57" s="204" t="s">
        <v>1062</v>
      </c>
      <c r="E57" s="163">
        <v>-37.15</v>
      </c>
      <c r="F57" s="63"/>
      <c r="G57" s="63"/>
      <c r="H57" s="63"/>
    </row>
    <row r="58" spans="1:8">
      <c r="A58" s="100">
        <v>45077</v>
      </c>
      <c r="B58" s="106" t="s">
        <v>990</v>
      </c>
      <c r="C58" s="106">
        <v>244.8</v>
      </c>
      <c r="D58" s="204" t="s">
        <v>1062</v>
      </c>
      <c r="E58" s="163">
        <v>-61.2</v>
      </c>
      <c r="F58" s="63"/>
      <c r="G58" s="63"/>
      <c r="H58" s="63"/>
    </row>
    <row r="59" spans="1:8">
      <c r="A59" s="100">
        <v>45077</v>
      </c>
      <c r="B59" s="106" t="s">
        <v>991</v>
      </c>
      <c r="C59" s="106">
        <v>1204.5</v>
      </c>
      <c r="D59" s="204" t="s">
        <v>1062</v>
      </c>
      <c r="E59" s="163">
        <v>-301.13</v>
      </c>
      <c r="F59" s="63"/>
      <c r="G59" s="63"/>
      <c r="H59" s="63"/>
    </row>
    <row r="60" spans="1:8">
      <c r="A60" s="100">
        <v>45077</v>
      </c>
      <c r="B60" s="8" t="s">
        <v>992</v>
      </c>
      <c r="C60" s="106">
        <v>532.6</v>
      </c>
      <c r="D60" s="204" t="s">
        <v>1062</v>
      </c>
      <c r="E60" s="163">
        <v>-133.15</v>
      </c>
      <c r="F60" s="63"/>
      <c r="G60" s="63"/>
      <c r="H60" s="63"/>
    </row>
    <row r="61" spans="1:8">
      <c r="A61" s="100"/>
      <c r="C61" s="106"/>
      <c r="D61" s="106"/>
      <c r="E61" s="163"/>
      <c r="F61" s="63"/>
      <c r="G61" s="63"/>
      <c r="H61" s="63"/>
    </row>
    <row r="62" spans="1:8">
      <c r="A62" s="100">
        <v>45112</v>
      </c>
      <c r="B62" s="8" t="s">
        <v>1063</v>
      </c>
      <c r="E62" s="163">
        <v>-132.9</v>
      </c>
    </row>
    <row r="63" spans="1:8">
      <c r="A63" s="100"/>
      <c r="D63" s="3" t="s">
        <v>84</v>
      </c>
      <c r="E63" s="163"/>
    </row>
    <row r="65" spans="1:8">
      <c r="D65" s="35"/>
    </row>
    <row r="67" spans="1:8">
      <c r="A67" s="103"/>
      <c r="B67" s="104" t="s">
        <v>85</v>
      </c>
      <c r="C67" s="103"/>
      <c r="D67" s="103"/>
      <c r="E67" s="159">
        <f>SUM(E68:E91)</f>
        <v>-6556.6299999999992</v>
      </c>
    </row>
    <row r="68" spans="1:8">
      <c r="A68" s="100">
        <v>45026</v>
      </c>
      <c r="B68" s="8" t="s">
        <v>958</v>
      </c>
      <c r="C68">
        <v>1140.99</v>
      </c>
      <c r="D68" s="8" t="s">
        <v>1064</v>
      </c>
      <c r="E68">
        <v>-190.17</v>
      </c>
      <c r="F68" s="63"/>
      <c r="G68" s="63"/>
      <c r="H68" s="63"/>
    </row>
    <row r="69" spans="1:8">
      <c r="A69" s="100">
        <v>45105</v>
      </c>
      <c r="B69" s="318" t="s">
        <v>1065</v>
      </c>
      <c r="C69" s="106"/>
      <c r="D69" s="106"/>
      <c r="E69" s="163">
        <v>-27.99</v>
      </c>
      <c r="F69" s="63"/>
      <c r="G69" s="63"/>
      <c r="H69" s="63"/>
    </row>
    <row r="70" spans="1:8">
      <c r="A70" s="100">
        <v>45107</v>
      </c>
      <c r="B70" s="318" t="s">
        <v>1066</v>
      </c>
      <c r="C70" s="106"/>
      <c r="D70" s="106"/>
      <c r="E70" s="163">
        <v>-900</v>
      </c>
      <c r="F70" s="63"/>
      <c r="G70" s="63"/>
      <c r="H70" s="63"/>
    </row>
    <row r="71" spans="1:8">
      <c r="A71" s="100">
        <v>45108</v>
      </c>
      <c r="B71" s="318" t="s">
        <v>1067</v>
      </c>
      <c r="C71" s="106"/>
      <c r="D71" s="106"/>
      <c r="E71" s="163">
        <v>-207.59</v>
      </c>
      <c r="F71" s="63"/>
      <c r="G71" s="63"/>
      <c r="H71" s="63"/>
    </row>
    <row r="72" spans="1:8">
      <c r="A72" s="100">
        <v>45111</v>
      </c>
      <c r="B72" s="106" t="s">
        <v>1068</v>
      </c>
      <c r="C72" s="106">
        <v>3730.59</v>
      </c>
      <c r="D72" s="106"/>
      <c r="E72" s="163"/>
      <c r="F72" s="63"/>
      <c r="G72" s="63"/>
      <c r="H72" s="63"/>
    </row>
    <row r="73" spans="1:8">
      <c r="A73" s="100">
        <v>45113</v>
      </c>
      <c r="B73" s="107" t="s">
        <v>130</v>
      </c>
      <c r="C73" s="67">
        <v>5595.88</v>
      </c>
      <c r="E73" s="163"/>
    </row>
    <row r="74" spans="1:8">
      <c r="C74" s="3">
        <f>SUM(C72:C73)</f>
        <v>9326.4700000000012</v>
      </c>
    </row>
    <row r="75" spans="1:8">
      <c r="A75" s="100">
        <v>45115</v>
      </c>
      <c r="B75" s="8" t="s">
        <v>133</v>
      </c>
      <c r="E75">
        <v>-1356.36</v>
      </c>
    </row>
    <row r="76" spans="1:8">
      <c r="A76" s="100">
        <v>45115</v>
      </c>
      <c r="B76" s="8" t="s">
        <v>133</v>
      </c>
      <c r="E76">
        <v>-1120</v>
      </c>
    </row>
    <row r="77" spans="1:8">
      <c r="B77" t="s">
        <v>1069</v>
      </c>
    </row>
    <row r="78" spans="1:8">
      <c r="A78" s="100">
        <v>45116</v>
      </c>
      <c r="B78" s="8" t="s">
        <v>1070</v>
      </c>
      <c r="E78">
        <v>-437</v>
      </c>
    </row>
    <row r="79" spans="1:8">
      <c r="A79" s="100">
        <v>45116</v>
      </c>
      <c r="B79" s="8" t="s">
        <v>133</v>
      </c>
      <c r="D79" s="35"/>
      <c r="E79">
        <v>-863</v>
      </c>
    </row>
    <row r="80" spans="1:8">
      <c r="A80" s="100">
        <v>45119</v>
      </c>
      <c r="B80" s="8" t="s">
        <v>414</v>
      </c>
      <c r="D80" s="35"/>
      <c r="E80">
        <v>-146.88999999999999</v>
      </c>
    </row>
    <row r="81" spans="1:5">
      <c r="A81" s="100">
        <v>45119</v>
      </c>
      <c r="B81" s="8" t="s">
        <v>657</v>
      </c>
      <c r="E81">
        <v>-150</v>
      </c>
    </row>
    <row r="82" spans="1:5">
      <c r="A82" s="100">
        <v>45120</v>
      </c>
      <c r="B82" s="8" t="s">
        <v>657</v>
      </c>
      <c r="E82">
        <v>-150</v>
      </c>
    </row>
    <row r="83" spans="1:5">
      <c r="A83" s="100">
        <v>45121</v>
      </c>
      <c r="B83" s="8" t="s">
        <v>657</v>
      </c>
      <c r="E83">
        <v>-150</v>
      </c>
    </row>
    <row r="84" spans="1:5">
      <c r="A84" s="100">
        <v>45124</v>
      </c>
      <c r="B84" s="8" t="s">
        <v>657</v>
      </c>
      <c r="E84">
        <v>-150</v>
      </c>
    </row>
    <row r="85" spans="1:5">
      <c r="A85" s="100">
        <v>45125</v>
      </c>
      <c r="B85" s="8" t="s">
        <v>657</v>
      </c>
      <c r="E85">
        <v>-160</v>
      </c>
    </row>
    <row r="86" spans="1:5">
      <c r="A86" s="100">
        <v>45129</v>
      </c>
      <c r="B86" s="8" t="s">
        <v>414</v>
      </c>
      <c r="E86">
        <v>-20.059999999999999</v>
      </c>
    </row>
    <row r="87" spans="1:5">
      <c r="A87" s="100">
        <v>45130</v>
      </c>
      <c r="B87" s="8" t="s">
        <v>1071</v>
      </c>
      <c r="E87">
        <v>-275.54000000000002</v>
      </c>
    </row>
    <row r="88" spans="1:5">
      <c r="A88" s="100">
        <v>45130</v>
      </c>
      <c r="B88" s="8" t="s">
        <v>965</v>
      </c>
      <c r="E88">
        <v>-212.45</v>
      </c>
    </row>
    <row r="89" spans="1:5">
      <c r="A89" s="100">
        <v>45131</v>
      </c>
      <c r="B89" s="8" t="s">
        <v>548</v>
      </c>
      <c r="E89">
        <v>-4.57</v>
      </c>
    </row>
    <row r="90" spans="1:5">
      <c r="A90" s="100">
        <v>45131</v>
      </c>
      <c r="B90" s="8" t="s">
        <v>1072</v>
      </c>
      <c r="E90">
        <v>-4.57</v>
      </c>
    </row>
    <row r="91" spans="1:5">
      <c r="A91" s="100">
        <v>45131</v>
      </c>
      <c r="B91" s="8" t="s">
        <v>550</v>
      </c>
      <c r="E91">
        <v>-30.44</v>
      </c>
    </row>
    <row r="92" spans="1:5">
      <c r="D92" s="3" t="s">
        <v>84</v>
      </c>
    </row>
    <row r="111" spans="1:5">
      <c r="A111" s="113" t="s">
        <v>1073</v>
      </c>
      <c r="B111" s="104" t="s">
        <v>137</v>
      </c>
      <c r="C111" s="103">
        <v>2023</v>
      </c>
      <c r="D111" s="158"/>
      <c r="E111" s="159">
        <f>SUM(E112:E120)</f>
        <v>399800.57</v>
      </c>
    </row>
    <row r="112" spans="1:5">
      <c r="A112" s="100">
        <v>45169</v>
      </c>
      <c r="B112" s="8" t="s">
        <v>77</v>
      </c>
      <c r="C112" s="2"/>
      <c r="D112" s="2"/>
      <c r="E112" s="17">
        <v>64000</v>
      </c>
    </row>
    <row r="113" spans="1:5">
      <c r="A113" s="100">
        <v>45169</v>
      </c>
      <c r="B113" s="8" t="s">
        <v>1074</v>
      </c>
      <c r="C113" s="2"/>
      <c r="D113" s="2"/>
      <c r="E113" s="17">
        <v>53088</v>
      </c>
    </row>
    <row r="114" spans="1:5">
      <c r="A114" s="100">
        <v>45169</v>
      </c>
      <c r="B114" s="8" t="s">
        <v>305</v>
      </c>
      <c r="C114" s="2"/>
      <c r="D114" s="2"/>
      <c r="E114" s="17">
        <v>28245.88</v>
      </c>
    </row>
    <row r="115" spans="1:5">
      <c r="A115" s="100">
        <v>45169</v>
      </c>
      <c r="B115" s="8" t="s">
        <v>306</v>
      </c>
      <c r="C115" s="2"/>
      <c r="D115" s="2"/>
      <c r="E115" s="17">
        <v>450.49</v>
      </c>
    </row>
    <row r="116" spans="1:5">
      <c r="A116" s="100">
        <v>45169</v>
      </c>
      <c r="B116" s="8" t="s">
        <v>1011</v>
      </c>
      <c r="C116" s="2">
        <v>1600</v>
      </c>
      <c r="D116" s="2">
        <v>111</v>
      </c>
      <c r="E116" s="17">
        <f>D116*C116</f>
        <v>177600</v>
      </c>
    </row>
    <row r="117" spans="1:5">
      <c r="A117" s="100">
        <v>45169</v>
      </c>
      <c r="B117" s="8" t="s">
        <v>1075</v>
      </c>
      <c r="C117" s="162">
        <v>26.308</v>
      </c>
      <c r="D117" s="2">
        <v>850</v>
      </c>
      <c r="E117" s="17">
        <f>D117*C117</f>
        <v>22361.8</v>
      </c>
    </row>
    <row r="118" spans="1:5">
      <c r="A118" s="100">
        <v>45169</v>
      </c>
      <c r="B118" s="8" t="s">
        <v>1076</v>
      </c>
      <c r="C118" s="162">
        <v>28.544</v>
      </c>
      <c r="D118" s="2">
        <v>100</v>
      </c>
      <c r="E118" s="17">
        <f>D118*C118</f>
        <v>2854.4</v>
      </c>
    </row>
    <row r="119" spans="1:5">
      <c r="A119" s="100">
        <v>45169</v>
      </c>
      <c r="B119" s="8" t="s">
        <v>153</v>
      </c>
      <c r="C119" s="2"/>
      <c r="D119" s="2"/>
      <c r="E119" s="17">
        <v>50850</v>
      </c>
    </row>
    <row r="120" spans="1:5">
      <c r="A120" s="100"/>
      <c r="B120" s="8" t="s">
        <v>154</v>
      </c>
      <c r="C120" s="2"/>
      <c r="D120" s="2"/>
      <c r="E120" s="17">
        <v>350</v>
      </c>
    </row>
    <row r="121" spans="1:5">
      <c r="C121" s="3" t="str">
        <f>A111</f>
        <v>AĞUSTOS</v>
      </c>
      <c r="D121" s="18" t="s">
        <v>157</v>
      </c>
      <c r="E121" s="63">
        <f>H13</f>
        <v>-21230.350000000002</v>
      </c>
    </row>
    <row r="122" spans="1:5">
      <c r="D122" s="3"/>
    </row>
    <row r="123" spans="1:5">
      <c r="D123" s="18" t="s">
        <v>156</v>
      </c>
      <c r="E123" s="8">
        <f>SUM(E112:E122)</f>
        <v>378570.22000000003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395511"/>
  </sheetPr>
  <dimension ref="A1:I123"/>
  <sheetViews>
    <sheetView zoomScale="170" zoomScaleNormal="170" workbookViewId="0"/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8" width="10.140625" customWidth="1"/>
    <col min="1024" max="1024" width="9.140625" customWidth="1"/>
  </cols>
  <sheetData>
    <row r="1" spans="1:9">
      <c r="E1" s="189"/>
      <c r="F1" s="189" t="s">
        <v>28</v>
      </c>
      <c r="G1" s="189" t="s">
        <v>29</v>
      </c>
      <c r="H1" s="189" t="s">
        <v>3</v>
      </c>
    </row>
    <row r="2" spans="1:9">
      <c r="A2" s="3" t="s">
        <v>1077</v>
      </c>
      <c r="C2" s="79" t="s">
        <v>67</v>
      </c>
      <c r="D2" s="306">
        <f>SUM(D4:D34)</f>
        <v>67911</v>
      </c>
      <c r="E2" s="306">
        <f>SUM(E4:E33)</f>
        <v>-35277.64</v>
      </c>
      <c r="F2" s="306">
        <f>SUM(F4:F35)</f>
        <v>70250</v>
      </c>
      <c r="G2" s="306">
        <f>SUM(G4:G35)</f>
        <v>-42110.31</v>
      </c>
      <c r="H2" s="306">
        <f>F2+G2</f>
        <v>28139.690000000002</v>
      </c>
    </row>
    <row r="3" spans="1:9">
      <c r="B3" s="18"/>
      <c r="H3" s="63"/>
    </row>
    <row r="4" spans="1:9">
      <c r="B4" s="101" t="s">
        <v>80</v>
      </c>
      <c r="C4" s="101"/>
      <c r="D4" s="101"/>
      <c r="E4" s="63">
        <v>-400</v>
      </c>
      <c r="G4" s="63">
        <v>-400</v>
      </c>
      <c r="H4" s="63">
        <f t="shared" ref="H4:H30" si="0">H3+F4+G4</f>
        <v>-400</v>
      </c>
    </row>
    <row r="5" spans="1:9">
      <c r="B5" s="101" t="s">
        <v>81</v>
      </c>
      <c r="C5" s="101"/>
      <c r="D5" s="101"/>
      <c r="E5" s="63">
        <v>-500</v>
      </c>
      <c r="G5" s="63">
        <v>-198</v>
      </c>
      <c r="H5" s="63">
        <f t="shared" si="0"/>
        <v>-598</v>
      </c>
    </row>
    <row r="6" spans="1:9">
      <c r="B6" s="101" t="s">
        <v>1078</v>
      </c>
      <c r="C6" s="101"/>
      <c r="D6" s="101"/>
      <c r="E6" s="63">
        <v>-250</v>
      </c>
      <c r="G6" s="63">
        <v>-254</v>
      </c>
      <c r="H6" s="63">
        <f t="shared" si="0"/>
        <v>-852</v>
      </c>
    </row>
    <row r="7" spans="1:9">
      <c r="A7" s="165">
        <v>45112</v>
      </c>
      <c r="B7" s="101" t="s">
        <v>1079</v>
      </c>
      <c r="C7" s="101"/>
      <c r="D7" s="101"/>
      <c r="E7" s="163"/>
      <c r="G7" s="63">
        <v>-3500</v>
      </c>
      <c r="H7" s="63">
        <f t="shared" si="0"/>
        <v>-4352</v>
      </c>
    </row>
    <row r="8" spans="1:9">
      <c r="A8" s="165">
        <v>45112</v>
      </c>
      <c r="B8" s="101" t="s">
        <v>1080</v>
      </c>
      <c r="C8" s="101"/>
      <c r="D8" s="101"/>
      <c r="E8" s="163"/>
      <c r="G8" s="63">
        <v>-3500</v>
      </c>
      <c r="H8" s="63">
        <f t="shared" si="0"/>
        <v>-7852</v>
      </c>
    </row>
    <row r="9" spans="1:9">
      <c r="B9" s="178" t="s">
        <v>72</v>
      </c>
      <c r="E9" s="63">
        <f>D47*-1</f>
        <v>-32.700000000000003</v>
      </c>
      <c r="G9" s="63">
        <f>E9</f>
        <v>-32.700000000000003</v>
      </c>
      <c r="H9" s="63">
        <f t="shared" si="0"/>
        <v>-7884.7</v>
      </c>
    </row>
    <row r="10" spans="1:9">
      <c r="A10" s="165">
        <v>45112</v>
      </c>
      <c r="B10" s="178" t="s">
        <v>68</v>
      </c>
      <c r="E10" s="63">
        <f>E53</f>
        <v>-6143.73</v>
      </c>
      <c r="F10" s="63"/>
      <c r="G10" s="63">
        <v>-6143.73</v>
      </c>
      <c r="H10" s="63">
        <f t="shared" si="0"/>
        <v>-14028.43</v>
      </c>
    </row>
    <row r="11" spans="1:9">
      <c r="A11" s="165">
        <v>45111</v>
      </c>
      <c r="B11" s="178" t="s">
        <v>69</v>
      </c>
      <c r="E11" s="63">
        <f>E69</f>
        <v>-9326.4700000000012</v>
      </c>
      <c r="H11" s="63">
        <f t="shared" si="0"/>
        <v>-14028.43</v>
      </c>
    </row>
    <row r="12" spans="1:9">
      <c r="A12" s="165">
        <v>45111</v>
      </c>
      <c r="B12" s="178" t="s">
        <v>1081</v>
      </c>
      <c r="E12" s="63"/>
      <c r="G12" s="63">
        <v>-3730.59</v>
      </c>
      <c r="H12" s="63">
        <f t="shared" si="0"/>
        <v>-17759.02</v>
      </c>
    </row>
    <row r="13" spans="1:9">
      <c r="A13" s="165">
        <v>45113</v>
      </c>
      <c r="B13" s="319" t="s">
        <v>1082</v>
      </c>
      <c r="E13" s="63"/>
      <c r="G13" s="63">
        <v>-5595.88</v>
      </c>
      <c r="H13" s="63">
        <f t="shared" si="0"/>
        <v>-23354.9</v>
      </c>
      <c r="I13" s="282"/>
    </row>
    <row r="14" spans="1:9">
      <c r="A14" s="100">
        <v>45113</v>
      </c>
      <c r="B14" s="101" t="s">
        <v>1083</v>
      </c>
      <c r="C14" s="101" t="s">
        <v>391</v>
      </c>
      <c r="D14" s="101"/>
      <c r="E14" s="63">
        <v>-5375</v>
      </c>
      <c r="G14" s="63">
        <v>-5375</v>
      </c>
      <c r="H14" s="63">
        <f t="shared" si="0"/>
        <v>-28729.9</v>
      </c>
    </row>
    <row r="15" spans="1:9">
      <c r="A15" s="100">
        <v>45113</v>
      </c>
      <c r="B15" s="101" t="s">
        <v>1083</v>
      </c>
      <c r="C15" s="101"/>
      <c r="D15" s="101"/>
      <c r="E15" s="63">
        <v>-2125</v>
      </c>
      <c r="G15" s="63">
        <v>-2125</v>
      </c>
      <c r="H15" s="63">
        <f t="shared" si="0"/>
        <v>-30854.9</v>
      </c>
    </row>
    <row r="16" spans="1:9">
      <c r="A16" s="165">
        <v>45112</v>
      </c>
      <c r="B16" s="101" t="s">
        <v>1084</v>
      </c>
      <c r="C16" s="101"/>
      <c r="D16" s="101"/>
      <c r="E16" s="63">
        <v>-674.74</v>
      </c>
      <c r="F16" s="163"/>
      <c r="G16" s="63">
        <v>-955.41</v>
      </c>
      <c r="H16" s="63">
        <f t="shared" si="0"/>
        <v>-31810.31</v>
      </c>
    </row>
    <row r="17" spans="1:8">
      <c r="B17" s="101" t="s">
        <v>75</v>
      </c>
      <c r="C17" s="101" t="s">
        <v>328</v>
      </c>
      <c r="D17" s="101"/>
      <c r="E17" s="63">
        <v>-150</v>
      </c>
      <c r="F17" s="163"/>
      <c r="G17" s="63">
        <v>0</v>
      </c>
      <c r="H17" s="63">
        <f t="shared" si="0"/>
        <v>-31810.31</v>
      </c>
    </row>
    <row r="18" spans="1:8">
      <c r="B18" s="106" t="s">
        <v>73</v>
      </c>
      <c r="C18" s="106"/>
      <c r="D18" s="106"/>
      <c r="E18" s="63">
        <v>-300</v>
      </c>
      <c r="F18" s="163"/>
      <c r="G18" s="63">
        <v>0</v>
      </c>
      <c r="H18" s="63">
        <f t="shared" si="0"/>
        <v>-31810.31</v>
      </c>
    </row>
    <row r="19" spans="1:8">
      <c r="B19" s="106" t="s">
        <v>74</v>
      </c>
      <c r="C19" s="106"/>
      <c r="D19" s="106"/>
      <c r="E19" s="63">
        <v>-100</v>
      </c>
      <c r="F19" s="163"/>
      <c r="G19" s="63">
        <v>0</v>
      </c>
      <c r="H19" s="63">
        <f t="shared" si="0"/>
        <v>-31810.31</v>
      </c>
    </row>
    <row r="20" spans="1:8">
      <c r="B20" t="s">
        <v>77</v>
      </c>
      <c r="E20" s="63">
        <v>-3300</v>
      </c>
      <c r="F20" s="63"/>
      <c r="G20" s="63">
        <v>-3500</v>
      </c>
      <c r="H20" s="63">
        <f t="shared" si="0"/>
        <v>-35310.31</v>
      </c>
    </row>
    <row r="21" spans="1:8">
      <c r="B21" t="s">
        <v>78</v>
      </c>
      <c r="E21" s="63">
        <v>-3300</v>
      </c>
      <c r="F21" s="63"/>
      <c r="G21" s="63">
        <v>-3500</v>
      </c>
      <c r="H21" s="63">
        <f t="shared" si="0"/>
        <v>-38810.31</v>
      </c>
    </row>
    <row r="22" spans="1:8">
      <c r="B22" t="s">
        <v>79</v>
      </c>
      <c r="E22" s="63">
        <v>-3300</v>
      </c>
      <c r="F22" s="63"/>
      <c r="G22" s="63">
        <v>-3300</v>
      </c>
      <c r="H22" s="63">
        <f t="shared" si="0"/>
        <v>-42110.31</v>
      </c>
    </row>
    <row r="23" spans="1:8">
      <c r="A23" s="100">
        <v>45122</v>
      </c>
      <c r="B23" s="8" t="s">
        <v>1085</v>
      </c>
      <c r="D23" s="2">
        <v>50000</v>
      </c>
      <c r="E23" s="163"/>
      <c r="F23" s="63">
        <v>50000</v>
      </c>
      <c r="G23" s="63"/>
      <c r="H23" s="63">
        <f t="shared" si="0"/>
        <v>7889.6900000000023</v>
      </c>
    </row>
    <row r="24" spans="1:8">
      <c r="B24" t="s">
        <v>2</v>
      </c>
      <c r="D24" s="2">
        <v>1111</v>
      </c>
      <c r="E24" s="163"/>
      <c r="F24" s="63"/>
      <c r="G24" s="63"/>
      <c r="H24" s="63">
        <f t="shared" si="0"/>
        <v>7889.6900000000023</v>
      </c>
    </row>
    <row r="25" spans="1:8">
      <c r="A25" s="100">
        <v>45119</v>
      </c>
      <c r="B25" s="8" t="s">
        <v>1086</v>
      </c>
      <c r="D25" s="17"/>
      <c r="E25" s="163"/>
      <c r="F25" s="63">
        <v>3450</v>
      </c>
      <c r="G25" s="63"/>
      <c r="H25" s="63">
        <f t="shared" si="0"/>
        <v>11339.690000000002</v>
      </c>
    </row>
    <row r="26" spans="1:8">
      <c r="B26" t="s">
        <v>76</v>
      </c>
      <c r="D26" s="186">
        <v>7500</v>
      </c>
      <c r="F26" s="63">
        <v>7500</v>
      </c>
      <c r="G26" s="63"/>
      <c r="H26" s="63">
        <f t="shared" si="0"/>
        <v>18839.690000000002</v>
      </c>
    </row>
    <row r="27" spans="1:8">
      <c r="B27" t="s">
        <v>1087</v>
      </c>
      <c r="D27" s="186">
        <v>2800</v>
      </c>
      <c r="F27" s="63">
        <v>2800</v>
      </c>
      <c r="G27" s="63"/>
      <c r="H27" s="63">
        <f t="shared" si="0"/>
        <v>21639.690000000002</v>
      </c>
    </row>
    <row r="28" spans="1:8">
      <c r="B28" t="s">
        <v>1088</v>
      </c>
      <c r="D28" s="186">
        <v>6500</v>
      </c>
      <c r="F28" s="63">
        <v>6500</v>
      </c>
      <c r="G28" s="63"/>
      <c r="H28" s="63">
        <f t="shared" si="0"/>
        <v>28139.690000000002</v>
      </c>
    </row>
    <row r="29" spans="1:8">
      <c r="D29" s="102"/>
      <c r="H29" s="63">
        <f t="shared" si="0"/>
        <v>28139.690000000002</v>
      </c>
    </row>
    <row r="30" spans="1:8">
      <c r="D30" s="102"/>
      <c r="F30" s="63"/>
      <c r="G30" s="63"/>
      <c r="H30" s="63">
        <f t="shared" si="0"/>
        <v>28139.690000000002</v>
      </c>
    </row>
    <row r="31" spans="1:8">
      <c r="A31" s="100"/>
      <c r="D31" s="102"/>
      <c r="H31" s="63"/>
    </row>
    <row r="32" spans="1:8">
      <c r="D32" s="63"/>
      <c r="F32" s="63"/>
      <c r="G32" s="63"/>
      <c r="H32" s="63"/>
    </row>
    <row r="33" spans="1:8" ht="15.75">
      <c r="B33" s="179"/>
      <c r="F33" s="63"/>
      <c r="G33" s="63"/>
      <c r="H33" s="63"/>
    </row>
    <row r="34" spans="1:8">
      <c r="E34" s="63"/>
      <c r="G34" s="63"/>
      <c r="H34" s="63"/>
    </row>
    <row r="35" spans="1:8">
      <c r="B35" t="s">
        <v>330</v>
      </c>
      <c r="E35" s="63"/>
      <c r="G35" s="63"/>
      <c r="H35" s="63"/>
    </row>
    <row r="36" spans="1:8">
      <c r="A36" s="103" t="s">
        <v>331</v>
      </c>
      <c r="B36" s="103"/>
      <c r="C36" s="103"/>
      <c r="D36" s="103"/>
      <c r="E36" s="158"/>
      <c r="G36" s="63"/>
      <c r="H36" s="63"/>
    </row>
    <row r="37" spans="1:8">
      <c r="A37" s="317"/>
      <c r="B37" s="312"/>
      <c r="C37" s="312"/>
      <c r="D37" s="312"/>
      <c r="E37" s="313"/>
      <c r="H37" s="63"/>
    </row>
    <row r="38" spans="1:8">
      <c r="A38" s="317"/>
      <c r="B38" s="312"/>
      <c r="C38" s="314"/>
      <c r="D38" s="312"/>
      <c r="E38" s="312"/>
      <c r="H38" s="63"/>
    </row>
    <row r="39" spans="1:8">
      <c r="A39" s="317"/>
      <c r="B39" s="312"/>
      <c r="C39" s="314"/>
      <c r="D39" s="312"/>
      <c r="E39" s="312"/>
      <c r="H39" s="63"/>
    </row>
    <row r="40" spans="1:8">
      <c r="A40" s="100"/>
      <c r="C40" s="171"/>
      <c r="H40" s="63"/>
    </row>
    <row r="41" spans="1:8">
      <c r="A41" s="172">
        <v>44929</v>
      </c>
      <c r="B41" s="173" t="s">
        <v>332</v>
      </c>
      <c r="C41" s="103"/>
      <c r="D41" s="201">
        <f>SUM(D42:D49)</f>
        <v>3120.43</v>
      </c>
      <c r="E41" s="201">
        <f>SUM(E42:E49)</f>
        <v>1344.7</v>
      </c>
      <c r="H41" s="63"/>
    </row>
    <row r="42" spans="1:8">
      <c r="B42" t="s">
        <v>926</v>
      </c>
      <c r="D42">
        <v>547.27</v>
      </c>
      <c r="E42" s="63"/>
      <c r="F42" s="63"/>
      <c r="G42" s="63"/>
    </row>
    <row r="43" spans="1:8">
      <c r="B43" t="s">
        <v>334</v>
      </c>
      <c r="D43">
        <v>990.96</v>
      </c>
      <c r="E43" s="63">
        <v>990</v>
      </c>
      <c r="F43" s="63"/>
      <c r="G43" s="63"/>
    </row>
    <row r="44" spans="1:8">
      <c r="B44" t="s">
        <v>335</v>
      </c>
      <c r="D44">
        <v>112.16</v>
      </c>
      <c r="F44" s="63"/>
      <c r="G44" s="63"/>
    </row>
    <row r="45" spans="1:8">
      <c r="B45" t="s">
        <v>336</v>
      </c>
      <c r="D45">
        <v>1115.05</v>
      </c>
      <c r="F45" s="63"/>
      <c r="G45" s="63"/>
    </row>
    <row r="46" spans="1:8">
      <c r="B46" t="s">
        <v>337</v>
      </c>
      <c r="D46">
        <v>322.29000000000002</v>
      </c>
      <c r="E46">
        <v>322</v>
      </c>
      <c r="F46" s="63"/>
      <c r="G46" s="63"/>
    </row>
    <row r="47" spans="1:8">
      <c r="B47" t="s">
        <v>338</v>
      </c>
      <c r="C47" s="106"/>
      <c r="D47" s="106">
        <v>32.700000000000003</v>
      </c>
      <c r="E47">
        <v>32.700000000000003</v>
      </c>
      <c r="F47" s="63"/>
      <c r="G47" s="63"/>
    </row>
    <row r="48" spans="1:8">
      <c r="C48" s="106"/>
      <c r="E48" s="106"/>
      <c r="F48" s="63"/>
      <c r="G48" s="63"/>
    </row>
    <row r="49" spans="1:8">
      <c r="C49" s="106"/>
      <c r="D49" s="106"/>
      <c r="E49" s="163"/>
      <c r="F49" s="63"/>
      <c r="G49" s="63"/>
    </row>
    <row r="51" spans="1:8">
      <c r="B51" s="17"/>
    </row>
    <row r="52" spans="1:8">
      <c r="B52" s="102"/>
    </row>
    <row r="53" spans="1:8">
      <c r="A53" s="103"/>
      <c r="B53" s="104" t="s">
        <v>83</v>
      </c>
      <c r="C53" s="103"/>
      <c r="D53" s="158"/>
      <c r="E53" s="159">
        <f>SUM(E54:E66)</f>
        <v>-6143.73</v>
      </c>
    </row>
    <row r="54" spans="1:8">
      <c r="A54" s="100">
        <v>44873</v>
      </c>
      <c r="B54" s="8" t="s">
        <v>1060</v>
      </c>
      <c r="C54" s="106"/>
      <c r="D54" s="106" t="s">
        <v>368</v>
      </c>
      <c r="E54" s="163">
        <v>-1111.1099999999999</v>
      </c>
      <c r="G54" s="63"/>
      <c r="H54" s="63"/>
    </row>
    <row r="55" spans="1:8">
      <c r="A55" s="100">
        <v>44995</v>
      </c>
      <c r="B55" s="8" t="s">
        <v>777</v>
      </c>
      <c r="C55">
        <v>613.91</v>
      </c>
      <c r="D55" s="35" t="s">
        <v>1089</v>
      </c>
      <c r="E55" s="163">
        <v>-61.39</v>
      </c>
      <c r="F55" s="63"/>
      <c r="G55" s="63"/>
      <c r="H55" s="63"/>
    </row>
    <row r="56" spans="1:8">
      <c r="A56" s="100">
        <v>44995</v>
      </c>
      <c r="B56" s="8" t="s">
        <v>1034</v>
      </c>
      <c r="C56">
        <v>2258.94</v>
      </c>
      <c r="D56" s="35" t="s">
        <v>519</v>
      </c>
      <c r="E56" s="163">
        <v>-376.49</v>
      </c>
      <c r="F56" s="63"/>
      <c r="G56" s="63"/>
      <c r="H56" s="63"/>
    </row>
    <row r="57" spans="1:8">
      <c r="A57" s="100">
        <v>45043</v>
      </c>
      <c r="B57" s="106" t="s">
        <v>955</v>
      </c>
      <c r="C57" s="106">
        <v>3299</v>
      </c>
      <c r="D57" s="35" t="s">
        <v>611</v>
      </c>
      <c r="E57" s="163">
        <v>-549.83000000000004</v>
      </c>
      <c r="F57" s="63"/>
      <c r="G57" s="63"/>
      <c r="H57" s="63"/>
    </row>
    <row r="58" spans="1:8">
      <c r="A58" s="100">
        <v>45043</v>
      </c>
      <c r="B58" s="106" t="s">
        <v>729</v>
      </c>
      <c r="C58" s="106">
        <v>10764.57</v>
      </c>
      <c r="D58" s="35" t="s">
        <v>613</v>
      </c>
      <c r="E58" s="163">
        <v>-1196.06</v>
      </c>
      <c r="F58" s="63"/>
      <c r="G58" s="63"/>
      <c r="H58" s="63"/>
    </row>
    <row r="59" spans="1:8">
      <c r="A59" s="100">
        <v>45044</v>
      </c>
      <c r="B59" s="8" t="s">
        <v>957</v>
      </c>
      <c r="C59" s="106">
        <v>3123.29</v>
      </c>
      <c r="D59" s="204" t="s">
        <v>611</v>
      </c>
      <c r="E59" s="163">
        <v>-520.54999999999995</v>
      </c>
      <c r="F59" s="63"/>
      <c r="G59" s="63"/>
      <c r="H59" s="63"/>
    </row>
    <row r="60" spans="1:8">
      <c r="A60" s="100">
        <v>45077</v>
      </c>
      <c r="B60" s="106" t="s">
        <v>988</v>
      </c>
      <c r="C60" s="106">
        <v>148.6</v>
      </c>
      <c r="D60" s="204" t="s">
        <v>1090</v>
      </c>
      <c r="E60" s="163">
        <v>-37.15</v>
      </c>
      <c r="F60" s="63"/>
      <c r="G60" s="63"/>
      <c r="H60" s="63"/>
    </row>
    <row r="61" spans="1:8">
      <c r="A61" s="100">
        <v>45077</v>
      </c>
      <c r="B61" s="106" t="s">
        <v>990</v>
      </c>
      <c r="C61" s="106">
        <v>244.8</v>
      </c>
      <c r="D61" s="204" t="s">
        <v>1090</v>
      </c>
      <c r="E61" s="163">
        <v>-61.2</v>
      </c>
      <c r="F61" s="63"/>
      <c r="G61" s="63"/>
      <c r="H61" s="63"/>
    </row>
    <row r="62" spans="1:8">
      <c r="A62" s="100">
        <v>45077</v>
      </c>
      <c r="B62" s="106" t="s">
        <v>991</v>
      </c>
      <c r="C62" s="106">
        <v>1204.5</v>
      </c>
      <c r="D62" s="204" t="s">
        <v>1090</v>
      </c>
      <c r="E62" s="163">
        <v>-301.13</v>
      </c>
      <c r="F62" s="63"/>
      <c r="G62" s="63"/>
      <c r="H62" s="63"/>
    </row>
    <row r="63" spans="1:8">
      <c r="A63" s="100">
        <v>45077</v>
      </c>
      <c r="B63" s="8" t="s">
        <v>992</v>
      </c>
      <c r="C63" s="106">
        <v>532.6</v>
      </c>
      <c r="D63" s="204" t="s">
        <v>1090</v>
      </c>
      <c r="E63" s="163">
        <v>-133.15</v>
      </c>
      <c r="F63" s="63"/>
      <c r="G63" s="63"/>
      <c r="H63" s="63"/>
    </row>
    <row r="64" spans="1:8">
      <c r="A64" s="100">
        <v>45078</v>
      </c>
      <c r="B64" s="106" t="s">
        <v>930</v>
      </c>
      <c r="D64" s="204" t="s">
        <v>650</v>
      </c>
      <c r="E64" s="163">
        <v>-666.67</v>
      </c>
      <c r="F64" s="63"/>
    </row>
    <row r="65" spans="1:8">
      <c r="A65" s="100">
        <v>45091</v>
      </c>
      <c r="B65" s="106" t="s">
        <v>1091</v>
      </c>
      <c r="E65" s="163">
        <v>-1129</v>
      </c>
      <c r="F65" s="63"/>
    </row>
    <row r="66" spans="1:8">
      <c r="A66" s="100"/>
      <c r="B66" s="106"/>
      <c r="D66" s="3" t="s">
        <v>84</v>
      </c>
      <c r="E66" s="163"/>
      <c r="F66" s="63"/>
    </row>
    <row r="67" spans="1:8">
      <c r="D67" s="35"/>
    </row>
    <row r="69" spans="1:8">
      <c r="A69" s="103"/>
      <c r="B69" s="104" t="s">
        <v>85</v>
      </c>
      <c r="C69" s="103"/>
      <c r="D69" s="103"/>
      <c r="E69" s="159">
        <f>SUM(E70:E97)</f>
        <v>-9326.4700000000012</v>
      </c>
    </row>
    <row r="70" spans="1:8">
      <c r="A70" s="100">
        <v>45026</v>
      </c>
      <c r="B70" s="8" t="s">
        <v>958</v>
      </c>
      <c r="C70">
        <v>1140.99</v>
      </c>
      <c r="D70" s="8" t="s">
        <v>934</v>
      </c>
      <c r="E70">
        <v>-190.17</v>
      </c>
      <c r="F70" s="63"/>
      <c r="G70" s="63"/>
      <c r="H70" s="63"/>
    </row>
    <row r="71" spans="1:8">
      <c r="A71" s="100">
        <v>45070</v>
      </c>
      <c r="B71" s="106" t="s">
        <v>1092</v>
      </c>
      <c r="C71" s="106"/>
      <c r="D71" s="106"/>
      <c r="E71" s="163">
        <v>-350</v>
      </c>
      <c r="F71" s="63"/>
      <c r="G71" s="63"/>
      <c r="H71" s="63"/>
    </row>
    <row r="72" spans="1:8">
      <c r="A72" s="100">
        <v>45070</v>
      </c>
      <c r="B72" s="106" t="s">
        <v>1093</v>
      </c>
      <c r="C72" s="106"/>
      <c r="D72" s="106"/>
      <c r="E72" s="163">
        <v>-63.15</v>
      </c>
      <c r="F72" s="63"/>
      <c r="G72" s="63"/>
      <c r="H72" s="63"/>
    </row>
    <row r="73" spans="1:8">
      <c r="A73" s="100">
        <v>45072</v>
      </c>
      <c r="B73" s="106" t="s">
        <v>1094</v>
      </c>
      <c r="C73" s="106"/>
      <c r="D73" s="106"/>
      <c r="E73" s="163">
        <v>-200</v>
      </c>
      <c r="F73" s="63"/>
      <c r="G73" s="63"/>
      <c r="H73" s="63"/>
    </row>
    <row r="74" spans="1:8">
      <c r="A74" s="100">
        <v>45075</v>
      </c>
      <c r="B74" s="106" t="s">
        <v>1094</v>
      </c>
      <c r="C74" s="106"/>
      <c r="D74" s="106"/>
      <c r="E74" s="163">
        <v>-150</v>
      </c>
      <c r="F74" s="63"/>
      <c r="G74" s="63"/>
      <c r="H74" s="63"/>
    </row>
    <row r="75" spans="1:8">
      <c r="A75" s="100">
        <v>45077</v>
      </c>
      <c r="B75" s="107" t="s">
        <v>1094</v>
      </c>
      <c r="E75" s="163">
        <v>-225</v>
      </c>
    </row>
    <row r="76" spans="1:8">
      <c r="B76" s="106" t="s">
        <v>274</v>
      </c>
      <c r="C76">
        <v>-1207</v>
      </c>
    </row>
    <row r="77" spans="1:8">
      <c r="A77" s="165">
        <v>45080</v>
      </c>
      <c r="B77" s="106" t="s">
        <v>1094</v>
      </c>
      <c r="E77" s="163">
        <v>-180</v>
      </c>
    </row>
    <row r="78" spans="1:8">
      <c r="A78" s="165">
        <v>45080</v>
      </c>
      <c r="B78" s="106" t="s">
        <v>1095</v>
      </c>
      <c r="E78" s="163">
        <v>-850</v>
      </c>
    </row>
    <row r="79" spans="1:8">
      <c r="A79" s="165">
        <v>45082</v>
      </c>
      <c r="B79" s="106" t="s">
        <v>1096</v>
      </c>
      <c r="E79" s="163">
        <v>-112.11</v>
      </c>
    </row>
    <row r="80" spans="1:8">
      <c r="A80" s="165">
        <v>45082</v>
      </c>
      <c r="B80" s="106" t="s">
        <v>1094</v>
      </c>
      <c r="E80" s="163">
        <v>-150</v>
      </c>
    </row>
    <row r="81" spans="1:5">
      <c r="A81" s="165">
        <v>45084</v>
      </c>
      <c r="B81" s="106" t="s">
        <v>1094</v>
      </c>
      <c r="D81" s="35"/>
      <c r="E81" s="163">
        <v>-250</v>
      </c>
    </row>
    <row r="82" spans="1:5">
      <c r="A82" s="165">
        <v>45085</v>
      </c>
      <c r="B82" s="106" t="s">
        <v>1094</v>
      </c>
      <c r="D82" s="35"/>
      <c r="E82" s="163">
        <v>-250</v>
      </c>
    </row>
    <row r="83" spans="1:5">
      <c r="A83" s="165">
        <v>45086</v>
      </c>
      <c r="B83" s="8" t="s">
        <v>1097</v>
      </c>
      <c r="E83" s="163">
        <v>-1420</v>
      </c>
    </row>
    <row r="84" spans="1:5">
      <c r="A84" s="165">
        <v>45087</v>
      </c>
      <c r="B84" s="8" t="s">
        <v>1098</v>
      </c>
      <c r="E84" s="163">
        <v>-242.56</v>
      </c>
    </row>
    <row r="85" spans="1:5">
      <c r="A85" s="165">
        <v>45089</v>
      </c>
      <c r="B85" s="8" t="s">
        <v>1099</v>
      </c>
      <c r="E85" s="163">
        <v>-167.19</v>
      </c>
    </row>
    <row r="86" spans="1:5">
      <c r="A86" s="165">
        <v>45091</v>
      </c>
      <c r="B86" s="8" t="s">
        <v>1094</v>
      </c>
      <c r="E86" s="163">
        <v>-200</v>
      </c>
    </row>
    <row r="87" spans="1:5">
      <c r="A87" s="165">
        <v>45091</v>
      </c>
      <c r="B87" s="8" t="s">
        <v>1096</v>
      </c>
      <c r="E87" s="163">
        <v>-61.41</v>
      </c>
    </row>
    <row r="88" spans="1:5">
      <c r="A88" s="165">
        <v>45092</v>
      </c>
      <c r="B88" s="8" t="s">
        <v>1094</v>
      </c>
      <c r="E88" s="163">
        <v>-200</v>
      </c>
    </row>
    <row r="89" spans="1:5">
      <c r="A89" s="100">
        <v>45095</v>
      </c>
      <c r="B89" s="8" t="s">
        <v>1100</v>
      </c>
      <c r="E89" s="163">
        <v>-257</v>
      </c>
    </row>
    <row r="90" spans="1:5">
      <c r="A90" s="100">
        <v>45096</v>
      </c>
      <c r="B90" s="8" t="s">
        <v>657</v>
      </c>
      <c r="E90" s="163">
        <v>-250</v>
      </c>
    </row>
    <row r="91" spans="1:5">
      <c r="A91" s="100">
        <v>45097</v>
      </c>
      <c r="B91" s="8" t="s">
        <v>1101</v>
      </c>
      <c r="E91" s="163">
        <v>-110</v>
      </c>
    </row>
    <row r="92" spans="1:5">
      <c r="A92" s="100">
        <v>45098</v>
      </c>
      <c r="B92" s="8" t="s">
        <v>1102</v>
      </c>
      <c r="E92" s="163">
        <v>-405</v>
      </c>
    </row>
    <row r="93" spans="1:5">
      <c r="A93" s="100">
        <v>45099</v>
      </c>
      <c r="B93" s="8" t="s">
        <v>1103</v>
      </c>
      <c r="E93" s="163">
        <v>-820</v>
      </c>
    </row>
    <row r="94" spans="1:5">
      <c r="A94" s="100">
        <v>45099</v>
      </c>
      <c r="B94" s="8" t="s">
        <v>1104</v>
      </c>
      <c r="E94" s="163">
        <v>-599</v>
      </c>
    </row>
    <row r="95" spans="1:5">
      <c r="A95" s="100">
        <v>45099</v>
      </c>
      <c r="B95" s="8" t="s">
        <v>1105</v>
      </c>
      <c r="E95" s="163">
        <v>-8</v>
      </c>
    </row>
    <row r="96" spans="1:5">
      <c r="A96" s="100">
        <v>45099</v>
      </c>
      <c r="B96" s="8" t="s">
        <v>1105</v>
      </c>
      <c r="E96" s="163">
        <v>-1197.3800000000001</v>
      </c>
    </row>
    <row r="97" spans="1:5">
      <c r="A97" s="100">
        <v>45100</v>
      </c>
      <c r="B97" s="8" t="s">
        <v>1106</v>
      </c>
      <c r="E97" s="163">
        <v>-418.5</v>
      </c>
    </row>
    <row r="98" spans="1:5">
      <c r="D98" s="3" t="s">
        <v>84</v>
      </c>
    </row>
    <row r="110" spans="1:5">
      <c r="D110" s="35"/>
    </row>
    <row r="111" spans="1:5">
      <c r="A111" s="113" t="s">
        <v>1107</v>
      </c>
      <c r="B111" s="104" t="s">
        <v>137</v>
      </c>
      <c r="C111" s="103">
        <v>2023</v>
      </c>
      <c r="D111" s="158"/>
      <c r="E111" s="159">
        <f>SUM(E112:E120)</f>
        <v>433286.58999999997</v>
      </c>
    </row>
    <row r="112" spans="1:5">
      <c r="A112" s="100">
        <v>45077</v>
      </c>
      <c r="B112" s="8" t="s">
        <v>77</v>
      </c>
      <c r="C112" s="2"/>
      <c r="D112" s="2"/>
      <c r="E112" s="17">
        <v>64000</v>
      </c>
    </row>
    <row r="113" spans="1:5">
      <c r="A113" s="100">
        <v>45077</v>
      </c>
      <c r="B113" s="8" t="s">
        <v>1074</v>
      </c>
      <c r="C113" s="2"/>
      <c r="D113" s="2"/>
      <c r="E113" s="17">
        <v>53088</v>
      </c>
    </row>
    <row r="114" spans="1:5">
      <c r="A114" s="100">
        <v>45077</v>
      </c>
      <c r="B114" s="8" t="s">
        <v>305</v>
      </c>
      <c r="C114" s="2"/>
      <c r="D114" s="2"/>
      <c r="E114" s="17">
        <v>12372.88</v>
      </c>
    </row>
    <row r="115" spans="1:5">
      <c r="A115" s="100">
        <v>45077</v>
      </c>
      <c r="B115" s="8" t="s">
        <v>306</v>
      </c>
      <c r="C115" s="2"/>
      <c r="D115" s="2"/>
      <c r="E115" s="17">
        <v>26868.21</v>
      </c>
    </row>
    <row r="116" spans="1:5">
      <c r="A116" s="100">
        <v>45077</v>
      </c>
      <c r="B116" s="8" t="s">
        <v>1011</v>
      </c>
      <c r="C116" s="2">
        <v>1647</v>
      </c>
      <c r="D116" s="2">
        <v>111</v>
      </c>
      <c r="E116" s="17">
        <f>D116*C116</f>
        <v>182817</v>
      </c>
    </row>
    <row r="117" spans="1:5">
      <c r="A117" s="100">
        <v>45077</v>
      </c>
      <c r="B117" s="8" t="s">
        <v>1108</v>
      </c>
      <c r="C117" s="2">
        <v>26.73</v>
      </c>
      <c r="D117" s="2">
        <v>850</v>
      </c>
      <c r="E117" s="17">
        <f>D117*C117</f>
        <v>22720.5</v>
      </c>
    </row>
    <row r="118" spans="1:5">
      <c r="A118" s="100">
        <v>45077</v>
      </c>
      <c r="B118" s="8" t="s">
        <v>1109</v>
      </c>
      <c r="C118" s="2">
        <v>29.2</v>
      </c>
      <c r="D118" s="2">
        <v>100</v>
      </c>
      <c r="E118" s="17">
        <f>D118*C118</f>
        <v>2920</v>
      </c>
    </row>
    <row r="119" spans="1:5">
      <c r="A119" s="100">
        <v>45077</v>
      </c>
      <c r="B119" s="8" t="s">
        <v>153</v>
      </c>
      <c r="C119" s="2"/>
      <c r="D119" s="2"/>
      <c r="E119" s="17">
        <v>67500</v>
      </c>
    </row>
    <row r="120" spans="1:5">
      <c r="A120" s="100"/>
      <c r="B120" s="8" t="s">
        <v>154</v>
      </c>
      <c r="C120" s="2"/>
      <c r="D120" s="2"/>
      <c r="E120" s="17">
        <v>1000</v>
      </c>
    </row>
    <row r="121" spans="1:5">
      <c r="C121" s="3" t="str">
        <f>A111</f>
        <v>TEMMUZ</v>
      </c>
      <c r="D121" s="18" t="s">
        <v>157</v>
      </c>
      <c r="E121" s="63">
        <f>H13</f>
        <v>-23354.9</v>
      </c>
    </row>
    <row r="122" spans="1:5">
      <c r="D122" s="3"/>
    </row>
    <row r="123" spans="1:5">
      <c r="D123" s="18" t="s">
        <v>156</v>
      </c>
      <c r="E123" s="8">
        <f>SUM(E112:E122)</f>
        <v>409931.68999999994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395511"/>
  </sheetPr>
  <dimension ref="A1:H123"/>
  <sheetViews>
    <sheetView topLeftCell="A7" zoomScale="170" zoomScaleNormal="170" workbookViewId="0">
      <selection activeCell="A7" sqref="A7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28515625" customWidth="1"/>
    <col min="5" max="5" width="10.85546875" customWidth="1"/>
    <col min="6" max="6" width="9.42578125" customWidth="1"/>
    <col min="7" max="8" width="10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1110</v>
      </c>
      <c r="C2" s="79" t="s">
        <v>67</v>
      </c>
      <c r="D2" s="306">
        <f>SUM(D4:D30)</f>
        <v>28744</v>
      </c>
      <c r="E2" s="306">
        <f>SUM(E4:E29)</f>
        <v>-26572.629999999997</v>
      </c>
      <c r="F2" s="306">
        <f>SUM(F4:F31)</f>
        <v>33133</v>
      </c>
      <c r="G2" s="306">
        <f>SUM(G4:G31)</f>
        <v>-28830.22</v>
      </c>
      <c r="H2" s="306">
        <f>F2+G2</f>
        <v>4302.7799999999988</v>
      </c>
    </row>
    <row r="3" spans="1:8">
      <c r="B3" s="18"/>
      <c r="H3" s="63"/>
    </row>
    <row r="4" spans="1:8">
      <c r="B4" s="101" t="s">
        <v>80</v>
      </c>
      <c r="C4" s="101"/>
      <c r="D4" s="101"/>
      <c r="E4" s="63">
        <v>-400</v>
      </c>
      <c r="G4" s="63">
        <v>-204</v>
      </c>
      <c r="H4" s="63">
        <f t="shared" ref="H4:H29" si="0">H3+F4+G4</f>
        <v>-204</v>
      </c>
    </row>
    <row r="5" spans="1:8">
      <c r="B5" s="101" t="s">
        <v>81</v>
      </c>
      <c r="C5" s="101"/>
      <c r="D5" s="101"/>
      <c r="E5" s="63">
        <v>-500</v>
      </c>
      <c r="G5" s="63">
        <v>-411</v>
      </c>
      <c r="H5" s="63">
        <f t="shared" si="0"/>
        <v>-615</v>
      </c>
    </row>
    <row r="6" spans="1:8">
      <c r="A6" s="165">
        <v>45082</v>
      </c>
      <c r="B6" s="101" t="s">
        <v>1111</v>
      </c>
      <c r="C6" s="101"/>
      <c r="D6" s="101"/>
      <c r="E6" s="63">
        <v>-250</v>
      </c>
      <c r="G6" s="63">
        <v>-250</v>
      </c>
      <c r="H6" s="63">
        <f t="shared" si="0"/>
        <v>-865</v>
      </c>
    </row>
    <row r="7" spans="1:8">
      <c r="B7" s="178" t="s">
        <v>72</v>
      </c>
      <c r="C7" s="101"/>
      <c r="D7" s="63"/>
      <c r="E7" s="63">
        <v>-44</v>
      </c>
      <c r="F7" s="63"/>
      <c r="G7" s="63">
        <v>-44</v>
      </c>
      <c r="H7" s="63">
        <f t="shared" si="0"/>
        <v>-909</v>
      </c>
    </row>
    <row r="8" spans="1:8">
      <c r="A8" s="165">
        <v>45082</v>
      </c>
      <c r="B8" s="178" t="s">
        <v>68</v>
      </c>
      <c r="C8" s="101"/>
      <c r="E8" s="63">
        <f>E49</f>
        <v>-4946.47</v>
      </c>
      <c r="F8" s="63"/>
      <c r="G8" s="63">
        <v>-4946.47</v>
      </c>
      <c r="H8" s="63">
        <f t="shared" si="0"/>
        <v>-5855.47</v>
      </c>
    </row>
    <row r="9" spans="1:8">
      <c r="A9" s="165">
        <v>45082</v>
      </c>
      <c r="B9" s="178" t="s">
        <v>69</v>
      </c>
      <c r="C9" s="101"/>
      <c r="E9" s="63">
        <f>E84</f>
        <v>-1207.42</v>
      </c>
      <c r="G9" s="63">
        <v>-1207.42</v>
      </c>
      <c r="H9" s="63">
        <f t="shared" si="0"/>
        <v>-7062.89</v>
      </c>
    </row>
    <row r="10" spans="1:8">
      <c r="A10" s="100">
        <v>45084</v>
      </c>
      <c r="B10" s="101" t="s">
        <v>561</v>
      </c>
      <c r="D10" s="101"/>
      <c r="E10" s="63">
        <v>-5375</v>
      </c>
      <c r="G10" s="63">
        <v>-5375</v>
      </c>
      <c r="H10" s="63">
        <f t="shared" si="0"/>
        <v>-12437.89</v>
      </c>
    </row>
    <row r="11" spans="1:8">
      <c r="A11" s="100"/>
      <c r="B11" s="101" t="s">
        <v>1112</v>
      </c>
      <c r="C11" s="101"/>
      <c r="D11" s="101"/>
      <c r="E11" s="63">
        <v>-2125</v>
      </c>
      <c r="G11" s="63">
        <v>-2125</v>
      </c>
      <c r="H11" s="63">
        <f t="shared" si="0"/>
        <v>-14562.89</v>
      </c>
    </row>
    <row r="12" spans="1:8">
      <c r="A12" s="100"/>
      <c r="B12" s="101" t="s">
        <v>1113</v>
      </c>
      <c r="C12" s="101"/>
      <c r="D12" s="101"/>
      <c r="E12" s="163"/>
      <c r="G12" s="63">
        <v>-16.059999999999999</v>
      </c>
      <c r="H12" s="63">
        <f t="shared" si="0"/>
        <v>-14578.949999999999</v>
      </c>
    </row>
    <row r="13" spans="1:8">
      <c r="A13" s="165">
        <v>45078</v>
      </c>
      <c r="B13" s="101" t="s">
        <v>559</v>
      </c>
      <c r="C13" s="101"/>
      <c r="D13" s="101"/>
      <c r="E13" s="63">
        <v>-674.74</v>
      </c>
      <c r="F13" s="163"/>
      <c r="G13" s="63">
        <v>-670.27</v>
      </c>
      <c r="H13" s="63">
        <f t="shared" si="0"/>
        <v>-15249.22</v>
      </c>
    </row>
    <row r="14" spans="1:8">
      <c r="B14" s="101" t="s">
        <v>75</v>
      </c>
      <c r="C14" s="101" t="s">
        <v>328</v>
      </c>
      <c r="D14" s="101"/>
      <c r="E14" s="63">
        <v>-150</v>
      </c>
      <c r="F14" s="163"/>
      <c r="G14" s="63"/>
      <c r="H14" s="63">
        <f t="shared" si="0"/>
        <v>-15249.22</v>
      </c>
    </row>
    <row r="15" spans="1:8">
      <c r="B15" s="106" t="s">
        <v>73</v>
      </c>
      <c r="C15" s="106"/>
      <c r="D15" s="106"/>
      <c r="E15" s="63">
        <v>-1000</v>
      </c>
      <c r="F15" s="163"/>
      <c r="G15" s="63">
        <v>-104</v>
      </c>
      <c r="H15" s="63">
        <f t="shared" si="0"/>
        <v>-15353.22</v>
      </c>
    </row>
    <row r="16" spans="1:8">
      <c r="B16" s="106" t="s">
        <v>74</v>
      </c>
      <c r="C16" s="106"/>
      <c r="D16" s="106"/>
      <c r="E16" s="63">
        <v>-150</v>
      </c>
      <c r="F16" s="163"/>
      <c r="G16" s="63">
        <v>-127</v>
      </c>
      <c r="H16" s="63">
        <f t="shared" si="0"/>
        <v>-15480.22</v>
      </c>
    </row>
    <row r="17" spans="1:8">
      <c r="B17" t="s">
        <v>77</v>
      </c>
      <c r="E17" s="63">
        <v>-3500</v>
      </c>
      <c r="F17" s="163"/>
      <c r="G17" s="63">
        <v>-3500</v>
      </c>
      <c r="H17" s="63">
        <f t="shared" si="0"/>
        <v>-18980.22</v>
      </c>
    </row>
    <row r="18" spans="1:8">
      <c r="B18" t="s">
        <v>78</v>
      </c>
      <c r="E18" s="63">
        <v>-3500</v>
      </c>
      <c r="F18" s="163"/>
      <c r="G18" s="63">
        <v>-3500</v>
      </c>
      <c r="H18" s="63">
        <f t="shared" si="0"/>
        <v>-22480.22</v>
      </c>
    </row>
    <row r="19" spans="1:8">
      <c r="B19" t="s">
        <v>79</v>
      </c>
      <c r="E19" s="63">
        <v>-2750</v>
      </c>
      <c r="F19" s="163"/>
      <c r="G19" s="63">
        <v>-2750</v>
      </c>
      <c r="H19" s="63">
        <f t="shared" si="0"/>
        <v>-25230.22</v>
      </c>
    </row>
    <row r="20" spans="1:8">
      <c r="B20" t="s">
        <v>2</v>
      </c>
      <c r="D20">
        <v>1111</v>
      </c>
      <c r="E20" s="163"/>
      <c r="F20" s="63"/>
      <c r="G20" s="63"/>
      <c r="H20" s="63">
        <f t="shared" si="0"/>
        <v>-25230.22</v>
      </c>
    </row>
    <row r="21" spans="1:8">
      <c r="B21" t="s">
        <v>76</v>
      </c>
      <c r="D21" s="186">
        <v>7500</v>
      </c>
      <c r="F21" s="63">
        <v>7500</v>
      </c>
      <c r="G21" s="63"/>
      <c r="H21" s="63">
        <f t="shared" si="0"/>
        <v>-17730.22</v>
      </c>
    </row>
    <row r="22" spans="1:8">
      <c r="B22" t="s">
        <v>1114</v>
      </c>
      <c r="D22" s="102"/>
      <c r="F22" s="63">
        <v>2000</v>
      </c>
      <c r="G22" s="63"/>
      <c r="H22" s="63">
        <f t="shared" si="0"/>
        <v>-15730.220000000001</v>
      </c>
    </row>
    <row r="23" spans="1:8">
      <c r="A23" s="165">
        <v>45119</v>
      </c>
      <c r="B23" s="8" t="s">
        <v>677</v>
      </c>
      <c r="D23" s="186">
        <v>2800</v>
      </c>
      <c r="F23" s="63">
        <v>2800</v>
      </c>
      <c r="G23" s="63"/>
      <c r="H23" s="63">
        <f t="shared" si="0"/>
        <v>-12930.220000000001</v>
      </c>
    </row>
    <row r="24" spans="1:8">
      <c r="B24" t="s">
        <v>1115</v>
      </c>
      <c r="D24" s="186">
        <v>6500</v>
      </c>
      <c r="F24" s="63">
        <v>6500</v>
      </c>
      <c r="G24" s="63"/>
      <c r="H24" s="63">
        <f t="shared" si="0"/>
        <v>-6430.2200000000012</v>
      </c>
    </row>
    <row r="25" spans="1:8">
      <c r="A25" s="100">
        <v>45107</v>
      </c>
      <c r="B25" s="8" t="s">
        <v>1116</v>
      </c>
      <c r="D25" s="186">
        <v>10833</v>
      </c>
      <c r="F25">
        <v>10833</v>
      </c>
      <c r="H25" s="63">
        <f t="shared" si="0"/>
        <v>4402.7799999999988</v>
      </c>
    </row>
    <row r="26" spans="1:8">
      <c r="A26" s="165">
        <v>45080</v>
      </c>
      <c r="B26" s="8" t="s">
        <v>1117</v>
      </c>
      <c r="D26" s="102"/>
      <c r="F26" s="63"/>
      <c r="G26" s="63"/>
      <c r="H26" s="63">
        <f t="shared" si="0"/>
        <v>4402.7799999999988</v>
      </c>
    </row>
    <row r="27" spans="1:8">
      <c r="A27" s="100"/>
      <c r="B27" s="8" t="s">
        <v>1118</v>
      </c>
      <c r="D27" s="102"/>
      <c r="G27">
        <v>-100</v>
      </c>
      <c r="H27" s="63">
        <f t="shared" si="0"/>
        <v>4302.7799999999988</v>
      </c>
    </row>
    <row r="28" spans="1:8">
      <c r="A28" s="165">
        <v>45092</v>
      </c>
      <c r="B28" s="8" t="s">
        <v>1119</v>
      </c>
      <c r="D28" s="63"/>
      <c r="F28" s="63">
        <v>3500</v>
      </c>
      <c r="G28" s="63"/>
      <c r="H28" s="63">
        <f t="shared" si="0"/>
        <v>7802.7799999999988</v>
      </c>
    </row>
    <row r="29" spans="1:8" ht="15">
      <c r="A29" s="165">
        <v>45092</v>
      </c>
      <c r="B29" s="320" t="s">
        <v>1120</v>
      </c>
      <c r="F29" s="63"/>
      <c r="G29" s="63">
        <v>-3500</v>
      </c>
      <c r="H29" s="63">
        <f t="shared" si="0"/>
        <v>4302.7799999999988</v>
      </c>
    </row>
    <row r="30" spans="1:8">
      <c r="E30" s="63"/>
      <c r="G30" s="63"/>
      <c r="H30" s="63"/>
    </row>
    <row r="31" spans="1:8">
      <c r="B31" t="s">
        <v>330</v>
      </c>
      <c r="E31" s="63"/>
      <c r="G31" s="63"/>
      <c r="H31" s="63"/>
    </row>
    <row r="32" spans="1:8">
      <c r="A32" s="103" t="s">
        <v>331</v>
      </c>
      <c r="B32" s="103"/>
      <c r="C32" s="103"/>
      <c r="D32" s="103"/>
      <c r="E32" s="158"/>
      <c r="G32" s="63"/>
      <c r="H32" s="63"/>
    </row>
    <row r="33" spans="1:8">
      <c r="A33" s="317"/>
      <c r="B33" s="312"/>
      <c r="C33" s="312"/>
      <c r="D33" s="312"/>
      <c r="E33" s="313"/>
      <c r="H33" s="63"/>
    </row>
    <row r="34" spans="1:8">
      <c r="A34" s="317"/>
      <c r="B34" s="312"/>
      <c r="C34" s="314"/>
      <c r="D34" s="312"/>
      <c r="E34" s="312"/>
      <c r="H34" s="63"/>
    </row>
    <row r="35" spans="1:8">
      <c r="A35" s="317"/>
      <c r="B35" s="312"/>
      <c r="C35" s="314"/>
      <c r="D35" s="312"/>
      <c r="E35" s="312"/>
      <c r="H35" s="63"/>
    </row>
    <row r="36" spans="1:8">
      <c r="A36" s="100"/>
      <c r="C36" s="171"/>
      <c r="H36" s="63"/>
    </row>
    <row r="37" spans="1:8">
      <c r="A37" s="172">
        <v>44929</v>
      </c>
      <c r="B37" s="173" t="s">
        <v>332</v>
      </c>
      <c r="C37" s="103"/>
      <c r="D37" s="201">
        <f>SUM(D38:D45)</f>
        <v>3377.9</v>
      </c>
      <c r="E37" s="201">
        <f>SUM(E38:E45)</f>
        <v>3379.06</v>
      </c>
      <c r="H37" s="63"/>
    </row>
    <row r="38" spans="1:8">
      <c r="A38">
        <v>20</v>
      </c>
      <c r="B38" t="s">
        <v>926</v>
      </c>
      <c r="D38">
        <v>557.09</v>
      </c>
      <c r="E38" s="63">
        <v>557</v>
      </c>
      <c r="F38" s="63"/>
      <c r="G38" s="63"/>
    </row>
    <row r="39" spans="1:8">
      <c r="A39">
        <v>50</v>
      </c>
      <c r="B39" t="s">
        <v>334</v>
      </c>
      <c r="D39">
        <v>927.27</v>
      </c>
      <c r="E39" s="63">
        <v>927</v>
      </c>
      <c r="F39" s="63"/>
      <c r="G39" s="63"/>
    </row>
    <row r="40" spans="1:8">
      <c r="A40">
        <v>10</v>
      </c>
      <c r="B40" t="s">
        <v>335</v>
      </c>
      <c r="D40">
        <v>129.21</v>
      </c>
      <c r="E40">
        <v>130</v>
      </c>
      <c r="F40" s="63"/>
      <c r="G40" s="63"/>
    </row>
    <row r="41" spans="1:8">
      <c r="A41">
        <v>20</v>
      </c>
      <c r="B41" t="s">
        <v>336</v>
      </c>
      <c r="D41">
        <v>1380.9</v>
      </c>
      <c r="E41">
        <v>1381</v>
      </c>
      <c r="F41" s="63"/>
      <c r="G41" s="63"/>
    </row>
    <row r="42" spans="1:8">
      <c r="A42">
        <v>30</v>
      </c>
      <c r="B42" t="s">
        <v>337</v>
      </c>
      <c r="D42">
        <v>339.37</v>
      </c>
      <c r="E42">
        <v>340</v>
      </c>
      <c r="F42" s="63"/>
      <c r="G42" s="63"/>
    </row>
    <row r="43" spans="1:8">
      <c r="A43">
        <v>10</v>
      </c>
      <c r="B43" t="s">
        <v>338</v>
      </c>
      <c r="C43" s="106"/>
      <c r="D43" s="106">
        <v>44.06</v>
      </c>
      <c r="E43">
        <v>44.06</v>
      </c>
      <c r="F43" s="63"/>
      <c r="G43" s="63"/>
    </row>
    <row r="44" spans="1:8">
      <c r="C44" s="106"/>
      <c r="E44" s="106"/>
      <c r="F44" s="63"/>
      <c r="G44" s="63"/>
    </row>
    <row r="45" spans="1:8">
      <c r="C45" s="106"/>
      <c r="D45" s="106"/>
      <c r="E45" s="163"/>
      <c r="F45" s="63"/>
      <c r="G45" s="63"/>
    </row>
    <row r="47" spans="1:8">
      <c r="B47" s="17"/>
    </row>
    <row r="48" spans="1:8">
      <c r="B48" s="102"/>
    </row>
    <row r="49" spans="1:8">
      <c r="A49" s="103"/>
      <c r="B49" s="104" t="s">
        <v>83</v>
      </c>
      <c r="C49" s="103"/>
      <c r="D49" s="158"/>
      <c r="E49" s="201">
        <f>SUM(E50:E69)</f>
        <v>-4946.47</v>
      </c>
    </row>
    <row r="50" spans="1:8">
      <c r="A50" s="100">
        <v>44873</v>
      </c>
      <c r="B50" s="8" t="s">
        <v>1060</v>
      </c>
      <c r="C50" s="106"/>
      <c r="D50" s="106" t="s">
        <v>400</v>
      </c>
      <c r="E50" s="163">
        <v>-1111.1099999999999</v>
      </c>
      <c r="F50">
        <v>3</v>
      </c>
      <c r="G50" s="63"/>
      <c r="H50" s="63"/>
    </row>
    <row r="51" spans="1:8">
      <c r="A51" s="100">
        <v>44982</v>
      </c>
      <c r="B51" s="8" t="s">
        <v>1121</v>
      </c>
      <c r="C51">
        <v>659.93</v>
      </c>
      <c r="D51" s="35" t="s">
        <v>989</v>
      </c>
      <c r="E51" s="163">
        <v>-164.98</v>
      </c>
      <c r="F51" s="63"/>
      <c r="G51" s="63"/>
      <c r="H51" s="63"/>
    </row>
    <row r="52" spans="1:8">
      <c r="A52" s="100">
        <v>44995</v>
      </c>
      <c r="B52" s="8" t="s">
        <v>777</v>
      </c>
      <c r="C52">
        <v>613.91</v>
      </c>
      <c r="D52" s="35" t="s">
        <v>1122</v>
      </c>
      <c r="E52" s="163">
        <v>-61.39</v>
      </c>
      <c r="F52" s="63">
        <v>3</v>
      </c>
      <c r="G52" s="63"/>
      <c r="H52" s="63"/>
    </row>
    <row r="53" spans="1:8">
      <c r="A53" s="100">
        <v>44995</v>
      </c>
      <c r="B53" s="8" t="s">
        <v>1123</v>
      </c>
      <c r="C53">
        <v>720.19</v>
      </c>
      <c r="D53" s="321" t="s">
        <v>1124</v>
      </c>
      <c r="E53" s="163">
        <v>-240.06</v>
      </c>
      <c r="F53" s="63"/>
      <c r="G53" s="63"/>
      <c r="H53" s="63"/>
    </row>
    <row r="54" spans="1:8">
      <c r="A54" s="100">
        <v>44995</v>
      </c>
      <c r="B54" s="8" t="s">
        <v>1034</v>
      </c>
      <c r="C54">
        <v>2258.94</v>
      </c>
      <c r="D54" s="35" t="s">
        <v>1125</v>
      </c>
      <c r="E54" s="163">
        <v>-376.49</v>
      </c>
      <c r="F54" s="63">
        <v>3</v>
      </c>
      <c r="G54" s="63"/>
      <c r="H54" s="63"/>
    </row>
    <row r="55" spans="1:8">
      <c r="A55" s="100"/>
      <c r="D55" s="35"/>
      <c r="E55" s="163"/>
      <c r="F55" s="63"/>
      <c r="G55" s="63"/>
      <c r="H55" s="63"/>
    </row>
    <row r="56" spans="1:8">
      <c r="A56" s="100"/>
      <c r="D56" s="35"/>
      <c r="E56" s="163"/>
      <c r="F56" s="63"/>
      <c r="G56" s="63"/>
      <c r="H56" s="63"/>
    </row>
    <row r="57" spans="1:8">
      <c r="A57" s="100">
        <v>45043</v>
      </c>
      <c r="B57" s="106" t="s">
        <v>729</v>
      </c>
      <c r="C57" s="106">
        <v>10764.57</v>
      </c>
      <c r="D57" s="35" t="s">
        <v>994</v>
      </c>
      <c r="E57" s="163">
        <v>-1196.06</v>
      </c>
      <c r="F57" s="63">
        <v>3</v>
      </c>
      <c r="G57" s="63"/>
      <c r="H57" s="63"/>
    </row>
    <row r="58" spans="1:8">
      <c r="A58" s="100">
        <v>45043</v>
      </c>
      <c r="B58" s="106" t="s">
        <v>955</v>
      </c>
      <c r="C58" s="106">
        <v>3299</v>
      </c>
      <c r="D58" s="35" t="s">
        <v>650</v>
      </c>
      <c r="E58" s="163">
        <v>-549.83000000000004</v>
      </c>
      <c r="F58" s="63">
        <v>3</v>
      </c>
      <c r="G58" s="63"/>
      <c r="H58" s="63"/>
    </row>
    <row r="59" spans="1:8">
      <c r="F59" s="63"/>
      <c r="G59" s="63"/>
      <c r="H59" s="63"/>
    </row>
    <row r="60" spans="1:8">
      <c r="A60" s="100">
        <v>45044</v>
      </c>
      <c r="B60" s="8" t="s">
        <v>957</v>
      </c>
      <c r="C60" s="106">
        <v>3123.29</v>
      </c>
      <c r="D60" s="204" t="s">
        <v>650</v>
      </c>
      <c r="E60" s="163">
        <v>-520.54999999999995</v>
      </c>
      <c r="F60" s="63">
        <v>3</v>
      </c>
      <c r="G60" s="63"/>
      <c r="H60" s="63"/>
    </row>
    <row r="61" spans="1:8">
      <c r="A61" s="100"/>
      <c r="C61" s="106"/>
      <c r="D61" s="204"/>
      <c r="E61" s="163"/>
      <c r="F61" s="63"/>
      <c r="G61" s="63"/>
      <c r="H61" s="63"/>
    </row>
    <row r="62" spans="1:8">
      <c r="A62" s="100">
        <v>45043</v>
      </c>
      <c r="B62" s="106" t="s">
        <v>1126</v>
      </c>
      <c r="C62" s="106">
        <v>-476.91</v>
      </c>
      <c r="D62" s="204"/>
      <c r="E62" s="163"/>
      <c r="F62" s="63"/>
      <c r="G62" s="63"/>
      <c r="H62" s="63"/>
    </row>
    <row r="63" spans="1:8">
      <c r="A63" s="100">
        <v>45043</v>
      </c>
      <c r="B63" s="8" t="s">
        <v>1127</v>
      </c>
      <c r="E63" s="163">
        <v>-496</v>
      </c>
    </row>
    <row r="64" spans="1:8">
      <c r="A64" s="100">
        <v>45043</v>
      </c>
      <c r="B64" s="106" t="s">
        <v>1128</v>
      </c>
      <c r="C64" s="106"/>
      <c r="D64" s="106"/>
      <c r="E64" s="163">
        <v>-120</v>
      </c>
    </row>
    <row r="65" spans="1:6">
      <c r="A65" s="100">
        <v>45044</v>
      </c>
      <c r="B65" s="8" t="s">
        <v>1129</v>
      </c>
      <c r="E65" s="163">
        <v>-321</v>
      </c>
      <c r="F65" s="63"/>
    </row>
    <row r="66" spans="1:6">
      <c r="A66" s="100">
        <v>45044</v>
      </c>
      <c r="B66" s="8" t="s">
        <v>1130</v>
      </c>
      <c r="E66" s="163">
        <v>110.52</v>
      </c>
      <c r="F66" s="63"/>
    </row>
    <row r="67" spans="1:6">
      <c r="A67" s="100"/>
      <c r="E67" s="163">
        <v>100.48</v>
      </c>
      <c r="F67" s="63"/>
    </row>
    <row r="68" spans="1:6">
      <c r="A68" s="100">
        <v>45051</v>
      </c>
      <c r="B68" s="8" t="s">
        <v>1131</v>
      </c>
      <c r="C68">
        <v>150</v>
      </c>
      <c r="D68" s="160">
        <v>45107</v>
      </c>
      <c r="E68" s="163"/>
    </row>
    <row r="69" spans="1:6">
      <c r="A69" s="100">
        <v>45062</v>
      </c>
      <c r="B69" s="8" t="s">
        <v>1131</v>
      </c>
      <c r="C69">
        <v>225</v>
      </c>
      <c r="E69" s="163"/>
    </row>
    <row r="70" spans="1:6">
      <c r="A70" s="100">
        <v>45062</v>
      </c>
      <c r="B70" s="8" t="s">
        <v>1131</v>
      </c>
      <c r="C70">
        <v>500</v>
      </c>
      <c r="E70" s="163"/>
    </row>
    <row r="71" spans="1:6">
      <c r="A71" s="100">
        <v>45066</v>
      </c>
      <c r="B71" s="8" t="s">
        <v>1132</v>
      </c>
      <c r="C71">
        <v>-187.19</v>
      </c>
      <c r="E71" s="163"/>
    </row>
    <row r="72" spans="1:6">
      <c r="A72" s="100"/>
      <c r="E72" s="163"/>
    </row>
    <row r="73" spans="1:6">
      <c r="A73" s="100"/>
      <c r="E73" s="163"/>
    </row>
    <row r="74" spans="1:6">
      <c r="A74" s="100"/>
      <c r="E74" s="163"/>
    </row>
    <row r="75" spans="1:6">
      <c r="A75" s="100"/>
      <c r="E75" s="163" t="s">
        <v>84</v>
      </c>
    </row>
    <row r="76" spans="1:6">
      <c r="A76" s="100"/>
      <c r="E76" s="163"/>
    </row>
    <row r="77" spans="1:6">
      <c r="A77" s="100"/>
      <c r="E77" s="163"/>
    </row>
    <row r="78" spans="1:6">
      <c r="A78" s="100"/>
      <c r="E78" s="163"/>
    </row>
    <row r="79" spans="1:6">
      <c r="A79" s="100"/>
      <c r="E79" s="163"/>
    </row>
    <row r="80" spans="1:6">
      <c r="A80" s="100"/>
      <c r="E80" s="163"/>
    </row>
    <row r="81" spans="1:8">
      <c r="A81" s="100"/>
      <c r="E81" s="163"/>
    </row>
    <row r="82" spans="1:8">
      <c r="D82" s="35"/>
    </row>
    <row r="84" spans="1:8">
      <c r="A84" s="103"/>
      <c r="B84" s="104" t="s">
        <v>85</v>
      </c>
      <c r="C84" s="103"/>
      <c r="D84" s="103"/>
      <c r="E84" s="159">
        <f>SUM(E85:E96)</f>
        <v>-1207.42</v>
      </c>
    </row>
    <row r="85" spans="1:8">
      <c r="A85" s="100">
        <v>45044</v>
      </c>
      <c r="B85" s="106" t="s">
        <v>1133</v>
      </c>
      <c r="C85" s="106"/>
      <c r="D85" s="106"/>
      <c r="E85" s="163">
        <v>-140</v>
      </c>
      <c r="F85" s="63" t="s">
        <v>1134</v>
      </c>
      <c r="G85" s="63"/>
      <c r="H85" s="63"/>
    </row>
    <row r="86" spans="1:8">
      <c r="A86" s="100">
        <v>45044</v>
      </c>
      <c r="B86" s="106" t="s">
        <v>1135</v>
      </c>
      <c r="C86" s="106"/>
      <c r="D86" s="106"/>
      <c r="E86" s="163">
        <v>-35.78</v>
      </c>
      <c r="F86" s="63" t="s">
        <v>1134</v>
      </c>
      <c r="G86" s="63"/>
      <c r="H86" s="63"/>
    </row>
    <row r="87" spans="1:8">
      <c r="A87" s="100">
        <v>45045</v>
      </c>
      <c r="B87" s="106" t="s">
        <v>274</v>
      </c>
      <c r="C87" s="106">
        <v>-221.54</v>
      </c>
      <c r="D87" s="106"/>
      <c r="E87" s="163"/>
      <c r="F87" s="63" t="s">
        <v>1134</v>
      </c>
      <c r="G87" s="63"/>
      <c r="H87" s="63"/>
    </row>
    <row r="88" spans="1:8">
      <c r="A88" s="100">
        <v>45023</v>
      </c>
      <c r="B88" s="106" t="s">
        <v>128</v>
      </c>
      <c r="C88" s="106"/>
      <c r="D88" s="106"/>
      <c r="E88" s="163">
        <v>-39.950000000000003</v>
      </c>
      <c r="F88" s="63" t="s">
        <v>1134</v>
      </c>
      <c r="G88" s="63"/>
      <c r="H88" s="63"/>
    </row>
    <row r="89" spans="1:8">
      <c r="A89" s="100">
        <v>45023</v>
      </c>
      <c r="B89" s="106" t="s">
        <v>128</v>
      </c>
      <c r="C89" s="106"/>
      <c r="D89" s="106"/>
      <c r="E89" s="163">
        <v>-154.44999999999999</v>
      </c>
      <c r="F89" s="63" t="s">
        <v>1134</v>
      </c>
      <c r="G89" s="63"/>
      <c r="H89" s="63"/>
    </row>
    <row r="90" spans="1:8">
      <c r="A90" s="100">
        <v>45023</v>
      </c>
      <c r="B90" s="107" t="s">
        <v>128</v>
      </c>
      <c r="E90" s="163">
        <v>-260</v>
      </c>
      <c r="F90" s="63" t="s">
        <v>1134</v>
      </c>
    </row>
    <row r="91" spans="1:8">
      <c r="A91" s="100">
        <v>45026</v>
      </c>
      <c r="B91" s="8" t="s">
        <v>1136</v>
      </c>
      <c r="E91" s="163">
        <v>-140</v>
      </c>
      <c r="F91" s="63" t="s">
        <v>1134</v>
      </c>
    </row>
    <row r="92" spans="1:8">
      <c r="A92" s="100">
        <v>45026</v>
      </c>
      <c r="B92" s="8" t="s">
        <v>1135</v>
      </c>
      <c r="E92" s="163">
        <v>-57.07</v>
      </c>
      <c r="F92" s="63" t="s">
        <v>1134</v>
      </c>
    </row>
    <row r="93" spans="1:8">
      <c r="A93" s="100">
        <v>45026</v>
      </c>
      <c r="B93" s="8" t="s">
        <v>958</v>
      </c>
      <c r="C93">
        <v>1140.99</v>
      </c>
      <c r="D93" s="8" t="s">
        <v>961</v>
      </c>
      <c r="E93" s="163">
        <v>-190.17</v>
      </c>
      <c r="F93" s="8" t="s">
        <v>1134</v>
      </c>
    </row>
    <row r="94" spans="1:8">
      <c r="A94" s="100">
        <v>45061</v>
      </c>
      <c r="B94" s="8" t="s">
        <v>1137</v>
      </c>
      <c r="E94" s="163">
        <v>-190</v>
      </c>
      <c r="F94" s="63" t="s">
        <v>1134</v>
      </c>
    </row>
    <row r="95" spans="1:8">
      <c r="E95" t="s">
        <v>84</v>
      </c>
    </row>
    <row r="96" spans="1:8">
      <c r="D96" s="35"/>
    </row>
    <row r="97" spans="1:5">
      <c r="D97" s="35"/>
    </row>
    <row r="111" spans="1:5">
      <c r="A111" s="113" t="s">
        <v>1138</v>
      </c>
      <c r="B111" s="104" t="s">
        <v>1139</v>
      </c>
      <c r="C111" s="103"/>
      <c r="D111" s="158"/>
      <c r="E111" s="159">
        <f>SUM(E112:E120)</f>
        <v>377425.43</v>
      </c>
    </row>
    <row r="112" spans="1:5">
      <c r="A112" s="100">
        <v>45077</v>
      </c>
      <c r="B112" s="8" t="s">
        <v>77</v>
      </c>
      <c r="C112" s="2"/>
      <c r="D112" s="2"/>
      <c r="E112" s="17">
        <v>64000</v>
      </c>
    </row>
    <row r="113" spans="1:5">
      <c r="A113" s="100">
        <v>45077</v>
      </c>
      <c r="B113" s="8" t="s">
        <v>1074</v>
      </c>
      <c r="C113" s="2">
        <v>1380</v>
      </c>
      <c r="D113" s="2"/>
      <c r="E113" s="17">
        <v>53088</v>
      </c>
    </row>
    <row r="114" spans="1:5">
      <c r="A114" s="100">
        <v>45077</v>
      </c>
      <c r="B114" s="8" t="s">
        <v>305</v>
      </c>
      <c r="C114" s="2"/>
      <c r="D114" s="2"/>
      <c r="E114" s="17">
        <v>28049.84</v>
      </c>
    </row>
    <row r="115" spans="1:5">
      <c r="A115" s="100">
        <v>45077</v>
      </c>
      <c r="B115" s="8" t="s">
        <v>306</v>
      </c>
      <c r="C115" s="2"/>
      <c r="D115" s="2"/>
      <c r="E115" s="17">
        <v>6000.59</v>
      </c>
    </row>
    <row r="116" spans="1:5">
      <c r="A116" s="100">
        <v>45077</v>
      </c>
      <c r="B116" s="8" t="s">
        <v>1011</v>
      </c>
      <c r="C116" s="2">
        <v>1438</v>
      </c>
      <c r="D116" s="2">
        <v>111</v>
      </c>
      <c r="E116" s="17">
        <f>D116*C116</f>
        <v>159618</v>
      </c>
    </row>
    <row r="117" spans="1:5">
      <c r="A117" s="100">
        <v>45077</v>
      </c>
      <c r="B117" s="8" t="s">
        <v>1108</v>
      </c>
      <c r="C117" s="2">
        <v>23.34</v>
      </c>
      <c r="D117" s="2">
        <v>850</v>
      </c>
      <c r="E117" s="17">
        <f>D117*C117</f>
        <v>19839</v>
      </c>
    </row>
    <row r="118" spans="1:5">
      <c r="A118" s="100">
        <v>45077</v>
      </c>
      <c r="B118" s="8" t="s">
        <v>1109</v>
      </c>
      <c r="C118" s="2">
        <v>25.3</v>
      </c>
      <c r="D118" s="2">
        <v>100</v>
      </c>
      <c r="E118" s="17">
        <f>D118*C118</f>
        <v>2530</v>
      </c>
    </row>
    <row r="119" spans="1:5">
      <c r="A119" s="100">
        <v>45077</v>
      </c>
      <c r="B119" s="8" t="s">
        <v>153</v>
      </c>
      <c r="C119" s="2"/>
      <c r="D119" s="2"/>
      <c r="E119" s="17">
        <v>42600</v>
      </c>
    </row>
    <row r="120" spans="1:5">
      <c r="A120" s="100"/>
      <c r="B120" s="8" t="s">
        <v>154</v>
      </c>
      <c r="C120" s="2"/>
      <c r="D120" s="2"/>
      <c r="E120" s="17">
        <v>1700</v>
      </c>
    </row>
    <row r="121" spans="1:5">
      <c r="D121" s="18" t="s">
        <v>1140</v>
      </c>
      <c r="E121" s="63">
        <f>H8</f>
        <v>-5855.47</v>
      </c>
    </row>
    <row r="122" spans="1:5">
      <c r="D122" s="3"/>
    </row>
    <row r="123" spans="1:5">
      <c r="D123" s="18" t="s">
        <v>156</v>
      </c>
      <c r="E123" s="8">
        <f>SUM(E112:E122)</f>
        <v>371569.96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375623"/>
  </sheetPr>
  <dimension ref="A1:H145"/>
  <sheetViews>
    <sheetView topLeftCell="A16" zoomScale="170" zoomScaleNormal="170" workbookViewId="0">
      <selection activeCell="B32" sqref="B32"/>
    </sheetView>
  </sheetViews>
  <sheetFormatPr defaultColWidth="12.28515625" defaultRowHeight="12.75"/>
  <cols>
    <col min="1" max="1" width="12" customWidth="1"/>
    <col min="2" max="2" width="37.85546875" customWidth="1"/>
    <col min="3" max="3" width="9.42578125" customWidth="1"/>
    <col min="4" max="4" width="10.140625" customWidth="1"/>
    <col min="5" max="5" width="10.85546875" customWidth="1"/>
    <col min="6" max="6" width="9.140625" customWidth="1"/>
    <col min="7" max="8" width="10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1141</v>
      </c>
      <c r="C2" s="79" t="s">
        <v>67</v>
      </c>
      <c r="D2" s="306">
        <f>SUM(D4:D40)</f>
        <v>17911</v>
      </c>
      <c r="E2" s="306">
        <f>SUM(E4:E39)</f>
        <v>-20977.52</v>
      </c>
      <c r="F2" s="306">
        <f>SUM(F4:F41)</f>
        <v>19800</v>
      </c>
      <c r="G2" s="306">
        <f>SUM(G4:G41)</f>
        <v>-25248.52</v>
      </c>
      <c r="H2" s="306">
        <f>F2+G2</f>
        <v>-5448.52</v>
      </c>
    </row>
    <row r="3" spans="1:8">
      <c r="B3" s="18"/>
      <c r="H3" s="63"/>
    </row>
    <row r="4" spans="1:8">
      <c r="B4" s="101" t="s">
        <v>80</v>
      </c>
      <c r="C4" s="101"/>
      <c r="D4" s="101"/>
      <c r="E4" s="63">
        <v>-400</v>
      </c>
      <c r="G4" s="63">
        <v>-267</v>
      </c>
      <c r="H4" s="63">
        <f t="shared" ref="H4:H23" si="0">H3+F4+G4</f>
        <v>-267</v>
      </c>
    </row>
    <row r="5" spans="1:8">
      <c r="B5" s="101" t="s">
        <v>81</v>
      </c>
      <c r="C5" s="101"/>
      <c r="D5" s="101"/>
      <c r="E5" s="63">
        <v>-500</v>
      </c>
      <c r="G5" s="63">
        <v>-504</v>
      </c>
      <c r="H5" s="63">
        <f t="shared" si="0"/>
        <v>-771</v>
      </c>
    </row>
    <row r="6" spans="1:8">
      <c r="B6" s="178" t="s">
        <v>72</v>
      </c>
      <c r="D6" s="63"/>
      <c r="E6" s="63">
        <f>D53*-1</f>
        <v>-110</v>
      </c>
      <c r="F6" s="63"/>
      <c r="G6" s="63">
        <v>-110</v>
      </c>
      <c r="H6" s="63">
        <f t="shared" si="0"/>
        <v>-881</v>
      </c>
    </row>
    <row r="7" spans="1:8">
      <c r="B7" s="178" t="s">
        <v>68</v>
      </c>
      <c r="E7" s="63">
        <f>E59</f>
        <v>-4975.71</v>
      </c>
      <c r="F7" s="63"/>
      <c r="G7" s="63">
        <v>-4975.71</v>
      </c>
      <c r="H7" s="63">
        <f t="shared" si="0"/>
        <v>-5856.71</v>
      </c>
    </row>
    <row r="8" spans="1:8">
      <c r="B8" s="178" t="s">
        <v>69</v>
      </c>
      <c r="E8" s="63">
        <f>E80</f>
        <v>-221.54</v>
      </c>
      <c r="G8" s="63">
        <v>-221.54</v>
      </c>
      <c r="H8" s="63">
        <f t="shared" si="0"/>
        <v>-6078.25</v>
      </c>
    </row>
    <row r="9" spans="1:8">
      <c r="A9" s="100">
        <v>45051</v>
      </c>
      <c r="B9" s="101" t="s">
        <v>1142</v>
      </c>
      <c r="C9" s="101"/>
      <c r="D9" s="101"/>
      <c r="E9" s="63">
        <v>-250</v>
      </c>
      <c r="G9" s="63">
        <v>-250</v>
      </c>
      <c r="H9" s="63">
        <f t="shared" si="0"/>
        <v>-6328.25</v>
      </c>
    </row>
    <row r="10" spans="1:8">
      <c r="A10" s="100">
        <v>44933</v>
      </c>
      <c r="B10" s="101" t="s">
        <v>609</v>
      </c>
      <c r="C10" s="101"/>
      <c r="D10" s="101"/>
      <c r="E10" s="63">
        <v>-4300</v>
      </c>
      <c r="G10" s="63">
        <v>-4300</v>
      </c>
      <c r="H10" s="63">
        <f t="shared" si="0"/>
        <v>-10628.25</v>
      </c>
    </row>
    <row r="11" spans="1:8">
      <c r="B11" s="101" t="s">
        <v>608</v>
      </c>
      <c r="C11" s="101"/>
      <c r="D11" s="101"/>
      <c r="E11" s="63">
        <v>-670.27</v>
      </c>
      <c r="F11" s="163"/>
      <c r="G11" s="63">
        <v>-670.27</v>
      </c>
      <c r="H11" s="63">
        <f t="shared" si="0"/>
        <v>-11298.52</v>
      </c>
    </row>
    <row r="12" spans="1:8">
      <c r="B12" s="101" t="s">
        <v>1143</v>
      </c>
      <c r="C12" s="101" t="s">
        <v>328</v>
      </c>
      <c r="D12" s="101"/>
      <c r="E12" s="63">
        <v>-150</v>
      </c>
      <c r="F12" s="163"/>
      <c r="G12" s="63">
        <v>0</v>
      </c>
      <c r="H12" s="63">
        <f t="shared" si="0"/>
        <v>-11298.52</v>
      </c>
    </row>
    <row r="13" spans="1:8">
      <c r="B13" s="106" t="s">
        <v>73</v>
      </c>
      <c r="C13" s="106" t="s">
        <v>328</v>
      </c>
      <c r="D13" s="106"/>
      <c r="E13" s="63">
        <v>-1000</v>
      </c>
      <c r="F13" s="163"/>
      <c r="G13" s="63">
        <v>0</v>
      </c>
      <c r="H13" s="63">
        <f t="shared" si="0"/>
        <v>-11298.52</v>
      </c>
    </row>
    <row r="14" spans="1:8">
      <c r="B14" s="106" t="s">
        <v>74</v>
      </c>
      <c r="C14" s="106" t="s">
        <v>328</v>
      </c>
      <c r="D14" s="106"/>
      <c r="E14" s="63">
        <v>-150</v>
      </c>
      <c r="F14" s="163"/>
      <c r="G14" s="63">
        <v>0</v>
      </c>
      <c r="H14" s="63">
        <f t="shared" si="0"/>
        <v>-11298.52</v>
      </c>
    </row>
    <row r="15" spans="1:8">
      <c r="B15" t="s">
        <v>77</v>
      </c>
      <c r="E15" s="63">
        <v>-2750</v>
      </c>
      <c r="F15" s="63"/>
      <c r="G15" s="63">
        <v>-3500</v>
      </c>
      <c r="H15" s="63">
        <f t="shared" si="0"/>
        <v>-14798.52</v>
      </c>
    </row>
    <row r="16" spans="1:8">
      <c r="B16" t="s">
        <v>78</v>
      </c>
      <c r="E16" s="63">
        <v>-2750</v>
      </c>
      <c r="F16" s="63"/>
      <c r="G16" s="63">
        <v>-3500</v>
      </c>
      <c r="H16" s="63">
        <f t="shared" si="0"/>
        <v>-18298.52</v>
      </c>
    </row>
    <row r="17" spans="1:8">
      <c r="B17" t="s">
        <v>79</v>
      </c>
      <c r="E17" s="63">
        <v>-2750</v>
      </c>
      <c r="F17" s="63"/>
      <c r="G17" s="63">
        <v>-3500</v>
      </c>
      <c r="H17" s="63">
        <f t="shared" si="0"/>
        <v>-21798.52</v>
      </c>
    </row>
    <row r="18" spans="1:8">
      <c r="B18" t="s">
        <v>2</v>
      </c>
      <c r="D18">
        <v>1111</v>
      </c>
      <c r="E18" s="63"/>
      <c r="F18" s="63"/>
      <c r="G18" s="63"/>
      <c r="H18" s="63">
        <f t="shared" si="0"/>
        <v>-21798.52</v>
      </c>
    </row>
    <row r="19" spans="1:8">
      <c r="B19" t="s">
        <v>76</v>
      </c>
      <c r="D19" s="102">
        <v>7500</v>
      </c>
      <c r="F19" s="63">
        <v>7500</v>
      </c>
      <c r="G19" s="63"/>
      <c r="H19" s="63">
        <f t="shared" si="0"/>
        <v>-14298.52</v>
      </c>
    </row>
    <row r="20" spans="1:8">
      <c r="A20" s="165">
        <v>45070</v>
      </c>
      <c r="B20" s="8" t="s">
        <v>677</v>
      </c>
      <c r="D20" s="102">
        <v>2800</v>
      </c>
      <c r="F20" s="63">
        <v>2800</v>
      </c>
      <c r="G20" s="63"/>
      <c r="H20" s="63">
        <f t="shared" si="0"/>
        <v>-11498.52</v>
      </c>
    </row>
    <row r="21" spans="1:8">
      <c r="A21" s="165">
        <v>45080</v>
      </c>
      <c r="B21" s="8" t="s">
        <v>1144</v>
      </c>
      <c r="D21" s="102">
        <v>6500</v>
      </c>
      <c r="F21" s="63">
        <v>6500</v>
      </c>
      <c r="G21" s="63"/>
      <c r="H21" s="63">
        <f t="shared" si="0"/>
        <v>-4998.5200000000004</v>
      </c>
    </row>
    <row r="22" spans="1:8">
      <c r="A22" s="100">
        <v>45061</v>
      </c>
      <c r="B22" s="8" t="s">
        <v>1145</v>
      </c>
      <c r="D22" s="102"/>
      <c r="F22">
        <v>3000</v>
      </c>
      <c r="H22" s="63">
        <f t="shared" si="0"/>
        <v>-1998.5200000000004</v>
      </c>
    </row>
    <row r="23" spans="1:8">
      <c r="A23" s="100">
        <v>45031</v>
      </c>
      <c r="B23" s="8" t="s">
        <v>1120</v>
      </c>
      <c r="D23" s="102"/>
      <c r="F23" s="63"/>
      <c r="G23" s="63">
        <v>-3450</v>
      </c>
      <c r="H23" s="63">
        <f t="shared" si="0"/>
        <v>-5448.52</v>
      </c>
    </row>
    <row r="24" spans="1:8">
      <c r="A24" s="100"/>
      <c r="D24" s="102"/>
      <c r="F24" s="63"/>
      <c r="G24" s="63"/>
      <c r="H24" s="63"/>
    </row>
    <row r="25" spans="1:8">
      <c r="A25" s="100"/>
      <c r="D25" s="102"/>
      <c r="F25" s="63"/>
      <c r="G25" s="63"/>
      <c r="H25" s="63"/>
    </row>
    <row r="26" spans="1:8">
      <c r="A26" s="100"/>
      <c r="D26" s="102"/>
      <c r="F26" s="63"/>
      <c r="G26" s="63"/>
      <c r="H26" s="63"/>
    </row>
    <row r="27" spans="1:8">
      <c r="A27" s="100"/>
      <c r="D27" s="102"/>
      <c r="H27" s="63"/>
    </row>
    <row r="28" spans="1:8">
      <c r="A28" s="100"/>
      <c r="B28" s="101" t="s">
        <v>1146</v>
      </c>
      <c r="C28" s="101"/>
      <c r="D28" s="101"/>
      <c r="E28" s="163"/>
      <c r="H28" s="63"/>
    </row>
    <row r="29" spans="1:8">
      <c r="A29" s="100"/>
      <c r="B29" s="101" t="s">
        <v>1147</v>
      </c>
      <c r="C29" s="101"/>
      <c r="D29" s="101"/>
      <c r="E29" s="163"/>
      <c r="H29" s="63"/>
    </row>
    <row r="30" spans="1:8">
      <c r="A30" s="100"/>
      <c r="B30" s="101" t="s">
        <v>1148</v>
      </c>
      <c r="C30" s="101"/>
      <c r="D30" s="101"/>
      <c r="E30" s="163"/>
      <c r="H30" s="63"/>
    </row>
    <row r="31" spans="1:8">
      <c r="A31" s="100"/>
      <c r="B31" s="101" t="s">
        <v>119</v>
      </c>
      <c r="C31" s="101"/>
      <c r="D31" s="101"/>
      <c r="E31" s="163"/>
      <c r="H31" s="63"/>
    </row>
    <row r="32" spans="1:8">
      <c r="A32" s="100"/>
      <c r="B32" s="101" t="s">
        <v>1149</v>
      </c>
      <c r="C32" s="101" t="s">
        <v>1150</v>
      </c>
      <c r="D32" s="101"/>
      <c r="E32" s="163"/>
      <c r="H32" s="63"/>
    </row>
    <row r="33" spans="1:8">
      <c r="A33" s="100"/>
      <c r="B33" s="8" t="s">
        <v>1151</v>
      </c>
      <c r="C33" s="101"/>
      <c r="D33" s="101"/>
      <c r="E33" s="163"/>
      <c r="H33" s="63"/>
    </row>
    <row r="34" spans="1:8">
      <c r="A34" s="100"/>
      <c r="B34" s="8" t="s">
        <v>1152</v>
      </c>
      <c r="C34" s="101"/>
      <c r="D34" s="101"/>
      <c r="E34" s="163"/>
      <c r="H34" s="63"/>
    </row>
    <row r="35" spans="1:8">
      <c r="A35" s="100"/>
      <c r="B35" s="101" t="s">
        <v>1153</v>
      </c>
      <c r="C35" s="101"/>
      <c r="D35" s="101"/>
      <c r="E35" s="163"/>
      <c r="H35" s="63"/>
    </row>
    <row r="36" spans="1:8">
      <c r="A36" s="100"/>
      <c r="B36" s="101" t="s">
        <v>1154</v>
      </c>
      <c r="C36" s="101"/>
      <c r="D36" s="101"/>
      <c r="E36" s="163"/>
      <c r="H36" s="63"/>
    </row>
    <row r="37" spans="1:8">
      <c r="A37" s="100"/>
      <c r="B37" s="101"/>
      <c r="C37" s="101"/>
      <c r="D37" s="101"/>
      <c r="E37" s="163"/>
      <c r="H37" s="63"/>
    </row>
    <row r="38" spans="1:8">
      <c r="D38" s="63"/>
      <c r="F38" s="63"/>
      <c r="G38" s="63"/>
      <c r="H38" s="63"/>
    </row>
    <row r="39" spans="1:8" ht="15.75">
      <c r="B39" s="179"/>
      <c r="F39" s="63"/>
      <c r="G39" s="63"/>
      <c r="H39" s="63"/>
    </row>
    <row r="40" spans="1:8">
      <c r="E40" s="63"/>
      <c r="G40" s="63"/>
      <c r="H40" s="63"/>
    </row>
    <row r="41" spans="1:8">
      <c r="B41" t="s">
        <v>330</v>
      </c>
      <c r="E41" s="63"/>
      <c r="G41" s="63"/>
      <c r="H41" s="63"/>
    </row>
    <row r="42" spans="1:8">
      <c r="A42" s="103" t="s">
        <v>331</v>
      </c>
      <c r="B42" s="103"/>
      <c r="C42" s="103"/>
      <c r="D42" s="103"/>
      <c r="E42" s="158"/>
      <c r="G42" s="63"/>
      <c r="H42" s="63"/>
    </row>
    <row r="43" spans="1:8">
      <c r="A43" s="317"/>
      <c r="B43" s="312"/>
      <c r="C43" s="312"/>
      <c r="D43" s="312"/>
      <c r="E43" s="313"/>
      <c r="H43" s="63"/>
    </row>
    <row r="44" spans="1:8">
      <c r="A44" s="317"/>
      <c r="B44" s="312"/>
      <c r="C44" s="314"/>
      <c r="D44" s="312"/>
      <c r="E44" s="312"/>
      <c r="H44" s="63"/>
    </row>
    <row r="45" spans="1:8">
      <c r="A45" s="317"/>
      <c r="B45" s="312"/>
      <c r="C45" s="314"/>
      <c r="D45" s="312"/>
      <c r="E45" s="312"/>
      <c r="H45" s="63"/>
    </row>
    <row r="46" spans="1:8">
      <c r="A46" s="100"/>
      <c r="C46" s="171"/>
      <c r="H46" s="63"/>
    </row>
    <row r="47" spans="1:8">
      <c r="A47" s="172">
        <v>44929</v>
      </c>
      <c r="B47" s="173" t="s">
        <v>332</v>
      </c>
      <c r="C47" s="103"/>
      <c r="D47" s="201">
        <f>SUM(D48:D55)</f>
        <v>2838.0099999999998</v>
      </c>
      <c r="E47" s="201">
        <f>SUM(E48:E55)</f>
        <v>2839.5</v>
      </c>
      <c r="H47" s="63"/>
    </row>
    <row r="48" spans="1:8">
      <c r="B48" t="s">
        <v>926</v>
      </c>
      <c r="D48">
        <v>509.04</v>
      </c>
      <c r="E48" s="63">
        <v>510</v>
      </c>
      <c r="F48" s="63"/>
      <c r="G48" s="63"/>
    </row>
    <row r="49" spans="1:8">
      <c r="B49" t="s">
        <v>334</v>
      </c>
      <c r="D49">
        <v>938.46</v>
      </c>
      <c r="E49" s="63">
        <v>938.5</v>
      </c>
      <c r="F49" s="63"/>
      <c r="G49" s="63"/>
    </row>
    <row r="50" spans="1:8">
      <c r="B50" t="s">
        <v>335</v>
      </c>
      <c r="D50">
        <v>126.34</v>
      </c>
      <c r="E50">
        <v>126</v>
      </c>
      <c r="F50" s="63"/>
      <c r="G50" s="63"/>
    </row>
    <row r="51" spans="1:8">
      <c r="B51" t="s">
        <v>336</v>
      </c>
      <c r="D51">
        <v>934.05</v>
      </c>
      <c r="E51">
        <v>935</v>
      </c>
      <c r="F51" s="63"/>
      <c r="G51" s="63"/>
    </row>
    <row r="52" spans="1:8">
      <c r="B52" t="s">
        <v>337</v>
      </c>
      <c r="D52">
        <v>220.12</v>
      </c>
      <c r="E52">
        <v>220</v>
      </c>
      <c r="F52" s="63"/>
      <c r="G52" s="63"/>
    </row>
    <row r="53" spans="1:8">
      <c r="B53" t="s">
        <v>338</v>
      </c>
      <c r="C53" s="106"/>
      <c r="D53" s="106">
        <v>110</v>
      </c>
      <c r="E53">
        <v>110</v>
      </c>
      <c r="F53" s="63"/>
      <c r="G53" s="63"/>
    </row>
    <row r="54" spans="1:8">
      <c r="C54" s="106"/>
      <c r="E54" s="106"/>
      <c r="F54" s="63"/>
      <c r="G54" s="63"/>
    </row>
    <row r="55" spans="1:8">
      <c r="C55" s="106"/>
      <c r="D55" s="106"/>
      <c r="E55" s="163"/>
      <c r="F55" s="63"/>
      <c r="G55" s="63"/>
    </row>
    <row r="57" spans="1:8">
      <c r="B57" s="17"/>
    </row>
    <row r="58" spans="1:8">
      <c r="B58" s="102"/>
    </row>
    <row r="59" spans="1:8">
      <c r="A59" s="103"/>
      <c r="B59" s="104" t="s">
        <v>83</v>
      </c>
      <c r="C59" s="103"/>
      <c r="D59" s="158"/>
      <c r="E59" s="159">
        <f>SUM(E60:E77)</f>
        <v>-4975.71</v>
      </c>
    </row>
    <row r="60" spans="1:8">
      <c r="A60" s="100">
        <v>44873</v>
      </c>
      <c r="B60" s="8" t="s">
        <v>1060</v>
      </c>
      <c r="C60" s="106"/>
      <c r="D60" s="106" t="s">
        <v>680</v>
      </c>
      <c r="E60" s="163">
        <v>-1111.1099999999999</v>
      </c>
      <c r="G60" s="63"/>
      <c r="H60" s="63"/>
    </row>
    <row r="61" spans="1:8">
      <c r="A61" s="100">
        <v>45016</v>
      </c>
      <c r="B61" s="8" t="s">
        <v>823</v>
      </c>
      <c r="C61">
        <v>437.97</v>
      </c>
      <c r="D61" s="35" t="s">
        <v>1124</v>
      </c>
      <c r="E61" s="163">
        <v>-145.99</v>
      </c>
      <c r="F61" s="63"/>
      <c r="G61" s="63"/>
      <c r="H61" s="63"/>
    </row>
    <row r="62" spans="1:8">
      <c r="A62" s="100">
        <v>45016</v>
      </c>
      <c r="B62" s="8" t="s">
        <v>824</v>
      </c>
      <c r="C62">
        <v>404.23</v>
      </c>
      <c r="D62" s="35" t="s">
        <v>1124</v>
      </c>
      <c r="E62" s="163">
        <v>-134.75</v>
      </c>
      <c r="F62" s="63"/>
      <c r="G62" s="63"/>
      <c r="H62" s="63"/>
    </row>
    <row r="63" spans="1:8">
      <c r="A63" s="100">
        <v>45016</v>
      </c>
      <c r="B63" s="8" t="s">
        <v>825</v>
      </c>
      <c r="C63">
        <v>1135</v>
      </c>
      <c r="D63" s="35" t="s">
        <v>1124</v>
      </c>
      <c r="E63" s="163">
        <v>-378.34</v>
      </c>
      <c r="F63" s="63"/>
      <c r="G63" s="63"/>
      <c r="H63" s="63"/>
    </row>
    <row r="64" spans="1:8">
      <c r="A64" s="100">
        <v>44982</v>
      </c>
      <c r="B64" s="8" t="s">
        <v>1121</v>
      </c>
      <c r="C64">
        <v>659.93</v>
      </c>
      <c r="D64" s="35" t="s">
        <v>1035</v>
      </c>
      <c r="E64" s="163">
        <v>-164.98</v>
      </c>
      <c r="F64" s="63"/>
      <c r="G64" s="63"/>
      <c r="H64" s="63"/>
    </row>
    <row r="65" spans="1:8">
      <c r="A65" s="100">
        <v>44995</v>
      </c>
      <c r="B65" s="8" t="s">
        <v>1123</v>
      </c>
      <c r="C65">
        <v>720.19</v>
      </c>
      <c r="D65" s="321" t="s">
        <v>1155</v>
      </c>
      <c r="E65" s="163">
        <v>-240.06</v>
      </c>
      <c r="F65" s="63"/>
      <c r="G65" s="63"/>
      <c r="H65" s="63"/>
    </row>
    <row r="66" spans="1:8">
      <c r="A66" s="100">
        <v>44995</v>
      </c>
      <c r="B66" s="8" t="s">
        <v>777</v>
      </c>
      <c r="C66">
        <v>613.91</v>
      </c>
      <c r="D66" s="35" t="s">
        <v>1156</v>
      </c>
      <c r="E66" s="163">
        <v>-61.39</v>
      </c>
      <c r="F66" s="63"/>
      <c r="G66" s="63"/>
      <c r="H66" s="63"/>
    </row>
    <row r="67" spans="1:8">
      <c r="A67" s="100">
        <v>44995</v>
      </c>
      <c r="B67" s="8" t="s">
        <v>1034</v>
      </c>
      <c r="C67">
        <v>2258.94</v>
      </c>
      <c r="D67" s="35" t="s">
        <v>611</v>
      </c>
      <c r="E67" s="163">
        <v>-376.49</v>
      </c>
      <c r="F67" s="63"/>
      <c r="G67" s="63"/>
      <c r="H67" s="63"/>
    </row>
    <row r="68" spans="1:8">
      <c r="A68" s="100">
        <v>45013</v>
      </c>
      <c r="B68" s="106" t="s">
        <v>1157</v>
      </c>
      <c r="C68" s="106"/>
      <c r="D68" s="106"/>
      <c r="E68" s="163">
        <v>-800</v>
      </c>
      <c r="F68" s="63"/>
      <c r="G68" s="63"/>
      <c r="H68" s="63"/>
    </row>
    <row r="69" spans="1:8">
      <c r="A69" s="100">
        <v>45013</v>
      </c>
      <c r="B69" s="8" t="s">
        <v>1158</v>
      </c>
      <c r="C69" s="106"/>
      <c r="D69" s="106"/>
      <c r="E69" s="163">
        <v>-294.89999999999998</v>
      </c>
      <c r="F69" s="63"/>
      <c r="G69" s="63"/>
      <c r="H69" s="63"/>
    </row>
    <row r="70" spans="1:8">
      <c r="A70" s="100">
        <v>45015</v>
      </c>
      <c r="B70" s="8" t="s">
        <v>1159</v>
      </c>
      <c r="E70" s="163">
        <v>-291.8</v>
      </c>
    </row>
    <row r="71" spans="1:8">
      <c r="A71" s="100">
        <v>45025</v>
      </c>
      <c r="E71" s="163">
        <v>-77.52</v>
      </c>
    </row>
    <row r="72" spans="1:8">
      <c r="A72" s="100">
        <v>45025</v>
      </c>
      <c r="B72" s="8" t="s">
        <v>419</v>
      </c>
      <c r="E72" s="163">
        <v>-158.63999999999999</v>
      </c>
    </row>
    <row r="73" spans="1:8">
      <c r="A73" s="100">
        <v>45037</v>
      </c>
      <c r="B73" s="8" t="s">
        <v>1063</v>
      </c>
      <c r="D73" s="35"/>
      <c r="E73" s="163">
        <v>-100</v>
      </c>
    </row>
    <row r="74" spans="1:8">
      <c r="A74" s="100">
        <v>45037</v>
      </c>
      <c r="B74" s="8" t="s">
        <v>1063</v>
      </c>
      <c r="E74" s="163">
        <v>-15</v>
      </c>
    </row>
    <row r="75" spans="1:8">
      <c r="A75" s="100">
        <v>45039</v>
      </c>
      <c r="B75" s="8" t="s">
        <v>1160</v>
      </c>
      <c r="E75" s="163">
        <v>-430</v>
      </c>
    </row>
    <row r="76" spans="1:8">
      <c r="A76" s="100">
        <v>45040</v>
      </c>
      <c r="B76" s="8" t="s">
        <v>1161</v>
      </c>
      <c r="E76" s="163">
        <v>-69.739999999999995</v>
      </c>
    </row>
    <row r="77" spans="1:8">
      <c r="A77" s="100">
        <v>45040</v>
      </c>
      <c r="B77" s="8" t="s">
        <v>1162</v>
      </c>
      <c r="E77" s="163">
        <v>-125</v>
      </c>
    </row>
    <row r="78" spans="1:8">
      <c r="A78" s="100"/>
      <c r="E78" s="163" t="s">
        <v>1163</v>
      </c>
    </row>
    <row r="80" spans="1:8">
      <c r="A80" s="103"/>
      <c r="B80" s="104" t="s">
        <v>85</v>
      </c>
      <c r="C80" s="103"/>
      <c r="D80" s="103"/>
      <c r="E80" s="201">
        <f>SUM(E81:E106)</f>
        <v>-221.54</v>
      </c>
    </row>
    <row r="81" spans="1:8">
      <c r="A81" s="100">
        <v>45013</v>
      </c>
      <c r="B81" s="106" t="s">
        <v>1164</v>
      </c>
      <c r="C81" s="106"/>
      <c r="D81" s="106"/>
      <c r="E81" s="163">
        <v>-221.54</v>
      </c>
      <c r="F81" s="63"/>
      <c r="G81" s="63"/>
      <c r="H81" s="63"/>
    </row>
    <row r="82" spans="1:8">
      <c r="A82" s="100"/>
      <c r="B82" s="106"/>
      <c r="C82" s="106"/>
      <c r="D82" s="106"/>
      <c r="E82" s="163" t="s">
        <v>1163</v>
      </c>
      <c r="F82" s="63"/>
      <c r="G82" s="63"/>
      <c r="H82" s="63"/>
    </row>
    <row r="83" spans="1:8">
      <c r="A83" s="100"/>
      <c r="B83" s="106"/>
      <c r="C83" s="106"/>
      <c r="D83" s="106"/>
      <c r="E83" s="163"/>
      <c r="F83" s="63"/>
      <c r="G83" s="63"/>
      <c r="H83" s="63"/>
    </row>
    <row r="84" spans="1:8">
      <c r="A84" s="100"/>
      <c r="B84" s="106"/>
      <c r="C84" s="106"/>
      <c r="D84" s="106"/>
      <c r="E84" s="163"/>
      <c r="F84" s="63"/>
      <c r="G84" s="63"/>
      <c r="H84" s="63"/>
    </row>
    <row r="85" spans="1:8">
      <c r="A85" s="100"/>
      <c r="B85" s="106"/>
      <c r="C85" s="106"/>
      <c r="D85" s="106"/>
      <c r="E85" s="163"/>
      <c r="F85" s="63"/>
      <c r="G85" s="63"/>
      <c r="H85" s="63"/>
    </row>
    <row r="86" spans="1:8">
      <c r="A86" s="100"/>
      <c r="B86" s="106"/>
      <c r="C86" s="106"/>
      <c r="D86" s="106"/>
      <c r="E86" s="163"/>
      <c r="F86" s="63"/>
      <c r="G86" s="63"/>
      <c r="H86" s="63"/>
    </row>
    <row r="87" spans="1:8">
      <c r="A87" s="100"/>
      <c r="B87" s="106"/>
      <c r="C87" s="106"/>
      <c r="D87" s="106"/>
      <c r="E87" s="163"/>
      <c r="F87" s="63"/>
      <c r="G87" s="63"/>
      <c r="H87" s="63"/>
    </row>
    <row r="88" spans="1:8">
      <c r="A88" s="100"/>
      <c r="B88" s="106"/>
      <c r="C88" s="106"/>
      <c r="D88" s="106"/>
      <c r="E88" s="163"/>
      <c r="F88" s="63"/>
      <c r="G88" s="63"/>
      <c r="H88" s="63"/>
    </row>
    <row r="89" spans="1:8">
      <c r="A89" s="100"/>
      <c r="B89" s="106"/>
      <c r="C89" s="106"/>
      <c r="D89" s="106"/>
      <c r="E89" s="163"/>
      <c r="F89" s="63"/>
      <c r="G89" s="63"/>
      <c r="H89" s="63"/>
    </row>
    <row r="90" spans="1:8">
      <c r="A90" s="100"/>
      <c r="B90" s="106"/>
      <c r="C90" s="106"/>
      <c r="D90" s="106"/>
      <c r="E90" s="163"/>
      <c r="F90" s="63"/>
      <c r="G90" s="63"/>
      <c r="H90" s="63"/>
    </row>
    <row r="91" spans="1:8">
      <c r="A91" s="100"/>
      <c r="B91" s="106"/>
      <c r="C91" s="106"/>
      <c r="D91" s="106"/>
      <c r="E91" s="163"/>
      <c r="F91" s="63"/>
      <c r="G91" s="63"/>
      <c r="H91" s="63"/>
    </row>
    <row r="92" spans="1:8">
      <c r="A92" s="100"/>
      <c r="B92" s="106"/>
      <c r="C92" s="106"/>
      <c r="D92" s="106"/>
      <c r="E92" s="163"/>
      <c r="F92" s="63"/>
      <c r="G92" s="63"/>
      <c r="H92" s="63"/>
    </row>
    <row r="93" spans="1:8">
      <c r="A93" s="100"/>
      <c r="B93" s="106"/>
      <c r="C93" s="106"/>
      <c r="D93" s="106"/>
      <c r="E93" s="163"/>
      <c r="F93" s="63"/>
      <c r="G93" s="63"/>
      <c r="H93" s="63"/>
    </row>
    <row r="94" spans="1:8">
      <c r="A94" s="100"/>
      <c r="B94" s="106"/>
      <c r="C94" s="106"/>
      <c r="D94" s="106"/>
      <c r="E94" s="163"/>
      <c r="F94" s="63"/>
      <c r="G94" s="63"/>
      <c r="H94" s="63"/>
    </row>
    <row r="95" spans="1:8">
      <c r="A95" s="100"/>
      <c r="B95" s="106"/>
      <c r="C95" s="106"/>
      <c r="D95" s="106"/>
      <c r="E95" s="163"/>
      <c r="F95" s="63"/>
      <c r="G95" s="63"/>
      <c r="H95" s="63"/>
    </row>
    <row r="96" spans="1:8">
      <c r="A96" s="100"/>
      <c r="B96" s="106"/>
      <c r="C96" s="106"/>
      <c r="D96" s="106"/>
      <c r="E96" s="163"/>
      <c r="F96" s="63"/>
      <c r="G96" s="63"/>
      <c r="H96" s="63"/>
    </row>
    <row r="97" spans="1:8">
      <c r="A97" s="100"/>
      <c r="B97" s="106"/>
      <c r="C97" s="106"/>
      <c r="D97" s="106"/>
      <c r="E97" s="163"/>
      <c r="F97" s="63"/>
      <c r="G97" s="63"/>
      <c r="H97" s="63"/>
    </row>
    <row r="98" spans="1:8">
      <c r="A98" s="100"/>
      <c r="B98" s="106"/>
      <c r="C98" s="106"/>
      <c r="D98" s="106"/>
      <c r="E98" s="163"/>
      <c r="F98" s="63"/>
      <c r="G98" s="63"/>
      <c r="H98" s="63"/>
    </row>
    <row r="99" spans="1:8">
      <c r="A99" s="100"/>
      <c r="B99" s="106"/>
      <c r="C99" s="106"/>
      <c r="D99" s="106"/>
      <c r="E99" s="163"/>
      <c r="F99" s="63"/>
      <c r="G99" s="63"/>
      <c r="H99" s="63"/>
    </row>
    <row r="100" spans="1:8">
      <c r="A100" s="100"/>
      <c r="B100" s="106"/>
      <c r="C100" s="106"/>
      <c r="D100" s="106"/>
      <c r="E100" s="163"/>
      <c r="F100" s="63"/>
      <c r="G100" s="63"/>
      <c r="H100" s="63"/>
    </row>
    <row r="101" spans="1:8">
      <c r="A101" s="100"/>
      <c r="B101" s="106"/>
      <c r="C101" s="106"/>
      <c r="D101" s="106"/>
      <c r="E101" s="163"/>
      <c r="F101" s="63"/>
      <c r="G101" s="63"/>
      <c r="H101" s="63"/>
    </row>
    <row r="102" spans="1:8">
      <c r="A102" s="100"/>
      <c r="B102" s="106"/>
      <c r="C102" s="106"/>
      <c r="D102" s="106"/>
      <c r="E102" s="163"/>
      <c r="F102" s="63"/>
      <c r="G102" s="63"/>
      <c r="H102" s="63"/>
    </row>
    <row r="103" spans="1:8">
      <c r="A103" s="100"/>
      <c r="B103" s="106"/>
      <c r="C103" s="106"/>
      <c r="D103" s="106"/>
      <c r="E103" s="163"/>
      <c r="F103" s="63"/>
      <c r="G103" s="63"/>
      <c r="H103" s="63"/>
    </row>
    <row r="104" spans="1:8">
      <c r="A104" s="100"/>
      <c r="B104" s="106"/>
      <c r="C104" s="106"/>
      <c r="D104" s="106"/>
      <c r="E104" s="163"/>
      <c r="F104" s="63"/>
      <c r="G104" s="63"/>
      <c r="H104" s="63"/>
    </row>
    <row r="105" spans="1:8">
      <c r="A105" s="100"/>
      <c r="B105" s="106"/>
      <c r="C105" s="106"/>
      <c r="D105" s="106"/>
      <c r="E105" s="163"/>
      <c r="F105" s="63"/>
      <c r="G105" s="63"/>
      <c r="H105" s="63"/>
    </row>
    <row r="106" spans="1:8">
      <c r="A106" s="100"/>
      <c r="B106" s="106"/>
      <c r="C106" s="106"/>
      <c r="D106" s="106"/>
      <c r="E106" s="163"/>
      <c r="F106" s="63"/>
      <c r="G106" s="63"/>
      <c r="H106" s="63"/>
    </row>
    <row r="107" spans="1:8">
      <c r="A107" s="100"/>
      <c r="B107" s="106"/>
      <c r="C107" s="106"/>
      <c r="D107" s="106"/>
      <c r="E107" s="163"/>
      <c r="F107" s="63"/>
      <c r="G107" s="63"/>
      <c r="H107" s="63"/>
    </row>
    <row r="108" spans="1:8">
      <c r="A108" s="100"/>
      <c r="B108" s="107"/>
      <c r="E108" s="163"/>
    </row>
    <row r="111" spans="1:8">
      <c r="A111" s="113" t="s">
        <v>1165</v>
      </c>
      <c r="B111" s="104" t="s">
        <v>1139</v>
      </c>
      <c r="C111" s="103"/>
      <c r="D111" s="158"/>
      <c r="E111" s="159">
        <f>SUM(E112:E120)</f>
        <v>358028.33999999997</v>
      </c>
    </row>
    <row r="112" spans="1:8">
      <c r="A112" s="100">
        <v>45077</v>
      </c>
      <c r="B112" s="8" t="s">
        <v>77</v>
      </c>
      <c r="C112" s="2"/>
      <c r="D112" s="2"/>
      <c r="E112" s="17">
        <v>64000</v>
      </c>
    </row>
    <row r="113" spans="1:5">
      <c r="A113" s="100">
        <v>45077</v>
      </c>
      <c r="B113" s="8" t="s">
        <v>1074</v>
      </c>
      <c r="C113" s="2"/>
      <c r="D113" s="2"/>
      <c r="E113" s="17">
        <v>53088</v>
      </c>
    </row>
    <row r="114" spans="1:5">
      <c r="A114" s="100">
        <v>45077</v>
      </c>
      <c r="B114" s="8" t="s">
        <v>305</v>
      </c>
      <c r="C114" s="2"/>
      <c r="D114" s="2"/>
      <c r="E114" s="17">
        <v>28049.84</v>
      </c>
    </row>
    <row r="115" spans="1:5">
      <c r="A115" s="100">
        <v>45077</v>
      </c>
      <c r="B115" s="8" t="s">
        <v>306</v>
      </c>
      <c r="C115" s="2"/>
      <c r="D115" s="2"/>
      <c r="E115" s="17">
        <v>6000.59</v>
      </c>
    </row>
    <row r="116" spans="1:5">
      <c r="A116" s="100">
        <v>45077</v>
      </c>
      <c r="B116" s="8" t="s">
        <v>1011</v>
      </c>
      <c r="C116" s="2">
        <v>1288.25</v>
      </c>
      <c r="D116" s="2">
        <v>111</v>
      </c>
      <c r="E116" s="17">
        <f>D116*C116</f>
        <v>142995.75</v>
      </c>
    </row>
    <row r="117" spans="1:5">
      <c r="A117" s="100">
        <v>45077</v>
      </c>
      <c r="B117" s="8" t="s">
        <v>1108</v>
      </c>
      <c r="C117" s="2">
        <v>20.475200000000001</v>
      </c>
      <c r="D117" s="2">
        <v>850</v>
      </c>
      <c r="E117" s="17">
        <f>D117*C117</f>
        <v>17403.920000000002</v>
      </c>
    </row>
    <row r="118" spans="1:5">
      <c r="A118" s="100">
        <v>45077</v>
      </c>
      <c r="B118" s="8" t="s">
        <v>1109</v>
      </c>
      <c r="C118" s="2">
        <v>21.9024</v>
      </c>
      <c r="D118" s="2">
        <v>100</v>
      </c>
      <c r="E118" s="17">
        <f>D118*C118</f>
        <v>2190.2399999999998</v>
      </c>
    </row>
    <row r="119" spans="1:5">
      <c r="A119" s="100">
        <v>45077</v>
      </c>
      <c r="B119" s="8" t="s">
        <v>153</v>
      </c>
      <c r="C119" s="2"/>
      <c r="D119" s="2"/>
      <c r="E119" s="17">
        <v>42600</v>
      </c>
    </row>
    <row r="120" spans="1:5">
      <c r="A120" s="100"/>
      <c r="B120" s="8" t="s">
        <v>154</v>
      </c>
      <c r="C120" s="2"/>
      <c r="D120" s="2"/>
      <c r="E120" s="17">
        <v>1700</v>
      </c>
    </row>
    <row r="121" spans="1:5">
      <c r="D121" s="18" t="s">
        <v>1140</v>
      </c>
      <c r="E121" s="63">
        <f>H3</f>
        <v>0</v>
      </c>
    </row>
    <row r="122" spans="1:5">
      <c r="D122" s="3"/>
    </row>
    <row r="123" spans="1:5">
      <c r="D123" s="18" t="s">
        <v>156</v>
      </c>
      <c r="E123" s="8">
        <f>SUM(E112:E122)</f>
        <v>358028.33999999997</v>
      </c>
    </row>
    <row r="133" spans="1:5">
      <c r="A133" s="103"/>
      <c r="B133" s="104"/>
      <c r="C133" s="103"/>
      <c r="D133" s="158"/>
      <c r="E133" s="159"/>
    </row>
    <row r="134" spans="1:5">
      <c r="A134" s="100"/>
      <c r="C134" s="2"/>
      <c r="D134" s="2"/>
      <c r="E134" s="17"/>
    </row>
    <row r="135" spans="1:5">
      <c r="A135" s="100"/>
      <c r="C135" s="2"/>
      <c r="D135" s="2"/>
      <c r="E135" s="17"/>
    </row>
    <row r="136" spans="1:5">
      <c r="A136" s="100"/>
      <c r="C136" s="2"/>
      <c r="D136" s="2"/>
      <c r="E136" s="17"/>
    </row>
    <row r="137" spans="1:5">
      <c r="A137" s="100"/>
      <c r="C137" s="2"/>
      <c r="D137" s="2"/>
      <c r="E137" s="17"/>
    </row>
    <row r="138" spans="1:5">
      <c r="A138" s="100"/>
      <c r="C138" s="2"/>
      <c r="D138" s="2"/>
      <c r="E138" s="17"/>
    </row>
    <row r="139" spans="1:5">
      <c r="A139" s="100"/>
      <c r="C139" s="2"/>
      <c r="D139" s="2"/>
      <c r="E139" s="17"/>
    </row>
    <row r="140" spans="1:5">
      <c r="A140" s="100"/>
      <c r="C140" s="2"/>
      <c r="D140" s="2"/>
      <c r="E140" s="17"/>
    </row>
    <row r="141" spans="1:5">
      <c r="A141" s="100"/>
      <c r="C141" s="2"/>
      <c r="D141" s="2"/>
      <c r="E141" s="17"/>
    </row>
    <row r="142" spans="1:5">
      <c r="A142" s="100"/>
      <c r="C142" s="2"/>
      <c r="D142" s="2"/>
      <c r="E142" s="17"/>
    </row>
    <row r="143" spans="1:5">
      <c r="D143" s="18"/>
      <c r="E143" s="63"/>
    </row>
    <row r="144" spans="1:5">
      <c r="D144" s="3"/>
    </row>
    <row r="145" spans="4:4">
      <c r="D145" s="18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395511"/>
  </sheetPr>
  <dimension ref="A1:H123"/>
  <sheetViews>
    <sheetView zoomScale="170" zoomScaleNormal="170" workbookViewId="0">
      <selection activeCell="A8" sqref="A8"/>
    </sheetView>
  </sheetViews>
  <sheetFormatPr defaultColWidth="12.28515625" defaultRowHeight="12.75"/>
  <cols>
    <col min="1" max="1" width="12" customWidth="1"/>
    <col min="2" max="2" width="30" customWidth="1"/>
    <col min="3" max="3" width="9.42578125" customWidth="1"/>
    <col min="4" max="4" width="10.140625" customWidth="1"/>
    <col min="5" max="5" width="10.85546875" customWidth="1"/>
    <col min="6" max="6" width="9.42578125" customWidth="1"/>
    <col min="7" max="7" width="11.140625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1166</v>
      </c>
      <c r="C2" s="79" t="s">
        <v>67</v>
      </c>
      <c r="D2" s="306">
        <f>SUM(D4:D35)</f>
        <v>20911</v>
      </c>
      <c r="E2" s="306">
        <f>SUM(E4:E26)</f>
        <v>-54277.093000000001</v>
      </c>
      <c r="F2" s="306">
        <f>SUM(F4:F36)</f>
        <v>72630</v>
      </c>
      <c r="G2" s="306">
        <f>SUM(G4:G36)</f>
        <v>-58332.79</v>
      </c>
      <c r="H2" s="306">
        <f>F2+G2</f>
        <v>14297.21</v>
      </c>
    </row>
    <row r="3" spans="1:8">
      <c r="B3" s="18"/>
      <c r="H3" s="63"/>
    </row>
    <row r="4" spans="1:8">
      <c r="B4" s="101" t="s">
        <v>80</v>
      </c>
      <c r="C4" s="101"/>
      <c r="D4" s="101"/>
      <c r="E4" s="63">
        <v>-400</v>
      </c>
      <c r="G4" s="63">
        <v>-207</v>
      </c>
      <c r="H4" s="63">
        <f t="shared" ref="H4:H30" si="0">H3+F4+G4</f>
        <v>-207</v>
      </c>
    </row>
    <row r="5" spans="1:8">
      <c r="B5" s="101" t="s">
        <v>81</v>
      </c>
      <c r="C5" s="101"/>
      <c r="D5" s="101"/>
      <c r="E5" s="63">
        <v>-500</v>
      </c>
      <c r="G5" s="63">
        <v>-456</v>
      </c>
      <c r="H5" s="63">
        <f t="shared" si="0"/>
        <v>-663</v>
      </c>
    </row>
    <row r="6" spans="1:8">
      <c r="A6" s="100">
        <v>45019</v>
      </c>
      <c r="B6" s="101" t="s">
        <v>638</v>
      </c>
      <c r="C6" s="101"/>
      <c r="D6" s="101"/>
      <c r="E6" s="63">
        <v>-4300</v>
      </c>
      <c r="G6" s="63">
        <v>-4300</v>
      </c>
      <c r="H6" s="63">
        <f t="shared" si="0"/>
        <v>-4963</v>
      </c>
    </row>
    <row r="7" spans="1:8">
      <c r="A7" s="100">
        <v>45019</v>
      </c>
      <c r="B7" s="101" t="s">
        <v>632</v>
      </c>
      <c r="C7" s="101"/>
      <c r="D7" s="101"/>
      <c r="E7" s="63">
        <v>-674.74</v>
      </c>
      <c r="F7" s="163"/>
      <c r="G7" s="63">
        <v>-670.27</v>
      </c>
      <c r="H7" s="63">
        <f t="shared" si="0"/>
        <v>-5633.27</v>
      </c>
    </row>
    <row r="8" spans="1:8">
      <c r="A8" s="100" t="s">
        <v>1167</v>
      </c>
      <c r="B8" s="101" t="s">
        <v>75</v>
      </c>
      <c r="C8" s="101"/>
      <c r="D8" s="101"/>
      <c r="E8" s="63">
        <v>-150</v>
      </c>
      <c r="F8" s="163"/>
      <c r="G8" s="63">
        <v>-139.9</v>
      </c>
      <c r="H8" s="63">
        <f t="shared" si="0"/>
        <v>-5773.17</v>
      </c>
    </row>
    <row r="9" spans="1:8">
      <c r="B9" s="106" t="s">
        <v>73</v>
      </c>
      <c r="C9" s="106"/>
      <c r="D9" s="106"/>
      <c r="E9" s="63">
        <v>-1000</v>
      </c>
      <c r="F9" s="63"/>
      <c r="G9" s="63">
        <v>-1148</v>
      </c>
      <c r="H9" s="63">
        <f t="shared" si="0"/>
        <v>-6921.17</v>
      </c>
    </row>
    <row r="10" spans="1:8">
      <c r="B10" s="106" t="s">
        <v>74</v>
      </c>
      <c r="C10" s="106"/>
      <c r="D10" s="106"/>
      <c r="E10" s="63">
        <v>-150</v>
      </c>
      <c r="F10" s="63"/>
      <c r="G10" s="63">
        <v>-93.5</v>
      </c>
      <c r="H10" s="63">
        <f t="shared" si="0"/>
        <v>-7014.67</v>
      </c>
    </row>
    <row r="11" spans="1:8">
      <c r="B11" s="178" t="s">
        <v>72</v>
      </c>
      <c r="D11" s="63"/>
      <c r="E11" s="63">
        <f>D48*-1</f>
        <v>-107.14</v>
      </c>
      <c r="F11" s="63"/>
      <c r="G11" s="63">
        <v>-107.14</v>
      </c>
      <c r="H11" s="63">
        <f t="shared" si="0"/>
        <v>-7121.81</v>
      </c>
    </row>
    <row r="12" spans="1:8">
      <c r="B12" s="178" t="s">
        <v>68</v>
      </c>
      <c r="E12" s="63">
        <f>E54</f>
        <v>-5461.222999999999</v>
      </c>
      <c r="F12" s="63"/>
      <c r="G12" s="63">
        <v>-5461.22</v>
      </c>
      <c r="H12" s="63">
        <f t="shared" si="0"/>
        <v>-12583.03</v>
      </c>
    </row>
    <row r="13" spans="1:8">
      <c r="B13" s="178" t="s">
        <v>69</v>
      </c>
      <c r="E13" s="63">
        <f>E78</f>
        <v>-31033.99</v>
      </c>
      <c r="F13" s="63"/>
      <c r="G13" s="63">
        <v>-31033.99</v>
      </c>
      <c r="H13" s="63">
        <f t="shared" si="0"/>
        <v>-43617.020000000004</v>
      </c>
    </row>
    <row r="14" spans="1:8">
      <c r="B14" t="s">
        <v>77</v>
      </c>
      <c r="E14" s="63">
        <v>-3500</v>
      </c>
      <c r="F14" s="63"/>
      <c r="G14" s="63">
        <v>-3500</v>
      </c>
      <c r="H14" s="63">
        <f t="shared" si="0"/>
        <v>-47117.020000000004</v>
      </c>
    </row>
    <row r="15" spans="1:8">
      <c r="B15" t="s">
        <v>1080</v>
      </c>
      <c r="E15" s="63"/>
      <c r="F15" s="63"/>
      <c r="G15" s="63">
        <v>-1000</v>
      </c>
      <c r="H15" s="63">
        <f t="shared" si="0"/>
        <v>-48117.020000000004</v>
      </c>
    </row>
    <row r="16" spans="1:8">
      <c r="B16" t="s">
        <v>78</v>
      </c>
      <c r="E16" s="63">
        <v>-3500</v>
      </c>
      <c r="F16" s="63"/>
      <c r="G16" s="63">
        <v>-3500</v>
      </c>
      <c r="H16" s="63">
        <f t="shared" si="0"/>
        <v>-51617.020000000004</v>
      </c>
    </row>
    <row r="17" spans="1:8">
      <c r="B17" t="s">
        <v>1079</v>
      </c>
      <c r="E17" s="63"/>
      <c r="F17" s="63"/>
      <c r="G17" s="63">
        <v>-1000</v>
      </c>
      <c r="H17" s="63">
        <f t="shared" si="0"/>
        <v>-52617.020000000004</v>
      </c>
    </row>
    <row r="18" spans="1:8">
      <c r="B18" t="s">
        <v>79</v>
      </c>
      <c r="E18" s="63">
        <v>-3500</v>
      </c>
      <c r="F18" s="63"/>
      <c r="G18" s="63">
        <v>-3500</v>
      </c>
      <c r="H18" s="63">
        <f t="shared" si="0"/>
        <v>-56117.020000000004</v>
      </c>
    </row>
    <row r="19" spans="1:8">
      <c r="B19" t="s">
        <v>2</v>
      </c>
      <c r="D19">
        <v>1111</v>
      </c>
      <c r="E19" s="63"/>
      <c r="F19" s="63">
        <v>6000</v>
      </c>
      <c r="G19" s="63"/>
      <c r="H19" s="63">
        <f t="shared" si="0"/>
        <v>-50117.020000000004</v>
      </c>
    </row>
    <row r="20" spans="1:8">
      <c r="B20" t="s">
        <v>76</v>
      </c>
      <c r="D20" s="186">
        <v>7500</v>
      </c>
      <c r="F20" s="163">
        <v>7500</v>
      </c>
      <c r="G20" s="63"/>
      <c r="H20" s="63">
        <f t="shared" si="0"/>
        <v>-42617.020000000004</v>
      </c>
    </row>
    <row r="21" spans="1:8">
      <c r="B21" t="s">
        <v>1168</v>
      </c>
      <c r="D21" s="186">
        <v>2000</v>
      </c>
      <c r="F21" s="163">
        <v>2000</v>
      </c>
      <c r="G21" s="63"/>
      <c r="H21" s="63">
        <f t="shared" si="0"/>
        <v>-40617.020000000004</v>
      </c>
    </row>
    <row r="22" spans="1:8">
      <c r="B22" t="s">
        <v>677</v>
      </c>
      <c r="D22" s="186">
        <v>2800</v>
      </c>
      <c r="F22" s="63">
        <v>2800</v>
      </c>
      <c r="G22" s="63"/>
      <c r="H22" s="63">
        <f t="shared" si="0"/>
        <v>-37817.020000000004</v>
      </c>
    </row>
    <row r="23" spans="1:8">
      <c r="B23" t="s">
        <v>1169</v>
      </c>
      <c r="D23" s="186">
        <v>6500</v>
      </c>
      <c r="F23" s="63">
        <v>6500</v>
      </c>
      <c r="G23" s="63"/>
      <c r="H23" s="63">
        <f t="shared" si="0"/>
        <v>-31317.020000000004</v>
      </c>
    </row>
    <row r="24" spans="1:8">
      <c r="B24" t="s">
        <v>1170</v>
      </c>
      <c r="D24" s="322">
        <v>1000</v>
      </c>
      <c r="H24" s="63">
        <f t="shared" si="0"/>
        <v>-31317.020000000004</v>
      </c>
    </row>
    <row r="25" spans="1:8">
      <c r="A25" s="100">
        <v>45028</v>
      </c>
      <c r="B25" s="8" t="s">
        <v>1171</v>
      </c>
      <c r="D25" s="102"/>
      <c r="F25" s="63">
        <v>13000</v>
      </c>
      <c r="G25" s="63"/>
      <c r="H25" s="63">
        <f t="shared" si="0"/>
        <v>-18317.020000000004</v>
      </c>
    </row>
    <row r="26" spans="1:8">
      <c r="A26" s="100"/>
      <c r="B26" s="8" t="s">
        <v>1172</v>
      </c>
      <c r="D26" s="102"/>
      <c r="H26" s="63">
        <f t="shared" si="0"/>
        <v>-18317.020000000004</v>
      </c>
    </row>
    <row r="27" spans="1:8">
      <c r="A27" s="100">
        <v>45042</v>
      </c>
      <c r="B27" s="8" t="s">
        <v>1173</v>
      </c>
      <c r="F27" s="63">
        <v>28080</v>
      </c>
      <c r="G27" s="63"/>
      <c r="H27" s="63">
        <f t="shared" si="0"/>
        <v>9762.9799999999959</v>
      </c>
    </row>
    <row r="28" spans="1:8">
      <c r="A28" s="100">
        <v>45042</v>
      </c>
      <c r="B28" s="8" t="s">
        <v>1174</v>
      </c>
      <c r="F28" s="63"/>
      <c r="G28" s="63">
        <v>-600</v>
      </c>
      <c r="H28" s="63">
        <f t="shared" si="0"/>
        <v>9162.9799999999959</v>
      </c>
    </row>
    <row r="29" spans="1:8">
      <c r="A29" s="100">
        <v>45042</v>
      </c>
      <c r="B29" s="8" t="s">
        <v>1175</v>
      </c>
      <c r="F29" s="63"/>
      <c r="G29" s="63">
        <v>-1615.77</v>
      </c>
      <c r="H29" s="63">
        <f t="shared" si="0"/>
        <v>7547.2099999999955</v>
      </c>
    </row>
    <row r="30" spans="1:8">
      <c r="A30" s="100">
        <v>45042</v>
      </c>
      <c r="B30" s="8" t="s">
        <v>1176</v>
      </c>
      <c r="F30" s="163">
        <v>6750</v>
      </c>
      <c r="G30" s="63"/>
      <c r="H30" s="163">
        <f t="shared" si="0"/>
        <v>14297.209999999995</v>
      </c>
    </row>
    <row r="31" spans="1:8">
      <c r="F31" s="63"/>
      <c r="G31" s="63"/>
      <c r="H31" s="63"/>
    </row>
    <row r="32" spans="1:8">
      <c r="F32" s="63"/>
      <c r="G32" s="63"/>
      <c r="H32" s="63"/>
    </row>
    <row r="33" spans="1:8">
      <c r="F33" s="63"/>
      <c r="G33" s="63"/>
      <c r="H33" s="63"/>
    </row>
    <row r="34" spans="1:8">
      <c r="F34" s="63"/>
      <c r="G34" s="63"/>
      <c r="H34" s="63"/>
    </row>
    <row r="35" spans="1:8">
      <c r="E35" s="63"/>
      <c r="G35" s="63"/>
      <c r="H35" s="63"/>
    </row>
    <row r="36" spans="1:8">
      <c r="B36" t="s">
        <v>330</v>
      </c>
      <c r="E36" s="63"/>
      <c r="G36" s="63"/>
      <c r="H36" s="63"/>
    </row>
    <row r="37" spans="1:8">
      <c r="A37" s="103" t="s">
        <v>331</v>
      </c>
      <c r="B37" s="103"/>
      <c r="C37" s="103"/>
      <c r="D37" s="103"/>
      <c r="E37" s="158"/>
      <c r="G37" s="63"/>
      <c r="H37" s="63"/>
    </row>
    <row r="38" spans="1:8">
      <c r="A38" s="317"/>
      <c r="B38" s="312"/>
      <c r="C38" s="312"/>
      <c r="D38" s="312"/>
      <c r="E38" s="313"/>
      <c r="H38" s="63"/>
    </row>
    <row r="39" spans="1:8">
      <c r="A39" s="317"/>
      <c r="B39" s="312"/>
      <c r="C39" s="314"/>
      <c r="D39" s="312"/>
      <c r="E39" s="312"/>
      <c r="H39" s="63"/>
    </row>
    <row r="40" spans="1:8">
      <c r="A40" s="317"/>
      <c r="B40" s="312"/>
      <c r="C40" s="314"/>
      <c r="D40" s="312"/>
      <c r="E40" s="312"/>
      <c r="H40" s="63"/>
    </row>
    <row r="41" spans="1:8">
      <c r="A41" s="100"/>
      <c r="C41" s="171"/>
      <c r="H41" s="63"/>
    </row>
    <row r="42" spans="1:8">
      <c r="A42" s="172">
        <v>44929</v>
      </c>
      <c r="B42" s="173" t="s">
        <v>332</v>
      </c>
      <c r="C42" s="103"/>
      <c r="D42" s="201">
        <f>SUM(D43:D50)</f>
        <v>4161.9400000000005</v>
      </c>
      <c r="E42" s="201">
        <f>SUM(E43:E50)</f>
        <v>4162</v>
      </c>
      <c r="H42" s="63"/>
    </row>
    <row r="43" spans="1:8">
      <c r="B43" t="s">
        <v>926</v>
      </c>
      <c r="D43">
        <v>835.27</v>
      </c>
      <c r="E43" s="63">
        <v>835</v>
      </c>
      <c r="F43" s="63"/>
      <c r="G43" s="63"/>
    </row>
    <row r="44" spans="1:8">
      <c r="B44" t="s">
        <v>334</v>
      </c>
      <c r="D44">
        <v>1240.45</v>
      </c>
      <c r="E44" s="63">
        <v>1240</v>
      </c>
      <c r="F44" s="63"/>
      <c r="G44" s="63"/>
    </row>
    <row r="45" spans="1:8">
      <c r="B45" t="s">
        <v>335</v>
      </c>
      <c r="D45">
        <v>195.7</v>
      </c>
      <c r="E45">
        <v>195</v>
      </c>
      <c r="F45" s="63"/>
      <c r="G45" s="63"/>
    </row>
    <row r="46" spans="1:8">
      <c r="B46" t="s">
        <v>336</v>
      </c>
      <c r="D46">
        <v>1448.09</v>
      </c>
      <c r="E46">
        <v>1450</v>
      </c>
      <c r="F46" s="63"/>
      <c r="G46" s="63"/>
    </row>
    <row r="47" spans="1:8">
      <c r="B47" t="s">
        <v>337</v>
      </c>
      <c r="D47">
        <v>335.29</v>
      </c>
      <c r="E47">
        <v>335</v>
      </c>
      <c r="F47" s="63"/>
      <c r="G47" s="63"/>
    </row>
    <row r="48" spans="1:8">
      <c r="B48" t="s">
        <v>338</v>
      </c>
      <c r="C48" s="106"/>
      <c r="D48" s="106">
        <v>107.14</v>
      </c>
      <c r="E48">
        <v>107</v>
      </c>
      <c r="F48" s="63"/>
      <c r="G48" s="63"/>
    </row>
    <row r="49" spans="1:8">
      <c r="C49" s="106"/>
      <c r="E49" s="106"/>
      <c r="F49" s="63"/>
      <c r="G49" s="63"/>
    </row>
    <row r="50" spans="1:8">
      <c r="C50" s="106"/>
      <c r="D50" s="106"/>
      <c r="E50" s="163"/>
      <c r="F50" s="63"/>
      <c r="G50" s="63"/>
    </row>
    <row r="52" spans="1:8">
      <c r="B52" s="17"/>
    </row>
    <row r="53" spans="1:8">
      <c r="B53" s="102"/>
    </row>
    <row r="54" spans="1:8">
      <c r="A54" s="103"/>
      <c r="B54" s="104" t="s">
        <v>83</v>
      </c>
      <c r="C54" s="103"/>
      <c r="D54" s="158"/>
      <c r="E54" s="159">
        <f>SUM(E55:E75)</f>
        <v>-5461.222999999999</v>
      </c>
    </row>
    <row r="55" spans="1:8">
      <c r="A55" s="100">
        <v>44873</v>
      </c>
      <c r="B55" s="8" t="s">
        <v>1177</v>
      </c>
      <c r="C55" s="106"/>
      <c r="D55" s="106" t="s">
        <v>731</v>
      </c>
      <c r="E55" s="163">
        <v>-1111.1099999999999</v>
      </c>
      <c r="F55" s="63"/>
      <c r="G55" s="63"/>
      <c r="H55" s="63"/>
    </row>
    <row r="56" spans="1:8">
      <c r="A56" s="100">
        <v>44920</v>
      </c>
      <c r="B56" s="106" t="s">
        <v>1178</v>
      </c>
      <c r="C56" s="106"/>
      <c r="D56" s="106" t="s">
        <v>989</v>
      </c>
      <c r="E56" s="163">
        <v>-397.47</v>
      </c>
      <c r="F56" s="63"/>
      <c r="G56" s="63"/>
      <c r="H56" s="63"/>
    </row>
    <row r="57" spans="1:8">
      <c r="A57" s="100">
        <v>44920</v>
      </c>
      <c r="B57" s="106" t="s">
        <v>1179</v>
      </c>
      <c r="C57" s="106"/>
      <c r="D57" s="106" t="s">
        <v>989</v>
      </c>
      <c r="E57" s="163">
        <v>-80.92</v>
      </c>
      <c r="F57" s="63"/>
      <c r="G57" s="63"/>
      <c r="H57" s="63"/>
    </row>
    <row r="58" spans="1:8">
      <c r="A58" s="100">
        <v>44920</v>
      </c>
      <c r="B58" s="106" t="s">
        <v>1180</v>
      </c>
      <c r="C58" s="106"/>
      <c r="D58" s="106" t="s">
        <v>989</v>
      </c>
      <c r="E58" s="163">
        <v>-127.05</v>
      </c>
      <c r="F58" s="63"/>
      <c r="G58" s="63"/>
      <c r="H58" s="63"/>
    </row>
    <row r="59" spans="1:8">
      <c r="A59" s="100">
        <v>44920</v>
      </c>
      <c r="B59" s="106" t="s">
        <v>1181</v>
      </c>
      <c r="C59" s="106"/>
      <c r="D59" s="106" t="s">
        <v>989</v>
      </c>
      <c r="E59" s="163">
        <v>-49.323</v>
      </c>
      <c r="F59" s="63"/>
      <c r="G59" s="63"/>
      <c r="H59" s="63"/>
    </row>
    <row r="60" spans="1:8">
      <c r="A60" s="100">
        <v>44985</v>
      </c>
      <c r="B60" s="8" t="s">
        <v>823</v>
      </c>
      <c r="C60">
        <v>437.97</v>
      </c>
      <c r="D60" s="35" t="s">
        <v>1155</v>
      </c>
      <c r="E60" s="163">
        <v>-145.99</v>
      </c>
      <c r="F60" s="63"/>
      <c r="G60" s="63"/>
      <c r="H60" s="63"/>
    </row>
    <row r="61" spans="1:8">
      <c r="A61" s="100">
        <v>44985</v>
      </c>
      <c r="B61" s="8" t="s">
        <v>824</v>
      </c>
      <c r="C61">
        <v>404.23</v>
      </c>
      <c r="D61" s="35" t="s">
        <v>1155</v>
      </c>
      <c r="E61" s="163">
        <v>-134.74</v>
      </c>
      <c r="F61" s="63"/>
    </row>
    <row r="62" spans="1:8">
      <c r="A62" s="100">
        <v>44985</v>
      </c>
      <c r="B62" s="8" t="s">
        <v>825</v>
      </c>
      <c r="C62">
        <v>1135</v>
      </c>
      <c r="D62" s="35" t="s">
        <v>1155</v>
      </c>
      <c r="E62" s="163">
        <v>-378.33</v>
      </c>
      <c r="F62" s="63"/>
    </row>
    <row r="63" spans="1:8">
      <c r="A63" s="100">
        <v>44982</v>
      </c>
      <c r="B63" s="8" t="s">
        <v>1182</v>
      </c>
      <c r="C63">
        <v>659.93</v>
      </c>
      <c r="D63" s="35" t="s">
        <v>1062</v>
      </c>
      <c r="E63" s="163">
        <v>-164.98</v>
      </c>
      <c r="F63" s="63"/>
    </row>
    <row r="64" spans="1:8">
      <c r="A64" s="100">
        <v>44995</v>
      </c>
      <c r="B64" s="8" t="s">
        <v>1123</v>
      </c>
      <c r="C64">
        <v>720.19</v>
      </c>
      <c r="D64" s="321" t="s">
        <v>1183</v>
      </c>
      <c r="E64" s="163">
        <v>-240.06</v>
      </c>
      <c r="F64" s="63"/>
    </row>
    <row r="65" spans="1:8">
      <c r="A65" s="100">
        <v>44995</v>
      </c>
      <c r="B65" s="8" t="s">
        <v>777</v>
      </c>
      <c r="C65">
        <v>613.91</v>
      </c>
      <c r="D65" s="35" t="s">
        <v>1184</v>
      </c>
      <c r="E65" s="163">
        <v>-61.39</v>
      </c>
      <c r="F65" s="63"/>
    </row>
    <row r="66" spans="1:8">
      <c r="A66" s="100">
        <v>44995</v>
      </c>
      <c r="B66" s="8" t="s">
        <v>1034</v>
      </c>
      <c r="C66">
        <v>2258.94</v>
      </c>
      <c r="D66" s="35" t="s">
        <v>650</v>
      </c>
      <c r="E66" s="163">
        <v>-376.49</v>
      </c>
      <c r="F66" s="63"/>
    </row>
    <row r="67" spans="1:8">
      <c r="A67" s="100">
        <v>44985</v>
      </c>
      <c r="B67" s="8" t="s">
        <v>1185</v>
      </c>
      <c r="D67" s="35"/>
      <c r="E67" s="163">
        <v>-161.31</v>
      </c>
      <c r="F67" s="63"/>
    </row>
    <row r="68" spans="1:8">
      <c r="A68" s="100">
        <v>44986</v>
      </c>
      <c r="B68" s="8" t="s">
        <v>1185</v>
      </c>
      <c r="D68" s="35"/>
      <c r="E68" s="163">
        <v>-137.93</v>
      </c>
      <c r="F68" s="63"/>
    </row>
    <row r="69" spans="1:8">
      <c r="A69" s="100">
        <v>44987</v>
      </c>
      <c r="B69" s="8" t="s">
        <v>1185</v>
      </c>
      <c r="D69" s="35"/>
      <c r="E69" s="163">
        <v>-121.99</v>
      </c>
      <c r="F69" s="63"/>
    </row>
    <row r="70" spans="1:8">
      <c r="A70" s="100">
        <v>45004</v>
      </c>
      <c r="B70" s="8" t="s">
        <v>1186</v>
      </c>
      <c r="D70" s="35"/>
      <c r="E70" s="163">
        <v>-94.85</v>
      </c>
      <c r="F70" s="63"/>
    </row>
    <row r="71" spans="1:8">
      <c r="A71" s="100">
        <v>45005</v>
      </c>
      <c r="B71" s="8" t="s">
        <v>1187</v>
      </c>
      <c r="D71" s="35"/>
      <c r="E71" s="163">
        <v>-456.1</v>
      </c>
      <c r="F71" s="63"/>
    </row>
    <row r="72" spans="1:8">
      <c r="A72" s="100">
        <v>45005</v>
      </c>
      <c r="B72" s="8" t="s">
        <v>1188</v>
      </c>
      <c r="E72" s="163">
        <v>-110</v>
      </c>
    </row>
    <row r="73" spans="1:8">
      <c r="A73" s="100">
        <v>45007</v>
      </c>
      <c r="B73" s="8" t="s">
        <v>1189</v>
      </c>
      <c r="D73" s="35"/>
      <c r="E73" s="163">
        <v>-554.11</v>
      </c>
    </row>
    <row r="74" spans="1:8">
      <c r="A74" s="100">
        <v>45010</v>
      </c>
      <c r="B74" s="8" t="s">
        <v>1190</v>
      </c>
      <c r="D74" s="35"/>
      <c r="E74" s="163">
        <v>-530.54999999999995</v>
      </c>
    </row>
    <row r="75" spans="1:8">
      <c r="A75" s="100">
        <v>45010</v>
      </c>
      <c r="B75" s="8" t="s">
        <v>1191</v>
      </c>
      <c r="D75" s="35"/>
      <c r="E75" s="163">
        <v>-26.53</v>
      </c>
    </row>
    <row r="76" spans="1:8">
      <c r="A76" s="100"/>
      <c r="D76" s="35"/>
      <c r="E76" s="163" t="s">
        <v>1163</v>
      </c>
    </row>
    <row r="78" spans="1:8">
      <c r="A78" s="103"/>
      <c r="B78" s="104" t="s">
        <v>85</v>
      </c>
      <c r="C78" s="103"/>
      <c r="D78" s="103"/>
      <c r="E78" s="159">
        <f>SUM(E79:E83)</f>
        <v>-31033.99</v>
      </c>
    </row>
    <row r="79" spans="1:8">
      <c r="A79" s="100">
        <v>44984</v>
      </c>
      <c r="B79" s="106" t="s">
        <v>369</v>
      </c>
      <c r="C79" s="106"/>
      <c r="D79" s="106"/>
      <c r="E79" s="163">
        <v>-30374</v>
      </c>
      <c r="F79" s="63"/>
      <c r="G79" s="63"/>
      <c r="H79" s="63"/>
    </row>
    <row r="80" spans="1:8">
      <c r="A80" s="100">
        <v>44993</v>
      </c>
      <c r="B80" s="106" t="s">
        <v>657</v>
      </c>
      <c r="C80" s="106"/>
      <c r="D80" s="106"/>
      <c r="E80" s="163">
        <v>-160</v>
      </c>
      <c r="F80" s="63"/>
      <c r="G80" s="63"/>
      <c r="H80" s="63"/>
    </row>
    <row r="81" spans="1:8">
      <c r="A81" s="100">
        <v>44994</v>
      </c>
      <c r="B81" s="106" t="s">
        <v>656</v>
      </c>
      <c r="C81" s="106"/>
      <c r="D81" s="106"/>
      <c r="E81" s="163">
        <v>-160.04</v>
      </c>
      <c r="F81" s="63"/>
      <c r="G81" s="63"/>
      <c r="H81" s="63"/>
    </row>
    <row r="82" spans="1:8">
      <c r="A82" s="100">
        <v>44995</v>
      </c>
      <c r="B82" s="106" t="s">
        <v>657</v>
      </c>
      <c r="C82" s="106"/>
      <c r="D82" s="106"/>
      <c r="E82" s="163">
        <v>-110</v>
      </c>
      <c r="F82" s="63"/>
      <c r="G82" s="63"/>
      <c r="H82" s="63"/>
    </row>
    <row r="83" spans="1:8">
      <c r="A83" s="100">
        <v>45000</v>
      </c>
      <c r="B83" s="106" t="s">
        <v>1192</v>
      </c>
      <c r="C83" s="106"/>
      <c r="D83" s="106"/>
      <c r="E83" s="163">
        <v>-229.95</v>
      </c>
      <c r="F83" s="63"/>
      <c r="G83" s="63"/>
      <c r="H83" s="63"/>
    </row>
    <row r="84" spans="1:8">
      <c r="A84" s="100"/>
      <c r="B84" s="107"/>
      <c r="E84" s="163" t="s">
        <v>1163</v>
      </c>
    </row>
    <row r="85" spans="1:8">
      <c r="A85" s="100"/>
      <c r="B85" s="107"/>
      <c r="E85" s="163"/>
    </row>
    <row r="86" spans="1:8">
      <c r="A86" s="100"/>
      <c r="B86" s="107"/>
      <c r="E86" s="163"/>
    </row>
    <row r="87" spans="1:8">
      <c r="A87" s="100"/>
      <c r="B87" s="107"/>
      <c r="E87" s="163"/>
    </row>
    <row r="88" spans="1:8">
      <c r="A88" s="100"/>
      <c r="B88" s="107"/>
      <c r="E88" s="163"/>
    </row>
    <row r="89" spans="1:8">
      <c r="A89" s="100"/>
      <c r="B89" s="107"/>
      <c r="E89" s="163"/>
    </row>
    <row r="90" spans="1:8">
      <c r="A90" s="100"/>
      <c r="B90" s="107"/>
      <c r="E90" s="163"/>
    </row>
    <row r="91" spans="1:8">
      <c r="A91" s="100"/>
      <c r="B91" s="107"/>
      <c r="E91" s="163"/>
    </row>
    <row r="92" spans="1:8">
      <c r="A92" s="100"/>
      <c r="B92" s="107"/>
      <c r="E92" s="163"/>
    </row>
    <row r="93" spans="1:8">
      <c r="A93" s="100"/>
      <c r="B93" s="107"/>
      <c r="E93" s="163"/>
    </row>
    <row r="94" spans="1:8">
      <c r="A94" s="100"/>
      <c r="B94" s="107"/>
      <c r="E94" s="163"/>
    </row>
    <row r="95" spans="1:8">
      <c r="A95" s="100"/>
      <c r="B95" s="107"/>
      <c r="E95" s="163"/>
    </row>
    <row r="96" spans="1:8">
      <c r="A96" s="100"/>
      <c r="B96" s="107"/>
      <c r="E96" s="163"/>
    </row>
    <row r="97" spans="1:5">
      <c r="A97" s="100"/>
      <c r="B97" s="107"/>
      <c r="E97" s="163"/>
    </row>
    <row r="98" spans="1:5">
      <c r="A98" s="100"/>
      <c r="B98" s="107"/>
      <c r="E98" s="163"/>
    </row>
    <row r="99" spans="1:5">
      <c r="A99" s="100"/>
      <c r="B99" s="107"/>
      <c r="E99" s="163"/>
    </row>
    <row r="100" spans="1:5">
      <c r="A100" s="100"/>
      <c r="B100" s="107"/>
      <c r="E100" s="163"/>
    </row>
    <row r="101" spans="1:5">
      <c r="A101" s="100"/>
      <c r="B101" s="107"/>
      <c r="E101" s="163"/>
    </row>
    <row r="102" spans="1:5">
      <c r="A102" s="100"/>
      <c r="B102" s="107"/>
      <c r="E102" s="163"/>
    </row>
    <row r="103" spans="1:5">
      <c r="A103" s="100"/>
      <c r="B103" s="107"/>
      <c r="E103" s="163"/>
    </row>
    <row r="104" spans="1:5">
      <c r="A104" s="100"/>
      <c r="B104" s="107"/>
      <c r="E104" s="163"/>
    </row>
    <row r="105" spans="1:5">
      <c r="A105" s="100"/>
      <c r="B105" s="107"/>
      <c r="E105" s="163"/>
    </row>
    <row r="106" spans="1:5">
      <c r="A106" s="100"/>
      <c r="B106" s="107"/>
      <c r="E106" s="163"/>
    </row>
    <row r="107" spans="1:5">
      <c r="A107" s="100"/>
      <c r="B107" s="107"/>
      <c r="E107" s="163"/>
    </row>
    <row r="111" spans="1:5">
      <c r="A111" s="103"/>
      <c r="B111" s="104" t="s">
        <v>1193</v>
      </c>
      <c r="C111" s="103"/>
      <c r="D111" s="158"/>
      <c r="E111" s="159">
        <f>SUM(E112:E120)</f>
        <v>367483.41000000003</v>
      </c>
    </row>
    <row r="112" spans="1:5">
      <c r="A112" s="100">
        <v>45016</v>
      </c>
      <c r="B112" s="8" t="s">
        <v>77</v>
      </c>
      <c r="C112" s="2"/>
      <c r="D112" s="2"/>
      <c r="E112" s="17">
        <v>64000</v>
      </c>
    </row>
    <row r="113" spans="1:5">
      <c r="A113" s="100">
        <v>45016</v>
      </c>
      <c r="B113" s="8" t="s">
        <v>1074</v>
      </c>
      <c r="C113" s="2"/>
      <c r="D113" s="2"/>
      <c r="E113" s="17">
        <v>53088</v>
      </c>
    </row>
    <row r="114" spans="1:5">
      <c r="A114" s="100">
        <v>45016</v>
      </c>
      <c r="B114" s="8" t="s">
        <v>305</v>
      </c>
      <c r="C114" s="2"/>
      <c r="D114" s="2"/>
      <c r="E114" s="17">
        <v>44063.82</v>
      </c>
    </row>
    <row r="115" spans="1:5">
      <c r="A115" s="100">
        <v>45016</v>
      </c>
      <c r="B115" s="8" t="s">
        <v>306</v>
      </c>
      <c r="C115" s="2"/>
      <c r="D115" s="2"/>
      <c r="E115" s="17">
        <v>6000.59</v>
      </c>
    </row>
    <row r="116" spans="1:5">
      <c r="A116" s="100">
        <v>45016</v>
      </c>
      <c r="B116" s="8" t="s">
        <v>1011</v>
      </c>
      <c r="C116" s="2">
        <v>1265</v>
      </c>
      <c r="D116" s="2">
        <v>111</v>
      </c>
      <c r="E116" s="17">
        <f>D116*C116</f>
        <v>140415</v>
      </c>
    </row>
    <row r="117" spans="1:5">
      <c r="A117" s="100">
        <v>45016</v>
      </c>
      <c r="B117" s="8" t="s">
        <v>1108</v>
      </c>
      <c r="C117" s="2">
        <v>19.5</v>
      </c>
      <c r="D117" s="2">
        <v>850</v>
      </c>
      <c r="E117" s="17">
        <f>D117*C117</f>
        <v>16575</v>
      </c>
    </row>
    <row r="118" spans="1:5">
      <c r="A118" s="100">
        <v>45016</v>
      </c>
      <c r="B118" s="8" t="s">
        <v>1109</v>
      </c>
      <c r="C118" s="2">
        <v>21.41</v>
      </c>
      <c r="D118" s="2">
        <v>100</v>
      </c>
      <c r="E118" s="17">
        <f>D118*C118</f>
        <v>2141</v>
      </c>
    </row>
    <row r="119" spans="1:5">
      <c r="A119" s="100">
        <v>45016</v>
      </c>
      <c r="B119" s="8" t="s">
        <v>153</v>
      </c>
      <c r="C119" s="2"/>
      <c r="D119" s="2"/>
      <c r="E119" s="17">
        <v>40000</v>
      </c>
    </row>
    <row r="120" spans="1:5">
      <c r="A120" s="100"/>
      <c r="B120" s="8" t="s">
        <v>154</v>
      </c>
      <c r="C120" s="2"/>
      <c r="D120" s="2"/>
      <c r="E120" s="17">
        <v>1200</v>
      </c>
    </row>
    <row r="121" spans="1:5">
      <c r="D121" s="18" t="s">
        <v>1194</v>
      </c>
      <c r="E121" s="63">
        <f>H2</f>
        <v>14297.21</v>
      </c>
    </row>
    <row r="122" spans="1:5">
      <c r="D122" s="3"/>
    </row>
    <row r="123" spans="1:5">
      <c r="D123" s="18" t="s">
        <v>156</v>
      </c>
      <c r="E123" s="8">
        <f>SUM(E112:E122)</f>
        <v>381780.62000000005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395511"/>
  </sheetPr>
  <dimension ref="A1:H123"/>
  <sheetViews>
    <sheetView topLeftCell="A19" zoomScale="170" zoomScaleNormal="170" workbookViewId="0">
      <selection activeCell="A18" sqref="A18"/>
    </sheetView>
  </sheetViews>
  <sheetFormatPr defaultColWidth="12.28515625" defaultRowHeight="12.75"/>
  <cols>
    <col min="1" max="1" width="10.5703125" customWidth="1"/>
    <col min="2" max="2" width="37.85546875" customWidth="1"/>
    <col min="3" max="3" width="9.42578125" customWidth="1"/>
    <col min="4" max="4" width="11.5703125" customWidth="1"/>
    <col min="5" max="5" width="11.42578125" customWidth="1"/>
    <col min="6" max="6" width="10.5703125" customWidth="1"/>
    <col min="7" max="8" width="12.5703125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1195</v>
      </c>
      <c r="C2" s="79" t="s">
        <v>67</v>
      </c>
      <c r="D2" s="306">
        <f>SUM(D5:D36)</f>
        <v>88189</v>
      </c>
      <c r="E2" s="306">
        <f>SUM(E5:E35)</f>
        <v>-24634.690000000002</v>
      </c>
      <c r="F2" s="306">
        <f>SUM(F4:F36)</f>
        <v>23139.34</v>
      </c>
      <c r="G2" s="306">
        <f>SUM(G5:G40)</f>
        <v>-33283.54</v>
      </c>
      <c r="H2" s="306">
        <f>F2+G2</f>
        <v>-10144.200000000001</v>
      </c>
    </row>
    <row r="3" spans="1:8">
      <c r="B3" s="18"/>
      <c r="G3" s="63"/>
      <c r="H3" s="63">
        <f>F3+G3</f>
        <v>0</v>
      </c>
    </row>
    <row r="4" spans="1:8">
      <c r="A4" s="100">
        <v>44986</v>
      </c>
      <c r="B4" s="18" t="s">
        <v>1196</v>
      </c>
      <c r="F4">
        <v>5000</v>
      </c>
      <c r="G4" s="63"/>
      <c r="H4" s="63">
        <f t="shared" ref="H4:H38" si="0">H3+F4+G4</f>
        <v>5000</v>
      </c>
    </row>
    <row r="5" spans="1:8">
      <c r="A5" s="100">
        <v>44991</v>
      </c>
      <c r="B5" s="101" t="s">
        <v>80</v>
      </c>
      <c r="C5" s="101"/>
      <c r="D5" s="101"/>
      <c r="E5" s="63">
        <v>-400</v>
      </c>
      <c r="G5" s="63">
        <v>-224</v>
      </c>
      <c r="H5" s="63">
        <f t="shared" si="0"/>
        <v>4776</v>
      </c>
    </row>
    <row r="6" spans="1:8">
      <c r="A6" s="100">
        <v>44991</v>
      </c>
      <c r="B6" s="101" t="s">
        <v>81</v>
      </c>
      <c r="C6" s="101"/>
      <c r="D6" s="101"/>
      <c r="E6" s="63">
        <v>-500</v>
      </c>
      <c r="G6" s="63">
        <v>-461</v>
      </c>
      <c r="H6" s="63">
        <f t="shared" si="0"/>
        <v>4315</v>
      </c>
    </row>
    <row r="7" spans="1:8">
      <c r="A7" s="100">
        <v>44999</v>
      </c>
      <c r="B7" s="101" t="s">
        <v>674</v>
      </c>
      <c r="C7" s="101"/>
      <c r="D7" s="101"/>
      <c r="E7" s="63">
        <v>-4300</v>
      </c>
      <c r="G7" s="63">
        <v>-4300</v>
      </c>
      <c r="H7" s="63">
        <f t="shared" si="0"/>
        <v>15</v>
      </c>
    </row>
    <row r="8" spans="1:8">
      <c r="A8" s="100">
        <v>44987</v>
      </c>
      <c r="B8" s="101" t="s">
        <v>671</v>
      </c>
      <c r="C8" s="101"/>
      <c r="D8" s="101"/>
      <c r="E8" s="63">
        <v>-674.74</v>
      </c>
      <c r="F8" s="63"/>
      <c r="G8" s="63">
        <v>-672.15</v>
      </c>
      <c r="H8" s="63">
        <f t="shared" si="0"/>
        <v>-657.15</v>
      </c>
    </row>
    <row r="9" spans="1:8">
      <c r="A9" s="100">
        <v>44987</v>
      </c>
      <c r="B9" s="101" t="s">
        <v>75</v>
      </c>
      <c r="C9" s="101"/>
      <c r="D9" s="101"/>
      <c r="E9" s="63">
        <v>-150</v>
      </c>
      <c r="F9" s="63"/>
      <c r="G9" s="63">
        <v>-187.46</v>
      </c>
      <c r="H9" s="63">
        <f t="shared" si="0"/>
        <v>-844.61</v>
      </c>
    </row>
    <row r="10" spans="1:8">
      <c r="B10" s="106" t="s">
        <v>73</v>
      </c>
      <c r="C10" s="106"/>
      <c r="D10" s="106"/>
      <c r="E10" s="63">
        <v>-1000</v>
      </c>
      <c r="F10" s="163"/>
      <c r="G10" s="63">
        <v>-1464.5</v>
      </c>
      <c r="H10" s="63">
        <f t="shared" si="0"/>
        <v>-2309.11</v>
      </c>
    </row>
    <row r="11" spans="1:8">
      <c r="B11" s="106" t="s">
        <v>74</v>
      </c>
      <c r="C11" s="106"/>
      <c r="D11" s="106"/>
      <c r="E11" s="63">
        <v>-150</v>
      </c>
      <c r="F11" s="163"/>
      <c r="G11" s="63">
        <v>-64.5</v>
      </c>
      <c r="H11" s="63">
        <f t="shared" si="0"/>
        <v>-2373.61</v>
      </c>
    </row>
    <row r="12" spans="1:8">
      <c r="B12" s="178" t="s">
        <v>72</v>
      </c>
      <c r="E12" s="63">
        <f>D53*-1</f>
        <v>-64.930000000000007</v>
      </c>
      <c r="F12" s="63"/>
      <c r="G12" s="63">
        <v>-64.930000000000007</v>
      </c>
      <c r="H12" s="63">
        <f t="shared" si="0"/>
        <v>-2438.54</v>
      </c>
    </row>
    <row r="13" spans="1:8">
      <c r="B13" s="178" t="s">
        <v>68</v>
      </c>
      <c r="E13" s="63">
        <f>E58</f>
        <v>-7675.4</v>
      </c>
      <c r="F13" s="63"/>
      <c r="G13" s="63">
        <v>-7675.38</v>
      </c>
      <c r="H13" s="63">
        <f t="shared" si="0"/>
        <v>-10113.92</v>
      </c>
    </row>
    <row r="14" spans="1:8">
      <c r="B14" s="178" t="s">
        <v>69</v>
      </c>
      <c r="E14" s="63">
        <f>E95</f>
        <v>-1174.72</v>
      </c>
      <c r="G14" s="63">
        <v>-1174.72</v>
      </c>
      <c r="H14" s="63">
        <f t="shared" si="0"/>
        <v>-11288.64</v>
      </c>
    </row>
    <row r="15" spans="1:8">
      <c r="B15" t="s">
        <v>77</v>
      </c>
      <c r="E15" s="63">
        <v>-2750</v>
      </c>
      <c r="F15" s="63"/>
      <c r="G15" s="63">
        <v>-2750</v>
      </c>
      <c r="H15" s="63">
        <f t="shared" si="0"/>
        <v>-14038.64</v>
      </c>
    </row>
    <row r="16" spans="1:8">
      <c r="B16" t="s">
        <v>1197</v>
      </c>
      <c r="E16" s="63">
        <v>-2750</v>
      </c>
      <c r="F16" s="63"/>
      <c r="G16" s="63">
        <v>-1621</v>
      </c>
      <c r="H16" s="63">
        <f t="shared" si="0"/>
        <v>-15659.64</v>
      </c>
    </row>
    <row r="17" spans="1:8">
      <c r="B17" t="s">
        <v>79</v>
      </c>
      <c r="E17" s="63">
        <v>-2750</v>
      </c>
      <c r="F17" s="63"/>
      <c r="G17" s="63">
        <v>-2750</v>
      </c>
      <c r="H17" s="63">
        <f t="shared" si="0"/>
        <v>-18409.64</v>
      </c>
    </row>
    <row r="18" spans="1:8">
      <c r="B18" t="s">
        <v>1198</v>
      </c>
      <c r="D18" s="2">
        <v>1111</v>
      </c>
      <c r="E18" s="163"/>
      <c r="F18" s="63"/>
      <c r="G18" s="63"/>
      <c r="H18" s="63">
        <f t="shared" si="0"/>
        <v>-18409.64</v>
      </c>
    </row>
    <row r="19" spans="1:8">
      <c r="B19" t="s">
        <v>1199</v>
      </c>
      <c r="D19" s="2">
        <v>2428</v>
      </c>
      <c r="E19" s="163"/>
      <c r="F19" s="63"/>
      <c r="G19" s="63"/>
      <c r="H19" s="63">
        <f t="shared" si="0"/>
        <v>-18409.64</v>
      </c>
    </row>
    <row r="20" spans="1:8">
      <c r="B20" t="s">
        <v>76</v>
      </c>
      <c r="D20" s="186">
        <v>5500</v>
      </c>
      <c r="F20" s="63">
        <v>5589.34</v>
      </c>
      <c r="G20" s="63"/>
      <c r="H20" s="63">
        <f t="shared" si="0"/>
        <v>-12820.3</v>
      </c>
    </row>
    <row r="21" spans="1:8">
      <c r="B21" t="s">
        <v>677</v>
      </c>
      <c r="D21" s="186">
        <v>1650</v>
      </c>
      <c r="F21" s="63">
        <v>1650</v>
      </c>
      <c r="G21" s="63"/>
      <c r="H21" s="63">
        <f t="shared" si="0"/>
        <v>-11170.3</v>
      </c>
    </row>
    <row r="22" spans="1:8">
      <c r="A22" s="100">
        <v>45016</v>
      </c>
      <c r="B22" s="8" t="s">
        <v>1200</v>
      </c>
      <c r="D22" s="186">
        <v>6500</v>
      </c>
      <c r="F22" s="63">
        <v>6500</v>
      </c>
      <c r="G22" s="63"/>
      <c r="H22" s="63">
        <f t="shared" si="0"/>
        <v>-4670.2999999999993</v>
      </c>
    </row>
    <row r="23" spans="1:8">
      <c r="B23" t="s">
        <v>1201</v>
      </c>
      <c r="D23" s="102"/>
      <c r="F23" s="63">
        <v>4000</v>
      </c>
      <c r="G23" s="63"/>
      <c r="H23" s="63">
        <f t="shared" si="0"/>
        <v>-670.29999999999927</v>
      </c>
    </row>
    <row r="24" spans="1:8">
      <c r="B24" t="s">
        <v>1202</v>
      </c>
      <c r="D24" s="102"/>
      <c r="F24" s="63">
        <v>400</v>
      </c>
      <c r="G24" s="63"/>
      <c r="H24" s="63">
        <f t="shared" si="0"/>
        <v>-270.29999999999927</v>
      </c>
    </row>
    <row r="25" spans="1:8">
      <c r="B25" t="s">
        <v>1203</v>
      </c>
      <c r="D25" s="102"/>
      <c r="F25" s="63"/>
      <c r="G25" s="63"/>
      <c r="H25" s="63">
        <f t="shared" si="0"/>
        <v>-270.29999999999927</v>
      </c>
    </row>
    <row r="26" spans="1:8">
      <c r="B26" t="s">
        <v>1204</v>
      </c>
      <c r="D26" s="102"/>
      <c r="F26" s="63"/>
      <c r="G26" s="63"/>
      <c r="H26" s="63">
        <f t="shared" si="0"/>
        <v>-270.29999999999927</v>
      </c>
    </row>
    <row r="27" spans="1:8">
      <c r="B27" t="s">
        <v>1205</v>
      </c>
      <c r="D27" s="322">
        <v>1000</v>
      </c>
      <c r="G27" s="63"/>
      <c r="H27" s="63">
        <f t="shared" si="0"/>
        <v>-270.29999999999927</v>
      </c>
    </row>
    <row r="28" spans="1:8">
      <c r="A28" s="100">
        <v>45002</v>
      </c>
      <c r="B28" s="8" t="s">
        <v>657</v>
      </c>
      <c r="D28" s="186"/>
      <c r="G28" s="63">
        <v>-200</v>
      </c>
      <c r="H28" s="63">
        <f t="shared" si="0"/>
        <v>-470.29999999999927</v>
      </c>
    </row>
    <row r="29" spans="1:8">
      <c r="A29" s="100">
        <v>45000</v>
      </c>
      <c r="B29" s="8" t="s">
        <v>1206</v>
      </c>
      <c r="D29" s="186"/>
      <c r="G29" s="63">
        <v>-3450</v>
      </c>
      <c r="H29" s="63">
        <f t="shared" si="0"/>
        <v>-3920.2999999999993</v>
      </c>
    </row>
    <row r="30" spans="1:8">
      <c r="A30" s="100"/>
      <c r="D30" s="102"/>
      <c r="E30" s="163"/>
      <c r="G30" s="63"/>
      <c r="H30" s="63">
        <f t="shared" si="0"/>
        <v>-3920.2999999999993</v>
      </c>
    </row>
    <row r="31" spans="1:8">
      <c r="A31" s="100">
        <v>45016</v>
      </c>
      <c r="B31" s="8" t="s">
        <v>1207</v>
      </c>
      <c r="D31" s="102"/>
      <c r="E31" s="63">
        <v>-294.89999999999998</v>
      </c>
      <c r="G31" s="63">
        <v>-294.89999999999998</v>
      </c>
      <c r="H31" s="63">
        <f t="shared" si="0"/>
        <v>-4215.1999999999989</v>
      </c>
    </row>
    <row r="32" spans="1:8">
      <c r="A32" s="100">
        <v>45015</v>
      </c>
      <c r="B32" s="8" t="s">
        <v>771</v>
      </c>
      <c r="D32" s="102">
        <v>70000</v>
      </c>
      <c r="F32" s="63"/>
      <c r="G32" s="63"/>
      <c r="H32" s="63">
        <f t="shared" si="0"/>
        <v>-4215.1999999999989</v>
      </c>
    </row>
    <row r="33" spans="1:8">
      <c r="A33" s="100"/>
      <c r="D33" s="102"/>
      <c r="G33" s="63"/>
      <c r="H33" s="63">
        <f t="shared" si="0"/>
        <v>-4215.1999999999989</v>
      </c>
    </row>
    <row r="34" spans="1:8">
      <c r="D34" s="63"/>
      <c r="F34" s="63"/>
      <c r="G34" s="63"/>
      <c r="H34" s="63">
        <f t="shared" si="0"/>
        <v>-4215.1999999999989</v>
      </c>
    </row>
    <row r="35" spans="1:8">
      <c r="A35" s="100">
        <v>44998</v>
      </c>
      <c r="B35" s="8" t="s">
        <v>1208</v>
      </c>
      <c r="D35" s="8" t="s">
        <v>391</v>
      </c>
      <c r="E35" s="163"/>
      <c r="F35" s="63"/>
      <c r="G35" s="63"/>
      <c r="H35" s="63">
        <f t="shared" si="0"/>
        <v>-4215.1999999999989</v>
      </c>
    </row>
    <row r="36" spans="1:8">
      <c r="A36" s="100">
        <v>44998</v>
      </c>
      <c r="B36" s="8" t="s">
        <v>1209</v>
      </c>
      <c r="D36" s="8" t="s">
        <v>391</v>
      </c>
      <c r="E36" s="163"/>
      <c r="F36" s="63"/>
      <c r="G36" s="63"/>
      <c r="H36" s="63">
        <f t="shared" si="0"/>
        <v>-4215.1999999999989</v>
      </c>
    </row>
    <row r="37" spans="1:8">
      <c r="A37" s="100">
        <v>44998</v>
      </c>
      <c r="B37" s="8" t="s">
        <v>1210</v>
      </c>
      <c r="E37" s="163"/>
      <c r="F37" s="63"/>
      <c r="G37" s="63">
        <v>-4800</v>
      </c>
      <c r="H37" s="63">
        <f t="shared" si="0"/>
        <v>-9015.1999999999989</v>
      </c>
    </row>
    <row r="38" spans="1:8">
      <c r="A38" s="100">
        <v>44998</v>
      </c>
      <c r="B38" s="8" t="s">
        <v>1211</v>
      </c>
      <c r="E38" s="163"/>
      <c r="F38" s="63">
        <v>1129</v>
      </c>
      <c r="G38" s="63">
        <v>-1129</v>
      </c>
      <c r="H38" s="63">
        <f t="shared" si="0"/>
        <v>-9015.1999999999989</v>
      </c>
    </row>
    <row r="39" spans="1:8">
      <c r="A39" s="100"/>
      <c r="E39" s="163"/>
      <c r="F39" s="63" t="s">
        <v>1212</v>
      </c>
      <c r="G39" s="63"/>
      <c r="H39" s="63"/>
    </row>
    <row r="40" spans="1:8">
      <c r="B40" t="s">
        <v>330</v>
      </c>
      <c r="E40" s="63"/>
      <c r="G40" s="63"/>
      <c r="H40" s="63"/>
    </row>
    <row r="41" spans="1:8">
      <c r="A41" s="103" t="s">
        <v>331</v>
      </c>
      <c r="B41" s="103"/>
      <c r="C41" s="103"/>
      <c r="D41" s="103"/>
      <c r="E41" s="158"/>
      <c r="G41" s="63"/>
      <c r="H41" s="63"/>
    </row>
    <row r="42" spans="1:8">
      <c r="A42" s="100"/>
      <c r="E42" s="63"/>
      <c r="G42" s="63"/>
      <c r="H42" s="63"/>
    </row>
    <row r="43" spans="1:8">
      <c r="A43" s="100"/>
      <c r="C43" s="171"/>
      <c r="G43" s="63"/>
      <c r="H43" s="63"/>
    </row>
    <row r="44" spans="1:8">
      <c r="A44" s="100"/>
      <c r="C44" s="171"/>
      <c r="G44" s="63"/>
      <c r="H44" s="63"/>
    </row>
    <row r="45" spans="1:8">
      <c r="A45" s="100"/>
      <c r="C45" s="171"/>
      <c r="G45" s="63"/>
      <c r="H45" s="63"/>
    </row>
    <row r="46" spans="1:8">
      <c r="A46" s="172">
        <v>44929</v>
      </c>
      <c r="B46" s="173" t="s">
        <v>332</v>
      </c>
      <c r="C46" s="103"/>
      <c r="D46" s="201">
        <f>SUM(D47:D54)</f>
        <v>3899.0699999999997</v>
      </c>
      <c r="E46" s="201">
        <f>SUM(E47:E54)</f>
        <v>3699.0699999999997</v>
      </c>
      <c r="G46" s="63"/>
      <c r="H46" s="63"/>
    </row>
    <row r="47" spans="1:8">
      <c r="B47" t="s">
        <v>1213</v>
      </c>
      <c r="D47">
        <v>933.16</v>
      </c>
      <c r="E47" s="63">
        <v>933.16</v>
      </c>
      <c r="F47" s="63"/>
      <c r="G47" s="63"/>
    </row>
    <row r="48" spans="1:8">
      <c r="B48" t="s">
        <v>334</v>
      </c>
      <c r="D48">
        <v>996.81</v>
      </c>
      <c r="E48" s="63">
        <v>996.81</v>
      </c>
      <c r="F48" s="63"/>
      <c r="G48" s="63"/>
    </row>
    <row r="49" spans="1:8">
      <c r="B49" t="s">
        <v>335</v>
      </c>
      <c r="D49">
        <v>233.14</v>
      </c>
      <c r="E49">
        <v>233.14</v>
      </c>
      <c r="F49" s="63"/>
      <c r="G49" s="63"/>
    </row>
    <row r="50" spans="1:8">
      <c r="B50" t="s">
        <v>1214</v>
      </c>
      <c r="D50">
        <v>200</v>
      </c>
      <c r="F50" s="63"/>
      <c r="G50" s="63"/>
    </row>
    <row r="51" spans="1:8">
      <c r="B51" t="s">
        <v>1215</v>
      </c>
      <c r="D51">
        <v>1128.6300000000001</v>
      </c>
      <c r="E51">
        <v>1128.6300000000001</v>
      </c>
      <c r="F51" s="63"/>
      <c r="G51" s="63"/>
    </row>
    <row r="52" spans="1:8">
      <c r="B52" t="s">
        <v>337</v>
      </c>
      <c r="C52" s="106"/>
      <c r="D52" s="106">
        <v>342.4</v>
      </c>
      <c r="E52">
        <v>342.4</v>
      </c>
      <c r="F52" s="63"/>
      <c r="G52" s="63"/>
    </row>
    <row r="53" spans="1:8">
      <c r="B53" t="s">
        <v>338</v>
      </c>
      <c r="C53" s="106"/>
      <c r="D53">
        <v>64.930000000000007</v>
      </c>
      <c r="E53" s="106">
        <v>64.930000000000007</v>
      </c>
      <c r="F53" s="63"/>
      <c r="G53" s="63"/>
    </row>
    <row r="54" spans="1:8">
      <c r="C54" s="106"/>
      <c r="D54" s="106"/>
      <c r="E54" s="163"/>
      <c r="F54" s="63"/>
      <c r="G54" s="63"/>
    </row>
    <row r="55" spans="1:8">
      <c r="G55" s="63"/>
    </row>
    <row r="56" spans="1:8">
      <c r="B56" s="17"/>
      <c r="G56" s="63"/>
    </row>
    <row r="57" spans="1:8">
      <c r="B57" s="102"/>
      <c r="G57" s="63"/>
    </row>
    <row r="58" spans="1:8">
      <c r="A58" s="103"/>
      <c r="B58" s="104" t="s">
        <v>83</v>
      </c>
      <c r="C58" s="103"/>
      <c r="D58" s="158"/>
      <c r="E58" s="316">
        <f>SUM(E59:E92)</f>
        <v>-7675.4</v>
      </c>
      <c r="G58" s="63"/>
    </row>
    <row r="59" spans="1:8">
      <c r="G59" s="63"/>
      <c r="H59" s="63"/>
    </row>
    <row r="60" spans="1:8">
      <c r="A60" s="100">
        <v>44866</v>
      </c>
      <c r="B60" s="106" t="s">
        <v>1216</v>
      </c>
      <c r="C60" s="106"/>
      <c r="D60" s="106" t="s">
        <v>445</v>
      </c>
      <c r="E60" s="163">
        <v>-208.17</v>
      </c>
      <c r="F60" s="63"/>
      <c r="G60" s="63"/>
      <c r="H60" s="63"/>
    </row>
    <row r="61" spans="1:8">
      <c r="A61" s="100">
        <v>44871</v>
      </c>
      <c r="B61" s="106" t="s">
        <v>1217</v>
      </c>
      <c r="C61" s="106"/>
      <c r="D61" s="106" t="s">
        <v>445</v>
      </c>
      <c r="E61" s="163">
        <v>-151.65</v>
      </c>
      <c r="F61" s="63"/>
      <c r="G61" s="63"/>
      <c r="H61" s="63"/>
    </row>
    <row r="62" spans="1:8">
      <c r="A62" s="100">
        <v>44873</v>
      </c>
      <c r="B62" s="8" t="s">
        <v>1218</v>
      </c>
      <c r="C62" s="106"/>
      <c r="D62" s="106" t="s">
        <v>776</v>
      </c>
      <c r="E62" s="163">
        <v>-1111.1099999999999</v>
      </c>
      <c r="F62" s="63"/>
      <c r="G62" s="63"/>
      <c r="H62" s="63"/>
    </row>
    <row r="63" spans="1:8">
      <c r="A63" s="100">
        <v>44920</v>
      </c>
      <c r="B63" s="106" t="s">
        <v>1178</v>
      </c>
      <c r="C63" s="106"/>
      <c r="D63" s="106" t="s">
        <v>1035</v>
      </c>
      <c r="E63" s="163">
        <v>-397.46</v>
      </c>
      <c r="F63" s="63"/>
      <c r="G63" s="63"/>
      <c r="H63" s="63"/>
    </row>
    <row r="64" spans="1:8">
      <c r="A64" s="100">
        <v>44920</v>
      </c>
      <c r="B64" s="106" t="s">
        <v>1179</v>
      </c>
      <c r="C64" s="106"/>
      <c r="D64" s="106" t="s">
        <v>1035</v>
      </c>
      <c r="E64" s="163">
        <v>-80.91</v>
      </c>
      <c r="F64" s="63"/>
      <c r="G64" s="63"/>
      <c r="H64" s="63"/>
    </row>
    <row r="65" spans="1:8">
      <c r="A65" s="100">
        <v>44920</v>
      </c>
      <c r="B65" s="106" t="s">
        <v>1180</v>
      </c>
      <c r="C65" s="106"/>
      <c r="D65" s="106" t="s">
        <v>1035</v>
      </c>
      <c r="E65" s="163">
        <v>-127.05</v>
      </c>
      <c r="F65" s="63"/>
      <c r="G65" s="63"/>
      <c r="H65" s="63"/>
    </row>
    <row r="66" spans="1:8">
      <c r="A66" s="100">
        <v>44920</v>
      </c>
      <c r="B66" s="106" t="s">
        <v>1181</v>
      </c>
      <c r="C66" s="106"/>
      <c r="D66" s="106" t="s">
        <v>1035</v>
      </c>
      <c r="E66" s="163">
        <v>-49.31</v>
      </c>
      <c r="F66" s="63"/>
      <c r="G66" s="63"/>
      <c r="H66" s="63"/>
    </row>
    <row r="67" spans="1:8">
      <c r="A67" s="100">
        <v>44952</v>
      </c>
      <c r="B67" s="8" t="s">
        <v>1219</v>
      </c>
      <c r="E67" s="163">
        <v>-167.74</v>
      </c>
      <c r="F67" s="63"/>
      <c r="G67" s="63"/>
      <c r="H67" s="63"/>
    </row>
    <row r="68" spans="1:8">
      <c r="A68" s="100">
        <v>44953</v>
      </c>
      <c r="B68" s="8" t="s">
        <v>1220</v>
      </c>
      <c r="E68" s="163">
        <v>-169.33</v>
      </c>
      <c r="F68" s="63"/>
      <c r="G68" s="63"/>
      <c r="H68" s="63"/>
    </row>
    <row r="69" spans="1:8">
      <c r="A69" s="100">
        <v>44954</v>
      </c>
      <c r="B69" s="8" t="s">
        <v>1221</v>
      </c>
      <c r="D69" s="35"/>
      <c r="E69" s="163">
        <v>-150.32</v>
      </c>
      <c r="F69" s="63"/>
      <c r="G69" s="63"/>
      <c r="H69" s="63"/>
    </row>
    <row r="70" spans="1:8">
      <c r="A70" s="100">
        <v>44956</v>
      </c>
      <c r="B70" s="8" t="s">
        <v>1222</v>
      </c>
      <c r="D70" s="35"/>
      <c r="E70" s="163">
        <v>-171.76</v>
      </c>
      <c r="F70" s="63"/>
      <c r="G70" s="63"/>
      <c r="H70" s="63"/>
    </row>
    <row r="71" spans="1:8">
      <c r="A71" s="100">
        <v>44957</v>
      </c>
      <c r="B71" s="8" t="s">
        <v>1223</v>
      </c>
      <c r="D71" s="35"/>
      <c r="E71" s="163">
        <v>-119.42</v>
      </c>
      <c r="F71" s="63"/>
      <c r="G71" s="63"/>
      <c r="H71" s="63"/>
    </row>
    <row r="72" spans="1:8">
      <c r="A72" s="100">
        <v>44957</v>
      </c>
      <c r="B72" s="8" t="s">
        <v>822</v>
      </c>
      <c r="D72" s="35"/>
      <c r="E72" s="163">
        <v>-225.4</v>
      </c>
      <c r="F72" s="63"/>
      <c r="G72" s="63"/>
      <c r="H72" s="63"/>
    </row>
    <row r="73" spans="1:8">
      <c r="A73" s="100">
        <v>44957</v>
      </c>
      <c r="B73" s="8" t="s">
        <v>822</v>
      </c>
      <c r="D73" s="35"/>
      <c r="E73" s="163">
        <v>-225.4</v>
      </c>
      <c r="F73" s="63"/>
      <c r="G73" s="63"/>
      <c r="H73" s="63"/>
    </row>
    <row r="74" spans="1:8">
      <c r="A74" s="100">
        <v>44957</v>
      </c>
      <c r="B74" s="8" t="s">
        <v>823</v>
      </c>
      <c r="C74">
        <v>437.97</v>
      </c>
      <c r="D74" s="35" t="s">
        <v>1183</v>
      </c>
      <c r="E74" s="163">
        <v>-145.99</v>
      </c>
      <c r="F74" s="63"/>
      <c r="G74" s="63"/>
      <c r="H74" s="63"/>
    </row>
    <row r="75" spans="1:8">
      <c r="A75" s="100">
        <v>44957</v>
      </c>
      <c r="B75" s="8" t="s">
        <v>824</v>
      </c>
      <c r="C75">
        <v>404.23</v>
      </c>
      <c r="D75" s="35" t="s">
        <v>1183</v>
      </c>
      <c r="E75" s="163">
        <v>-134.74</v>
      </c>
      <c r="F75" s="63"/>
      <c r="G75" s="63"/>
      <c r="H75" s="63"/>
    </row>
    <row r="76" spans="1:8">
      <c r="A76" s="100">
        <v>44957</v>
      </c>
      <c r="B76" s="8" t="s">
        <v>825</v>
      </c>
      <c r="C76">
        <v>1135</v>
      </c>
      <c r="D76" s="35" t="s">
        <v>1183</v>
      </c>
      <c r="E76" s="163">
        <v>-378.33</v>
      </c>
      <c r="F76" s="63"/>
      <c r="G76" s="63"/>
      <c r="H76" s="63"/>
    </row>
    <row r="77" spans="1:8">
      <c r="A77" s="100">
        <v>44958</v>
      </c>
      <c r="B77" s="8" t="s">
        <v>1224</v>
      </c>
      <c r="E77" s="163">
        <v>-880.22</v>
      </c>
      <c r="G77" s="63"/>
    </row>
    <row r="78" spans="1:8">
      <c r="A78" s="100">
        <v>44958</v>
      </c>
      <c r="B78" s="8" t="s">
        <v>1225</v>
      </c>
      <c r="E78" s="163">
        <v>-218.24</v>
      </c>
      <c r="G78" s="63"/>
    </row>
    <row r="79" spans="1:8">
      <c r="A79" s="100">
        <v>44960</v>
      </c>
      <c r="B79" s="8" t="s">
        <v>1226</v>
      </c>
      <c r="E79" s="163">
        <v>-120.45</v>
      </c>
      <c r="G79" s="63"/>
    </row>
    <row r="80" spans="1:8">
      <c r="A80" s="100">
        <v>44963</v>
      </c>
      <c r="B80" s="8" t="s">
        <v>1227</v>
      </c>
      <c r="D80" s="35"/>
      <c r="E80" s="163">
        <v>-130.56</v>
      </c>
      <c r="G80" s="63"/>
    </row>
    <row r="81" spans="1:8">
      <c r="A81" s="100">
        <v>44969</v>
      </c>
      <c r="B81" s="8" t="s">
        <v>1228</v>
      </c>
      <c r="D81" s="35"/>
      <c r="E81" s="163">
        <v>-51.99</v>
      </c>
      <c r="G81" s="63"/>
    </row>
    <row r="82" spans="1:8">
      <c r="A82" s="100">
        <v>44970</v>
      </c>
      <c r="B82" s="8" t="s">
        <v>530</v>
      </c>
      <c r="D82" s="35"/>
      <c r="E82" s="163">
        <v>-379</v>
      </c>
      <c r="G82" s="63"/>
    </row>
    <row r="83" spans="1:8">
      <c r="A83" s="100">
        <v>44970</v>
      </c>
      <c r="B83" s="8" t="s">
        <v>530</v>
      </c>
      <c r="D83" s="35"/>
      <c r="E83" s="163">
        <v>-510</v>
      </c>
      <c r="G83" s="63"/>
    </row>
    <row r="84" spans="1:8">
      <c r="A84" s="100">
        <v>44971</v>
      </c>
      <c r="B84" s="8" t="s">
        <v>1228</v>
      </c>
      <c r="D84" s="35"/>
      <c r="E84" s="163">
        <v>-51.99</v>
      </c>
      <c r="G84" s="63"/>
    </row>
    <row r="85" spans="1:8">
      <c r="A85" s="100">
        <v>44972</v>
      </c>
      <c r="B85" s="8" t="s">
        <v>1229</v>
      </c>
      <c r="D85" s="35"/>
      <c r="E85" s="163">
        <v>-54.77</v>
      </c>
      <c r="G85" s="63"/>
    </row>
    <row r="86" spans="1:8">
      <c r="A86" s="100">
        <v>44972</v>
      </c>
      <c r="B86" s="8" t="s">
        <v>1230</v>
      </c>
      <c r="D86" s="35"/>
      <c r="E86" s="163">
        <v>-459</v>
      </c>
      <c r="G86" s="63"/>
    </row>
    <row r="87" spans="1:8">
      <c r="A87" s="100">
        <v>44972</v>
      </c>
      <c r="B87" s="8" t="s">
        <v>1231</v>
      </c>
      <c r="D87" s="35"/>
      <c r="E87" s="163">
        <v>-211</v>
      </c>
      <c r="G87" s="63"/>
    </row>
    <row r="88" spans="1:8">
      <c r="A88" s="100">
        <v>44977</v>
      </c>
      <c r="B88" s="8" t="s">
        <v>1232</v>
      </c>
      <c r="D88" s="35"/>
      <c r="E88" s="163">
        <v>-100</v>
      </c>
      <c r="G88" s="63"/>
    </row>
    <row r="89" spans="1:8">
      <c r="A89" s="100">
        <v>44977</v>
      </c>
      <c r="B89" s="8" t="s">
        <v>1232</v>
      </c>
      <c r="D89" s="35"/>
      <c r="E89" s="163">
        <v>-10</v>
      </c>
      <c r="G89" s="63"/>
    </row>
    <row r="90" spans="1:8">
      <c r="A90" s="100">
        <v>44981</v>
      </c>
      <c r="B90" s="8" t="s">
        <v>135</v>
      </c>
      <c r="D90" s="35"/>
      <c r="E90" s="163">
        <v>-132.77000000000001</v>
      </c>
      <c r="G90" s="63"/>
    </row>
    <row r="91" spans="1:8">
      <c r="A91" s="100">
        <v>44982</v>
      </c>
      <c r="B91" s="8" t="s">
        <v>135</v>
      </c>
      <c r="D91" s="35"/>
      <c r="E91" s="163">
        <v>-186.34</v>
      </c>
      <c r="G91" s="63"/>
    </row>
    <row r="92" spans="1:8">
      <c r="A92" s="100">
        <v>44982</v>
      </c>
      <c r="B92" s="8" t="s">
        <v>1121</v>
      </c>
      <c r="C92">
        <v>659.93</v>
      </c>
      <c r="D92" s="35" t="s">
        <v>1090</v>
      </c>
      <c r="E92" s="163">
        <v>-164.98</v>
      </c>
      <c r="G92" s="63"/>
    </row>
    <row r="93" spans="1:8">
      <c r="A93" s="323">
        <v>44982</v>
      </c>
      <c r="D93" s="35"/>
      <c r="E93" s="324" t="s">
        <v>1163</v>
      </c>
      <c r="G93" s="63"/>
    </row>
    <row r="94" spans="1:8">
      <c r="G94" s="63"/>
    </row>
    <row r="95" spans="1:8">
      <c r="A95" s="103"/>
      <c r="B95" s="104" t="s">
        <v>85</v>
      </c>
      <c r="C95" s="103"/>
      <c r="D95" s="103"/>
      <c r="E95" s="159">
        <f>SUM(E96:E109)</f>
        <v>-1174.72</v>
      </c>
      <c r="G95" s="63"/>
    </row>
    <row r="96" spans="1:8">
      <c r="A96" s="100">
        <v>44965</v>
      </c>
      <c r="B96" s="106" t="s">
        <v>1233</v>
      </c>
      <c r="C96" s="106"/>
      <c r="D96" s="106"/>
      <c r="E96" s="163">
        <v>-122.33</v>
      </c>
      <c r="F96" s="63"/>
      <c r="G96" s="63"/>
      <c r="H96" s="63"/>
    </row>
    <row r="97" spans="1:8">
      <c r="A97" s="100">
        <v>44965</v>
      </c>
      <c r="B97" s="106" t="s">
        <v>1234</v>
      </c>
      <c r="C97" s="106"/>
      <c r="D97" s="106"/>
      <c r="E97" s="163">
        <v>-713.25</v>
      </c>
      <c r="F97" s="63"/>
      <c r="G97" s="63"/>
      <c r="H97" s="63"/>
    </row>
    <row r="98" spans="1:8">
      <c r="A98" s="100">
        <v>44974</v>
      </c>
      <c r="B98" s="106" t="s">
        <v>1161</v>
      </c>
      <c r="C98" s="106"/>
      <c r="D98" s="106"/>
      <c r="E98" s="163">
        <v>-41.98</v>
      </c>
      <c r="F98" s="63"/>
      <c r="G98" s="63"/>
      <c r="H98" s="63"/>
    </row>
    <row r="99" spans="1:8">
      <c r="A99" s="100">
        <v>44979</v>
      </c>
      <c r="B99" s="106" t="s">
        <v>1161</v>
      </c>
      <c r="C99" s="106"/>
      <c r="D99" s="106"/>
      <c r="E99" s="163">
        <v>-130.93</v>
      </c>
      <c r="F99" s="63"/>
      <c r="G99" s="63"/>
      <c r="H99" s="63"/>
    </row>
    <row r="100" spans="1:8">
      <c r="A100" s="100">
        <v>44980</v>
      </c>
      <c r="B100" s="106" t="s">
        <v>1161</v>
      </c>
      <c r="C100" s="106"/>
      <c r="D100" s="106"/>
      <c r="E100" s="163">
        <v>-166.23</v>
      </c>
      <c r="F100" s="63"/>
      <c r="G100" s="63"/>
      <c r="H100" s="63"/>
    </row>
    <row r="101" spans="1:8">
      <c r="A101" s="323">
        <v>44981</v>
      </c>
      <c r="C101" s="106"/>
      <c r="D101" s="106"/>
      <c r="E101" s="324" t="s">
        <v>1163</v>
      </c>
      <c r="F101" s="63"/>
      <c r="G101" s="63"/>
      <c r="H101" s="63"/>
    </row>
    <row r="102" spans="1:8">
      <c r="A102" s="100"/>
      <c r="B102" s="107"/>
      <c r="E102" s="163"/>
    </row>
    <row r="103" spans="1:8">
      <c r="A103" s="100"/>
      <c r="B103" s="107"/>
      <c r="E103" s="163"/>
    </row>
    <row r="104" spans="1:8">
      <c r="A104" s="100"/>
      <c r="B104" s="107"/>
      <c r="E104" s="163"/>
    </row>
    <row r="105" spans="1:8">
      <c r="A105" s="100"/>
      <c r="B105" s="107"/>
      <c r="E105" s="163"/>
    </row>
    <row r="106" spans="1:8">
      <c r="A106" s="100"/>
      <c r="B106" s="107"/>
      <c r="E106" s="163"/>
    </row>
    <row r="107" spans="1:8">
      <c r="A107" s="100"/>
      <c r="B107" s="107"/>
      <c r="E107" s="163"/>
    </row>
    <row r="111" spans="1:8">
      <c r="A111" s="103"/>
      <c r="B111" s="104" t="s">
        <v>1235</v>
      </c>
      <c r="C111" s="103"/>
      <c r="D111" s="158"/>
      <c r="E111" s="159">
        <f>SUM(E112:E120)</f>
        <v>310932.3</v>
      </c>
    </row>
    <row r="112" spans="1:8">
      <c r="A112" s="100">
        <v>45016</v>
      </c>
      <c r="B112" s="8" t="s">
        <v>77</v>
      </c>
      <c r="C112" s="2"/>
      <c r="D112" s="2"/>
      <c r="E112" s="17">
        <v>64000</v>
      </c>
    </row>
    <row r="113" spans="1:5">
      <c r="A113" s="100">
        <v>45016</v>
      </c>
      <c r="B113" s="8" t="s">
        <v>1236</v>
      </c>
      <c r="C113" s="2"/>
      <c r="D113" s="2"/>
      <c r="E113" s="17">
        <v>53088</v>
      </c>
    </row>
    <row r="114" spans="1:5">
      <c r="A114" s="100">
        <v>45016</v>
      </c>
      <c r="B114" s="8" t="s">
        <v>305</v>
      </c>
      <c r="C114" s="2"/>
      <c r="D114" s="2"/>
      <c r="E114" s="17">
        <v>17383.580000000002</v>
      </c>
    </row>
    <row r="115" spans="1:5">
      <c r="A115" s="100">
        <v>45016</v>
      </c>
      <c r="B115" s="8" t="s">
        <v>306</v>
      </c>
      <c r="C115" s="2"/>
      <c r="D115" s="2"/>
      <c r="E115" s="17">
        <v>0.59</v>
      </c>
    </row>
    <row r="116" spans="1:5">
      <c r="A116" s="100">
        <v>45016</v>
      </c>
      <c r="B116" s="8" t="s">
        <v>1011</v>
      </c>
      <c r="C116" s="2">
        <v>1179.83</v>
      </c>
      <c r="D116" s="2">
        <v>111</v>
      </c>
      <c r="E116" s="17">
        <f>D116*C116</f>
        <v>130961.12999999999</v>
      </c>
    </row>
    <row r="117" spans="1:5">
      <c r="A117" s="100">
        <v>45016</v>
      </c>
      <c r="B117" s="8" t="s">
        <v>1108</v>
      </c>
      <c r="C117" s="2">
        <v>18.78</v>
      </c>
      <c r="D117" s="2">
        <v>850</v>
      </c>
      <c r="E117" s="17">
        <f>D117*C117</f>
        <v>15963.000000000002</v>
      </c>
    </row>
    <row r="118" spans="1:5">
      <c r="A118" s="100">
        <v>45016</v>
      </c>
      <c r="B118" s="8" t="s">
        <v>1109</v>
      </c>
      <c r="C118" s="2">
        <v>20.36</v>
      </c>
      <c r="D118" s="2">
        <v>100</v>
      </c>
      <c r="E118" s="17">
        <f>D118*C118</f>
        <v>2036</v>
      </c>
    </row>
    <row r="119" spans="1:5">
      <c r="A119" s="100">
        <v>45016</v>
      </c>
      <c r="B119" s="8" t="s">
        <v>153</v>
      </c>
      <c r="C119" s="2"/>
      <c r="D119" s="2"/>
      <c r="E119" s="17">
        <v>26300</v>
      </c>
    </row>
    <row r="120" spans="1:5">
      <c r="A120" s="100"/>
      <c r="B120" s="8" t="s">
        <v>154</v>
      </c>
      <c r="C120" s="2"/>
      <c r="D120" s="2"/>
      <c r="E120" s="17">
        <v>1200</v>
      </c>
    </row>
    <row r="121" spans="1:5">
      <c r="D121" s="18" t="s">
        <v>1237</v>
      </c>
      <c r="E121" s="63">
        <f>H2</f>
        <v>-10144.200000000001</v>
      </c>
    </row>
    <row r="122" spans="1:5">
      <c r="D122" s="3"/>
    </row>
    <row r="123" spans="1:5">
      <c r="D123" s="18" t="s">
        <v>156</v>
      </c>
      <c r="E123" s="8">
        <f>SUM(E112:E122)</f>
        <v>300788.09999999998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395511"/>
  </sheetPr>
  <dimension ref="A1:H123"/>
  <sheetViews>
    <sheetView topLeftCell="A11" zoomScale="170" zoomScaleNormal="170" workbookViewId="0">
      <selection activeCell="B11" sqref="B11"/>
    </sheetView>
  </sheetViews>
  <sheetFormatPr defaultColWidth="12.28515625" defaultRowHeight="12.75"/>
  <cols>
    <col min="1" max="1" width="11.5703125" customWidth="1"/>
    <col min="2" max="2" width="33.85546875" customWidth="1"/>
    <col min="3" max="3" width="7" customWidth="1"/>
    <col min="5" max="5" width="12.28515625" style="163"/>
    <col min="1024" max="1024" width="9.140625" customWidth="1"/>
  </cols>
  <sheetData>
    <row r="1" spans="1:8">
      <c r="F1" s="189" t="s">
        <v>28</v>
      </c>
      <c r="G1" s="189" t="s">
        <v>29</v>
      </c>
      <c r="H1" s="189" t="s">
        <v>3</v>
      </c>
    </row>
    <row r="2" spans="1:8">
      <c r="A2" s="3" t="s">
        <v>1077</v>
      </c>
      <c r="C2" s="79" t="s">
        <v>67</v>
      </c>
      <c r="D2" s="306">
        <f>SUM(D4:D43)</f>
        <v>15761</v>
      </c>
      <c r="E2" s="163">
        <f>SUM(E4:E38)</f>
        <v>-56286.92</v>
      </c>
      <c r="F2" s="306">
        <f>SUM(F4:F43)</f>
        <v>26990.010000000002</v>
      </c>
      <c r="G2" s="306">
        <f>SUM(G4:G43)</f>
        <v>-77441.489999999991</v>
      </c>
      <c r="H2" s="306">
        <f>F2+G2</f>
        <v>-50451.479999999989</v>
      </c>
    </row>
    <row r="3" spans="1:8">
      <c r="B3" s="18"/>
      <c r="H3" s="63"/>
    </row>
    <row r="4" spans="1:8">
      <c r="A4" s="100">
        <v>44959</v>
      </c>
      <c r="B4" s="101" t="s">
        <v>80</v>
      </c>
      <c r="C4" s="101"/>
      <c r="D4" s="101"/>
      <c r="E4" s="63">
        <v>-400</v>
      </c>
      <c r="G4" s="63">
        <v>-264</v>
      </c>
      <c r="H4" s="63">
        <f t="shared" ref="H4:H41" si="0">H3+F4+G4</f>
        <v>-264</v>
      </c>
    </row>
    <row r="5" spans="1:8">
      <c r="A5" s="100">
        <v>44959</v>
      </c>
      <c r="B5" s="101" t="s">
        <v>81</v>
      </c>
      <c r="C5" s="101"/>
      <c r="D5" s="101"/>
      <c r="E5" s="63">
        <v>-500</v>
      </c>
      <c r="G5" s="63">
        <v>-531</v>
      </c>
      <c r="H5" s="63">
        <f t="shared" si="0"/>
        <v>-795</v>
      </c>
    </row>
    <row r="6" spans="1:8">
      <c r="A6" s="100">
        <v>44960</v>
      </c>
      <c r="B6" s="178" t="s">
        <v>69</v>
      </c>
      <c r="E6" s="63">
        <f>E87</f>
        <v>-3076.2899999999995</v>
      </c>
      <c r="G6" s="63">
        <v>-3076.29</v>
      </c>
      <c r="H6" s="63">
        <f t="shared" si="0"/>
        <v>-3871.29</v>
      </c>
    </row>
    <row r="7" spans="1:8">
      <c r="A7" s="100">
        <v>44962</v>
      </c>
      <c r="B7" s="325" t="s">
        <v>1238</v>
      </c>
      <c r="C7" s="325"/>
      <c r="D7" s="326"/>
      <c r="E7" s="327"/>
      <c r="F7" s="328">
        <v>6920</v>
      </c>
      <c r="G7" s="63"/>
      <c r="H7" s="63">
        <f t="shared" si="0"/>
        <v>3048.71</v>
      </c>
    </row>
    <row r="8" spans="1:8">
      <c r="A8" s="100">
        <v>44963</v>
      </c>
      <c r="B8" s="325" t="s">
        <v>1239</v>
      </c>
      <c r="C8" s="325" t="s">
        <v>391</v>
      </c>
      <c r="D8" s="326"/>
      <c r="E8" s="327"/>
      <c r="F8" s="328">
        <v>6000</v>
      </c>
      <c r="G8" s="63"/>
      <c r="H8" s="63">
        <f t="shared" si="0"/>
        <v>9048.7099999999991</v>
      </c>
    </row>
    <row r="9" spans="1:8">
      <c r="A9" s="100">
        <v>44963</v>
      </c>
      <c r="B9" s="178" t="s">
        <v>68</v>
      </c>
      <c r="E9" s="63">
        <f>E62</f>
        <v>-4657.2000000000007</v>
      </c>
      <c r="F9" s="63"/>
      <c r="G9" s="63">
        <v>-4657.21</v>
      </c>
      <c r="H9" s="63">
        <f t="shared" si="0"/>
        <v>4391.4999999999991</v>
      </c>
    </row>
    <row r="10" spans="1:8">
      <c r="A10" s="100">
        <v>44963</v>
      </c>
      <c r="B10" s="8" t="s">
        <v>1240</v>
      </c>
      <c r="F10" s="63"/>
      <c r="G10" s="63">
        <v>-5000</v>
      </c>
      <c r="H10" s="63">
        <f t="shared" si="0"/>
        <v>-608.50000000000091</v>
      </c>
    </row>
    <row r="11" spans="1:8">
      <c r="A11" s="100">
        <v>44964</v>
      </c>
      <c r="B11" s="101" t="s">
        <v>721</v>
      </c>
      <c r="C11" s="101"/>
      <c r="D11" s="101"/>
      <c r="E11" s="63">
        <v>-4300</v>
      </c>
      <c r="G11" s="63">
        <v>-4300</v>
      </c>
      <c r="H11" s="63">
        <f t="shared" si="0"/>
        <v>-4908.5000000000009</v>
      </c>
    </row>
    <row r="12" spans="1:8">
      <c r="A12" s="100">
        <v>44964</v>
      </c>
      <c r="B12" s="101" t="s">
        <v>70</v>
      </c>
      <c r="C12" s="101"/>
      <c r="D12" s="101"/>
      <c r="E12" s="63">
        <v>-674.74</v>
      </c>
      <c r="F12" s="63"/>
      <c r="G12" s="63">
        <v>-670.27</v>
      </c>
      <c r="H12" s="63">
        <f t="shared" si="0"/>
        <v>-5578.77</v>
      </c>
    </row>
    <row r="13" spans="1:8">
      <c r="A13" s="100">
        <v>44964</v>
      </c>
      <c r="B13" s="101" t="s">
        <v>75</v>
      </c>
      <c r="C13" s="101"/>
      <c r="D13" s="101"/>
      <c r="E13" s="63">
        <v>-150</v>
      </c>
      <c r="F13" s="63"/>
      <c r="G13" s="63">
        <v>-102.03</v>
      </c>
      <c r="H13" s="63">
        <f t="shared" si="0"/>
        <v>-5680.8</v>
      </c>
    </row>
    <row r="14" spans="1:8">
      <c r="A14" s="100">
        <v>44964</v>
      </c>
      <c r="B14" s="8" t="s">
        <v>1241</v>
      </c>
      <c r="D14" s="102"/>
      <c r="E14" s="63">
        <v>-2667</v>
      </c>
      <c r="G14" s="63">
        <v>-3000</v>
      </c>
      <c r="H14" s="63">
        <f t="shared" si="0"/>
        <v>-8680.7999999999993</v>
      </c>
    </row>
    <row r="15" spans="1:8">
      <c r="A15" s="100"/>
      <c r="B15" s="178" t="s">
        <v>72</v>
      </c>
      <c r="E15" s="63">
        <f>D58*-1</f>
        <v>-87.69</v>
      </c>
      <c r="G15" s="63">
        <f>D58*-1</f>
        <v>-87.69</v>
      </c>
      <c r="H15" s="63">
        <f t="shared" si="0"/>
        <v>-8768.49</v>
      </c>
    </row>
    <row r="16" spans="1:8">
      <c r="A16" s="100">
        <v>44971</v>
      </c>
      <c r="B16" s="178" t="s">
        <v>1242</v>
      </c>
      <c r="E16" s="63"/>
      <c r="G16" s="63">
        <v>-204</v>
      </c>
      <c r="H16" s="63">
        <f t="shared" si="0"/>
        <v>-8972.49</v>
      </c>
    </row>
    <row r="17" spans="1:8">
      <c r="A17" s="100"/>
      <c r="B17" s="101" t="s">
        <v>1243</v>
      </c>
      <c r="E17" s="63"/>
      <c r="G17" s="63">
        <v>-95</v>
      </c>
      <c r="H17" s="63">
        <f t="shared" si="0"/>
        <v>-9067.49</v>
      </c>
    </row>
    <row r="18" spans="1:8">
      <c r="A18" s="100">
        <v>44977</v>
      </c>
      <c r="B18" s="106" t="s">
        <v>73</v>
      </c>
      <c r="D18" s="106"/>
      <c r="E18" s="63">
        <v>-1000</v>
      </c>
      <c r="F18" s="163"/>
      <c r="G18" s="63">
        <v>-1872.5</v>
      </c>
      <c r="H18" s="63">
        <f t="shared" si="0"/>
        <v>-10939.99</v>
      </c>
    </row>
    <row r="19" spans="1:8">
      <c r="A19" s="100">
        <v>44977</v>
      </c>
      <c r="B19" s="106" t="s">
        <v>74</v>
      </c>
      <c r="C19" s="106"/>
      <c r="D19" s="106"/>
      <c r="E19" s="63">
        <v>-150</v>
      </c>
      <c r="F19" s="163"/>
      <c r="G19" s="63">
        <v>-99.5</v>
      </c>
      <c r="H19" s="63">
        <f t="shared" si="0"/>
        <v>-11039.49</v>
      </c>
    </row>
    <row r="20" spans="1:8">
      <c r="B20" s="106"/>
      <c r="C20" s="106"/>
      <c r="D20" s="106"/>
      <c r="F20" s="163"/>
      <c r="G20" s="63"/>
      <c r="H20" s="63">
        <f t="shared" si="0"/>
        <v>-11039.49</v>
      </c>
    </row>
    <row r="21" spans="1:8">
      <c r="A21" s="100">
        <v>44974</v>
      </c>
      <c r="B21" s="8" t="s">
        <v>1244</v>
      </c>
      <c r="D21" s="186">
        <v>5500</v>
      </c>
      <c r="E21" s="63"/>
      <c r="F21" s="63">
        <v>5570.01</v>
      </c>
      <c r="G21" s="63"/>
      <c r="H21" s="63">
        <f t="shared" si="0"/>
        <v>-5469.48</v>
      </c>
    </row>
    <row r="22" spans="1:8">
      <c r="B22" s="106"/>
      <c r="C22" s="106"/>
      <c r="D22" s="106"/>
      <c r="F22" s="163"/>
      <c r="G22" s="163"/>
      <c r="H22" s="63">
        <f t="shared" si="0"/>
        <v>-5469.48</v>
      </c>
    </row>
    <row r="23" spans="1:8">
      <c r="B23" t="s">
        <v>77</v>
      </c>
      <c r="E23" s="63">
        <v>-2750</v>
      </c>
      <c r="F23" s="63"/>
      <c r="G23" s="63">
        <v>-2702</v>
      </c>
      <c r="H23" s="63">
        <f t="shared" si="0"/>
        <v>-8171.48</v>
      </c>
    </row>
    <row r="24" spans="1:8">
      <c r="A24" s="100">
        <v>44984</v>
      </c>
      <c r="B24" s="8" t="s">
        <v>1245</v>
      </c>
      <c r="E24" s="63">
        <v>-30374</v>
      </c>
      <c r="F24" s="63"/>
      <c r="G24" s="63"/>
      <c r="H24" s="63">
        <f t="shared" si="0"/>
        <v>-8171.48</v>
      </c>
    </row>
    <row r="25" spans="1:8">
      <c r="B25" t="s">
        <v>78</v>
      </c>
      <c r="E25" s="63">
        <v>-2750</v>
      </c>
      <c r="F25" s="63"/>
      <c r="G25" s="63">
        <v>-2702</v>
      </c>
      <c r="H25" s="63">
        <f t="shared" si="0"/>
        <v>-10873.48</v>
      </c>
    </row>
    <row r="26" spans="1:8">
      <c r="B26" t="s">
        <v>79</v>
      </c>
      <c r="E26" s="63">
        <v>-2750</v>
      </c>
      <c r="F26" s="63"/>
      <c r="G26" s="63">
        <v>-2750</v>
      </c>
      <c r="H26" s="63">
        <f t="shared" si="0"/>
        <v>-13623.48</v>
      </c>
    </row>
    <row r="27" spans="1:8">
      <c r="B27" t="s">
        <v>1246</v>
      </c>
      <c r="F27" s="63"/>
      <c r="G27" s="63">
        <v>-5040</v>
      </c>
      <c r="H27" s="63">
        <f t="shared" si="0"/>
        <v>-18663.48</v>
      </c>
    </row>
    <row r="28" spans="1:8">
      <c r="B28" t="s">
        <v>1198</v>
      </c>
      <c r="D28" s="2">
        <v>1111</v>
      </c>
      <c r="F28" s="63"/>
      <c r="G28" s="63"/>
      <c r="H28" s="63">
        <f t="shared" si="0"/>
        <v>-18663.48</v>
      </c>
    </row>
    <row r="29" spans="1:8">
      <c r="A29" s="100">
        <v>44981</v>
      </c>
      <c r="B29" s="8" t="s">
        <v>1247</v>
      </c>
      <c r="F29" s="63">
        <v>2000</v>
      </c>
      <c r="G29" s="63"/>
      <c r="H29" s="63">
        <f t="shared" si="0"/>
        <v>-16663.48</v>
      </c>
    </row>
    <row r="30" spans="1:8">
      <c r="B30" t="s">
        <v>1248</v>
      </c>
      <c r="D30" s="186">
        <v>1650</v>
      </c>
      <c r="F30" s="63"/>
      <c r="G30" s="63"/>
      <c r="H30" s="63">
        <f t="shared" si="0"/>
        <v>-16663.48</v>
      </c>
    </row>
    <row r="31" spans="1:8">
      <c r="A31" s="100">
        <v>44987</v>
      </c>
      <c r="B31" s="8" t="s">
        <v>1249</v>
      </c>
      <c r="D31" s="186">
        <v>6500</v>
      </c>
      <c r="F31" s="63">
        <v>6500</v>
      </c>
      <c r="G31" s="63"/>
      <c r="H31" s="63">
        <f t="shared" si="0"/>
        <v>-10163.48</v>
      </c>
    </row>
    <row r="32" spans="1:8">
      <c r="B32" t="s">
        <v>1250</v>
      </c>
      <c r="D32" s="329">
        <v>1000</v>
      </c>
      <c r="H32" s="63">
        <f t="shared" si="0"/>
        <v>-10163.48</v>
      </c>
    </row>
    <row r="33" spans="1:8">
      <c r="B33" s="25" t="s">
        <v>1251</v>
      </c>
      <c r="D33" s="102"/>
      <c r="G33" s="63"/>
      <c r="H33" s="63">
        <f t="shared" si="0"/>
        <v>-10163.48</v>
      </c>
    </row>
    <row r="34" spans="1:8">
      <c r="A34" s="100"/>
      <c r="B34" s="312" t="s">
        <v>1252</v>
      </c>
      <c r="C34" s="106"/>
      <c r="D34" s="106"/>
      <c r="H34" s="63">
        <f t="shared" si="0"/>
        <v>-10163.48</v>
      </c>
    </row>
    <row r="35" spans="1:8">
      <c r="H35" s="63">
        <f t="shared" si="0"/>
        <v>-10163.48</v>
      </c>
    </row>
    <row r="36" spans="1:8">
      <c r="H36" s="63">
        <f t="shared" si="0"/>
        <v>-10163.48</v>
      </c>
    </row>
    <row r="37" spans="1:8">
      <c r="H37" s="63">
        <f t="shared" si="0"/>
        <v>-10163.48</v>
      </c>
    </row>
    <row r="38" spans="1:8">
      <c r="A38" s="100">
        <v>44962</v>
      </c>
      <c r="B38" s="8" t="s">
        <v>1253</v>
      </c>
      <c r="C38" s="8" t="s">
        <v>391</v>
      </c>
      <c r="D38" s="102"/>
      <c r="G38" s="63">
        <v>-1368</v>
      </c>
      <c r="H38" s="63">
        <f t="shared" si="0"/>
        <v>-11531.48</v>
      </c>
    </row>
    <row r="39" spans="1:8">
      <c r="A39" s="100">
        <v>44962</v>
      </c>
      <c r="B39" s="8" t="s">
        <v>1254</v>
      </c>
      <c r="C39" s="8" t="s">
        <v>391</v>
      </c>
      <c r="D39" s="63"/>
      <c r="F39" s="63"/>
      <c r="G39" s="63">
        <v>-6920</v>
      </c>
      <c r="H39" s="63">
        <f t="shared" si="0"/>
        <v>-18451.48</v>
      </c>
    </row>
    <row r="40" spans="1:8">
      <c r="A40" s="100"/>
      <c r="D40" s="63"/>
      <c r="F40" s="63"/>
      <c r="G40" s="63"/>
      <c r="H40" s="63">
        <f t="shared" si="0"/>
        <v>-18451.48</v>
      </c>
    </row>
    <row r="41" spans="1:8">
      <c r="A41" s="100">
        <v>44974</v>
      </c>
      <c r="B41" s="8" t="s">
        <v>1255</v>
      </c>
      <c r="D41" s="63"/>
      <c r="F41" s="63"/>
      <c r="G41" s="63">
        <v>-32000</v>
      </c>
      <c r="H41" s="63">
        <f t="shared" si="0"/>
        <v>-50451.479999999996</v>
      </c>
    </row>
    <row r="42" spans="1:8">
      <c r="H42" s="63"/>
    </row>
    <row r="43" spans="1:8">
      <c r="G43" s="63"/>
      <c r="H43" s="63"/>
    </row>
    <row r="44" spans="1:8">
      <c r="B44" t="s">
        <v>330</v>
      </c>
      <c r="G44" s="63"/>
      <c r="H44" s="63"/>
    </row>
    <row r="45" spans="1:8">
      <c r="A45" s="103" t="s">
        <v>331</v>
      </c>
      <c r="B45" s="103"/>
      <c r="C45" s="103"/>
      <c r="D45" s="103"/>
      <c r="G45" s="63"/>
      <c r="H45" s="63"/>
    </row>
    <row r="46" spans="1:8">
      <c r="A46" s="317">
        <v>44650</v>
      </c>
      <c r="B46" s="312" t="s">
        <v>1256</v>
      </c>
      <c r="C46" s="312"/>
      <c r="D46" s="312" t="s">
        <v>1257</v>
      </c>
      <c r="H46" s="63"/>
    </row>
    <row r="47" spans="1:8">
      <c r="A47" s="317">
        <v>44844</v>
      </c>
      <c r="B47" s="312" t="s">
        <v>1258</v>
      </c>
      <c r="C47" s="314"/>
      <c r="D47" s="312" t="s">
        <v>1259</v>
      </c>
      <c r="H47" s="63"/>
    </row>
    <row r="48" spans="1:8">
      <c r="A48" s="317"/>
      <c r="B48" s="312" t="s">
        <v>1260</v>
      </c>
      <c r="C48" s="314"/>
      <c r="D48" s="312"/>
      <c r="E48" s="163">
        <v>300</v>
      </c>
      <c r="H48" s="63"/>
    </row>
    <row r="49" spans="1:8">
      <c r="A49" s="100"/>
      <c r="C49" s="171"/>
      <c r="H49" s="63"/>
    </row>
    <row r="50" spans="1:8">
      <c r="A50" s="172">
        <v>44929</v>
      </c>
      <c r="B50" s="173" t="s">
        <v>332</v>
      </c>
      <c r="C50" s="103"/>
      <c r="D50" s="201">
        <f>SUM(D51:D58)</f>
        <v>4615.6899999999996</v>
      </c>
      <c r="E50" s="163">
        <f>SUM(E51:E58)</f>
        <v>4215.6899999999996</v>
      </c>
      <c r="H50" s="63"/>
    </row>
    <row r="51" spans="1:8">
      <c r="B51" t="s">
        <v>1213</v>
      </c>
      <c r="D51">
        <v>1245.19</v>
      </c>
      <c r="E51" s="163">
        <v>1245</v>
      </c>
      <c r="F51" s="63"/>
      <c r="G51" s="63"/>
    </row>
    <row r="52" spans="1:8">
      <c r="B52" t="s">
        <v>334</v>
      </c>
      <c r="D52">
        <v>914.78</v>
      </c>
      <c r="E52" s="163">
        <v>915</v>
      </c>
      <c r="F52" s="63"/>
      <c r="G52" s="63"/>
    </row>
    <row r="53" spans="1:8">
      <c r="B53" t="s">
        <v>335</v>
      </c>
      <c r="D53">
        <v>295.54000000000002</v>
      </c>
      <c r="E53" s="163">
        <v>295</v>
      </c>
      <c r="F53" s="63"/>
      <c r="G53" s="63"/>
    </row>
    <row r="54" spans="1:8">
      <c r="B54" t="s">
        <v>1261</v>
      </c>
      <c r="D54">
        <v>200</v>
      </c>
      <c r="F54" s="63"/>
      <c r="G54" s="63"/>
    </row>
    <row r="55" spans="1:8">
      <c r="B55" t="s">
        <v>1262</v>
      </c>
      <c r="D55">
        <v>1367.33</v>
      </c>
      <c r="E55" s="163">
        <v>1368</v>
      </c>
      <c r="F55" s="63"/>
      <c r="G55" s="63"/>
    </row>
    <row r="56" spans="1:8">
      <c r="B56" t="s">
        <v>337</v>
      </c>
      <c r="C56" s="106"/>
      <c r="D56">
        <v>305.16000000000003</v>
      </c>
      <c r="E56" s="163">
        <v>305</v>
      </c>
      <c r="F56" s="63"/>
      <c r="G56" s="63"/>
    </row>
    <row r="57" spans="1:8">
      <c r="B57" t="s">
        <v>1263</v>
      </c>
      <c r="C57" s="106"/>
      <c r="D57" s="330">
        <v>200</v>
      </c>
      <c r="F57" s="63"/>
      <c r="G57" s="63"/>
    </row>
    <row r="58" spans="1:8">
      <c r="B58" t="s">
        <v>229</v>
      </c>
      <c r="C58" s="106"/>
      <c r="D58" s="106">
        <v>87.69</v>
      </c>
      <c r="E58" s="163">
        <v>87.69</v>
      </c>
      <c r="F58" s="63"/>
      <c r="G58" s="63"/>
    </row>
    <row r="60" spans="1:8">
      <c r="B60" s="17"/>
    </row>
    <row r="61" spans="1:8">
      <c r="B61" s="102"/>
    </row>
    <row r="62" spans="1:8">
      <c r="A62" s="103"/>
      <c r="B62" s="104" t="s">
        <v>83</v>
      </c>
      <c r="C62" s="103"/>
      <c r="D62" s="158"/>
      <c r="E62" s="331">
        <f>SUM(E63:E85)</f>
        <v>-4657.2000000000007</v>
      </c>
    </row>
    <row r="63" spans="1:8">
      <c r="G63" s="63"/>
      <c r="H63" s="63"/>
    </row>
    <row r="64" spans="1:8">
      <c r="A64" s="100">
        <v>44866</v>
      </c>
      <c r="B64" s="106" t="s">
        <v>1216</v>
      </c>
      <c r="C64" s="106"/>
      <c r="D64" s="106" t="s">
        <v>476</v>
      </c>
      <c r="E64" s="163">
        <v>-208.17</v>
      </c>
      <c r="F64" s="63"/>
      <c r="G64" s="63"/>
      <c r="H64" s="63"/>
    </row>
    <row r="65" spans="1:8">
      <c r="A65" s="100">
        <v>44871</v>
      </c>
      <c r="B65" s="106" t="s">
        <v>1217</v>
      </c>
      <c r="C65" s="106"/>
      <c r="D65" s="106" t="s">
        <v>476</v>
      </c>
      <c r="E65" s="163">
        <v>-151.65</v>
      </c>
      <c r="F65" s="63"/>
      <c r="G65" s="63"/>
      <c r="H65" s="63"/>
    </row>
    <row r="66" spans="1:8">
      <c r="A66" s="100">
        <v>44873</v>
      </c>
      <c r="B66" s="8" t="s">
        <v>1264</v>
      </c>
      <c r="C66" s="106"/>
      <c r="D66" s="106" t="s">
        <v>931</v>
      </c>
      <c r="E66" s="163">
        <v>-1111.1099999999999</v>
      </c>
      <c r="F66" s="63"/>
      <c r="G66" s="63"/>
      <c r="H66" s="63"/>
    </row>
    <row r="67" spans="1:8">
      <c r="A67" s="100">
        <v>44887</v>
      </c>
      <c r="B67" s="106" t="s">
        <v>1265</v>
      </c>
      <c r="C67" s="106"/>
      <c r="D67" s="101" t="s">
        <v>1124</v>
      </c>
      <c r="E67" s="163">
        <v>-678.58</v>
      </c>
      <c r="F67" s="63"/>
      <c r="G67" s="63"/>
      <c r="H67" s="63"/>
    </row>
    <row r="68" spans="1:8">
      <c r="A68" s="100">
        <v>44920</v>
      </c>
      <c r="B68" s="106" t="s">
        <v>1178</v>
      </c>
      <c r="C68" s="106"/>
      <c r="D68" s="106" t="s">
        <v>1062</v>
      </c>
      <c r="E68" s="163">
        <v>-397.46</v>
      </c>
      <c r="F68" s="63"/>
      <c r="G68" s="63"/>
      <c r="H68" s="63"/>
    </row>
    <row r="69" spans="1:8">
      <c r="A69" s="100">
        <v>44920</v>
      </c>
      <c r="B69" s="106" t="s">
        <v>1179</v>
      </c>
      <c r="C69" s="106"/>
      <c r="D69" s="106" t="s">
        <v>1062</v>
      </c>
      <c r="E69" s="163">
        <v>-80.91</v>
      </c>
      <c r="F69" s="63"/>
      <c r="G69" s="63"/>
      <c r="H69" s="63"/>
    </row>
    <row r="70" spans="1:8">
      <c r="A70" s="100">
        <v>44920</v>
      </c>
      <c r="B70" s="106" t="s">
        <v>1180</v>
      </c>
      <c r="C70" s="106"/>
      <c r="D70" s="106" t="s">
        <v>1062</v>
      </c>
      <c r="E70" s="163">
        <v>-127.05</v>
      </c>
      <c r="F70" s="63"/>
      <c r="G70" s="63"/>
      <c r="H70" s="63"/>
    </row>
    <row r="71" spans="1:8">
      <c r="A71" s="100">
        <v>44920</v>
      </c>
      <c r="B71" s="106" t="s">
        <v>1181</v>
      </c>
      <c r="C71" s="106"/>
      <c r="D71" s="106" t="s">
        <v>1062</v>
      </c>
      <c r="E71" s="163">
        <v>-49.31</v>
      </c>
      <c r="F71" s="63"/>
      <c r="G71" s="63"/>
      <c r="H71" s="63"/>
    </row>
    <row r="72" spans="1:8">
      <c r="A72" s="100">
        <v>44924</v>
      </c>
      <c r="B72" s="8" t="s">
        <v>749</v>
      </c>
      <c r="C72" s="106"/>
      <c r="D72" s="106"/>
      <c r="E72" s="163">
        <v>-76.3</v>
      </c>
      <c r="F72" s="63"/>
      <c r="G72" s="63"/>
      <c r="H72" s="63"/>
    </row>
    <row r="73" spans="1:8">
      <c r="A73" s="100">
        <v>44925</v>
      </c>
      <c r="B73" s="8" t="s">
        <v>1266</v>
      </c>
      <c r="D73" s="8" t="s">
        <v>1267</v>
      </c>
    </row>
    <row r="74" spans="1:8">
      <c r="A74" s="100">
        <v>44925</v>
      </c>
      <c r="B74" s="8" t="s">
        <v>1268</v>
      </c>
      <c r="E74" s="163">
        <v>-47.8</v>
      </c>
    </row>
    <row r="75" spans="1:8">
      <c r="A75" s="100">
        <v>44934</v>
      </c>
      <c r="B75" s="8" t="s">
        <v>1269</v>
      </c>
      <c r="E75" s="163">
        <v>-556.07000000000005</v>
      </c>
    </row>
    <row r="76" spans="1:8">
      <c r="A76" s="100">
        <v>44936</v>
      </c>
      <c r="B76" s="8" t="s">
        <v>1270</v>
      </c>
      <c r="E76" s="163">
        <v>-79.34</v>
      </c>
    </row>
    <row r="77" spans="1:8">
      <c r="A77" s="100">
        <v>44937</v>
      </c>
      <c r="B77" s="8" t="s">
        <v>1220</v>
      </c>
      <c r="E77" s="163">
        <v>-123.45</v>
      </c>
    </row>
    <row r="78" spans="1:8">
      <c r="A78" s="100">
        <v>44938</v>
      </c>
      <c r="B78" s="8" t="s">
        <v>1221</v>
      </c>
      <c r="E78" s="163">
        <v>-113.57</v>
      </c>
    </row>
    <row r="79" spans="1:8">
      <c r="A79" s="100">
        <v>44939</v>
      </c>
      <c r="B79" s="8" t="s">
        <v>1222</v>
      </c>
      <c r="E79" s="163">
        <v>-118.62</v>
      </c>
    </row>
    <row r="80" spans="1:8">
      <c r="A80" s="100">
        <v>44940</v>
      </c>
      <c r="B80" s="8" t="s">
        <v>1223</v>
      </c>
      <c r="E80" s="163">
        <v>-123.85</v>
      </c>
    </row>
    <row r="81" spans="1:8">
      <c r="A81" s="100">
        <v>44942</v>
      </c>
      <c r="B81" s="8" t="s">
        <v>1226</v>
      </c>
      <c r="E81" s="163">
        <v>-177.33</v>
      </c>
    </row>
    <row r="82" spans="1:8">
      <c r="A82" s="100">
        <v>44947</v>
      </c>
      <c r="B82" s="8" t="s">
        <v>1063</v>
      </c>
      <c r="E82" s="163">
        <v>-100</v>
      </c>
    </row>
    <row r="83" spans="1:8">
      <c r="A83" s="100">
        <v>44949</v>
      </c>
      <c r="B83" s="8" t="s">
        <v>1227</v>
      </c>
      <c r="E83" s="163">
        <v>-111.1</v>
      </c>
    </row>
    <row r="84" spans="1:8">
      <c r="A84" s="100">
        <v>44950</v>
      </c>
      <c r="B84" s="8" t="s">
        <v>1271</v>
      </c>
      <c r="E84" s="163">
        <v>-99.87</v>
      </c>
    </row>
    <row r="85" spans="1:8">
      <c r="A85" s="100">
        <v>44951</v>
      </c>
      <c r="B85" s="8" t="s">
        <v>1272</v>
      </c>
      <c r="E85" s="163">
        <v>-125.66</v>
      </c>
    </row>
    <row r="87" spans="1:8">
      <c r="A87" s="103"/>
      <c r="B87" s="104" t="s">
        <v>85</v>
      </c>
      <c r="C87" s="103"/>
      <c r="D87" s="103"/>
      <c r="E87" s="331">
        <f>SUM(E88:E103)</f>
        <v>-3076.2899999999995</v>
      </c>
    </row>
    <row r="88" spans="1:8">
      <c r="A88" s="100">
        <v>44919</v>
      </c>
      <c r="B88" s="106" t="s">
        <v>1273</v>
      </c>
      <c r="C88" s="106"/>
      <c r="D88" s="106"/>
      <c r="E88" s="163">
        <v>-136.19</v>
      </c>
      <c r="F88" s="63"/>
      <c r="G88" s="63"/>
      <c r="H88" s="63"/>
    </row>
    <row r="89" spans="1:8">
      <c r="A89" s="100">
        <v>44921</v>
      </c>
      <c r="B89" s="106" t="s">
        <v>1274</v>
      </c>
      <c r="C89" s="106"/>
      <c r="D89" s="106"/>
      <c r="E89" s="163">
        <v>-193.47</v>
      </c>
      <c r="F89" s="63"/>
      <c r="G89" s="63"/>
      <c r="H89" s="63"/>
    </row>
    <row r="90" spans="1:8">
      <c r="A90" s="100">
        <v>44922</v>
      </c>
      <c r="B90" s="106" t="s">
        <v>1275</v>
      </c>
      <c r="C90" s="106"/>
      <c r="D90" s="106"/>
      <c r="E90" s="163">
        <v>-600</v>
      </c>
      <c r="F90" s="63"/>
      <c r="G90" s="63"/>
      <c r="H90" s="63"/>
    </row>
    <row r="91" spans="1:8">
      <c r="A91" s="100">
        <v>44922</v>
      </c>
      <c r="B91" s="106" t="s">
        <v>1276</v>
      </c>
      <c r="C91" s="106"/>
      <c r="D91" s="106"/>
      <c r="E91" s="163">
        <v>-206.27</v>
      </c>
      <c r="F91" s="63"/>
      <c r="G91" s="63"/>
      <c r="H91" s="63"/>
    </row>
    <row r="92" spans="1:8">
      <c r="A92" s="100">
        <v>44923</v>
      </c>
      <c r="B92" s="106" t="s">
        <v>1277</v>
      </c>
      <c r="C92" s="106"/>
      <c r="D92" s="106"/>
      <c r="E92" s="163">
        <v>-146.44</v>
      </c>
      <c r="F92" s="63"/>
      <c r="G92" s="63"/>
      <c r="H92" s="63"/>
    </row>
    <row r="93" spans="1:8">
      <c r="A93" s="100">
        <v>44927</v>
      </c>
      <c r="B93" s="106" t="s">
        <v>546</v>
      </c>
      <c r="C93" s="106"/>
      <c r="D93" s="106"/>
      <c r="E93" s="163">
        <v>-340</v>
      </c>
      <c r="F93" s="63"/>
      <c r="G93" s="63"/>
      <c r="H93" s="63"/>
    </row>
    <row r="94" spans="1:8">
      <c r="A94" s="100">
        <v>44928</v>
      </c>
      <c r="B94" s="107" t="s">
        <v>1278</v>
      </c>
      <c r="E94" s="163">
        <v>-164.8</v>
      </c>
    </row>
    <row r="95" spans="1:8">
      <c r="A95" s="100">
        <v>44930</v>
      </c>
      <c r="B95" s="107" t="s">
        <v>1279</v>
      </c>
      <c r="E95" s="163">
        <v>-139.33000000000001</v>
      </c>
    </row>
    <row r="96" spans="1:8">
      <c r="A96" s="100">
        <v>44931</v>
      </c>
      <c r="B96" s="107" t="s">
        <v>1280</v>
      </c>
      <c r="E96" s="163">
        <v>-143.19999999999999</v>
      </c>
    </row>
    <row r="97" spans="1:7">
      <c r="A97" s="100">
        <v>44934</v>
      </c>
      <c r="B97" s="8" t="s">
        <v>1281</v>
      </c>
      <c r="E97" s="163">
        <v>-297.38</v>
      </c>
    </row>
    <row r="98" spans="1:7">
      <c r="A98" s="100">
        <v>44944</v>
      </c>
      <c r="B98" s="8" t="s">
        <v>1282</v>
      </c>
      <c r="E98" s="163">
        <v>-286.02999999999997</v>
      </c>
    </row>
    <row r="99" spans="1:7">
      <c r="A99" s="100">
        <v>44944</v>
      </c>
      <c r="B99" s="8" t="s">
        <v>1282</v>
      </c>
      <c r="E99" s="163">
        <v>-423.18</v>
      </c>
    </row>
    <row r="100" spans="1:7">
      <c r="A100" s="100">
        <v>44950</v>
      </c>
      <c r="B100" s="8" t="s">
        <v>1283</v>
      </c>
      <c r="D100" s="35"/>
      <c r="E100" s="163">
        <v>-31.35</v>
      </c>
    </row>
    <row r="101" spans="1:7">
      <c r="B101" t="s">
        <v>1284</v>
      </c>
      <c r="D101" s="35"/>
      <c r="E101" s="163">
        <v>31.35</v>
      </c>
    </row>
    <row r="109" spans="1:7">
      <c r="A109" s="100"/>
      <c r="D109" s="63"/>
      <c r="F109" s="63"/>
      <c r="G109" s="63"/>
    </row>
    <row r="111" spans="1:7">
      <c r="A111" s="103"/>
      <c r="B111" s="104" t="s">
        <v>1285</v>
      </c>
      <c r="C111" s="103"/>
      <c r="D111" s="158"/>
      <c r="E111" s="159">
        <f>SUM(E112:E119)</f>
        <v>335748</v>
      </c>
    </row>
    <row r="112" spans="1:7">
      <c r="A112" s="100">
        <v>45291</v>
      </c>
      <c r="B112" s="8" t="s">
        <v>77</v>
      </c>
      <c r="E112" s="163">
        <v>64000</v>
      </c>
    </row>
    <row r="113" spans="1:5">
      <c r="A113" s="100">
        <v>45291</v>
      </c>
      <c r="B113" s="8" t="s">
        <v>78</v>
      </c>
      <c r="E113" s="163">
        <v>48288</v>
      </c>
    </row>
    <row r="114" spans="1:5">
      <c r="A114" s="100">
        <v>45291</v>
      </c>
      <c r="B114" s="8" t="s">
        <v>305</v>
      </c>
      <c r="E114" s="163">
        <v>44567</v>
      </c>
    </row>
    <row r="115" spans="1:5">
      <c r="A115" s="100">
        <v>45291</v>
      </c>
      <c r="B115" s="8" t="s">
        <v>306</v>
      </c>
      <c r="E115" s="163">
        <v>5590</v>
      </c>
    </row>
    <row r="116" spans="1:5">
      <c r="A116" s="100">
        <v>45291</v>
      </c>
      <c r="B116" s="8" t="s">
        <v>811</v>
      </c>
      <c r="C116">
        <v>1093</v>
      </c>
      <c r="D116">
        <v>111</v>
      </c>
      <c r="E116" s="163">
        <f>D116*C116</f>
        <v>121323</v>
      </c>
    </row>
    <row r="117" spans="1:5">
      <c r="A117" s="100">
        <v>45291</v>
      </c>
      <c r="B117" s="8" t="s">
        <v>812</v>
      </c>
      <c r="C117">
        <v>18.8</v>
      </c>
      <c r="D117">
        <v>850</v>
      </c>
      <c r="E117" s="163">
        <f>D117*C117</f>
        <v>15980</v>
      </c>
    </row>
    <row r="118" spans="1:5">
      <c r="A118" s="100">
        <v>45291</v>
      </c>
      <c r="B118" s="8" t="s">
        <v>813</v>
      </c>
      <c r="C118">
        <v>20</v>
      </c>
      <c r="D118">
        <v>100</v>
      </c>
      <c r="E118" s="163">
        <f>D118*C118</f>
        <v>2000</v>
      </c>
    </row>
    <row r="119" spans="1:5">
      <c r="A119" s="100">
        <v>45291</v>
      </c>
      <c r="B119" s="8" t="s">
        <v>814</v>
      </c>
      <c r="E119" s="163">
        <v>34000</v>
      </c>
    </row>
    <row r="120" spans="1:5">
      <c r="A120" s="100"/>
    </row>
    <row r="121" spans="1:5">
      <c r="D121" t="s">
        <v>1286</v>
      </c>
      <c r="E121" s="63">
        <f>H2</f>
        <v>-50451.479999999989</v>
      </c>
    </row>
    <row r="123" spans="1:5">
      <c r="D123" s="18" t="s">
        <v>156</v>
      </c>
      <c r="E123" s="163">
        <f>SUM(E112:E122)</f>
        <v>285296.52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395511"/>
  </sheetPr>
  <dimension ref="A1:H122"/>
  <sheetViews>
    <sheetView topLeftCell="A83" zoomScale="170" zoomScaleNormal="170" workbookViewId="0"/>
  </sheetViews>
  <sheetFormatPr defaultColWidth="12.28515625" defaultRowHeight="12.75"/>
  <cols>
    <col min="2" max="2" width="35.85546875" customWidth="1"/>
    <col min="3" max="3" width="5.140625" customWidth="1"/>
    <col min="4" max="4" width="11.5703125" customWidth="1"/>
    <col min="1024" max="1024" width="9.140625" customWidth="1"/>
  </cols>
  <sheetData>
    <row r="1" spans="1:8"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1287</v>
      </c>
      <c r="C2" s="79" t="s">
        <v>67</v>
      </c>
      <c r="D2" s="306">
        <f>SUM(D4:D27)</f>
        <v>13261</v>
      </c>
      <c r="E2" s="306">
        <f>SUM(E5:E27)</f>
        <v>-22808.309999999998</v>
      </c>
      <c r="F2" s="306">
        <f>SUM(F4:F28)</f>
        <v>8049.2</v>
      </c>
      <c r="G2" s="306">
        <f>SUM(G4:G28)</f>
        <v>-23047.62</v>
      </c>
      <c r="H2" s="306">
        <f>F2+G2</f>
        <v>-14998.419999999998</v>
      </c>
    </row>
    <row r="3" spans="1:8">
      <c r="B3" s="18"/>
      <c r="H3" s="63"/>
    </row>
    <row r="4" spans="1:8">
      <c r="B4" s="18"/>
      <c r="H4" s="63"/>
    </row>
    <row r="5" spans="1:8">
      <c r="A5" s="100">
        <v>44928</v>
      </c>
      <c r="B5" s="101" t="s">
        <v>80</v>
      </c>
      <c r="C5" s="101"/>
      <c r="D5" s="101"/>
      <c r="E5" s="63">
        <v>-400</v>
      </c>
      <c r="G5" s="63">
        <v>-230</v>
      </c>
      <c r="H5" s="63">
        <f t="shared" ref="H5:H24" si="0">H4+F5+G5</f>
        <v>-230</v>
      </c>
    </row>
    <row r="6" spans="1:8">
      <c r="A6" s="100">
        <v>44928</v>
      </c>
      <c r="B6" s="101" t="s">
        <v>81</v>
      </c>
      <c r="C6" s="101"/>
      <c r="D6" s="101"/>
      <c r="E6" s="63">
        <v>-500</v>
      </c>
      <c r="G6" s="63">
        <v>-523</v>
      </c>
      <c r="H6" s="63">
        <f t="shared" si="0"/>
        <v>-753</v>
      </c>
    </row>
    <row r="7" spans="1:8">
      <c r="A7" s="100">
        <v>44933</v>
      </c>
      <c r="B7" s="101" t="s">
        <v>759</v>
      </c>
      <c r="C7" s="101"/>
      <c r="D7" s="101"/>
      <c r="E7" s="63">
        <v>-4300</v>
      </c>
      <c r="G7" s="63">
        <v>-4300</v>
      </c>
      <c r="H7" s="63">
        <f t="shared" si="0"/>
        <v>-5053</v>
      </c>
    </row>
    <row r="8" spans="1:8">
      <c r="A8" s="100">
        <v>44568</v>
      </c>
      <c r="B8" s="101" t="s">
        <v>760</v>
      </c>
      <c r="C8" s="101"/>
      <c r="D8" s="101"/>
      <c r="E8" s="63">
        <v>-674.74</v>
      </c>
      <c r="F8" s="163"/>
      <c r="G8" s="63">
        <v>-674.74</v>
      </c>
      <c r="H8" s="63">
        <f t="shared" si="0"/>
        <v>-5727.74</v>
      </c>
    </row>
    <row r="9" spans="1:8">
      <c r="A9" s="100">
        <v>44568</v>
      </c>
      <c r="B9" s="101" t="s">
        <v>75</v>
      </c>
      <c r="C9" s="101"/>
      <c r="D9" s="101"/>
      <c r="E9" s="63">
        <v>-150</v>
      </c>
      <c r="F9" s="163"/>
      <c r="G9" s="63">
        <v>-153.05000000000001</v>
      </c>
      <c r="H9" s="63">
        <f t="shared" si="0"/>
        <v>-5880.79</v>
      </c>
    </row>
    <row r="10" spans="1:8">
      <c r="A10" s="100">
        <v>44942</v>
      </c>
      <c r="B10" s="106" t="s">
        <v>74</v>
      </c>
      <c r="C10" s="106"/>
      <c r="D10" s="106"/>
      <c r="E10" s="63">
        <v>-100</v>
      </c>
      <c r="F10" s="163"/>
      <c r="G10" s="63">
        <v>-87</v>
      </c>
      <c r="H10" s="63">
        <f t="shared" si="0"/>
        <v>-5967.79</v>
      </c>
    </row>
    <row r="11" spans="1:8">
      <c r="A11" s="100">
        <v>44942</v>
      </c>
      <c r="B11" s="106" t="s">
        <v>73</v>
      </c>
      <c r="C11" s="106"/>
      <c r="D11" s="106"/>
      <c r="E11" s="63">
        <v>-1000</v>
      </c>
      <c r="F11" s="163"/>
      <c r="G11" s="63">
        <v>-1560</v>
      </c>
      <c r="H11" s="63">
        <f t="shared" si="0"/>
        <v>-7527.79</v>
      </c>
    </row>
    <row r="12" spans="1:8">
      <c r="B12" s="178" t="s">
        <v>72</v>
      </c>
      <c r="D12" s="63"/>
      <c r="E12" s="63">
        <v>-200</v>
      </c>
      <c r="G12" s="63">
        <v>-183.26</v>
      </c>
      <c r="H12" s="63">
        <f t="shared" si="0"/>
        <v>-7711.05</v>
      </c>
    </row>
    <row r="13" spans="1:8">
      <c r="B13" s="178" t="s">
        <v>68</v>
      </c>
      <c r="E13" s="63">
        <f>E48</f>
        <v>-7233.5699999999988</v>
      </c>
      <c r="F13" s="63"/>
      <c r="G13" s="63">
        <v>-7233.57</v>
      </c>
      <c r="H13" s="63">
        <f t="shared" si="0"/>
        <v>-14944.619999999999</v>
      </c>
    </row>
    <row r="14" spans="1:8">
      <c r="B14" s="178" t="s">
        <v>1288</v>
      </c>
      <c r="E14" s="2"/>
      <c r="H14" s="63">
        <f t="shared" si="0"/>
        <v>-14944.619999999999</v>
      </c>
    </row>
    <row r="15" spans="1:8">
      <c r="B15" t="s">
        <v>77</v>
      </c>
      <c r="E15" s="63">
        <v>-2750</v>
      </c>
      <c r="F15" s="63"/>
      <c r="G15" s="63">
        <v>-2701</v>
      </c>
      <c r="H15" s="63">
        <f t="shared" si="0"/>
        <v>-17645.62</v>
      </c>
    </row>
    <row r="16" spans="1:8">
      <c r="B16" t="s">
        <v>78</v>
      </c>
      <c r="E16" s="63">
        <v>-2750</v>
      </c>
      <c r="F16" s="63"/>
      <c r="G16" s="63">
        <v>-2701</v>
      </c>
      <c r="H16" s="63">
        <f t="shared" si="0"/>
        <v>-20346.62</v>
      </c>
    </row>
    <row r="17" spans="1:8">
      <c r="B17" t="s">
        <v>79</v>
      </c>
      <c r="E17" s="63">
        <v>-2750</v>
      </c>
      <c r="F17" s="63"/>
      <c r="G17" s="63">
        <v>-2701</v>
      </c>
      <c r="H17" s="63">
        <f t="shared" si="0"/>
        <v>-23047.62</v>
      </c>
    </row>
    <row r="18" spans="1:8">
      <c r="B18" t="s">
        <v>1289</v>
      </c>
      <c r="D18">
        <v>1111</v>
      </c>
      <c r="E18" s="163"/>
      <c r="F18" s="63"/>
      <c r="G18" s="63"/>
      <c r="H18" s="63">
        <f t="shared" si="0"/>
        <v>-23047.62</v>
      </c>
    </row>
    <row r="19" spans="1:8">
      <c r="A19" s="100">
        <v>44944</v>
      </c>
      <c r="B19" s="8" t="s">
        <v>821</v>
      </c>
      <c r="E19" s="163"/>
      <c r="F19" s="63">
        <v>1500</v>
      </c>
      <c r="G19" s="63"/>
      <c r="H19" s="63">
        <f t="shared" si="0"/>
        <v>-21547.62</v>
      </c>
    </row>
    <row r="20" spans="1:8">
      <c r="B20" t="s">
        <v>76</v>
      </c>
      <c r="D20" s="186">
        <v>5500</v>
      </c>
      <c r="F20" s="63">
        <v>5549.2</v>
      </c>
      <c r="G20" s="63"/>
      <c r="H20" s="63">
        <f t="shared" si="0"/>
        <v>-15998.419999999998</v>
      </c>
    </row>
    <row r="21" spans="1:8">
      <c r="B21" t="s">
        <v>1248</v>
      </c>
      <c r="D21" s="186">
        <v>1650</v>
      </c>
      <c r="F21" s="63"/>
      <c r="G21" s="63"/>
      <c r="H21" s="63">
        <f t="shared" si="0"/>
        <v>-15998.419999999998</v>
      </c>
    </row>
    <row r="22" spans="1:8">
      <c r="A22" t="s">
        <v>876</v>
      </c>
      <c r="B22" t="s">
        <v>1239</v>
      </c>
      <c r="D22" s="186">
        <v>3000</v>
      </c>
      <c r="F22" s="63"/>
      <c r="G22" s="63"/>
      <c r="H22" s="63">
        <f t="shared" si="0"/>
        <v>-15998.419999999998</v>
      </c>
    </row>
    <row r="23" spans="1:8">
      <c r="A23" t="s">
        <v>876</v>
      </c>
      <c r="B23" t="s">
        <v>1290</v>
      </c>
      <c r="D23" s="329">
        <v>1000</v>
      </c>
      <c r="H23" s="63">
        <f t="shared" si="0"/>
        <v>-15998.419999999998</v>
      </c>
    </row>
    <row r="24" spans="1:8">
      <c r="A24" s="100">
        <v>44928</v>
      </c>
      <c r="B24" s="312" t="s">
        <v>1291</v>
      </c>
      <c r="C24" s="312"/>
      <c r="D24" s="332">
        <v>1000</v>
      </c>
      <c r="F24" s="63">
        <v>1000</v>
      </c>
      <c r="G24" s="63"/>
      <c r="H24" s="63">
        <f t="shared" si="0"/>
        <v>-14998.419999999998</v>
      </c>
    </row>
    <row r="25" spans="1:8">
      <c r="A25" s="100"/>
      <c r="D25" s="102"/>
      <c r="H25" s="63"/>
    </row>
    <row r="26" spans="1:8">
      <c r="D26" s="63"/>
      <c r="F26" s="63"/>
      <c r="G26" s="63"/>
      <c r="H26" s="63"/>
    </row>
    <row r="27" spans="1:8" ht="15.75">
      <c r="B27" s="179"/>
      <c r="F27" s="63"/>
      <c r="G27" s="63"/>
      <c r="H27" s="63"/>
    </row>
    <row r="28" spans="1:8">
      <c r="E28" s="63"/>
      <c r="G28" s="63"/>
      <c r="H28" s="63"/>
    </row>
    <row r="29" spans="1:8">
      <c r="B29" t="s">
        <v>330</v>
      </c>
      <c r="E29" s="63"/>
      <c r="G29" s="63"/>
      <c r="H29" s="63"/>
    </row>
    <row r="30" spans="1:8">
      <c r="A30" s="103" t="s">
        <v>331</v>
      </c>
      <c r="B30" s="103"/>
      <c r="C30" s="103"/>
      <c r="D30" s="103"/>
      <c r="E30" s="158"/>
      <c r="G30" s="63"/>
      <c r="H30" s="63"/>
    </row>
    <row r="31" spans="1:8">
      <c r="A31" s="317">
        <v>44650</v>
      </c>
      <c r="B31" s="312" t="s">
        <v>1256</v>
      </c>
      <c r="C31" s="312"/>
      <c r="D31" s="312" t="s">
        <v>1292</v>
      </c>
      <c r="E31" s="313"/>
      <c r="H31" s="63"/>
    </row>
    <row r="32" spans="1:8">
      <c r="A32" s="317">
        <v>44844</v>
      </c>
      <c r="B32" s="312" t="s">
        <v>1258</v>
      </c>
      <c r="C32" s="314"/>
      <c r="D32" s="312" t="s">
        <v>1259</v>
      </c>
      <c r="E32" s="312"/>
      <c r="H32" s="63"/>
    </row>
    <row r="33" spans="1:8">
      <c r="A33" s="317"/>
      <c r="B33" s="312" t="s">
        <v>1293</v>
      </c>
      <c r="C33" s="314"/>
      <c r="D33" s="312"/>
      <c r="E33" s="312">
        <v>100</v>
      </c>
      <c r="H33" s="63"/>
    </row>
    <row r="34" spans="1:8">
      <c r="A34" s="100"/>
      <c r="C34" s="171"/>
      <c r="H34" s="63"/>
    </row>
    <row r="35" spans="1:8">
      <c r="A35" s="172">
        <v>44929</v>
      </c>
      <c r="B35" s="173" t="s">
        <v>332</v>
      </c>
      <c r="C35" s="103"/>
      <c r="D35" s="201">
        <f>SUM(D36:D43)</f>
        <v>6130.21</v>
      </c>
      <c r="E35" s="201">
        <f>SUM(E36:E43)</f>
        <v>5930.26</v>
      </c>
      <c r="H35" s="63"/>
    </row>
    <row r="36" spans="1:8">
      <c r="A36" s="100"/>
      <c r="B36" s="106" t="s">
        <v>333</v>
      </c>
      <c r="D36" s="2">
        <v>1221.74</v>
      </c>
      <c r="E36" s="63">
        <v>1222</v>
      </c>
      <c r="H36" s="63"/>
    </row>
    <row r="37" spans="1:8">
      <c r="B37" t="s">
        <v>334</v>
      </c>
      <c r="D37" s="2">
        <v>1264.8699999999999</v>
      </c>
      <c r="E37" s="63">
        <v>1265</v>
      </c>
      <c r="F37" s="63"/>
      <c r="G37" s="63"/>
    </row>
    <row r="38" spans="1:8">
      <c r="B38" t="s">
        <v>335</v>
      </c>
      <c r="D38" s="2">
        <v>366.02</v>
      </c>
      <c r="E38" s="63">
        <v>366</v>
      </c>
      <c r="F38" s="63"/>
      <c r="G38" s="63"/>
    </row>
    <row r="39" spans="1:8">
      <c r="B39" t="s">
        <v>1294</v>
      </c>
      <c r="D39" s="17">
        <v>200</v>
      </c>
      <c r="F39" s="63"/>
      <c r="G39" s="63"/>
    </row>
    <row r="40" spans="1:8">
      <c r="B40" t="s">
        <v>1295</v>
      </c>
      <c r="D40" s="2">
        <v>1479.95</v>
      </c>
      <c r="E40">
        <v>1480</v>
      </c>
      <c r="F40" s="63"/>
      <c r="G40" s="63"/>
    </row>
    <row r="41" spans="1:8">
      <c r="B41" t="s">
        <v>1296</v>
      </c>
      <c r="D41" s="2">
        <v>1214.3699999999999</v>
      </c>
      <c r="E41">
        <v>1214</v>
      </c>
      <c r="F41" s="63"/>
      <c r="G41" s="63"/>
    </row>
    <row r="42" spans="1:8">
      <c r="A42" s="100">
        <v>44928</v>
      </c>
      <c r="B42" s="8" t="s">
        <v>1297</v>
      </c>
      <c r="C42" s="106"/>
      <c r="D42" s="333">
        <v>200</v>
      </c>
      <c r="E42">
        <v>200</v>
      </c>
      <c r="F42" s="63"/>
      <c r="G42" s="63"/>
    </row>
    <row r="43" spans="1:8">
      <c r="B43" t="s">
        <v>338</v>
      </c>
      <c r="C43" s="106"/>
      <c r="D43" s="2">
        <v>183.26</v>
      </c>
      <c r="E43" s="106">
        <v>183.26</v>
      </c>
      <c r="F43" s="63"/>
      <c r="G43" s="63"/>
    </row>
    <row r="44" spans="1:8">
      <c r="C44" s="106"/>
      <c r="D44" s="106"/>
      <c r="E44" s="163"/>
      <c r="F44" s="63"/>
      <c r="G44" s="63"/>
    </row>
    <row r="46" spans="1:8">
      <c r="B46" s="17"/>
    </row>
    <row r="47" spans="1:8">
      <c r="B47" s="102"/>
    </row>
    <row r="48" spans="1:8">
      <c r="A48" s="103"/>
      <c r="B48" s="104" t="s">
        <v>83</v>
      </c>
      <c r="C48" s="103"/>
      <c r="D48" s="158"/>
      <c r="E48" s="159">
        <f>SUM(E49:E82)</f>
        <v>-7233.5699999999988</v>
      </c>
    </row>
    <row r="49" spans="1:8">
      <c r="G49" s="63"/>
      <c r="H49" s="63"/>
    </row>
    <row r="50" spans="1:8">
      <c r="A50" s="100">
        <v>44866</v>
      </c>
      <c r="B50" s="106" t="s">
        <v>1298</v>
      </c>
      <c r="C50" s="106"/>
      <c r="D50" s="106" t="s">
        <v>519</v>
      </c>
      <c r="E50" s="63">
        <v>-208.17</v>
      </c>
      <c r="F50" s="63"/>
      <c r="G50" s="63"/>
      <c r="H50" s="63"/>
    </row>
    <row r="51" spans="1:8">
      <c r="A51" s="100">
        <v>44871</v>
      </c>
      <c r="B51" s="106" t="s">
        <v>1299</v>
      </c>
      <c r="C51" s="106"/>
      <c r="D51" s="106" t="s">
        <v>519</v>
      </c>
      <c r="E51" s="63">
        <v>-151.65</v>
      </c>
      <c r="F51" s="63"/>
      <c r="G51" s="63"/>
      <c r="H51" s="63"/>
    </row>
    <row r="52" spans="1:8">
      <c r="A52" s="100">
        <v>44873</v>
      </c>
      <c r="B52" s="8" t="s">
        <v>1300</v>
      </c>
      <c r="C52" s="106"/>
      <c r="D52" s="106" t="s">
        <v>613</v>
      </c>
      <c r="E52" s="63">
        <v>-1111.1099999999999</v>
      </c>
      <c r="F52" s="63"/>
      <c r="G52" s="63"/>
      <c r="H52" s="63"/>
    </row>
    <row r="53" spans="1:8">
      <c r="A53" s="100">
        <v>44887</v>
      </c>
      <c r="B53" s="106" t="s">
        <v>1301</v>
      </c>
      <c r="C53" s="106"/>
      <c r="D53" s="101" t="s">
        <v>1155</v>
      </c>
      <c r="E53" s="63">
        <v>-678.58</v>
      </c>
      <c r="F53" s="63"/>
      <c r="G53" s="63"/>
      <c r="H53" s="63"/>
    </row>
    <row r="54" spans="1:8">
      <c r="A54" s="100">
        <v>44920</v>
      </c>
      <c r="B54" s="106" t="s">
        <v>1178</v>
      </c>
      <c r="C54" s="106"/>
      <c r="D54" s="106" t="s">
        <v>1090</v>
      </c>
      <c r="E54" s="63">
        <v>-397.46</v>
      </c>
      <c r="F54" s="63"/>
      <c r="G54" s="63"/>
      <c r="H54" s="63"/>
    </row>
    <row r="55" spans="1:8">
      <c r="A55" s="100">
        <v>44920</v>
      </c>
      <c r="B55" s="106" t="s">
        <v>1179</v>
      </c>
      <c r="C55" s="106"/>
      <c r="D55" s="106" t="s">
        <v>1090</v>
      </c>
      <c r="E55" s="63">
        <v>-80.91</v>
      </c>
      <c r="F55" s="63"/>
      <c r="G55" s="63"/>
      <c r="H55" s="63"/>
    </row>
    <row r="56" spans="1:8">
      <c r="A56" s="100">
        <v>44920</v>
      </c>
      <c r="B56" s="106" t="s">
        <v>1180</v>
      </c>
      <c r="C56" s="106"/>
      <c r="D56" s="106" t="s">
        <v>1090</v>
      </c>
      <c r="E56" s="63">
        <v>-127.05</v>
      </c>
      <c r="F56" s="63"/>
      <c r="G56" s="63"/>
      <c r="H56" s="63"/>
    </row>
    <row r="57" spans="1:8">
      <c r="A57" s="100">
        <v>44920</v>
      </c>
      <c r="B57" s="106" t="s">
        <v>1181</v>
      </c>
      <c r="C57" s="106"/>
      <c r="D57" s="106" t="s">
        <v>1090</v>
      </c>
      <c r="E57" s="63">
        <v>-49.31</v>
      </c>
      <c r="F57" s="63"/>
      <c r="G57" s="63"/>
      <c r="H57" s="63"/>
    </row>
    <row r="58" spans="1:8">
      <c r="A58" s="100">
        <v>44894</v>
      </c>
      <c r="B58" s="3" t="s">
        <v>1302</v>
      </c>
      <c r="E58" s="63">
        <v>-182.4</v>
      </c>
      <c r="F58" s="63"/>
      <c r="G58" s="63"/>
      <c r="H58" s="63"/>
    </row>
    <row r="59" spans="1:8">
      <c r="A59" s="100"/>
      <c r="B59" s="8" t="s">
        <v>1303</v>
      </c>
      <c r="E59" s="63">
        <v>-74.900000000000006</v>
      </c>
      <c r="F59" s="63"/>
      <c r="G59" s="63"/>
      <c r="H59" s="63"/>
    </row>
    <row r="60" spans="1:8">
      <c r="A60" s="100">
        <v>44895</v>
      </c>
      <c r="B60" s="3" t="s">
        <v>1304</v>
      </c>
      <c r="E60" s="63">
        <v>-137.88999999999999</v>
      </c>
      <c r="F60" s="63"/>
      <c r="G60" s="63"/>
      <c r="H60" s="63"/>
    </row>
    <row r="61" spans="1:8">
      <c r="A61" s="100">
        <v>44897</v>
      </c>
      <c r="B61" s="106" t="s">
        <v>1305</v>
      </c>
      <c r="C61" s="106"/>
      <c r="D61" s="106"/>
      <c r="E61" s="63">
        <v>-200</v>
      </c>
      <c r="F61" s="63"/>
      <c r="G61" s="63"/>
      <c r="H61" s="63"/>
    </row>
    <row r="62" spans="1:8">
      <c r="A62" s="100">
        <v>44900</v>
      </c>
      <c r="B62" s="106" t="s">
        <v>414</v>
      </c>
      <c r="C62" s="106"/>
      <c r="D62" s="106"/>
      <c r="E62" s="63">
        <v>-142.63999999999999</v>
      </c>
      <c r="F62" s="63"/>
      <c r="G62" s="63"/>
      <c r="H62" s="63"/>
    </row>
    <row r="63" spans="1:8">
      <c r="A63" s="100">
        <v>44900</v>
      </c>
      <c r="B63" s="107" t="s">
        <v>1306</v>
      </c>
      <c r="C63" s="106"/>
      <c r="D63" s="106"/>
      <c r="E63" s="63">
        <v>-148.47</v>
      </c>
      <c r="F63" s="63"/>
      <c r="G63" s="63"/>
      <c r="H63" s="63"/>
    </row>
    <row r="64" spans="1:8">
      <c r="A64" s="100">
        <v>44901</v>
      </c>
      <c r="B64" s="107" t="s">
        <v>1307</v>
      </c>
      <c r="C64" s="106"/>
      <c r="D64" s="106"/>
      <c r="E64" s="63">
        <v>-142.77000000000001</v>
      </c>
      <c r="F64" s="63"/>
      <c r="G64" s="63"/>
      <c r="H64" s="63"/>
    </row>
    <row r="65" spans="1:8">
      <c r="A65" s="100">
        <v>44901</v>
      </c>
      <c r="B65" s="106" t="s">
        <v>1308</v>
      </c>
      <c r="C65" s="106"/>
      <c r="D65" s="106"/>
      <c r="E65" s="63">
        <v>-334.55</v>
      </c>
      <c r="F65" s="63"/>
      <c r="G65" s="63"/>
      <c r="H65" s="63"/>
    </row>
    <row r="66" spans="1:8">
      <c r="A66" s="100">
        <v>44901</v>
      </c>
      <c r="B66" s="106" t="s">
        <v>1309</v>
      </c>
      <c r="C66" s="106"/>
      <c r="D66" s="106"/>
      <c r="E66" s="63">
        <v>-148.75</v>
      </c>
      <c r="F66" s="63"/>
      <c r="G66" s="63"/>
      <c r="H66" s="63"/>
    </row>
    <row r="67" spans="1:8">
      <c r="A67" s="100">
        <v>44901</v>
      </c>
      <c r="B67" s="106" t="s">
        <v>1310</v>
      </c>
      <c r="C67" s="106"/>
      <c r="D67" s="106"/>
      <c r="E67" s="63">
        <v>-200</v>
      </c>
      <c r="F67" s="63"/>
      <c r="G67" s="63"/>
      <c r="H67" s="63"/>
    </row>
    <row r="68" spans="1:8">
      <c r="A68" s="100">
        <v>44903</v>
      </c>
      <c r="B68" s="106" t="s">
        <v>1311</v>
      </c>
      <c r="C68" s="106"/>
      <c r="D68" s="106"/>
      <c r="E68" s="63">
        <v>-223.23</v>
      </c>
      <c r="F68" s="63"/>
      <c r="G68" s="63"/>
      <c r="H68" s="63"/>
    </row>
    <row r="69" spans="1:8">
      <c r="A69" s="100">
        <v>44904</v>
      </c>
      <c r="B69" s="107" t="s">
        <v>1312</v>
      </c>
      <c r="C69" s="106"/>
      <c r="D69" s="106"/>
      <c r="E69" s="63">
        <v>-218.37</v>
      </c>
      <c r="F69" s="63"/>
      <c r="G69" s="63"/>
      <c r="H69" s="63"/>
    </row>
    <row r="70" spans="1:8">
      <c r="A70" s="100">
        <v>44905</v>
      </c>
      <c r="B70" s="107" t="s">
        <v>1313</v>
      </c>
      <c r="C70" s="106"/>
      <c r="D70" s="106"/>
      <c r="E70" s="63">
        <v>-209.35</v>
      </c>
      <c r="F70" s="63"/>
      <c r="G70" s="63"/>
      <c r="H70" s="63"/>
    </row>
    <row r="71" spans="1:8">
      <c r="A71" s="100">
        <v>44907</v>
      </c>
      <c r="B71" s="107" t="s">
        <v>1314</v>
      </c>
      <c r="E71" s="63">
        <v>-202.93</v>
      </c>
      <c r="F71" s="63"/>
      <c r="G71" s="63"/>
      <c r="H71" s="63"/>
    </row>
    <row r="72" spans="1:8">
      <c r="A72" s="100">
        <v>44909</v>
      </c>
      <c r="B72" s="107" t="s">
        <v>1315</v>
      </c>
      <c r="C72" s="106"/>
      <c r="D72" s="106"/>
      <c r="E72" s="63">
        <v>-167.75</v>
      </c>
      <c r="F72" s="63"/>
      <c r="G72" s="63"/>
      <c r="H72" s="63"/>
    </row>
    <row r="73" spans="1:8">
      <c r="A73" s="100">
        <v>44912</v>
      </c>
      <c r="B73" s="3" t="s">
        <v>1316</v>
      </c>
      <c r="E73" s="63">
        <v>-221.18</v>
      </c>
      <c r="F73" s="63"/>
      <c r="G73" s="63"/>
      <c r="H73" s="63"/>
    </row>
    <row r="74" spans="1:8">
      <c r="A74" s="100">
        <v>44913</v>
      </c>
      <c r="B74" s="106" t="s">
        <v>133</v>
      </c>
      <c r="C74" s="106"/>
      <c r="D74" s="106"/>
      <c r="E74" s="63">
        <v>-200</v>
      </c>
      <c r="F74" s="63"/>
      <c r="G74" s="63"/>
      <c r="H74" s="63"/>
    </row>
    <row r="75" spans="1:8">
      <c r="A75" s="100">
        <v>44913</v>
      </c>
      <c r="B75" s="106" t="s">
        <v>1317</v>
      </c>
      <c r="C75" s="106"/>
      <c r="D75" s="106"/>
      <c r="E75" s="63">
        <v>-268.73</v>
      </c>
      <c r="F75" s="63"/>
      <c r="G75" s="63"/>
      <c r="H75" s="63"/>
    </row>
    <row r="76" spans="1:8">
      <c r="A76" s="100">
        <v>44913</v>
      </c>
      <c r="B76" s="106" t="s">
        <v>1318</v>
      </c>
      <c r="C76" s="106"/>
      <c r="D76" s="106"/>
      <c r="E76" s="63">
        <v>-140.9</v>
      </c>
      <c r="F76" s="63"/>
      <c r="G76" s="63"/>
      <c r="H76" s="63"/>
    </row>
    <row r="77" spans="1:8">
      <c r="A77" s="100">
        <v>44914</v>
      </c>
      <c r="B77" s="3" t="s">
        <v>1319</v>
      </c>
      <c r="C77" s="106"/>
      <c r="D77" s="106"/>
      <c r="E77" s="63">
        <v>-138.4</v>
      </c>
      <c r="F77" s="63"/>
      <c r="G77" s="63"/>
      <c r="H77" s="63"/>
    </row>
    <row r="78" spans="1:8">
      <c r="A78" s="100">
        <v>44915</v>
      </c>
      <c r="B78" s="3" t="s">
        <v>1320</v>
      </c>
      <c r="C78" s="106"/>
      <c r="D78" s="106"/>
      <c r="E78" s="63">
        <v>-277.5</v>
      </c>
      <c r="F78" s="63"/>
      <c r="G78" s="63"/>
      <c r="H78" s="63"/>
    </row>
    <row r="79" spans="1:8">
      <c r="A79" s="100">
        <v>44916</v>
      </c>
      <c r="B79" s="3" t="s">
        <v>1321</v>
      </c>
      <c r="C79" s="106"/>
      <c r="D79" s="106"/>
      <c r="E79" s="63">
        <v>-166.62</v>
      </c>
      <c r="F79" s="63"/>
      <c r="G79" s="63"/>
      <c r="H79" s="63"/>
    </row>
    <row r="80" spans="1:8">
      <c r="A80" s="100">
        <v>44917</v>
      </c>
      <c r="B80" s="106" t="s">
        <v>396</v>
      </c>
      <c r="C80" s="106"/>
      <c r="D80" s="106"/>
      <c r="E80" s="63">
        <v>-90</v>
      </c>
      <c r="F80" s="63"/>
      <c r="G80" s="63"/>
      <c r="H80" s="63"/>
    </row>
    <row r="81" spans="1:8">
      <c r="A81" s="100">
        <v>44918</v>
      </c>
      <c r="B81" s="3" t="s">
        <v>1322</v>
      </c>
      <c r="C81" s="106"/>
      <c r="D81" s="106"/>
      <c r="E81" s="63">
        <v>-192</v>
      </c>
      <c r="F81" s="63"/>
      <c r="G81" s="63"/>
      <c r="H81" s="63"/>
    </row>
    <row r="82" spans="1:8">
      <c r="A82" s="100"/>
      <c r="B82" s="3"/>
      <c r="C82" s="106"/>
      <c r="D82" s="106"/>
      <c r="E82" s="163"/>
      <c r="F82" s="63"/>
      <c r="G82" s="63"/>
      <c r="H82" s="63"/>
    </row>
    <row r="83" spans="1:8">
      <c r="A83" s="100"/>
      <c r="B83" s="3"/>
      <c r="C83" s="106"/>
      <c r="D83" s="106"/>
      <c r="E83" s="163"/>
      <c r="F83" s="63"/>
      <c r="G83" s="63"/>
      <c r="H83" s="63"/>
    </row>
    <row r="84" spans="1:8">
      <c r="A84" s="100"/>
      <c r="B84" s="3"/>
      <c r="C84" s="106"/>
      <c r="D84" s="106"/>
      <c r="E84" s="163"/>
      <c r="F84" s="63"/>
      <c r="G84" s="63"/>
      <c r="H84" s="63"/>
    </row>
    <row r="85" spans="1:8">
      <c r="A85" s="100"/>
      <c r="B85" s="3"/>
      <c r="C85" s="106"/>
      <c r="D85" s="106"/>
      <c r="E85" s="163"/>
      <c r="F85" s="63"/>
      <c r="G85" s="63"/>
      <c r="H85" s="63"/>
    </row>
    <row r="86" spans="1:8">
      <c r="A86" s="100"/>
      <c r="B86" s="3"/>
      <c r="C86" s="106"/>
      <c r="D86" s="106"/>
      <c r="E86" s="163"/>
      <c r="F86" s="63"/>
      <c r="G86" s="63"/>
      <c r="H86" s="63"/>
    </row>
    <row r="87" spans="1:8">
      <c r="A87" s="100"/>
      <c r="B87" s="3"/>
      <c r="C87" s="106"/>
      <c r="D87" s="106"/>
      <c r="E87" s="163"/>
      <c r="F87" s="63"/>
      <c r="G87" s="63"/>
      <c r="H87" s="63"/>
    </row>
    <row r="88" spans="1:8">
      <c r="A88" s="100"/>
      <c r="B88" s="3"/>
      <c r="C88" s="106"/>
      <c r="D88" s="106"/>
      <c r="E88" s="163"/>
      <c r="F88" s="63"/>
      <c r="G88" s="63"/>
      <c r="H88" s="63"/>
    </row>
    <row r="89" spans="1:8">
      <c r="A89" s="100"/>
      <c r="B89" s="3"/>
      <c r="C89" s="106"/>
      <c r="D89" s="106"/>
      <c r="E89" s="163"/>
      <c r="F89" s="63"/>
      <c r="G89" s="63"/>
      <c r="H89" s="63"/>
    </row>
    <row r="90" spans="1:8">
      <c r="A90" s="100"/>
      <c r="B90" s="3"/>
      <c r="C90" s="106"/>
      <c r="D90" s="106"/>
      <c r="E90" s="163"/>
      <c r="F90" s="63"/>
      <c r="G90" s="63"/>
      <c r="H90" s="63"/>
    </row>
    <row r="91" spans="1:8">
      <c r="A91" s="100"/>
      <c r="B91" s="3"/>
      <c r="C91" s="106"/>
      <c r="D91" s="106"/>
      <c r="E91" s="163"/>
      <c r="F91" s="63"/>
      <c r="G91" s="63"/>
      <c r="H91" s="63"/>
    </row>
    <row r="92" spans="1:8">
      <c r="A92" s="100"/>
      <c r="B92" s="3"/>
      <c r="C92" s="106"/>
      <c r="D92" s="106"/>
      <c r="E92" s="163"/>
      <c r="F92" s="63"/>
      <c r="G92" s="63"/>
      <c r="H92" s="63"/>
    </row>
    <row r="93" spans="1:8">
      <c r="A93" s="100"/>
      <c r="B93" s="3"/>
      <c r="C93" s="106"/>
      <c r="D93" s="106"/>
      <c r="E93" s="163"/>
      <c r="F93" s="63"/>
      <c r="G93" s="63"/>
      <c r="H93" s="63"/>
    </row>
    <row r="94" spans="1:8">
      <c r="A94" s="100"/>
      <c r="B94" s="3"/>
      <c r="C94" s="106"/>
      <c r="D94" s="106"/>
      <c r="E94" s="163"/>
      <c r="F94" s="63"/>
      <c r="G94" s="63"/>
      <c r="H94" s="63"/>
    </row>
    <row r="95" spans="1:8">
      <c r="A95" s="100"/>
      <c r="B95" s="3"/>
      <c r="C95" s="106"/>
      <c r="D95" s="106"/>
      <c r="E95" s="163"/>
      <c r="F95" s="63"/>
      <c r="G95" s="63"/>
      <c r="H95" s="63"/>
    </row>
    <row r="96" spans="1:8">
      <c r="A96" s="100"/>
      <c r="B96" s="3"/>
      <c r="C96" s="106"/>
      <c r="D96" s="106"/>
      <c r="E96" s="163"/>
      <c r="F96" s="63"/>
      <c r="G96" s="63"/>
      <c r="H96" s="63"/>
    </row>
    <row r="97" spans="1:8">
      <c r="A97" s="100"/>
      <c r="B97" s="3"/>
      <c r="C97" s="106"/>
      <c r="D97" s="106"/>
      <c r="E97" s="163"/>
      <c r="F97" s="63"/>
      <c r="G97" s="63"/>
      <c r="H97" s="63"/>
    </row>
    <row r="98" spans="1:8">
      <c r="A98" s="100"/>
      <c r="B98" s="3"/>
      <c r="C98" s="106"/>
      <c r="D98" s="106"/>
      <c r="E98" s="163"/>
      <c r="F98" s="63"/>
      <c r="G98" s="63"/>
      <c r="H98" s="63"/>
    </row>
    <row r="99" spans="1:8">
      <c r="A99" s="100"/>
      <c r="B99" s="3"/>
      <c r="C99" s="106"/>
      <c r="D99" s="106"/>
      <c r="E99" s="163"/>
      <c r="F99" s="63"/>
      <c r="G99" s="63"/>
      <c r="H99" s="63"/>
    </row>
    <row r="100" spans="1:8">
      <c r="A100" s="100"/>
      <c r="B100" s="3"/>
      <c r="C100" s="106"/>
      <c r="D100" s="106"/>
      <c r="E100" s="163"/>
      <c r="F100" s="63"/>
      <c r="G100" s="63"/>
      <c r="H100" s="63"/>
    </row>
    <row r="101" spans="1:8">
      <c r="A101" s="100"/>
      <c r="B101" s="3"/>
      <c r="C101" s="106"/>
      <c r="D101" s="106"/>
      <c r="E101" s="163"/>
      <c r="F101" s="63"/>
      <c r="G101" s="63"/>
      <c r="H101" s="63"/>
    </row>
    <row r="102" spans="1:8">
      <c r="A102" s="100"/>
      <c r="B102" s="3"/>
      <c r="C102" s="106"/>
      <c r="D102" s="106"/>
      <c r="E102" s="163"/>
      <c r="F102" s="63"/>
      <c r="G102" s="63"/>
      <c r="H102" s="63"/>
    </row>
    <row r="103" spans="1:8">
      <c r="A103" s="100"/>
      <c r="B103" s="3"/>
      <c r="C103" s="106"/>
      <c r="D103" s="106"/>
      <c r="E103" s="163"/>
      <c r="F103" s="63"/>
      <c r="G103" s="63"/>
      <c r="H103" s="63"/>
    </row>
    <row r="104" spans="1:8">
      <c r="A104" s="100"/>
      <c r="B104" s="3"/>
      <c r="C104" s="106"/>
      <c r="D104" s="106"/>
      <c r="E104" s="163"/>
      <c r="F104" s="63"/>
      <c r="G104" s="63"/>
      <c r="H104" s="63"/>
    </row>
    <row r="105" spans="1:8">
      <c r="A105" s="100"/>
      <c r="B105" s="3"/>
      <c r="C105" s="106"/>
      <c r="D105" s="106"/>
      <c r="E105" s="163"/>
      <c r="F105" s="63"/>
      <c r="G105" s="63"/>
      <c r="H105" s="63"/>
    </row>
    <row r="106" spans="1:8">
      <c r="A106" s="100"/>
      <c r="B106" s="3"/>
      <c r="C106" s="106"/>
      <c r="D106" s="106"/>
      <c r="E106" s="163"/>
      <c r="F106" s="63"/>
      <c r="G106" s="63"/>
      <c r="H106" s="63"/>
    </row>
    <row r="107" spans="1:8">
      <c r="A107" s="100"/>
      <c r="B107" s="3"/>
      <c r="C107" s="106"/>
      <c r="D107" s="106"/>
      <c r="E107" s="163"/>
      <c r="F107" s="63"/>
      <c r="G107" s="63"/>
      <c r="H107" s="63"/>
    </row>
    <row r="108" spans="1:8">
      <c r="A108" s="100"/>
      <c r="B108" s="3"/>
      <c r="C108" s="106"/>
      <c r="D108" s="106"/>
      <c r="E108" s="163"/>
      <c r="F108" s="63"/>
      <c r="G108" s="63"/>
      <c r="H108" s="63"/>
    </row>
    <row r="109" spans="1:8">
      <c r="A109" s="100"/>
      <c r="B109" s="3"/>
      <c r="C109" s="106"/>
      <c r="D109" s="106"/>
      <c r="E109" s="163"/>
      <c r="F109" s="63"/>
      <c r="G109" s="63"/>
      <c r="H109" s="63"/>
    </row>
    <row r="111" spans="1:8">
      <c r="A111" s="103"/>
      <c r="B111" s="104" t="s">
        <v>1323</v>
      </c>
      <c r="C111" s="103"/>
      <c r="D111" s="158"/>
      <c r="E111" s="159">
        <f>SUM(E112:E119)</f>
        <v>356022.27</v>
      </c>
    </row>
    <row r="112" spans="1:8">
      <c r="A112" s="100">
        <v>45291</v>
      </c>
      <c r="B112" s="8" t="s">
        <v>77</v>
      </c>
      <c r="E112">
        <v>32000</v>
      </c>
    </row>
    <row r="113" spans="1:5">
      <c r="A113" s="100">
        <v>45291</v>
      </c>
      <c r="B113" s="8" t="s">
        <v>78</v>
      </c>
      <c r="E113">
        <v>40000</v>
      </c>
    </row>
    <row r="114" spans="1:5">
      <c r="A114" s="100">
        <v>45291</v>
      </c>
      <c r="B114" s="8" t="s">
        <v>305</v>
      </c>
      <c r="E114">
        <v>40162.18</v>
      </c>
    </row>
    <row r="115" spans="1:5">
      <c r="A115" s="100">
        <v>45291</v>
      </c>
      <c r="B115" s="8" t="s">
        <v>306</v>
      </c>
      <c r="E115">
        <v>44912.09</v>
      </c>
    </row>
    <row r="116" spans="1:5">
      <c r="A116" s="100">
        <v>45291</v>
      </c>
      <c r="B116" s="8" t="s">
        <v>811</v>
      </c>
      <c r="C116">
        <v>1093</v>
      </c>
      <c r="D116">
        <v>111</v>
      </c>
      <c r="E116" s="8">
        <f>D116*C116</f>
        <v>121323</v>
      </c>
    </row>
    <row r="117" spans="1:5">
      <c r="A117" s="100">
        <v>45291</v>
      </c>
      <c r="B117" s="8" t="s">
        <v>812</v>
      </c>
      <c r="C117">
        <v>18.5</v>
      </c>
      <c r="D117">
        <v>850</v>
      </c>
      <c r="E117" s="8">
        <f>D117*C117</f>
        <v>15725</v>
      </c>
    </row>
    <row r="118" spans="1:5">
      <c r="A118" s="100">
        <v>45291</v>
      </c>
      <c r="B118" s="8" t="s">
        <v>813</v>
      </c>
      <c r="C118">
        <v>19</v>
      </c>
      <c r="D118">
        <v>100</v>
      </c>
      <c r="E118" s="8">
        <f>D118*C118</f>
        <v>1900</v>
      </c>
    </row>
    <row r="119" spans="1:5">
      <c r="A119" s="100">
        <v>45291</v>
      </c>
      <c r="B119" s="8" t="s">
        <v>814</v>
      </c>
      <c r="E119">
        <v>60000</v>
      </c>
    </row>
    <row r="120" spans="1:5">
      <c r="B120" t="s">
        <v>1324</v>
      </c>
      <c r="E120" s="63">
        <f>H2</f>
        <v>-14998.419999999998</v>
      </c>
    </row>
    <row r="122" spans="1:5">
      <c r="D122" s="18" t="s">
        <v>156</v>
      </c>
      <c r="E122" s="8">
        <f>SUM(E112:E121)</f>
        <v>341023.85000000003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18"/>
  <sheetViews>
    <sheetView zoomScale="170" zoomScaleNormal="170" workbookViewId="0">
      <selection activeCell="E1" sqref="E1"/>
    </sheetView>
  </sheetViews>
  <sheetFormatPr defaultColWidth="8.5703125" defaultRowHeight="12.75"/>
  <cols>
    <col min="1" max="1" width="8.28515625" customWidth="1"/>
    <col min="2" max="2" width="10.7109375" customWidth="1"/>
    <col min="3" max="3" width="11.140625" customWidth="1"/>
    <col min="4" max="5" width="13.5703125" customWidth="1"/>
    <col min="6" max="6" width="15.5703125" customWidth="1"/>
    <col min="7" max="7" width="15.42578125" customWidth="1"/>
    <col min="8" max="8" width="0.85546875" customWidth="1"/>
    <col min="9" max="9" width="5.42578125" customWidth="1"/>
    <col min="10" max="10" width="5.85546875" customWidth="1"/>
    <col min="11" max="11" width="6.42578125" style="2" customWidth="1"/>
    <col min="12" max="12" width="6.85546875" style="2" customWidth="1"/>
    <col min="13" max="13" width="5.85546875" style="2" customWidth="1"/>
    <col min="14" max="14" width="6.5703125" customWidth="1"/>
    <col min="15" max="15" width="9.140625" customWidth="1"/>
  </cols>
  <sheetData>
    <row r="1" spans="1:14" ht="15.75">
      <c r="A1" s="19"/>
      <c r="B1" s="20"/>
      <c r="C1" s="21" t="s">
        <v>23</v>
      </c>
      <c r="D1" s="22"/>
      <c r="E1" s="23"/>
      <c r="F1" s="21" t="s">
        <v>24</v>
      </c>
      <c r="G1" s="22"/>
      <c r="H1" s="24"/>
      <c r="I1" s="25"/>
      <c r="J1" s="26"/>
      <c r="K1" s="334">
        <v>0.23471</v>
      </c>
      <c r="L1" s="334">
        <f>1-K1</f>
        <v>0.76529000000000003</v>
      </c>
      <c r="M1" s="335"/>
      <c r="N1" s="26" t="s">
        <v>26</v>
      </c>
    </row>
    <row r="2" spans="1:14" ht="15.75">
      <c r="A2" s="19">
        <v>-2022</v>
      </c>
      <c r="B2" s="23" t="s">
        <v>28</v>
      </c>
      <c r="C2" s="28" t="s">
        <v>29</v>
      </c>
      <c r="D2" s="22" t="s">
        <v>30</v>
      </c>
      <c r="E2" s="23" t="s">
        <v>28</v>
      </c>
      <c r="F2" s="28" t="s">
        <v>29</v>
      </c>
      <c r="G2" s="22" t="s">
        <v>3</v>
      </c>
      <c r="H2" s="24"/>
      <c r="I2" s="25"/>
      <c r="J2" s="26" t="s">
        <v>31</v>
      </c>
      <c r="K2" s="335" t="s">
        <v>803</v>
      </c>
      <c r="L2" s="335" t="s">
        <v>804</v>
      </c>
      <c r="M2" s="335" t="s">
        <v>32</v>
      </c>
      <c r="N2" s="26" t="s">
        <v>1325</v>
      </c>
    </row>
    <row r="3" spans="1:14">
      <c r="A3" t="s">
        <v>33</v>
      </c>
      <c r="B3" s="213">
        <f>'22_1'!D2</f>
        <v>7333.3</v>
      </c>
      <c r="C3" s="214">
        <f>'22_1'!E2</f>
        <v>-6834.05</v>
      </c>
      <c r="D3" s="215">
        <f>B3+C3</f>
        <v>499.25</v>
      </c>
      <c r="E3" s="213">
        <f>'22_1'!F2</f>
        <v>46462.64</v>
      </c>
      <c r="F3" s="214">
        <f>'22_1'!G2</f>
        <v>-6834.05</v>
      </c>
      <c r="G3" s="216">
        <f>E3+F3</f>
        <v>39628.589999999997</v>
      </c>
      <c r="H3" s="34"/>
      <c r="I3" s="35" t="s">
        <v>34</v>
      </c>
      <c r="J3">
        <v>36</v>
      </c>
      <c r="M3" s="2">
        <v>36</v>
      </c>
    </row>
    <row r="4" spans="1:14">
      <c r="A4" t="s">
        <v>35</v>
      </c>
      <c r="B4" s="213">
        <f>'22_2'!D2</f>
        <v>10567.09</v>
      </c>
      <c r="C4" s="214">
        <f>'22_2'!E2</f>
        <v>-21938.15</v>
      </c>
      <c r="D4" s="215">
        <f t="shared" ref="D4:D14" si="0">B4+C4+D3</f>
        <v>-10871.810000000001</v>
      </c>
      <c r="E4" s="213">
        <f>'22_2'!F2</f>
        <v>11567.09</v>
      </c>
      <c r="F4" s="214">
        <f>'22_2'!G2</f>
        <v>-21938.15</v>
      </c>
      <c r="G4" s="216">
        <f t="shared" ref="G4:G14" si="1">E4+F4+G3</f>
        <v>29257.529999999995</v>
      </c>
      <c r="H4" s="34"/>
      <c r="I4" s="35" t="s">
        <v>38</v>
      </c>
      <c r="J4">
        <v>19.8</v>
      </c>
      <c r="M4" s="2">
        <v>19.8</v>
      </c>
    </row>
    <row r="5" spans="1:14">
      <c r="A5" t="s">
        <v>37</v>
      </c>
      <c r="B5" s="213">
        <f>'03'!D2</f>
        <v>36859.61</v>
      </c>
      <c r="C5" s="214">
        <f>'03'!E2</f>
        <v>-30109.3</v>
      </c>
      <c r="D5" s="215">
        <f t="shared" si="0"/>
        <v>-4121.5</v>
      </c>
      <c r="E5" s="213">
        <f>'03'!F2</f>
        <v>35859.61</v>
      </c>
      <c r="F5" s="214">
        <f>'03'!G2</f>
        <v>-30109.3</v>
      </c>
      <c r="G5" s="216">
        <f t="shared" si="1"/>
        <v>35007.839999999997</v>
      </c>
      <c r="H5" s="34"/>
      <c r="I5" s="35" t="s">
        <v>76</v>
      </c>
      <c r="N5" s="2">
        <v>46.1</v>
      </c>
    </row>
    <row r="6" spans="1:14">
      <c r="A6" t="s">
        <v>39</v>
      </c>
      <c r="B6" s="213">
        <f>'04'!D2</f>
        <v>15937.59</v>
      </c>
      <c r="C6" s="214">
        <f>'04'!E2</f>
        <v>-11790.68</v>
      </c>
      <c r="D6" s="215">
        <f t="shared" si="0"/>
        <v>25.409999999999854</v>
      </c>
      <c r="E6" s="213">
        <f>'04'!F2</f>
        <v>17940.28</v>
      </c>
      <c r="F6" s="214">
        <f>'04'!G2</f>
        <v>-11140.68</v>
      </c>
      <c r="G6" s="216">
        <f t="shared" si="1"/>
        <v>41807.439999999995</v>
      </c>
      <c r="H6" s="34"/>
      <c r="I6" s="35" t="s">
        <v>48</v>
      </c>
      <c r="J6">
        <v>60</v>
      </c>
      <c r="M6" s="2">
        <v>6.5</v>
      </c>
    </row>
    <row r="7" spans="1:14">
      <c r="A7" t="s">
        <v>41</v>
      </c>
      <c r="B7" s="213">
        <f>'05'!D2</f>
        <v>11328.34</v>
      </c>
      <c r="C7" s="214">
        <f>'05'!E2</f>
        <v>-7712.66</v>
      </c>
      <c r="D7" s="215">
        <f t="shared" si="0"/>
        <v>3641.09</v>
      </c>
      <c r="E7" s="213">
        <f>'05'!F2</f>
        <v>9522.369999999999</v>
      </c>
      <c r="F7" s="214">
        <f>'05'!G2</f>
        <v>-7722.66</v>
      </c>
      <c r="G7" s="216">
        <f t="shared" si="1"/>
        <v>43607.149999999994</v>
      </c>
      <c r="H7" s="34"/>
      <c r="I7" s="35" t="s">
        <v>1326</v>
      </c>
      <c r="J7">
        <v>95</v>
      </c>
      <c r="M7" s="2">
        <v>23.75</v>
      </c>
    </row>
    <row r="8" spans="1:14">
      <c r="A8" t="s">
        <v>1327</v>
      </c>
      <c r="B8" s="213">
        <f>'06'!D2</f>
        <v>17837.05</v>
      </c>
      <c r="C8" s="214">
        <f>'06'!E2</f>
        <v>-28058.100000000002</v>
      </c>
      <c r="D8" s="215">
        <f t="shared" si="0"/>
        <v>-6579.9600000000028</v>
      </c>
      <c r="E8" s="213">
        <f>'06'!F2</f>
        <v>16654.189999999999</v>
      </c>
      <c r="F8" s="214">
        <f>'06'!G2</f>
        <v>-28058.1</v>
      </c>
      <c r="G8" s="216">
        <f t="shared" si="1"/>
        <v>32203.239999999994</v>
      </c>
      <c r="H8" s="34"/>
    </row>
    <row r="9" spans="1:14">
      <c r="A9" t="s">
        <v>1328</v>
      </c>
      <c r="B9" s="213">
        <f>'07'!D2</f>
        <v>27131.070000000003</v>
      </c>
      <c r="C9" s="214">
        <f>'07'!E2</f>
        <v>-17400.82</v>
      </c>
      <c r="D9" s="215">
        <f t="shared" si="0"/>
        <v>3150.2900000000009</v>
      </c>
      <c r="E9" s="213">
        <f>'07'!F2</f>
        <v>16133.3</v>
      </c>
      <c r="F9" s="214">
        <f>'07'!G2</f>
        <v>-20600.82</v>
      </c>
      <c r="G9" s="216">
        <f t="shared" si="1"/>
        <v>27735.719999999994</v>
      </c>
      <c r="H9" s="34"/>
      <c r="I9" s="35" t="s">
        <v>52</v>
      </c>
      <c r="J9">
        <v>42</v>
      </c>
      <c r="K9" s="2">
        <f t="shared" ref="K9:K14" si="2">J9*$K$1</f>
        <v>9.8578200000000002</v>
      </c>
      <c r="L9" s="2">
        <f t="shared" ref="L9:L14" si="3">J9-K9</f>
        <v>32.142179999999996</v>
      </c>
    </row>
    <row r="10" spans="1:14">
      <c r="A10" t="s">
        <v>1329</v>
      </c>
      <c r="B10" s="213">
        <f>'08'!D2</f>
        <v>34617.910000000003</v>
      </c>
      <c r="C10" s="214">
        <f>'08'!E2</f>
        <v>-11695.349999999999</v>
      </c>
      <c r="D10" s="215">
        <f t="shared" si="0"/>
        <v>26072.850000000006</v>
      </c>
      <c r="E10" s="213">
        <f>'08'!F2</f>
        <v>102061.66</v>
      </c>
      <c r="F10" s="214">
        <f>'08'!G2</f>
        <v>-33894.33</v>
      </c>
      <c r="G10" s="216">
        <f t="shared" si="1"/>
        <v>95903.049999999988</v>
      </c>
      <c r="H10" s="34"/>
      <c r="I10" s="35" t="s">
        <v>56</v>
      </c>
      <c r="J10">
        <v>84</v>
      </c>
      <c r="K10" s="2">
        <f t="shared" si="2"/>
        <v>19.71564</v>
      </c>
      <c r="L10" s="2">
        <f t="shared" si="3"/>
        <v>64.284359999999992</v>
      </c>
    </row>
    <row r="11" spans="1:14">
      <c r="A11" t="s">
        <v>49</v>
      </c>
      <c r="B11" s="213">
        <f>'09'!D2</f>
        <v>66162.31</v>
      </c>
      <c r="C11" s="214">
        <f>'09'!E2</f>
        <v>-61978.720000000001</v>
      </c>
      <c r="D11" s="215">
        <f t="shared" si="0"/>
        <v>30256.440000000002</v>
      </c>
      <c r="E11" s="213">
        <f>'09'!F2</f>
        <v>9260.5</v>
      </c>
      <c r="F11" s="214">
        <f>'09'!G2</f>
        <v>-25729.239999999998</v>
      </c>
      <c r="G11" s="216">
        <f t="shared" si="1"/>
        <v>79434.31</v>
      </c>
      <c r="H11" s="34"/>
      <c r="I11" s="35" t="s">
        <v>54</v>
      </c>
      <c r="J11">
        <v>84</v>
      </c>
      <c r="K11" s="2">
        <f t="shared" si="2"/>
        <v>19.71564</v>
      </c>
      <c r="L11" s="2">
        <f t="shared" si="3"/>
        <v>64.284359999999992</v>
      </c>
    </row>
    <row r="12" spans="1:14">
      <c r="A12" t="s">
        <v>51</v>
      </c>
      <c r="B12" s="213">
        <f>'10'!D2</f>
        <v>23872.199999999997</v>
      </c>
      <c r="C12" s="214">
        <f>'10'!E2</f>
        <v>-33587.82</v>
      </c>
      <c r="D12" s="215">
        <f t="shared" si="0"/>
        <v>20540.82</v>
      </c>
      <c r="E12" s="213">
        <f>'10'!F2</f>
        <v>79418.41</v>
      </c>
      <c r="F12" s="214">
        <f>'10'!G2</f>
        <v>-90424.320000000007</v>
      </c>
      <c r="G12" s="216">
        <f t="shared" si="1"/>
        <v>68428.399999999994</v>
      </c>
      <c r="H12" s="34"/>
      <c r="I12" s="35" t="s">
        <v>46</v>
      </c>
      <c r="J12">
        <v>45</v>
      </c>
      <c r="K12" s="2">
        <f t="shared" si="2"/>
        <v>10.56195</v>
      </c>
      <c r="L12" s="2">
        <f t="shared" si="3"/>
        <v>34.438050000000004</v>
      </c>
      <c r="N12" s="336">
        <f>L15+M15+N15</f>
        <v>400.76679000000001</v>
      </c>
    </row>
    <row r="13" spans="1:14">
      <c r="A13" t="s">
        <v>53</v>
      </c>
      <c r="B13" s="213">
        <f>'11'!D2</f>
        <v>179191.62</v>
      </c>
      <c r="C13" s="214">
        <f>'11'!E2</f>
        <v>-14175.82</v>
      </c>
      <c r="D13" s="215">
        <f t="shared" si="0"/>
        <v>185556.62</v>
      </c>
      <c r="E13" s="213">
        <f>'11'!F2</f>
        <v>178439.6</v>
      </c>
      <c r="F13" s="214">
        <f>'11'!G2</f>
        <v>-18452.8</v>
      </c>
      <c r="G13" s="216">
        <f t="shared" si="1"/>
        <v>228415.2</v>
      </c>
      <c r="H13" s="34"/>
      <c r="I13" s="35" t="s">
        <v>36</v>
      </c>
      <c r="J13">
        <v>48</v>
      </c>
      <c r="K13" s="2">
        <f t="shared" si="2"/>
        <v>11.266080000000001</v>
      </c>
      <c r="L13" s="2">
        <f t="shared" si="3"/>
        <v>36.733919999999998</v>
      </c>
      <c r="N13" s="337">
        <f>N12/12</f>
        <v>33.397232500000001</v>
      </c>
    </row>
    <row r="14" spans="1:14">
      <c r="A14" t="s">
        <v>55</v>
      </c>
      <c r="B14" s="213">
        <f>'22_12'!D2</f>
        <v>15475.960000000001</v>
      </c>
      <c r="C14" s="214">
        <f>'22_12'!E2</f>
        <v>-16961.339999999997</v>
      </c>
      <c r="D14" s="215">
        <f t="shared" si="0"/>
        <v>184071.24</v>
      </c>
      <c r="E14" s="213">
        <f>'22_12'!F2</f>
        <v>22052.39</v>
      </c>
      <c r="F14" s="214">
        <f>'22_12'!G2</f>
        <v>-21692.25</v>
      </c>
      <c r="G14" s="216">
        <f t="shared" si="1"/>
        <v>228775.34000000003</v>
      </c>
      <c r="H14" s="34"/>
      <c r="I14" s="35" t="s">
        <v>50</v>
      </c>
      <c r="J14">
        <v>48</v>
      </c>
      <c r="K14" s="2">
        <f t="shared" si="2"/>
        <v>11.266080000000001</v>
      </c>
      <c r="L14" s="2">
        <f t="shared" si="3"/>
        <v>36.733919999999998</v>
      </c>
    </row>
    <row r="15" spans="1:14">
      <c r="A15" s="46" t="s">
        <v>67</v>
      </c>
      <c r="B15" s="219">
        <f>SUM(B3:B14)</f>
        <v>446314.05000000005</v>
      </c>
      <c r="C15" s="220">
        <f>SUM(C3:C14)</f>
        <v>-262242.81000000006</v>
      </c>
      <c r="D15" s="338">
        <f>B15+C15</f>
        <v>184071.24</v>
      </c>
      <c r="E15" s="219">
        <f>SUM(E3:E14)</f>
        <v>545372.04</v>
      </c>
      <c r="F15" s="220">
        <f>SUM(F3:F14)</f>
        <v>-316596.7</v>
      </c>
      <c r="G15" s="338">
        <f>E15+F15</f>
        <v>228775.34000000003</v>
      </c>
      <c r="H15" s="34"/>
      <c r="I15" s="222"/>
      <c r="J15" s="222">
        <f>SUM(J9:J14)</f>
        <v>351</v>
      </c>
      <c r="K15" s="339">
        <f>SUM(K9:K14)</f>
        <v>82.383210000000005</v>
      </c>
      <c r="L15" s="339">
        <f>SUM(L9:L14)</f>
        <v>268.61678999999998</v>
      </c>
      <c r="M15" s="339">
        <f>SUM(M3:M14)</f>
        <v>86.05</v>
      </c>
      <c r="N15" s="339">
        <f>SUM(N3:N7)</f>
        <v>46.1</v>
      </c>
    </row>
    <row r="16" spans="1:14">
      <c r="A16" s="340">
        <v>12</v>
      </c>
      <c r="B16" s="341">
        <f>B15/A16</f>
        <v>37192.837500000001</v>
      </c>
      <c r="C16" s="342">
        <f>C15/A16</f>
        <v>-21853.567500000005</v>
      </c>
      <c r="D16" s="342"/>
      <c r="E16" s="342">
        <f>E15/A16</f>
        <v>45447.670000000006</v>
      </c>
      <c r="F16" s="342">
        <f>F15/A16</f>
        <v>-26383.058333333334</v>
      </c>
      <c r="G16" s="342">
        <f>G15/A16</f>
        <v>19064.611666666668</v>
      </c>
      <c r="H16" s="56"/>
      <c r="I16" s="224"/>
      <c r="J16" s="342">
        <f>J15/12</f>
        <v>29.25</v>
      </c>
      <c r="K16" s="342">
        <f>K15/12</f>
        <v>6.8652675000000007</v>
      </c>
      <c r="L16" s="342">
        <f>L15/12</f>
        <v>22.384732499999998</v>
      </c>
      <c r="M16" s="342">
        <f>M15/12</f>
        <v>7.1708333333333334</v>
      </c>
      <c r="N16" s="342">
        <f>N15/12</f>
        <v>3.8416666666666668</v>
      </c>
    </row>
    <row r="17" spans="3:10">
      <c r="C17" s="2"/>
      <c r="D17" s="2"/>
      <c r="G17" s="63"/>
      <c r="H17" s="63"/>
      <c r="I17" s="35"/>
    </row>
    <row r="18" spans="3:10">
      <c r="J18" s="35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H76"/>
  <sheetViews>
    <sheetView topLeftCell="A43" zoomScale="170" zoomScaleNormal="170" workbookViewId="0">
      <selection activeCell="A39" sqref="A39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6" width="12.28515625" customWidth="1"/>
    <col min="7" max="7" width="12.28515625" style="2" customWidth="1"/>
    <col min="8" max="8" width="12.28515625" customWidth="1"/>
    <col min="9" max="9" width="9.140625" customWidth="1"/>
  </cols>
  <sheetData>
    <row r="1" spans="1:8">
      <c r="E1" s="189"/>
      <c r="F1" s="189" t="s">
        <v>28</v>
      </c>
      <c r="G1" s="343" t="s">
        <v>29</v>
      </c>
      <c r="H1" s="189" t="s">
        <v>3</v>
      </c>
    </row>
    <row r="2" spans="1:8">
      <c r="A2" s="3" t="s">
        <v>1330</v>
      </c>
      <c r="C2" s="79" t="s">
        <v>67</v>
      </c>
      <c r="D2" s="306">
        <f>SUM(D11:D62)</f>
        <v>15475.960000000001</v>
      </c>
      <c r="E2" s="306">
        <f>SUM(E11:E94)</f>
        <v>-16961.339999999997</v>
      </c>
      <c r="F2" s="306">
        <f>SUM(F11:F92)</f>
        <v>22052.39</v>
      </c>
      <c r="G2" s="344">
        <f>SUM(G11:G92)</f>
        <v>-21692.25</v>
      </c>
      <c r="H2" s="306">
        <f>F2+G2</f>
        <v>360.13999999999942</v>
      </c>
    </row>
    <row r="3" spans="1:8">
      <c r="B3" s="18"/>
      <c r="H3" s="63"/>
    </row>
    <row r="4" spans="1:8">
      <c r="B4" s="18"/>
      <c r="H4" s="63">
        <f>H3+F11+G11</f>
        <v>680</v>
      </c>
    </row>
    <row r="5" spans="1:8">
      <c r="A5" s="100">
        <v>44897</v>
      </c>
      <c r="B5" s="101" t="s">
        <v>1331</v>
      </c>
      <c r="C5" s="101"/>
      <c r="D5" s="101"/>
      <c r="E5" s="63">
        <v>-200</v>
      </c>
      <c r="G5" s="2">
        <v>-214</v>
      </c>
      <c r="H5" s="63">
        <f t="shared" ref="H5:H36" si="0">H4+F5+G5</f>
        <v>466</v>
      </c>
    </row>
    <row r="6" spans="1:8">
      <c r="A6" s="100">
        <v>44897</v>
      </c>
      <c r="B6" s="101" t="s">
        <v>1332</v>
      </c>
      <c r="C6" s="101"/>
      <c r="D6" s="101"/>
      <c r="E6" s="63">
        <v>-400</v>
      </c>
      <c r="G6" s="2">
        <v>-491</v>
      </c>
      <c r="H6" s="63">
        <f t="shared" si="0"/>
        <v>-25</v>
      </c>
    </row>
    <row r="7" spans="1:8">
      <c r="B7" s="106"/>
      <c r="C7" s="106"/>
      <c r="D7" s="106"/>
      <c r="E7" s="63"/>
      <c r="H7" s="63">
        <f t="shared" si="0"/>
        <v>-25</v>
      </c>
    </row>
    <row r="8" spans="1:8">
      <c r="A8" s="100">
        <v>44902</v>
      </c>
      <c r="B8" s="101" t="s">
        <v>1333</v>
      </c>
      <c r="C8" s="101"/>
      <c r="D8" s="101"/>
      <c r="E8" s="63">
        <v>-4300</v>
      </c>
      <c r="G8" s="2">
        <v>-4300</v>
      </c>
      <c r="H8" s="63">
        <f t="shared" si="0"/>
        <v>-4325</v>
      </c>
    </row>
    <row r="9" spans="1:8">
      <c r="A9" s="100">
        <v>44902</v>
      </c>
      <c r="B9" s="101" t="s">
        <v>1334</v>
      </c>
      <c r="C9" s="101"/>
      <c r="D9" s="101"/>
      <c r="E9" s="63">
        <v>-496.5</v>
      </c>
      <c r="G9" s="2">
        <v>-496.5</v>
      </c>
      <c r="H9" s="63">
        <f t="shared" si="0"/>
        <v>-4821.5</v>
      </c>
    </row>
    <row r="10" spans="1:8">
      <c r="B10" s="18"/>
      <c r="H10" s="63">
        <f t="shared" si="0"/>
        <v>-4821.5</v>
      </c>
    </row>
    <row r="11" spans="1:8">
      <c r="B11" s="35" t="s">
        <v>1335</v>
      </c>
      <c r="D11">
        <v>693.79</v>
      </c>
      <c r="F11" s="63">
        <v>680</v>
      </c>
      <c r="H11" s="63">
        <f t="shared" si="0"/>
        <v>-4141.5</v>
      </c>
    </row>
    <row r="12" spans="1:8">
      <c r="B12" s="35" t="s">
        <v>334</v>
      </c>
      <c r="D12">
        <v>1399.75</v>
      </c>
      <c r="E12" s="63"/>
      <c r="F12" s="63">
        <v>1400</v>
      </c>
      <c r="H12" s="63">
        <f t="shared" si="0"/>
        <v>-2741.5</v>
      </c>
    </row>
    <row r="13" spans="1:8">
      <c r="B13" s="35" t="s">
        <v>335</v>
      </c>
      <c r="D13">
        <v>295.51</v>
      </c>
      <c r="E13" s="63"/>
      <c r="F13" s="63">
        <v>295</v>
      </c>
      <c r="H13" s="63">
        <f t="shared" si="0"/>
        <v>-2446.5</v>
      </c>
    </row>
    <row r="14" spans="1:8">
      <c r="B14" s="35" t="s">
        <v>1336</v>
      </c>
      <c r="D14">
        <v>200</v>
      </c>
      <c r="E14" s="63"/>
      <c r="F14" s="327">
        <v>100</v>
      </c>
      <c r="H14" s="63">
        <f t="shared" si="0"/>
        <v>-2346.5</v>
      </c>
    </row>
    <row r="15" spans="1:8">
      <c r="B15" s="35" t="s">
        <v>336</v>
      </c>
      <c r="D15">
        <v>1681.84</v>
      </c>
      <c r="E15" s="63"/>
      <c r="F15" s="63">
        <v>1680</v>
      </c>
      <c r="H15" s="63">
        <f t="shared" si="0"/>
        <v>-666.5</v>
      </c>
    </row>
    <row r="16" spans="1:8">
      <c r="B16" s="35" t="s">
        <v>337</v>
      </c>
      <c r="D16">
        <v>1087.68</v>
      </c>
      <c r="F16" s="63">
        <v>1080</v>
      </c>
      <c r="H16" s="63">
        <f t="shared" si="0"/>
        <v>413.5</v>
      </c>
    </row>
    <row r="17" spans="1:8">
      <c r="B17" s="35" t="s">
        <v>1337</v>
      </c>
      <c r="C17" s="106"/>
      <c r="D17" s="106">
        <v>200</v>
      </c>
      <c r="E17" s="63"/>
      <c r="F17" s="63">
        <v>200</v>
      </c>
      <c r="H17" s="63">
        <f t="shared" si="0"/>
        <v>613.5</v>
      </c>
    </row>
    <row r="18" spans="1:8">
      <c r="B18" s="35" t="s">
        <v>338</v>
      </c>
      <c r="C18" s="106"/>
      <c r="D18" s="106">
        <v>217.89</v>
      </c>
      <c r="E18" s="63"/>
      <c r="F18" s="63">
        <v>217.89</v>
      </c>
      <c r="H18" s="63">
        <f t="shared" si="0"/>
        <v>831.39</v>
      </c>
    </row>
    <row r="19" spans="1:8">
      <c r="B19" s="106" t="s">
        <v>1338</v>
      </c>
      <c r="C19" s="106"/>
      <c r="D19" s="106"/>
      <c r="E19" s="63">
        <v>-4516</v>
      </c>
      <c r="F19" s="63"/>
      <c r="G19" s="2">
        <v>-4516</v>
      </c>
      <c r="H19" s="63">
        <f t="shared" si="0"/>
        <v>-3684.61</v>
      </c>
    </row>
    <row r="20" spans="1:8">
      <c r="B20" s="106"/>
      <c r="C20" s="106"/>
      <c r="D20" s="106"/>
      <c r="E20" s="163"/>
      <c r="F20" s="63"/>
      <c r="H20" s="63">
        <f t="shared" si="0"/>
        <v>-3684.61</v>
      </c>
    </row>
    <row r="21" spans="1:8">
      <c r="A21" s="100">
        <v>44866</v>
      </c>
      <c r="B21" s="106" t="s">
        <v>1339</v>
      </c>
      <c r="C21" s="106"/>
      <c r="D21" s="106"/>
      <c r="E21" s="63">
        <v>-208.17</v>
      </c>
      <c r="F21" s="63"/>
      <c r="H21" s="63">
        <f t="shared" si="0"/>
        <v>-3684.61</v>
      </c>
    </row>
    <row r="22" spans="1:8">
      <c r="A22" s="100">
        <v>44871</v>
      </c>
      <c r="B22" s="106" t="s">
        <v>1340</v>
      </c>
      <c r="C22" s="106"/>
      <c r="D22" s="106"/>
      <c r="E22" s="63">
        <v>-151.65</v>
      </c>
      <c r="F22" s="63"/>
      <c r="H22" s="63">
        <f t="shared" si="0"/>
        <v>-3684.61</v>
      </c>
    </row>
    <row r="23" spans="1:8">
      <c r="A23" s="100">
        <v>44860</v>
      </c>
      <c r="B23" s="8" t="s">
        <v>1341</v>
      </c>
      <c r="E23" s="63">
        <v>-40</v>
      </c>
      <c r="F23" s="63"/>
      <c r="H23" s="63">
        <f t="shared" si="0"/>
        <v>-3684.61</v>
      </c>
    </row>
    <row r="24" spans="1:8">
      <c r="A24" s="100">
        <v>44868</v>
      </c>
      <c r="B24" s="107" t="s">
        <v>1342</v>
      </c>
      <c r="C24" s="106"/>
      <c r="D24" s="106"/>
      <c r="E24" s="63">
        <v>-173.67</v>
      </c>
      <c r="F24" s="63"/>
      <c r="H24" s="63">
        <f t="shared" si="0"/>
        <v>-3684.61</v>
      </c>
    </row>
    <row r="25" spans="1:8">
      <c r="A25" s="100">
        <v>44870</v>
      </c>
      <c r="B25" s="106" t="s">
        <v>1343</v>
      </c>
      <c r="C25" s="106"/>
      <c r="D25" s="106"/>
      <c r="E25" s="63">
        <v>-398.07</v>
      </c>
      <c r="F25" s="63"/>
      <c r="H25" s="63">
        <f t="shared" si="0"/>
        <v>-3684.61</v>
      </c>
    </row>
    <row r="26" spans="1:8">
      <c r="A26" s="100">
        <v>44873</v>
      </c>
      <c r="B26" s="8" t="s">
        <v>1344</v>
      </c>
      <c r="C26" s="106"/>
      <c r="D26" s="106"/>
      <c r="E26" s="63">
        <v>-1111.1099999999999</v>
      </c>
      <c r="F26" s="63"/>
      <c r="H26" s="63">
        <f t="shared" si="0"/>
        <v>-3684.61</v>
      </c>
    </row>
    <row r="27" spans="1:8">
      <c r="A27" s="100">
        <v>44888</v>
      </c>
      <c r="B27" s="8" t="s">
        <v>1345</v>
      </c>
      <c r="C27" s="106"/>
      <c r="D27" s="106"/>
      <c r="E27" s="63"/>
      <c r="F27" s="328">
        <v>1150</v>
      </c>
      <c r="H27" s="63">
        <f t="shared" si="0"/>
        <v>-2534.61</v>
      </c>
    </row>
    <row r="28" spans="1:8">
      <c r="A28" s="100">
        <v>44875</v>
      </c>
      <c r="B28" s="106" t="s">
        <v>1346</v>
      </c>
      <c r="C28" s="106"/>
      <c r="D28" s="106"/>
      <c r="E28" s="63">
        <v>-279.99</v>
      </c>
      <c r="F28" s="63"/>
      <c r="H28" s="63">
        <f t="shared" si="0"/>
        <v>-2534.61</v>
      </c>
    </row>
    <row r="29" spans="1:8">
      <c r="A29" s="100">
        <v>44875</v>
      </c>
      <c r="B29" s="106" t="s">
        <v>1347</v>
      </c>
      <c r="C29" s="106"/>
      <c r="D29" s="106"/>
      <c r="E29" s="63">
        <v>-89</v>
      </c>
      <c r="F29" s="63"/>
      <c r="H29" s="63">
        <f t="shared" si="0"/>
        <v>-2534.61</v>
      </c>
    </row>
    <row r="30" spans="1:8">
      <c r="A30" s="100">
        <v>44875</v>
      </c>
      <c r="B30" s="106" t="s">
        <v>1348</v>
      </c>
      <c r="C30" s="106"/>
      <c r="D30" s="106"/>
      <c r="E30" s="63">
        <v>-189.9</v>
      </c>
      <c r="F30" s="63"/>
      <c r="H30" s="63">
        <f t="shared" si="0"/>
        <v>-2534.61</v>
      </c>
    </row>
    <row r="31" spans="1:8">
      <c r="A31" s="100">
        <v>44875</v>
      </c>
      <c r="B31" s="106" t="s">
        <v>1349</v>
      </c>
      <c r="C31" s="106"/>
      <c r="D31" s="106"/>
      <c r="E31" s="63">
        <v>-2146.5</v>
      </c>
      <c r="F31" s="63"/>
      <c r="H31" s="63">
        <f t="shared" si="0"/>
        <v>-2534.61</v>
      </c>
    </row>
    <row r="32" spans="1:8">
      <c r="A32" s="100">
        <v>44875</v>
      </c>
      <c r="B32" s="106" t="s">
        <v>1349</v>
      </c>
      <c r="C32" s="106"/>
      <c r="D32" s="106"/>
      <c r="E32" s="63">
        <v>-275</v>
      </c>
      <c r="F32" s="63"/>
      <c r="H32" s="63">
        <f t="shared" si="0"/>
        <v>-2534.61</v>
      </c>
    </row>
    <row r="33" spans="1:8">
      <c r="A33" s="100">
        <v>44877</v>
      </c>
      <c r="B33" s="107" t="s">
        <v>1350</v>
      </c>
      <c r="C33" s="106"/>
      <c r="D33" s="106"/>
      <c r="E33" s="63">
        <v>-189.66</v>
      </c>
      <c r="F33" s="63"/>
      <c r="H33" s="63">
        <f t="shared" si="0"/>
        <v>-2534.61</v>
      </c>
    </row>
    <row r="34" spans="1:8">
      <c r="A34" s="100">
        <v>44879</v>
      </c>
      <c r="B34" s="106" t="s">
        <v>1351</v>
      </c>
      <c r="C34" s="106"/>
      <c r="D34" s="106"/>
      <c r="E34" s="63">
        <v>-1720</v>
      </c>
      <c r="F34" s="63"/>
      <c r="H34" s="63">
        <f t="shared" si="0"/>
        <v>-2534.61</v>
      </c>
    </row>
    <row r="35" spans="1:8">
      <c r="A35" s="100">
        <v>44882</v>
      </c>
      <c r="B35" s="107" t="s">
        <v>1352</v>
      </c>
      <c r="C35" s="106"/>
      <c r="D35" s="106"/>
      <c r="E35" s="63">
        <f>-204.04</f>
        <v>-204.04</v>
      </c>
      <c r="F35" s="63"/>
      <c r="H35" s="63">
        <f t="shared" si="0"/>
        <v>-2534.61</v>
      </c>
    </row>
    <row r="36" spans="1:8">
      <c r="A36" s="100">
        <v>44887</v>
      </c>
      <c r="B36" s="106" t="s">
        <v>1353</v>
      </c>
      <c r="C36" s="106"/>
      <c r="D36" s="106"/>
      <c r="E36" s="63">
        <v>-90</v>
      </c>
      <c r="F36" s="63"/>
      <c r="H36" s="63">
        <f t="shared" si="0"/>
        <v>-2534.61</v>
      </c>
    </row>
    <row r="37" spans="1:8">
      <c r="A37" s="100">
        <v>44887</v>
      </c>
      <c r="B37" s="106" t="s">
        <v>1354</v>
      </c>
      <c r="C37" s="106"/>
      <c r="D37" s="106"/>
      <c r="E37" s="63">
        <v>-678.58</v>
      </c>
      <c r="F37" s="63"/>
      <c r="H37" s="63">
        <f t="shared" ref="H37:H65" si="1">H36+F37+G37</f>
        <v>-2534.61</v>
      </c>
    </row>
    <row r="38" spans="1:8">
      <c r="A38" s="100">
        <v>44900</v>
      </c>
      <c r="B38" s="106" t="s">
        <v>1355</v>
      </c>
      <c r="C38" s="106"/>
      <c r="D38" s="106"/>
      <c r="E38" s="163"/>
      <c r="F38" s="63"/>
      <c r="G38" s="2">
        <v>-7945.34</v>
      </c>
      <c r="H38" s="63">
        <f t="shared" si="1"/>
        <v>-10479.950000000001</v>
      </c>
    </row>
    <row r="39" spans="1:8">
      <c r="A39" s="100"/>
      <c r="B39" s="106"/>
      <c r="C39" s="106"/>
      <c r="D39" s="106"/>
      <c r="E39" s="163"/>
      <c r="F39" s="63"/>
      <c r="H39" s="63">
        <f t="shared" si="1"/>
        <v>-10479.950000000001</v>
      </c>
    </row>
    <row r="40" spans="1:8">
      <c r="A40" s="100">
        <v>44907</v>
      </c>
      <c r="B40" s="106" t="s">
        <v>1356</v>
      </c>
      <c r="C40" s="106"/>
      <c r="D40" s="106"/>
      <c r="E40" s="163"/>
      <c r="F40" s="63"/>
      <c r="G40" s="2">
        <v>-1000</v>
      </c>
      <c r="H40" s="63">
        <f t="shared" si="1"/>
        <v>-11479.95</v>
      </c>
    </row>
    <row r="41" spans="1:8">
      <c r="A41" s="100">
        <v>44911</v>
      </c>
      <c r="B41" s="106" t="s">
        <v>1357</v>
      </c>
      <c r="C41" s="106"/>
      <c r="D41" s="63">
        <v>-200</v>
      </c>
      <c r="E41" s="163"/>
      <c r="F41" s="63"/>
      <c r="G41" s="2">
        <v>-1012.5</v>
      </c>
      <c r="H41" s="63">
        <f t="shared" si="1"/>
        <v>-12492.45</v>
      </c>
    </row>
    <row r="42" spans="1:8">
      <c r="A42" s="100">
        <v>44911</v>
      </c>
      <c r="B42" s="106" t="s">
        <v>1358</v>
      </c>
      <c r="C42" s="106"/>
      <c r="D42" s="63">
        <v>-50</v>
      </c>
      <c r="E42" s="163"/>
      <c r="F42" s="63"/>
      <c r="G42" s="2">
        <v>-96.5</v>
      </c>
      <c r="H42" s="63">
        <f t="shared" si="1"/>
        <v>-12588.95</v>
      </c>
    </row>
    <row r="43" spans="1:8">
      <c r="A43" s="100">
        <v>44911</v>
      </c>
      <c r="B43" s="106" t="s">
        <v>1359</v>
      </c>
      <c r="C43" s="106"/>
      <c r="D43" s="106"/>
      <c r="E43" s="163"/>
      <c r="F43" s="63"/>
      <c r="G43" s="2">
        <v>-123</v>
      </c>
      <c r="H43" s="63">
        <f t="shared" si="1"/>
        <v>-12711.95</v>
      </c>
    </row>
    <row r="44" spans="1:8">
      <c r="A44" s="100">
        <v>44914</v>
      </c>
      <c r="B44" s="106" t="s">
        <v>1360</v>
      </c>
      <c r="C44" s="106"/>
      <c r="D44" s="106"/>
      <c r="E44" s="163"/>
      <c r="F44" s="328">
        <v>2500</v>
      </c>
      <c r="H44" s="63">
        <f t="shared" si="1"/>
        <v>-10211.950000000001</v>
      </c>
    </row>
    <row r="45" spans="1:8">
      <c r="A45" s="100"/>
      <c r="B45" s="106"/>
      <c r="C45" s="106"/>
      <c r="D45" s="106"/>
      <c r="E45" s="163"/>
      <c r="F45" s="63"/>
      <c r="H45" s="63">
        <f t="shared" si="1"/>
        <v>-10211.950000000001</v>
      </c>
    </row>
    <row r="46" spans="1:8">
      <c r="A46" s="100">
        <v>44908</v>
      </c>
      <c r="B46" s="107" t="s">
        <v>1361</v>
      </c>
      <c r="C46" s="106" t="s">
        <v>1362</v>
      </c>
      <c r="D46" s="106"/>
      <c r="E46" s="163"/>
      <c r="F46" s="63"/>
      <c r="G46" s="2">
        <v>-140</v>
      </c>
      <c r="H46" s="63">
        <f t="shared" si="1"/>
        <v>-10351.950000000001</v>
      </c>
    </row>
    <row r="47" spans="1:8">
      <c r="A47" s="100">
        <v>44910</v>
      </c>
      <c r="B47" s="107" t="s">
        <v>1363</v>
      </c>
      <c r="C47" s="106" t="s">
        <v>1362</v>
      </c>
      <c r="D47" s="106"/>
      <c r="E47" s="163"/>
      <c r="F47" s="63"/>
      <c r="G47" s="2">
        <v>-170</v>
      </c>
      <c r="H47" s="63">
        <f t="shared" si="1"/>
        <v>-10521.95</v>
      </c>
    </row>
    <row r="48" spans="1:8">
      <c r="A48" s="100">
        <v>44921</v>
      </c>
      <c r="B48" s="106" t="s">
        <v>1364</v>
      </c>
      <c r="C48" s="106" t="s">
        <v>1365</v>
      </c>
      <c r="D48" s="106"/>
      <c r="E48" s="163"/>
      <c r="F48" s="63"/>
      <c r="G48" s="2">
        <v>-114.91</v>
      </c>
      <c r="H48" s="63">
        <f t="shared" si="1"/>
        <v>-10636.86</v>
      </c>
    </row>
    <row r="49" spans="1:8">
      <c r="A49" s="100"/>
      <c r="B49" s="107"/>
      <c r="C49" s="106"/>
      <c r="D49" s="106"/>
      <c r="E49" s="163"/>
      <c r="F49" s="63"/>
      <c r="H49" s="63">
        <f t="shared" si="1"/>
        <v>-10636.86</v>
      </c>
    </row>
    <row r="50" spans="1:8">
      <c r="A50" s="100">
        <v>44925</v>
      </c>
      <c r="B50" s="107" t="s">
        <v>1366</v>
      </c>
      <c r="C50" s="106"/>
      <c r="D50" s="106"/>
      <c r="E50" s="163"/>
      <c r="F50" s="63"/>
      <c r="G50" s="2">
        <v>-350</v>
      </c>
      <c r="H50" s="63">
        <f t="shared" si="1"/>
        <v>-10986.86</v>
      </c>
    </row>
    <row r="51" spans="1:8">
      <c r="B51" t="s">
        <v>77</v>
      </c>
      <c r="E51" s="163">
        <v>-1500</v>
      </c>
      <c r="F51" s="63"/>
      <c r="G51" s="2">
        <v>-2112</v>
      </c>
      <c r="H51" s="63">
        <f t="shared" si="1"/>
        <v>-13098.86</v>
      </c>
    </row>
    <row r="52" spans="1:8">
      <c r="B52" t="s">
        <v>78</v>
      </c>
      <c r="E52" s="163">
        <v>-1500</v>
      </c>
      <c r="F52" s="63"/>
      <c r="G52" s="2">
        <v>-2112</v>
      </c>
      <c r="H52" s="63">
        <f t="shared" si="1"/>
        <v>-15210.86</v>
      </c>
    </row>
    <row r="53" spans="1:8">
      <c r="B53" t="s">
        <v>79</v>
      </c>
      <c r="E53" s="163">
        <v>-1500</v>
      </c>
      <c r="F53" s="63"/>
      <c r="G53" s="2">
        <v>-1500</v>
      </c>
      <c r="H53" s="63">
        <f t="shared" si="1"/>
        <v>-16710.86</v>
      </c>
    </row>
    <row r="54" spans="1:8">
      <c r="B54" s="106"/>
      <c r="C54" s="106"/>
      <c r="D54" s="106"/>
      <c r="E54" s="63"/>
      <c r="F54" s="63"/>
      <c r="H54" s="63">
        <f t="shared" si="1"/>
        <v>-16710.86</v>
      </c>
    </row>
    <row r="55" spans="1:8">
      <c r="B55" t="s">
        <v>76</v>
      </c>
      <c r="D55" s="186">
        <v>4299.5</v>
      </c>
      <c r="F55" s="63">
        <v>4299.5</v>
      </c>
      <c r="H55" s="63">
        <f t="shared" si="1"/>
        <v>-12411.36</v>
      </c>
    </row>
    <row r="56" spans="1:8">
      <c r="A56" s="100">
        <v>44912</v>
      </c>
      <c r="B56" s="8" t="s">
        <v>677</v>
      </c>
      <c r="D56" s="186">
        <v>1650</v>
      </c>
      <c r="F56" s="63">
        <v>1650</v>
      </c>
      <c r="H56" s="63">
        <f t="shared" si="1"/>
        <v>-10761.36</v>
      </c>
    </row>
    <row r="57" spans="1:8">
      <c r="A57" s="100"/>
      <c r="B57" s="8" t="s">
        <v>1367</v>
      </c>
      <c r="D57" s="186">
        <v>3000</v>
      </c>
      <c r="F57" s="63">
        <v>3000</v>
      </c>
      <c r="H57" s="63">
        <f t="shared" si="1"/>
        <v>-7761.3600000000006</v>
      </c>
    </row>
    <row r="58" spans="1:8">
      <c r="B58" t="s">
        <v>1368</v>
      </c>
      <c r="D58" s="102">
        <v>1000</v>
      </c>
      <c r="H58" s="63">
        <f t="shared" si="1"/>
        <v>-7761.3600000000006</v>
      </c>
    </row>
    <row r="59" spans="1:8">
      <c r="D59" s="102"/>
      <c r="F59" s="63"/>
      <c r="H59" s="63">
        <f t="shared" si="1"/>
        <v>-7761.3600000000006</v>
      </c>
    </row>
    <row r="60" spans="1:8">
      <c r="A60" s="100">
        <v>44921</v>
      </c>
      <c r="B60" s="8" t="s">
        <v>1369</v>
      </c>
      <c r="D60" s="102"/>
      <c r="F60" s="2">
        <v>3300</v>
      </c>
      <c r="H60" s="63">
        <f t="shared" si="1"/>
        <v>-4461.3600000000006</v>
      </c>
    </row>
    <row r="61" spans="1:8">
      <c r="A61" s="100">
        <v>44922</v>
      </c>
      <c r="B61" s="8" t="s">
        <v>1370</v>
      </c>
      <c r="D61" s="63"/>
      <c r="F61" s="63">
        <v>500</v>
      </c>
      <c r="H61" s="63">
        <f t="shared" si="1"/>
        <v>-3961.3600000000006</v>
      </c>
    </row>
    <row r="62" spans="1:8">
      <c r="A62" s="100">
        <v>44922</v>
      </c>
      <c r="B62" s="106" t="s">
        <v>1371</v>
      </c>
      <c r="C62" s="106"/>
      <c r="D62" s="106"/>
      <c r="E62" s="163"/>
      <c r="F62" s="63"/>
      <c r="G62" s="63">
        <v>-500</v>
      </c>
      <c r="H62" s="63">
        <f t="shared" si="1"/>
        <v>-4461.3600000000006</v>
      </c>
    </row>
    <row r="63" spans="1:8">
      <c r="E63" s="63"/>
      <c r="H63" s="63">
        <f t="shared" si="1"/>
        <v>-4461.3600000000006</v>
      </c>
    </row>
    <row r="64" spans="1:8">
      <c r="B64" t="s">
        <v>1372</v>
      </c>
      <c r="E64" s="63"/>
      <c r="H64" s="63">
        <f t="shared" si="1"/>
        <v>-4461.3600000000006</v>
      </c>
    </row>
    <row r="65" spans="1:8">
      <c r="E65" s="63"/>
      <c r="H65" s="63">
        <f t="shared" si="1"/>
        <v>-4461.3600000000006</v>
      </c>
    </row>
    <row r="66" spans="1:8">
      <c r="E66" s="63"/>
      <c r="H66" s="63"/>
    </row>
    <row r="67" spans="1:8">
      <c r="H67" s="63"/>
    </row>
    <row r="68" spans="1:8">
      <c r="A68" s="277"/>
      <c r="B68" s="277"/>
      <c r="C68" s="277"/>
      <c r="D68" s="277"/>
      <c r="E68" s="63"/>
      <c r="H68" s="63"/>
    </row>
    <row r="69" spans="1:8">
      <c r="A69" s="345">
        <v>44871</v>
      </c>
      <c r="B69" s="277" t="s">
        <v>1373</v>
      </c>
      <c r="C69" s="277"/>
      <c r="D69" s="326">
        <v>200</v>
      </c>
      <c r="E69" s="63" t="s">
        <v>1374</v>
      </c>
      <c r="H69" s="63"/>
    </row>
    <row r="70" spans="1:8">
      <c r="A70" s="345">
        <v>44839</v>
      </c>
      <c r="B70" s="277" t="s">
        <v>1375</v>
      </c>
      <c r="C70" s="277"/>
      <c r="D70" s="326">
        <v>200</v>
      </c>
      <c r="E70" s="63" t="s">
        <v>1374</v>
      </c>
      <c r="H70" s="63"/>
    </row>
    <row r="71" spans="1:8">
      <c r="A71" s="345"/>
      <c r="B71" s="277"/>
      <c r="C71" s="277"/>
      <c r="D71" s="346"/>
      <c r="E71" s="63"/>
      <c r="H71" s="63"/>
    </row>
    <row r="72" spans="1:8">
      <c r="A72" s="345">
        <v>44650</v>
      </c>
      <c r="B72" s="277" t="s">
        <v>1256</v>
      </c>
      <c r="C72" s="277">
        <v>3</v>
      </c>
      <c r="D72" s="8" t="s">
        <v>1376</v>
      </c>
      <c r="E72" s="63"/>
    </row>
    <row r="73" spans="1:8">
      <c r="A73" s="345">
        <v>44844</v>
      </c>
      <c r="B73" s="277" t="s">
        <v>1258</v>
      </c>
      <c r="C73" s="171"/>
      <c r="D73" s="8" t="s">
        <v>1259</v>
      </c>
    </row>
    <row r="74" spans="1:8">
      <c r="D74" s="63"/>
    </row>
    <row r="76" spans="1:8">
      <c r="D76" s="6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1E6A39"/>
  </sheetPr>
  <dimension ref="A1:H61"/>
  <sheetViews>
    <sheetView topLeftCell="A31" zoomScale="170" zoomScaleNormal="170" workbookViewId="0">
      <selection activeCell="A27" sqref="A27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41">
        <v>5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1377</v>
      </c>
      <c r="C2" s="79" t="s">
        <v>67</v>
      </c>
      <c r="D2" s="306">
        <f>SUM(D4:D52)</f>
        <v>179191.62</v>
      </c>
      <c r="E2" s="306">
        <f>SUM(E4:E73)</f>
        <v>-14175.82</v>
      </c>
      <c r="F2" s="306">
        <f>SUM(F4:F71)</f>
        <v>178439.6</v>
      </c>
      <c r="G2" s="306">
        <f>SUM(G4:G71)</f>
        <v>-18452.8</v>
      </c>
      <c r="H2" s="306">
        <f>F2+G2</f>
        <v>159986.80000000002</v>
      </c>
    </row>
    <row r="3" spans="1:8">
      <c r="B3" s="18"/>
      <c r="D3" s="186"/>
      <c r="E3" s="186"/>
      <c r="F3" s="186"/>
      <c r="G3" s="186"/>
      <c r="H3" s="63"/>
    </row>
    <row r="4" spans="1:8">
      <c r="D4" s="186"/>
      <c r="E4" s="186"/>
      <c r="F4" s="102"/>
      <c r="G4" s="186"/>
      <c r="H4" s="63">
        <f t="shared" ref="H4:H35" si="0">H3+F4+G4</f>
        <v>0</v>
      </c>
    </row>
    <row r="5" spans="1:8">
      <c r="A5" s="100">
        <v>44874</v>
      </c>
      <c r="B5" s="8" t="s">
        <v>334</v>
      </c>
      <c r="D5" s="186">
        <v>1221.4100000000001</v>
      </c>
      <c r="E5" s="186"/>
      <c r="F5" s="186">
        <v>1220</v>
      </c>
      <c r="G5" s="186"/>
      <c r="H5" s="63">
        <f t="shared" si="0"/>
        <v>1220</v>
      </c>
    </row>
    <row r="6" spans="1:8">
      <c r="A6" s="100">
        <v>44874</v>
      </c>
      <c r="B6" s="8" t="s">
        <v>335</v>
      </c>
      <c r="D6" s="186">
        <v>98.9</v>
      </c>
      <c r="E6" s="186"/>
      <c r="F6" s="186">
        <v>98</v>
      </c>
      <c r="G6" s="186"/>
      <c r="H6" s="63">
        <f t="shared" si="0"/>
        <v>1318</v>
      </c>
    </row>
    <row r="7" spans="1:8">
      <c r="A7" s="100">
        <v>44871</v>
      </c>
      <c r="B7" s="8" t="s">
        <v>1373</v>
      </c>
      <c r="D7" s="102">
        <v>200</v>
      </c>
      <c r="E7" s="186"/>
      <c r="F7" s="186"/>
      <c r="G7" s="186"/>
      <c r="H7" s="63">
        <f t="shared" si="0"/>
        <v>1318</v>
      </c>
    </row>
    <row r="8" spans="1:8">
      <c r="A8" s="100">
        <v>44874</v>
      </c>
      <c r="B8" s="8" t="s">
        <v>336</v>
      </c>
      <c r="D8" s="186">
        <v>1182.1600000000001</v>
      </c>
      <c r="E8" s="186"/>
      <c r="F8" s="186">
        <v>1182.1500000000001</v>
      </c>
      <c r="G8" s="186"/>
      <c r="H8" s="63">
        <f t="shared" si="0"/>
        <v>2500.15</v>
      </c>
    </row>
    <row r="9" spans="1:8">
      <c r="A9" s="100">
        <v>44874</v>
      </c>
      <c r="B9" s="8" t="s">
        <v>337</v>
      </c>
      <c r="D9" s="186">
        <v>289.7</v>
      </c>
      <c r="E9" s="186"/>
      <c r="F9" s="186">
        <v>290</v>
      </c>
      <c r="G9" s="186"/>
      <c r="H9" s="63">
        <f t="shared" si="0"/>
        <v>2790.15</v>
      </c>
    </row>
    <row r="10" spans="1:8">
      <c r="A10" s="100">
        <v>44874</v>
      </c>
      <c r="B10" s="8" t="s">
        <v>1378</v>
      </c>
      <c r="D10" s="186">
        <v>200</v>
      </c>
      <c r="E10" s="186"/>
      <c r="F10" s="186">
        <v>200</v>
      </c>
      <c r="G10" s="186"/>
      <c r="H10" s="63">
        <f t="shared" si="0"/>
        <v>2990.15</v>
      </c>
    </row>
    <row r="11" spans="1:8">
      <c r="A11" s="100">
        <v>44874</v>
      </c>
      <c r="B11" s="8" t="s">
        <v>338</v>
      </c>
      <c r="D11" s="186">
        <v>49.95</v>
      </c>
      <c r="E11" s="186"/>
      <c r="F11" s="186">
        <v>49.95</v>
      </c>
      <c r="G11" s="186"/>
      <c r="H11" s="63">
        <f t="shared" si="0"/>
        <v>3040.1</v>
      </c>
    </row>
    <row r="12" spans="1:8">
      <c r="A12" s="100">
        <v>44875</v>
      </c>
      <c r="B12" s="106" t="s">
        <v>1338</v>
      </c>
      <c r="C12" s="106"/>
      <c r="D12" s="347"/>
      <c r="E12" s="186">
        <v>-1500</v>
      </c>
      <c r="F12" s="186"/>
      <c r="G12" s="186">
        <v>-2334</v>
      </c>
      <c r="H12" s="63">
        <f t="shared" si="0"/>
        <v>706.09999999999991</v>
      </c>
    </row>
    <row r="13" spans="1:8">
      <c r="A13" s="100">
        <v>44872</v>
      </c>
      <c r="B13" s="8" t="s">
        <v>1379</v>
      </c>
      <c r="D13" s="186"/>
      <c r="E13" s="186"/>
      <c r="F13" s="186">
        <v>200</v>
      </c>
      <c r="G13" s="186"/>
      <c r="H13" s="63">
        <f t="shared" si="0"/>
        <v>906.09999999999991</v>
      </c>
    </row>
    <row r="14" spans="1:8">
      <c r="D14" s="186"/>
      <c r="E14" s="186"/>
      <c r="F14" s="186"/>
      <c r="G14" s="186"/>
      <c r="H14" s="63">
        <f t="shared" si="0"/>
        <v>906.09999999999991</v>
      </c>
    </row>
    <row r="15" spans="1:8">
      <c r="A15" s="100">
        <v>44868</v>
      </c>
      <c r="B15" s="101" t="s">
        <v>1331</v>
      </c>
      <c r="C15" s="101"/>
      <c r="D15" s="347"/>
      <c r="E15" s="186">
        <v>-200</v>
      </c>
      <c r="F15" s="186"/>
      <c r="G15" s="186">
        <v>-255</v>
      </c>
      <c r="H15" s="63">
        <f t="shared" si="0"/>
        <v>651.09999999999991</v>
      </c>
    </row>
    <row r="16" spans="1:8">
      <c r="A16" s="100">
        <v>44868</v>
      </c>
      <c r="B16" s="101" t="s">
        <v>1332</v>
      </c>
      <c r="C16" s="101"/>
      <c r="D16" s="347"/>
      <c r="E16" s="186">
        <v>-400</v>
      </c>
      <c r="F16" s="186"/>
      <c r="G16" s="186">
        <v>-536</v>
      </c>
      <c r="H16" s="63">
        <f t="shared" si="0"/>
        <v>115.09999999999991</v>
      </c>
    </row>
    <row r="17" spans="1:8">
      <c r="B17" s="101"/>
      <c r="C17" s="101"/>
      <c r="D17" s="347"/>
      <c r="E17" s="102"/>
      <c r="F17" s="186"/>
      <c r="G17" s="186"/>
      <c r="H17" s="63">
        <f t="shared" si="0"/>
        <v>115.09999999999991</v>
      </c>
    </row>
    <row r="18" spans="1:8">
      <c r="A18" s="100">
        <v>44873</v>
      </c>
      <c r="B18" s="101" t="s">
        <v>1380</v>
      </c>
      <c r="C18" s="101"/>
      <c r="D18" s="347"/>
      <c r="E18" s="102"/>
      <c r="F18" s="186"/>
      <c r="G18" s="186">
        <v>-1250</v>
      </c>
      <c r="H18" s="63">
        <f t="shared" si="0"/>
        <v>-1134.9000000000001</v>
      </c>
    </row>
    <row r="19" spans="1:8">
      <c r="B19" s="106" t="s">
        <v>1381</v>
      </c>
      <c r="C19" s="106"/>
      <c r="D19" s="347"/>
      <c r="E19" s="102"/>
      <c r="F19" s="348">
        <v>1250</v>
      </c>
      <c r="G19" s="186"/>
      <c r="H19" s="63">
        <f t="shared" si="0"/>
        <v>115.09999999999991</v>
      </c>
    </row>
    <row r="20" spans="1:8">
      <c r="A20" s="100">
        <v>44872</v>
      </c>
      <c r="B20" s="101" t="s">
        <v>1382</v>
      </c>
      <c r="C20" s="101"/>
      <c r="D20" s="347"/>
      <c r="E20" s="186">
        <v>-4300</v>
      </c>
      <c r="F20" s="102"/>
      <c r="G20" s="186">
        <v>-4150</v>
      </c>
      <c r="H20" s="63">
        <f t="shared" si="0"/>
        <v>-4034.9</v>
      </c>
    </row>
    <row r="21" spans="1:8">
      <c r="A21" s="100">
        <v>44872</v>
      </c>
      <c r="B21" s="101" t="s">
        <v>1383</v>
      </c>
      <c r="C21" s="101"/>
      <c r="D21" s="347"/>
      <c r="E21" s="186">
        <v>-496.5</v>
      </c>
      <c r="F21" s="102"/>
      <c r="G21" s="186">
        <v>-496.5</v>
      </c>
      <c r="H21" s="63">
        <f t="shared" si="0"/>
        <v>-4531.3999999999996</v>
      </c>
    </row>
    <row r="22" spans="1:8">
      <c r="B22" s="106"/>
      <c r="C22" s="106"/>
      <c r="D22" s="347"/>
      <c r="E22" s="102"/>
      <c r="F22" s="186"/>
      <c r="G22" s="186"/>
      <c r="H22" s="63">
        <f t="shared" si="0"/>
        <v>-4531.3999999999996</v>
      </c>
    </row>
    <row r="23" spans="1:8">
      <c r="A23" s="100">
        <v>44830</v>
      </c>
      <c r="B23" s="106" t="s">
        <v>1384</v>
      </c>
      <c r="C23" s="106"/>
      <c r="D23" s="347"/>
      <c r="E23" s="186">
        <v>-112.67</v>
      </c>
      <c r="F23" s="186"/>
      <c r="G23" s="186"/>
      <c r="H23" s="63">
        <f t="shared" si="0"/>
        <v>-4531.3999999999996</v>
      </c>
    </row>
    <row r="24" spans="1:8">
      <c r="A24" s="100">
        <v>44835</v>
      </c>
      <c r="B24" s="106" t="s">
        <v>1385</v>
      </c>
      <c r="C24" s="106"/>
      <c r="D24" s="347"/>
      <c r="E24" s="186">
        <v>-754.45</v>
      </c>
      <c r="F24" s="186"/>
      <c r="G24" s="186"/>
      <c r="H24" s="63">
        <f t="shared" si="0"/>
        <v>-4531.3999999999996</v>
      </c>
    </row>
    <row r="25" spans="1:8">
      <c r="A25" s="100">
        <v>44835</v>
      </c>
      <c r="B25" s="106" t="s">
        <v>1386</v>
      </c>
      <c r="C25" s="106"/>
      <c r="D25" s="347"/>
      <c r="E25" s="186">
        <v>-208.17</v>
      </c>
      <c r="F25" s="186"/>
      <c r="G25" s="186"/>
      <c r="H25" s="63">
        <f t="shared" si="0"/>
        <v>-4531.3999999999996</v>
      </c>
    </row>
    <row r="26" spans="1:8">
      <c r="A26" s="100">
        <v>44840</v>
      </c>
      <c r="B26" s="106" t="s">
        <v>1387</v>
      </c>
      <c r="C26" s="106"/>
      <c r="D26" s="347"/>
      <c r="E26" s="186">
        <v>-151.65</v>
      </c>
      <c r="F26" s="186"/>
      <c r="G26" s="186"/>
      <c r="H26" s="63">
        <f t="shared" si="0"/>
        <v>-4531.3999999999996</v>
      </c>
    </row>
    <row r="27" spans="1:8">
      <c r="A27" s="100">
        <v>44833</v>
      </c>
      <c r="B27" s="8" t="s">
        <v>1388</v>
      </c>
      <c r="D27" s="186"/>
      <c r="E27" s="186">
        <v>-721.38</v>
      </c>
      <c r="F27" s="186"/>
      <c r="G27" s="186"/>
      <c r="H27" s="63">
        <f t="shared" si="0"/>
        <v>-4531.3999999999996</v>
      </c>
    </row>
    <row r="28" spans="1:8">
      <c r="A28" s="100">
        <v>44850</v>
      </c>
      <c r="B28" s="106" t="s">
        <v>1389</v>
      </c>
      <c r="C28" s="106"/>
      <c r="D28" s="347"/>
      <c r="E28" s="186">
        <v>-500</v>
      </c>
      <c r="F28" s="186"/>
      <c r="G28" s="186"/>
      <c r="H28" s="63">
        <f t="shared" si="0"/>
        <v>-4531.3999999999996</v>
      </c>
    </row>
    <row r="29" spans="1:8">
      <c r="A29" s="100">
        <v>44857</v>
      </c>
      <c r="B29" s="106" t="s">
        <v>1232</v>
      </c>
      <c r="C29" s="106"/>
      <c r="D29" s="347"/>
      <c r="E29" s="186">
        <v>-80</v>
      </c>
      <c r="F29" s="186"/>
      <c r="G29" s="186"/>
      <c r="H29" s="63">
        <f t="shared" si="0"/>
        <v>-4531.3999999999996</v>
      </c>
    </row>
    <row r="30" spans="1:8">
      <c r="A30" s="100">
        <v>44869</v>
      </c>
      <c r="B30" s="106" t="s">
        <v>1390</v>
      </c>
      <c r="C30" s="106"/>
      <c r="D30" s="347"/>
      <c r="E30" s="102"/>
      <c r="F30" s="186"/>
      <c r="G30" s="186">
        <v>-2528.3000000000002</v>
      </c>
      <c r="H30" s="63">
        <f t="shared" si="0"/>
        <v>-7059.7</v>
      </c>
    </row>
    <row r="31" spans="1:8">
      <c r="B31" s="106"/>
      <c r="C31" s="106"/>
      <c r="D31" s="347"/>
      <c r="E31" s="102"/>
      <c r="F31" s="186"/>
      <c r="G31" s="186"/>
      <c r="H31" s="63">
        <f t="shared" si="0"/>
        <v>-7059.7</v>
      </c>
    </row>
    <row r="32" spans="1:8">
      <c r="B32" s="106" t="s">
        <v>1391</v>
      </c>
      <c r="C32" s="106"/>
      <c r="D32" s="347"/>
      <c r="E32" s="186">
        <v>-200</v>
      </c>
      <c r="F32" s="186"/>
      <c r="G32" s="186">
        <v>-569</v>
      </c>
      <c r="H32" s="63">
        <f t="shared" si="0"/>
        <v>-7628.7</v>
      </c>
    </row>
    <row r="33" spans="1:8">
      <c r="B33" s="106" t="s">
        <v>1392</v>
      </c>
      <c r="C33" s="106"/>
      <c r="D33" s="347"/>
      <c r="E33" s="186">
        <v>-51</v>
      </c>
      <c r="F33" s="186"/>
      <c r="G33" s="186">
        <v>-51</v>
      </c>
      <c r="H33" s="63">
        <f t="shared" si="0"/>
        <v>-7679.7</v>
      </c>
    </row>
    <row r="34" spans="1:8">
      <c r="B34" s="106"/>
      <c r="C34" s="106"/>
      <c r="D34" s="347"/>
      <c r="E34" s="186"/>
      <c r="F34" s="186"/>
      <c r="G34" s="186"/>
      <c r="H34" s="63">
        <f t="shared" si="0"/>
        <v>-7679.7</v>
      </c>
    </row>
    <row r="35" spans="1:8">
      <c r="A35" s="100">
        <v>44890</v>
      </c>
      <c r="B35" s="107" t="s">
        <v>1393</v>
      </c>
      <c r="C35" s="106"/>
      <c r="D35" s="347"/>
      <c r="E35" s="186"/>
      <c r="F35" s="186"/>
      <c r="G35" s="186">
        <v>-175</v>
      </c>
      <c r="H35" s="63">
        <f t="shared" si="0"/>
        <v>-7854.7</v>
      </c>
    </row>
    <row r="36" spans="1:8">
      <c r="A36" s="100">
        <v>44891</v>
      </c>
      <c r="B36" s="107" t="s">
        <v>1394</v>
      </c>
      <c r="C36" s="106"/>
      <c r="D36" s="347"/>
      <c r="E36" s="186"/>
      <c r="F36" s="186"/>
      <c r="G36" s="186">
        <v>-204</v>
      </c>
      <c r="H36" s="63">
        <f t="shared" ref="H36:H54" si="1">H35+F36+G36</f>
        <v>-8058.7</v>
      </c>
    </row>
    <row r="37" spans="1:8">
      <c r="A37" s="100">
        <v>44894</v>
      </c>
      <c r="B37" s="107" t="s">
        <v>1395</v>
      </c>
      <c r="C37" s="106"/>
      <c r="D37" s="347"/>
      <c r="E37" s="186"/>
      <c r="F37" s="186"/>
      <c r="G37" s="186">
        <v>-182</v>
      </c>
      <c r="H37" s="63">
        <f t="shared" si="1"/>
        <v>-8240.7000000000007</v>
      </c>
    </row>
    <row r="38" spans="1:8">
      <c r="B38" s="106"/>
      <c r="C38" s="106"/>
      <c r="D38" s="347"/>
      <c r="E38" s="102"/>
      <c r="F38" s="186"/>
      <c r="G38" s="186"/>
      <c r="H38" s="63">
        <f t="shared" si="1"/>
        <v>-8240.7000000000007</v>
      </c>
    </row>
    <row r="39" spans="1:8">
      <c r="B39" t="s">
        <v>77</v>
      </c>
      <c r="D39" s="186"/>
      <c r="E39" s="102">
        <v>-1500</v>
      </c>
      <c r="F39" s="186"/>
      <c r="G39" s="186">
        <v>-2111</v>
      </c>
      <c r="H39" s="63">
        <f t="shared" si="1"/>
        <v>-10351.700000000001</v>
      </c>
    </row>
    <row r="40" spans="1:8">
      <c r="B40" t="s">
        <v>78</v>
      </c>
      <c r="D40" s="186"/>
      <c r="E40" s="102">
        <v>-1500</v>
      </c>
      <c r="F40" s="186"/>
      <c r="G40" s="186">
        <v>-2111</v>
      </c>
      <c r="H40" s="63">
        <f t="shared" si="1"/>
        <v>-12462.7</v>
      </c>
    </row>
    <row r="41" spans="1:8">
      <c r="B41" t="s">
        <v>79</v>
      </c>
      <c r="D41" s="186"/>
      <c r="E41" s="102">
        <v>-1500</v>
      </c>
      <c r="F41" s="186"/>
      <c r="G41" s="186">
        <v>-1500</v>
      </c>
      <c r="H41" s="63">
        <f t="shared" si="1"/>
        <v>-13962.7</v>
      </c>
    </row>
    <row r="42" spans="1:8">
      <c r="D42" s="186"/>
      <c r="E42" s="186"/>
      <c r="F42" s="186"/>
      <c r="G42" s="186"/>
      <c r="H42" s="63">
        <f t="shared" si="1"/>
        <v>-13962.7</v>
      </c>
    </row>
    <row r="43" spans="1:8">
      <c r="B43" t="s">
        <v>76</v>
      </c>
      <c r="D43" s="186">
        <v>4299.5</v>
      </c>
      <c r="E43" s="186"/>
      <c r="F43" s="186">
        <v>4299.5</v>
      </c>
      <c r="G43" s="186"/>
      <c r="H43" s="63">
        <f t="shared" si="1"/>
        <v>-9663.2000000000007</v>
      </c>
    </row>
    <row r="44" spans="1:8">
      <c r="B44" t="s">
        <v>677</v>
      </c>
      <c r="D44" s="186">
        <v>1650</v>
      </c>
      <c r="E44" s="186"/>
      <c r="F44" s="186">
        <v>1650</v>
      </c>
      <c r="G44" s="186"/>
      <c r="H44" s="63">
        <f t="shared" si="1"/>
        <v>-8013.2000000000007</v>
      </c>
    </row>
    <row r="45" spans="1:8">
      <c r="A45" s="100">
        <v>44903</v>
      </c>
      <c r="B45" s="8" t="s">
        <v>1396</v>
      </c>
      <c r="D45" s="186">
        <v>3000</v>
      </c>
      <c r="E45" s="186"/>
      <c r="F45" s="186">
        <v>3000</v>
      </c>
      <c r="G45" s="186"/>
      <c r="H45" s="63">
        <f t="shared" si="1"/>
        <v>-5013.2000000000007</v>
      </c>
    </row>
    <row r="46" spans="1:8">
      <c r="A46" s="100">
        <v>44895</v>
      </c>
      <c r="B46" s="8" t="s">
        <v>1397</v>
      </c>
      <c r="D46" s="186">
        <v>1000</v>
      </c>
      <c r="E46" s="186"/>
      <c r="F46" s="186">
        <v>1000</v>
      </c>
      <c r="G46" s="186"/>
      <c r="H46" s="63">
        <f t="shared" si="1"/>
        <v>-4013.2000000000007</v>
      </c>
    </row>
    <row r="47" spans="1:8">
      <c r="A47" s="100"/>
      <c r="D47" s="102"/>
      <c r="E47" s="186"/>
      <c r="F47" s="186"/>
      <c r="G47" s="186"/>
      <c r="H47" s="63">
        <f t="shared" si="1"/>
        <v>-4013.2000000000007</v>
      </c>
    </row>
    <row r="48" spans="1:8">
      <c r="B48" t="s">
        <v>1398</v>
      </c>
      <c r="D48" s="186">
        <v>82000</v>
      </c>
      <c r="E48" s="186"/>
      <c r="F48" s="186">
        <v>80000</v>
      </c>
      <c r="G48" s="186"/>
      <c r="H48" s="63">
        <f t="shared" si="1"/>
        <v>75986.8</v>
      </c>
    </row>
    <row r="49" spans="1:8">
      <c r="B49" t="s">
        <v>1399</v>
      </c>
      <c r="D49" s="186"/>
      <c r="E49" s="186"/>
      <c r="F49" s="186"/>
      <c r="G49" s="186"/>
      <c r="H49" s="63">
        <f t="shared" si="1"/>
        <v>75986.8</v>
      </c>
    </row>
    <row r="50" spans="1:8">
      <c r="A50" s="100">
        <v>44893</v>
      </c>
      <c r="B50" s="8" t="s">
        <v>1400</v>
      </c>
      <c r="D50" s="186">
        <v>84000</v>
      </c>
      <c r="E50" s="186"/>
      <c r="F50" s="186">
        <v>84000</v>
      </c>
      <c r="G50" s="186"/>
      <c r="H50" s="63">
        <f t="shared" si="1"/>
        <v>159986.79999999999</v>
      </c>
    </row>
    <row r="51" spans="1:8">
      <c r="H51" s="63">
        <f t="shared" si="1"/>
        <v>159986.79999999999</v>
      </c>
    </row>
    <row r="52" spans="1:8">
      <c r="E52" s="63"/>
      <c r="F52" s="63"/>
      <c r="G52" s="63"/>
      <c r="H52" s="63">
        <f t="shared" si="1"/>
        <v>159986.79999999999</v>
      </c>
    </row>
    <row r="53" spans="1:8">
      <c r="H53" s="63">
        <f t="shared" si="1"/>
        <v>159986.79999999999</v>
      </c>
    </row>
    <row r="54" spans="1:8">
      <c r="B54" t="s">
        <v>1401</v>
      </c>
      <c r="H54" s="63">
        <f t="shared" si="1"/>
        <v>159986.79999999999</v>
      </c>
    </row>
    <row r="56" spans="1:8">
      <c r="A56" s="100">
        <v>44844</v>
      </c>
      <c r="B56" s="349" t="s">
        <v>1258</v>
      </c>
      <c r="C56" s="349"/>
      <c r="D56" s="350">
        <v>2000</v>
      </c>
    </row>
    <row r="57" spans="1:8">
      <c r="A57" s="100">
        <v>44839</v>
      </c>
      <c r="B57" s="349" t="s">
        <v>1375</v>
      </c>
      <c r="C57" s="349"/>
      <c r="D57" s="350">
        <v>200</v>
      </c>
    </row>
    <row r="59" spans="1:8">
      <c r="A59" s="345">
        <v>44803</v>
      </c>
      <c r="B59" s="277" t="s">
        <v>1256</v>
      </c>
      <c r="C59" s="277"/>
      <c r="D59" s="346"/>
    </row>
    <row r="60" spans="1:8">
      <c r="A60" s="345">
        <v>44772</v>
      </c>
      <c r="B60" s="277" t="s">
        <v>1402</v>
      </c>
      <c r="C60" s="277"/>
      <c r="D60" s="346"/>
    </row>
    <row r="61" spans="1:8">
      <c r="A61" s="345">
        <v>44742</v>
      </c>
      <c r="B61" s="277" t="s">
        <v>1403</v>
      </c>
      <c r="C61" s="277"/>
      <c r="D61" s="346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89"/>
  <sheetViews>
    <sheetView topLeftCell="A57" zoomScale="170" zoomScaleNormal="170" workbookViewId="0">
      <selection activeCell="A53" sqref="A53"/>
    </sheetView>
  </sheetViews>
  <sheetFormatPr defaultColWidth="8.5703125" defaultRowHeight="12.75"/>
  <cols>
    <col min="1" max="1" width="12.28515625" customWidth="1"/>
    <col min="2" max="2" width="36.42578125" customWidth="1"/>
    <col min="3" max="3" width="2.5703125" customWidth="1"/>
    <col min="4" max="8" width="12.28515625" customWidth="1"/>
    <col min="9" max="9" width="9.140625" customWidth="1"/>
  </cols>
  <sheetData>
    <row r="1" spans="1:8">
      <c r="B1" s="41">
        <v>3.54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1404</v>
      </c>
      <c r="C2" s="79" t="s">
        <v>67</v>
      </c>
      <c r="D2" s="306">
        <f>SUM(D4:D78)</f>
        <v>23872.199999999997</v>
      </c>
      <c r="E2" s="306">
        <f>SUM(E4:E107)</f>
        <v>-33587.82</v>
      </c>
      <c r="F2" s="306">
        <f>SUM(F4:F104)</f>
        <v>79418.41</v>
      </c>
      <c r="G2" s="306">
        <f>SUM(G4:G104)</f>
        <v>-90424.320000000007</v>
      </c>
      <c r="H2" s="306">
        <f>F2+G2</f>
        <v>-11005.910000000003</v>
      </c>
    </row>
    <row r="3" spans="1:8">
      <c r="B3" s="18"/>
      <c r="H3" s="63"/>
    </row>
    <row r="4" spans="1:8">
      <c r="A4" s="100">
        <v>44838</v>
      </c>
      <c r="B4" s="8" t="s">
        <v>1405</v>
      </c>
      <c r="F4" s="328">
        <v>3000</v>
      </c>
      <c r="G4" s="63"/>
      <c r="H4" s="63">
        <f>H3+F4+G4</f>
        <v>3000</v>
      </c>
    </row>
    <row r="5" spans="1:8">
      <c r="E5" s="63"/>
      <c r="F5" s="63"/>
      <c r="G5" s="63"/>
      <c r="H5" s="63">
        <f>H4+F5+G5</f>
        <v>3000</v>
      </c>
    </row>
    <row r="6" spans="1:8">
      <c r="B6" t="s">
        <v>334</v>
      </c>
      <c r="D6" s="2">
        <v>933.39</v>
      </c>
      <c r="E6" s="63"/>
      <c r="F6" s="63">
        <v>933</v>
      </c>
      <c r="G6" s="63"/>
      <c r="H6" s="63">
        <f>H5+F6+G6</f>
        <v>3933</v>
      </c>
    </row>
    <row r="7" spans="1:8">
      <c r="B7" t="s">
        <v>335</v>
      </c>
      <c r="D7" s="2">
        <v>99.8</v>
      </c>
      <c r="E7" s="63"/>
      <c r="F7" s="63">
        <v>99</v>
      </c>
      <c r="G7" s="63"/>
      <c r="H7" s="63">
        <f>H6+F7+G7</f>
        <v>4032</v>
      </c>
    </row>
    <row r="8" spans="1:8">
      <c r="B8" t="s">
        <v>1375</v>
      </c>
      <c r="D8" s="17">
        <v>200</v>
      </c>
      <c r="E8" s="63"/>
      <c r="F8" s="63"/>
      <c r="G8" s="63"/>
      <c r="H8" s="63"/>
    </row>
    <row r="9" spans="1:8">
      <c r="B9" t="s">
        <v>336</v>
      </c>
      <c r="D9" s="2">
        <v>846.7</v>
      </c>
      <c r="E9" s="63"/>
      <c r="F9" s="63">
        <v>845</v>
      </c>
      <c r="G9" s="63"/>
      <c r="H9" s="63">
        <f>H7+F9+G9</f>
        <v>4877</v>
      </c>
    </row>
    <row r="10" spans="1:8">
      <c r="A10" s="100">
        <v>44837</v>
      </c>
      <c r="B10" s="8" t="s">
        <v>337</v>
      </c>
      <c r="D10" s="2">
        <v>445.75</v>
      </c>
      <c r="E10" s="63"/>
      <c r="F10" s="63">
        <v>445</v>
      </c>
      <c r="G10" s="63"/>
      <c r="H10" s="63">
        <f>H9+F10+G10</f>
        <v>5322</v>
      </c>
    </row>
    <row r="11" spans="1:8">
      <c r="A11" s="100"/>
      <c r="B11" s="8" t="s">
        <v>337</v>
      </c>
      <c r="D11" s="2">
        <v>200</v>
      </c>
      <c r="E11" s="63"/>
      <c r="F11" s="63">
        <v>200</v>
      </c>
      <c r="G11" s="63"/>
      <c r="H11" s="63"/>
    </row>
    <row r="12" spans="1:8">
      <c r="A12" s="100">
        <v>44837</v>
      </c>
      <c r="B12" s="8" t="s">
        <v>338</v>
      </c>
      <c r="D12" s="2">
        <v>202.91</v>
      </c>
      <c r="E12" s="63"/>
      <c r="F12" s="63">
        <v>202.91</v>
      </c>
      <c r="G12" s="63"/>
      <c r="H12" s="63">
        <f>H10+F12+G12</f>
        <v>5524.91</v>
      </c>
    </row>
    <row r="13" spans="1:8">
      <c r="A13" s="100">
        <v>44838</v>
      </c>
      <c r="B13" s="106" t="s">
        <v>1338</v>
      </c>
      <c r="C13" s="106"/>
      <c r="D13" s="106"/>
      <c r="E13" s="63">
        <v>-1500</v>
      </c>
      <c r="F13" s="63"/>
      <c r="G13" s="63">
        <v>-1998</v>
      </c>
      <c r="H13" s="63">
        <f t="shared" ref="H13:H44" si="0">H12+F13+G13</f>
        <v>3526.91</v>
      </c>
    </row>
    <row r="14" spans="1:8">
      <c r="A14" s="100">
        <v>44837</v>
      </c>
      <c r="B14" s="101" t="s">
        <v>1331</v>
      </c>
      <c r="C14" s="101"/>
      <c r="D14" s="101"/>
      <c r="E14" s="63">
        <v>-200</v>
      </c>
      <c r="F14" s="63"/>
      <c r="G14" s="63">
        <v>-299</v>
      </c>
      <c r="H14" s="63">
        <f t="shared" si="0"/>
        <v>3227.91</v>
      </c>
    </row>
    <row r="15" spans="1:8">
      <c r="A15" s="100">
        <v>44837</v>
      </c>
      <c r="B15" s="101" t="s">
        <v>1332</v>
      </c>
      <c r="C15" s="101"/>
      <c r="D15" s="101"/>
      <c r="E15" s="63">
        <v>-400</v>
      </c>
      <c r="F15" s="63"/>
      <c r="G15" s="63">
        <v>-649</v>
      </c>
      <c r="H15" s="63">
        <f t="shared" si="0"/>
        <v>2578.91</v>
      </c>
    </row>
    <row r="16" spans="1:8">
      <c r="A16" s="100">
        <v>44851</v>
      </c>
      <c r="B16" s="101" t="s">
        <v>1406</v>
      </c>
      <c r="C16" s="101"/>
      <c r="D16" s="101"/>
      <c r="E16" s="163"/>
      <c r="F16" s="63"/>
      <c r="G16" s="63">
        <v>-193</v>
      </c>
      <c r="H16" s="63">
        <f t="shared" si="0"/>
        <v>2385.91</v>
      </c>
    </row>
    <row r="17" spans="1:8">
      <c r="A17" s="100">
        <v>44838</v>
      </c>
      <c r="B17" s="101" t="s">
        <v>1407</v>
      </c>
      <c r="C17" s="101"/>
      <c r="D17" s="101"/>
      <c r="E17" s="63">
        <v>-4300</v>
      </c>
      <c r="F17" s="163"/>
      <c r="G17" s="63">
        <v>-4300</v>
      </c>
      <c r="H17" s="63">
        <f t="shared" si="0"/>
        <v>-1914.0900000000001</v>
      </c>
    </row>
    <row r="18" spans="1:8">
      <c r="A18" s="100">
        <v>44837</v>
      </c>
      <c r="B18" s="101" t="s">
        <v>1408</v>
      </c>
      <c r="C18" s="101"/>
      <c r="D18" s="101"/>
      <c r="E18" s="63">
        <v>-496.5</v>
      </c>
      <c r="F18" s="163"/>
      <c r="G18" s="63">
        <v>-492.5</v>
      </c>
      <c r="H18" s="63">
        <f t="shared" si="0"/>
        <v>-2406.59</v>
      </c>
    </row>
    <row r="19" spans="1:8">
      <c r="B19" s="106"/>
      <c r="C19" s="106"/>
      <c r="D19" s="106"/>
      <c r="E19" s="63"/>
      <c r="F19" s="63"/>
      <c r="G19" s="63"/>
      <c r="H19" s="63">
        <f t="shared" si="0"/>
        <v>-2406.59</v>
      </c>
    </row>
    <row r="20" spans="1:8">
      <c r="B20" s="106"/>
      <c r="C20" s="106"/>
      <c r="D20" s="106"/>
      <c r="E20" s="63"/>
      <c r="F20" s="63"/>
      <c r="G20" s="63"/>
      <c r="H20" s="63">
        <f t="shared" si="0"/>
        <v>-2406.59</v>
      </c>
    </row>
    <row r="21" spans="1:8">
      <c r="A21" s="100">
        <v>44799</v>
      </c>
      <c r="B21" s="106" t="s">
        <v>1409</v>
      </c>
      <c r="C21" s="106"/>
      <c r="D21" s="106"/>
      <c r="E21" s="63">
        <v>-112.67</v>
      </c>
      <c r="F21" s="63"/>
      <c r="G21" s="63"/>
      <c r="H21" s="63">
        <f t="shared" si="0"/>
        <v>-2406.59</v>
      </c>
    </row>
    <row r="22" spans="1:8">
      <c r="A22" s="100">
        <v>44801</v>
      </c>
      <c r="B22" s="106" t="s">
        <v>1410</v>
      </c>
      <c r="C22" s="106"/>
      <c r="D22" s="106"/>
      <c r="E22" s="63">
        <v>-355.2</v>
      </c>
      <c r="F22" s="63"/>
      <c r="G22" s="63"/>
      <c r="H22" s="63">
        <f t="shared" si="0"/>
        <v>-2406.59</v>
      </c>
    </row>
    <row r="23" spans="1:8">
      <c r="A23" s="100">
        <v>44802</v>
      </c>
      <c r="B23" s="106" t="s">
        <v>1411</v>
      </c>
      <c r="C23" s="106"/>
      <c r="D23" s="106"/>
      <c r="E23" s="63">
        <v>-363.48</v>
      </c>
      <c r="F23" s="63"/>
      <c r="G23" s="63"/>
      <c r="H23" s="63">
        <f t="shared" si="0"/>
        <v>-2406.59</v>
      </c>
    </row>
    <row r="24" spans="1:8">
      <c r="A24" s="100">
        <v>44802</v>
      </c>
      <c r="B24" s="106" t="s">
        <v>1412</v>
      </c>
      <c r="C24" s="106"/>
      <c r="D24" s="106"/>
      <c r="E24" s="63">
        <v>-250</v>
      </c>
      <c r="F24" s="63"/>
      <c r="G24" s="63"/>
      <c r="H24" s="63">
        <f t="shared" si="0"/>
        <v>-2406.59</v>
      </c>
    </row>
    <row r="25" spans="1:8">
      <c r="A25" s="100">
        <v>44802</v>
      </c>
      <c r="B25" s="106" t="s">
        <v>1413</v>
      </c>
      <c r="C25" s="106"/>
      <c r="D25" s="106"/>
      <c r="E25" s="63">
        <v>-240</v>
      </c>
      <c r="F25" s="63"/>
      <c r="G25" s="63"/>
      <c r="H25" s="63">
        <f t="shared" si="0"/>
        <v>-2406.59</v>
      </c>
    </row>
    <row r="26" spans="1:8">
      <c r="A26" s="100">
        <v>44802</v>
      </c>
      <c r="B26" s="106" t="s">
        <v>1414</v>
      </c>
      <c r="C26" s="106"/>
      <c r="D26" s="106"/>
      <c r="E26" s="63">
        <v>-232.5</v>
      </c>
      <c r="F26" s="63"/>
      <c r="G26" s="63"/>
      <c r="H26" s="63">
        <f t="shared" si="0"/>
        <v>-2406.59</v>
      </c>
    </row>
    <row r="27" spans="1:8">
      <c r="A27" s="100">
        <v>44803</v>
      </c>
      <c r="B27" s="106" t="s">
        <v>617</v>
      </c>
      <c r="C27" s="106"/>
      <c r="D27" s="106"/>
      <c r="E27" s="63">
        <v>-104.65</v>
      </c>
      <c r="F27" s="63"/>
      <c r="G27" s="63"/>
      <c r="H27" s="63">
        <f t="shared" si="0"/>
        <v>-2406.59</v>
      </c>
    </row>
    <row r="28" spans="1:8">
      <c r="A28" s="100">
        <v>44803</v>
      </c>
      <c r="B28" s="106" t="s">
        <v>617</v>
      </c>
      <c r="C28" s="106"/>
      <c r="D28" s="106"/>
      <c r="E28" s="63">
        <v>-185.75</v>
      </c>
      <c r="F28" s="63"/>
      <c r="G28" s="63"/>
      <c r="H28" s="63">
        <f t="shared" si="0"/>
        <v>-2406.59</v>
      </c>
    </row>
    <row r="29" spans="1:8">
      <c r="A29" s="100">
        <v>44803</v>
      </c>
      <c r="B29" s="106" t="s">
        <v>1415</v>
      </c>
      <c r="C29" s="106"/>
      <c r="D29" s="106"/>
      <c r="E29" s="63">
        <v>-368.74</v>
      </c>
      <c r="F29" s="63"/>
      <c r="G29" s="63"/>
      <c r="H29" s="63">
        <f t="shared" si="0"/>
        <v>-2406.59</v>
      </c>
    </row>
    <row r="30" spans="1:8">
      <c r="A30" s="100">
        <v>44803</v>
      </c>
      <c r="B30" s="106" t="s">
        <v>617</v>
      </c>
      <c r="C30" s="106"/>
      <c r="D30" s="106"/>
      <c r="E30" s="63">
        <v>-127.46</v>
      </c>
      <c r="F30" s="63"/>
      <c r="G30" s="63"/>
      <c r="H30" s="63">
        <f t="shared" si="0"/>
        <v>-2406.59</v>
      </c>
    </row>
    <row r="31" spans="1:8">
      <c r="A31" s="100">
        <v>44803</v>
      </c>
      <c r="B31" s="106" t="s">
        <v>1416</v>
      </c>
      <c r="C31" s="106"/>
      <c r="D31" s="106"/>
      <c r="E31" s="63">
        <v>-65.97</v>
      </c>
      <c r="F31" s="63"/>
      <c r="G31" s="63"/>
      <c r="H31" s="63">
        <f t="shared" si="0"/>
        <v>-2406.59</v>
      </c>
    </row>
    <row r="32" spans="1:8">
      <c r="A32" s="100">
        <v>44803</v>
      </c>
      <c r="B32" s="106" t="s">
        <v>530</v>
      </c>
      <c r="C32" s="106"/>
      <c r="D32" s="106"/>
      <c r="E32" s="63">
        <v>-204</v>
      </c>
      <c r="F32" s="63"/>
      <c r="G32" s="63"/>
      <c r="H32" s="63">
        <f t="shared" si="0"/>
        <v>-2406.59</v>
      </c>
    </row>
    <row r="33" spans="1:8">
      <c r="A33" s="100">
        <v>44805</v>
      </c>
      <c r="B33" s="106" t="s">
        <v>1417</v>
      </c>
      <c r="C33" s="106"/>
      <c r="D33" s="106"/>
      <c r="E33" s="63">
        <v>-208.17</v>
      </c>
      <c r="F33" s="63"/>
      <c r="G33" s="63"/>
      <c r="H33" s="63">
        <f t="shared" si="0"/>
        <v>-2406.59</v>
      </c>
    </row>
    <row r="34" spans="1:8">
      <c r="A34" s="100">
        <v>44805</v>
      </c>
      <c r="B34" s="106" t="s">
        <v>1418</v>
      </c>
      <c r="C34" s="106"/>
      <c r="D34" s="106"/>
      <c r="E34" s="63">
        <v>-754.45</v>
      </c>
      <c r="F34" s="63"/>
      <c r="G34" s="63"/>
      <c r="H34" s="63">
        <f t="shared" si="0"/>
        <v>-2406.59</v>
      </c>
    </row>
    <row r="35" spans="1:8">
      <c r="A35" s="100">
        <v>44806</v>
      </c>
      <c r="B35" s="106" t="s">
        <v>617</v>
      </c>
      <c r="C35" s="106"/>
      <c r="D35" s="106"/>
      <c r="E35" s="63">
        <v>-137.69999999999999</v>
      </c>
      <c r="F35" s="63"/>
      <c r="G35" s="63"/>
      <c r="H35" s="63">
        <f t="shared" si="0"/>
        <v>-2406.59</v>
      </c>
    </row>
    <row r="36" spans="1:8">
      <c r="A36" s="100">
        <v>44806</v>
      </c>
      <c r="B36" s="106" t="s">
        <v>617</v>
      </c>
      <c r="C36" s="106"/>
      <c r="D36" s="106"/>
      <c r="E36" s="63">
        <v>-161.91</v>
      </c>
      <c r="F36" s="63"/>
      <c r="G36" s="63"/>
      <c r="H36" s="63">
        <f t="shared" si="0"/>
        <v>-2406.59</v>
      </c>
    </row>
    <row r="37" spans="1:8">
      <c r="A37" s="100">
        <v>44807</v>
      </c>
      <c r="B37" s="8" t="s">
        <v>1419</v>
      </c>
      <c r="C37" s="106"/>
      <c r="D37" s="106"/>
      <c r="E37" s="63">
        <v>-697.3</v>
      </c>
      <c r="F37" s="63"/>
      <c r="G37" s="63"/>
      <c r="H37" s="63">
        <f t="shared" si="0"/>
        <v>-2406.59</v>
      </c>
    </row>
    <row r="38" spans="1:8">
      <c r="A38" s="100">
        <v>44807</v>
      </c>
      <c r="B38" s="106" t="s">
        <v>1420</v>
      </c>
      <c r="C38" s="106"/>
      <c r="D38" s="106"/>
      <c r="E38" s="63">
        <v>-600</v>
      </c>
      <c r="F38" s="63"/>
      <c r="G38" s="63"/>
      <c r="H38" s="63">
        <f t="shared" si="0"/>
        <v>-2406.59</v>
      </c>
    </row>
    <row r="39" spans="1:8">
      <c r="A39" s="100">
        <v>44807</v>
      </c>
      <c r="B39" s="106" t="s">
        <v>1421</v>
      </c>
      <c r="C39" s="106"/>
      <c r="D39" s="106"/>
      <c r="E39" s="63">
        <v>-350</v>
      </c>
      <c r="F39" s="63"/>
      <c r="G39" s="63"/>
      <c r="H39" s="63">
        <f t="shared" si="0"/>
        <v>-2406.59</v>
      </c>
    </row>
    <row r="40" spans="1:8">
      <c r="A40" s="100">
        <v>44808</v>
      </c>
      <c r="B40" s="106" t="s">
        <v>1422</v>
      </c>
      <c r="C40" s="106"/>
      <c r="D40" s="106"/>
      <c r="E40" s="63">
        <v>-920</v>
      </c>
      <c r="F40" s="63"/>
      <c r="G40" s="63"/>
      <c r="H40" s="63">
        <f t="shared" si="0"/>
        <v>-2406.59</v>
      </c>
    </row>
    <row r="41" spans="1:8">
      <c r="A41" s="100">
        <v>44808</v>
      </c>
      <c r="B41" s="106" t="s">
        <v>1423</v>
      </c>
      <c r="C41" s="106"/>
      <c r="D41" s="106"/>
      <c r="E41" s="63">
        <v>-392</v>
      </c>
      <c r="F41" s="63"/>
      <c r="G41" s="63"/>
      <c r="H41" s="63">
        <f t="shared" si="0"/>
        <v>-2406.59</v>
      </c>
    </row>
    <row r="42" spans="1:8">
      <c r="A42" s="100">
        <v>44809</v>
      </c>
      <c r="B42" s="106" t="s">
        <v>617</v>
      </c>
      <c r="C42" s="106"/>
      <c r="D42" s="106"/>
      <c r="E42" s="63">
        <v>-98.8</v>
      </c>
      <c r="F42" s="63"/>
      <c r="G42" s="63"/>
      <c r="H42" s="63">
        <f t="shared" si="0"/>
        <v>-2406.59</v>
      </c>
    </row>
    <row r="43" spans="1:8">
      <c r="A43" s="100">
        <v>44810</v>
      </c>
      <c r="B43" s="106" t="s">
        <v>1415</v>
      </c>
      <c r="C43" s="106"/>
      <c r="D43" s="106"/>
      <c r="E43" s="63">
        <v>-339.36</v>
      </c>
      <c r="F43" s="63"/>
      <c r="G43" s="63"/>
      <c r="H43" s="63">
        <f t="shared" si="0"/>
        <v>-2406.59</v>
      </c>
    </row>
    <row r="44" spans="1:8">
      <c r="A44" s="100">
        <v>44810</v>
      </c>
      <c r="B44" s="106" t="s">
        <v>1424</v>
      </c>
      <c r="C44" s="106"/>
      <c r="D44" s="106"/>
      <c r="E44" s="63">
        <v>-151.65</v>
      </c>
      <c r="F44" s="63"/>
      <c r="G44" s="63"/>
      <c r="H44" s="63">
        <f t="shared" si="0"/>
        <v>-2406.59</v>
      </c>
    </row>
    <row r="45" spans="1:8">
      <c r="A45" s="100">
        <v>44810</v>
      </c>
      <c r="B45" s="106" t="s">
        <v>1425</v>
      </c>
      <c r="C45" s="106"/>
      <c r="D45" s="106"/>
      <c r="E45" s="63">
        <v>-75</v>
      </c>
      <c r="F45" s="63"/>
      <c r="G45" s="63"/>
      <c r="H45" s="63">
        <f t="shared" ref="H45:H76" si="1">H44+F45+G45</f>
        <v>-2406.59</v>
      </c>
    </row>
    <row r="46" spans="1:8">
      <c r="A46" s="100">
        <v>44810</v>
      </c>
      <c r="B46" s="106" t="s">
        <v>1414</v>
      </c>
      <c r="C46" s="106"/>
      <c r="D46" s="106"/>
      <c r="E46" s="63">
        <v>-397.56</v>
      </c>
      <c r="F46" s="63"/>
      <c r="G46" s="63"/>
      <c r="H46" s="63">
        <f t="shared" si="1"/>
        <v>-2406.59</v>
      </c>
    </row>
    <row r="47" spans="1:8">
      <c r="A47" s="100">
        <v>44810</v>
      </c>
      <c r="B47" s="106" t="s">
        <v>1426</v>
      </c>
      <c r="C47" s="106"/>
      <c r="D47" s="106"/>
      <c r="E47" s="63">
        <v>-120</v>
      </c>
      <c r="F47" s="63"/>
      <c r="G47" s="63"/>
      <c r="H47" s="63">
        <f t="shared" si="1"/>
        <v>-2406.59</v>
      </c>
    </row>
    <row r="48" spans="1:8">
      <c r="A48" s="100">
        <v>44810</v>
      </c>
      <c r="B48" s="106" t="s">
        <v>1427</v>
      </c>
      <c r="C48" s="106"/>
      <c r="D48" s="106"/>
      <c r="E48" s="63">
        <v>-250</v>
      </c>
      <c r="F48" s="63"/>
      <c r="G48" s="63"/>
      <c r="H48" s="63">
        <f t="shared" si="1"/>
        <v>-2406.59</v>
      </c>
    </row>
    <row r="49" spans="1:8">
      <c r="A49" s="100">
        <v>44810</v>
      </c>
      <c r="B49" s="106" t="s">
        <v>1428</v>
      </c>
      <c r="C49" s="106"/>
      <c r="D49" s="106"/>
      <c r="E49" s="63">
        <v>-200</v>
      </c>
      <c r="F49" s="63"/>
      <c r="G49" s="63"/>
      <c r="H49" s="63">
        <f t="shared" si="1"/>
        <v>-2406.59</v>
      </c>
    </row>
    <row r="50" spans="1:8">
      <c r="A50" s="100">
        <v>44810</v>
      </c>
      <c r="B50" s="106" t="s">
        <v>1429</v>
      </c>
      <c r="C50" s="106"/>
      <c r="D50" s="106"/>
      <c r="E50" s="63">
        <v>-100</v>
      </c>
      <c r="F50" s="63"/>
      <c r="G50" s="63"/>
      <c r="H50" s="63">
        <f t="shared" si="1"/>
        <v>-2406.59</v>
      </c>
    </row>
    <row r="51" spans="1:8">
      <c r="A51" s="100">
        <v>44811</v>
      </c>
      <c r="B51" s="106" t="s">
        <v>1430</v>
      </c>
      <c r="C51" s="106"/>
      <c r="D51" s="106"/>
      <c r="E51" s="63">
        <v>-360</v>
      </c>
      <c r="F51" s="63"/>
      <c r="G51" s="63"/>
      <c r="H51" s="63">
        <f t="shared" si="1"/>
        <v>-2406.59</v>
      </c>
    </row>
    <row r="52" spans="1:8">
      <c r="A52" s="100">
        <v>44814</v>
      </c>
      <c r="B52" s="106" t="s">
        <v>1431</v>
      </c>
      <c r="C52" s="106"/>
      <c r="D52" s="106"/>
      <c r="E52" s="63">
        <v>-400</v>
      </c>
      <c r="F52" s="63"/>
      <c r="G52" s="63"/>
      <c r="H52" s="63">
        <f t="shared" si="1"/>
        <v>-2406.59</v>
      </c>
    </row>
    <row r="53" spans="1:8">
      <c r="B53" s="106" t="s">
        <v>1432</v>
      </c>
      <c r="C53" s="106"/>
      <c r="D53" s="106"/>
      <c r="E53" s="163"/>
      <c r="F53" s="63"/>
      <c r="G53" s="63">
        <v>-9324.32</v>
      </c>
      <c r="H53" s="63">
        <f t="shared" si="1"/>
        <v>-11730.91</v>
      </c>
    </row>
    <row r="54" spans="1:8">
      <c r="A54" s="100">
        <v>44837</v>
      </c>
      <c r="B54" s="8" t="s">
        <v>369</v>
      </c>
      <c r="G54" s="63">
        <v>-30374</v>
      </c>
      <c r="H54" s="63">
        <f t="shared" si="1"/>
        <v>-42104.91</v>
      </c>
    </row>
    <row r="55" spans="1:8">
      <c r="A55" s="100"/>
      <c r="G55" s="63"/>
      <c r="H55" s="63">
        <f t="shared" si="1"/>
        <v>-42104.91</v>
      </c>
    </row>
    <row r="56" spans="1:8">
      <c r="A56" s="100"/>
      <c r="B56" s="8" t="s">
        <v>1433</v>
      </c>
      <c r="G56" s="63"/>
      <c r="H56" s="63">
        <f t="shared" si="1"/>
        <v>-42104.91</v>
      </c>
    </row>
    <row r="57" spans="1:8">
      <c r="A57" s="100"/>
      <c r="B57" s="8" t="s">
        <v>1434</v>
      </c>
      <c r="G57" s="63"/>
      <c r="H57" s="63">
        <f t="shared" si="1"/>
        <v>-42104.91</v>
      </c>
    </row>
    <row r="58" spans="1:8">
      <c r="A58" s="100">
        <v>44844</v>
      </c>
      <c r="B58" s="8" t="s">
        <v>1435</v>
      </c>
      <c r="F58">
        <v>10300</v>
      </c>
      <c r="G58" s="63"/>
      <c r="H58" s="63">
        <f t="shared" si="1"/>
        <v>-31804.910000000003</v>
      </c>
    </row>
    <row r="59" spans="1:8">
      <c r="A59" s="100">
        <v>44847</v>
      </c>
      <c r="B59" s="8" t="s">
        <v>1435</v>
      </c>
      <c r="D59">
        <v>9000</v>
      </c>
      <c r="F59">
        <v>9000</v>
      </c>
      <c r="G59" s="63"/>
      <c r="H59" s="63">
        <f t="shared" si="1"/>
        <v>-22804.910000000003</v>
      </c>
    </row>
    <row r="60" spans="1:8">
      <c r="A60" s="100">
        <v>44844</v>
      </c>
      <c r="B60" s="8" t="s">
        <v>1436</v>
      </c>
      <c r="D60" s="3"/>
      <c r="F60">
        <v>20700</v>
      </c>
      <c r="G60" s="63"/>
      <c r="H60" s="63">
        <f t="shared" si="1"/>
        <v>-2104.9100000000035</v>
      </c>
    </row>
    <row r="61" spans="1:8">
      <c r="A61" s="100">
        <v>44844</v>
      </c>
      <c r="B61" s="8" t="s">
        <v>1258</v>
      </c>
      <c r="D61" s="3">
        <v>2000</v>
      </c>
      <c r="G61" s="63"/>
      <c r="H61" s="63">
        <f t="shared" si="1"/>
        <v>-2104.9100000000035</v>
      </c>
    </row>
    <row r="62" spans="1:8">
      <c r="A62" s="100"/>
      <c r="B62" s="8" t="s">
        <v>1437</v>
      </c>
      <c r="G62" s="63">
        <v>-2620</v>
      </c>
      <c r="H62" s="63">
        <f t="shared" si="1"/>
        <v>-4724.9100000000035</v>
      </c>
    </row>
    <row r="63" spans="1:8">
      <c r="A63" s="100"/>
      <c r="G63" s="63"/>
      <c r="H63" s="63">
        <f t="shared" si="1"/>
        <v>-4724.9100000000035</v>
      </c>
    </row>
    <row r="64" spans="1:8">
      <c r="A64" s="100"/>
      <c r="B64" s="106" t="s">
        <v>1438</v>
      </c>
      <c r="C64" s="106"/>
      <c r="D64" s="106"/>
      <c r="E64" s="163">
        <v>-200</v>
      </c>
      <c r="G64" s="63"/>
      <c r="H64" s="63">
        <f t="shared" si="1"/>
        <v>-4724.9100000000035</v>
      </c>
    </row>
    <row r="65" spans="1:8">
      <c r="A65" s="100"/>
      <c r="B65" s="106" t="s">
        <v>1439</v>
      </c>
      <c r="C65" s="106"/>
      <c r="D65" s="106"/>
      <c r="E65" s="163"/>
      <c r="G65" s="63">
        <v>-94.5</v>
      </c>
      <c r="H65" s="63">
        <f t="shared" si="1"/>
        <v>-4819.4100000000035</v>
      </c>
    </row>
    <row r="66" spans="1:8">
      <c r="A66" s="100"/>
      <c r="G66" s="63"/>
      <c r="H66" s="63">
        <f t="shared" si="1"/>
        <v>-4819.4100000000035</v>
      </c>
    </row>
    <row r="67" spans="1:8">
      <c r="B67" t="s">
        <v>77</v>
      </c>
      <c r="D67" s="3"/>
      <c r="E67" s="163">
        <v>-1500</v>
      </c>
      <c r="F67" s="63"/>
      <c r="G67" s="63">
        <v>-2110</v>
      </c>
      <c r="H67" s="63">
        <f t="shared" si="1"/>
        <v>-6929.4100000000035</v>
      </c>
    </row>
    <row r="68" spans="1:8">
      <c r="B68" t="s">
        <v>78</v>
      </c>
      <c r="D68" s="3"/>
      <c r="E68" s="163">
        <v>-1500</v>
      </c>
      <c r="F68" s="63"/>
      <c r="G68" s="63">
        <v>-2110</v>
      </c>
      <c r="H68" s="63">
        <f t="shared" si="1"/>
        <v>-9039.4100000000035</v>
      </c>
    </row>
    <row r="69" spans="1:8">
      <c r="B69" t="s">
        <v>79</v>
      </c>
      <c r="D69" s="3"/>
      <c r="E69" s="163">
        <v>-1500</v>
      </c>
      <c r="G69" s="63">
        <v>-2110</v>
      </c>
      <c r="H69" s="63">
        <f t="shared" si="1"/>
        <v>-11149.410000000003</v>
      </c>
    </row>
    <row r="70" spans="1:8">
      <c r="B70" s="106"/>
      <c r="C70" s="106"/>
      <c r="D70" s="107"/>
      <c r="E70" s="163"/>
      <c r="F70" s="63"/>
      <c r="G70" s="63"/>
      <c r="H70" s="63">
        <f t="shared" si="1"/>
        <v>-11149.410000000003</v>
      </c>
    </row>
    <row r="71" spans="1:8">
      <c r="B71" t="s">
        <v>76</v>
      </c>
      <c r="D71" s="186">
        <v>4293.6499999999996</v>
      </c>
      <c r="E71" s="3"/>
      <c r="F71" s="186">
        <v>4293.5</v>
      </c>
      <c r="G71" s="63"/>
      <c r="H71" s="63">
        <f t="shared" si="1"/>
        <v>-6855.9100000000035</v>
      </c>
    </row>
    <row r="72" spans="1:8">
      <c r="A72" s="100">
        <v>44861</v>
      </c>
      <c r="B72" s="8" t="s">
        <v>677</v>
      </c>
      <c r="D72" s="186">
        <v>1650</v>
      </c>
      <c r="E72" s="3"/>
      <c r="F72" s="63">
        <v>1650</v>
      </c>
      <c r="G72" s="63"/>
      <c r="H72" s="63">
        <f t="shared" si="1"/>
        <v>-5205.9100000000035</v>
      </c>
    </row>
    <row r="73" spans="1:8">
      <c r="A73" s="100">
        <v>44865</v>
      </c>
      <c r="B73" s="8" t="s">
        <v>1440</v>
      </c>
      <c r="D73" s="186">
        <v>3000</v>
      </c>
      <c r="E73" s="3"/>
      <c r="F73" s="63">
        <v>3000</v>
      </c>
      <c r="G73" s="63"/>
      <c r="H73" s="63">
        <f t="shared" si="1"/>
        <v>-2205.9100000000035</v>
      </c>
    </row>
    <row r="74" spans="1:8">
      <c r="A74" s="100">
        <v>44865</v>
      </c>
      <c r="B74" s="8" t="s">
        <v>1441</v>
      </c>
      <c r="D74" s="186">
        <v>1000</v>
      </c>
      <c r="E74" s="3"/>
      <c r="F74">
        <v>1000</v>
      </c>
      <c r="H74" s="63">
        <f t="shared" si="1"/>
        <v>-1205.9100000000035</v>
      </c>
    </row>
    <row r="75" spans="1:8">
      <c r="D75" s="102"/>
      <c r="E75" s="3"/>
      <c r="H75" s="63">
        <f t="shared" si="1"/>
        <v>-1205.9100000000035</v>
      </c>
    </row>
    <row r="76" spans="1:8">
      <c r="H76" s="63">
        <f t="shared" si="1"/>
        <v>-1205.9100000000035</v>
      </c>
    </row>
    <row r="77" spans="1:8">
      <c r="A77" s="100">
        <v>44847</v>
      </c>
      <c r="B77" s="8" t="s">
        <v>1442</v>
      </c>
      <c r="E77" s="163">
        <v>-12667</v>
      </c>
      <c r="G77" s="63">
        <v>-10000</v>
      </c>
      <c r="H77" s="63">
        <f t="shared" ref="H77:H84" si="2">H76+F77+G77</f>
        <v>-11205.910000000003</v>
      </c>
    </row>
    <row r="78" spans="1:8">
      <c r="H78" s="63">
        <f t="shared" si="2"/>
        <v>-11205.910000000003</v>
      </c>
    </row>
    <row r="79" spans="1:8">
      <c r="H79" s="63">
        <f t="shared" si="2"/>
        <v>-11205.910000000003</v>
      </c>
    </row>
    <row r="80" spans="1:8">
      <c r="B80" t="s">
        <v>1401</v>
      </c>
      <c r="H80" s="63">
        <f t="shared" si="2"/>
        <v>-11205.910000000003</v>
      </c>
    </row>
    <row r="81" spans="1:8">
      <c r="H81" s="63">
        <f t="shared" si="2"/>
        <v>-11205.910000000003</v>
      </c>
    </row>
    <row r="82" spans="1:8">
      <c r="B82" t="s">
        <v>1443</v>
      </c>
      <c r="H82" s="63">
        <f t="shared" si="2"/>
        <v>-11205.910000000003</v>
      </c>
    </row>
    <row r="83" spans="1:8">
      <c r="B83" s="351" t="s">
        <v>1444</v>
      </c>
      <c r="C83" s="351"/>
      <c r="D83" s="352">
        <v>20000</v>
      </c>
      <c r="F83">
        <v>23750</v>
      </c>
      <c r="H83" s="63">
        <f t="shared" si="2"/>
        <v>12544.089999999997</v>
      </c>
    </row>
    <row r="84" spans="1:8">
      <c r="B84" s="351" t="s">
        <v>1445</v>
      </c>
      <c r="C84" s="351"/>
      <c r="D84" s="352"/>
      <c r="G84" s="63">
        <v>-23750</v>
      </c>
      <c r="H84" s="63">
        <f t="shared" si="2"/>
        <v>-11205.910000000003</v>
      </c>
    </row>
    <row r="85" spans="1:8">
      <c r="D85" s="2"/>
      <c r="G85" s="63"/>
      <c r="H85" s="63"/>
    </row>
    <row r="86" spans="1:8">
      <c r="A86" s="345"/>
      <c r="B86" s="277"/>
      <c r="C86" s="277"/>
      <c r="D86" s="353"/>
      <c r="G86" s="63"/>
      <c r="H86" s="63"/>
    </row>
    <row r="87" spans="1:8">
      <c r="A87" s="345">
        <v>44803</v>
      </c>
      <c r="B87" s="277" t="s">
        <v>1256</v>
      </c>
      <c r="C87" s="277"/>
      <c r="D87" s="353">
        <v>4000</v>
      </c>
      <c r="H87" s="63"/>
    </row>
    <row r="88" spans="1:8">
      <c r="A88" s="345">
        <v>44772</v>
      </c>
      <c r="B88" s="277" t="s">
        <v>1402</v>
      </c>
      <c r="C88" s="277"/>
      <c r="D88" s="353">
        <v>4000</v>
      </c>
      <c r="H88" s="63"/>
    </row>
    <row r="89" spans="1:8">
      <c r="A89" s="345">
        <v>44742</v>
      </c>
      <c r="B89" s="277" t="s">
        <v>1403</v>
      </c>
      <c r="C89" s="277"/>
      <c r="D89" s="353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1E6A39"/>
  </sheetPr>
  <dimension ref="A1:H48"/>
  <sheetViews>
    <sheetView topLeftCell="A14" zoomScale="170" zoomScaleNormal="170" workbookViewId="0">
      <selection activeCell="A23" sqref="A23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41">
        <v>3.08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1446</v>
      </c>
      <c r="C2" s="79" t="s">
        <v>67</v>
      </c>
      <c r="D2" s="306">
        <f>SUM(D5:D42)</f>
        <v>66162.31</v>
      </c>
      <c r="E2" s="306">
        <f>SUM(E5:E69)</f>
        <v>-61978.720000000001</v>
      </c>
      <c r="F2" s="306">
        <f>SUM(F5:F66)</f>
        <v>9260.5</v>
      </c>
      <c r="G2" s="306">
        <f>SUM(G5:G66)</f>
        <v>-25729.239999999998</v>
      </c>
      <c r="H2" s="306">
        <f>F2+G2</f>
        <v>-16468.739999999998</v>
      </c>
    </row>
    <row r="3" spans="1:8">
      <c r="B3" s="18"/>
      <c r="H3" s="63"/>
    </row>
    <row r="4" spans="1:8">
      <c r="B4" s="18"/>
      <c r="H4" s="63">
        <f t="shared" ref="H4:H46" si="0">H3+F4+G4</f>
        <v>0</v>
      </c>
    </row>
    <row r="5" spans="1:8">
      <c r="E5" s="63"/>
      <c r="F5" s="63"/>
      <c r="G5" s="63"/>
      <c r="H5" s="63">
        <f t="shared" si="0"/>
        <v>0</v>
      </c>
    </row>
    <row r="6" spans="1:8">
      <c r="B6" t="s">
        <v>334</v>
      </c>
      <c r="D6">
        <v>1156.32</v>
      </c>
      <c r="E6" s="63"/>
      <c r="F6" s="63">
        <v>1155</v>
      </c>
      <c r="G6" s="63"/>
      <c r="H6" s="63">
        <f t="shared" si="0"/>
        <v>1155</v>
      </c>
    </row>
    <row r="7" spans="1:8">
      <c r="B7" t="s">
        <v>1447</v>
      </c>
      <c r="D7">
        <v>904.99</v>
      </c>
      <c r="E7" s="63"/>
      <c r="F7" s="63">
        <v>905</v>
      </c>
      <c r="G7" s="63"/>
      <c r="H7" s="63">
        <f t="shared" si="0"/>
        <v>2060</v>
      </c>
    </row>
    <row r="8" spans="1:8">
      <c r="B8" t="s">
        <v>338</v>
      </c>
      <c r="D8">
        <v>51</v>
      </c>
      <c r="E8" s="63"/>
      <c r="F8" s="63">
        <v>51</v>
      </c>
      <c r="G8" s="63"/>
      <c r="H8" s="63">
        <f t="shared" si="0"/>
        <v>2111</v>
      </c>
    </row>
    <row r="9" spans="1:8">
      <c r="B9" s="106" t="s">
        <v>1338</v>
      </c>
      <c r="C9" s="106"/>
      <c r="D9" s="106"/>
      <c r="E9" s="63">
        <v>-1500</v>
      </c>
      <c r="F9" s="63"/>
      <c r="G9" s="63">
        <v>-1763.74</v>
      </c>
      <c r="H9" s="63">
        <f t="shared" si="0"/>
        <v>347.26</v>
      </c>
    </row>
    <row r="10" spans="1:8">
      <c r="A10" s="100">
        <v>44805</v>
      </c>
      <c r="B10" s="101" t="s">
        <v>1331</v>
      </c>
      <c r="C10" s="101"/>
      <c r="D10" s="101"/>
      <c r="E10" s="63">
        <v>-200</v>
      </c>
      <c r="F10" s="163"/>
      <c r="G10" s="63">
        <v>-229.9</v>
      </c>
      <c r="H10" s="63">
        <f t="shared" si="0"/>
        <v>117.35999999999999</v>
      </c>
    </row>
    <row r="11" spans="1:8">
      <c r="A11" s="100">
        <v>44805</v>
      </c>
      <c r="B11" s="101" t="s">
        <v>1332</v>
      </c>
      <c r="C11" s="101"/>
      <c r="D11" s="101"/>
      <c r="E11" s="63">
        <v>-400</v>
      </c>
      <c r="F11" s="163"/>
      <c r="G11" s="63">
        <v>-501.1</v>
      </c>
      <c r="H11" s="63">
        <f t="shared" si="0"/>
        <v>-383.74</v>
      </c>
    </row>
    <row r="12" spans="1:8">
      <c r="A12" s="100">
        <v>44807</v>
      </c>
      <c r="B12" s="101" t="s">
        <v>1448</v>
      </c>
      <c r="C12" s="101"/>
      <c r="D12" s="101"/>
      <c r="E12" s="63"/>
      <c r="F12" s="163"/>
      <c r="G12" s="63">
        <v>-1000</v>
      </c>
      <c r="H12" s="63">
        <f t="shared" si="0"/>
        <v>-1383.74</v>
      </c>
    </row>
    <row r="13" spans="1:8">
      <c r="A13" s="100">
        <v>44816</v>
      </c>
      <c r="B13" s="101" t="s">
        <v>1449</v>
      </c>
      <c r="C13" s="101"/>
      <c r="D13" s="101"/>
      <c r="E13" s="63">
        <v>-4300</v>
      </c>
      <c r="F13" s="163"/>
      <c r="G13" s="63">
        <v>-4300</v>
      </c>
      <c r="H13" s="63">
        <f t="shared" si="0"/>
        <v>-5683.74</v>
      </c>
    </row>
    <row r="14" spans="1:8">
      <c r="A14" s="100">
        <v>44805</v>
      </c>
      <c r="B14" s="101" t="s">
        <v>1450</v>
      </c>
      <c r="C14" s="101"/>
      <c r="D14" s="101"/>
      <c r="E14" s="63">
        <v>-396.5</v>
      </c>
      <c r="F14" s="163"/>
      <c r="G14" s="63">
        <v>-696.5</v>
      </c>
      <c r="H14" s="63">
        <f t="shared" si="0"/>
        <v>-6380.24</v>
      </c>
    </row>
    <row r="15" spans="1:8">
      <c r="B15" s="106"/>
      <c r="C15" s="106"/>
      <c r="D15" s="106"/>
      <c r="E15" s="63"/>
      <c r="F15" s="63"/>
      <c r="G15" s="63"/>
      <c r="H15" s="63">
        <f t="shared" si="0"/>
        <v>-6380.24</v>
      </c>
    </row>
    <row r="16" spans="1:8">
      <c r="B16" s="106" t="s">
        <v>1438</v>
      </c>
      <c r="C16" s="106"/>
      <c r="D16" s="106"/>
      <c r="E16" s="63">
        <v>-200</v>
      </c>
      <c r="F16" s="63"/>
      <c r="G16" s="63">
        <v>-61.44</v>
      </c>
      <c r="H16" s="63">
        <f t="shared" si="0"/>
        <v>-6441.6799999999994</v>
      </c>
    </row>
    <row r="17" spans="1:8">
      <c r="B17" s="106" t="s">
        <v>1451</v>
      </c>
      <c r="C17" s="106"/>
      <c r="D17" s="106"/>
      <c r="E17" s="63">
        <v>-50</v>
      </c>
      <c r="F17" s="63"/>
      <c r="G17" s="63">
        <v>-26.33</v>
      </c>
      <c r="H17" s="63">
        <f t="shared" si="0"/>
        <v>-6468.0099999999993</v>
      </c>
    </row>
    <row r="18" spans="1:8">
      <c r="B18" s="106"/>
      <c r="C18" s="106"/>
      <c r="D18" s="106"/>
      <c r="E18" s="63"/>
      <c r="F18" s="63"/>
      <c r="G18" s="63"/>
      <c r="H18" s="63">
        <f t="shared" si="0"/>
        <v>-6468.0099999999993</v>
      </c>
    </row>
    <row r="19" spans="1:8">
      <c r="A19" s="100">
        <v>44796</v>
      </c>
      <c r="B19" s="106" t="s">
        <v>1452</v>
      </c>
      <c r="C19" s="106"/>
      <c r="D19" s="106"/>
      <c r="E19" s="63">
        <v>-177.65</v>
      </c>
      <c r="F19" s="63"/>
      <c r="G19" s="63"/>
      <c r="H19" s="63">
        <f t="shared" si="0"/>
        <v>-6468.0099999999993</v>
      </c>
    </row>
    <row r="20" spans="1:8">
      <c r="A20" s="100">
        <v>44768</v>
      </c>
      <c r="B20" s="106" t="s">
        <v>1453</v>
      </c>
      <c r="C20" s="106"/>
      <c r="D20" s="106"/>
      <c r="E20" s="63">
        <v>-448.35</v>
      </c>
      <c r="F20" s="63"/>
      <c r="G20" s="63"/>
      <c r="H20" s="63">
        <f t="shared" si="0"/>
        <v>-6468.0099999999993</v>
      </c>
    </row>
    <row r="21" spans="1:8">
      <c r="A21" s="100">
        <v>44768</v>
      </c>
      <c r="B21" s="106" t="s">
        <v>1454</v>
      </c>
      <c r="C21" s="106"/>
      <c r="D21" s="106"/>
      <c r="E21" s="63">
        <v>-112.67</v>
      </c>
      <c r="F21" s="63"/>
      <c r="G21" s="63"/>
      <c r="H21" s="63">
        <f t="shared" si="0"/>
        <v>-6468.0099999999993</v>
      </c>
    </row>
    <row r="22" spans="1:8">
      <c r="A22" s="100">
        <v>44779</v>
      </c>
      <c r="B22" s="8" t="s">
        <v>1455</v>
      </c>
      <c r="E22" s="63">
        <v>-900.19</v>
      </c>
      <c r="H22" s="63">
        <f t="shared" si="0"/>
        <v>-6468.0099999999993</v>
      </c>
    </row>
    <row r="23" spans="1:8">
      <c r="A23" s="100">
        <v>44783</v>
      </c>
      <c r="B23" s="106" t="s">
        <v>1456</v>
      </c>
      <c r="C23" s="106"/>
      <c r="D23" s="106"/>
      <c r="E23" s="63">
        <v>-633.20000000000005</v>
      </c>
      <c r="F23" s="63"/>
      <c r="G23" s="63"/>
      <c r="H23" s="63">
        <f t="shared" si="0"/>
        <v>-6468.0099999999993</v>
      </c>
    </row>
    <row r="24" spans="1:8">
      <c r="A24" s="100">
        <v>44787</v>
      </c>
      <c r="B24" s="106" t="s">
        <v>1457</v>
      </c>
      <c r="C24" s="106"/>
      <c r="D24" s="106"/>
      <c r="E24" s="63">
        <v>-1080.1600000000001</v>
      </c>
      <c r="F24" s="63"/>
      <c r="G24" s="63"/>
      <c r="H24" s="63">
        <f t="shared" si="0"/>
        <v>-6468.0099999999993</v>
      </c>
    </row>
    <row r="25" spans="1:8">
      <c r="A25" s="100">
        <v>44796</v>
      </c>
      <c r="B25" s="106">
        <v>2240</v>
      </c>
      <c r="C25" s="106"/>
      <c r="D25" s="106"/>
      <c r="E25" s="63">
        <v>-80</v>
      </c>
      <c r="F25" s="63"/>
      <c r="G25" s="63"/>
      <c r="H25" s="63">
        <f t="shared" si="0"/>
        <v>-6468.0099999999993</v>
      </c>
    </row>
    <row r="26" spans="1:8">
      <c r="B26" s="106" t="s">
        <v>1458</v>
      </c>
      <c r="C26" s="106"/>
      <c r="D26" s="106"/>
      <c r="E26" s="163"/>
      <c r="F26" s="63"/>
      <c r="G26" s="63">
        <v>-3432.23</v>
      </c>
      <c r="H26" s="63">
        <f t="shared" si="0"/>
        <v>-9900.24</v>
      </c>
    </row>
    <row r="27" spans="1:8">
      <c r="B27" s="106" t="s">
        <v>1459</v>
      </c>
      <c r="C27" s="106" t="s">
        <v>1460</v>
      </c>
      <c r="D27" s="106"/>
      <c r="E27" s="163"/>
      <c r="F27" s="63"/>
      <c r="G27" s="63">
        <v>-7000</v>
      </c>
      <c r="H27" s="63">
        <f t="shared" si="0"/>
        <v>-16900.239999999998</v>
      </c>
    </row>
    <row r="28" spans="1:8">
      <c r="F28" s="63"/>
      <c r="G28" s="63"/>
      <c r="H28" s="63">
        <f t="shared" si="0"/>
        <v>-16900.239999999998</v>
      </c>
    </row>
    <row r="29" spans="1:8">
      <c r="B29" s="106"/>
      <c r="C29" s="106"/>
      <c r="D29" s="106"/>
      <c r="E29" s="163"/>
      <c r="F29" s="63"/>
      <c r="G29" s="63"/>
      <c r="H29" s="63">
        <f t="shared" si="0"/>
        <v>-16900.239999999998</v>
      </c>
    </row>
    <row r="30" spans="1:8">
      <c r="B30" t="s">
        <v>77</v>
      </c>
      <c r="D30" s="63"/>
      <c r="E30" s="63">
        <v>-1500</v>
      </c>
      <c r="F30" s="63"/>
      <c r="G30" s="63">
        <v>-2609</v>
      </c>
      <c r="H30" s="63">
        <f t="shared" si="0"/>
        <v>-19509.239999999998</v>
      </c>
    </row>
    <row r="31" spans="1:8">
      <c r="B31" t="s">
        <v>369</v>
      </c>
      <c r="D31" s="63"/>
      <c r="E31" s="63">
        <v>-32000</v>
      </c>
      <c r="G31" s="63"/>
      <c r="H31" s="63">
        <f t="shared" si="0"/>
        <v>-19509.239999999998</v>
      </c>
    </row>
    <row r="32" spans="1:8">
      <c r="B32" t="s">
        <v>78</v>
      </c>
      <c r="D32" s="63"/>
      <c r="E32" s="63">
        <v>-1500</v>
      </c>
      <c r="F32" s="63"/>
      <c r="G32" s="63">
        <v>-2609</v>
      </c>
      <c r="H32" s="63">
        <f t="shared" si="0"/>
        <v>-22118.239999999998</v>
      </c>
    </row>
    <row r="33" spans="1:8">
      <c r="B33" t="s">
        <v>1461</v>
      </c>
      <c r="D33" s="63"/>
      <c r="E33" s="163">
        <v>-15000</v>
      </c>
      <c r="F33" s="63"/>
      <c r="G33" s="63"/>
      <c r="H33" s="63">
        <f t="shared" si="0"/>
        <v>-22118.239999999998</v>
      </c>
    </row>
    <row r="34" spans="1:8">
      <c r="B34" t="s">
        <v>1462</v>
      </c>
      <c r="E34" s="63">
        <v>-1500</v>
      </c>
      <c r="G34" s="2">
        <v>-1500</v>
      </c>
      <c r="H34" s="63">
        <f t="shared" si="0"/>
        <v>-23618.239999999998</v>
      </c>
    </row>
    <row r="35" spans="1:8">
      <c r="B35" s="106"/>
      <c r="C35" s="106"/>
      <c r="D35" s="106"/>
      <c r="E35" s="163"/>
      <c r="F35" s="63"/>
      <c r="G35" s="63"/>
      <c r="H35" s="63">
        <f t="shared" si="0"/>
        <v>-23618.239999999998</v>
      </c>
    </row>
    <row r="36" spans="1:8">
      <c r="B36" t="s">
        <v>76</v>
      </c>
      <c r="D36" s="63">
        <v>4200</v>
      </c>
      <c r="F36" s="63">
        <v>4299.5</v>
      </c>
      <c r="G36" s="63"/>
      <c r="H36" s="63">
        <f t="shared" si="0"/>
        <v>-19318.739999999998</v>
      </c>
    </row>
    <row r="37" spans="1:8">
      <c r="B37" t="s">
        <v>677</v>
      </c>
      <c r="D37" s="63">
        <v>1650</v>
      </c>
      <c r="F37" s="63">
        <v>1650</v>
      </c>
      <c r="G37" s="63"/>
      <c r="H37" s="63">
        <f t="shared" si="0"/>
        <v>-17668.739999999998</v>
      </c>
    </row>
    <row r="38" spans="1:8">
      <c r="B38" t="s">
        <v>1463</v>
      </c>
      <c r="D38" s="2">
        <v>1200</v>
      </c>
      <c r="F38" s="2">
        <v>1200</v>
      </c>
      <c r="H38" s="63">
        <f t="shared" si="0"/>
        <v>-16468.739999999998</v>
      </c>
    </row>
    <row r="39" spans="1:8">
      <c r="B39" t="s">
        <v>1464</v>
      </c>
      <c r="D39" s="2">
        <v>54000</v>
      </c>
      <c r="F39" s="2"/>
      <c r="G39" s="2"/>
      <c r="H39" s="63">
        <f t="shared" si="0"/>
        <v>-16468.739999999998</v>
      </c>
    </row>
    <row r="40" spans="1:8">
      <c r="H40" s="63">
        <f t="shared" si="0"/>
        <v>-16468.739999999998</v>
      </c>
    </row>
    <row r="41" spans="1:8">
      <c r="B41" t="s">
        <v>1465</v>
      </c>
      <c r="D41" s="163">
        <v>3000</v>
      </c>
      <c r="H41" s="63">
        <f t="shared" si="0"/>
        <v>-16468.739999999998</v>
      </c>
    </row>
    <row r="42" spans="1:8">
      <c r="D42" s="17"/>
      <c r="H42" s="63">
        <f t="shared" si="0"/>
        <v>-16468.739999999998</v>
      </c>
    </row>
    <row r="43" spans="1:8">
      <c r="H43" s="63">
        <f t="shared" si="0"/>
        <v>-16468.739999999998</v>
      </c>
    </row>
    <row r="44" spans="1:8">
      <c r="H44" s="63">
        <f t="shared" si="0"/>
        <v>-16468.739999999998</v>
      </c>
    </row>
    <row r="45" spans="1:8">
      <c r="B45" s="354" t="s">
        <v>1444</v>
      </c>
      <c r="C45" s="354"/>
      <c r="D45" s="355">
        <v>20000</v>
      </c>
      <c r="H45" s="63">
        <f t="shared" si="0"/>
        <v>-16468.739999999998</v>
      </c>
    </row>
    <row r="46" spans="1:8">
      <c r="A46" s="345">
        <v>44803</v>
      </c>
      <c r="B46" s="277" t="s">
        <v>1256</v>
      </c>
      <c r="C46" s="277"/>
      <c r="D46" s="353">
        <v>4000</v>
      </c>
      <c r="H46" s="63">
        <f t="shared" si="0"/>
        <v>-16468.739999999998</v>
      </c>
    </row>
    <row r="47" spans="1:8">
      <c r="A47" s="345">
        <v>44772</v>
      </c>
      <c r="B47" s="277" t="s">
        <v>1402</v>
      </c>
      <c r="C47" s="277"/>
      <c r="D47" s="353">
        <v>4000</v>
      </c>
      <c r="H47" s="63" t="e">
        <f>#REF!+F47+G47</f>
        <v>#REF!</v>
      </c>
    </row>
    <row r="48" spans="1:8">
      <c r="A48" s="345">
        <v>44742</v>
      </c>
      <c r="B48" s="277" t="s">
        <v>1403</v>
      </c>
      <c r="C48" s="277"/>
      <c r="D48" s="353">
        <v>4000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1E6A39"/>
  </sheetPr>
  <dimension ref="A1:H60"/>
  <sheetViews>
    <sheetView topLeftCell="A40" zoomScale="170" zoomScaleNormal="170" workbookViewId="0">
      <selection activeCell="A31" sqref="A31"/>
    </sheetView>
  </sheetViews>
  <sheetFormatPr defaultColWidth="8.5703125" defaultRowHeight="12.75"/>
  <cols>
    <col min="1" max="1" width="12.28515625" customWidth="1"/>
    <col min="2" max="2" width="36.42578125" customWidth="1"/>
    <col min="3" max="3" width="3.140625" customWidth="1"/>
    <col min="4" max="8" width="12.28515625" customWidth="1"/>
    <col min="9" max="9" width="9.140625" customWidth="1"/>
  </cols>
  <sheetData>
    <row r="1" spans="1:8">
      <c r="B1" s="41">
        <v>1.46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1466</v>
      </c>
      <c r="C2" s="79" t="s">
        <v>67</v>
      </c>
      <c r="D2" s="306">
        <f>SUM(D4:D52)</f>
        <v>34617.910000000003</v>
      </c>
      <c r="E2" s="306">
        <f>SUM(E4:E84)</f>
        <v>-11695.349999999999</v>
      </c>
      <c r="F2" s="306">
        <f>SUM(F4:F81)</f>
        <v>102061.66</v>
      </c>
      <c r="G2" s="306">
        <f>SUM(G4:G81)</f>
        <v>-33894.33</v>
      </c>
      <c r="H2" s="306">
        <f>F2+G2</f>
        <v>68167.33</v>
      </c>
    </row>
    <row r="3" spans="1:8">
      <c r="B3" s="18"/>
      <c r="H3" s="63"/>
    </row>
    <row r="4" spans="1:8">
      <c r="H4" s="63">
        <f t="shared" ref="H4:H35" si="0">H3+F4+G4</f>
        <v>0</v>
      </c>
    </row>
    <row r="5" spans="1:8">
      <c r="B5" t="s">
        <v>334</v>
      </c>
      <c r="D5">
        <v>901.88</v>
      </c>
      <c r="E5" s="63"/>
      <c r="F5" s="63">
        <v>900</v>
      </c>
      <c r="G5" s="63"/>
      <c r="H5" s="63">
        <f t="shared" si="0"/>
        <v>900</v>
      </c>
    </row>
    <row r="6" spans="1:8">
      <c r="B6" t="s">
        <v>1467</v>
      </c>
      <c r="D6">
        <v>208.85</v>
      </c>
      <c r="E6" s="63"/>
      <c r="F6" s="63">
        <v>208.85</v>
      </c>
      <c r="G6" s="63"/>
      <c r="H6" s="63">
        <f t="shared" si="0"/>
        <v>1108.8499999999999</v>
      </c>
    </row>
    <row r="7" spans="1:8">
      <c r="B7" t="s">
        <v>1447</v>
      </c>
      <c r="D7">
        <v>488.3</v>
      </c>
      <c r="E7" s="63"/>
      <c r="F7" s="63">
        <v>488.3</v>
      </c>
      <c r="G7" s="63"/>
      <c r="H7" s="63">
        <f t="shared" si="0"/>
        <v>1597.1499999999999</v>
      </c>
    </row>
    <row r="8" spans="1:8">
      <c r="B8" t="s">
        <v>338</v>
      </c>
      <c r="D8">
        <v>69.38</v>
      </c>
      <c r="E8" s="63"/>
      <c r="F8" s="63">
        <v>69.38</v>
      </c>
      <c r="G8" s="63"/>
      <c r="H8" s="63">
        <f t="shared" si="0"/>
        <v>1666.5299999999997</v>
      </c>
    </row>
    <row r="9" spans="1:8">
      <c r="B9" s="106" t="s">
        <v>1338</v>
      </c>
      <c r="C9" s="106"/>
      <c r="D9" s="107"/>
      <c r="E9" s="63">
        <v>-1311.2</v>
      </c>
      <c r="F9" s="63"/>
      <c r="G9" s="63">
        <v>-1311.2</v>
      </c>
      <c r="H9" s="63">
        <f t="shared" si="0"/>
        <v>355.3299999999997</v>
      </c>
    </row>
    <row r="10" spans="1:8">
      <c r="B10" s="106"/>
      <c r="C10" s="106"/>
      <c r="D10" s="107"/>
      <c r="E10" s="163"/>
      <c r="F10" s="63"/>
      <c r="G10" s="63"/>
      <c r="H10" s="63">
        <f t="shared" si="0"/>
        <v>355.3299999999997</v>
      </c>
    </row>
    <row r="11" spans="1:8">
      <c r="B11" s="101" t="s">
        <v>1331</v>
      </c>
      <c r="C11" s="101"/>
      <c r="D11" s="99"/>
      <c r="E11" s="63">
        <v>-200</v>
      </c>
      <c r="F11" s="163"/>
      <c r="G11" s="63">
        <v>-254.9</v>
      </c>
      <c r="H11" s="63">
        <f t="shared" si="0"/>
        <v>100.42999999999969</v>
      </c>
    </row>
    <row r="12" spans="1:8">
      <c r="B12" s="101" t="s">
        <v>1332</v>
      </c>
      <c r="C12" s="101"/>
      <c r="D12" s="99"/>
      <c r="E12" s="63">
        <v>-400</v>
      </c>
      <c r="F12" s="163"/>
      <c r="G12" s="63">
        <v>-531.9</v>
      </c>
      <c r="H12" s="63">
        <f t="shared" si="0"/>
        <v>-431.47000000000025</v>
      </c>
    </row>
    <row r="13" spans="1:8">
      <c r="A13" s="100">
        <v>44788</v>
      </c>
      <c r="B13" s="106" t="s">
        <v>1468</v>
      </c>
      <c r="C13" s="101"/>
      <c r="D13" s="99"/>
      <c r="E13" s="163"/>
      <c r="F13" s="163"/>
      <c r="G13" s="63">
        <v>-149.30000000000001</v>
      </c>
      <c r="H13" s="63">
        <f t="shared" si="0"/>
        <v>-580.77000000000021</v>
      </c>
    </row>
    <row r="14" spans="1:8">
      <c r="B14" s="101" t="s">
        <v>1469</v>
      </c>
      <c r="C14" s="101"/>
      <c r="D14" s="99"/>
      <c r="E14" s="63">
        <v>-4300</v>
      </c>
      <c r="F14" s="163"/>
      <c r="G14" s="63">
        <v>-4300</v>
      </c>
      <c r="H14" s="63">
        <f t="shared" si="0"/>
        <v>-4880.7700000000004</v>
      </c>
    </row>
    <row r="15" spans="1:8">
      <c r="B15" s="101" t="s">
        <v>1470</v>
      </c>
      <c r="C15" s="101"/>
      <c r="D15" s="99"/>
      <c r="E15" s="63">
        <v>-396.5</v>
      </c>
      <c r="F15" s="163"/>
      <c r="G15" s="63">
        <v>-396.5</v>
      </c>
      <c r="H15" s="63">
        <f t="shared" si="0"/>
        <v>-5277.27</v>
      </c>
    </row>
    <row r="16" spans="1:8">
      <c r="B16" s="106"/>
      <c r="C16" s="106"/>
      <c r="D16" s="107"/>
      <c r="E16" s="163"/>
      <c r="F16" s="63"/>
      <c r="G16" s="63"/>
      <c r="H16" s="63">
        <f t="shared" si="0"/>
        <v>-5277.27</v>
      </c>
    </row>
    <row r="17" spans="1:8">
      <c r="B17" s="106" t="s">
        <v>1438</v>
      </c>
      <c r="C17" s="106"/>
      <c r="D17" s="107"/>
      <c r="E17" s="63">
        <v>-200</v>
      </c>
      <c r="F17" s="63"/>
      <c r="G17" s="63">
        <v>-140.51</v>
      </c>
      <c r="H17" s="63">
        <f t="shared" si="0"/>
        <v>-5417.7800000000007</v>
      </c>
    </row>
    <row r="18" spans="1:8">
      <c r="B18" s="106" t="s">
        <v>1451</v>
      </c>
      <c r="C18" s="106"/>
      <c r="D18" s="107"/>
      <c r="E18" s="63">
        <v>-50</v>
      </c>
      <c r="F18" s="63"/>
      <c r="G18" s="63">
        <v>-59.47</v>
      </c>
      <c r="H18" s="63">
        <f t="shared" si="0"/>
        <v>-5477.2500000000009</v>
      </c>
    </row>
    <row r="19" spans="1:8">
      <c r="B19" s="106"/>
      <c r="C19" s="106"/>
      <c r="D19" s="107"/>
      <c r="E19" s="163"/>
      <c r="F19" s="63"/>
      <c r="G19" s="63"/>
      <c r="H19" s="63">
        <f t="shared" si="0"/>
        <v>-5477.2500000000009</v>
      </c>
    </row>
    <row r="20" spans="1:8">
      <c r="B20" s="106" t="s">
        <v>1471</v>
      </c>
      <c r="C20" s="106"/>
      <c r="D20" s="107"/>
      <c r="E20" s="63">
        <v>-177.65</v>
      </c>
      <c r="F20" s="63"/>
      <c r="G20" s="63"/>
      <c r="H20" s="63">
        <f t="shared" si="0"/>
        <v>-5477.2500000000009</v>
      </c>
    </row>
    <row r="21" spans="1:8">
      <c r="B21" s="106" t="s">
        <v>1472</v>
      </c>
      <c r="C21" s="106"/>
      <c r="D21" s="107"/>
      <c r="E21" s="63">
        <v>-100</v>
      </c>
      <c r="F21" s="63"/>
      <c r="G21" s="63"/>
      <c r="H21" s="63">
        <f t="shared" si="0"/>
        <v>-5477.2500000000009</v>
      </c>
    </row>
    <row r="22" spans="1:8">
      <c r="B22" s="106">
        <v>2240</v>
      </c>
      <c r="C22" s="106"/>
      <c r="D22" s="107"/>
      <c r="E22" s="63">
        <v>-60</v>
      </c>
      <c r="F22" s="63"/>
      <c r="G22" s="63"/>
      <c r="H22" s="63">
        <f t="shared" si="0"/>
        <v>-5477.2500000000009</v>
      </c>
    </row>
    <row r="23" spans="1:8">
      <c r="A23" s="100">
        <v>44777</v>
      </c>
      <c r="B23" s="106" t="s">
        <v>1458</v>
      </c>
      <c r="C23" s="106"/>
      <c r="D23" s="107"/>
      <c r="E23" s="163"/>
      <c r="F23" s="63"/>
      <c r="G23" s="63">
        <v>-337.65</v>
      </c>
      <c r="H23" s="63">
        <f t="shared" si="0"/>
        <v>-5814.9000000000005</v>
      </c>
    </row>
    <row r="24" spans="1:8">
      <c r="A24" s="100">
        <v>44799</v>
      </c>
      <c r="B24" s="106" t="s">
        <v>1473</v>
      </c>
      <c r="C24" s="106"/>
      <c r="D24" s="107"/>
      <c r="E24" s="163"/>
      <c r="F24" s="63"/>
      <c r="G24" s="63">
        <v>-1500</v>
      </c>
      <c r="H24" s="63">
        <f t="shared" si="0"/>
        <v>-7314.9000000000005</v>
      </c>
    </row>
    <row r="25" spans="1:8">
      <c r="A25" s="100">
        <v>44805</v>
      </c>
      <c r="B25" s="8" t="s">
        <v>77</v>
      </c>
      <c r="D25" s="3"/>
      <c r="E25" s="63">
        <v>-1500</v>
      </c>
      <c r="F25" s="63"/>
      <c r="G25" s="63">
        <v>-2108</v>
      </c>
      <c r="H25" s="63">
        <f t="shared" si="0"/>
        <v>-9422.9000000000015</v>
      </c>
    </row>
    <row r="26" spans="1:8">
      <c r="A26" s="100">
        <v>44805</v>
      </c>
      <c r="B26" s="8" t="s">
        <v>78</v>
      </c>
      <c r="D26" s="3"/>
      <c r="E26" s="63">
        <v>-1500</v>
      </c>
      <c r="F26" s="63"/>
      <c r="G26" s="63">
        <v>-2108</v>
      </c>
      <c r="H26" s="63">
        <f t="shared" si="0"/>
        <v>-11530.900000000001</v>
      </c>
    </row>
    <row r="27" spans="1:8">
      <c r="B27" t="s">
        <v>79</v>
      </c>
      <c r="D27" s="3"/>
      <c r="E27" s="63">
        <v>-1500</v>
      </c>
      <c r="H27" s="63">
        <f t="shared" si="0"/>
        <v>-11530.900000000001</v>
      </c>
    </row>
    <row r="28" spans="1:8">
      <c r="A28" s="100">
        <v>44779</v>
      </c>
      <c r="B28" s="8" t="s">
        <v>1474</v>
      </c>
      <c r="D28" s="3"/>
      <c r="E28" s="3"/>
      <c r="G28" s="63">
        <v>-1038</v>
      </c>
      <c r="H28" s="63">
        <f t="shared" si="0"/>
        <v>-12568.900000000001</v>
      </c>
    </row>
    <row r="29" spans="1:8">
      <c r="B29" t="s">
        <v>1475</v>
      </c>
      <c r="D29" s="3"/>
      <c r="E29" s="3"/>
      <c r="G29" s="63">
        <v>-3000</v>
      </c>
      <c r="H29" s="63">
        <f t="shared" si="0"/>
        <v>-15568.900000000001</v>
      </c>
    </row>
    <row r="30" spans="1:8">
      <c r="A30" s="100">
        <v>44788</v>
      </c>
      <c r="B30" s="8" t="s">
        <v>1476</v>
      </c>
      <c r="D30" s="3"/>
      <c r="E30" s="3"/>
      <c r="G30" s="63">
        <v>-638</v>
      </c>
      <c r="H30" s="63">
        <f t="shared" si="0"/>
        <v>-16206.900000000001</v>
      </c>
    </row>
    <row r="31" spans="1:8">
      <c r="B31" t="s">
        <v>180</v>
      </c>
      <c r="D31" s="3"/>
      <c r="E31" s="3"/>
      <c r="G31" s="63">
        <v>-400</v>
      </c>
      <c r="H31" s="63">
        <f t="shared" si="0"/>
        <v>-16606.900000000001</v>
      </c>
    </row>
    <row r="32" spans="1:8">
      <c r="B32" t="s">
        <v>1477</v>
      </c>
      <c r="D32" s="3"/>
      <c r="E32" s="3"/>
      <c r="G32" s="63">
        <v>-1872.16</v>
      </c>
      <c r="H32" s="63">
        <f t="shared" si="0"/>
        <v>-18479.060000000001</v>
      </c>
    </row>
    <row r="33" spans="1:8">
      <c r="B33" t="s">
        <v>1478</v>
      </c>
      <c r="D33" s="3"/>
      <c r="E33" s="3"/>
      <c r="G33" s="63">
        <v>-3.74</v>
      </c>
      <c r="H33" s="63">
        <f t="shared" si="0"/>
        <v>-18482.800000000003</v>
      </c>
    </row>
    <row r="34" spans="1:8">
      <c r="B34" t="s">
        <v>1479</v>
      </c>
      <c r="D34" s="3"/>
      <c r="E34" s="3"/>
      <c r="G34" s="63">
        <v>-700</v>
      </c>
      <c r="H34" s="63">
        <f t="shared" si="0"/>
        <v>-19182.800000000003</v>
      </c>
    </row>
    <row r="35" spans="1:8">
      <c r="B35" t="s">
        <v>1480</v>
      </c>
      <c r="D35" s="3"/>
      <c r="E35" s="3"/>
      <c r="G35" s="63">
        <v>-380</v>
      </c>
      <c r="H35" s="63">
        <f t="shared" si="0"/>
        <v>-19562.800000000003</v>
      </c>
    </row>
    <row r="36" spans="1:8">
      <c r="B36" t="s">
        <v>1481</v>
      </c>
      <c r="D36" s="3"/>
      <c r="E36" s="3"/>
      <c r="G36" s="63">
        <v>-200</v>
      </c>
      <c r="H36" s="63">
        <f t="shared" ref="H36:H60" si="1">H35+F36+G36</f>
        <v>-19762.800000000003</v>
      </c>
    </row>
    <row r="37" spans="1:8">
      <c r="B37" t="s">
        <v>1482</v>
      </c>
      <c r="D37" s="3"/>
      <c r="E37" s="3"/>
      <c r="G37" s="63">
        <v>-100</v>
      </c>
      <c r="H37" s="63">
        <f t="shared" si="1"/>
        <v>-19862.800000000003</v>
      </c>
    </row>
    <row r="38" spans="1:8">
      <c r="B38" t="s">
        <v>1483</v>
      </c>
      <c r="D38" s="3"/>
      <c r="E38" s="3"/>
      <c r="G38">
        <v>-7000</v>
      </c>
      <c r="H38" s="63">
        <f t="shared" si="1"/>
        <v>-26862.800000000003</v>
      </c>
    </row>
    <row r="39" spans="1:8">
      <c r="D39" s="3"/>
      <c r="E39" s="3"/>
      <c r="H39" s="63">
        <f t="shared" si="1"/>
        <v>-26862.800000000003</v>
      </c>
    </row>
    <row r="40" spans="1:8">
      <c r="A40" s="100">
        <v>44774</v>
      </c>
      <c r="B40" s="8" t="s">
        <v>1484</v>
      </c>
      <c r="C40" s="106"/>
      <c r="D40" s="107"/>
      <c r="E40" s="163"/>
      <c r="F40" s="63"/>
      <c r="G40" s="63"/>
      <c r="H40" s="63">
        <f t="shared" si="1"/>
        <v>-26862.800000000003</v>
      </c>
    </row>
    <row r="41" spans="1:8">
      <c r="A41" s="100">
        <v>44774</v>
      </c>
      <c r="B41" s="8" t="s">
        <v>1485</v>
      </c>
      <c r="C41" s="106"/>
      <c r="D41" s="356"/>
      <c r="E41" s="163"/>
      <c r="F41" s="63">
        <v>20000</v>
      </c>
      <c r="G41" s="63"/>
      <c r="H41" s="63">
        <f t="shared" si="1"/>
        <v>-6862.8000000000029</v>
      </c>
    </row>
    <row r="42" spans="1:8">
      <c r="A42" s="100">
        <v>44778</v>
      </c>
      <c r="B42" s="8" t="s">
        <v>1485</v>
      </c>
      <c r="C42" s="106"/>
      <c r="D42" s="107"/>
      <c r="E42" s="163"/>
      <c r="F42" s="63">
        <v>25000</v>
      </c>
      <c r="G42" s="63"/>
      <c r="H42" s="63">
        <f t="shared" si="1"/>
        <v>18137.199999999997</v>
      </c>
    </row>
    <row r="43" spans="1:8">
      <c r="A43" s="100"/>
      <c r="B43" s="8" t="s">
        <v>1486</v>
      </c>
      <c r="C43" s="106"/>
      <c r="D43" s="107"/>
      <c r="E43" s="163"/>
      <c r="F43" s="63"/>
      <c r="G43" s="63">
        <v>-5365</v>
      </c>
      <c r="H43" s="63">
        <f t="shared" si="1"/>
        <v>12772.199999999997</v>
      </c>
    </row>
    <row r="44" spans="1:8">
      <c r="A44" s="100"/>
      <c r="B44" s="8" t="s">
        <v>1487</v>
      </c>
      <c r="C44" s="106"/>
      <c r="D44" s="107"/>
      <c r="E44" s="163"/>
      <c r="F44" s="63">
        <v>40000</v>
      </c>
      <c r="G44" s="63"/>
      <c r="H44" s="63">
        <f t="shared" si="1"/>
        <v>52772.2</v>
      </c>
    </row>
    <row r="45" spans="1:8">
      <c r="A45" s="100"/>
      <c r="B45" s="8" t="s">
        <v>1488</v>
      </c>
      <c r="C45" s="106"/>
      <c r="D45" s="107"/>
      <c r="E45" s="163"/>
      <c r="F45" s="63"/>
      <c r="G45" s="63"/>
      <c r="H45" s="63">
        <f t="shared" si="1"/>
        <v>52772.2</v>
      </c>
    </row>
    <row r="46" spans="1:8">
      <c r="A46" s="100"/>
      <c r="C46" s="106"/>
      <c r="D46" s="107"/>
      <c r="E46" s="163"/>
      <c r="F46" s="63"/>
      <c r="G46" s="63"/>
      <c r="H46" s="63">
        <f t="shared" si="1"/>
        <v>52772.2</v>
      </c>
    </row>
    <row r="47" spans="1:8">
      <c r="B47" t="s">
        <v>76</v>
      </c>
      <c r="D47" s="63">
        <v>4299.5</v>
      </c>
      <c r="E47" s="3"/>
      <c r="F47" s="63">
        <v>4299.5</v>
      </c>
      <c r="G47" s="63"/>
      <c r="H47" s="63">
        <f t="shared" si="1"/>
        <v>57071.7</v>
      </c>
    </row>
    <row r="48" spans="1:8">
      <c r="B48" t="s">
        <v>677</v>
      </c>
      <c r="D48" s="63">
        <v>1650</v>
      </c>
      <c r="E48" s="3"/>
      <c r="F48" s="63">
        <v>1650</v>
      </c>
      <c r="G48" s="63"/>
      <c r="H48" s="63">
        <f t="shared" si="1"/>
        <v>58721.7</v>
      </c>
    </row>
    <row r="49" spans="1:8">
      <c r="A49" s="100">
        <v>44802</v>
      </c>
      <c r="B49" s="8" t="s">
        <v>1489</v>
      </c>
      <c r="D49" s="63">
        <v>3000</v>
      </c>
      <c r="E49" s="3"/>
      <c r="F49" s="63">
        <v>3000</v>
      </c>
      <c r="G49" s="63"/>
      <c r="H49" s="63">
        <f t="shared" si="1"/>
        <v>61721.7</v>
      </c>
    </row>
    <row r="50" spans="1:8">
      <c r="B50" t="s">
        <v>1444</v>
      </c>
      <c r="D50" s="17">
        <v>20000</v>
      </c>
      <c r="E50" s="3"/>
      <c r="H50" s="63">
        <f t="shared" si="1"/>
        <v>61721.7</v>
      </c>
    </row>
    <row r="51" spans="1:8">
      <c r="H51" s="63">
        <f t="shared" si="1"/>
        <v>61721.7</v>
      </c>
    </row>
    <row r="52" spans="1:8">
      <c r="B52" t="s">
        <v>1256</v>
      </c>
      <c r="D52" s="17">
        <v>4000</v>
      </c>
      <c r="H52" s="63">
        <f t="shared" si="1"/>
        <v>61721.7</v>
      </c>
    </row>
    <row r="53" spans="1:8">
      <c r="H53" s="63">
        <f t="shared" si="1"/>
        <v>61721.7</v>
      </c>
    </row>
    <row r="54" spans="1:8">
      <c r="B54" s="148" t="s">
        <v>1490</v>
      </c>
      <c r="H54" s="63">
        <f t="shared" si="1"/>
        <v>61721.7</v>
      </c>
    </row>
    <row r="55" spans="1:8">
      <c r="B55" s="325" t="s">
        <v>1491</v>
      </c>
      <c r="C55" s="325"/>
      <c r="D55" s="328">
        <v>1000</v>
      </c>
      <c r="E55" s="325"/>
      <c r="F55" s="357">
        <v>1000</v>
      </c>
      <c r="H55" s="63">
        <f t="shared" si="1"/>
        <v>62721.7</v>
      </c>
    </row>
    <row r="56" spans="1:8">
      <c r="A56" s="100">
        <v>44802</v>
      </c>
      <c r="B56" s="358" t="s">
        <v>1492</v>
      </c>
      <c r="C56" s="358" t="s">
        <v>1493</v>
      </c>
      <c r="D56" s="359">
        <v>5000</v>
      </c>
      <c r="E56" s="358"/>
      <c r="F56" s="360">
        <v>5000</v>
      </c>
      <c r="H56" s="63">
        <f t="shared" si="1"/>
        <v>67721.7</v>
      </c>
    </row>
    <row r="57" spans="1:8">
      <c r="B57" s="325" t="s">
        <v>1494</v>
      </c>
      <c r="C57" s="325"/>
      <c r="D57" s="361"/>
      <c r="E57" s="325"/>
      <c r="F57" s="325">
        <v>445.63</v>
      </c>
      <c r="H57" s="63">
        <f t="shared" si="1"/>
        <v>68167.33</v>
      </c>
    </row>
    <row r="58" spans="1:8">
      <c r="H58" s="63">
        <f t="shared" si="1"/>
        <v>68167.33</v>
      </c>
    </row>
    <row r="59" spans="1:8">
      <c r="B59" s="277" t="s">
        <v>1403</v>
      </c>
      <c r="C59" s="277"/>
      <c r="D59" s="353">
        <f>'07'!D55</f>
        <v>4000</v>
      </c>
      <c r="H59" s="63">
        <f t="shared" si="1"/>
        <v>68167.33</v>
      </c>
    </row>
    <row r="60" spans="1:8">
      <c r="B60" s="277" t="s">
        <v>1402</v>
      </c>
      <c r="C60" s="277"/>
      <c r="D60" s="353">
        <v>4000</v>
      </c>
      <c r="H60" s="63">
        <f t="shared" si="1"/>
        <v>68167.33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H58"/>
  <sheetViews>
    <sheetView topLeftCell="A24" zoomScale="170" zoomScaleNormal="170" workbookViewId="0">
      <selection activeCell="A24" sqref="A24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41">
        <v>2.37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1495</v>
      </c>
      <c r="C2" s="79" t="s">
        <v>67</v>
      </c>
      <c r="D2" s="306">
        <f>SUM(D4:D90)</f>
        <v>27131.070000000003</v>
      </c>
      <c r="E2" s="306">
        <f>SUM(E4:E90)</f>
        <v>-17400.82</v>
      </c>
      <c r="F2" s="306">
        <f>SUM(F4:F87)</f>
        <v>16133.3</v>
      </c>
      <c r="G2" s="306">
        <f>SUM(G4:G87)</f>
        <v>-20600.82</v>
      </c>
      <c r="H2" s="306">
        <f>F2+G2</f>
        <v>-4467.5200000000004</v>
      </c>
    </row>
    <row r="3" spans="1:8">
      <c r="B3" s="18"/>
      <c r="C3" s="3"/>
      <c r="D3" s="3"/>
      <c r="E3" s="63"/>
      <c r="F3" s="63"/>
      <c r="G3" s="63"/>
      <c r="H3" s="63"/>
    </row>
    <row r="4" spans="1:8">
      <c r="H4" s="63">
        <f t="shared" ref="H4:H35" si="0">H3+F4+G4</f>
        <v>0</v>
      </c>
    </row>
    <row r="5" spans="1:8">
      <c r="B5" t="s">
        <v>334</v>
      </c>
      <c r="D5">
        <v>1062.9100000000001</v>
      </c>
      <c r="E5" s="63"/>
      <c r="F5">
        <v>1060</v>
      </c>
      <c r="G5" s="63"/>
      <c r="H5" s="63">
        <f t="shared" si="0"/>
        <v>1060</v>
      </c>
    </row>
    <row r="6" spans="1:8">
      <c r="B6" t="s">
        <v>1467</v>
      </c>
      <c r="D6">
        <v>324.23</v>
      </c>
      <c r="E6" s="63"/>
      <c r="F6">
        <v>325</v>
      </c>
      <c r="G6" s="63"/>
      <c r="H6" s="63">
        <f t="shared" si="0"/>
        <v>1385</v>
      </c>
    </row>
    <row r="7" spans="1:8">
      <c r="H7" s="63">
        <f t="shared" si="0"/>
        <v>1385</v>
      </c>
    </row>
    <row r="8" spans="1:8">
      <c r="B8" t="s">
        <v>338</v>
      </c>
      <c r="D8">
        <v>48.8</v>
      </c>
      <c r="E8" s="63"/>
      <c r="F8" s="63">
        <v>48.8</v>
      </c>
      <c r="G8" s="63"/>
      <c r="H8" s="63">
        <f t="shared" si="0"/>
        <v>1433.8</v>
      </c>
    </row>
    <row r="9" spans="1:8">
      <c r="A9" s="100">
        <v>44755</v>
      </c>
      <c r="B9" s="106" t="s">
        <v>1338</v>
      </c>
      <c r="C9" s="106"/>
      <c r="D9" s="106"/>
      <c r="E9" s="63">
        <v>-1429.2</v>
      </c>
      <c r="F9" s="63"/>
      <c r="G9" s="63">
        <v>-1429.2</v>
      </c>
      <c r="H9" s="63">
        <f t="shared" si="0"/>
        <v>4.5999999999999091</v>
      </c>
    </row>
    <row r="10" spans="1:8">
      <c r="A10" s="100"/>
      <c r="B10" s="106"/>
      <c r="C10" s="106"/>
      <c r="D10" s="106"/>
      <c r="E10" s="63"/>
      <c r="F10" s="63"/>
      <c r="G10" s="63"/>
      <c r="H10" s="63">
        <f t="shared" si="0"/>
        <v>4.5999999999999091</v>
      </c>
    </row>
    <row r="11" spans="1:8">
      <c r="A11" s="100">
        <v>44746</v>
      </c>
      <c r="B11" s="101" t="s">
        <v>1331</v>
      </c>
      <c r="C11" s="101"/>
      <c r="D11" s="101"/>
      <c r="E11" s="63">
        <v>-219</v>
      </c>
      <c r="F11" s="163"/>
      <c r="G11" s="63">
        <v>-219</v>
      </c>
      <c r="H11" s="63">
        <f t="shared" si="0"/>
        <v>-214.40000000000009</v>
      </c>
    </row>
    <row r="12" spans="1:8">
      <c r="A12" s="100">
        <v>44746</v>
      </c>
      <c r="B12" s="101" t="s">
        <v>1332</v>
      </c>
      <c r="C12" s="101"/>
      <c r="D12" s="101"/>
      <c r="E12" s="63">
        <v>-438.6</v>
      </c>
      <c r="F12" s="163"/>
      <c r="G12" s="63">
        <v>-438.6</v>
      </c>
      <c r="H12" s="63">
        <f t="shared" si="0"/>
        <v>-653.00000000000011</v>
      </c>
    </row>
    <row r="13" spans="1:8">
      <c r="A13" s="100"/>
      <c r="B13" s="101"/>
      <c r="C13" s="101"/>
      <c r="D13" s="101"/>
      <c r="E13" s="63"/>
      <c r="F13" s="163"/>
      <c r="G13" s="63"/>
      <c r="H13" s="63">
        <f t="shared" si="0"/>
        <v>-653.00000000000011</v>
      </c>
    </row>
    <row r="14" spans="1:8">
      <c r="A14" s="100">
        <v>44747</v>
      </c>
      <c r="B14" s="101" t="s">
        <v>1496</v>
      </c>
      <c r="C14" s="101"/>
      <c r="D14" s="101"/>
      <c r="E14" s="63"/>
      <c r="F14" s="163"/>
      <c r="G14" s="63">
        <v>-3450</v>
      </c>
      <c r="H14" s="63">
        <f t="shared" si="0"/>
        <v>-4103</v>
      </c>
    </row>
    <row r="15" spans="1:8">
      <c r="A15" s="100">
        <v>44747</v>
      </c>
      <c r="B15" s="8" t="s">
        <v>1497</v>
      </c>
      <c r="F15" s="2">
        <v>3450</v>
      </c>
      <c r="H15" s="63">
        <f t="shared" si="0"/>
        <v>-653</v>
      </c>
    </row>
    <row r="16" spans="1:8">
      <c r="A16" s="100"/>
      <c r="F16" s="2"/>
      <c r="H16" s="63">
        <f t="shared" si="0"/>
        <v>-653</v>
      </c>
    </row>
    <row r="17" spans="1:8">
      <c r="A17" s="100">
        <v>44749</v>
      </c>
      <c r="B17" s="8" t="s">
        <v>1498</v>
      </c>
      <c r="E17" s="63">
        <v>-4.8899999999999997</v>
      </c>
      <c r="F17" s="2"/>
      <c r="G17" s="63">
        <v>-4.8899999999999997</v>
      </c>
      <c r="H17" s="63">
        <f t="shared" si="0"/>
        <v>-657.89</v>
      </c>
    </row>
    <row r="18" spans="1:8">
      <c r="A18" s="100">
        <v>44749</v>
      </c>
      <c r="B18" s="101" t="s">
        <v>1499</v>
      </c>
      <c r="C18" s="101"/>
      <c r="D18" s="101"/>
      <c r="E18" s="63">
        <v>-4300</v>
      </c>
      <c r="F18" s="163"/>
      <c r="G18" s="63">
        <v>-4300</v>
      </c>
      <c r="H18" s="63">
        <f t="shared" si="0"/>
        <v>-4957.8900000000003</v>
      </c>
    </row>
    <row r="19" spans="1:8">
      <c r="A19" s="100">
        <v>44749</v>
      </c>
      <c r="B19" s="101" t="s">
        <v>1500</v>
      </c>
      <c r="C19" s="101"/>
      <c r="D19" s="101"/>
      <c r="E19" s="63">
        <v>-396.5</v>
      </c>
      <c r="F19" s="163"/>
      <c r="G19" s="63">
        <v>-396.5</v>
      </c>
      <c r="H19" s="63">
        <f t="shared" si="0"/>
        <v>-5354.39</v>
      </c>
    </row>
    <row r="20" spans="1:8">
      <c r="B20" s="106"/>
      <c r="C20" s="106"/>
      <c r="D20" s="106"/>
      <c r="E20" s="63"/>
      <c r="F20" s="63"/>
      <c r="G20" s="63"/>
      <c r="H20" s="63">
        <f t="shared" si="0"/>
        <v>-5354.39</v>
      </c>
    </row>
    <row r="21" spans="1:8">
      <c r="B21" s="106" t="s">
        <v>1438</v>
      </c>
      <c r="C21" s="106"/>
      <c r="D21" s="106"/>
      <c r="E21" s="163">
        <v>-200</v>
      </c>
      <c r="F21" s="63"/>
      <c r="G21" s="63"/>
      <c r="H21" s="63">
        <f t="shared" si="0"/>
        <v>-5354.39</v>
      </c>
    </row>
    <row r="22" spans="1:8">
      <c r="B22" s="106" t="s">
        <v>1451</v>
      </c>
      <c r="C22" s="106"/>
      <c r="D22" s="106"/>
      <c r="E22" s="163">
        <v>-50</v>
      </c>
      <c r="F22" s="63"/>
      <c r="G22" s="63"/>
      <c r="H22" s="63">
        <f t="shared" si="0"/>
        <v>-5354.39</v>
      </c>
    </row>
    <row r="23" spans="1:8">
      <c r="B23" s="106"/>
      <c r="C23" s="106"/>
      <c r="D23" s="106"/>
      <c r="E23" s="63"/>
      <c r="F23" s="63"/>
      <c r="G23" s="63"/>
      <c r="H23" s="63">
        <f t="shared" si="0"/>
        <v>-5354.39</v>
      </c>
    </row>
    <row r="24" spans="1:8">
      <c r="B24" s="106" t="s">
        <v>1501</v>
      </c>
      <c r="C24" s="106"/>
      <c r="D24" s="106"/>
      <c r="E24" s="63">
        <v>-177.65</v>
      </c>
      <c r="F24" s="63"/>
      <c r="G24" s="63"/>
      <c r="H24" s="63">
        <f t="shared" si="0"/>
        <v>-5354.39</v>
      </c>
    </row>
    <row r="25" spans="1:8">
      <c r="B25" s="106" t="s">
        <v>1502</v>
      </c>
      <c r="C25" s="106"/>
      <c r="D25" s="106"/>
      <c r="E25" s="63">
        <v>-300</v>
      </c>
      <c r="F25" s="63"/>
      <c r="G25" s="63"/>
      <c r="H25" s="63">
        <f t="shared" si="0"/>
        <v>-5354.39</v>
      </c>
    </row>
    <row r="26" spans="1:8">
      <c r="B26" s="106" t="s">
        <v>1228</v>
      </c>
      <c r="C26" s="106"/>
      <c r="D26" s="106"/>
      <c r="E26" s="63">
        <v>-31.99</v>
      </c>
      <c r="F26" s="63"/>
      <c r="G26" s="63"/>
      <c r="H26" s="63">
        <f t="shared" si="0"/>
        <v>-5354.39</v>
      </c>
    </row>
    <row r="27" spans="1:8">
      <c r="B27" s="106" t="s">
        <v>1503</v>
      </c>
      <c r="C27" s="106"/>
      <c r="D27" s="106"/>
      <c r="E27" s="63">
        <v>-100</v>
      </c>
      <c r="F27" s="63"/>
      <c r="G27" s="63"/>
      <c r="H27" s="63">
        <f t="shared" si="0"/>
        <v>-5354.39</v>
      </c>
    </row>
    <row r="28" spans="1:8">
      <c r="B28" s="106" t="s">
        <v>1504</v>
      </c>
      <c r="C28" s="106"/>
      <c r="D28" s="106"/>
      <c r="E28" s="63">
        <v>-344.2</v>
      </c>
      <c r="F28" s="63"/>
      <c r="G28" s="63"/>
      <c r="H28" s="63">
        <f t="shared" si="0"/>
        <v>-5354.39</v>
      </c>
    </row>
    <row r="29" spans="1:8">
      <c r="B29" s="106" t="s">
        <v>1505</v>
      </c>
      <c r="C29" s="106"/>
      <c r="D29" s="106"/>
      <c r="E29" s="63">
        <v>-400</v>
      </c>
      <c r="F29" s="63"/>
      <c r="G29" s="63"/>
      <c r="H29" s="63">
        <f t="shared" si="0"/>
        <v>-5354.39</v>
      </c>
    </row>
    <row r="30" spans="1:8">
      <c r="B30" s="106" t="s">
        <v>1506</v>
      </c>
      <c r="C30" s="106"/>
      <c r="D30" s="106"/>
      <c r="E30" s="63">
        <v>-256.89</v>
      </c>
      <c r="F30" s="63"/>
      <c r="G30" s="63"/>
      <c r="H30" s="63">
        <f t="shared" si="0"/>
        <v>-5354.39</v>
      </c>
    </row>
    <row r="31" spans="1:8">
      <c r="B31" s="106" t="s">
        <v>1507</v>
      </c>
      <c r="C31" s="106"/>
      <c r="D31" s="106"/>
      <c r="E31" s="63">
        <v>-400</v>
      </c>
      <c r="F31" s="63"/>
      <c r="G31" s="63"/>
      <c r="H31" s="63">
        <f t="shared" si="0"/>
        <v>-5354.39</v>
      </c>
    </row>
    <row r="32" spans="1:8">
      <c r="B32" s="106" t="s">
        <v>1508</v>
      </c>
      <c r="C32" s="106"/>
      <c r="D32" s="106"/>
      <c r="E32" s="63">
        <v>-529.9</v>
      </c>
      <c r="F32" s="63"/>
      <c r="G32" s="63"/>
      <c r="H32" s="63">
        <f t="shared" si="0"/>
        <v>-5354.39</v>
      </c>
    </row>
    <row r="33" spans="1:8">
      <c r="B33" s="106" t="s">
        <v>1232</v>
      </c>
      <c r="C33" s="106"/>
      <c r="D33" s="106"/>
      <c r="E33" s="63">
        <v>-70</v>
      </c>
      <c r="F33" s="63"/>
      <c r="G33" s="63"/>
      <c r="H33" s="63">
        <f t="shared" si="0"/>
        <v>-5354.39</v>
      </c>
    </row>
    <row r="34" spans="1:8">
      <c r="A34" s="100">
        <v>44747</v>
      </c>
      <c r="B34" s="106" t="s">
        <v>1458</v>
      </c>
      <c r="C34" s="106"/>
      <c r="D34" s="106"/>
      <c r="E34" s="163"/>
      <c r="F34" s="63"/>
      <c r="G34" s="63">
        <v>-2610.63</v>
      </c>
      <c r="H34" s="63">
        <f t="shared" si="0"/>
        <v>-7965.02</v>
      </c>
    </row>
    <row r="35" spans="1:8">
      <c r="B35" s="106" t="s">
        <v>1509</v>
      </c>
      <c r="C35" s="106"/>
      <c r="D35" s="356">
        <v>200</v>
      </c>
      <c r="E35" s="63"/>
      <c r="F35" s="63">
        <v>200</v>
      </c>
      <c r="G35" s="63"/>
      <c r="H35" s="63">
        <f t="shared" si="0"/>
        <v>-7765.02</v>
      </c>
    </row>
    <row r="36" spans="1:8">
      <c r="B36" t="s">
        <v>77</v>
      </c>
      <c r="E36" s="63">
        <v>-2107</v>
      </c>
      <c r="F36" s="63"/>
      <c r="G36" s="63">
        <v>-2107</v>
      </c>
      <c r="H36" s="63">
        <f t="shared" ref="H36:H55" si="1">H35+F36+G36</f>
        <v>-9872.02</v>
      </c>
    </row>
    <row r="37" spans="1:8">
      <c r="B37" t="s">
        <v>1080</v>
      </c>
      <c r="E37" s="63">
        <v>-500</v>
      </c>
      <c r="F37" s="63"/>
      <c r="G37" s="63">
        <v>-500</v>
      </c>
      <c r="H37" s="63">
        <f t="shared" si="1"/>
        <v>-10372.02</v>
      </c>
    </row>
    <row r="38" spans="1:8">
      <c r="B38" t="s">
        <v>78</v>
      </c>
      <c r="E38" s="63">
        <v>-2107</v>
      </c>
      <c r="F38" s="63"/>
      <c r="G38" s="63">
        <v>-2107</v>
      </c>
      <c r="H38" s="63">
        <f t="shared" si="1"/>
        <v>-12479.02</v>
      </c>
    </row>
    <row r="39" spans="1:8">
      <c r="B39" t="s">
        <v>1079</v>
      </c>
      <c r="E39" s="63">
        <v>-500</v>
      </c>
      <c r="F39" s="63"/>
      <c r="G39" s="63">
        <v>-500</v>
      </c>
      <c r="H39" s="63">
        <f t="shared" si="1"/>
        <v>-12979.02</v>
      </c>
    </row>
    <row r="40" spans="1:8">
      <c r="B40" t="s">
        <v>79</v>
      </c>
      <c r="E40" s="63">
        <v>-1500</v>
      </c>
      <c r="G40" s="63">
        <v>-1500</v>
      </c>
      <c r="H40" s="63">
        <f t="shared" si="1"/>
        <v>-14479.02</v>
      </c>
    </row>
    <row r="41" spans="1:8">
      <c r="A41" s="100">
        <v>44764</v>
      </c>
      <c r="B41" s="8" t="s">
        <v>1510</v>
      </c>
      <c r="C41" s="8" t="s">
        <v>1493</v>
      </c>
      <c r="E41" s="63">
        <v>-1038</v>
      </c>
      <c r="G41" s="63">
        <v>-1038</v>
      </c>
      <c r="H41" s="63">
        <f t="shared" si="1"/>
        <v>-15517.02</v>
      </c>
    </row>
    <row r="42" spans="1:8">
      <c r="B42" s="106"/>
      <c r="C42" s="106"/>
      <c r="D42" s="106"/>
      <c r="E42" s="63"/>
      <c r="F42" s="63"/>
      <c r="G42" s="63"/>
      <c r="H42" s="63">
        <f t="shared" si="1"/>
        <v>-15517.02</v>
      </c>
    </row>
    <row r="43" spans="1:8">
      <c r="B43" s="106" t="s">
        <v>1511</v>
      </c>
      <c r="C43" s="106"/>
      <c r="D43" s="356">
        <v>1100</v>
      </c>
      <c r="E43" s="63"/>
      <c r="F43" s="63">
        <v>1100</v>
      </c>
      <c r="G43" s="63"/>
      <c r="H43" s="63">
        <f t="shared" si="1"/>
        <v>-14417.02</v>
      </c>
    </row>
    <row r="44" spans="1:8">
      <c r="B44" t="s">
        <v>76</v>
      </c>
      <c r="D44" s="163">
        <v>4299.5</v>
      </c>
      <c r="F44" s="63">
        <v>4299.5</v>
      </c>
      <c r="G44" s="63"/>
      <c r="H44" s="63">
        <f t="shared" si="1"/>
        <v>-10117.52</v>
      </c>
    </row>
    <row r="45" spans="1:8">
      <c r="B45" t="s">
        <v>1512</v>
      </c>
      <c r="D45" s="63">
        <v>1650</v>
      </c>
      <c r="F45" s="63">
        <v>1650</v>
      </c>
      <c r="G45" s="63"/>
      <c r="H45" s="63">
        <f t="shared" si="1"/>
        <v>-8467.52</v>
      </c>
    </row>
    <row r="46" spans="1:8">
      <c r="D46" s="163"/>
      <c r="F46" s="63"/>
      <c r="G46" s="63"/>
      <c r="H46" s="63">
        <f t="shared" si="1"/>
        <v>-8467.52</v>
      </c>
    </row>
    <row r="47" spans="1:8">
      <c r="A47" s="362">
        <v>44747</v>
      </c>
      <c r="B47" s="358" t="s">
        <v>1513</v>
      </c>
      <c r="C47" s="358"/>
      <c r="D47" s="359">
        <v>4000</v>
      </c>
      <c r="E47" s="358"/>
      <c r="F47" s="360">
        <v>4000</v>
      </c>
      <c r="G47" s="63"/>
      <c r="H47" s="63">
        <f t="shared" si="1"/>
        <v>-4467.5200000000004</v>
      </c>
    </row>
    <row r="48" spans="1:8">
      <c r="A48" s="100"/>
      <c r="B48" s="354" t="s">
        <v>1491</v>
      </c>
      <c r="C48" s="354"/>
      <c r="D48" s="363">
        <v>1000</v>
      </c>
      <c r="E48" s="354"/>
      <c r="F48" s="364"/>
      <c r="G48" s="365"/>
      <c r="H48" s="63">
        <f t="shared" si="1"/>
        <v>-4467.5200000000004</v>
      </c>
    </row>
    <row r="49" spans="1:8">
      <c r="B49" t="s">
        <v>1514</v>
      </c>
      <c r="D49" s="163">
        <v>5000</v>
      </c>
      <c r="E49" s="63"/>
      <c r="F49" s="63"/>
      <c r="G49" s="63"/>
      <c r="H49" s="63">
        <f t="shared" si="1"/>
        <v>-4467.5200000000004</v>
      </c>
    </row>
    <row r="50" spans="1:8">
      <c r="B50" t="s">
        <v>1402</v>
      </c>
      <c r="D50" s="17">
        <v>4000</v>
      </c>
      <c r="E50" s="63"/>
      <c r="F50" s="63"/>
      <c r="G50" s="63"/>
      <c r="H50" s="63">
        <f t="shared" si="1"/>
        <v>-4467.5200000000004</v>
      </c>
    </row>
    <row r="51" spans="1:8">
      <c r="D51" s="163"/>
      <c r="E51" s="63"/>
      <c r="F51" s="63"/>
      <c r="G51" s="63"/>
      <c r="H51" s="63">
        <f t="shared" si="1"/>
        <v>-4467.5200000000004</v>
      </c>
    </row>
    <row r="52" spans="1:8">
      <c r="D52" s="163"/>
      <c r="E52" s="63"/>
      <c r="F52" s="63"/>
      <c r="G52" s="63"/>
      <c r="H52" s="63">
        <f t="shared" si="1"/>
        <v>-4467.5200000000004</v>
      </c>
    </row>
    <row r="53" spans="1:8">
      <c r="D53" s="163"/>
      <c r="E53" s="63"/>
      <c r="F53" s="63"/>
      <c r="G53" s="63"/>
      <c r="H53" s="63">
        <f t="shared" si="1"/>
        <v>-4467.5200000000004</v>
      </c>
    </row>
    <row r="54" spans="1:8">
      <c r="A54" s="366"/>
      <c r="B54" s="366" t="s">
        <v>1515</v>
      </c>
      <c r="C54" s="366"/>
      <c r="D54" s="367">
        <v>445.63</v>
      </c>
      <c r="E54" s="368"/>
      <c r="F54" s="366"/>
      <c r="G54" s="368"/>
      <c r="H54" s="63">
        <f t="shared" si="1"/>
        <v>-4467.5200000000004</v>
      </c>
    </row>
    <row r="55" spans="1:8">
      <c r="B55" s="366" t="s">
        <v>1403</v>
      </c>
      <c r="C55" s="366"/>
      <c r="D55" s="355">
        <v>4000</v>
      </c>
      <c r="E55" s="354"/>
      <c r="F55" s="354"/>
      <c r="G55" s="354"/>
      <c r="H55" s="63">
        <f t="shared" si="1"/>
        <v>-4467.5200000000004</v>
      </c>
    </row>
    <row r="58" spans="1:8">
      <c r="H58" s="6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1E6A39"/>
  </sheetPr>
  <dimension ref="A1:H47"/>
  <sheetViews>
    <sheetView topLeftCell="A17" zoomScale="170" zoomScaleNormal="170" workbookViewId="0">
      <selection activeCell="A16" sqref="A16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B1" s="41">
        <v>4.95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1516</v>
      </c>
      <c r="C2" s="79" t="s">
        <v>67</v>
      </c>
      <c r="D2" s="306">
        <f>SUM(D4:D44)</f>
        <v>17837.05</v>
      </c>
      <c r="E2" s="306">
        <f>SUM(E4:E80)</f>
        <v>-28058.100000000002</v>
      </c>
      <c r="F2" s="306">
        <f>SUM(F4:F77)</f>
        <v>16654.189999999999</v>
      </c>
      <c r="G2" s="306">
        <f>SUM(G4:G77)</f>
        <v>-28058.1</v>
      </c>
      <c r="H2" s="306">
        <f>F2+G2</f>
        <v>-11403.91</v>
      </c>
    </row>
    <row r="3" spans="1:8">
      <c r="B3" s="18"/>
      <c r="H3" s="63"/>
    </row>
    <row r="4" spans="1:8">
      <c r="B4" s="3"/>
      <c r="C4" s="3"/>
      <c r="D4" s="3"/>
      <c r="E4" s="63"/>
      <c r="F4" s="63"/>
      <c r="G4" s="63"/>
      <c r="H4" s="63">
        <f t="shared" ref="H4:H47" si="0">H3+F4+G4</f>
        <v>0</v>
      </c>
    </row>
    <row r="5" spans="1:8">
      <c r="A5" s="366"/>
      <c r="B5" s="369" t="s">
        <v>1517</v>
      </c>
      <c r="C5" s="369"/>
      <c r="D5" s="369">
        <v>182.86</v>
      </c>
      <c r="E5" s="370"/>
      <c r="F5" s="370"/>
      <c r="G5" s="370"/>
      <c r="H5" s="63">
        <f t="shared" si="0"/>
        <v>0</v>
      </c>
    </row>
    <row r="6" spans="1:8">
      <c r="B6" t="s">
        <v>334</v>
      </c>
      <c r="D6">
        <v>996.77</v>
      </c>
      <c r="E6" s="63"/>
      <c r="F6" s="63">
        <v>996.77</v>
      </c>
      <c r="G6" s="63"/>
      <c r="H6" s="63">
        <f t="shared" si="0"/>
        <v>996.77</v>
      </c>
    </row>
    <row r="7" spans="1:8">
      <c r="B7" t="s">
        <v>1467</v>
      </c>
      <c r="D7">
        <v>249.02</v>
      </c>
      <c r="E7" s="63"/>
      <c r="F7" s="63">
        <v>249.02</v>
      </c>
      <c r="G7" s="63"/>
      <c r="H7" s="63">
        <f t="shared" si="0"/>
        <v>1245.79</v>
      </c>
    </row>
    <row r="8" spans="1:8">
      <c r="B8" t="s">
        <v>338</v>
      </c>
      <c r="D8">
        <v>140.4</v>
      </c>
      <c r="E8" s="63"/>
      <c r="F8" s="63">
        <v>140.4</v>
      </c>
      <c r="G8" s="63"/>
      <c r="H8" s="63">
        <f t="shared" si="0"/>
        <v>1386.19</v>
      </c>
    </row>
    <row r="9" spans="1:8">
      <c r="B9" s="371" t="s">
        <v>1338</v>
      </c>
      <c r="C9" s="371"/>
      <c r="D9" s="371"/>
      <c r="E9" s="372">
        <v>-1317.2</v>
      </c>
      <c r="F9" s="372"/>
      <c r="G9" s="372">
        <v>-1317.2</v>
      </c>
      <c r="H9" s="63">
        <f t="shared" si="0"/>
        <v>68.990000000000009</v>
      </c>
    </row>
    <row r="10" spans="1:8">
      <c r="B10" s="106"/>
      <c r="C10" s="106"/>
      <c r="D10" s="106"/>
      <c r="E10" s="63"/>
      <c r="F10" s="63"/>
      <c r="G10" s="63"/>
      <c r="H10" s="63">
        <f t="shared" si="0"/>
        <v>68.990000000000009</v>
      </c>
    </row>
    <row r="11" spans="1:8">
      <c r="A11" s="100">
        <v>44718</v>
      </c>
      <c r="B11" s="101" t="s">
        <v>1331</v>
      </c>
      <c r="C11" s="101"/>
      <c r="D11" s="101"/>
      <c r="E11" s="63">
        <v>-200.1</v>
      </c>
      <c r="F11" s="163"/>
      <c r="G11" s="63">
        <v>-200.1</v>
      </c>
      <c r="H11" s="63">
        <f t="shared" si="0"/>
        <v>-131.10999999999999</v>
      </c>
    </row>
    <row r="12" spans="1:8">
      <c r="A12" s="100">
        <v>44718</v>
      </c>
      <c r="B12" s="101" t="s">
        <v>1332</v>
      </c>
      <c r="C12" s="101"/>
      <c r="D12" s="101"/>
      <c r="E12" s="63">
        <v>-395.4</v>
      </c>
      <c r="F12" s="163"/>
      <c r="G12" s="63">
        <v>-395.4</v>
      </c>
      <c r="H12" s="63">
        <f t="shared" si="0"/>
        <v>-526.51</v>
      </c>
    </row>
    <row r="13" spans="1:8">
      <c r="A13" s="100"/>
      <c r="B13" s="101"/>
      <c r="C13" s="101"/>
      <c r="D13" s="101"/>
      <c r="E13" s="163"/>
      <c r="F13" s="163"/>
      <c r="G13" s="63"/>
      <c r="H13" s="63">
        <f t="shared" si="0"/>
        <v>-526.51</v>
      </c>
    </row>
    <row r="14" spans="1:8">
      <c r="A14" s="100">
        <v>44719</v>
      </c>
      <c r="B14" s="101" t="s">
        <v>1518</v>
      </c>
      <c r="C14" s="101"/>
      <c r="D14" s="101"/>
      <c r="E14" s="163"/>
      <c r="F14" s="163"/>
      <c r="G14" s="63"/>
      <c r="H14" s="63">
        <f t="shared" si="0"/>
        <v>-526.51</v>
      </c>
    </row>
    <row r="15" spans="1:8">
      <c r="B15" t="s">
        <v>1519</v>
      </c>
      <c r="C15" t="s">
        <v>1493</v>
      </c>
      <c r="E15" s="63">
        <v>-4820</v>
      </c>
      <c r="F15" s="63"/>
      <c r="G15" s="63">
        <v>-4820</v>
      </c>
      <c r="H15" s="63">
        <f t="shared" si="0"/>
        <v>-5346.51</v>
      </c>
    </row>
    <row r="16" spans="1:8">
      <c r="B16" t="s">
        <v>1520</v>
      </c>
      <c r="C16" t="s">
        <v>1521</v>
      </c>
      <c r="E16" s="63">
        <v>-250</v>
      </c>
      <c r="F16" s="63"/>
      <c r="G16" s="63">
        <v>-250</v>
      </c>
      <c r="H16" s="63">
        <f t="shared" si="0"/>
        <v>-5596.51</v>
      </c>
    </row>
    <row r="17" spans="1:8">
      <c r="F17" s="63"/>
      <c r="G17" s="63"/>
      <c r="H17" s="63">
        <f t="shared" si="0"/>
        <v>-5596.51</v>
      </c>
    </row>
    <row r="18" spans="1:8">
      <c r="B18" t="s">
        <v>1522</v>
      </c>
      <c r="E18" s="63"/>
      <c r="F18" s="63"/>
      <c r="G18" s="63"/>
      <c r="H18" s="63">
        <f t="shared" si="0"/>
        <v>-5596.51</v>
      </c>
    </row>
    <row r="19" spans="1:8">
      <c r="B19" t="s">
        <v>1523</v>
      </c>
      <c r="E19" s="63"/>
      <c r="F19" s="63"/>
      <c r="G19" s="63"/>
      <c r="H19" s="63">
        <f t="shared" si="0"/>
        <v>-5596.51</v>
      </c>
    </row>
    <row r="20" spans="1:8">
      <c r="B20" t="s">
        <v>1524</v>
      </c>
      <c r="E20" s="63"/>
      <c r="F20" s="63"/>
      <c r="G20" s="63"/>
      <c r="H20" s="63">
        <f t="shared" si="0"/>
        <v>-5596.51</v>
      </c>
    </row>
    <row r="21" spans="1:8">
      <c r="B21" t="s">
        <v>1525</v>
      </c>
      <c r="C21" t="s">
        <v>1493</v>
      </c>
      <c r="E21" s="63">
        <v>-12800</v>
      </c>
      <c r="F21" s="63"/>
      <c r="G21" s="63">
        <v>-12800</v>
      </c>
      <c r="H21" s="63">
        <f t="shared" si="0"/>
        <v>-18396.510000000002</v>
      </c>
    </row>
    <row r="22" spans="1:8">
      <c r="B22" t="s">
        <v>1526</v>
      </c>
      <c r="E22" s="63">
        <v>-421.5</v>
      </c>
      <c r="F22" s="63"/>
      <c r="G22" s="63">
        <v>-421.5</v>
      </c>
      <c r="H22" s="63">
        <f t="shared" si="0"/>
        <v>-18818.010000000002</v>
      </c>
    </row>
    <row r="23" spans="1:8">
      <c r="A23" s="100"/>
      <c r="B23" s="101"/>
      <c r="C23" s="101"/>
      <c r="D23" s="101"/>
      <c r="E23" s="163"/>
      <c r="F23" s="163"/>
      <c r="G23" s="63"/>
      <c r="H23" s="63">
        <f t="shared" si="0"/>
        <v>-18818.010000000002</v>
      </c>
    </row>
    <row r="24" spans="1:8">
      <c r="B24" s="373" t="s">
        <v>1527</v>
      </c>
      <c r="C24" s="373"/>
      <c r="D24" s="373"/>
      <c r="E24" s="374">
        <v>-177.65</v>
      </c>
      <c r="F24" s="374"/>
      <c r="G24" s="374"/>
      <c r="H24" s="63">
        <f t="shared" si="0"/>
        <v>-18818.010000000002</v>
      </c>
    </row>
    <row r="25" spans="1:8">
      <c r="B25" s="106" t="s">
        <v>1506</v>
      </c>
      <c r="C25" s="106"/>
      <c r="D25" s="106"/>
      <c r="E25" s="63">
        <v>-389.06</v>
      </c>
      <c r="F25" s="63"/>
      <c r="G25" s="63"/>
      <c r="H25" s="63">
        <f t="shared" si="0"/>
        <v>-18818.010000000002</v>
      </c>
    </row>
    <row r="26" spans="1:8">
      <c r="B26" s="106" t="s">
        <v>1528</v>
      </c>
      <c r="C26" s="106"/>
      <c r="D26" s="106"/>
      <c r="E26" s="63">
        <v>-200</v>
      </c>
      <c r="F26" s="63"/>
      <c r="G26" s="63"/>
      <c r="H26" s="63">
        <f t="shared" si="0"/>
        <v>-18818.010000000002</v>
      </c>
    </row>
    <row r="27" spans="1:8">
      <c r="B27" s="106" t="s">
        <v>1529</v>
      </c>
      <c r="C27" s="106"/>
      <c r="D27" s="106"/>
      <c r="E27" s="63">
        <v>-225</v>
      </c>
      <c r="F27" s="63"/>
      <c r="G27" s="63"/>
      <c r="H27" s="63">
        <f t="shared" si="0"/>
        <v>-18818.010000000002</v>
      </c>
    </row>
    <row r="28" spans="1:8">
      <c r="B28" s="106" t="s">
        <v>1530</v>
      </c>
      <c r="C28" s="106"/>
      <c r="D28" s="106"/>
      <c r="E28" s="63">
        <v>-300</v>
      </c>
      <c r="F28" s="63"/>
      <c r="G28" s="63"/>
      <c r="H28" s="63">
        <f t="shared" si="0"/>
        <v>-18818.010000000002</v>
      </c>
    </row>
    <row r="29" spans="1:8">
      <c r="B29" s="106" t="s">
        <v>1531</v>
      </c>
      <c r="C29" s="106"/>
      <c r="D29" s="106"/>
      <c r="E29" s="63">
        <v>-200</v>
      </c>
      <c r="F29" s="63"/>
      <c r="G29" s="63"/>
      <c r="H29" s="63">
        <f t="shared" si="0"/>
        <v>-18818.010000000002</v>
      </c>
    </row>
    <row r="30" spans="1:8">
      <c r="B30" s="106" t="s">
        <v>1063</v>
      </c>
      <c r="C30" s="106"/>
      <c r="D30" s="106"/>
      <c r="E30" s="63">
        <v>-70</v>
      </c>
      <c r="F30" s="63"/>
      <c r="G30" s="63"/>
      <c r="H30" s="63">
        <f t="shared" si="0"/>
        <v>-18818.010000000002</v>
      </c>
    </row>
    <row r="31" spans="1:8">
      <c r="A31" s="100">
        <v>44718</v>
      </c>
      <c r="B31" s="371" t="s">
        <v>1458</v>
      </c>
      <c r="C31" s="371"/>
      <c r="D31" s="371"/>
      <c r="E31" s="375"/>
      <c r="F31" s="372"/>
      <c r="G31" s="372">
        <v>-1561.71</v>
      </c>
      <c r="H31" s="63">
        <f t="shared" si="0"/>
        <v>-20379.72</v>
      </c>
    </row>
    <row r="32" spans="1:8">
      <c r="A32" s="100"/>
      <c r="B32" s="106"/>
      <c r="C32" s="106"/>
      <c r="D32" s="106"/>
      <c r="E32" s="163"/>
      <c r="F32" s="63"/>
      <c r="G32" s="63"/>
      <c r="H32" s="63">
        <f t="shared" si="0"/>
        <v>-20379.72</v>
      </c>
    </row>
    <row r="33" spans="1:8">
      <c r="A33" s="100">
        <v>44728</v>
      </c>
      <c r="B33" s="106" t="s">
        <v>1532</v>
      </c>
      <c r="C33" s="106"/>
      <c r="D33" s="106"/>
      <c r="E33" s="63">
        <v>-99.5</v>
      </c>
      <c r="F33" s="63"/>
      <c r="G33" s="63">
        <v>-130.72999999999999</v>
      </c>
      <c r="H33" s="63">
        <f t="shared" si="0"/>
        <v>-20510.45</v>
      </c>
    </row>
    <row r="34" spans="1:8">
      <c r="A34" s="100">
        <v>44729</v>
      </c>
      <c r="B34" s="106" t="s">
        <v>1438</v>
      </c>
      <c r="C34" s="106"/>
      <c r="D34" s="106"/>
      <c r="E34" s="63">
        <v>-49.96</v>
      </c>
      <c r="F34" s="63"/>
      <c r="G34" s="63">
        <v>-49.96</v>
      </c>
      <c r="H34" s="63">
        <f t="shared" si="0"/>
        <v>-20560.41</v>
      </c>
    </row>
    <row r="35" spans="1:8">
      <c r="A35" s="100">
        <v>44728</v>
      </c>
      <c r="B35" s="106" t="s">
        <v>1451</v>
      </c>
      <c r="C35" s="106"/>
      <c r="D35" s="106"/>
      <c r="E35" s="63">
        <v>-130.72999999999999</v>
      </c>
      <c r="F35" s="63"/>
      <c r="G35" s="63">
        <v>-99.5</v>
      </c>
      <c r="H35" s="63">
        <f t="shared" si="0"/>
        <v>-20659.91</v>
      </c>
    </row>
    <row r="36" spans="1:8">
      <c r="B36" s="106"/>
      <c r="C36" s="106"/>
      <c r="D36" s="106"/>
      <c r="E36" s="63"/>
      <c r="F36" s="63"/>
      <c r="G36" s="63"/>
      <c r="H36" s="63">
        <f t="shared" si="0"/>
        <v>-20659.91</v>
      </c>
    </row>
    <row r="37" spans="1:8">
      <c r="A37" s="100">
        <v>44739</v>
      </c>
      <c r="B37" s="8" t="s">
        <v>77</v>
      </c>
      <c r="E37" s="63">
        <v>-1506</v>
      </c>
      <c r="F37" s="63"/>
      <c r="G37" s="63">
        <v>-1506</v>
      </c>
      <c r="H37" s="63">
        <f t="shared" si="0"/>
        <v>-22165.91</v>
      </c>
    </row>
    <row r="38" spans="1:8">
      <c r="A38" s="100">
        <v>44739</v>
      </c>
      <c r="B38" s="8" t="s">
        <v>78</v>
      </c>
      <c r="E38" s="63">
        <v>-1506</v>
      </c>
      <c r="F38" s="63"/>
      <c r="G38" s="63">
        <v>-1506</v>
      </c>
      <c r="H38" s="63">
        <f t="shared" si="0"/>
        <v>-23671.91</v>
      </c>
    </row>
    <row r="39" spans="1:8">
      <c r="B39" t="s">
        <v>1533</v>
      </c>
      <c r="E39" s="63">
        <v>-3000</v>
      </c>
      <c r="G39" s="63">
        <v>-3000</v>
      </c>
      <c r="H39" s="63">
        <f t="shared" si="0"/>
        <v>-26671.91</v>
      </c>
    </row>
    <row r="40" spans="1:8">
      <c r="B40" s="106"/>
      <c r="C40" s="106"/>
      <c r="D40" s="106"/>
      <c r="E40" s="63"/>
      <c r="F40" s="63"/>
      <c r="G40" s="63"/>
      <c r="H40" s="63">
        <f t="shared" si="0"/>
        <v>-26671.91</v>
      </c>
    </row>
    <row r="41" spans="1:8">
      <c r="A41" s="100">
        <v>44739</v>
      </c>
      <c r="B41" s="8" t="s">
        <v>76</v>
      </c>
      <c r="D41" s="63">
        <v>3020.37</v>
      </c>
      <c r="E41" s="63"/>
      <c r="F41" s="63">
        <v>3020.37</v>
      </c>
      <c r="G41" s="63"/>
      <c r="H41" s="63">
        <f t="shared" si="0"/>
        <v>-23651.54</v>
      </c>
    </row>
    <row r="42" spans="1:8">
      <c r="A42" s="100">
        <v>44742</v>
      </c>
      <c r="B42" s="8" t="s">
        <v>1534</v>
      </c>
      <c r="D42" s="63">
        <v>1650</v>
      </c>
      <c r="F42" s="63">
        <v>1650</v>
      </c>
      <c r="G42" s="63"/>
      <c r="H42" s="63">
        <f t="shared" si="0"/>
        <v>-22001.54</v>
      </c>
    </row>
    <row r="43" spans="1:8">
      <c r="A43" s="366"/>
      <c r="B43" s="366" t="s">
        <v>1535</v>
      </c>
      <c r="C43" s="366"/>
      <c r="D43" s="368">
        <v>5000</v>
      </c>
      <c r="E43" s="368"/>
      <c r="F43" s="368"/>
      <c r="G43" s="368"/>
      <c r="H43" s="63">
        <f t="shared" si="0"/>
        <v>-22001.54</v>
      </c>
    </row>
    <row r="44" spans="1:8">
      <c r="A44">
        <v>2022</v>
      </c>
      <c r="B44" t="s">
        <v>1536</v>
      </c>
      <c r="D44" s="2">
        <v>6597.63</v>
      </c>
      <c r="F44" s="2">
        <v>6597.63</v>
      </c>
      <c r="H44" s="63">
        <f t="shared" si="0"/>
        <v>-15403.91</v>
      </c>
    </row>
    <row r="45" spans="1:8">
      <c r="D45" s="2"/>
      <c r="F45" s="2"/>
      <c r="H45" s="63">
        <f t="shared" si="0"/>
        <v>-15403.91</v>
      </c>
    </row>
    <row r="46" spans="1:8">
      <c r="A46" s="362">
        <v>44732</v>
      </c>
      <c r="B46" s="358" t="s">
        <v>1537</v>
      </c>
      <c r="C46" s="358"/>
      <c r="D46" s="358"/>
      <c r="E46" s="358"/>
      <c r="F46" s="360">
        <v>4000</v>
      </c>
      <c r="G46" s="358"/>
      <c r="H46" s="63">
        <f t="shared" si="0"/>
        <v>-11403.91</v>
      </c>
    </row>
    <row r="47" spans="1:8">
      <c r="A47" s="366"/>
      <c r="B47" s="366" t="s">
        <v>1403</v>
      </c>
      <c r="C47" s="366"/>
      <c r="D47" s="376">
        <v>4000</v>
      </c>
      <c r="E47" s="366"/>
      <c r="F47" s="366"/>
      <c r="G47" s="366"/>
      <c r="H47" s="63">
        <f t="shared" si="0"/>
        <v>-11403.91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40"/>
  <sheetViews>
    <sheetView topLeftCell="A5" zoomScale="170" zoomScaleNormal="170" workbookViewId="0">
      <selection activeCell="A5" sqref="A5"/>
    </sheetView>
  </sheetViews>
  <sheetFormatPr defaultColWidth="8.5703125" defaultRowHeight="12.75"/>
  <cols>
    <col min="1" max="1" width="12.28515625" customWidth="1"/>
    <col min="2" max="2" width="36.42578125" customWidth="1"/>
    <col min="3" max="3" width="3.28515625" customWidth="1"/>
    <col min="4" max="8" width="12.28515625" customWidth="1"/>
    <col min="9" max="9" width="9.140625" customWidth="1"/>
  </cols>
  <sheetData>
    <row r="1" spans="1:8">
      <c r="A1" t="s">
        <v>1538</v>
      </c>
      <c r="B1" s="41">
        <v>2.98</v>
      </c>
      <c r="F1" s="189" t="s">
        <v>28</v>
      </c>
      <c r="G1" s="189" t="s">
        <v>29</v>
      </c>
      <c r="H1" s="189" t="s">
        <v>3</v>
      </c>
    </row>
    <row r="2" spans="1:8">
      <c r="A2" s="3" t="s">
        <v>1539</v>
      </c>
      <c r="C2" s="79" t="s">
        <v>67</v>
      </c>
      <c r="D2" s="306">
        <f>SUM(D4:D32)</f>
        <v>11328.34</v>
      </c>
      <c r="E2" s="306">
        <f>SUM(E4:E68)</f>
        <v>-7712.66</v>
      </c>
      <c r="F2" s="306">
        <f>SUM(F4:F65)</f>
        <v>9522.369999999999</v>
      </c>
      <c r="G2" s="306">
        <f>SUM(G4:G65)</f>
        <v>-7722.66</v>
      </c>
      <c r="H2" s="306">
        <f>F2+G2</f>
        <v>1799.7099999999991</v>
      </c>
    </row>
    <row r="3" spans="1:8">
      <c r="B3" s="18"/>
      <c r="E3" s="189"/>
      <c r="F3" s="189"/>
      <c r="G3" s="189"/>
      <c r="H3" s="63"/>
    </row>
    <row r="4" spans="1:8">
      <c r="B4" s="3"/>
      <c r="C4" s="3"/>
      <c r="D4" s="3"/>
      <c r="E4" s="63"/>
      <c r="F4" s="63"/>
      <c r="G4" s="63"/>
      <c r="H4" s="63">
        <f t="shared" ref="H4:H34" si="0">H3+F4+G4</f>
        <v>0</v>
      </c>
    </row>
    <row r="5" spans="1:8">
      <c r="B5" t="s">
        <v>1517</v>
      </c>
      <c r="D5">
        <v>155.6</v>
      </c>
      <c r="E5" s="63"/>
      <c r="F5" s="63">
        <v>155</v>
      </c>
      <c r="G5" s="63"/>
      <c r="H5" s="63">
        <f t="shared" si="0"/>
        <v>155</v>
      </c>
    </row>
    <row r="6" spans="1:8">
      <c r="B6" t="s">
        <v>334</v>
      </c>
      <c r="D6">
        <v>1036.21</v>
      </c>
      <c r="E6" s="63"/>
      <c r="F6" s="63">
        <v>1035</v>
      </c>
      <c r="G6" s="63"/>
      <c r="H6" s="63">
        <f t="shared" si="0"/>
        <v>1190</v>
      </c>
    </row>
    <row r="7" spans="1:8">
      <c r="B7" t="s">
        <v>1540</v>
      </c>
      <c r="D7">
        <v>153.68</v>
      </c>
      <c r="E7" s="63"/>
      <c r="F7" s="63">
        <v>350</v>
      </c>
      <c r="G7" s="63"/>
      <c r="H7" s="63">
        <f t="shared" si="0"/>
        <v>1540</v>
      </c>
    </row>
    <row r="8" spans="1:8">
      <c r="B8" t="s">
        <v>1447</v>
      </c>
      <c r="D8">
        <v>230.48</v>
      </c>
      <c r="E8" s="63"/>
      <c r="F8" s="63">
        <v>230</v>
      </c>
      <c r="G8" s="63"/>
      <c r="H8" s="63">
        <f t="shared" si="0"/>
        <v>1770</v>
      </c>
    </row>
    <row r="9" spans="1:8">
      <c r="B9" t="s">
        <v>338</v>
      </c>
      <c r="D9">
        <v>82</v>
      </c>
      <c r="E9" s="63"/>
      <c r="F9" s="63">
        <v>82</v>
      </c>
      <c r="G9" s="63"/>
      <c r="H9" s="63">
        <f t="shared" si="0"/>
        <v>1852</v>
      </c>
    </row>
    <row r="10" spans="1:8">
      <c r="A10" s="100">
        <v>44691</v>
      </c>
      <c r="B10" s="106" t="s">
        <v>1338</v>
      </c>
      <c r="C10" s="106"/>
      <c r="D10" s="106"/>
      <c r="E10" s="63">
        <v>-1360.1</v>
      </c>
      <c r="F10" s="63"/>
      <c r="G10" s="63">
        <v>-1360.1</v>
      </c>
      <c r="H10" s="63">
        <f t="shared" si="0"/>
        <v>491.90000000000009</v>
      </c>
    </row>
    <row r="11" spans="1:8">
      <c r="A11" s="100">
        <v>44686</v>
      </c>
      <c r="B11" s="101" t="s">
        <v>1331</v>
      </c>
      <c r="C11" s="101"/>
      <c r="D11" s="101"/>
      <c r="E11" s="63">
        <v>-197.1</v>
      </c>
      <c r="F11" s="63"/>
      <c r="G11" s="63">
        <v>-197.1</v>
      </c>
      <c r="H11" s="63">
        <f t="shared" si="0"/>
        <v>294.80000000000007</v>
      </c>
    </row>
    <row r="12" spans="1:8">
      <c r="A12" s="100">
        <v>44686</v>
      </c>
      <c r="B12" s="101" t="s">
        <v>1332</v>
      </c>
      <c r="C12" s="101"/>
      <c r="D12" s="101"/>
      <c r="E12" s="63">
        <v>-365.7</v>
      </c>
      <c r="F12" s="63"/>
      <c r="G12" s="63">
        <v>-365.7</v>
      </c>
      <c r="H12" s="63">
        <f t="shared" si="0"/>
        <v>-70.89999999999992</v>
      </c>
    </row>
    <row r="13" spans="1:8">
      <c r="B13" s="106"/>
      <c r="C13" s="106"/>
      <c r="D13" s="106"/>
      <c r="E13" s="63"/>
      <c r="F13" s="63"/>
      <c r="G13" s="63"/>
      <c r="H13" s="63">
        <f t="shared" si="0"/>
        <v>-70.89999999999992</v>
      </c>
    </row>
    <row r="14" spans="1:8">
      <c r="B14" s="106" t="s">
        <v>1438</v>
      </c>
      <c r="C14" s="106"/>
      <c r="D14" s="106"/>
      <c r="E14" s="63">
        <v>-54.54</v>
      </c>
      <c r="F14" s="63"/>
      <c r="G14" s="63">
        <v>-54.54</v>
      </c>
      <c r="H14" s="63">
        <f t="shared" si="0"/>
        <v>-125.43999999999991</v>
      </c>
    </row>
    <row r="15" spans="1:8">
      <c r="B15" s="106" t="s">
        <v>1451</v>
      </c>
      <c r="C15" s="106"/>
      <c r="D15" s="106"/>
      <c r="E15" s="63">
        <v>-327.25</v>
      </c>
      <c r="F15" s="63"/>
      <c r="G15" s="63">
        <v>-327.25</v>
      </c>
      <c r="H15" s="63">
        <f t="shared" si="0"/>
        <v>-452.68999999999994</v>
      </c>
    </row>
    <row r="16" spans="1:8">
      <c r="B16" s="106"/>
      <c r="C16" s="106"/>
      <c r="D16" s="106"/>
      <c r="E16" s="63"/>
      <c r="F16" s="63"/>
      <c r="G16" s="63"/>
      <c r="H16" s="63">
        <f t="shared" si="0"/>
        <v>-452.68999999999994</v>
      </c>
    </row>
    <row r="17" spans="1:8">
      <c r="B17" s="373" t="s">
        <v>133</v>
      </c>
      <c r="C17" s="373"/>
      <c r="D17" s="373"/>
      <c r="E17" s="374">
        <v>-100</v>
      </c>
      <c r="F17" s="374"/>
      <c r="G17" s="374"/>
      <c r="H17" s="63">
        <f t="shared" si="0"/>
        <v>-452.68999999999994</v>
      </c>
    </row>
    <row r="18" spans="1:8">
      <c r="B18" s="106" t="s">
        <v>1541</v>
      </c>
      <c r="C18" s="106"/>
      <c r="D18" s="106"/>
      <c r="E18" s="63">
        <v>-115.31</v>
      </c>
      <c r="F18" s="63"/>
      <c r="G18" s="63"/>
      <c r="H18" s="63">
        <f t="shared" si="0"/>
        <v>-452.68999999999994</v>
      </c>
    </row>
    <row r="19" spans="1:8">
      <c r="B19" s="106" t="s">
        <v>1541</v>
      </c>
      <c r="C19" s="106"/>
      <c r="D19" s="106"/>
      <c r="E19" s="63">
        <v>-39.18</v>
      </c>
      <c r="F19" s="63"/>
      <c r="G19" s="63"/>
      <c r="H19" s="63">
        <f t="shared" si="0"/>
        <v>-452.68999999999994</v>
      </c>
    </row>
    <row r="20" spans="1:8">
      <c r="B20" s="106" t="s">
        <v>133</v>
      </c>
      <c r="C20" s="106"/>
      <c r="D20" s="106"/>
      <c r="E20" s="63">
        <v>-200</v>
      </c>
      <c r="F20" s="63"/>
      <c r="G20" s="63"/>
      <c r="H20" s="63">
        <f t="shared" si="0"/>
        <v>-452.68999999999994</v>
      </c>
    </row>
    <row r="21" spans="1:8">
      <c r="B21" s="106" t="s">
        <v>1353</v>
      </c>
      <c r="C21" s="106"/>
      <c r="D21" s="106"/>
      <c r="E21" s="63">
        <v>-70</v>
      </c>
      <c r="F21" s="63"/>
      <c r="G21" s="63"/>
      <c r="H21" s="63">
        <f t="shared" si="0"/>
        <v>-452.68999999999994</v>
      </c>
    </row>
    <row r="22" spans="1:8">
      <c r="B22" s="106" t="s">
        <v>1542</v>
      </c>
      <c r="C22" s="106"/>
      <c r="D22" s="106"/>
      <c r="E22" s="63">
        <v>-205.83</v>
      </c>
      <c r="F22" s="63"/>
      <c r="G22" s="63"/>
      <c r="H22" s="63">
        <f t="shared" si="0"/>
        <v>-452.68999999999994</v>
      </c>
    </row>
    <row r="23" spans="1:8">
      <c r="B23" s="106" t="s">
        <v>1543</v>
      </c>
      <c r="C23" s="106"/>
      <c r="D23" s="106"/>
      <c r="E23" s="63">
        <v>-177.65</v>
      </c>
      <c r="F23" s="63"/>
      <c r="G23" s="63"/>
      <c r="H23" s="63">
        <f t="shared" si="0"/>
        <v>-452.68999999999994</v>
      </c>
    </row>
    <row r="24" spans="1:8">
      <c r="A24" s="100">
        <v>44686</v>
      </c>
      <c r="B24" s="371" t="s">
        <v>1458</v>
      </c>
      <c r="C24" s="371"/>
      <c r="D24" s="371"/>
      <c r="E24" s="375"/>
      <c r="F24" s="372"/>
      <c r="G24" s="372">
        <v>-907.97</v>
      </c>
      <c r="H24" s="63">
        <f t="shared" si="0"/>
        <v>-1360.6599999999999</v>
      </c>
    </row>
    <row r="25" spans="1:8">
      <c r="B25" s="106"/>
      <c r="C25" s="106"/>
      <c r="D25" s="106"/>
      <c r="E25" s="63"/>
      <c r="F25" s="63"/>
      <c r="G25" s="63"/>
      <c r="H25" s="63">
        <f t="shared" si="0"/>
        <v>-1360.6599999999999</v>
      </c>
    </row>
    <row r="26" spans="1:8">
      <c r="A26" s="100">
        <v>44708</v>
      </c>
      <c r="B26" s="8" t="s">
        <v>77</v>
      </c>
      <c r="E26" s="63">
        <v>-1500</v>
      </c>
      <c r="F26" s="63"/>
      <c r="G26" s="63">
        <v>-1505</v>
      </c>
      <c r="H26" s="63">
        <f t="shared" si="0"/>
        <v>-2865.66</v>
      </c>
    </row>
    <row r="27" spans="1:8">
      <c r="A27" s="100">
        <v>44708</v>
      </c>
      <c r="B27" s="8" t="s">
        <v>78</v>
      </c>
      <c r="E27" s="63">
        <v>-1500</v>
      </c>
      <c r="F27" s="63"/>
      <c r="G27" s="63">
        <v>-1505</v>
      </c>
      <c r="H27" s="63">
        <f t="shared" si="0"/>
        <v>-4370.66</v>
      </c>
    </row>
    <row r="28" spans="1:8">
      <c r="A28" s="100">
        <v>44708</v>
      </c>
      <c r="B28" s="8" t="s">
        <v>79</v>
      </c>
      <c r="E28" s="63">
        <v>-1500</v>
      </c>
      <c r="F28" s="63"/>
      <c r="G28" s="63">
        <v>-1500</v>
      </c>
      <c r="H28" s="63">
        <f t="shared" si="0"/>
        <v>-5870.66</v>
      </c>
    </row>
    <row r="29" spans="1:8">
      <c r="E29" s="63"/>
      <c r="F29" s="63"/>
      <c r="G29" s="63"/>
      <c r="H29" s="63">
        <f t="shared" si="0"/>
        <v>-5870.66</v>
      </c>
    </row>
    <row r="30" spans="1:8">
      <c r="A30" s="100">
        <v>44708</v>
      </c>
      <c r="B30" s="8" t="s">
        <v>76</v>
      </c>
      <c r="D30" s="63">
        <v>3020.37</v>
      </c>
      <c r="E30" s="63"/>
      <c r="F30" s="63">
        <v>3020.37</v>
      </c>
      <c r="G30" s="63"/>
      <c r="H30" s="63">
        <f t="shared" si="0"/>
        <v>-2850.29</v>
      </c>
    </row>
    <row r="31" spans="1:8">
      <c r="A31" s="100">
        <v>44711</v>
      </c>
      <c r="B31" s="8" t="s">
        <v>677</v>
      </c>
      <c r="D31" s="63">
        <v>1650</v>
      </c>
      <c r="F31" s="63">
        <v>1650</v>
      </c>
      <c r="G31" s="63"/>
      <c r="H31" s="63">
        <f t="shared" si="0"/>
        <v>-1200.29</v>
      </c>
    </row>
    <row r="32" spans="1:8">
      <c r="A32" s="100">
        <v>44711</v>
      </c>
      <c r="B32" s="8" t="s">
        <v>1544</v>
      </c>
      <c r="C32" s="377"/>
      <c r="D32" s="63">
        <v>5000</v>
      </c>
      <c r="E32" s="63"/>
      <c r="F32" s="63">
        <v>3000</v>
      </c>
      <c r="G32" s="63"/>
      <c r="H32" s="63">
        <f t="shared" si="0"/>
        <v>1799.71</v>
      </c>
    </row>
    <row r="33" spans="1:8">
      <c r="F33" s="63"/>
      <c r="G33" s="63"/>
      <c r="H33" s="63">
        <f t="shared" si="0"/>
        <v>1799.71</v>
      </c>
    </row>
    <row r="34" spans="1:8">
      <c r="A34" s="378"/>
      <c r="B34" s="366" t="s">
        <v>1537</v>
      </c>
      <c r="C34" s="366"/>
      <c r="D34" s="379">
        <v>4000</v>
      </c>
      <c r="E34" s="366"/>
      <c r="F34" s="368"/>
      <c r="G34" s="368"/>
      <c r="H34" s="63">
        <f t="shared" si="0"/>
        <v>1799.71</v>
      </c>
    </row>
    <row r="35" spans="1:8">
      <c r="F35" s="63"/>
      <c r="G35" s="63"/>
      <c r="H35" s="63"/>
    </row>
    <row r="36" spans="1:8">
      <c r="F36" s="63"/>
      <c r="G36" s="63"/>
      <c r="H36" s="63"/>
    </row>
    <row r="37" spans="1:8">
      <c r="E37" s="63"/>
      <c r="F37" s="63"/>
      <c r="G37" s="63"/>
      <c r="H37" s="63"/>
    </row>
    <row r="38" spans="1:8">
      <c r="E38" s="63"/>
      <c r="F38" s="63"/>
      <c r="G38" s="63"/>
      <c r="H38" s="63"/>
    </row>
    <row r="39" spans="1:8">
      <c r="H39" s="63"/>
    </row>
    <row r="40" spans="1:8">
      <c r="H40" s="6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1E6A39"/>
  </sheetPr>
  <dimension ref="A1:H38"/>
  <sheetViews>
    <sheetView topLeftCell="A9" zoomScale="170" zoomScaleNormal="170" workbookViewId="0">
      <selection activeCell="A10" sqref="A10"/>
    </sheetView>
  </sheetViews>
  <sheetFormatPr defaultColWidth="8.5703125" defaultRowHeight="12.75"/>
  <cols>
    <col min="1" max="1" width="12.28515625" customWidth="1"/>
    <col min="2" max="2" width="36.42578125" customWidth="1"/>
    <col min="3" max="3" width="2.85546875" customWidth="1"/>
    <col min="4" max="8" width="12.28515625" customWidth="1"/>
    <col min="9" max="9" width="9.140625" customWidth="1"/>
  </cols>
  <sheetData>
    <row r="1" spans="1:8">
      <c r="B1" s="41">
        <v>7.25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1545</v>
      </c>
      <c r="C2" s="79" t="s">
        <v>67</v>
      </c>
      <c r="D2" s="306">
        <f>SUM(D5:D66)</f>
        <v>15937.59</v>
      </c>
      <c r="E2" s="306">
        <f>SUM(E5:E66)</f>
        <v>-11790.68</v>
      </c>
      <c r="F2" s="306">
        <f>SUM(F5:F66)</f>
        <v>17940.28</v>
      </c>
      <c r="G2" s="306">
        <f>SUM(G5:G66)</f>
        <v>-11140.68</v>
      </c>
      <c r="H2" s="306">
        <f>F2+G2</f>
        <v>6799.5999999999985</v>
      </c>
    </row>
    <row r="3" spans="1:8">
      <c r="A3" s="100"/>
      <c r="B3" s="18"/>
      <c r="E3" s="63"/>
      <c r="F3" s="63"/>
      <c r="G3" s="63"/>
      <c r="H3" s="63"/>
    </row>
    <row r="4" spans="1:8">
      <c r="A4" s="100"/>
      <c r="E4" s="63"/>
      <c r="F4" s="63"/>
      <c r="G4" s="63"/>
      <c r="H4" s="63">
        <f t="shared" ref="H4:H36" si="0">H3+F4+G4</f>
        <v>0</v>
      </c>
    </row>
    <row r="5" spans="1:8">
      <c r="A5" s="100">
        <v>44658</v>
      </c>
      <c r="B5" s="8" t="s">
        <v>1517</v>
      </c>
      <c r="D5">
        <v>257.31</v>
      </c>
      <c r="E5" s="63"/>
      <c r="F5" s="63">
        <v>260</v>
      </c>
      <c r="G5" s="63"/>
      <c r="H5" s="63">
        <f t="shared" si="0"/>
        <v>260</v>
      </c>
    </row>
    <row r="6" spans="1:8">
      <c r="A6" s="100"/>
      <c r="B6" s="8" t="s">
        <v>334</v>
      </c>
      <c r="D6">
        <v>1089.6300000000001</v>
      </c>
      <c r="E6" s="63"/>
      <c r="F6" s="63">
        <v>1089.6300000000001</v>
      </c>
      <c r="G6" s="63"/>
      <c r="H6" s="63">
        <f t="shared" si="0"/>
        <v>1349.63</v>
      </c>
    </row>
    <row r="7" spans="1:8">
      <c r="A7" s="100">
        <v>44654</v>
      </c>
      <c r="B7" s="8" t="s">
        <v>1467</v>
      </c>
      <c r="D7">
        <v>384.4</v>
      </c>
      <c r="E7" s="63"/>
      <c r="F7" s="63">
        <v>384.4</v>
      </c>
      <c r="G7" s="63"/>
      <c r="H7" s="63">
        <f t="shared" si="0"/>
        <v>1734.0300000000002</v>
      </c>
    </row>
    <row r="8" spans="1:8">
      <c r="A8" s="100">
        <v>44654</v>
      </c>
      <c r="B8" s="8" t="s">
        <v>338</v>
      </c>
      <c r="D8">
        <v>85.88</v>
      </c>
      <c r="E8" s="63"/>
      <c r="F8" s="63">
        <v>85.88</v>
      </c>
      <c r="G8" s="63"/>
      <c r="H8" s="63">
        <f t="shared" si="0"/>
        <v>1819.9100000000003</v>
      </c>
    </row>
    <row r="9" spans="1:8">
      <c r="A9" s="100"/>
      <c r="B9" s="106" t="s">
        <v>1338</v>
      </c>
      <c r="C9" s="106"/>
      <c r="D9" s="106"/>
      <c r="E9" s="63">
        <v>-1578.43</v>
      </c>
      <c r="F9" s="63"/>
      <c r="G9" s="63">
        <v>-1578.43</v>
      </c>
      <c r="H9" s="63">
        <f t="shared" si="0"/>
        <v>241.48000000000025</v>
      </c>
    </row>
    <row r="10" spans="1:8">
      <c r="A10" s="100">
        <v>44655</v>
      </c>
      <c r="B10" s="101" t="s">
        <v>1331</v>
      </c>
      <c r="C10" s="101"/>
      <c r="D10" s="101"/>
      <c r="E10" s="63">
        <v>-383.8</v>
      </c>
      <c r="F10" s="163"/>
      <c r="G10" s="63">
        <v>-383.8</v>
      </c>
      <c r="H10" s="63">
        <f t="shared" si="0"/>
        <v>-142.31999999999977</v>
      </c>
    </row>
    <row r="11" spans="1:8">
      <c r="A11" s="100">
        <v>44655</v>
      </c>
      <c r="B11" s="101" t="s">
        <v>1332</v>
      </c>
      <c r="C11" s="101"/>
      <c r="D11" s="101"/>
      <c r="E11" s="63">
        <v>-171.6</v>
      </c>
      <c r="F11" s="163"/>
      <c r="G11" s="63">
        <v>-171.6</v>
      </c>
      <c r="H11" s="63">
        <f t="shared" si="0"/>
        <v>-313.91999999999973</v>
      </c>
    </row>
    <row r="12" spans="1:8">
      <c r="A12" s="100"/>
      <c r="B12" s="101"/>
      <c r="C12" s="101"/>
      <c r="D12" s="101"/>
      <c r="F12" s="163"/>
      <c r="G12" s="63"/>
      <c r="H12" s="63">
        <f t="shared" si="0"/>
        <v>-313.91999999999973</v>
      </c>
    </row>
    <row r="13" spans="1:8">
      <c r="A13" s="100"/>
      <c r="B13" s="106" t="s">
        <v>1438</v>
      </c>
      <c r="C13" s="106"/>
      <c r="D13" s="106"/>
      <c r="E13" s="63">
        <v>-600</v>
      </c>
      <c r="F13" s="63"/>
      <c r="G13" s="63"/>
      <c r="H13" s="63">
        <f t="shared" si="0"/>
        <v>-313.91999999999973</v>
      </c>
    </row>
    <row r="14" spans="1:8">
      <c r="A14" s="100"/>
      <c r="B14" s="106" t="s">
        <v>1451</v>
      </c>
      <c r="C14" s="106"/>
      <c r="D14" s="106"/>
      <c r="E14" s="63">
        <v>-50</v>
      </c>
      <c r="F14" s="63"/>
      <c r="G14" s="63"/>
      <c r="H14" s="63">
        <f t="shared" si="0"/>
        <v>-313.91999999999973</v>
      </c>
    </row>
    <row r="15" spans="1:8">
      <c r="A15" s="100"/>
      <c r="B15" s="101"/>
      <c r="C15" s="101"/>
      <c r="D15" s="101"/>
      <c r="E15" s="63"/>
      <c r="F15" s="163"/>
      <c r="G15" s="63"/>
      <c r="H15" s="63">
        <f t="shared" si="0"/>
        <v>-313.91999999999973</v>
      </c>
    </row>
    <row r="16" spans="1:8">
      <c r="A16" s="100"/>
      <c r="B16" s="373" t="s">
        <v>1546</v>
      </c>
      <c r="C16" s="373"/>
      <c r="D16" s="373"/>
      <c r="E16" s="374">
        <v>-169</v>
      </c>
      <c r="F16" s="380"/>
      <c r="G16" s="374"/>
      <c r="H16" s="63">
        <f t="shared" si="0"/>
        <v>-313.91999999999973</v>
      </c>
    </row>
    <row r="17" spans="1:8">
      <c r="A17" s="100"/>
      <c r="B17" s="106" t="s">
        <v>1547</v>
      </c>
      <c r="C17" s="106"/>
      <c r="D17" s="106"/>
      <c r="E17" s="63">
        <v>-3270</v>
      </c>
      <c r="F17" s="163"/>
      <c r="G17" s="63"/>
      <c r="H17" s="63">
        <f t="shared" si="0"/>
        <v>-313.91999999999973</v>
      </c>
    </row>
    <row r="18" spans="1:8">
      <c r="A18" s="100"/>
      <c r="B18" s="106" t="s">
        <v>1548</v>
      </c>
      <c r="C18" s="106"/>
      <c r="D18" s="106"/>
      <c r="E18" s="63">
        <v>-238</v>
      </c>
      <c r="F18" s="163"/>
      <c r="G18" s="63"/>
      <c r="H18" s="63">
        <f t="shared" si="0"/>
        <v>-313.91999999999973</v>
      </c>
    </row>
    <row r="19" spans="1:8">
      <c r="A19" s="100"/>
      <c r="B19" s="106" t="s">
        <v>1549</v>
      </c>
      <c r="C19" s="106"/>
      <c r="D19" s="106"/>
      <c r="E19" s="63">
        <v>-11.9</v>
      </c>
      <c r="F19" s="163"/>
      <c r="G19" s="63"/>
      <c r="H19" s="63">
        <f t="shared" si="0"/>
        <v>-313.91999999999973</v>
      </c>
    </row>
    <row r="20" spans="1:8">
      <c r="A20" s="100"/>
      <c r="B20" s="106" t="s">
        <v>1550</v>
      </c>
      <c r="C20" s="106"/>
      <c r="D20" s="106"/>
      <c r="E20" s="63">
        <v>-177.65</v>
      </c>
      <c r="F20" s="163"/>
      <c r="G20" s="63"/>
      <c r="H20" s="63">
        <f t="shared" si="0"/>
        <v>-313.91999999999973</v>
      </c>
    </row>
    <row r="21" spans="1:8">
      <c r="A21" s="100"/>
      <c r="B21" s="106" t="s">
        <v>1551</v>
      </c>
      <c r="C21" s="106"/>
      <c r="D21" s="106"/>
      <c r="E21" s="63">
        <v>-132.30000000000001</v>
      </c>
      <c r="F21" s="163"/>
      <c r="G21" s="63"/>
      <c r="H21" s="63">
        <f t="shared" si="0"/>
        <v>-313.91999999999973</v>
      </c>
    </row>
    <row r="22" spans="1:8">
      <c r="A22" s="100">
        <v>44655</v>
      </c>
      <c r="B22" s="371" t="s">
        <v>1458</v>
      </c>
      <c r="C22" s="371"/>
      <c r="D22" s="371"/>
      <c r="E22" s="375"/>
      <c r="F22" s="375"/>
      <c r="G22" s="372">
        <v>-3998.85</v>
      </c>
      <c r="H22" s="63">
        <f t="shared" si="0"/>
        <v>-4312.7699999999995</v>
      </c>
    </row>
    <row r="23" spans="1:8">
      <c r="A23" s="100"/>
      <c r="B23" s="106"/>
      <c r="C23" s="106"/>
      <c r="D23" s="106"/>
      <c r="E23" s="163"/>
      <c r="F23" s="163"/>
      <c r="G23" s="63"/>
      <c r="H23" s="63">
        <f t="shared" si="0"/>
        <v>-4312.7699999999995</v>
      </c>
    </row>
    <row r="24" spans="1:8">
      <c r="A24" s="100"/>
      <c r="B24" s="8" t="s">
        <v>77</v>
      </c>
      <c r="E24" s="63">
        <v>-1504</v>
      </c>
      <c r="G24" s="63">
        <v>-1504</v>
      </c>
      <c r="H24" s="63">
        <f t="shared" si="0"/>
        <v>-5816.7699999999995</v>
      </c>
    </row>
    <row r="25" spans="1:8">
      <c r="A25" s="100"/>
      <c r="B25" s="8" t="s">
        <v>78</v>
      </c>
      <c r="E25" s="63">
        <v>-1504</v>
      </c>
      <c r="G25" s="63">
        <v>-1504</v>
      </c>
      <c r="H25" s="63">
        <f t="shared" si="0"/>
        <v>-7320.7699999999995</v>
      </c>
    </row>
    <row r="26" spans="1:8">
      <c r="A26" s="100"/>
      <c r="B26" s="8" t="s">
        <v>1552</v>
      </c>
      <c r="E26" s="63">
        <v>-500</v>
      </c>
      <c r="G26" s="63">
        <v>-500</v>
      </c>
      <c r="H26" s="63">
        <f t="shared" si="0"/>
        <v>-7820.7699999999995</v>
      </c>
    </row>
    <row r="27" spans="1:8">
      <c r="B27" t="s">
        <v>79</v>
      </c>
      <c r="E27" s="63">
        <v>-1500</v>
      </c>
      <c r="G27" s="63">
        <v>-1500</v>
      </c>
      <c r="H27" s="63">
        <f t="shared" si="0"/>
        <v>-9320.77</v>
      </c>
    </row>
    <row r="28" spans="1:8">
      <c r="H28" s="63">
        <f t="shared" si="0"/>
        <v>-9320.77</v>
      </c>
    </row>
    <row r="29" spans="1:8">
      <c r="A29" s="100"/>
      <c r="B29" s="8" t="s">
        <v>76</v>
      </c>
      <c r="D29" s="63">
        <v>3020.37</v>
      </c>
      <c r="E29" s="63"/>
      <c r="F29" s="63">
        <v>3020.37</v>
      </c>
      <c r="G29" s="63"/>
      <c r="H29" s="63">
        <f t="shared" si="0"/>
        <v>-6300.4000000000005</v>
      </c>
    </row>
    <row r="30" spans="1:8">
      <c r="A30" s="100">
        <v>44655</v>
      </c>
      <c r="B30" s="8" t="s">
        <v>1553</v>
      </c>
      <c r="D30" s="63">
        <v>2500</v>
      </c>
      <c r="E30" s="63"/>
      <c r="F30" s="63">
        <v>2500</v>
      </c>
      <c r="G30" s="63"/>
      <c r="H30" s="63">
        <f t="shared" si="0"/>
        <v>-3800.4000000000005</v>
      </c>
    </row>
    <row r="31" spans="1:8">
      <c r="A31" s="100">
        <v>44693</v>
      </c>
      <c r="B31" s="8" t="s">
        <v>1554</v>
      </c>
      <c r="D31" s="63">
        <v>1600</v>
      </c>
      <c r="F31" s="63">
        <v>1600</v>
      </c>
      <c r="G31" s="63"/>
      <c r="H31" s="63">
        <f t="shared" si="0"/>
        <v>-2200.4000000000005</v>
      </c>
    </row>
    <row r="32" spans="1:8">
      <c r="A32" s="100">
        <v>44691</v>
      </c>
      <c r="B32" s="358" t="s">
        <v>1555</v>
      </c>
      <c r="C32" s="377"/>
      <c r="D32" s="63">
        <v>3000</v>
      </c>
      <c r="F32" s="63">
        <v>5000</v>
      </c>
      <c r="G32" s="63"/>
      <c r="H32" s="63">
        <f t="shared" si="0"/>
        <v>2799.5999999999995</v>
      </c>
    </row>
    <row r="33" spans="1:8">
      <c r="H33" s="63">
        <f t="shared" si="0"/>
        <v>2799.5999999999995</v>
      </c>
    </row>
    <row r="34" spans="1:8">
      <c r="A34" s="100">
        <v>44688</v>
      </c>
      <c r="B34" s="8" t="s">
        <v>1556</v>
      </c>
      <c r="D34" s="2">
        <v>4000</v>
      </c>
      <c r="F34" s="2">
        <v>4000</v>
      </c>
      <c r="H34" s="63">
        <f t="shared" si="0"/>
        <v>6799.5999999999995</v>
      </c>
    </row>
    <row r="35" spans="1:8">
      <c r="A35" s="100"/>
      <c r="B35" s="8" t="s">
        <v>1557</v>
      </c>
      <c r="D35" s="63"/>
      <c r="F35" s="63"/>
      <c r="G35" s="63"/>
      <c r="H35" s="63">
        <f t="shared" si="0"/>
        <v>6799.5999999999995</v>
      </c>
    </row>
    <row r="36" spans="1:8">
      <c r="H36" s="63">
        <f t="shared" si="0"/>
        <v>6799.5999999999995</v>
      </c>
    </row>
    <row r="38" spans="1:8">
      <c r="A38" s="100"/>
      <c r="F38" s="63"/>
      <c r="G38" s="63"/>
      <c r="H38" s="6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32"/>
  <sheetViews>
    <sheetView zoomScale="170" zoomScaleNormal="170" workbookViewId="0"/>
  </sheetViews>
  <sheetFormatPr defaultColWidth="8.5703125" defaultRowHeight="12.75"/>
  <cols>
    <col min="1" max="1" width="13.7109375" customWidth="1"/>
    <col min="2" max="2" width="37.7109375" customWidth="1"/>
    <col min="3" max="3" width="3.28515625" customWidth="1"/>
    <col min="4" max="4" width="10.5703125" customWidth="1"/>
    <col min="5" max="5" width="11.140625" customWidth="1"/>
    <col min="6" max="6" width="10.5703125" customWidth="1"/>
    <col min="7" max="8" width="11.140625" customWidth="1"/>
    <col min="9" max="9" width="12.28515625" customWidth="1"/>
    <col min="10" max="10" width="9.140625" customWidth="1"/>
  </cols>
  <sheetData>
    <row r="1" spans="1:9">
      <c r="B1" s="41">
        <v>5.46</v>
      </c>
      <c r="E1" s="189"/>
      <c r="F1" s="189" t="s">
        <v>28</v>
      </c>
      <c r="G1" s="189" t="s">
        <v>29</v>
      </c>
      <c r="H1" s="189" t="s">
        <v>3</v>
      </c>
    </row>
    <row r="2" spans="1:9">
      <c r="A2" s="3" t="s">
        <v>1558</v>
      </c>
      <c r="C2" s="79" t="s">
        <v>67</v>
      </c>
      <c r="D2" s="306">
        <f>SUM(D5:D61)</f>
        <v>36859.61</v>
      </c>
      <c r="E2" s="306">
        <f>SUM(E5:E61)</f>
        <v>-30109.3</v>
      </c>
      <c r="F2" s="306">
        <f>SUM(F5:F61)</f>
        <v>35859.61</v>
      </c>
      <c r="G2" s="306">
        <f>SUM(G5:G61)</f>
        <v>-30109.3</v>
      </c>
      <c r="H2" s="306">
        <f>F2+G2</f>
        <v>5750.3100000000013</v>
      </c>
    </row>
    <row r="3" spans="1:9">
      <c r="A3" s="100"/>
      <c r="B3" s="18"/>
      <c r="C3" s="3"/>
      <c r="D3" s="3"/>
      <c r="E3" s="163"/>
      <c r="F3" s="163"/>
      <c r="G3" s="163"/>
      <c r="H3" s="63"/>
      <c r="I3" s="3"/>
    </row>
    <row r="4" spans="1:9">
      <c r="A4" s="100"/>
      <c r="B4" s="3"/>
      <c r="C4" s="3"/>
      <c r="D4" s="3"/>
      <c r="E4" s="163"/>
      <c r="F4" s="163"/>
      <c r="G4" s="163"/>
      <c r="H4" s="63">
        <f t="shared" ref="H4:H32" si="0">H3+F4+G4</f>
        <v>0</v>
      </c>
      <c r="I4" s="3"/>
    </row>
    <row r="5" spans="1:9">
      <c r="A5" s="100">
        <v>44623</v>
      </c>
      <c r="B5" s="8" t="s">
        <v>1517</v>
      </c>
      <c r="C5" s="8" t="s">
        <v>1559</v>
      </c>
      <c r="D5" s="63">
        <v>375.6</v>
      </c>
      <c r="F5" s="63">
        <v>375.6</v>
      </c>
      <c r="G5" s="63"/>
      <c r="H5" s="63">
        <f t="shared" si="0"/>
        <v>375.6</v>
      </c>
    </row>
    <row r="6" spans="1:9">
      <c r="A6" s="100">
        <v>44623</v>
      </c>
      <c r="B6" s="8" t="s">
        <v>334</v>
      </c>
      <c r="C6" s="8" t="s">
        <v>1559</v>
      </c>
      <c r="D6" s="63">
        <v>1137.8800000000001</v>
      </c>
      <c r="F6" s="63">
        <v>1137.8800000000001</v>
      </c>
      <c r="G6" s="63"/>
      <c r="H6" s="63">
        <f t="shared" si="0"/>
        <v>1513.48</v>
      </c>
    </row>
    <row r="7" spans="1:9">
      <c r="A7" s="100">
        <v>44623</v>
      </c>
      <c r="B7" s="8" t="s">
        <v>1467</v>
      </c>
      <c r="C7" s="8" t="s">
        <v>1559</v>
      </c>
      <c r="D7" s="63">
        <v>256.45</v>
      </c>
      <c r="F7" s="63">
        <v>256.45</v>
      </c>
      <c r="G7" s="63"/>
      <c r="H7" s="63">
        <f t="shared" si="0"/>
        <v>1769.93</v>
      </c>
    </row>
    <row r="8" spans="1:9">
      <c r="A8" s="100">
        <v>44623</v>
      </c>
      <c r="B8" s="8" t="s">
        <v>338</v>
      </c>
      <c r="C8" s="8" t="s">
        <v>1559</v>
      </c>
      <c r="D8" s="63">
        <v>69.31</v>
      </c>
      <c r="F8" s="63">
        <v>69.31</v>
      </c>
      <c r="G8" s="63"/>
      <c r="H8" s="63">
        <f t="shared" si="0"/>
        <v>1839.24</v>
      </c>
    </row>
    <row r="9" spans="1:9">
      <c r="A9" s="100">
        <v>44631</v>
      </c>
      <c r="B9" s="106" t="s">
        <v>1338</v>
      </c>
      <c r="C9" s="106" t="s">
        <v>1560</v>
      </c>
      <c r="D9" s="106"/>
      <c r="E9" s="63">
        <v>-1608.4</v>
      </c>
      <c r="F9" s="63"/>
      <c r="G9" s="63">
        <v>-1608.4</v>
      </c>
      <c r="H9" s="63">
        <f t="shared" si="0"/>
        <v>230.83999999999992</v>
      </c>
    </row>
    <row r="10" spans="1:9">
      <c r="A10" s="100">
        <v>44624</v>
      </c>
      <c r="B10" s="101" t="s">
        <v>1331</v>
      </c>
      <c r="C10" s="101" t="s">
        <v>1560</v>
      </c>
      <c r="D10" s="101"/>
      <c r="E10" s="63">
        <v>-167</v>
      </c>
      <c r="F10" s="163"/>
      <c r="G10" s="163">
        <v>-167</v>
      </c>
      <c r="H10" s="63">
        <f t="shared" si="0"/>
        <v>63.839999999999918</v>
      </c>
      <c r="I10" s="3"/>
    </row>
    <row r="11" spans="1:9">
      <c r="A11" s="100"/>
      <c r="B11" s="101" t="s">
        <v>1332</v>
      </c>
      <c r="C11" s="101" t="s">
        <v>1560</v>
      </c>
      <c r="D11" s="101"/>
      <c r="E11" s="63">
        <v>-428</v>
      </c>
      <c r="F11" s="163"/>
      <c r="G11" s="163">
        <v>-428</v>
      </c>
      <c r="H11" s="63">
        <f t="shared" si="0"/>
        <v>-364.16000000000008</v>
      </c>
      <c r="I11" s="3"/>
    </row>
    <row r="12" spans="1:9">
      <c r="A12" s="100"/>
      <c r="B12" s="106"/>
      <c r="C12" s="106"/>
      <c r="D12" s="106"/>
      <c r="E12" s="63"/>
      <c r="F12" s="63"/>
      <c r="G12" s="63"/>
      <c r="H12" s="63">
        <f t="shared" si="0"/>
        <v>-364.16000000000008</v>
      </c>
    </row>
    <row r="13" spans="1:9">
      <c r="A13" s="100"/>
      <c r="B13" s="106" t="s">
        <v>1438</v>
      </c>
      <c r="C13" s="106" t="s">
        <v>1560</v>
      </c>
      <c r="E13" s="63">
        <v>-37.229999999999997</v>
      </c>
      <c r="F13" s="63"/>
      <c r="G13" s="63">
        <v>-37.229999999999997</v>
      </c>
      <c r="H13" s="63">
        <f t="shared" si="0"/>
        <v>-401.3900000000001</v>
      </c>
    </row>
    <row r="14" spans="1:9">
      <c r="A14" s="100"/>
      <c r="B14" s="106" t="s">
        <v>1451</v>
      </c>
      <c r="C14" s="106" t="s">
        <v>1560</v>
      </c>
      <c r="E14" s="63">
        <v>-632.91999999999996</v>
      </c>
      <c r="F14" s="63"/>
      <c r="G14" s="63">
        <v>-632.91999999999996</v>
      </c>
      <c r="H14" s="63">
        <f t="shared" si="0"/>
        <v>-1034.31</v>
      </c>
    </row>
    <row r="15" spans="1:9">
      <c r="A15" s="100"/>
      <c r="B15" s="101"/>
      <c r="C15" s="101"/>
      <c r="D15" s="101"/>
      <c r="E15" s="63"/>
      <c r="F15" s="163"/>
      <c r="G15" s="163"/>
      <c r="H15" s="63">
        <f t="shared" si="0"/>
        <v>-1034.31</v>
      </c>
      <c r="I15" s="3"/>
    </row>
    <row r="16" spans="1:9">
      <c r="A16" s="100"/>
      <c r="B16" s="106" t="s">
        <v>1561</v>
      </c>
      <c r="C16" s="106"/>
      <c r="D16" s="106"/>
      <c r="E16" s="63">
        <v>-50</v>
      </c>
      <c r="F16" s="163"/>
      <c r="G16" s="163"/>
      <c r="H16" s="63">
        <f t="shared" si="0"/>
        <v>-1034.31</v>
      </c>
      <c r="I16" s="3"/>
    </row>
    <row r="17" spans="1:9">
      <c r="A17" s="100"/>
      <c r="B17" s="106" t="s">
        <v>1562</v>
      </c>
      <c r="C17" s="106"/>
      <c r="D17" s="106"/>
      <c r="E17" s="63">
        <v>-21510.75</v>
      </c>
      <c r="F17" s="163"/>
      <c r="G17" s="163"/>
      <c r="H17" s="63">
        <f t="shared" si="0"/>
        <v>-1034.31</v>
      </c>
      <c r="I17" s="3"/>
    </row>
    <row r="18" spans="1:9">
      <c r="A18" s="100"/>
      <c r="B18" s="106" t="s">
        <v>1563</v>
      </c>
      <c r="C18" s="106"/>
      <c r="D18" s="106"/>
      <c r="E18" s="63">
        <v>-169</v>
      </c>
      <c r="F18" s="163"/>
      <c r="G18" s="163"/>
      <c r="H18" s="63">
        <f t="shared" si="0"/>
        <v>-1034.31</v>
      </c>
      <c r="I18" s="3"/>
    </row>
    <row r="19" spans="1:9">
      <c r="A19" s="100">
        <v>44627</v>
      </c>
      <c r="B19" s="381" t="s">
        <v>1458</v>
      </c>
      <c r="C19" s="381" t="s">
        <v>1560</v>
      </c>
      <c r="D19" s="381"/>
      <c r="E19" s="63"/>
      <c r="F19" s="163"/>
      <c r="G19" s="163">
        <v>-21729.75</v>
      </c>
      <c r="H19" s="63">
        <f t="shared" si="0"/>
        <v>-22764.06</v>
      </c>
      <c r="I19" s="3"/>
    </row>
    <row r="20" spans="1:9">
      <c r="A20" s="100"/>
      <c r="B20" s="106"/>
      <c r="C20" s="106"/>
      <c r="D20" s="106"/>
      <c r="E20" s="163"/>
      <c r="F20" s="163"/>
      <c r="G20" s="163"/>
      <c r="H20" s="63">
        <f t="shared" si="0"/>
        <v>-22764.06</v>
      </c>
      <c r="I20" s="3"/>
    </row>
    <row r="21" spans="1:9">
      <c r="A21" s="100">
        <v>44647</v>
      </c>
      <c r="B21" s="8" t="s">
        <v>77</v>
      </c>
      <c r="C21" s="8" t="s">
        <v>1560</v>
      </c>
      <c r="D21" s="63"/>
      <c r="E21" s="63">
        <v>-1503</v>
      </c>
      <c r="G21" s="63">
        <v>-1503</v>
      </c>
      <c r="H21" s="63">
        <f t="shared" si="0"/>
        <v>-24267.06</v>
      </c>
    </row>
    <row r="22" spans="1:9">
      <c r="A22" s="100">
        <v>44647</v>
      </c>
      <c r="B22" s="8" t="s">
        <v>78</v>
      </c>
      <c r="C22" s="8" t="s">
        <v>1560</v>
      </c>
      <c r="D22" s="63"/>
      <c r="E22" s="63">
        <v>-1503</v>
      </c>
      <c r="G22" s="63">
        <v>-1503</v>
      </c>
      <c r="H22" s="63">
        <f t="shared" si="0"/>
        <v>-25770.06</v>
      </c>
    </row>
    <row r="23" spans="1:9">
      <c r="A23" s="100">
        <v>44651</v>
      </c>
      <c r="B23" s="8" t="s">
        <v>1564</v>
      </c>
      <c r="C23" s="8" t="s">
        <v>1560</v>
      </c>
      <c r="D23" s="63"/>
      <c r="E23" s="63">
        <v>-1000</v>
      </c>
      <c r="G23" s="63">
        <v>-1000</v>
      </c>
      <c r="H23" s="63">
        <f t="shared" si="0"/>
        <v>-26770.06</v>
      </c>
    </row>
    <row r="24" spans="1:9">
      <c r="B24" t="s">
        <v>79</v>
      </c>
      <c r="E24" s="63">
        <v>-1500</v>
      </c>
      <c r="F24" s="63"/>
      <c r="G24" s="63">
        <v>-1500</v>
      </c>
      <c r="H24" s="63">
        <f t="shared" si="0"/>
        <v>-28270.06</v>
      </c>
    </row>
    <row r="25" spans="1:9">
      <c r="H25" s="63">
        <f t="shared" si="0"/>
        <v>-28270.06</v>
      </c>
    </row>
    <row r="26" spans="1:9">
      <c r="A26" s="100">
        <v>44647</v>
      </c>
      <c r="B26" s="8" t="s">
        <v>76</v>
      </c>
      <c r="C26" s="8" t="s">
        <v>1560</v>
      </c>
      <c r="D26" s="63">
        <v>3020.37</v>
      </c>
      <c r="E26" s="63"/>
      <c r="F26" s="63">
        <v>3020.37</v>
      </c>
      <c r="G26" s="63"/>
      <c r="H26" s="63">
        <f t="shared" si="0"/>
        <v>-25249.690000000002</v>
      </c>
    </row>
    <row r="27" spans="1:9">
      <c r="A27" s="100">
        <v>44642</v>
      </c>
      <c r="B27" s="8" t="s">
        <v>677</v>
      </c>
      <c r="D27" s="63">
        <v>1000</v>
      </c>
      <c r="F27" s="63">
        <v>0</v>
      </c>
      <c r="G27" s="63"/>
      <c r="H27" s="63">
        <f t="shared" si="0"/>
        <v>-25249.690000000002</v>
      </c>
    </row>
    <row r="28" spans="1:9">
      <c r="A28" s="100">
        <v>44648</v>
      </c>
      <c r="B28" s="8" t="s">
        <v>1565</v>
      </c>
      <c r="C28" s="63" t="s">
        <v>1559</v>
      </c>
      <c r="D28" s="63">
        <v>3000</v>
      </c>
      <c r="E28" s="63"/>
      <c r="F28" s="63">
        <v>3000</v>
      </c>
      <c r="G28" s="63"/>
      <c r="H28" s="63">
        <f t="shared" si="0"/>
        <v>-22249.690000000002</v>
      </c>
    </row>
    <row r="29" spans="1:9">
      <c r="H29" s="63">
        <f t="shared" si="0"/>
        <v>-22249.690000000002</v>
      </c>
    </row>
    <row r="30" spans="1:9">
      <c r="A30" s="100">
        <v>44650</v>
      </c>
      <c r="B30" s="8" t="s">
        <v>1566</v>
      </c>
      <c r="C30" s="63" t="s">
        <v>1559</v>
      </c>
      <c r="D30" s="63">
        <v>28000</v>
      </c>
      <c r="E30" s="63"/>
      <c r="F30" s="63">
        <v>28000</v>
      </c>
      <c r="H30" s="63">
        <f t="shared" si="0"/>
        <v>5750.3099999999977</v>
      </c>
    </row>
    <row r="31" spans="1:9">
      <c r="A31" s="100"/>
      <c r="B31" s="8" t="s">
        <v>1567</v>
      </c>
      <c r="C31" s="63"/>
      <c r="D31" s="63"/>
      <c r="E31" s="63"/>
      <c r="F31" s="63"/>
      <c r="H31" s="63">
        <f t="shared" si="0"/>
        <v>5750.3099999999977</v>
      </c>
    </row>
    <row r="32" spans="1:9">
      <c r="A32" s="100"/>
      <c r="B32" s="8" t="s">
        <v>1568</v>
      </c>
      <c r="C32" s="63"/>
      <c r="D32" s="63"/>
      <c r="E32" s="63"/>
      <c r="F32" s="63"/>
      <c r="H32" s="63">
        <f t="shared" si="0"/>
        <v>5750.3099999999977</v>
      </c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1E6A39"/>
  </sheetPr>
  <dimension ref="A1:H38"/>
  <sheetViews>
    <sheetView topLeftCell="A10" zoomScale="170" zoomScaleNormal="170" workbookViewId="0">
      <selection activeCell="D12" sqref="D12"/>
    </sheetView>
  </sheetViews>
  <sheetFormatPr defaultColWidth="8.5703125" defaultRowHeight="12.75"/>
  <cols>
    <col min="1" max="1" width="11.28515625" customWidth="1"/>
    <col min="2" max="2" width="35.85546875" customWidth="1"/>
    <col min="3" max="3" width="3.140625" customWidth="1"/>
    <col min="4" max="4" width="12.28515625" customWidth="1"/>
    <col min="5" max="5" width="12.85546875" customWidth="1"/>
    <col min="6" max="6" width="12.28515625" customWidth="1"/>
    <col min="7" max="7" width="12.85546875" customWidth="1"/>
    <col min="8" max="8" width="10.28515625" customWidth="1"/>
    <col min="9" max="9" width="9.140625" customWidth="1"/>
  </cols>
  <sheetData>
    <row r="1" spans="1:8">
      <c r="B1" s="41">
        <v>4.8099999999999996</v>
      </c>
      <c r="E1" s="189"/>
      <c r="F1" s="189" t="s">
        <v>28</v>
      </c>
      <c r="G1" s="189" t="s">
        <v>29</v>
      </c>
      <c r="H1" s="189" t="s">
        <v>3</v>
      </c>
    </row>
    <row r="2" spans="1:8">
      <c r="A2" s="3" t="s">
        <v>1569</v>
      </c>
      <c r="C2" s="79" t="s">
        <v>67</v>
      </c>
      <c r="D2" s="306">
        <f>SUM(D5:D63)</f>
        <v>10567.09</v>
      </c>
      <c r="E2" s="306">
        <f>SUM(E5:E63)</f>
        <v>-21938.15</v>
      </c>
      <c r="F2" s="306">
        <f>SUM(F5:F63)</f>
        <v>11567.09</v>
      </c>
      <c r="G2" s="306">
        <f>SUM(G5:G63)</f>
        <v>-21938.15</v>
      </c>
      <c r="H2" s="306">
        <f>F2+G2</f>
        <v>-10371.060000000001</v>
      </c>
    </row>
    <row r="3" spans="1:8">
      <c r="A3" s="100"/>
      <c r="B3" s="18"/>
      <c r="E3" s="63"/>
      <c r="F3" s="163"/>
      <c r="G3" s="163"/>
      <c r="H3" s="189"/>
    </row>
    <row r="4" spans="1:8">
      <c r="A4" s="100"/>
      <c r="B4" s="18"/>
      <c r="E4" s="63"/>
      <c r="F4" s="163"/>
      <c r="G4" s="163"/>
      <c r="H4" s="63">
        <f t="shared" ref="H4:H30" si="0">H3+F4+G4</f>
        <v>0</v>
      </c>
    </row>
    <row r="5" spans="1:8">
      <c r="A5" s="100">
        <v>44595</v>
      </c>
      <c r="B5" s="8" t="s">
        <v>1517</v>
      </c>
      <c r="D5" s="63">
        <v>508.99</v>
      </c>
      <c r="F5" s="63">
        <v>508.99</v>
      </c>
      <c r="G5" s="63"/>
      <c r="H5" s="63">
        <f t="shared" si="0"/>
        <v>508.99</v>
      </c>
    </row>
    <row r="6" spans="1:8">
      <c r="A6" s="100">
        <v>44595</v>
      </c>
      <c r="B6" s="8" t="s">
        <v>334</v>
      </c>
      <c r="D6" s="63">
        <v>1487.83</v>
      </c>
      <c r="F6" s="63">
        <v>1487.83</v>
      </c>
      <c r="G6" s="63"/>
      <c r="H6" s="63">
        <f t="shared" si="0"/>
        <v>1996.82</v>
      </c>
    </row>
    <row r="7" spans="1:8">
      <c r="A7" s="100">
        <v>44595</v>
      </c>
      <c r="B7" s="8" t="s">
        <v>1467</v>
      </c>
      <c r="D7" s="63">
        <v>489.66</v>
      </c>
      <c r="F7" s="63">
        <v>489.66</v>
      </c>
      <c r="G7" s="63"/>
      <c r="H7" s="63">
        <f t="shared" si="0"/>
        <v>2486.48</v>
      </c>
    </row>
    <row r="8" spans="1:8">
      <c r="A8" s="100">
        <v>44595</v>
      </c>
      <c r="B8" s="8" t="s">
        <v>338</v>
      </c>
      <c r="D8" s="63">
        <v>60.24</v>
      </c>
      <c r="F8" s="63">
        <v>60.24</v>
      </c>
      <c r="G8" s="63"/>
      <c r="H8" s="63">
        <f t="shared" si="0"/>
        <v>2546.7199999999998</v>
      </c>
    </row>
    <row r="9" spans="1:8">
      <c r="A9" s="100">
        <v>44606</v>
      </c>
      <c r="B9" s="106" t="s">
        <v>1338</v>
      </c>
      <c r="C9" s="106" t="s">
        <v>1560</v>
      </c>
      <c r="D9" s="106"/>
      <c r="E9" s="63">
        <v>-2319.48</v>
      </c>
      <c r="F9" s="63"/>
      <c r="G9" s="63">
        <v>-2319.48</v>
      </c>
      <c r="H9" s="63">
        <f t="shared" si="0"/>
        <v>227.23999999999978</v>
      </c>
    </row>
    <row r="10" spans="1:8">
      <c r="A10" s="100">
        <v>44595</v>
      </c>
      <c r="B10" s="101" t="s">
        <v>1331</v>
      </c>
      <c r="C10" s="101" t="s">
        <v>1560</v>
      </c>
      <c r="D10" s="101"/>
      <c r="E10" s="63">
        <v>-182.2</v>
      </c>
      <c r="F10" s="63"/>
      <c r="G10" s="63">
        <v>-182.2</v>
      </c>
      <c r="H10" s="63">
        <f t="shared" si="0"/>
        <v>45.039999999999793</v>
      </c>
    </row>
    <row r="11" spans="1:8">
      <c r="A11" s="100">
        <v>44595</v>
      </c>
      <c r="B11" s="101" t="s">
        <v>1332</v>
      </c>
      <c r="C11" s="101" t="s">
        <v>1560</v>
      </c>
      <c r="D11" s="101"/>
      <c r="E11" s="63">
        <v>-436.3</v>
      </c>
      <c r="F11" s="63"/>
      <c r="G11" s="63">
        <v>-436.3</v>
      </c>
      <c r="H11" s="63">
        <f t="shared" si="0"/>
        <v>-391.26000000000022</v>
      </c>
    </row>
    <row r="12" spans="1:8">
      <c r="A12" s="100"/>
      <c r="B12" s="101"/>
      <c r="C12" s="101"/>
      <c r="D12" s="101"/>
      <c r="E12" s="63"/>
      <c r="F12" s="63"/>
      <c r="G12" s="63"/>
      <c r="H12" s="63">
        <f t="shared" si="0"/>
        <v>-391.26000000000022</v>
      </c>
    </row>
    <row r="13" spans="1:8">
      <c r="A13" s="100">
        <v>44610</v>
      </c>
      <c r="B13" s="106" t="s">
        <v>1438</v>
      </c>
      <c r="C13" s="106" t="s">
        <v>1560</v>
      </c>
      <c r="D13" s="106"/>
      <c r="E13" s="63">
        <v>-44.38</v>
      </c>
      <c r="F13" s="63"/>
      <c r="G13" s="63">
        <v>-44.38</v>
      </c>
      <c r="H13" s="63">
        <f t="shared" si="0"/>
        <v>-435.64000000000021</v>
      </c>
    </row>
    <row r="14" spans="1:8">
      <c r="A14" s="100">
        <v>44610</v>
      </c>
      <c r="B14" s="106" t="s">
        <v>1451</v>
      </c>
      <c r="C14" s="106" t="s">
        <v>1560</v>
      </c>
      <c r="D14" s="106"/>
      <c r="E14" s="63">
        <v>-1078.07</v>
      </c>
      <c r="F14" s="63"/>
      <c r="G14" s="63">
        <v>-1078.07</v>
      </c>
      <c r="H14" s="63">
        <f t="shared" si="0"/>
        <v>-1513.71</v>
      </c>
    </row>
    <row r="15" spans="1:8">
      <c r="A15" s="100"/>
      <c r="B15" s="106"/>
      <c r="C15" s="106"/>
      <c r="D15" s="106"/>
      <c r="E15" s="63"/>
      <c r="F15" s="63"/>
      <c r="G15" s="63"/>
      <c r="H15" s="63">
        <f t="shared" si="0"/>
        <v>-1513.71</v>
      </c>
    </row>
    <row r="16" spans="1:8">
      <c r="A16" s="100">
        <v>44596</v>
      </c>
      <c r="B16" s="381" t="s">
        <v>1458</v>
      </c>
      <c r="C16" s="381" t="s">
        <v>1560</v>
      </c>
      <c r="D16" s="381"/>
      <c r="E16" s="63"/>
      <c r="F16" s="63"/>
      <c r="G16" s="63">
        <v>-5577.72</v>
      </c>
      <c r="H16" s="63">
        <f t="shared" si="0"/>
        <v>-7091.43</v>
      </c>
    </row>
    <row r="17" spans="1:8">
      <c r="A17" s="100"/>
      <c r="B17" s="106" t="s">
        <v>1561</v>
      </c>
      <c r="C17" s="106"/>
      <c r="D17" s="106"/>
      <c r="E17" s="63">
        <v>-15</v>
      </c>
      <c r="F17" s="63"/>
      <c r="G17" s="63"/>
      <c r="H17" s="63">
        <f t="shared" si="0"/>
        <v>-7091.43</v>
      </c>
    </row>
    <row r="18" spans="1:8">
      <c r="A18" s="100"/>
      <c r="B18" s="106" t="s">
        <v>1570</v>
      </c>
      <c r="C18" s="106"/>
      <c r="D18" s="106"/>
      <c r="E18" s="63">
        <v>-5254.4</v>
      </c>
      <c r="F18" s="63"/>
      <c r="G18" s="63"/>
      <c r="H18" s="63">
        <f t="shared" si="0"/>
        <v>-7091.43</v>
      </c>
    </row>
    <row r="19" spans="1:8">
      <c r="A19" s="100"/>
      <c r="B19" s="106" t="s">
        <v>1571</v>
      </c>
      <c r="C19" s="106"/>
      <c r="D19" s="106"/>
      <c r="E19" s="63">
        <v>-308.32</v>
      </c>
      <c r="F19" s="63"/>
      <c r="G19" s="63"/>
      <c r="H19" s="63">
        <f t="shared" si="0"/>
        <v>-7091.43</v>
      </c>
    </row>
    <row r="20" spans="1:8">
      <c r="A20" s="100"/>
      <c r="B20" s="106"/>
      <c r="C20" s="106"/>
      <c r="D20" s="106"/>
      <c r="E20" s="63"/>
      <c r="F20" s="63"/>
      <c r="G20" s="63"/>
      <c r="H20" s="63">
        <f t="shared" si="0"/>
        <v>-7091.43</v>
      </c>
    </row>
    <row r="21" spans="1:8">
      <c r="A21" s="100">
        <v>44619</v>
      </c>
      <c r="B21" s="8" t="s">
        <v>77</v>
      </c>
      <c r="C21" s="8" t="s">
        <v>1493</v>
      </c>
      <c r="E21" s="63">
        <v>-1500</v>
      </c>
      <c r="F21" s="63"/>
      <c r="G21" s="63">
        <v>-1500</v>
      </c>
      <c r="H21" s="63">
        <f t="shared" si="0"/>
        <v>-8591.43</v>
      </c>
    </row>
    <row r="22" spans="1:8">
      <c r="A22" s="100">
        <v>44619</v>
      </c>
      <c r="B22" s="8" t="s">
        <v>1572</v>
      </c>
      <c r="C22" s="8" t="s">
        <v>1573</v>
      </c>
      <c r="E22" s="63"/>
      <c r="F22" s="63"/>
      <c r="G22" s="63"/>
      <c r="H22" s="63">
        <f t="shared" si="0"/>
        <v>-8591.43</v>
      </c>
    </row>
    <row r="23" spans="1:8">
      <c r="A23" s="100">
        <v>44619</v>
      </c>
      <c r="B23" s="8" t="s">
        <v>78</v>
      </c>
      <c r="C23" s="8" t="s">
        <v>1493</v>
      </c>
      <c r="E23" s="63">
        <v>-1400</v>
      </c>
      <c r="F23" s="63"/>
      <c r="G23" s="63">
        <v>-1400</v>
      </c>
      <c r="H23" s="63">
        <f t="shared" si="0"/>
        <v>-9991.43</v>
      </c>
    </row>
    <row r="24" spans="1:8">
      <c r="A24" s="100"/>
      <c r="B24" s="8" t="s">
        <v>1574</v>
      </c>
      <c r="C24" s="8" t="s">
        <v>1493</v>
      </c>
      <c r="E24" s="63">
        <v>-7900</v>
      </c>
      <c r="F24" s="63"/>
      <c r="G24" s="63">
        <v>-7900</v>
      </c>
      <c r="H24" s="63">
        <f t="shared" si="0"/>
        <v>-17891.43</v>
      </c>
    </row>
    <row r="25" spans="1:8">
      <c r="A25" s="100"/>
      <c r="B25" s="8" t="s">
        <v>79</v>
      </c>
      <c r="E25" s="63">
        <v>-1500</v>
      </c>
      <c r="F25" s="63"/>
      <c r="G25" s="63">
        <v>-1500</v>
      </c>
      <c r="H25" s="63">
        <f t="shared" si="0"/>
        <v>-19391.43</v>
      </c>
    </row>
    <row r="26" spans="1:8">
      <c r="H26" s="63">
        <f t="shared" si="0"/>
        <v>-19391.43</v>
      </c>
    </row>
    <row r="27" spans="1:8">
      <c r="A27" s="100">
        <v>44619</v>
      </c>
      <c r="B27" s="8" t="s">
        <v>76</v>
      </c>
      <c r="D27" s="63">
        <v>3020.37</v>
      </c>
      <c r="F27" s="63">
        <v>3020.37</v>
      </c>
      <c r="G27" s="63"/>
      <c r="H27" s="63">
        <f t="shared" si="0"/>
        <v>-16371.060000000001</v>
      </c>
    </row>
    <row r="28" spans="1:8">
      <c r="A28" s="100">
        <v>44614</v>
      </c>
      <c r="B28" s="8" t="s">
        <v>1575</v>
      </c>
      <c r="C28" s="8" t="s">
        <v>1560</v>
      </c>
      <c r="D28" s="63">
        <v>2000</v>
      </c>
      <c r="F28" s="63">
        <v>2500</v>
      </c>
      <c r="G28" s="63"/>
      <c r="H28" s="63">
        <f t="shared" si="0"/>
        <v>-13871.060000000001</v>
      </c>
    </row>
    <row r="29" spans="1:8">
      <c r="A29" s="100">
        <v>44614</v>
      </c>
      <c r="B29" s="8" t="s">
        <v>1575</v>
      </c>
      <c r="C29" s="8" t="s">
        <v>1560</v>
      </c>
      <c r="D29" s="63"/>
      <c r="F29" s="63">
        <v>500</v>
      </c>
      <c r="G29" s="63"/>
      <c r="H29" s="63">
        <f t="shared" si="0"/>
        <v>-13371.060000000001</v>
      </c>
    </row>
    <row r="30" spans="1:8">
      <c r="A30" s="100">
        <v>44620</v>
      </c>
      <c r="B30" s="8" t="s">
        <v>1576</v>
      </c>
      <c r="D30" s="63">
        <v>3000</v>
      </c>
      <c r="F30" s="63">
        <v>3000</v>
      </c>
      <c r="G30" s="63"/>
      <c r="H30" s="63">
        <f t="shared" si="0"/>
        <v>-10371.060000000001</v>
      </c>
    </row>
    <row r="37" spans="1:8">
      <c r="A37" s="100"/>
      <c r="E37" s="63"/>
      <c r="F37" s="63"/>
      <c r="G37" s="63"/>
      <c r="H37" s="63"/>
    </row>
    <row r="38" spans="1:8">
      <c r="A38" s="100"/>
      <c r="E38" s="63"/>
      <c r="F38" s="163"/>
      <c r="G38" s="163"/>
      <c r="H38" s="6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290"/>
  <sheetViews>
    <sheetView zoomScale="170" zoomScaleNormal="170" workbookViewId="0"/>
  </sheetViews>
  <sheetFormatPr defaultColWidth="8.5703125" defaultRowHeight="12.75"/>
  <cols>
    <col min="1" max="1" width="11.42578125" customWidth="1"/>
    <col min="2" max="2" width="35.85546875" customWidth="1"/>
    <col min="3" max="3" width="3.140625" customWidth="1"/>
    <col min="4" max="4" width="10.42578125" customWidth="1"/>
    <col min="5" max="5" width="9.42578125" style="63" customWidth="1"/>
    <col min="6" max="8" width="11.140625" style="63" customWidth="1"/>
    <col min="9" max="9" width="12.28515625" customWidth="1"/>
    <col min="10" max="10" width="9.140625" customWidth="1"/>
  </cols>
  <sheetData>
    <row r="1" spans="1:8">
      <c r="B1" s="41">
        <v>11.1</v>
      </c>
      <c r="E1" s="189"/>
      <c r="F1" s="189" t="s">
        <v>28</v>
      </c>
      <c r="G1" s="189" t="s">
        <v>29</v>
      </c>
      <c r="H1" s="189" t="s">
        <v>3</v>
      </c>
    </row>
    <row r="2" spans="1:8">
      <c r="A2" s="245" t="s">
        <v>1577</v>
      </c>
      <c r="C2" s="79" t="s">
        <v>67</v>
      </c>
      <c r="D2" s="306">
        <f>SUM(D3:D57)</f>
        <v>7333.3</v>
      </c>
      <c r="E2" s="306">
        <f>SUM(E3:E57)</f>
        <v>-6834.05</v>
      </c>
      <c r="F2" s="306">
        <f>SUM(F3:F57)</f>
        <v>46462.64</v>
      </c>
      <c r="G2" s="306">
        <f>SUM(G3:G57)</f>
        <v>-6834.05</v>
      </c>
      <c r="H2" s="306">
        <f>F2+G2</f>
        <v>39628.589999999997</v>
      </c>
    </row>
    <row r="3" spans="1:8">
      <c r="A3" s="100"/>
      <c r="B3" s="18" t="s">
        <v>1578</v>
      </c>
      <c r="F3" s="63">
        <v>40129.339999999997</v>
      </c>
      <c r="H3" s="63">
        <f>F3+G3</f>
        <v>40129.339999999997</v>
      </c>
    </row>
    <row r="4" spans="1:8">
      <c r="A4" s="100"/>
      <c r="H4" s="63">
        <f t="shared" ref="H4:H25" si="0">H3+F4+G4</f>
        <v>40129.339999999997</v>
      </c>
    </row>
    <row r="5" spans="1:8">
      <c r="A5" s="100">
        <v>44564</v>
      </c>
      <c r="B5" s="8" t="s">
        <v>1517</v>
      </c>
      <c r="C5" s="8" t="s">
        <v>1559</v>
      </c>
      <c r="D5" s="63">
        <v>298.99</v>
      </c>
      <c r="F5" s="63">
        <v>298.99</v>
      </c>
      <c r="H5" s="63">
        <f t="shared" si="0"/>
        <v>40428.329999999994</v>
      </c>
    </row>
    <row r="6" spans="1:8">
      <c r="A6" s="100">
        <v>44564</v>
      </c>
      <c r="B6" s="8" t="s">
        <v>334</v>
      </c>
      <c r="C6" s="8" t="s">
        <v>1559</v>
      </c>
      <c r="D6" s="63">
        <v>630.74</v>
      </c>
      <c r="F6" s="63">
        <v>630.74</v>
      </c>
      <c r="H6" s="63">
        <f t="shared" si="0"/>
        <v>41059.069999999992</v>
      </c>
    </row>
    <row r="7" spans="1:8">
      <c r="A7" s="100">
        <v>44564</v>
      </c>
      <c r="B7" s="8" t="s">
        <v>1467</v>
      </c>
      <c r="C7" s="8" t="s">
        <v>1559</v>
      </c>
      <c r="D7" s="63">
        <v>230.29</v>
      </c>
      <c r="F7" s="63">
        <v>230.29</v>
      </c>
      <c r="H7" s="63">
        <f t="shared" si="0"/>
        <v>41289.359999999993</v>
      </c>
    </row>
    <row r="8" spans="1:8">
      <c r="A8" s="100">
        <v>44564</v>
      </c>
      <c r="B8" s="8" t="s">
        <v>338</v>
      </c>
      <c r="C8" s="8" t="s">
        <v>1559</v>
      </c>
      <c r="D8" s="63">
        <v>152.91</v>
      </c>
      <c r="F8" s="63">
        <v>152.91</v>
      </c>
      <c r="H8" s="63">
        <f t="shared" si="0"/>
        <v>41442.269999999997</v>
      </c>
    </row>
    <row r="9" spans="1:8">
      <c r="A9" s="100">
        <v>44574</v>
      </c>
      <c r="B9" s="106" t="s">
        <v>1338</v>
      </c>
      <c r="C9" s="106" t="s">
        <v>1560</v>
      </c>
      <c r="D9" s="106"/>
      <c r="E9" s="63">
        <v>-1250.4000000000001</v>
      </c>
      <c r="G9" s="63">
        <v>-1250.4000000000001</v>
      </c>
      <c r="H9" s="63">
        <f t="shared" si="0"/>
        <v>40191.869999999995</v>
      </c>
    </row>
    <row r="10" spans="1:8">
      <c r="A10" s="100">
        <v>44564</v>
      </c>
      <c r="B10" s="101" t="s">
        <v>1331</v>
      </c>
      <c r="C10" s="101" t="s">
        <v>1560</v>
      </c>
      <c r="D10" s="101"/>
      <c r="E10" s="189">
        <v>-130.30000000000001</v>
      </c>
      <c r="F10" s="189"/>
      <c r="G10" s="189">
        <v>-130.30000000000001</v>
      </c>
      <c r="H10" s="63">
        <f t="shared" si="0"/>
        <v>40061.569999999992</v>
      </c>
    </row>
    <row r="11" spans="1:8">
      <c r="A11" s="100">
        <v>44564</v>
      </c>
      <c r="B11" s="101" t="s">
        <v>1332</v>
      </c>
      <c r="C11" s="101" t="s">
        <v>1560</v>
      </c>
      <c r="D11" s="101"/>
      <c r="E11" s="189">
        <v>-255.4</v>
      </c>
      <c r="F11" s="189"/>
      <c r="G11" s="189">
        <v>-255.4</v>
      </c>
      <c r="H11" s="63">
        <f t="shared" si="0"/>
        <v>39806.169999999991</v>
      </c>
    </row>
    <row r="12" spans="1:8">
      <c r="A12" s="100"/>
      <c r="B12" s="106"/>
      <c r="C12" s="106"/>
      <c r="D12" s="106"/>
      <c r="H12" s="63">
        <f t="shared" si="0"/>
        <v>39806.169999999991</v>
      </c>
    </row>
    <row r="13" spans="1:8">
      <c r="A13" s="100">
        <v>44578</v>
      </c>
      <c r="B13" s="106" t="s">
        <v>1438</v>
      </c>
      <c r="C13" s="106" t="s">
        <v>1560</v>
      </c>
      <c r="D13" s="106"/>
      <c r="E13" s="63">
        <v>-37.869999999999997</v>
      </c>
      <c r="G13" s="63">
        <v>-37.869999999999997</v>
      </c>
      <c r="H13" s="63">
        <f t="shared" si="0"/>
        <v>39768.299999999988</v>
      </c>
    </row>
    <row r="14" spans="1:8">
      <c r="A14" s="100">
        <v>44578</v>
      </c>
      <c r="B14" s="106" t="s">
        <v>1451</v>
      </c>
      <c r="C14" s="106" t="s">
        <v>1560</v>
      </c>
      <c r="D14" s="106"/>
      <c r="E14" s="63">
        <v>-608.08000000000004</v>
      </c>
      <c r="G14" s="63">
        <v>-608.08000000000004</v>
      </c>
      <c r="H14" s="63">
        <f t="shared" si="0"/>
        <v>39160.219999999987</v>
      </c>
    </row>
    <row r="15" spans="1:8">
      <c r="A15" s="100"/>
      <c r="B15" s="106"/>
      <c r="C15" s="106"/>
      <c r="D15" s="106"/>
      <c r="H15" s="63">
        <f t="shared" si="0"/>
        <v>39160.219999999987</v>
      </c>
    </row>
    <row r="16" spans="1:8">
      <c r="A16" s="100"/>
      <c r="B16" s="106" t="s">
        <v>1561</v>
      </c>
      <c r="C16" s="106"/>
      <c r="D16" s="106"/>
      <c r="E16" s="189">
        <v>-50</v>
      </c>
      <c r="F16" s="189"/>
      <c r="G16" s="189"/>
      <c r="H16" s="63">
        <f t="shared" si="0"/>
        <v>39160.219999999987</v>
      </c>
    </row>
    <row r="17" spans="1:8">
      <c r="A17" s="100">
        <v>44565</v>
      </c>
      <c r="B17" s="381" t="s">
        <v>1458</v>
      </c>
      <c r="C17" s="381" t="s">
        <v>1560</v>
      </c>
      <c r="D17" s="381"/>
      <c r="E17" s="189"/>
      <c r="F17" s="189"/>
      <c r="G17" s="189">
        <v>-50</v>
      </c>
      <c r="H17" s="63">
        <f t="shared" si="0"/>
        <v>39110.219999999987</v>
      </c>
    </row>
    <row r="18" spans="1:8">
      <c r="A18" s="100"/>
      <c r="B18" s="106"/>
      <c r="C18" s="106"/>
      <c r="D18" s="106"/>
      <c r="E18" s="189"/>
      <c r="F18" s="189"/>
      <c r="G18" s="189"/>
      <c r="H18" s="63">
        <f t="shared" si="0"/>
        <v>39110.219999999987</v>
      </c>
    </row>
    <row r="19" spans="1:8">
      <c r="A19" s="100">
        <v>44588</v>
      </c>
      <c r="B19" s="8" t="s">
        <v>77</v>
      </c>
      <c r="C19" s="8" t="s">
        <v>1493</v>
      </c>
      <c r="E19" s="63">
        <v>-1501</v>
      </c>
      <c r="G19" s="63">
        <v>-1501</v>
      </c>
      <c r="H19" s="63">
        <f t="shared" si="0"/>
        <v>37609.219999999987</v>
      </c>
    </row>
    <row r="20" spans="1:8">
      <c r="A20" s="100">
        <v>44588</v>
      </c>
      <c r="B20" s="8" t="s">
        <v>78</v>
      </c>
      <c r="C20" s="8" t="s">
        <v>1493</v>
      </c>
      <c r="E20" s="63">
        <v>-1501</v>
      </c>
      <c r="G20" s="63">
        <v>-1501</v>
      </c>
      <c r="H20" s="63">
        <f t="shared" si="0"/>
        <v>36108.219999999987</v>
      </c>
    </row>
    <row r="21" spans="1:8">
      <c r="A21" s="100">
        <v>44591</v>
      </c>
      <c r="B21" s="8" t="s">
        <v>79</v>
      </c>
      <c r="E21" s="63">
        <v>-1500</v>
      </c>
      <c r="G21" s="63">
        <v>-1500</v>
      </c>
      <c r="H21" s="63">
        <f t="shared" si="0"/>
        <v>34608.219999999987</v>
      </c>
    </row>
    <row r="22" spans="1:8">
      <c r="A22" s="100"/>
      <c r="B22" s="106"/>
      <c r="C22" s="106"/>
      <c r="D22" s="106"/>
      <c r="E22" s="189"/>
      <c r="F22" s="189"/>
      <c r="G22" s="189"/>
      <c r="H22" s="63">
        <f t="shared" si="0"/>
        <v>34608.219999999987</v>
      </c>
    </row>
    <row r="23" spans="1:8">
      <c r="A23" s="100">
        <v>44588</v>
      </c>
      <c r="B23" s="8" t="s">
        <v>76</v>
      </c>
      <c r="C23" s="8" t="s">
        <v>1560</v>
      </c>
      <c r="D23" s="63">
        <v>3020.37</v>
      </c>
      <c r="F23" s="63">
        <v>3020.37</v>
      </c>
      <c r="H23" s="63">
        <f t="shared" si="0"/>
        <v>37628.589999999989</v>
      </c>
    </row>
    <row r="24" spans="1:8">
      <c r="A24" s="100">
        <v>44583</v>
      </c>
      <c r="B24" s="8" t="s">
        <v>677</v>
      </c>
      <c r="D24" s="63">
        <v>1000</v>
      </c>
      <c r="F24" s="63">
        <v>0</v>
      </c>
      <c r="H24" s="63">
        <f t="shared" si="0"/>
        <v>37628.589999999989</v>
      </c>
    </row>
    <row r="25" spans="1:8">
      <c r="A25" s="100">
        <v>44591</v>
      </c>
      <c r="B25" s="8" t="s">
        <v>1579</v>
      </c>
      <c r="C25" s="8" t="s">
        <v>1559</v>
      </c>
      <c r="D25" s="63">
        <v>2000</v>
      </c>
      <c r="F25" s="63">
        <v>2000</v>
      </c>
      <c r="H25" s="63">
        <f t="shared" si="0"/>
        <v>39628.589999999989</v>
      </c>
    </row>
    <row r="29" spans="1:8">
      <c r="A29" s="100"/>
    </row>
    <row r="30" spans="1:8">
      <c r="A30" s="100"/>
    </row>
    <row r="31" spans="1:8">
      <c r="A31" s="100"/>
    </row>
    <row r="32" spans="1:8">
      <c r="A32" s="100"/>
      <c r="E32" s="189"/>
      <c r="F32" s="189"/>
      <c r="G32" s="189"/>
      <c r="H32" s="189"/>
    </row>
    <row r="54" spans="1:9">
      <c r="I54" s="3"/>
    </row>
    <row r="55" spans="1:9">
      <c r="A55" s="100"/>
      <c r="E55" s="163"/>
      <c r="F55" s="163"/>
      <c r="G55" s="163"/>
      <c r="I55" s="3"/>
    </row>
    <row r="75" spans="1:7">
      <c r="A75" s="100"/>
    </row>
    <row r="76" spans="1:7">
      <c r="A76" s="100"/>
    </row>
    <row r="77" spans="1:7">
      <c r="A77" s="100"/>
      <c r="E77" s="163"/>
      <c r="F77" s="163"/>
      <c r="G77" s="163"/>
    </row>
    <row r="78" spans="1:7">
      <c r="A78" s="100"/>
    </row>
    <row r="100" spans="1:7">
      <c r="A100" s="100"/>
      <c r="E100" s="163"/>
      <c r="F100" s="163"/>
      <c r="G100" s="163"/>
    </row>
    <row r="101" spans="1:7">
      <c r="A101" s="100"/>
      <c r="B101" s="3"/>
      <c r="C101" s="3"/>
      <c r="D101" s="3"/>
    </row>
    <row r="102" spans="1:7">
      <c r="A102" s="100"/>
      <c r="B102" s="101"/>
      <c r="C102" s="101"/>
      <c r="D102" s="101"/>
      <c r="E102" s="163"/>
      <c r="F102" s="163"/>
    </row>
    <row r="103" spans="1:7">
      <c r="A103" s="100"/>
      <c r="B103" s="101"/>
      <c r="C103" s="101"/>
      <c r="D103" s="101"/>
      <c r="E103" s="163"/>
      <c r="F103" s="163"/>
    </row>
    <row r="104" spans="1:7">
      <c r="A104" s="100"/>
      <c r="B104" s="106"/>
      <c r="C104" s="106"/>
      <c r="D104" s="106"/>
      <c r="E104" s="163"/>
      <c r="F104" s="163"/>
    </row>
    <row r="105" spans="1:7">
      <c r="A105" s="100"/>
    </row>
    <row r="106" spans="1:7">
      <c r="A106" s="100"/>
    </row>
    <row r="107" spans="1:7">
      <c r="A107" s="100"/>
    </row>
    <row r="108" spans="1:7">
      <c r="A108" s="100"/>
    </row>
    <row r="109" spans="1:7">
      <c r="A109" s="100"/>
    </row>
    <row r="110" spans="1:7">
      <c r="A110" s="100"/>
      <c r="B110" s="106"/>
      <c r="C110" s="106"/>
      <c r="D110" s="106"/>
    </row>
    <row r="111" spans="1:7">
      <c r="A111" s="100"/>
      <c r="B111" s="106"/>
      <c r="C111" s="106"/>
      <c r="D111" s="106"/>
    </row>
    <row r="112" spans="1:7">
      <c r="A112" s="100"/>
      <c r="B112" s="106"/>
      <c r="C112" s="106"/>
      <c r="D112" s="106"/>
    </row>
    <row r="113" spans="1:7">
      <c r="A113" s="100"/>
    </row>
    <row r="114" spans="1:7">
      <c r="A114" s="100"/>
    </row>
    <row r="115" spans="1:7">
      <c r="A115" s="100"/>
    </row>
    <row r="116" spans="1:7">
      <c r="A116" s="100"/>
    </row>
    <row r="117" spans="1:7">
      <c r="A117" s="100"/>
    </row>
    <row r="118" spans="1:7">
      <c r="A118" s="100"/>
    </row>
    <row r="119" spans="1:7">
      <c r="A119" s="100"/>
    </row>
    <row r="120" spans="1:7">
      <c r="A120" s="100"/>
    </row>
    <row r="121" spans="1:7">
      <c r="A121" s="100"/>
    </row>
    <row r="122" spans="1:7">
      <c r="A122" s="100"/>
      <c r="E122" s="163"/>
      <c r="F122" s="163"/>
      <c r="G122" s="163"/>
    </row>
    <row r="123" spans="1:7">
      <c r="A123" s="100"/>
    </row>
    <row r="124" spans="1:7">
      <c r="A124" s="100"/>
    </row>
    <row r="125" spans="1:7">
      <c r="A125" s="100"/>
    </row>
    <row r="126" spans="1:7">
      <c r="A126" s="100"/>
    </row>
    <row r="127" spans="1:7">
      <c r="A127" s="100"/>
    </row>
    <row r="128" spans="1:7">
      <c r="A128" s="100"/>
    </row>
    <row r="129" spans="1:1">
      <c r="A129" s="100"/>
    </row>
    <row r="130" spans="1:1">
      <c r="A130" s="100"/>
    </row>
    <row r="131" spans="1:1">
      <c r="A131" s="100"/>
    </row>
    <row r="132" spans="1:1">
      <c r="A132" s="100"/>
    </row>
    <row r="133" spans="1:1">
      <c r="A133" s="100"/>
    </row>
    <row r="134" spans="1:1">
      <c r="A134" s="100"/>
    </row>
    <row r="135" spans="1:1">
      <c r="A135" s="100"/>
    </row>
    <row r="136" spans="1:1">
      <c r="A136" s="100"/>
    </row>
    <row r="137" spans="1:1">
      <c r="A137" s="100"/>
    </row>
    <row r="138" spans="1:1">
      <c r="A138" s="100"/>
    </row>
    <row r="139" spans="1:1">
      <c r="A139" s="100"/>
    </row>
    <row r="140" spans="1:1">
      <c r="A140" s="100"/>
    </row>
    <row r="141" spans="1:1">
      <c r="A141" s="100"/>
    </row>
    <row r="142" spans="1:1">
      <c r="A142" s="100"/>
    </row>
    <row r="143" spans="1:1">
      <c r="A143" s="100"/>
    </row>
    <row r="144" spans="1:1">
      <c r="A144" s="100"/>
    </row>
    <row r="145" spans="1:7">
      <c r="A145" s="100"/>
      <c r="E145" s="163"/>
      <c r="F145" s="163"/>
      <c r="G145" s="163"/>
    </row>
    <row r="146" spans="1:7">
      <c r="A146" s="100"/>
      <c r="B146" s="3"/>
      <c r="C146" s="3"/>
      <c r="D146" s="3"/>
    </row>
    <row r="147" spans="1:7">
      <c r="A147" s="100"/>
      <c r="B147" s="3"/>
      <c r="C147" s="3"/>
      <c r="D147" s="3"/>
    </row>
    <row r="148" spans="1:7">
      <c r="A148" s="100"/>
      <c r="B148" s="101"/>
      <c r="C148" s="101"/>
      <c r="D148" s="101"/>
      <c r="E148" s="163"/>
      <c r="F148" s="163"/>
    </row>
    <row r="149" spans="1:7">
      <c r="A149" s="100"/>
      <c r="B149" s="101"/>
      <c r="C149" s="101"/>
      <c r="D149" s="101"/>
      <c r="E149" s="163"/>
      <c r="F149" s="163"/>
    </row>
    <row r="150" spans="1:7">
      <c r="A150" s="100"/>
      <c r="B150" s="106"/>
      <c r="C150" s="106"/>
      <c r="D150" s="106"/>
      <c r="E150" s="163"/>
      <c r="F150" s="163"/>
    </row>
    <row r="151" spans="1:7">
      <c r="A151" s="100"/>
    </row>
    <row r="152" spans="1:7">
      <c r="A152" s="100"/>
    </row>
    <row r="153" spans="1:7">
      <c r="A153" s="100"/>
    </row>
    <row r="154" spans="1:7">
      <c r="A154" s="100"/>
    </row>
    <row r="155" spans="1:7">
      <c r="A155" s="100"/>
    </row>
    <row r="156" spans="1:7">
      <c r="A156" s="100"/>
      <c r="B156" s="106"/>
      <c r="C156" s="106"/>
      <c r="D156" s="106"/>
    </row>
    <row r="157" spans="1:7">
      <c r="A157" s="100"/>
      <c r="B157" s="106"/>
      <c r="C157" s="106"/>
      <c r="D157" s="106"/>
    </row>
    <row r="158" spans="1:7">
      <c r="A158" s="100"/>
      <c r="B158" s="106"/>
      <c r="C158" s="106"/>
      <c r="D158" s="106"/>
    </row>
    <row r="159" spans="1:7">
      <c r="A159" s="100"/>
    </row>
    <row r="160" spans="1:7">
      <c r="A160" s="100"/>
    </row>
    <row r="161" spans="1:7">
      <c r="A161" s="100"/>
    </row>
    <row r="162" spans="1:7">
      <c r="A162" s="100"/>
    </row>
    <row r="163" spans="1:7">
      <c r="A163" s="100"/>
    </row>
    <row r="164" spans="1:7">
      <c r="A164" s="100"/>
    </row>
    <row r="165" spans="1:7">
      <c r="A165" s="100"/>
    </row>
    <row r="166" spans="1:7">
      <c r="A166" s="100"/>
    </row>
    <row r="167" spans="1:7">
      <c r="A167" s="100"/>
    </row>
    <row r="168" spans="1:7">
      <c r="A168" s="100"/>
      <c r="E168" s="163"/>
      <c r="F168" s="163"/>
      <c r="G168" s="163"/>
    </row>
    <row r="169" spans="1:7">
      <c r="A169" s="100"/>
      <c r="B169" s="3"/>
      <c r="C169" s="3"/>
      <c r="D169" s="3"/>
    </row>
    <row r="170" spans="1:7">
      <c r="B170" s="3"/>
      <c r="C170" s="3"/>
      <c r="D170" s="3"/>
    </row>
    <row r="171" spans="1:7">
      <c r="A171" s="100"/>
      <c r="B171" s="101"/>
      <c r="C171" s="101"/>
      <c r="D171" s="101"/>
      <c r="E171" s="163"/>
      <c r="F171" s="163"/>
    </row>
    <row r="172" spans="1:7">
      <c r="A172" s="100"/>
      <c r="B172" s="101"/>
      <c r="C172" s="101"/>
      <c r="D172" s="101"/>
      <c r="E172" s="163"/>
      <c r="F172" s="163"/>
    </row>
    <row r="173" spans="1:7">
      <c r="A173" s="100"/>
      <c r="B173" s="106"/>
      <c r="C173" s="106"/>
      <c r="D173" s="106"/>
      <c r="E173" s="163"/>
      <c r="F173" s="163"/>
    </row>
    <row r="174" spans="1:7">
      <c r="A174" s="100"/>
    </row>
    <row r="175" spans="1:7">
      <c r="A175" s="100"/>
    </row>
    <row r="176" spans="1:7">
      <c r="A176" s="100"/>
    </row>
    <row r="177" spans="1:7">
      <c r="A177" s="100"/>
    </row>
    <row r="178" spans="1:7">
      <c r="A178" s="100"/>
    </row>
    <row r="179" spans="1:7">
      <c r="A179" s="100"/>
      <c r="B179" s="106"/>
      <c r="C179" s="106"/>
      <c r="D179" s="106"/>
    </row>
    <row r="180" spans="1:7">
      <c r="A180" s="100"/>
      <c r="B180" s="106"/>
      <c r="C180" s="106"/>
      <c r="D180" s="106"/>
    </row>
    <row r="181" spans="1:7">
      <c r="A181" s="100"/>
      <c r="B181" s="106"/>
      <c r="C181" s="106"/>
      <c r="D181" s="106"/>
    </row>
    <row r="182" spans="1:7">
      <c r="A182" s="100"/>
    </row>
    <row r="183" spans="1:7">
      <c r="A183" s="100"/>
    </row>
    <row r="184" spans="1:7">
      <c r="A184" s="100"/>
    </row>
    <row r="185" spans="1:7">
      <c r="A185" s="100"/>
    </row>
    <row r="186" spans="1:7">
      <c r="A186" s="100"/>
    </row>
    <row r="187" spans="1:7">
      <c r="A187" s="100"/>
    </row>
    <row r="188" spans="1:7">
      <c r="A188" s="100"/>
    </row>
    <row r="189" spans="1:7">
      <c r="A189" s="100"/>
    </row>
    <row r="190" spans="1:7">
      <c r="A190" s="100"/>
    </row>
    <row r="191" spans="1:7">
      <c r="A191" s="100"/>
      <c r="E191" s="163"/>
      <c r="F191" s="163"/>
      <c r="G191" s="163"/>
    </row>
    <row r="192" spans="1:7">
      <c r="B192" s="3"/>
      <c r="C192" s="3"/>
      <c r="D192" s="3"/>
    </row>
    <row r="193" spans="1:6">
      <c r="B193" s="3"/>
      <c r="C193" s="3"/>
      <c r="D193" s="3"/>
      <c r="E193" s="163"/>
    </row>
    <row r="194" spans="1:6">
      <c r="A194" s="100"/>
      <c r="B194" s="101"/>
      <c r="C194" s="101"/>
      <c r="D194" s="101"/>
      <c r="E194" s="163"/>
      <c r="F194" s="163"/>
    </row>
    <row r="195" spans="1:6">
      <c r="A195" s="100"/>
      <c r="B195" s="101"/>
      <c r="C195" s="101"/>
      <c r="D195" s="101"/>
      <c r="E195" s="163"/>
      <c r="F195" s="163"/>
    </row>
    <row r="196" spans="1:6">
      <c r="A196" s="100"/>
      <c r="B196" s="106"/>
      <c r="C196" s="106"/>
      <c r="D196" s="106"/>
      <c r="E196" s="163"/>
      <c r="F196" s="163"/>
    </row>
    <row r="197" spans="1:6">
      <c r="A197" s="100"/>
    </row>
    <row r="198" spans="1:6">
      <c r="A198" s="100"/>
    </row>
    <row r="199" spans="1:6">
      <c r="A199" s="100"/>
    </row>
    <row r="200" spans="1:6">
      <c r="A200" s="100"/>
    </row>
    <row r="201" spans="1:6">
      <c r="A201" s="100"/>
    </row>
    <row r="202" spans="1:6">
      <c r="A202" s="100"/>
      <c r="B202" s="106"/>
      <c r="C202" s="106"/>
      <c r="D202" s="106"/>
    </row>
    <row r="203" spans="1:6">
      <c r="A203" s="100"/>
      <c r="B203" s="106"/>
      <c r="C203" s="106"/>
      <c r="D203" s="106"/>
    </row>
    <row r="204" spans="1:6">
      <c r="A204" s="100"/>
      <c r="B204" s="106"/>
      <c r="C204" s="106"/>
      <c r="D204" s="106"/>
    </row>
    <row r="205" spans="1:6">
      <c r="A205" s="100"/>
    </row>
    <row r="206" spans="1:6">
      <c r="A206" s="100"/>
    </row>
    <row r="207" spans="1:6">
      <c r="A207" s="100"/>
    </row>
    <row r="208" spans="1:6">
      <c r="A208" s="100"/>
    </row>
    <row r="209" spans="1:7">
      <c r="A209" s="100"/>
    </row>
    <row r="210" spans="1:7">
      <c r="A210" s="100"/>
    </row>
    <row r="211" spans="1:7">
      <c r="A211" s="100"/>
    </row>
    <row r="212" spans="1:7">
      <c r="A212" s="100"/>
    </row>
    <row r="213" spans="1:7">
      <c r="A213" s="100"/>
    </row>
    <row r="214" spans="1:7">
      <c r="A214" s="100"/>
      <c r="E214" s="163"/>
      <c r="F214" s="163"/>
      <c r="G214" s="163"/>
    </row>
    <row r="215" spans="1:7">
      <c r="B215" s="3"/>
      <c r="C215" s="3"/>
      <c r="D215" s="3"/>
      <c r="E215" s="163"/>
    </row>
    <row r="216" spans="1:7">
      <c r="B216" s="3"/>
      <c r="C216" s="3"/>
      <c r="D216" s="3"/>
    </row>
    <row r="217" spans="1:7">
      <c r="A217" s="100"/>
      <c r="B217" s="101"/>
      <c r="C217" s="101"/>
      <c r="D217" s="101"/>
      <c r="E217" s="163"/>
      <c r="F217" s="163"/>
    </row>
    <row r="218" spans="1:7">
      <c r="A218" s="100"/>
      <c r="B218" s="101"/>
      <c r="C218" s="101"/>
      <c r="D218" s="101"/>
      <c r="E218" s="163"/>
      <c r="F218" s="163"/>
    </row>
    <row r="219" spans="1:7">
      <c r="A219" s="100"/>
      <c r="B219" s="106"/>
      <c r="C219" s="106"/>
      <c r="D219" s="106"/>
      <c r="E219" s="163"/>
      <c r="F219" s="163"/>
    </row>
    <row r="220" spans="1:7">
      <c r="A220" s="100"/>
    </row>
    <row r="221" spans="1:7">
      <c r="A221" s="100"/>
    </row>
    <row r="222" spans="1:7">
      <c r="A222" s="100"/>
    </row>
    <row r="223" spans="1:7">
      <c r="A223" s="100"/>
    </row>
    <row r="224" spans="1:7">
      <c r="A224" s="100"/>
    </row>
    <row r="225" spans="1:7">
      <c r="A225" s="100"/>
      <c r="B225" s="106"/>
      <c r="C225" s="106"/>
      <c r="D225" s="106"/>
    </row>
    <row r="226" spans="1:7">
      <c r="A226" s="100"/>
      <c r="B226" s="106"/>
      <c r="C226" s="106"/>
      <c r="D226" s="106"/>
    </row>
    <row r="227" spans="1:7">
      <c r="A227" s="100"/>
      <c r="B227" s="106"/>
      <c r="C227" s="106"/>
      <c r="D227" s="106"/>
    </row>
    <row r="228" spans="1:7">
      <c r="A228" s="100"/>
    </row>
    <row r="229" spans="1:7">
      <c r="A229" s="100"/>
    </row>
    <row r="230" spans="1:7">
      <c r="A230" s="100"/>
    </row>
    <row r="231" spans="1:7">
      <c r="A231" s="100"/>
    </row>
    <row r="232" spans="1:7">
      <c r="A232" s="100"/>
    </row>
    <row r="233" spans="1:7">
      <c r="A233" s="100"/>
    </row>
    <row r="234" spans="1:7">
      <c r="A234" s="100"/>
    </row>
    <row r="235" spans="1:7">
      <c r="A235" s="100"/>
    </row>
    <row r="236" spans="1:7">
      <c r="A236" s="100"/>
    </row>
    <row r="237" spans="1:7">
      <c r="A237" s="100"/>
      <c r="E237" s="163"/>
      <c r="F237" s="163"/>
      <c r="G237" s="163"/>
    </row>
    <row r="238" spans="1:7">
      <c r="B238" s="3"/>
      <c r="C238" s="3"/>
      <c r="D238" s="3"/>
    </row>
    <row r="239" spans="1:7">
      <c r="B239" s="3"/>
      <c r="C239" s="3"/>
      <c r="D239" s="3"/>
    </row>
    <row r="240" spans="1:7">
      <c r="A240" s="100"/>
      <c r="B240" s="101"/>
      <c r="C240" s="101"/>
      <c r="D240" s="101"/>
      <c r="E240" s="163"/>
      <c r="F240" s="163"/>
    </row>
    <row r="241" spans="1:6">
      <c r="A241" s="100"/>
      <c r="B241" s="101"/>
      <c r="C241" s="101"/>
      <c r="D241" s="101"/>
      <c r="E241" s="163"/>
      <c r="F241" s="163"/>
    </row>
    <row r="242" spans="1:6">
      <c r="A242" s="100"/>
      <c r="B242" s="106"/>
      <c r="C242" s="106"/>
      <c r="D242" s="106"/>
      <c r="E242" s="163"/>
      <c r="F242" s="163"/>
    </row>
    <row r="243" spans="1:6">
      <c r="A243" s="100"/>
    </row>
    <row r="244" spans="1:6">
      <c r="A244" s="100"/>
    </row>
    <row r="245" spans="1:6">
      <c r="A245" s="100"/>
    </row>
    <row r="246" spans="1:6">
      <c r="A246" s="100"/>
    </row>
    <row r="247" spans="1:6">
      <c r="A247" s="100"/>
    </row>
    <row r="248" spans="1:6">
      <c r="A248" s="100"/>
      <c r="B248" s="106"/>
      <c r="C248" s="106"/>
      <c r="D248" s="106"/>
    </row>
    <row r="249" spans="1:6">
      <c r="A249" s="100"/>
      <c r="B249" s="106"/>
      <c r="C249" s="106"/>
      <c r="D249" s="106"/>
    </row>
    <row r="250" spans="1:6">
      <c r="A250" s="100"/>
      <c r="B250" s="106"/>
      <c r="C250" s="106"/>
      <c r="D250" s="106"/>
    </row>
    <row r="251" spans="1:6">
      <c r="A251" s="100"/>
    </row>
    <row r="252" spans="1:6">
      <c r="A252" s="100"/>
    </row>
    <row r="253" spans="1:6">
      <c r="A253" s="100"/>
    </row>
    <row r="254" spans="1:6">
      <c r="A254" s="100"/>
    </row>
    <row r="255" spans="1:6">
      <c r="A255" s="100"/>
    </row>
    <row r="256" spans="1:6">
      <c r="A256" s="100"/>
    </row>
    <row r="257" spans="1:7">
      <c r="A257" s="100"/>
    </row>
    <row r="258" spans="1:7">
      <c r="A258" s="100"/>
    </row>
    <row r="259" spans="1:7">
      <c r="A259" s="100"/>
    </row>
    <row r="260" spans="1:7">
      <c r="A260" s="100"/>
      <c r="E260" s="163"/>
      <c r="F260" s="163"/>
      <c r="G260" s="163"/>
    </row>
    <row r="261" spans="1:7">
      <c r="B261" s="3"/>
      <c r="C261" s="3"/>
      <c r="D261" s="3"/>
    </row>
    <row r="262" spans="1:7">
      <c r="B262" s="3"/>
      <c r="C262" s="3"/>
      <c r="D262" s="3"/>
    </row>
    <row r="263" spans="1:7">
      <c r="A263" s="100"/>
      <c r="B263" s="101"/>
      <c r="C263" s="101"/>
      <c r="D263" s="101"/>
      <c r="E263" s="163"/>
      <c r="F263" s="163"/>
    </row>
    <row r="264" spans="1:7">
      <c r="A264" s="100"/>
      <c r="B264" s="101"/>
      <c r="C264" s="101"/>
      <c r="D264" s="101"/>
      <c r="E264" s="163"/>
      <c r="F264" s="163"/>
    </row>
    <row r="265" spans="1:7">
      <c r="A265" s="100"/>
      <c r="B265" s="106"/>
      <c r="C265" s="106"/>
      <c r="D265" s="106"/>
      <c r="E265" s="163"/>
      <c r="F265" s="163"/>
    </row>
    <row r="266" spans="1:7">
      <c r="A266" s="100"/>
    </row>
    <row r="267" spans="1:7">
      <c r="A267" s="100"/>
    </row>
    <row r="268" spans="1:7">
      <c r="A268" s="100"/>
    </row>
    <row r="269" spans="1:7">
      <c r="A269" s="100"/>
    </row>
    <row r="270" spans="1:7">
      <c r="A270" s="100"/>
    </row>
    <row r="271" spans="1:7">
      <c r="A271" s="100"/>
      <c r="B271" s="106"/>
      <c r="C271" s="106"/>
      <c r="D271" s="106"/>
    </row>
    <row r="272" spans="1:7">
      <c r="A272" s="100"/>
      <c r="B272" s="106"/>
      <c r="C272" s="106"/>
      <c r="D272" s="106"/>
    </row>
    <row r="273" spans="1:7">
      <c r="A273" s="100"/>
      <c r="B273" s="106"/>
      <c r="C273" s="106"/>
      <c r="D273" s="106"/>
    </row>
    <row r="274" spans="1:7">
      <c r="A274" s="100"/>
    </row>
    <row r="275" spans="1:7">
      <c r="A275" s="100"/>
    </row>
    <row r="276" spans="1:7">
      <c r="A276" s="100"/>
    </row>
    <row r="277" spans="1:7">
      <c r="A277" s="100"/>
    </row>
    <row r="278" spans="1:7">
      <c r="A278" s="100"/>
    </row>
    <row r="279" spans="1:7">
      <c r="A279" s="100"/>
    </row>
    <row r="280" spans="1:7">
      <c r="A280" s="100"/>
    </row>
    <row r="281" spans="1:7">
      <c r="A281" s="100"/>
    </row>
    <row r="282" spans="1:7">
      <c r="A282" s="100"/>
    </row>
    <row r="283" spans="1:7">
      <c r="A283" s="100"/>
      <c r="E283" s="163"/>
      <c r="F283" s="163"/>
      <c r="G283" s="163"/>
    </row>
    <row r="284" spans="1:7">
      <c r="B284" s="3"/>
      <c r="C284" s="3"/>
      <c r="D284" s="3"/>
    </row>
    <row r="285" spans="1:7">
      <c r="B285" s="3"/>
      <c r="C285" s="3"/>
      <c r="D285" s="3"/>
    </row>
    <row r="286" spans="1:7">
      <c r="B286" s="3"/>
      <c r="C286" s="3"/>
      <c r="D286" s="3"/>
    </row>
    <row r="287" spans="1:7">
      <c r="B287" s="3"/>
      <c r="C287" s="3"/>
      <c r="D287" s="3"/>
    </row>
    <row r="288" spans="1:7">
      <c r="B288" s="3"/>
      <c r="C288" s="3"/>
      <c r="D288" s="3"/>
    </row>
    <row r="289" spans="2:4">
      <c r="B289" s="3"/>
      <c r="C289" s="3"/>
      <c r="D289" s="3"/>
    </row>
    <row r="290" spans="2:4">
      <c r="B290" s="3"/>
      <c r="C290" s="3"/>
      <c r="D290" s="3"/>
    </row>
  </sheetData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2:N25"/>
  <sheetViews>
    <sheetView topLeftCell="A9" zoomScale="170" zoomScaleNormal="170" workbookViewId="0">
      <selection activeCell="A9" sqref="A9"/>
    </sheetView>
  </sheetViews>
  <sheetFormatPr defaultColWidth="8.5703125" defaultRowHeight="12.75"/>
  <cols>
    <col min="1" max="1" width="12.28515625" customWidth="1"/>
    <col min="2" max="2" width="13.5703125" customWidth="1"/>
    <col min="3" max="3" width="14.28515625" customWidth="1"/>
    <col min="4" max="4" width="14.5703125" customWidth="1"/>
    <col min="5" max="5" width="14.140625" customWidth="1"/>
    <col min="6" max="6" width="15.5703125" customWidth="1"/>
    <col min="7" max="7" width="14.85546875" customWidth="1"/>
    <col min="8" max="8" width="0.85546875" customWidth="1"/>
    <col min="9" max="9" width="6.140625" customWidth="1"/>
    <col min="10" max="10" width="6.42578125" customWidth="1"/>
    <col min="11" max="11" width="6.7109375" customWidth="1"/>
    <col min="12" max="12" width="7.42578125" customWidth="1"/>
    <col min="13" max="13" width="7.140625" customWidth="1"/>
    <col min="14" max="14" width="7.42578125" customWidth="1"/>
    <col min="15" max="15" width="9.140625" customWidth="1"/>
  </cols>
  <sheetData>
    <row r="2" spans="1:14">
      <c r="A2" t="s">
        <v>1580</v>
      </c>
    </row>
    <row r="3" spans="1:14">
      <c r="A3" t="s">
        <v>1581</v>
      </c>
      <c r="C3" t="s">
        <v>1582</v>
      </c>
      <c r="D3" t="s">
        <v>1583</v>
      </c>
    </row>
    <row r="4" spans="1:14">
      <c r="A4" t="s">
        <v>1584</v>
      </c>
      <c r="C4" t="s">
        <v>1585</v>
      </c>
      <c r="D4" t="s">
        <v>1586</v>
      </c>
    </row>
    <row r="5" spans="1:14">
      <c r="A5" t="s">
        <v>1587</v>
      </c>
      <c r="C5" t="s">
        <v>1585</v>
      </c>
      <c r="D5" t="s">
        <v>1588</v>
      </c>
    </row>
    <row r="10" spans="1:14" ht="15.75">
      <c r="A10" s="19"/>
      <c r="B10" s="20"/>
      <c r="C10" s="21" t="s">
        <v>23</v>
      </c>
      <c r="D10" s="22"/>
      <c r="E10" s="23"/>
      <c r="F10" s="21" t="s">
        <v>24</v>
      </c>
      <c r="G10" s="22"/>
      <c r="H10" s="24"/>
      <c r="I10" s="25"/>
      <c r="J10" s="26"/>
      <c r="K10" s="334">
        <v>0.23471</v>
      </c>
      <c r="L10" s="334">
        <v>0.76529000000000003</v>
      </c>
      <c r="M10" s="335"/>
      <c r="N10" s="26" t="s">
        <v>26</v>
      </c>
    </row>
    <row r="11" spans="1:14" ht="15.75">
      <c r="A11" s="19">
        <v>-2022</v>
      </c>
      <c r="B11" s="23" t="s">
        <v>28</v>
      </c>
      <c r="C11" s="28" t="s">
        <v>29</v>
      </c>
      <c r="D11" s="22" t="s">
        <v>30</v>
      </c>
      <c r="E11" s="23" t="s">
        <v>28</v>
      </c>
      <c r="F11" s="28" t="s">
        <v>29</v>
      </c>
      <c r="G11" s="22" t="s">
        <v>3</v>
      </c>
      <c r="H11" s="24"/>
      <c r="I11" s="25"/>
      <c r="J11" s="26" t="s">
        <v>31</v>
      </c>
      <c r="K11" s="335" t="s">
        <v>803</v>
      </c>
      <c r="L11" s="335" t="s">
        <v>804</v>
      </c>
      <c r="M11" s="335" t="s">
        <v>32</v>
      </c>
      <c r="N11" s="26" t="s">
        <v>1325</v>
      </c>
    </row>
    <row r="12" spans="1:14">
      <c r="A12" t="s">
        <v>33</v>
      </c>
      <c r="B12" s="213">
        <v>7333.3</v>
      </c>
      <c r="C12" s="214">
        <v>-6834.05</v>
      </c>
      <c r="D12" s="215">
        <v>499.25</v>
      </c>
      <c r="E12" s="213">
        <v>46462.64</v>
      </c>
      <c r="F12" s="214">
        <v>-6834.05</v>
      </c>
      <c r="G12" s="216">
        <v>39628.589999999997</v>
      </c>
      <c r="H12" s="34"/>
      <c r="I12" s="35" t="s">
        <v>34</v>
      </c>
      <c r="J12">
        <v>36</v>
      </c>
      <c r="K12" s="2"/>
      <c r="M12" s="2">
        <v>36</v>
      </c>
    </row>
    <row r="13" spans="1:14">
      <c r="A13" t="s">
        <v>35</v>
      </c>
      <c r="B13" s="213">
        <v>10567.09</v>
      </c>
      <c r="C13" s="214">
        <v>-21938.15</v>
      </c>
      <c r="D13" s="215">
        <v>-10871.81</v>
      </c>
      <c r="E13" s="213">
        <v>11567.09</v>
      </c>
      <c r="F13" s="214">
        <v>-21938.15</v>
      </c>
      <c r="G13" s="216">
        <v>29257.53</v>
      </c>
      <c r="H13" s="34"/>
      <c r="I13" s="35" t="s">
        <v>38</v>
      </c>
      <c r="J13">
        <v>19.8</v>
      </c>
      <c r="K13" s="2"/>
      <c r="M13" s="2">
        <v>19.8</v>
      </c>
    </row>
    <row r="14" spans="1:14">
      <c r="A14" t="s">
        <v>37</v>
      </c>
      <c r="B14" s="213">
        <v>36859.61</v>
      </c>
      <c r="C14" s="214">
        <v>-30109.3</v>
      </c>
      <c r="D14" s="215">
        <v>-4121.5</v>
      </c>
      <c r="E14" s="213">
        <v>35859.61</v>
      </c>
      <c r="F14" s="214">
        <v>-30109.3</v>
      </c>
      <c r="G14" s="216">
        <v>35007.839999999997</v>
      </c>
      <c r="H14" s="34"/>
      <c r="I14" s="35" t="s">
        <v>76</v>
      </c>
      <c r="N14" s="2">
        <v>46.1</v>
      </c>
    </row>
    <row r="15" spans="1:14">
      <c r="A15" t="s">
        <v>39</v>
      </c>
      <c r="B15" s="213">
        <v>15937.59</v>
      </c>
      <c r="C15" s="214">
        <v>-11790.68</v>
      </c>
      <c r="D15" s="215">
        <v>25.4100000000035</v>
      </c>
      <c r="E15" s="213">
        <v>17940.28</v>
      </c>
      <c r="F15" s="214">
        <v>-11140.68</v>
      </c>
      <c r="G15" s="216">
        <v>41807.440000000002</v>
      </c>
      <c r="H15" s="34"/>
      <c r="I15" s="35" t="s">
        <v>48</v>
      </c>
      <c r="J15">
        <v>60</v>
      </c>
      <c r="K15" s="2"/>
      <c r="M15" s="2">
        <v>6.5</v>
      </c>
    </row>
    <row r="16" spans="1:14">
      <c r="A16" t="s">
        <v>41</v>
      </c>
      <c r="B16" s="213">
        <v>11328.34</v>
      </c>
      <c r="C16" s="214">
        <v>-7712.66</v>
      </c>
      <c r="D16" s="215">
        <v>3641.09</v>
      </c>
      <c r="E16" s="213">
        <v>9522.3700000000008</v>
      </c>
      <c r="F16" s="214">
        <v>-7722.66</v>
      </c>
      <c r="G16" s="216">
        <v>43607.15</v>
      </c>
      <c r="H16" s="34"/>
      <c r="I16" s="35" t="s">
        <v>1326</v>
      </c>
      <c r="J16">
        <v>95</v>
      </c>
      <c r="K16" s="2"/>
      <c r="M16" s="2">
        <v>23.75</v>
      </c>
    </row>
    <row r="17" spans="1:14">
      <c r="A17" t="s">
        <v>1327</v>
      </c>
      <c r="B17" s="213">
        <v>17837.05</v>
      </c>
      <c r="C17" s="214">
        <v>-28058.1</v>
      </c>
      <c r="D17" s="215">
        <v>-6579.96</v>
      </c>
      <c r="E17" s="213">
        <v>16654.189999999999</v>
      </c>
      <c r="F17" s="214">
        <v>-28058.1</v>
      </c>
      <c r="G17" s="216">
        <v>32203.24</v>
      </c>
      <c r="H17" s="34"/>
    </row>
    <row r="18" spans="1:14">
      <c r="A18" t="s">
        <v>1328</v>
      </c>
      <c r="B18" s="213">
        <v>27131.07</v>
      </c>
      <c r="C18" s="214">
        <v>-17400.82</v>
      </c>
      <c r="D18" s="215">
        <v>3150.29</v>
      </c>
      <c r="E18" s="213">
        <v>16133.3</v>
      </c>
      <c r="F18" s="214">
        <v>-20600.82</v>
      </c>
      <c r="G18" s="216">
        <v>27735.72</v>
      </c>
      <c r="H18" s="34"/>
      <c r="I18" s="35" t="s">
        <v>52</v>
      </c>
      <c r="J18">
        <v>42</v>
      </c>
      <c r="K18" s="2">
        <v>9.8578200000000002</v>
      </c>
      <c r="L18" s="2">
        <v>32.142180000000003</v>
      </c>
    </row>
    <row r="19" spans="1:14">
      <c r="A19" t="s">
        <v>1329</v>
      </c>
      <c r="B19" s="213">
        <v>34617.910000000003</v>
      </c>
      <c r="C19" s="214">
        <v>-11695.35</v>
      </c>
      <c r="D19" s="215">
        <v>26072.85</v>
      </c>
      <c r="E19" s="213">
        <v>102061.66</v>
      </c>
      <c r="F19" s="214">
        <v>-33894.33</v>
      </c>
      <c r="G19" s="216">
        <v>95903.05</v>
      </c>
      <c r="H19" s="34"/>
      <c r="I19" s="35" t="s">
        <v>56</v>
      </c>
      <c r="J19">
        <v>84</v>
      </c>
      <c r="K19" s="2">
        <v>19.71564</v>
      </c>
      <c r="L19" s="2">
        <v>64.284360000000007</v>
      </c>
    </row>
    <row r="20" spans="1:14">
      <c r="A20" t="s">
        <v>49</v>
      </c>
      <c r="B20" s="213">
        <v>66162.31</v>
      </c>
      <c r="C20" s="214">
        <v>-61978.720000000001</v>
      </c>
      <c r="D20" s="215">
        <v>30256.44</v>
      </c>
      <c r="E20" s="213">
        <v>9260.5</v>
      </c>
      <c r="F20" s="214">
        <v>-25729.24</v>
      </c>
      <c r="G20" s="216">
        <v>79434.31</v>
      </c>
      <c r="H20" s="34"/>
      <c r="I20" s="35" t="s">
        <v>54</v>
      </c>
      <c r="J20">
        <v>84</v>
      </c>
      <c r="K20" s="2">
        <v>19.71564</v>
      </c>
      <c r="L20" s="2">
        <v>64.284360000000007</v>
      </c>
    </row>
    <row r="21" spans="1:14">
      <c r="A21" t="s">
        <v>51</v>
      </c>
      <c r="B21" s="213">
        <v>23872.2</v>
      </c>
      <c r="C21" s="214">
        <v>-34541.120000000003</v>
      </c>
      <c r="D21" s="215">
        <v>19587.52</v>
      </c>
      <c r="E21" s="213">
        <v>79418.41</v>
      </c>
      <c r="F21" s="214">
        <v>-90424.320000000007</v>
      </c>
      <c r="G21" s="216">
        <v>68428.399999999994</v>
      </c>
      <c r="H21" s="34"/>
      <c r="I21" s="35" t="s">
        <v>46</v>
      </c>
      <c r="J21">
        <v>45</v>
      </c>
      <c r="K21" s="2">
        <v>10.56195</v>
      </c>
      <c r="L21" s="2">
        <v>34.438049999999997</v>
      </c>
      <c r="N21" s="336">
        <v>400.76679000000001</v>
      </c>
    </row>
    <row r="22" spans="1:14">
      <c r="A22" t="s">
        <v>53</v>
      </c>
      <c r="B22" s="213">
        <v>179191.62</v>
      </c>
      <c r="C22" s="214">
        <v>-14175.82</v>
      </c>
      <c r="D22" s="215">
        <v>184603.32</v>
      </c>
      <c r="E22" s="213">
        <v>178439.6</v>
      </c>
      <c r="F22" s="214">
        <v>-18452.8</v>
      </c>
      <c r="G22" s="216">
        <v>228415.2</v>
      </c>
      <c r="H22" s="34"/>
      <c r="I22" s="35" t="s">
        <v>36</v>
      </c>
      <c r="J22">
        <v>48</v>
      </c>
      <c r="K22" s="2">
        <v>11.266080000000001</v>
      </c>
      <c r="L22" s="2">
        <v>36.733919999999998</v>
      </c>
      <c r="N22" s="337">
        <v>33.397232500000001</v>
      </c>
    </row>
    <row r="23" spans="1:14">
      <c r="A23" t="s">
        <v>55</v>
      </c>
      <c r="B23" s="213">
        <v>15475.96</v>
      </c>
      <c r="C23" s="214">
        <v>-16961.34</v>
      </c>
      <c r="D23" s="215">
        <v>183117.94</v>
      </c>
      <c r="E23" s="213">
        <v>22052.39</v>
      </c>
      <c r="F23" s="214">
        <v>-21692.25</v>
      </c>
      <c r="G23" s="216">
        <v>228775.34</v>
      </c>
      <c r="H23" s="34"/>
      <c r="I23" s="35" t="s">
        <v>50</v>
      </c>
      <c r="J23">
        <v>48</v>
      </c>
      <c r="K23" s="2">
        <v>11.266080000000001</v>
      </c>
      <c r="L23" s="2">
        <v>36.733919999999998</v>
      </c>
    </row>
    <row r="24" spans="1:14">
      <c r="A24" s="46" t="s">
        <v>67</v>
      </c>
      <c r="B24" s="219">
        <v>446314.05</v>
      </c>
      <c r="C24" s="220">
        <v>-263196.11</v>
      </c>
      <c r="D24" s="338">
        <v>183117.94</v>
      </c>
      <c r="E24" s="219">
        <v>545372.04</v>
      </c>
      <c r="F24" s="220">
        <v>-316596.7</v>
      </c>
      <c r="G24" s="338">
        <v>228775.34</v>
      </c>
      <c r="H24" s="34"/>
      <c r="I24" s="222"/>
      <c r="J24" s="222">
        <v>351</v>
      </c>
      <c r="K24" s="339">
        <v>82.383210000000005</v>
      </c>
      <c r="L24" s="339">
        <v>268.61678999999998</v>
      </c>
      <c r="M24" s="339">
        <v>86.05</v>
      </c>
      <c r="N24" s="339">
        <v>46.1</v>
      </c>
    </row>
    <row r="25" spans="1:14">
      <c r="A25" s="340">
        <v>12</v>
      </c>
      <c r="B25" s="341">
        <v>37192.837500000001</v>
      </c>
      <c r="C25" s="342">
        <v>-21933.009166666699</v>
      </c>
      <c r="D25" s="342"/>
      <c r="E25" s="342">
        <v>45447.67</v>
      </c>
      <c r="F25" s="342">
        <v>-26383.058333333302</v>
      </c>
      <c r="G25" s="342">
        <v>19064.6116666667</v>
      </c>
      <c r="H25" s="56"/>
      <c r="I25" s="224"/>
      <c r="J25" s="342">
        <v>29.25</v>
      </c>
      <c r="K25" s="342">
        <v>6.8652674999999999</v>
      </c>
      <c r="L25" s="342">
        <v>22.384732499999998</v>
      </c>
      <c r="M25" s="342">
        <v>7.1708333333333298</v>
      </c>
      <c r="N25" s="342">
        <v>3.8416666666666699</v>
      </c>
    </row>
  </sheetData>
  <hyperlinks>
    <hyperlink ref="D3" r:id="rId1" xr:uid="{00000000-0004-0000-3A00-000000000000}"/>
    <hyperlink ref="D4" r:id="rId2" xr:uid="{00000000-0004-0000-3A00-000001000000}"/>
    <hyperlink ref="D5" r:id="rId3" xr:uid="{00000000-0004-0000-3A00-000002000000}"/>
  </hyperlinks>
  <pageMargins left="0" right="0" top="0.39374999999999999" bottom="0.39374999999999999" header="0" footer="0"/>
  <pageSetup paperSize="77" pageOrder="overThenDown" orientation="landscape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1131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59</vt:i4>
      </vt:variant>
    </vt:vector>
  </HeadingPairs>
  <TitlesOfParts>
    <vt:vector size="59" baseType="lpstr">
      <vt:lpstr>PERI_25</vt:lpstr>
      <vt:lpstr>GNLK-_2025</vt:lpstr>
      <vt:lpstr>12_25</vt:lpstr>
      <vt:lpstr>11_25</vt:lpstr>
      <vt:lpstr>10_25</vt:lpstr>
      <vt:lpstr>09_25</vt:lpstr>
      <vt:lpstr>08_25</vt:lpstr>
      <vt:lpstr>07_25</vt:lpstr>
      <vt:lpstr>06_25</vt:lpstr>
      <vt:lpstr>05_25</vt:lpstr>
      <vt:lpstr>04_25</vt:lpstr>
      <vt:lpstr>03_25</vt:lpstr>
      <vt:lpstr>02_25</vt:lpstr>
      <vt:lpstr>01_25</vt:lpstr>
      <vt:lpstr>PERI_24</vt:lpstr>
      <vt:lpstr>cross</vt:lpstr>
      <vt:lpstr>GNLK-_2024</vt:lpstr>
      <vt:lpstr>12_24</vt:lpstr>
      <vt:lpstr>11_24</vt:lpstr>
      <vt:lpstr>10_24</vt:lpstr>
      <vt:lpstr>09_24</vt:lpstr>
      <vt:lpstr>08_24</vt:lpstr>
      <vt:lpstr>07_24</vt:lpstr>
      <vt:lpstr>06_24</vt:lpstr>
      <vt:lpstr>05_24</vt:lpstr>
      <vt:lpstr>04_24</vt:lpstr>
      <vt:lpstr>03_24</vt:lpstr>
      <vt:lpstr>02_24</vt:lpstr>
      <vt:lpstr>01_24</vt:lpstr>
      <vt:lpstr>GNLK-_2023</vt:lpstr>
      <vt:lpstr>PERI_23</vt:lpstr>
      <vt:lpstr>NZN_24</vt:lpstr>
      <vt:lpstr>NZN_23</vt:lpstr>
      <vt:lpstr>12_23</vt:lpstr>
      <vt:lpstr>11_23</vt:lpstr>
      <vt:lpstr>10_23</vt:lpstr>
      <vt:lpstr>09_23</vt:lpstr>
      <vt:lpstr>08_23</vt:lpstr>
      <vt:lpstr>07_23</vt:lpstr>
      <vt:lpstr>06_23</vt:lpstr>
      <vt:lpstr>05_23</vt:lpstr>
      <vt:lpstr>04_23</vt:lpstr>
      <vt:lpstr>03_23</vt:lpstr>
      <vt:lpstr>02_23</vt:lpstr>
      <vt:lpstr>01_23</vt:lpstr>
      <vt:lpstr>GNLK-_2022</vt:lpstr>
      <vt:lpstr>22_12</vt:lpstr>
      <vt:lpstr>11</vt:lpstr>
      <vt:lpstr>10</vt:lpstr>
      <vt:lpstr>09</vt:lpstr>
      <vt:lpstr>08</vt:lpstr>
      <vt:lpstr>07</vt:lpstr>
      <vt:lpstr>06</vt:lpstr>
      <vt:lpstr>05</vt:lpstr>
      <vt:lpstr>04</vt:lpstr>
      <vt:lpstr>03</vt:lpstr>
      <vt:lpstr>22_2</vt:lpstr>
      <vt:lpstr>22_1</vt:lpstr>
      <vt:lpstr>PROCESS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</dc:creator>
  <dc:description/>
  <cp:lastModifiedBy>m</cp:lastModifiedBy>
  <cp:revision>271</cp:revision>
  <cp:lastPrinted>2023-12-11T05:55:06Z</cp:lastPrinted>
  <dcterms:created xsi:type="dcterms:W3CDTF">2022-03-04T11:30:59Z</dcterms:created>
  <dcterms:modified xsi:type="dcterms:W3CDTF">2025-03-06T07:39:01Z</dcterms:modified>
  <dc:language>tr-TR</dc:language>
</cp:coreProperties>
</file>