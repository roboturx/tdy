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306FE15-0487-468D-BBFD-C8D32932B806}" xr6:coauthVersionLast="47" xr6:coauthVersionMax="47" xr10:uidLastSave="{00000000-0000-0000-0000-000000000000}"/>
  <bookViews>
    <workbookView xWindow="-120" yWindow="-120" windowWidth="29040" windowHeight="15720" tabRatio="839" activeTab="14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5" i="1" l="1"/>
  <c r="I22" i="1"/>
  <c r="C20" i="1"/>
  <c r="H156" i="10"/>
  <c r="G154" i="10"/>
  <c r="H154" i="10" s="1"/>
  <c r="F154" i="10"/>
  <c r="G153" i="10"/>
  <c r="H153" i="10" s="1"/>
  <c r="F153" i="10"/>
  <c r="H152" i="10"/>
  <c r="I152" i="10" s="1"/>
  <c r="I153" i="10" s="1"/>
  <c r="I154" i="10" s="1"/>
  <c r="I155" i="10" s="1"/>
  <c r="F152" i="10"/>
  <c r="D152" i="10"/>
  <c r="D153" i="10" s="1"/>
  <c r="D154" i="10" s="1"/>
  <c r="B146" i="10"/>
  <c r="G142" i="10"/>
  <c r="I138" i="10"/>
  <c r="L136" i="10"/>
  <c r="I136" i="10"/>
  <c r="I142" i="10" s="1"/>
  <c r="G136" i="10"/>
  <c r="E136" i="10"/>
  <c r="C133" i="10"/>
  <c r="E124" i="10"/>
  <c r="F123" i="10"/>
  <c r="F124" i="10" s="1"/>
  <c r="G124" i="10" s="1"/>
  <c r="I124" i="10" s="1"/>
  <c r="E123" i="10"/>
  <c r="G122" i="10"/>
  <c r="E122" i="10"/>
  <c r="E125" i="10" s="1"/>
  <c r="E120" i="10"/>
  <c r="G119" i="10"/>
  <c r="H120" i="10" s="1"/>
  <c r="E119" i="10"/>
  <c r="G118" i="10"/>
  <c r="I118" i="10" s="1"/>
  <c r="E118" i="10"/>
  <c r="G117" i="10"/>
  <c r="I117" i="10" s="1"/>
  <c r="E117" i="10"/>
  <c r="G116" i="10"/>
  <c r="I116" i="10" s="1"/>
  <c r="E116" i="10"/>
  <c r="G113" i="10"/>
  <c r="I113" i="10" s="1"/>
  <c r="E113" i="10"/>
  <c r="E112" i="10"/>
  <c r="E114" i="10" s="1"/>
  <c r="F111" i="10"/>
  <c r="F112" i="10" s="1"/>
  <c r="G112" i="10" s="1"/>
  <c r="I112" i="10" s="1"/>
  <c r="E111" i="10"/>
  <c r="G110" i="10"/>
  <c r="I110" i="10" s="1"/>
  <c r="E110" i="10"/>
  <c r="G106" i="10"/>
  <c r="G105" i="10"/>
  <c r="G128" i="11"/>
  <c r="G119" i="11"/>
  <c r="E119" i="11"/>
  <c r="H162" i="11"/>
  <c r="G111" i="11"/>
  <c r="E37" i="10"/>
  <c r="G111" i="10" l="1"/>
  <c r="H119" i="10"/>
  <c r="J136" i="10"/>
  <c r="M136" i="10" s="1"/>
  <c r="I119" i="10"/>
  <c r="I122" i="10"/>
  <c r="G123" i="10"/>
  <c r="I123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24" i="10" l="1"/>
  <c r="G100" i="10"/>
  <c r="H114" i="10"/>
  <c r="H112" i="10"/>
  <c r="I111" i="10"/>
  <c r="I114" i="10" s="1"/>
  <c r="G132" i="10"/>
  <c r="H125" i="10"/>
  <c r="H130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62" i="10"/>
  <c r="E8" i="10" s="1"/>
  <c r="G8" i="10" s="1"/>
  <c r="E7" i="10"/>
  <c r="H4" i="10"/>
  <c r="H5" i="10" s="1"/>
  <c r="H6" i="10" s="1"/>
  <c r="F2" i="10"/>
  <c r="D2" i="10"/>
  <c r="B7" i="2" s="1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8" i="11"/>
  <c r="H136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60" i="15" l="1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7" i="15" l="1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<sst xmlns="http://schemas.openxmlformats.org/spreadsheetml/2006/main" count="4819" uniqueCount="1812">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</sst>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4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4" fontId="0" fillId="0" borderId="0" xfId="0" applyNumberFormat="1" applyFill="1"/>
    <xf numFmtId="175" fontId="25" fillId="0" borderId="0" xfId="0" applyNumberFormat="1" applyFont="1" applyFill="1"/>
    <xf numFmtId="174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  <xf numFmtId="173" fontId="0" fillId="0" borderId="0" xfId="0" applyNumberFormat="1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5" fontId="3" fillId="52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58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504" t="s">
        <v>1734</v>
      </c>
    </row>
    <row r="5" spans="1:6">
      <c r="A5" s="1">
        <v>45657</v>
      </c>
      <c r="B5" s="8" t="s">
        <v>1733</v>
      </c>
      <c r="F5" s="505">
        <v>257330</v>
      </c>
    </row>
    <row r="6" spans="1:6" s="11" customFormat="1">
      <c r="A6" s="536"/>
      <c r="B6" s="537" t="s">
        <v>1772</v>
      </c>
      <c r="C6" s="538">
        <f>35800/2898</f>
        <v>12.353347135955831</v>
      </c>
      <c r="D6" s="539" t="s">
        <v>233</v>
      </c>
      <c r="E6" s="539"/>
      <c r="F6" s="539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6">
        <v>45667</v>
      </c>
      <c r="B8" s="507" t="s">
        <v>5</v>
      </c>
      <c r="C8" s="508"/>
      <c r="D8" s="509">
        <v>20000</v>
      </c>
      <c r="E8" s="509"/>
      <c r="F8" s="510">
        <f t="shared" ref="F8:F19" si="0">F7+D8-E8</f>
        <v>277330</v>
      </c>
    </row>
    <row r="9" spans="1:6" s="11" customFormat="1">
      <c r="A9" s="511">
        <v>45672</v>
      </c>
      <c r="B9" s="512" t="s">
        <v>1584</v>
      </c>
      <c r="C9" s="513"/>
      <c r="D9" s="514"/>
      <c r="E9" s="515">
        <v>25000</v>
      </c>
      <c r="F9" s="135">
        <f t="shared" si="0"/>
        <v>252330</v>
      </c>
    </row>
    <row r="10" spans="1:6" ht="13.5" thickBot="1">
      <c r="A10" s="516">
        <v>45672</v>
      </c>
      <c r="B10" s="517" t="s">
        <v>1736</v>
      </c>
      <c r="C10" s="517"/>
      <c r="D10" s="518"/>
      <c r="E10" s="519">
        <v>31000</v>
      </c>
      <c r="F10" s="525">
        <f t="shared" si="0"/>
        <v>221330</v>
      </c>
    </row>
    <row r="11" spans="1:6" s="11" customFormat="1" ht="13.5" thickBot="1">
      <c r="A11" s="536"/>
      <c r="B11" s="537" t="s">
        <v>1774</v>
      </c>
      <c r="C11" s="538">
        <f>36000/3045</f>
        <v>11.822660098522167</v>
      </c>
      <c r="D11" s="539" t="s">
        <v>233</v>
      </c>
      <c r="E11" s="539"/>
      <c r="F11" s="539"/>
    </row>
    <row r="12" spans="1:6">
      <c r="A12" s="520">
        <v>45703</v>
      </c>
      <c r="B12" s="521" t="s">
        <v>1737</v>
      </c>
      <c r="C12" s="521"/>
      <c r="D12" s="131"/>
      <c r="E12" s="131"/>
      <c r="F12" s="510">
        <f>F10+D12-E12</f>
        <v>221330</v>
      </c>
    </row>
    <row r="13" spans="1:6" s="11" customFormat="1" ht="13.5" thickBot="1">
      <c r="A13" s="516">
        <v>45709</v>
      </c>
      <c r="B13" s="517" t="s">
        <v>815</v>
      </c>
      <c r="C13" s="517"/>
      <c r="D13" s="518"/>
      <c r="E13" s="519">
        <v>26000</v>
      </c>
      <c r="F13" s="525">
        <f t="shared" si="0"/>
        <v>195330</v>
      </c>
    </row>
    <row r="14" spans="1:6" s="11" customFormat="1" ht="13.5" thickBot="1">
      <c r="A14" s="536"/>
      <c r="B14" s="537" t="s">
        <v>1775</v>
      </c>
      <c r="C14" s="538">
        <f>26000/3413</f>
        <v>7.6179314386170525</v>
      </c>
      <c r="D14" s="539" t="s">
        <v>233</v>
      </c>
      <c r="E14" s="539"/>
      <c r="F14" s="539"/>
    </row>
    <row r="15" spans="1:6">
      <c r="A15" s="520">
        <v>45731</v>
      </c>
      <c r="B15" s="521" t="s">
        <v>1585</v>
      </c>
      <c r="C15" s="521"/>
      <c r="D15" s="131"/>
      <c r="E15" s="131"/>
      <c r="F15" s="510">
        <f>F13+D15-E15</f>
        <v>195330</v>
      </c>
    </row>
    <row r="16" spans="1:6" s="11" customFormat="1" ht="13.5" thickBot="1">
      <c r="A16" s="516">
        <v>45741</v>
      </c>
      <c r="B16" s="517" t="s">
        <v>815</v>
      </c>
      <c r="C16" s="517"/>
      <c r="D16" s="518"/>
      <c r="E16" s="519">
        <v>36000</v>
      </c>
      <c r="F16" s="525">
        <f t="shared" si="0"/>
        <v>159330</v>
      </c>
    </row>
    <row r="17" spans="1:9" s="11" customFormat="1" ht="13.5" thickBot="1">
      <c r="A17" s="536"/>
      <c r="B17" s="537" t="s">
        <v>1776</v>
      </c>
      <c r="C17" s="538">
        <f>36000/3650</f>
        <v>9.8630136986301373</v>
      </c>
      <c r="D17" s="539" t="s">
        <v>233</v>
      </c>
      <c r="E17" s="539"/>
      <c r="F17" s="539"/>
    </row>
    <row r="18" spans="1:9" s="11" customFormat="1">
      <c r="A18" s="520">
        <v>45757</v>
      </c>
      <c r="B18" s="508" t="s">
        <v>1735</v>
      </c>
      <c r="C18" s="521"/>
      <c r="D18" s="131">
        <f>'04_25'!D92</f>
        <v>148100</v>
      </c>
      <c r="E18" s="130"/>
      <c r="F18" s="510">
        <f>F16+D18-E18</f>
        <v>307430</v>
      </c>
    </row>
    <row r="19" spans="1:9" ht="13.5" thickBot="1">
      <c r="A19" s="522">
        <v>45762</v>
      </c>
      <c r="B19" s="523" t="s">
        <v>1586</v>
      </c>
      <c r="C19" s="523"/>
      <c r="D19" s="524"/>
      <c r="E19" s="519">
        <v>36500</v>
      </c>
      <c r="F19" s="525">
        <f t="shared" si="0"/>
        <v>270930</v>
      </c>
    </row>
    <row r="20" spans="1:9" s="11" customFormat="1">
      <c r="A20" s="536"/>
      <c r="B20" s="537" t="s">
        <v>1809</v>
      </c>
      <c r="C20" s="538">
        <f>36000/3650</f>
        <v>9.8630136986301373</v>
      </c>
      <c r="D20" s="539" t="s">
        <v>233</v>
      </c>
      <c r="E20" s="539"/>
      <c r="F20" s="539"/>
      <c r="I20" s="11">
        <v>36500</v>
      </c>
    </row>
    <row r="21" spans="1:9">
      <c r="A21" s="489">
        <v>45792</v>
      </c>
      <c r="B21" s="482" t="s">
        <v>1587</v>
      </c>
      <c r="C21" s="482"/>
      <c r="D21" s="455"/>
      <c r="F21" s="12">
        <f>F19+D21-E21</f>
        <v>270930</v>
      </c>
      <c r="I21">
        <v>3950</v>
      </c>
    </row>
    <row r="22" spans="1:9" s="11" customFormat="1">
      <c r="A22" s="536"/>
      <c r="B22" s="537"/>
      <c r="C22" s="538"/>
      <c r="D22" s="539" t="s">
        <v>233</v>
      </c>
      <c r="E22" s="539"/>
      <c r="F22" s="539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6"/>
      <c r="B24" s="537"/>
      <c r="C24" s="538"/>
      <c r="D24" s="539" t="s">
        <v>233</v>
      </c>
      <c r="E24" s="539"/>
      <c r="F24" s="539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6"/>
      <c r="B26" s="537"/>
      <c r="C26" s="538"/>
      <c r="D26" s="539" t="s">
        <v>233</v>
      </c>
      <c r="E26" s="539"/>
      <c r="F26" s="539"/>
    </row>
    <row r="27" spans="1:9">
      <c r="E27" s="13"/>
      <c r="F27" s="526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6" t="s">
        <v>26</v>
      </c>
      <c r="M1" s="54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-62560.37</v>
      </c>
      <c r="D7" s="33">
        <f t="shared" si="0"/>
        <v>38557.719999999965</v>
      </c>
      <c r="E7" s="32">
        <f>'05_25'!F2</f>
        <v>0</v>
      </c>
      <c r="F7" s="32">
        <f>'05_25'!G2</f>
        <v>-16263.310000000001</v>
      </c>
      <c r="G7" s="33">
        <f t="shared" si="1"/>
        <v>-151636.01999999999</v>
      </c>
      <c r="H7" s="34"/>
      <c r="I7" s="41" t="s">
        <v>42</v>
      </c>
      <c r="K7" s="39"/>
      <c r="L7" s="40"/>
      <c r="M7" s="42">
        <f>E19/1000</f>
        <v>0</v>
      </c>
      <c r="N7" s="8">
        <f>'05_25'!E118/1000</f>
        <v>1.159</v>
      </c>
    </row>
    <row r="8" spans="1:14">
      <c r="A8" t="s">
        <v>43</v>
      </c>
      <c r="B8" s="32">
        <f>'06_25'!D2</f>
        <v>15000</v>
      </c>
      <c r="C8" s="32">
        <f>'06_25'!E2</f>
        <v>-55931.839999999997</v>
      </c>
      <c r="D8" s="33">
        <f t="shared" si="0"/>
        <v>-2374.1200000000317</v>
      </c>
      <c r="E8" s="32">
        <f>'06_25'!F2</f>
        <v>0</v>
      </c>
      <c r="F8" s="32">
        <f>'06_25'!G2</f>
        <v>-3514.7799999999997</v>
      </c>
      <c r="G8" s="33">
        <f t="shared" si="1"/>
        <v>-155150.79999999999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-41405.960000000028</v>
      </c>
      <c r="E9" s="32">
        <f>'07_25'!F2</f>
        <v>0</v>
      </c>
      <c r="F9" s="32">
        <f>'07_25'!G2</f>
        <v>-1614.78</v>
      </c>
      <c r="G9" s="33">
        <f t="shared" si="1"/>
        <v>-156765.57999999999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-80437.800000000017</v>
      </c>
      <c r="E10" s="32">
        <f>'08_25'!F2</f>
        <v>0</v>
      </c>
      <c r="F10" s="32">
        <f>'08_25'!G2</f>
        <v>-1614.78</v>
      </c>
      <c r="G10" s="33">
        <f t="shared" si="1"/>
        <v>-158380.35999999999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-118479.86000000002</v>
      </c>
      <c r="E11" s="32">
        <f>'09_25'!F2</f>
        <v>0</v>
      </c>
      <c r="F11" s="32">
        <f>'09_25'!G2</f>
        <v>-625</v>
      </c>
      <c r="G11" s="33">
        <f t="shared" si="1"/>
        <v>-159005.35999999999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-155896.92000000001</v>
      </c>
      <c r="E12" s="32">
        <f>'10_25'!F2</f>
        <v>0</v>
      </c>
      <c r="F12" s="32">
        <f>'10_25'!G2</f>
        <v>0</v>
      </c>
      <c r="G12" s="33">
        <f t="shared" si="1"/>
        <v>-159005.35999999999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-193313.98</v>
      </c>
      <c r="E13" s="32">
        <f>'11_25'!F2</f>
        <v>0</v>
      </c>
      <c r="F13" s="32">
        <f>'11_25'!G2</f>
        <v>0</v>
      </c>
      <c r="G13" s="33">
        <f t="shared" si="1"/>
        <v>-159005.35999999999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-230731.04</v>
      </c>
      <c r="E14" s="32">
        <f>'12_25'!F2</f>
        <v>0</v>
      </c>
      <c r="F14" s="32">
        <f>'12_25'!G2</f>
        <v>0</v>
      </c>
      <c r="G14" s="33">
        <f t="shared" si="1"/>
        <v>-159005.35999999999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-839395.04</v>
      </c>
      <c r="D15" s="33">
        <f>B15+C15</f>
        <v>-230731.04000000004</v>
      </c>
      <c r="E15" s="33">
        <f>SUM(E3:E14)</f>
        <v>398158.83</v>
      </c>
      <c r="F15" s="33">
        <f>SUM(F3:F14)</f>
        <v>-557164.19000000018</v>
      </c>
      <c r="G15" s="33">
        <f>E15+F15</f>
        <v>-159005.36000000016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-69949.58666666667</v>
      </c>
      <c r="D16" s="55"/>
      <c r="E16" s="55">
        <f>E15/A16</f>
        <v>33179.902500000004</v>
      </c>
      <c r="F16" s="55">
        <f>F15/A16</f>
        <v>-46430.349166666681</v>
      </c>
      <c r="G16" s="55">
        <f>G15/A16</f>
        <v>-13250.446666666679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47">
        <f>L15+M15</f>
        <v>976.10596800000008</v>
      </c>
      <c r="M17" s="547"/>
    </row>
    <row r="18" spans="2:13">
      <c r="D18" s="64" t="s">
        <v>58</v>
      </c>
      <c r="E18" s="2">
        <f>'01_25'!F32+'02_25'!F14+'02_25'!F26+'03_25'!F18+'04_25'!F41+'05_25'!F22+'06_25'!F19+'06_25'!F31+'04_25'!F14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25" zoomScale="145" zoomScaleNormal="145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-55931.839999999997</v>
      </c>
      <c r="F2" s="77">
        <f>SUM(F4:F31)</f>
        <v>0</v>
      </c>
      <c r="G2" s="77">
        <f>SUM(G4:G31)</f>
        <v>-3514.7799999999997</v>
      </c>
      <c r="H2" s="77">
        <f>F2+G2</f>
        <v>-3514.7799999999997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-2889.7799999999997</v>
      </c>
      <c r="F7" s="87"/>
      <c r="G7" s="87">
        <f>E7</f>
        <v>-2889.7799999999997</v>
      </c>
      <c r="H7" s="77">
        <f t="shared" si="0"/>
        <v>-2889.7799999999997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-3514.7799999999997</v>
      </c>
    </row>
    <row r="9" spans="1:10">
      <c r="G9" s="87"/>
      <c r="H9" s="77">
        <f t="shared" si="0"/>
        <v>-3514.7799999999997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-3514.7799999999997</v>
      </c>
    </row>
    <row r="11" spans="1:10">
      <c r="B11" s="89" t="s">
        <v>1596</v>
      </c>
      <c r="C11" s="89"/>
      <c r="D11" s="90"/>
      <c r="E11" s="90">
        <v>-25000</v>
      </c>
      <c r="H11" s="77">
        <f t="shared" si="0"/>
        <v>-3514.7799999999997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-3514.7799999999997</v>
      </c>
    </row>
    <row r="13" spans="1:10">
      <c r="A13" s="88"/>
      <c r="B13" s="92"/>
      <c r="C13" s="92"/>
      <c r="D13" s="90"/>
      <c r="E13" s="90"/>
      <c r="H13" s="77">
        <f t="shared" si="0"/>
        <v>-3514.7799999999997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-3514.7799999999997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-3514.7799999999997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-3514.7799999999997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-3514.7799999999997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-3514.7799999999997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-3514.7799999999997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-3514.7799999999997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-3514.7799999999997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-3514.7799999999997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-3514.7799999999997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-3514.7799999999997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-3514.7799999999997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-3514.7799999999997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-3514.7799999999997</v>
      </c>
    </row>
    <row r="28" spans="1:13" s="78" customFormat="1">
      <c r="D28" s="77"/>
      <c r="E28" s="77"/>
      <c r="F28" s="77"/>
      <c r="G28" s="77"/>
      <c r="H28" s="77">
        <f t="shared" si="0"/>
        <v>-3514.7799999999997</v>
      </c>
    </row>
    <row r="29" spans="1:13">
      <c r="A29" s="100"/>
      <c r="B29" s="101" t="s">
        <v>94</v>
      </c>
      <c r="C29" s="101"/>
      <c r="H29" s="77">
        <f t="shared" si="0"/>
        <v>-3514.7799999999997</v>
      </c>
      <c r="I29" s="78"/>
      <c r="J29" s="78"/>
    </row>
    <row r="30" spans="1:13">
      <c r="A30" s="100"/>
      <c r="H30" s="77">
        <f t="shared" si="0"/>
        <v>-3514.7799999999997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-3514.7799999999997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-2889.7799999999997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567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>
        <v>45772</v>
      </c>
      <c r="B40" s="77" t="s">
        <v>1786</v>
      </c>
      <c r="C40" s="77"/>
      <c r="E40" s="77">
        <v>-700</v>
      </c>
      <c r="I40" s="77"/>
      <c r="J40" s="77"/>
    </row>
    <row r="41" spans="1:14" s="77" customFormat="1">
      <c r="A41" s="386">
        <v>45772</v>
      </c>
      <c r="B41" t="s">
        <v>1787</v>
      </c>
      <c r="C41"/>
      <c r="E41" s="77">
        <v>-1200</v>
      </c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1687</v>
      </c>
      <c r="C53" s="11"/>
      <c r="D53" s="90" t="s">
        <v>1719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171"/>
  <sheetViews>
    <sheetView zoomScale="175" zoomScaleNormal="175" workbookViewId="0">
      <selection activeCell="B9" sqref="B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-62560.37</v>
      </c>
      <c r="F2" s="77">
        <f>SUM(F4:F31)</f>
        <v>0</v>
      </c>
      <c r="G2" s="77">
        <f>SUM(G4:G31)</f>
        <v>-16263.310000000001</v>
      </c>
      <c r="H2" s="77">
        <f>F2+G2</f>
        <v>-16263.310000000001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C5" s="8"/>
      <c r="D5" s="87"/>
      <c r="E5" s="87"/>
      <c r="F5" s="87"/>
      <c r="G5" s="87"/>
      <c r="H5" s="87">
        <f t="shared" si="0"/>
        <v>0</v>
      </c>
    </row>
    <row r="6" spans="1:10">
      <c r="A6" s="478">
        <v>45749</v>
      </c>
      <c r="B6" s="479" t="s">
        <v>70</v>
      </c>
      <c r="C6" s="479"/>
      <c r="D6" s="423"/>
      <c r="E6" s="423">
        <v>-2117.06</v>
      </c>
      <c r="F6" s="87"/>
      <c r="G6" s="87"/>
      <c r="H6" s="87">
        <f t="shared" si="0"/>
        <v>0</v>
      </c>
    </row>
    <row r="7" spans="1:10">
      <c r="A7" s="480">
        <v>45782</v>
      </c>
      <c r="B7" s="481" t="s">
        <v>68</v>
      </c>
      <c r="C7" s="482"/>
      <c r="D7" s="423"/>
      <c r="E7" s="423">
        <f>E37</f>
        <v>-7461.47</v>
      </c>
      <c r="F7" s="87"/>
      <c r="G7" s="87">
        <f>E7</f>
        <v>-7461.47</v>
      </c>
      <c r="H7" s="87">
        <f t="shared" si="0"/>
        <v>-7461.47</v>
      </c>
    </row>
    <row r="8" spans="1:10">
      <c r="A8" s="483"/>
      <c r="B8" s="481" t="s">
        <v>69</v>
      </c>
      <c r="C8" s="482"/>
      <c r="D8" s="423"/>
      <c r="E8" s="423">
        <f>E62</f>
        <v>-8801.84</v>
      </c>
      <c r="F8" s="87"/>
      <c r="G8" s="87">
        <f>E8</f>
        <v>-8801.84</v>
      </c>
      <c r="H8" s="87">
        <f t="shared" si="0"/>
        <v>-16263.310000000001</v>
      </c>
    </row>
    <row r="9" spans="1:10">
      <c r="B9" s="8"/>
      <c r="C9" s="8"/>
      <c r="D9" s="87"/>
      <c r="E9" s="87"/>
      <c r="F9" s="87"/>
      <c r="G9" s="87"/>
      <c r="H9" s="87">
        <f t="shared" si="0"/>
        <v>-16263.310000000001</v>
      </c>
    </row>
    <row r="10" spans="1:10">
      <c r="H10" s="87">
        <f t="shared" si="0"/>
        <v>-16263.310000000001</v>
      </c>
    </row>
    <row r="11" spans="1:10">
      <c r="B11" s="89" t="s">
        <v>1595</v>
      </c>
      <c r="C11" s="89"/>
      <c r="D11" s="90"/>
      <c r="E11" s="90">
        <v>-17500</v>
      </c>
      <c r="H11" s="87">
        <f t="shared" si="0"/>
        <v>-16263.310000000001</v>
      </c>
    </row>
    <row r="12" spans="1:10">
      <c r="B12" s="91" t="s">
        <v>72</v>
      </c>
      <c r="C12" s="92"/>
      <c r="D12" s="90"/>
      <c r="E12" s="90">
        <v>0</v>
      </c>
      <c r="H12" s="87">
        <f t="shared" si="0"/>
        <v>-16263.310000000001</v>
      </c>
    </row>
    <row r="13" spans="1:10">
      <c r="A13" s="88"/>
      <c r="B13" s="92"/>
      <c r="C13" s="92"/>
      <c r="D13" s="90"/>
      <c r="E13" s="90"/>
      <c r="H13" s="87">
        <f t="shared" si="0"/>
        <v>-16263.310000000001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87">
        <f t="shared" si="0"/>
        <v>-16263.310000000001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-16263.310000000001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-16263.310000000001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-16263.310000000001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-16263.310000000001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-16263.310000000001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-16263.310000000001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-16263.310000000001</v>
      </c>
      <c r="J21" s="94"/>
      <c r="K21" s="94"/>
      <c r="L21" s="95"/>
      <c r="M21" s="96"/>
    </row>
    <row r="22" spans="1:13" s="78" customFormat="1">
      <c r="A22" s="98">
        <v>45776</v>
      </c>
      <c r="B22" s="92" t="s">
        <v>98</v>
      </c>
      <c r="C22" s="92" t="s">
        <v>1790</v>
      </c>
      <c r="D22" s="90" t="s">
        <v>390</v>
      </c>
      <c r="E22" s="90">
        <v>-1380</v>
      </c>
      <c r="F22" s="77"/>
      <c r="G22" s="77"/>
      <c r="H22" s="77">
        <f t="shared" si="0"/>
        <v>-16263.310000000001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-16263.310000000001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-16263.310000000001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-16263.310000000001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-16263.310000000001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-16263.310000000001</v>
      </c>
    </row>
    <row r="28" spans="1:13" s="78" customFormat="1">
      <c r="D28" s="77"/>
      <c r="E28" s="77"/>
      <c r="F28" s="77"/>
      <c r="G28" s="77"/>
      <c r="H28" s="77">
        <f t="shared" si="0"/>
        <v>-16263.310000000001</v>
      </c>
    </row>
    <row r="29" spans="1:13">
      <c r="A29" s="100"/>
      <c r="B29" s="101" t="s">
        <v>96</v>
      </c>
      <c r="C29" s="101"/>
      <c r="H29" s="77">
        <f t="shared" si="0"/>
        <v>-16263.310000000001</v>
      </c>
      <c r="I29" s="78"/>
      <c r="J29" s="78"/>
    </row>
    <row r="30" spans="1:13">
      <c r="A30" s="100"/>
      <c r="H30" s="77">
        <f t="shared" si="0"/>
        <v>-16263.310000000001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-16263.310000000001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SUM(E38:E53)</f>
        <v>-7461.47</v>
      </c>
      <c r="I37" s="77"/>
      <c r="J37" s="77"/>
    </row>
    <row r="38" spans="1:14" s="77" customFormat="1">
      <c r="A38"/>
      <c r="B38"/>
      <c r="C38"/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615</v>
      </c>
      <c r="E40" s="90">
        <v>-989.78</v>
      </c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>
        <v>45751</v>
      </c>
      <c r="B42" s="77" t="s">
        <v>129</v>
      </c>
      <c r="D42" s="77">
        <v>123984.02</v>
      </c>
      <c r="I42" s="77"/>
      <c r="J42" s="77"/>
    </row>
    <row r="43" spans="1:14" s="77" customFormat="1">
      <c r="A43" s="386">
        <v>45751</v>
      </c>
      <c r="B43" t="s">
        <v>445</v>
      </c>
      <c r="C43"/>
      <c r="E43" s="77">
        <v>-672.4</v>
      </c>
      <c r="I43"/>
      <c r="J43"/>
      <c r="K43" s="78"/>
      <c r="L43" s="78"/>
      <c r="M43" s="78"/>
      <c r="N43" s="78"/>
    </row>
    <row r="44" spans="1:14" s="77" customFormat="1">
      <c r="A44" s="100">
        <v>45754</v>
      </c>
      <c r="B44" s="106" t="s">
        <v>1779</v>
      </c>
      <c r="C44" s="106"/>
      <c r="E44" s="77">
        <v>-3740</v>
      </c>
      <c r="K44" s="78"/>
      <c r="L44" s="78"/>
      <c r="M44" s="78"/>
      <c r="N44" s="78"/>
    </row>
    <row r="45" spans="1:14" s="77" customFormat="1">
      <c r="A45" s="100">
        <v>45756</v>
      </c>
      <c r="B45" s="106" t="s">
        <v>1780</v>
      </c>
      <c r="C45" s="106"/>
      <c r="E45" s="77">
        <v>-390</v>
      </c>
      <c r="K45" s="78"/>
      <c r="L45" s="78"/>
      <c r="M45" s="78"/>
      <c r="N45" s="78"/>
    </row>
    <row r="46" spans="1:14" s="77" customFormat="1">
      <c r="A46" s="100">
        <v>45764</v>
      </c>
      <c r="B46" s="107" t="s">
        <v>1781</v>
      </c>
      <c r="C46" s="106"/>
      <c r="E46" s="77">
        <v>-138.81</v>
      </c>
      <c r="K46" s="78"/>
      <c r="L46" s="78"/>
      <c r="M46" s="78"/>
      <c r="N46" s="78"/>
    </row>
    <row r="47" spans="1:14" s="77" customFormat="1">
      <c r="A47" s="100">
        <v>45766</v>
      </c>
      <c r="B47" s="107" t="s">
        <v>1612</v>
      </c>
      <c r="C47" s="106"/>
      <c r="E47" s="77">
        <v>-80</v>
      </c>
      <c r="K47" s="78"/>
      <c r="L47" s="78"/>
      <c r="M47" s="78"/>
      <c r="N47" s="78"/>
    </row>
    <row r="48" spans="1:14" s="77" customFormat="1">
      <c r="A48" s="100">
        <v>45767</v>
      </c>
      <c r="B48" s="107" t="s">
        <v>1782</v>
      </c>
      <c r="E48" s="77">
        <v>-140</v>
      </c>
      <c r="K48" s="78"/>
      <c r="L48" s="78"/>
      <c r="M48" s="78"/>
      <c r="N48" s="78"/>
    </row>
    <row r="49" spans="1:14" s="77" customFormat="1">
      <c r="A49" s="100">
        <v>45770</v>
      </c>
      <c r="B49" s="107" t="s">
        <v>1783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45770</v>
      </c>
      <c r="B50" s="3" t="s">
        <v>1781</v>
      </c>
      <c r="E50" s="77">
        <v>-372.15</v>
      </c>
      <c r="K50" s="78"/>
      <c r="L50" s="78"/>
      <c r="M50" s="78"/>
      <c r="N50" s="78"/>
    </row>
    <row r="51" spans="1:14" s="90" customFormat="1">
      <c r="A51" s="100">
        <v>45771</v>
      </c>
      <c r="B51" s="92" t="s">
        <v>1784</v>
      </c>
      <c r="E51" s="90">
        <v>-250</v>
      </c>
      <c r="K51" s="78"/>
      <c r="L51" s="78"/>
      <c r="M51" s="78"/>
      <c r="N51" s="78"/>
    </row>
    <row r="52" spans="1:14" s="90" customFormat="1">
      <c r="A52" s="100">
        <v>45771</v>
      </c>
      <c r="B52" s="92" t="s">
        <v>1781</v>
      </c>
      <c r="E52" s="90">
        <v>-208.33</v>
      </c>
      <c r="K52" s="78"/>
      <c r="L52" s="78"/>
      <c r="M52" s="78"/>
      <c r="N52" s="78"/>
    </row>
    <row r="53" spans="1:14" s="90" customFormat="1">
      <c r="A53" s="100">
        <v>45772</v>
      </c>
      <c r="B53" s="92" t="s">
        <v>1785</v>
      </c>
      <c r="E53" s="90">
        <v>-180</v>
      </c>
      <c r="K53" s="78"/>
      <c r="L53" s="78"/>
      <c r="M53" s="78"/>
      <c r="N53" s="78"/>
    </row>
    <row r="54" spans="1:14" s="90" customFormat="1" ht="15">
      <c r="A54" s="100"/>
      <c r="B54" s="92"/>
      <c r="E54" s="105" t="s">
        <v>84</v>
      </c>
      <c r="K54" s="78"/>
      <c r="L54" s="78"/>
      <c r="M54" s="78"/>
      <c r="N54" s="78"/>
    </row>
    <row r="55" spans="1:14" s="90" customFormat="1">
      <c r="A55" s="100"/>
      <c r="B55" s="92"/>
      <c r="C55" s="90" t="s">
        <v>807</v>
      </c>
      <c r="K55" s="78"/>
      <c r="L55" s="78"/>
      <c r="M55" s="78"/>
      <c r="N55" s="78"/>
    </row>
    <row r="56" spans="1:14" s="90" customFormat="1">
      <c r="A56" s="100">
        <v>45752</v>
      </c>
      <c r="B56" s="92" t="s">
        <v>1788</v>
      </c>
      <c r="C56" s="90">
        <v>-15.6</v>
      </c>
      <c r="K56" s="78"/>
      <c r="L56" s="78"/>
      <c r="M56" s="78"/>
      <c r="N56" s="78"/>
    </row>
    <row r="57" spans="1:14" s="90" customFormat="1">
      <c r="A57" s="100">
        <v>45752</v>
      </c>
      <c r="B57" s="92" t="s">
        <v>1789</v>
      </c>
      <c r="C57" s="90">
        <v>-8.49</v>
      </c>
      <c r="K57" s="78"/>
      <c r="L57" s="78"/>
      <c r="M57" s="78"/>
      <c r="N57" s="78"/>
    </row>
    <row r="58" spans="1:14" s="90" customFormat="1">
      <c r="A58" s="100"/>
      <c r="B58" s="92"/>
      <c r="K58" s="78"/>
      <c r="L58" s="78"/>
      <c r="M58" s="78"/>
      <c r="N58" s="78"/>
    </row>
    <row r="59" spans="1:14" s="90" customFormat="1">
      <c r="A59" s="100"/>
      <c r="B59" s="92"/>
      <c r="K59" s="78"/>
      <c r="L59" s="78"/>
      <c r="M59" s="78"/>
      <c r="N59" s="78"/>
    </row>
    <row r="60" spans="1:14" s="90" customFormat="1">
      <c r="A60" s="100"/>
      <c r="B60" s="92"/>
      <c r="K60" s="78"/>
      <c r="L60" s="78"/>
      <c r="M60" s="78"/>
      <c r="N60" s="78"/>
    </row>
    <row r="61" spans="1:14" s="77" customFormat="1">
      <c r="A61" s="100"/>
      <c r="B61" s="106"/>
      <c r="C61" s="106"/>
      <c r="K61" s="78"/>
      <c r="L61" s="78"/>
      <c r="M61" s="78"/>
      <c r="N61" s="78"/>
    </row>
    <row r="62" spans="1:14" s="77" customFormat="1">
      <c r="A62" s="103"/>
      <c r="B62" s="104" t="s">
        <v>85</v>
      </c>
      <c r="C62" s="103"/>
      <c r="E62" s="77">
        <f>SUM(E63:E88)</f>
        <v>-8801.84</v>
      </c>
      <c r="K62" s="78"/>
      <c r="L62" s="78"/>
      <c r="M62" s="78"/>
      <c r="N62" s="78"/>
    </row>
    <row r="63" spans="1:14" s="77" customFormat="1">
      <c r="A63" s="100"/>
      <c r="B63" s="106"/>
      <c r="C63" s="106"/>
      <c r="K63" s="78"/>
      <c r="L63" s="78"/>
      <c r="M63" s="78"/>
      <c r="N63" s="78"/>
    </row>
    <row r="64" spans="1:14" s="77" customFormat="1">
      <c r="A64" s="100"/>
      <c r="B64" s="106"/>
      <c r="C64" s="106"/>
      <c r="K64" s="78"/>
      <c r="L64" s="78"/>
      <c r="M64" s="78"/>
      <c r="N64" s="78"/>
    </row>
    <row r="65" spans="1:14" s="77" customFormat="1">
      <c r="K65" s="78"/>
      <c r="L65" s="78"/>
      <c r="M65" s="78"/>
      <c r="N65" s="78"/>
    </row>
    <row r="66" spans="1:14" s="77" customFormat="1">
      <c r="A66" s="98">
        <v>45728</v>
      </c>
      <c r="B66" s="90" t="s">
        <v>1687</v>
      </c>
      <c r="C66" s="11"/>
      <c r="D66" s="90" t="s">
        <v>1718</v>
      </c>
      <c r="E66" s="90">
        <v>-625</v>
      </c>
      <c r="K66" s="78"/>
      <c r="L66" s="78"/>
      <c r="M66" s="78"/>
      <c r="N66" s="78"/>
    </row>
    <row r="67" spans="1:14" s="77" customFormat="1">
      <c r="A67" s="430">
        <v>45692</v>
      </c>
      <c r="B67" s="90" t="s">
        <v>1662</v>
      </c>
      <c r="C67" s="90"/>
      <c r="D67" s="90" t="s">
        <v>954</v>
      </c>
      <c r="E67" s="90">
        <v>-600.14</v>
      </c>
      <c r="K67" s="78"/>
      <c r="L67" s="78"/>
      <c r="M67" s="78"/>
      <c r="N67" s="78"/>
    </row>
    <row r="68" spans="1:14" s="77" customFormat="1">
      <c r="A68" s="430">
        <v>45692</v>
      </c>
      <c r="B68" s="90" t="s">
        <v>1662</v>
      </c>
      <c r="C68" s="90"/>
      <c r="D68" s="90" t="s">
        <v>954</v>
      </c>
      <c r="E68" s="90">
        <v>-2500.3000000000002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>
        <v>45743</v>
      </c>
      <c r="B70" s="3" t="s">
        <v>129</v>
      </c>
      <c r="C70" s="106"/>
      <c r="D70" s="77">
        <v>19953.18</v>
      </c>
      <c r="K70" s="78"/>
      <c r="L70" s="78"/>
      <c r="M70" s="78"/>
      <c r="N70" s="78"/>
    </row>
    <row r="71" spans="1:14" s="77" customFormat="1">
      <c r="A71" s="100">
        <v>45744</v>
      </c>
      <c r="B71" s="3" t="s">
        <v>1798</v>
      </c>
      <c r="C71" s="106"/>
      <c r="E71" s="77">
        <v>-1300</v>
      </c>
      <c r="K71" s="78"/>
      <c r="L71" s="78"/>
      <c r="M71" s="78"/>
      <c r="N71" s="78"/>
    </row>
    <row r="72" spans="1:14" s="77" customFormat="1">
      <c r="A72" s="100">
        <v>45749</v>
      </c>
      <c r="B72" s="3"/>
      <c r="C72" s="106"/>
      <c r="E72" s="77">
        <v>-335</v>
      </c>
      <c r="K72" s="78"/>
      <c r="L72" s="78"/>
      <c r="M72" s="78"/>
      <c r="N72" s="78"/>
    </row>
    <row r="73" spans="1:14" s="77" customFormat="1">
      <c r="A73" s="100">
        <v>45750</v>
      </c>
      <c r="B73" s="3" t="s">
        <v>1799</v>
      </c>
      <c r="C73" s="106"/>
      <c r="E73" s="77">
        <v>-129.99</v>
      </c>
      <c r="K73" s="78"/>
      <c r="L73" s="78"/>
      <c r="M73" s="78"/>
      <c r="N73" s="78"/>
    </row>
    <row r="74" spans="1:14" s="77" customFormat="1">
      <c r="A74" s="100">
        <v>45756</v>
      </c>
      <c r="B74" s="3" t="s">
        <v>1801</v>
      </c>
      <c r="C74" s="106"/>
      <c r="E74" s="77">
        <v>-360</v>
      </c>
      <c r="K74" s="78"/>
      <c r="L74" s="78"/>
      <c r="M74" s="78"/>
      <c r="N74" s="78"/>
    </row>
    <row r="75" spans="1:14" s="77" customFormat="1">
      <c r="A75" s="100">
        <v>45756</v>
      </c>
      <c r="B75" s="3" t="s">
        <v>1800</v>
      </c>
      <c r="C75" s="106"/>
      <c r="E75" s="77">
        <v>-1425</v>
      </c>
      <c r="K75" s="78"/>
      <c r="L75" s="78"/>
      <c r="M75" s="78"/>
      <c r="N75" s="78"/>
    </row>
    <row r="76" spans="1:14" s="90" customFormat="1">
      <c r="A76" s="100">
        <v>45757</v>
      </c>
      <c r="B76" s="92" t="s">
        <v>1802</v>
      </c>
      <c r="C76" s="106"/>
      <c r="E76" s="90">
        <v>-120</v>
      </c>
      <c r="K76" s="78"/>
      <c r="L76" s="78"/>
      <c r="M76" s="78"/>
      <c r="N76" s="78"/>
    </row>
    <row r="77" spans="1:14" s="90" customFormat="1">
      <c r="A77" s="100">
        <v>45758</v>
      </c>
      <c r="B77" s="92" t="s">
        <v>1803</v>
      </c>
      <c r="C77" s="106"/>
      <c r="E77" s="90">
        <v>-406.41</v>
      </c>
      <c r="K77" s="78"/>
      <c r="L77" s="78"/>
      <c r="M77" s="78"/>
      <c r="N77" s="78"/>
    </row>
    <row r="78" spans="1:14" s="90" customFormat="1">
      <c r="A78" s="100">
        <v>45759</v>
      </c>
      <c r="B78" s="92" t="s">
        <v>1804</v>
      </c>
      <c r="C78" s="106"/>
      <c r="E78" s="90">
        <v>-50</v>
      </c>
      <c r="K78" s="78"/>
      <c r="L78" s="78"/>
      <c r="M78" s="78"/>
      <c r="N78" s="78"/>
    </row>
    <row r="79" spans="1:14" s="90" customFormat="1">
      <c r="A79" s="100">
        <v>45757</v>
      </c>
      <c r="B79" s="92" t="s">
        <v>1782</v>
      </c>
      <c r="C79" s="106"/>
      <c r="E79" s="90">
        <v>-210</v>
      </c>
      <c r="K79" s="78"/>
      <c r="L79" s="78"/>
      <c r="M79" s="78"/>
      <c r="N79" s="78"/>
    </row>
    <row r="80" spans="1:14" s="90" customFormat="1">
      <c r="A80" s="100">
        <v>45762</v>
      </c>
      <c r="B80" s="92" t="s">
        <v>131</v>
      </c>
      <c r="C80" s="106"/>
      <c r="E80" s="90">
        <v>-250</v>
      </c>
      <c r="K80" s="78"/>
      <c r="L80" s="78"/>
      <c r="M80" s="78"/>
      <c r="N80" s="78"/>
    </row>
    <row r="81" spans="1:14" s="90" customFormat="1">
      <c r="A81" s="100">
        <v>45764</v>
      </c>
      <c r="B81" s="92" t="s">
        <v>1805</v>
      </c>
      <c r="C81" s="106"/>
      <c r="E81" s="90">
        <v>-120</v>
      </c>
      <c r="K81" s="78"/>
      <c r="L81" s="78"/>
      <c r="M81" s="78"/>
      <c r="N81" s="78"/>
    </row>
    <row r="82" spans="1:14" s="90" customFormat="1">
      <c r="A82" s="100">
        <v>45764</v>
      </c>
      <c r="B82" s="92" t="s">
        <v>651</v>
      </c>
      <c r="C82" s="106"/>
      <c r="E82" s="90">
        <v>-370</v>
      </c>
      <c r="K82" s="78"/>
      <c r="L82" s="78"/>
      <c r="M82" s="78"/>
      <c r="N82" s="78"/>
    </row>
    <row r="83" spans="1:14" s="77" customFormat="1" ht="15">
      <c r="A83" s="100"/>
      <c r="B83" s="3"/>
      <c r="C83" s="106"/>
      <c r="E83" s="105" t="s">
        <v>84</v>
      </c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>
      <c r="A89" s="100"/>
      <c r="B89" s="3"/>
      <c r="C89" s="77"/>
      <c r="I89" s="77"/>
      <c r="J89" s="77"/>
    </row>
    <row r="100" spans="1:10">
      <c r="A100" s="113" t="s">
        <v>1807</v>
      </c>
      <c r="B100" s="104" t="s">
        <v>136</v>
      </c>
      <c r="C100" s="103">
        <v>2025</v>
      </c>
      <c r="D100" s="90"/>
      <c r="E100" s="90"/>
      <c r="F100" s="90"/>
      <c r="G100" s="90">
        <f>SUM(G104:G129)</f>
        <v>650146.41620000009</v>
      </c>
      <c r="H100" s="90"/>
      <c r="I100" s="90"/>
      <c r="J100" s="11"/>
    </row>
    <row r="101" spans="1:10">
      <c r="A101" s="113"/>
      <c r="B101" s="104"/>
      <c r="C101" s="103"/>
      <c r="D101" s="90"/>
      <c r="E101" s="90"/>
      <c r="F101" s="90"/>
      <c r="G101" s="90"/>
      <c r="H101" s="90"/>
      <c r="I101" s="90"/>
      <c r="J101" s="11"/>
    </row>
    <row r="102" spans="1:10">
      <c r="A102" s="113"/>
      <c r="B102" s="104"/>
      <c r="C102" s="103"/>
      <c r="D102" s="90"/>
      <c r="E102" s="90" t="s">
        <v>137</v>
      </c>
      <c r="F102" s="90"/>
      <c r="G102" s="90"/>
      <c r="H102" s="90"/>
      <c r="I102" s="90"/>
      <c r="J102" s="11"/>
    </row>
    <row r="103" spans="1:10">
      <c r="A103" s="100"/>
      <c r="B103" s="90" t="s">
        <v>77</v>
      </c>
      <c r="C103" s="90"/>
      <c r="D103" s="90"/>
      <c r="E103" s="90"/>
      <c r="F103" s="90"/>
      <c r="G103" s="90">
        <v>0</v>
      </c>
      <c r="H103" s="90"/>
      <c r="I103" s="90"/>
      <c r="J103" s="11"/>
    </row>
    <row r="104" spans="1:10">
      <c r="A104" s="100"/>
      <c r="B104" s="90" t="s">
        <v>78</v>
      </c>
      <c r="C104" s="90"/>
      <c r="D104" s="90"/>
      <c r="E104" s="90"/>
      <c r="F104" s="90"/>
      <c r="G104" s="90">
        <v>0</v>
      </c>
      <c r="H104" s="90"/>
      <c r="I104" s="90"/>
      <c r="J104" s="11"/>
    </row>
    <row r="105" spans="1:10">
      <c r="A105" s="548">
        <v>45777</v>
      </c>
      <c r="B105" s="90" t="s">
        <v>1739</v>
      </c>
      <c r="C105" s="90"/>
      <c r="D105" s="90"/>
      <c r="E105" s="90">
        <v>122830</v>
      </c>
      <c r="F105" s="90"/>
      <c r="G105" s="90">
        <f>E105+F105</f>
        <v>122830</v>
      </c>
      <c r="H105" s="90"/>
      <c r="I105" s="90"/>
      <c r="J105" s="11"/>
    </row>
    <row r="106" spans="1:10">
      <c r="A106" s="548"/>
      <c r="B106" s="90" t="s">
        <v>1740</v>
      </c>
      <c r="C106" s="90"/>
      <c r="D106" s="90"/>
      <c r="E106" s="90"/>
      <c r="F106" s="90"/>
      <c r="G106" s="90">
        <f>D86</f>
        <v>0</v>
      </c>
      <c r="H106" s="90"/>
      <c r="I106" s="90"/>
      <c r="J106" s="11"/>
    </row>
    <row r="107" spans="1:10">
      <c r="A107" s="548">
        <v>45777</v>
      </c>
      <c r="B107" s="90" t="s">
        <v>139</v>
      </c>
      <c r="C107" s="12"/>
      <c r="D107" s="12"/>
      <c r="E107" s="90"/>
      <c r="F107" s="90"/>
      <c r="G107" s="17">
        <v>6171</v>
      </c>
      <c r="H107" s="90"/>
      <c r="I107" s="90"/>
      <c r="J107" s="11"/>
    </row>
    <row r="108" spans="1:10">
      <c r="A108" s="548">
        <v>45777</v>
      </c>
      <c r="B108" s="90" t="s">
        <v>140</v>
      </c>
      <c r="C108" s="12"/>
      <c r="D108" s="12"/>
      <c r="E108" s="90"/>
      <c r="F108" s="90"/>
      <c r="G108" s="17">
        <v>300</v>
      </c>
      <c r="H108" s="90"/>
      <c r="I108" s="90"/>
      <c r="J108" s="11"/>
    </row>
    <row r="109" spans="1:10">
      <c r="A109" s="100"/>
      <c r="B109" s="90"/>
      <c r="C109" s="12"/>
      <c r="D109" s="12"/>
      <c r="E109" s="90"/>
      <c r="F109" s="90"/>
      <c r="G109" s="17"/>
      <c r="H109" s="90"/>
      <c r="I109" s="90" t="s">
        <v>1686</v>
      </c>
      <c r="J109" s="11"/>
    </row>
    <row r="110" spans="1:10">
      <c r="A110" s="100">
        <v>45620</v>
      </c>
      <c r="B110" s="82" t="s">
        <v>1604</v>
      </c>
      <c r="C110" s="114"/>
      <c r="D110" s="114">
        <v>32.549999999999997</v>
      </c>
      <c r="E110" s="116">
        <f t="shared" ref="E110:E113" si="1">D110*C110</f>
        <v>0</v>
      </c>
      <c r="F110" s="90">
        <v>45.3</v>
      </c>
      <c r="G110" s="17">
        <f t="shared" ref="G110" si="2">F110*C110</f>
        <v>0</v>
      </c>
      <c r="H110" s="90"/>
      <c r="I110" s="90">
        <f t="shared" ref="I110" si="3">G110-E110</f>
        <v>0</v>
      </c>
      <c r="J110" s="11"/>
    </row>
    <row r="111" spans="1:10">
      <c r="A111" s="100">
        <v>45620</v>
      </c>
      <c r="B111" s="82" t="s">
        <v>1604</v>
      </c>
      <c r="C111" s="114">
        <v>1000</v>
      </c>
      <c r="D111" s="114">
        <v>32.549999999999997</v>
      </c>
      <c r="E111" s="116">
        <f t="shared" si="1"/>
        <v>32549.999999999996</v>
      </c>
      <c r="F111" s="90">
        <f>F110</f>
        <v>45.3</v>
      </c>
      <c r="G111" s="17">
        <f>F111*C111</f>
        <v>45300</v>
      </c>
      <c r="H111" s="90"/>
      <c r="I111" s="90">
        <f>G111-E111</f>
        <v>12750.000000000004</v>
      </c>
      <c r="J111" s="11"/>
    </row>
    <row r="112" spans="1:10">
      <c r="A112" s="100">
        <v>45659</v>
      </c>
      <c r="B112" s="82" t="s">
        <v>1603</v>
      </c>
      <c r="C112" s="114">
        <v>4000</v>
      </c>
      <c r="D112" s="115">
        <v>30.86</v>
      </c>
      <c r="E112" s="116">
        <f t="shared" si="1"/>
        <v>123440</v>
      </c>
      <c r="F112" s="90">
        <f>F111</f>
        <v>45.3</v>
      </c>
      <c r="G112" s="17">
        <f t="shared" ref="G112:G113" si="4">F112*C112</f>
        <v>181200</v>
      </c>
      <c r="H112" s="419">
        <f>SUM(G111:G112)</f>
        <v>226500</v>
      </c>
      <c r="I112" s="90">
        <f t="shared" ref="I112:I113" si="5">G112-E112</f>
        <v>57760</v>
      </c>
      <c r="J112" s="11"/>
    </row>
    <row r="113" spans="1:10" ht="13.5" thickBot="1">
      <c r="A113" s="100">
        <v>45772</v>
      </c>
      <c r="B113" s="82" t="s">
        <v>236</v>
      </c>
      <c r="C113" s="114">
        <v>40</v>
      </c>
      <c r="D113" s="115">
        <v>983.06700000000001</v>
      </c>
      <c r="E113" s="116">
        <f t="shared" si="1"/>
        <v>39322.68</v>
      </c>
      <c r="F113" s="90">
        <v>988.94078000000002</v>
      </c>
      <c r="G113" s="17">
        <f t="shared" si="4"/>
        <v>39557.631200000003</v>
      </c>
      <c r="H113" s="419"/>
      <c r="I113" s="90">
        <f t="shared" si="5"/>
        <v>234.95120000000315</v>
      </c>
      <c r="J113" s="11"/>
    </row>
    <row r="114" spans="1:10" ht="13.5" thickBot="1">
      <c r="A114" s="100"/>
      <c r="B114" s="90"/>
      <c r="C114" s="12"/>
      <c r="D114" s="12"/>
      <c r="E114" s="90">
        <f>SUM(E110:E112)</f>
        <v>155990</v>
      </c>
      <c r="F114" s="90"/>
      <c r="G114" s="90"/>
      <c r="H114" s="117">
        <f>(SUM(G110:G112))-(SUM(E110:E112))</f>
        <v>70510</v>
      </c>
      <c r="I114" s="117">
        <f>SUM(I110:I112)</f>
        <v>70510</v>
      </c>
      <c r="J114" s="11"/>
    </row>
    <row r="115" spans="1:10">
      <c r="A115" s="100"/>
      <c r="B115" s="90"/>
      <c r="C115" s="12"/>
      <c r="D115" s="12"/>
      <c r="E115" s="90"/>
      <c r="F115" s="90"/>
      <c r="G115" s="90"/>
      <c r="H115" s="90"/>
      <c r="I115" s="90"/>
      <c r="J115" s="11"/>
    </row>
    <row r="116" spans="1:10">
      <c r="A116" s="100">
        <v>45345</v>
      </c>
      <c r="B116" s="82" t="s">
        <v>143</v>
      </c>
      <c r="C116" s="118">
        <v>125000</v>
      </c>
      <c r="D116" s="83">
        <v>1.0399430000000001</v>
      </c>
      <c r="E116" s="116">
        <f>D116*C116</f>
        <v>129992.87500000001</v>
      </c>
      <c r="F116" s="404">
        <v>0.90134499999999995</v>
      </c>
      <c r="G116" s="17">
        <f>F116*C116</f>
        <v>112668.125</v>
      </c>
      <c r="H116" s="90"/>
      <c r="I116" s="90">
        <f t="shared" ref="I116:I119" si="6">G116-E116</f>
        <v>-17324.750000000015</v>
      </c>
      <c r="J116" s="11"/>
    </row>
    <row r="117" spans="1:10">
      <c r="A117" s="100">
        <v>45400</v>
      </c>
      <c r="B117" s="82" t="s">
        <v>144</v>
      </c>
      <c r="C117" s="114">
        <v>10</v>
      </c>
      <c r="D117" s="83">
        <v>135</v>
      </c>
      <c r="E117" s="116">
        <f>D117*C117</f>
        <v>1350</v>
      </c>
      <c r="F117" s="90">
        <v>109.4</v>
      </c>
      <c r="G117" s="17">
        <f>F117*C117</f>
        <v>1094</v>
      </c>
      <c r="H117" s="90"/>
      <c r="I117" s="90">
        <f t="shared" si="6"/>
        <v>-256</v>
      </c>
      <c r="J117" s="11"/>
    </row>
    <row r="118" spans="1:10">
      <c r="A118" s="100">
        <v>45418</v>
      </c>
      <c r="B118" s="82" t="s">
        <v>145</v>
      </c>
      <c r="C118" s="114">
        <v>38</v>
      </c>
      <c r="D118" s="83">
        <v>30.5</v>
      </c>
      <c r="E118" s="116">
        <f>D118*C118</f>
        <v>1159</v>
      </c>
      <c r="F118" s="90">
        <v>15.67</v>
      </c>
      <c r="G118" s="17">
        <f>F118*C118</f>
        <v>595.46</v>
      </c>
      <c r="H118" s="90"/>
      <c r="I118" s="90">
        <f t="shared" si="6"/>
        <v>-563.54</v>
      </c>
      <c r="J118" s="11"/>
    </row>
    <row r="119" spans="1:10" ht="13.5" thickBot="1">
      <c r="A119" s="100">
        <v>45418</v>
      </c>
      <c r="B119" s="82" t="s">
        <v>146</v>
      </c>
      <c r="C119" s="114">
        <v>26</v>
      </c>
      <c r="D119" s="83">
        <v>37.115000000000002</v>
      </c>
      <c r="E119" s="116">
        <f>D119*C119</f>
        <v>964.99</v>
      </c>
      <c r="F119" s="90">
        <v>22.7</v>
      </c>
      <c r="G119" s="17">
        <f>F119*C119</f>
        <v>590.19999999999993</v>
      </c>
      <c r="H119" s="419">
        <f>SUM(G116:G119)</f>
        <v>114947.785</v>
      </c>
      <c r="I119" s="90">
        <f t="shared" si="6"/>
        <v>-374.79000000000008</v>
      </c>
      <c r="J119" s="11"/>
    </row>
    <row r="120" spans="1:10" ht="13.5" thickBot="1">
      <c r="A120" s="100"/>
      <c r="B120" s="90"/>
      <c r="C120" s="12"/>
      <c r="D120" s="12"/>
      <c r="E120" s="90">
        <f>SUM(E116:E119)</f>
        <v>133466.86499999999</v>
      </c>
      <c r="F120" s="90"/>
      <c r="G120" s="90"/>
      <c r="H120" s="117">
        <f>(SUM(G116:G119))-(SUM(E116:E119))</f>
        <v>-18519.079999999987</v>
      </c>
      <c r="I120" s="90"/>
      <c r="J120" s="11"/>
    </row>
    <row r="121" spans="1:10">
      <c r="A121" s="100"/>
      <c r="B121" s="90"/>
      <c r="C121" s="90"/>
      <c r="D121" s="90"/>
      <c r="E121" s="17"/>
      <c r="F121" s="90"/>
      <c r="G121" s="90"/>
      <c r="H121" s="90"/>
      <c r="I121" s="90"/>
      <c r="J121" s="11"/>
    </row>
    <row r="122" spans="1:10">
      <c r="A122" s="100">
        <v>45509</v>
      </c>
      <c r="B122" s="82" t="s">
        <v>1732</v>
      </c>
      <c r="C122" s="114">
        <v>1</v>
      </c>
      <c r="D122" s="83">
        <v>2500</v>
      </c>
      <c r="E122" s="116">
        <f>D122*C122</f>
        <v>2500</v>
      </c>
      <c r="F122" s="90">
        <v>3900</v>
      </c>
      <c r="G122" s="17">
        <f>C122*F122</f>
        <v>3900</v>
      </c>
      <c r="H122" s="90"/>
      <c r="I122" s="90">
        <f t="shared" ref="I122:I124" si="7">G122-E122</f>
        <v>1400</v>
      </c>
      <c r="J122" s="11"/>
    </row>
    <row r="123" spans="1:10">
      <c r="A123" s="100">
        <v>45509</v>
      </c>
      <c r="B123" s="82" t="s">
        <v>148</v>
      </c>
      <c r="C123" s="114">
        <v>16</v>
      </c>
      <c r="D123" s="83">
        <v>4100</v>
      </c>
      <c r="E123" s="116">
        <f>D123*C123</f>
        <v>65600</v>
      </c>
      <c r="F123" s="90">
        <f>F122*1.73</f>
        <v>6747</v>
      </c>
      <c r="G123" s="17">
        <f>C123*F123</f>
        <v>107952</v>
      </c>
      <c r="H123" s="90"/>
      <c r="I123" s="90">
        <f t="shared" si="7"/>
        <v>42352</v>
      </c>
      <c r="J123" s="11"/>
    </row>
    <row r="124" spans="1:10" ht="13.5" thickBot="1">
      <c r="A124" s="100">
        <v>45509</v>
      </c>
      <c r="B124" s="82" t="s">
        <v>149</v>
      </c>
      <c r="C124" s="114">
        <v>1</v>
      </c>
      <c r="D124" s="83">
        <v>16200</v>
      </c>
      <c r="E124" s="116">
        <f>D124*C124</f>
        <v>16200</v>
      </c>
      <c r="F124" s="90">
        <f>F123*4</f>
        <v>26988</v>
      </c>
      <c r="G124" s="17">
        <f>C124*F124</f>
        <v>26988</v>
      </c>
      <c r="H124" s="419">
        <f>SUM(G122:G124)</f>
        <v>138840</v>
      </c>
      <c r="I124" s="90">
        <f t="shared" si="7"/>
        <v>10788</v>
      </c>
      <c r="J124" s="11"/>
    </row>
    <row r="125" spans="1:10" ht="13.5" thickBot="1">
      <c r="A125" s="100"/>
      <c r="B125" s="90"/>
      <c r="C125" s="12"/>
      <c r="D125" s="12"/>
      <c r="E125" s="90">
        <f>SUM(E122:E124)</f>
        <v>84300</v>
      </c>
      <c r="F125" s="90"/>
      <c r="G125" s="90"/>
      <c r="H125" s="117">
        <f>(SUM(G122:G124))-(SUM(E122:E124))</f>
        <v>54540</v>
      </c>
      <c r="I125" s="90"/>
      <c r="J125" s="11"/>
    </row>
    <row r="126" spans="1:10">
      <c r="A126" s="100"/>
      <c r="B126" s="90" t="s">
        <v>150</v>
      </c>
      <c r="C126" s="120">
        <v>33.250599999999999</v>
      </c>
      <c r="D126" s="12"/>
      <c r="E126" s="90"/>
      <c r="F126" s="90"/>
      <c r="G126" s="17"/>
      <c r="H126" s="90"/>
      <c r="I126" s="90"/>
      <c r="J126" s="11"/>
    </row>
    <row r="127" spans="1:10">
      <c r="A127" s="100"/>
      <c r="B127" s="90" t="s">
        <v>151</v>
      </c>
      <c r="C127" s="120">
        <v>36.854999999999997</v>
      </c>
      <c r="D127" s="12"/>
      <c r="E127" s="90"/>
      <c r="F127" s="90"/>
      <c r="G127" s="17"/>
      <c r="H127" s="90"/>
      <c r="I127" s="90"/>
      <c r="J127" s="11"/>
    </row>
    <row r="128" spans="1:10">
      <c r="A128" s="100"/>
      <c r="B128" s="90" t="s">
        <v>152</v>
      </c>
      <c r="C128" s="12"/>
      <c r="D128" s="12"/>
      <c r="E128" s="90"/>
      <c r="F128" s="90"/>
      <c r="G128" s="17">
        <v>0</v>
      </c>
      <c r="H128" s="90"/>
      <c r="I128" s="90"/>
      <c r="J128" s="11"/>
    </row>
    <row r="129" spans="1:13" ht="13.5" thickBot="1">
      <c r="A129" s="100"/>
      <c r="B129" s="90" t="s">
        <v>153</v>
      </c>
      <c r="C129" s="12"/>
      <c r="D129" s="12"/>
      <c r="E129" s="90"/>
      <c r="F129" s="90"/>
      <c r="G129" s="17">
        <v>1000</v>
      </c>
      <c r="H129" s="90"/>
      <c r="I129" s="90"/>
      <c r="J129" s="11"/>
    </row>
    <row r="130" spans="1:13" ht="13.5" thickBot="1">
      <c r="A130" s="100"/>
      <c r="B130" s="90"/>
      <c r="C130" s="90"/>
      <c r="D130" s="90"/>
      <c r="E130" s="121"/>
      <c r="F130" s="122"/>
      <c r="G130" s="123" t="s">
        <v>154</v>
      </c>
      <c r="H130" s="429">
        <f>H125+H120+H114</f>
        <v>106530.92000000001</v>
      </c>
      <c r="I130" s="90"/>
      <c r="J130" s="11"/>
    </row>
    <row r="131" spans="1:13" ht="13.5" thickBot="1">
      <c r="A131" s="100"/>
      <c r="B131" s="90"/>
      <c r="C131" s="124"/>
      <c r="D131" s="92"/>
      <c r="E131" s="90"/>
      <c r="F131" s="90"/>
      <c r="G131" s="124"/>
      <c r="H131" s="90"/>
      <c r="I131" s="90"/>
      <c r="J131" s="11"/>
    </row>
    <row r="132" spans="1:13" ht="13.5" thickBot="1">
      <c r="A132" s="100"/>
      <c r="B132" s="90"/>
      <c r="C132" s="124"/>
      <c r="D132" s="18" t="s">
        <v>155</v>
      </c>
      <c r="E132" s="90"/>
      <c r="F132" s="90"/>
      <c r="G132" s="488">
        <f>SUM(G104:G129)</f>
        <v>650146.41620000009</v>
      </c>
      <c r="H132" s="90"/>
      <c r="I132" s="90"/>
      <c r="J132" s="11"/>
    </row>
    <row r="133" spans="1:13">
      <c r="A133" s="100"/>
      <c r="B133" s="90"/>
      <c r="C133" s="126" t="str">
        <f>A100</f>
        <v>HAZİRAN 2025 e</v>
      </c>
      <c r="D133" s="126" t="s">
        <v>156</v>
      </c>
      <c r="E133" s="90"/>
      <c r="F133" s="90"/>
      <c r="G133" s="127"/>
      <c r="H133" s="90"/>
      <c r="I133" s="90"/>
      <c r="J133" s="11"/>
    </row>
    <row r="134" spans="1:13">
      <c r="A134" s="100"/>
      <c r="B134" s="11"/>
      <c r="C134" s="438"/>
      <c r="D134" s="439"/>
      <c r="E134" s="405"/>
      <c r="F134" s="405"/>
      <c r="G134" s="409"/>
      <c r="H134" s="90"/>
      <c r="I134" s="90"/>
      <c r="J134" s="11"/>
    </row>
    <row r="135" spans="1:13">
      <c r="A135" s="90"/>
      <c r="B135" s="90" t="s">
        <v>1685</v>
      </c>
      <c r="C135" s="90"/>
      <c r="D135" s="90"/>
      <c r="E135" s="90"/>
      <c r="F135" s="90"/>
      <c r="G135" s="90"/>
      <c r="H135" s="90"/>
      <c r="I135" s="90" t="s">
        <v>1676</v>
      </c>
      <c r="J135" s="11" t="s">
        <v>1676</v>
      </c>
      <c r="K135" s="78" t="s">
        <v>1677</v>
      </c>
      <c r="L135" s="78" t="s">
        <v>1678</v>
      </c>
      <c r="M135" s="78" t="s">
        <v>1679</v>
      </c>
    </row>
    <row r="136" spans="1:13">
      <c r="A136" s="100">
        <v>45620</v>
      </c>
      <c r="B136" s="82" t="s">
        <v>1604</v>
      </c>
      <c r="C136" s="114">
        <v>3000</v>
      </c>
      <c r="D136" s="114">
        <v>32.549999999999997</v>
      </c>
      <c r="E136" s="116">
        <f t="shared" ref="E136" si="8">D136*C136</f>
        <v>97649.999999999985</v>
      </c>
      <c r="F136" s="90">
        <v>42.86</v>
      </c>
      <c r="G136" s="17">
        <f t="shared" ref="G136" si="9">F136*C136</f>
        <v>128580</v>
      </c>
      <c r="H136" s="90"/>
      <c r="I136" s="90">
        <f t="shared" ref="I136" si="10">G136-E136</f>
        <v>30930.000000000015</v>
      </c>
      <c r="J136" s="443">
        <f>(I136-I137)/E136</f>
        <v>0.31674347158218147</v>
      </c>
      <c r="K136" s="100">
        <v>45721</v>
      </c>
      <c r="L136" s="78">
        <f>K136-A136</f>
        <v>101</v>
      </c>
      <c r="M136" s="443">
        <f>J136/L136*30</f>
        <v>9.4082219281836091E-2</v>
      </c>
    </row>
    <row r="137" spans="1:13">
      <c r="A137" s="100"/>
      <c r="B137" s="82"/>
      <c r="C137" s="114" t="s">
        <v>1731</v>
      </c>
      <c r="D137" s="115"/>
      <c r="E137" s="116"/>
      <c r="F137" s="90" t="s">
        <v>1730</v>
      </c>
      <c r="G137" s="17">
        <v>-257.16000000000003</v>
      </c>
      <c r="H137" s="90"/>
      <c r="I137" s="90"/>
      <c r="J137" s="90"/>
      <c r="K137" s="475"/>
      <c r="M137" s="443"/>
    </row>
    <row r="138" spans="1:13">
      <c r="A138" s="100"/>
      <c r="B138" s="82"/>
      <c r="C138" s="114"/>
      <c r="D138" s="115"/>
      <c r="E138" s="116"/>
      <c r="F138" s="404"/>
      <c r="G138" s="17">
        <v>-12.86</v>
      </c>
      <c r="H138" s="90"/>
      <c r="I138" s="90">
        <f>G138+G137</f>
        <v>-270.02000000000004</v>
      </c>
      <c r="J138" s="11"/>
    </row>
    <row r="139" spans="1:13">
      <c r="A139" s="100"/>
      <c r="B139" s="82"/>
      <c r="C139" s="114"/>
      <c r="D139" s="115"/>
      <c r="E139" s="116"/>
      <c r="F139" s="404"/>
      <c r="G139" s="17"/>
      <c r="H139" s="90"/>
      <c r="I139" s="90"/>
      <c r="J139" s="443"/>
      <c r="K139" s="100"/>
      <c r="M139" s="443"/>
    </row>
    <row r="140" spans="1:13">
      <c r="A140" s="406"/>
      <c r="B140" s="407"/>
      <c r="C140" s="455"/>
      <c r="D140" s="456"/>
      <c r="E140" s="409"/>
      <c r="F140" s="405"/>
      <c r="G140" s="409"/>
      <c r="H140" s="405"/>
      <c r="I140" s="405"/>
      <c r="J140" s="90"/>
      <c r="K140" s="475"/>
    </row>
    <row r="141" spans="1:13" ht="13.5" thickBot="1">
      <c r="A141" s="407"/>
      <c r="B141" s="407"/>
      <c r="C141" s="407"/>
      <c r="D141" s="405"/>
      <c r="E141" s="405"/>
      <c r="F141" s="405"/>
      <c r="G141" s="405"/>
      <c r="H141" s="405"/>
      <c r="I141" s="407"/>
      <c r="J141" s="11"/>
    </row>
    <row r="142" spans="1:13">
      <c r="A142" s="428"/>
      <c r="B142" s="428"/>
      <c r="C142" s="428"/>
      <c r="D142" s="417"/>
      <c r="E142" s="417"/>
      <c r="F142" s="417"/>
      <c r="G142" s="417">
        <f>SUM(G136:G141)</f>
        <v>128309.98</v>
      </c>
      <c r="H142" s="417"/>
      <c r="I142" s="486">
        <f>SUM(I136:I141)</f>
        <v>30659.980000000014</v>
      </c>
      <c r="J142" s="11"/>
    </row>
    <row r="143" spans="1:13">
      <c r="A143" s="11"/>
      <c r="B143" s="11"/>
      <c r="C143" s="11"/>
      <c r="D143" s="90"/>
      <c r="E143" s="90"/>
      <c r="F143" s="90"/>
      <c r="G143" s="90"/>
      <c r="H143" s="90"/>
      <c r="I143" s="11"/>
      <c r="J143" s="11"/>
    </row>
    <row r="144" spans="1:13">
      <c r="A144" s="98"/>
      <c r="B144" s="11"/>
      <c r="C144" s="11"/>
      <c r="D144" s="90"/>
      <c r="E144" s="90"/>
      <c r="F144" s="90"/>
      <c r="G144" s="90"/>
      <c r="H144" s="90"/>
      <c r="I144" s="11"/>
      <c r="J144" s="11"/>
    </row>
    <row r="145" spans="1:10" ht="18">
      <c r="A145" s="500" t="s">
        <v>1745</v>
      </c>
      <c r="B145" s="11"/>
      <c r="C145" s="11"/>
      <c r="D145" s="90"/>
      <c r="E145" s="90"/>
      <c r="F145" s="90"/>
      <c r="G145" s="90"/>
      <c r="H145" s="90"/>
      <c r="I145" s="11"/>
      <c r="J145" s="11"/>
    </row>
    <row r="146" spans="1:10" ht="15.75">
      <c r="A146" s="98"/>
      <c r="B146" s="476">
        <f>1-76.4616%</f>
        <v>0.23538399999999993</v>
      </c>
      <c r="C146" s="477">
        <v>0.76461599999999996</v>
      </c>
      <c r="D146" s="404"/>
      <c r="E146" s="90"/>
      <c r="F146" s="90"/>
      <c r="G146" s="90"/>
      <c r="H146" s="90"/>
      <c r="I146" s="11"/>
      <c r="J146" s="11"/>
    </row>
    <row r="147" spans="1:10" ht="15.75">
      <c r="A147" s="98"/>
      <c r="B147" s="476" t="s">
        <v>1747</v>
      </c>
      <c r="C147" s="477"/>
      <c r="D147" s="404"/>
      <c r="E147" s="90"/>
      <c r="F147" s="90"/>
      <c r="G147" s="90"/>
      <c r="H147" s="90"/>
      <c r="I147" s="11"/>
      <c r="J147" s="11"/>
    </row>
    <row r="148" spans="1:10" ht="15.75">
      <c r="A148" s="98"/>
      <c r="B148" s="476" t="s">
        <v>1746</v>
      </c>
      <c r="C148" s="477"/>
      <c r="D148" s="404"/>
      <c r="E148" s="90"/>
      <c r="F148" s="90"/>
      <c r="G148" s="90"/>
      <c r="H148" s="90"/>
      <c r="I148" s="11"/>
      <c r="J148" s="11"/>
    </row>
    <row r="149" spans="1:10" ht="15.75">
      <c r="A149" s="98"/>
      <c r="B149" s="476" t="s">
        <v>1749</v>
      </c>
      <c r="C149" s="477"/>
      <c r="D149" s="404"/>
      <c r="E149" s="90"/>
      <c r="F149" s="90"/>
      <c r="G149" s="90"/>
      <c r="H149" s="90"/>
      <c r="I149" s="11"/>
      <c r="J149" s="11"/>
    </row>
    <row r="150" spans="1:10" ht="15.75">
      <c r="A150" s="98"/>
      <c r="B150" s="476" t="s">
        <v>1748</v>
      </c>
      <c r="C150" s="477"/>
      <c r="D150" s="404"/>
      <c r="E150" s="90"/>
      <c r="F150" s="90"/>
      <c r="G150" s="90"/>
      <c r="H150" s="90"/>
      <c r="I150" s="11"/>
      <c r="J150" s="11"/>
    </row>
    <row r="151" spans="1:10" ht="16.5" thickBot="1">
      <c r="A151" s="98"/>
      <c r="B151" s="476"/>
      <c r="C151" s="11" t="s">
        <v>1751</v>
      </c>
      <c r="D151" s="11" t="s">
        <v>1750</v>
      </c>
      <c r="E151" s="90" t="s">
        <v>1742</v>
      </c>
      <c r="F151" s="497">
        <v>138749.76000000001</v>
      </c>
      <c r="G151" s="11" t="s">
        <v>1743</v>
      </c>
      <c r="H151" s="90" t="s">
        <v>3</v>
      </c>
      <c r="I151" s="11"/>
      <c r="J151" s="11"/>
    </row>
    <row r="152" spans="1:10" ht="13.5" thickBot="1">
      <c r="A152" s="100"/>
      <c r="B152" s="82" t="s">
        <v>1752</v>
      </c>
      <c r="C152" s="118">
        <v>160</v>
      </c>
      <c r="D152" s="90">
        <f>C152</f>
        <v>160</v>
      </c>
      <c r="E152" s="83">
        <v>872.26</v>
      </c>
      <c r="F152" s="498">
        <f>E152*C152</f>
        <v>139561.60000000001</v>
      </c>
      <c r="G152" s="487">
        <v>962.89330700000005</v>
      </c>
      <c r="H152" s="17">
        <f>G152*C152</f>
        <v>154062.92912000002</v>
      </c>
      <c r="I152" s="12">
        <f>H152</f>
        <v>154062.92912000002</v>
      </c>
      <c r="J152" s="11"/>
    </row>
    <row r="153" spans="1:10">
      <c r="A153" s="100"/>
      <c r="B153" s="82" t="s">
        <v>1753</v>
      </c>
      <c r="C153" s="118">
        <v>78</v>
      </c>
      <c r="D153" s="90">
        <f>D152+C153</f>
        <v>238</v>
      </c>
      <c r="E153" s="83">
        <v>872.26</v>
      </c>
      <c r="F153" s="498">
        <f>E153*C153</f>
        <v>68036.28</v>
      </c>
      <c r="G153" s="403">
        <f>G154</f>
        <v>962.89330700000005</v>
      </c>
      <c r="H153" s="17">
        <f>G153*C153</f>
        <v>75105.677946000011</v>
      </c>
      <c r="I153" s="12">
        <f>I152+H153</f>
        <v>229168.60706600003</v>
      </c>
      <c r="J153" s="11"/>
    </row>
    <row r="154" spans="1:10">
      <c r="A154" s="496">
        <v>45755</v>
      </c>
      <c r="B154" s="499" t="s">
        <v>1741</v>
      </c>
      <c r="C154" s="118">
        <v>-21</v>
      </c>
      <c r="D154" s="90">
        <f>D153+C154</f>
        <v>217</v>
      </c>
      <c r="E154" s="83">
        <v>872.26</v>
      </c>
      <c r="F154" s="449">
        <f>E154*C154</f>
        <v>-18317.46</v>
      </c>
      <c r="G154" s="403">
        <f>G152</f>
        <v>962.89330700000005</v>
      </c>
      <c r="H154" s="17">
        <f>G154*C154</f>
        <v>-20220.759447</v>
      </c>
      <c r="I154" s="12">
        <f>I153+H154</f>
        <v>208947.84761900004</v>
      </c>
      <c r="J154" s="11"/>
    </row>
    <row r="155" spans="1:10">
      <c r="A155" s="100"/>
      <c r="B155" s="82" t="s">
        <v>1744</v>
      </c>
      <c r="C155" s="388"/>
      <c r="D155" s="90"/>
      <c r="E155" s="83"/>
      <c r="F155" s="90"/>
      <c r="G155" s="90"/>
      <c r="H155" s="90">
        <v>-300.32</v>
      </c>
      <c r="I155" s="12">
        <f>I154+H155</f>
        <v>208647.52761900003</v>
      </c>
      <c r="J155" s="11"/>
    </row>
    <row r="156" spans="1:10">
      <c r="A156" s="548">
        <v>45777</v>
      </c>
      <c r="B156" s="82" t="s">
        <v>1806</v>
      </c>
      <c r="C156" s="118">
        <v>219</v>
      </c>
      <c r="D156" s="90"/>
      <c r="E156" s="90"/>
      <c r="F156" s="90"/>
      <c r="G156" s="90">
        <v>988.94078000000002</v>
      </c>
      <c r="H156" s="17">
        <f>G156*C156</f>
        <v>216578.03082000001</v>
      </c>
      <c r="I156" s="90"/>
      <c r="J156" s="11"/>
    </row>
    <row r="157" spans="1:10">
      <c r="A157" s="100"/>
      <c r="B157" s="90" t="s">
        <v>1684</v>
      </c>
      <c r="C157" s="438"/>
      <c r="D157" s="439"/>
      <c r="E157" s="405"/>
      <c r="F157" s="405"/>
      <c r="G157" s="409"/>
      <c r="H157" s="90"/>
      <c r="I157" s="90"/>
      <c r="J157" s="11"/>
    </row>
    <row r="158" spans="1:10">
      <c r="A158" s="98"/>
      <c r="B158" s="11"/>
      <c r="C158" s="11"/>
      <c r="D158" s="90"/>
      <c r="E158" s="90"/>
      <c r="F158" s="90"/>
      <c r="G158" s="90"/>
      <c r="H158" s="90"/>
      <c r="I158" s="11"/>
      <c r="J158" s="11"/>
    </row>
    <row r="159" spans="1:10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0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</sheetData>
  <conditionalFormatting sqref="F122:F124">
    <cfRule type="cellIs" dxfId="57" priority="9" operator="lessThan">
      <formula>D122</formula>
    </cfRule>
  </conditionalFormatting>
  <conditionalFormatting sqref="F117:F119">
    <cfRule type="cellIs" dxfId="56" priority="10" operator="lessThan">
      <formula>D117</formula>
    </cfRule>
  </conditionalFormatting>
  <conditionalFormatting sqref="F112">
    <cfRule type="cellIs" dxfId="55" priority="11" operator="lessThan">
      <formula>D112</formula>
    </cfRule>
  </conditionalFormatting>
  <conditionalFormatting sqref="F111">
    <cfRule type="cellIs" dxfId="54" priority="12" operator="lessThan">
      <formula>D111</formula>
    </cfRule>
  </conditionalFormatting>
  <conditionalFormatting sqref="F137">
    <cfRule type="cellIs" dxfId="53" priority="8" operator="lessThan">
      <formula>D137</formula>
    </cfRule>
  </conditionalFormatting>
  <conditionalFormatting sqref="F140">
    <cfRule type="cellIs" dxfId="52" priority="7" operator="lessThan">
      <formula>D140</formula>
    </cfRule>
  </conditionalFormatting>
  <conditionalFormatting sqref="F139">
    <cfRule type="cellIs" dxfId="51" priority="6" operator="lessThan">
      <formula>D139</formula>
    </cfRule>
  </conditionalFormatting>
  <conditionalFormatting sqref="F138">
    <cfRule type="cellIs" dxfId="50" priority="5" operator="lessThan">
      <formula>D138</formula>
    </cfRule>
  </conditionalFormatting>
  <conditionalFormatting sqref="F110">
    <cfRule type="cellIs" dxfId="49" priority="4" operator="lessThan">
      <formula>D110</formula>
    </cfRule>
  </conditionalFormatting>
  <conditionalFormatting sqref="F136">
    <cfRule type="cellIs" dxfId="48" priority="3" operator="lessThan">
      <formula>D136</formula>
    </cfRule>
  </conditionalFormatting>
  <conditionalFormatting sqref="F116">
    <cfRule type="cellIs" dxfId="47" priority="2" operator="lessThan">
      <formula>D116</formula>
    </cfRule>
  </conditionalFormatting>
  <conditionalFormatting sqref="F113">
    <cfRule type="cellIs" dxfId="46" priority="1" operator="lessThan">
      <formula>D113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13"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5" t="s">
        <v>73</v>
      </c>
      <c r="C14" s="545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5" t="s">
        <v>74</v>
      </c>
      <c r="C15" s="545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501" t="s">
        <v>1754</v>
      </c>
      <c r="C82" s="502"/>
      <c r="D82" s="503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8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6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500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7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8">
        <f>E158*C158</f>
        <v>139561.60000000001</v>
      </c>
      <c r="G158" s="487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8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6">
        <v>45755</v>
      </c>
      <c r="B160" s="499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0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84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6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25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5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1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5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abSelected="1" topLeftCell="A96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7" t="s">
        <v>1810</v>
      </c>
      <c r="C52" s="130"/>
      <c r="D52" s="131"/>
      <c r="E52" s="131"/>
      <c r="F52" s="510"/>
    </row>
    <row r="53" spans="1:6" s="11" customFormat="1">
      <c r="A53" s="10"/>
      <c r="B53" s="528" t="s">
        <v>1811</v>
      </c>
      <c r="C53" s="529"/>
      <c r="D53" s="530"/>
      <c r="E53" s="530"/>
      <c r="F53" s="135"/>
    </row>
    <row r="54" spans="1:6">
      <c r="B54" s="528" t="s">
        <v>1756</v>
      </c>
      <c r="C54" s="529"/>
      <c r="D54" s="530"/>
      <c r="E54" s="530"/>
      <c r="F54" s="135"/>
    </row>
    <row r="55" spans="1:6" s="11" customFormat="1">
      <c r="A55" s="10"/>
      <c r="B55" s="528" t="s">
        <v>1757</v>
      </c>
      <c r="C55" s="529"/>
      <c r="D55" s="530"/>
      <c r="E55" s="530"/>
      <c r="F55" s="135"/>
    </row>
    <row r="56" spans="1:6" s="11" customFormat="1">
      <c r="A56" s="10"/>
      <c r="B56" s="528" t="s">
        <v>1755</v>
      </c>
      <c r="C56" s="529"/>
      <c r="D56" s="530"/>
      <c r="E56" s="530"/>
      <c r="F56" s="135"/>
    </row>
    <row r="57" spans="1:6" s="11" customFormat="1" ht="13.5" thickBot="1">
      <c r="A57" s="10"/>
      <c r="B57" s="535"/>
      <c r="C57" s="529">
        <v>2637</v>
      </c>
      <c r="D57" s="528" t="s">
        <v>1758</v>
      </c>
      <c r="E57" s="530"/>
      <c r="F57" s="135"/>
    </row>
    <row r="58" spans="1:6" s="11" customFormat="1" ht="13.5" thickBot="1">
      <c r="A58" s="540"/>
      <c r="B58" s="541" t="s">
        <v>1759</v>
      </c>
      <c r="C58" s="542">
        <f>F59/C57</f>
        <v>166.09783845278727</v>
      </c>
      <c r="D58" s="541" t="s">
        <v>233</v>
      </c>
      <c r="E58" s="543"/>
      <c r="F58" s="544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6"/>
      <c r="B64" s="537" t="s">
        <v>1769</v>
      </c>
      <c r="C64" s="538">
        <f>36500/2626</f>
        <v>13.8994668697639</v>
      </c>
      <c r="D64" s="539" t="s">
        <v>233</v>
      </c>
      <c r="E64" s="539"/>
      <c r="F64" s="539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90">
        <v>45565</v>
      </c>
      <c r="B66" s="491" t="s">
        <v>208</v>
      </c>
      <c r="C66" s="491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6"/>
      <c r="B67" s="537" t="s">
        <v>1770</v>
      </c>
      <c r="C67" s="538">
        <f>36000/2801</f>
        <v>12.85255265976437</v>
      </c>
      <c r="D67" s="539" t="s">
        <v>233</v>
      </c>
      <c r="E67" s="539"/>
      <c r="F67" s="539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90">
        <v>45595</v>
      </c>
      <c r="B69" s="491" t="s">
        <v>211</v>
      </c>
      <c r="C69" s="491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6"/>
      <c r="B70" s="537" t="s">
        <v>1771</v>
      </c>
      <c r="C70" s="538">
        <f>36000/2905</f>
        <v>12.392426850258175</v>
      </c>
      <c r="D70" s="539" t="s">
        <v>233</v>
      </c>
      <c r="E70" s="539"/>
      <c r="F70" s="539"/>
    </row>
    <row r="71" spans="1:6">
      <c r="A71" s="493">
        <v>45611</v>
      </c>
      <c r="B71" s="8" t="s">
        <v>212</v>
      </c>
      <c r="C71" s="67" t="s">
        <v>213</v>
      </c>
      <c r="D71" s="494"/>
      <c r="E71" s="494">
        <v>35800</v>
      </c>
      <c r="F71" s="494">
        <f>F69+D71-E71</f>
        <v>293700</v>
      </c>
    </row>
    <row r="72" spans="1:6">
      <c r="A72" s="493"/>
      <c r="B72" s="8" t="s">
        <v>214</v>
      </c>
      <c r="C72" s="67"/>
      <c r="D72" s="494">
        <v>630</v>
      </c>
      <c r="E72" s="494"/>
      <c r="F72" s="494">
        <f t="shared" si="1"/>
        <v>294330</v>
      </c>
    </row>
    <row r="73" spans="1:6" s="11" customFormat="1">
      <c r="A73" s="492"/>
      <c r="B73" s="92" t="s">
        <v>1590</v>
      </c>
      <c r="C73" s="491"/>
      <c r="D73" s="17">
        <v>1000</v>
      </c>
      <c r="E73" s="17"/>
      <c r="F73" s="17">
        <f t="shared" si="1"/>
        <v>295330</v>
      </c>
    </row>
    <row r="74" spans="1:6" s="11" customFormat="1">
      <c r="A74" s="536"/>
      <c r="B74" s="537" t="s">
        <v>1772</v>
      </c>
      <c r="C74" s="538">
        <f>35800/2898</f>
        <v>12.353347135955831</v>
      </c>
      <c r="D74" s="539" t="s">
        <v>233</v>
      </c>
      <c r="E74" s="539"/>
      <c r="F74" s="539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6"/>
      <c r="B76" s="537" t="s">
        <v>1773</v>
      </c>
      <c r="C76" s="538">
        <f>38000/2970</f>
        <v>12.794612794612794</v>
      </c>
      <c r="D76" s="539" t="s">
        <v>233</v>
      </c>
      <c r="E76" s="539"/>
      <c r="F76" s="539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31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32"/>
    </row>
    <row r="120" spans="1:6">
      <c r="B120" s="134" t="s">
        <v>1767</v>
      </c>
      <c r="C120" s="532"/>
    </row>
    <row r="121" spans="1:6" ht="13.5" thickBot="1">
      <c r="B121" s="533" t="s">
        <v>1768</v>
      </c>
      <c r="C121" s="534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6" t="s">
        <v>26</v>
      </c>
      <c r="M1" s="54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47">
        <f>L15+M15</f>
        <v>1080.7929879999999</v>
      </c>
      <c r="M17" s="547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5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5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5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5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2025-04-30T08:01:11Z</dcterms:modified>
  <dc:language>tr-TR</dc:language>
</cp:coreProperties>
</file>