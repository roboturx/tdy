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7B34C03-DB1C-4196-9175-08113CAD12DD}" xr6:coauthVersionLast="47" xr6:coauthVersionMax="47" xr10:uidLastSave="{00000000-0000-0000-0000-000000000000}"/>
  <bookViews>
    <workbookView xWindow="-120" yWindow="-120" windowWidth="29040" windowHeight="15720" tabRatio="839" activeTab="1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2" i="13" l="1"/>
  <c r="H41" i="13"/>
  <c r="H7" i="13" l="1"/>
  <c r="H8" i="13"/>
  <c r="H9" i="13"/>
  <c r="H10" i="13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G161" i="13"/>
  <c r="E161" i="13"/>
  <c r="I161" i="13" s="1"/>
  <c r="G129" i="13"/>
  <c r="E129" i="13"/>
  <c r="F134" i="14"/>
  <c r="G132" i="14"/>
  <c r="E128" i="13"/>
  <c r="G159" i="13"/>
  <c r="E159" i="13"/>
  <c r="I159" i="13" s="1"/>
  <c r="I158" i="13"/>
  <c r="G157" i="13"/>
  <c r="E157" i="13"/>
  <c r="C154" i="13"/>
  <c r="G145" i="13"/>
  <c r="E145" i="13"/>
  <c r="N4" i="2" s="1"/>
  <c r="G144" i="13"/>
  <c r="E144" i="13"/>
  <c r="G143" i="13"/>
  <c r="E143" i="13"/>
  <c r="G140" i="13"/>
  <c r="E140" i="13"/>
  <c r="G139" i="13"/>
  <c r="E139" i="13"/>
  <c r="G138" i="13"/>
  <c r="E138" i="13"/>
  <c r="E137" i="13"/>
  <c r="G136" i="13"/>
  <c r="E136" i="13"/>
  <c r="F133" i="13"/>
  <c r="G133" i="13" s="1"/>
  <c r="E133" i="13"/>
  <c r="G132" i="13"/>
  <c r="E132" i="13"/>
  <c r="G131" i="13"/>
  <c r="E131" i="13"/>
  <c r="E130" i="13"/>
  <c r="F127" i="13"/>
  <c r="F130" i="13" s="1"/>
  <c r="E127" i="13"/>
  <c r="G126" i="13"/>
  <c r="E126" i="13"/>
  <c r="H73" i="14"/>
  <c r="H71" i="14"/>
  <c r="F71" i="14"/>
  <c r="H70" i="14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6" i="13"/>
  <c r="E8" i="13" s="1"/>
  <c r="G8" i="13" s="1"/>
  <c r="E41" i="13"/>
  <c r="E7" i="13" s="1"/>
  <c r="H4" i="13"/>
  <c r="H5" i="13" s="1"/>
  <c r="H6" i="13" s="1"/>
  <c r="F2" i="13"/>
  <c r="E4" i="2" s="1"/>
  <c r="D2" i="13"/>
  <c r="B4" i="2" s="1"/>
  <c r="E58" i="12"/>
  <c r="E8" i="12" s="1"/>
  <c r="G8" i="12" s="1"/>
  <c r="E37" i="12"/>
  <c r="E7" i="12" s="1"/>
  <c r="G7" i="12"/>
  <c r="H4" i="12"/>
  <c r="H5" i="12" s="1"/>
  <c r="H6" i="12" s="1"/>
  <c r="F2" i="12"/>
  <c r="D2" i="12"/>
  <c r="E50" i="11"/>
  <c r="E35" i="11"/>
  <c r="E7" i="11" s="1"/>
  <c r="G7" i="11" s="1"/>
  <c r="E8" i="11"/>
  <c r="E2" i="11" s="1"/>
  <c r="C6" i="2" s="1"/>
  <c r="H5" i="11"/>
  <c r="H6" i="11" s="1"/>
  <c r="H7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E5" i="2"/>
  <c r="B5" i="2"/>
  <c r="L4" i="2"/>
  <c r="K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H7" i="12" l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28" i="13"/>
  <c r="G128" i="13" s="1"/>
  <c r="I129" i="13"/>
  <c r="E146" i="13"/>
  <c r="I145" i="13"/>
  <c r="E141" i="13"/>
  <c r="I136" i="13"/>
  <c r="I131" i="13"/>
  <c r="I132" i="13"/>
  <c r="G130" i="13"/>
  <c r="I130" i="13" s="1"/>
  <c r="F137" i="13"/>
  <c r="G137" i="13" s="1"/>
  <c r="I139" i="13"/>
  <c r="G127" i="13"/>
  <c r="I138" i="13"/>
  <c r="I144" i="13"/>
  <c r="H146" i="13"/>
  <c r="I133" i="13"/>
  <c r="I140" i="13"/>
  <c r="I126" i="13"/>
  <c r="E134" i="13"/>
  <c r="I157" i="13"/>
  <c r="I164" i="13" s="1"/>
  <c r="H141" i="13"/>
  <c r="I137" i="13"/>
  <c r="H140" i="13"/>
  <c r="I143" i="13"/>
  <c r="H145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F126" i="14" s="1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H2" i="12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153" i="13" l="1"/>
  <c r="H134" i="13"/>
  <c r="I128" i="13"/>
  <c r="H133" i="13"/>
  <c r="G116" i="13"/>
  <c r="I127" i="13"/>
  <c r="I134" i="13" s="1"/>
  <c r="H151" i="13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4" i="13"/>
  <c r="H25" i="13" s="1"/>
  <c r="H26" i="13" s="1"/>
  <c r="H27" i="13" s="1"/>
  <c r="H28" i="13" s="1"/>
  <c r="H29" i="13" s="1"/>
  <c r="H30" i="13" s="1"/>
  <c r="H31" i="13" s="1"/>
  <c r="H32" i="13" s="1"/>
  <c r="H33" i="13" s="1"/>
  <c r="H34" i="13" s="1"/>
  <c r="H35" i="13" s="1"/>
  <c r="H36" i="13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30" i="14" l="1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<sst xmlns="http://schemas.openxmlformats.org/spreadsheetml/2006/main" count="4479" uniqueCount="1667">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</sst>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7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4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90" fontId="3" fillId="43" borderId="0" xfId="0" applyNumberFormat="1" applyFont="1" applyFill="1"/>
    <xf numFmtId="16" fontId="0" fillId="40" borderId="0" xfId="0" applyNumberFormat="1" applyFill="1"/>
    <xf numFmtId="173" fontId="0" fillId="0" borderId="0" xfId="0" applyNumberFormat="1" applyFont="1" applyFill="1"/>
    <xf numFmtId="0" fontId="22" fillId="0" borderId="0" xfId="0" applyFont="1" applyFill="1"/>
    <xf numFmtId="174" fontId="0" fillId="0" borderId="0" xfId="0" applyNumberFormat="1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21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zoomScale="175" zoomScaleNormal="175" workbookViewId="0">
      <selection activeCell="B9" sqref="B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3">
        <v>45667</v>
      </c>
      <c r="B7" s="424" t="s">
        <v>5</v>
      </c>
      <c r="C7" s="394"/>
      <c r="D7" s="425">
        <v>20000</v>
      </c>
      <c r="E7" s="425"/>
      <c r="F7" s="2">
        <f t="shared" ref="F7:F16" si="0">F6+D7-E7</f>
        <v>277330</v>
      </c>
    </row>
    <row r="8" spans="1:6" s="11" customFormat="1">
      <c r="A8" s="423">
        <v>45672</v>
      </c>
      <c r="B8" s="424" t="s">
        <v>1590</v>
      </c>
      <c r="C8" s="394"/>
      <c r="D8" s="425"/>
      <c r="E8" s="425">
        <v>25000</v>
      </c>
      <c r="F8" s="12">
        <f t="shared" si="0"/>
        <v>252330</v>
      </c>
    </row>
    <row r="9" spans="1:6">
      <c r="A9" s="423">
        <v>45672</v>
      </c>
      <c r="B9" s="394" t="s">
        <v>1591</v>
      </c>
      <c r="C9" s="394"/>
      <c r="D9" s="425"/>
      <c r="E9" s="425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>
      <c r="A11" s="1">
        <v>45731</v>
      </c>
      <c r="B11" s="8" t="s">
        <v>1593</v>
      </c>
      <c r="C11" s="8"/>
      <c r="D11" s="12"/>
      <c r="F11" s="12">
        <f t="shared" si="0"/>
        <v>221330</v>
      </c>
    </row>
    <row r="12" spans="1:6">
      <c r="A12" s="1">
        <v>45762</v>
      </c>
      <c r="B12" s="8" t="s">
        <v>1594</v>
      </c>
      <c r="C12" s="8"/>
      <c r="D12" s="12"/>
      <c r="F12" s="12">
        <f t="shared" si="0"/>
        <v>221330</v>
      </c>
    </row>
    <row r="13" spans="1:6">
      <c r="A13" s="1">
        <v>45792</v>
      </c>
      <c r="B13" s="8" t="s">
        <v>1595</v>
      </c>
      <c r="C13" s="8"/>
      <c r="D13" s="12"/>
      <c r="F13" s="12">
        <f t="shared" si="0"/>
        <v>221330</v>
      </c>
    </row>
    <row r="14" spans="1:6">
      <c r="A14" s="1">
        <v>45823</v>
      </c>
      <c r="B14" s="8" t="s">
        <v>1596</v>
      </c>
      <c r="C14" s="8"/>
      <c r="D14" s="12"/>
      <c r="F14" s="12">
        <f t="shared" si="0"/>
        <v>221330</v>
      </c>
    </row>
    <row r="15" spans="1:6" ht="13.5" thickBot="1">
      <c r="A15" s="1">
        <v>45853</v>
      </c>
      <c r="B15" s="8" t="s">
        <v>1597</v>
      </c>
      <c r="C15" s="8"/>
      <c r="D15" s="12"/>
      <c r="F15" s="12">
        <f t="shared" si="0"/>
        <v>221330</v>
      </c>
    </row>
    <row r="16" spans="1:6">
      <c r="E16" s="13"/>
      <c r="F16" s="390">
        <f t="shared" si="0"/>
        <v>221330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34" t="s">
        <v>26</v>
      </c>
      <c r="M1" s="434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0</v>
      </c>
      <c r="F4" s="32">
        <f>'02_25'!G2</f>
        <v>-51565.32</v>
      </c>
      <c r="G4" s="33">
        <f t="shared" ref="G4:G14" si="1">E4+F4+G3</f>
        <v>209470.69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'02_25'!E145/1000</f>
        <v>16.2</v>
      </c>
    </row>
    <row r="5" spans="1:14">
      <c r="A5" t="s">
        <v>37</v>
      </c>
      <c r="B5" s="32">
        <f>'03_25'!D2</f>
        <v>15000</v>
      </c>
      <c r="C5" s="32">
        <f>'03_25'!E2</f>
        <v>-66357.66</v>
      </c>
      <c r="D5" s="33">
        <f t="shared" si="0"/>
        <v>261343.53999999995</v>
      </c>
      <c r="E5" s="32">
        <f>'03_25'!F2</f>
        <v>0</v>
      </c>
      <c r="F5" s="32">
        <f>'03_25'!G2</f>
        <v>-20060.599999999999</v>
      </c>
      <c r="G5" s="33">
        <f t="shared" si="1"/>
        <v>189410.09</v>
      </c>
      <c r="H5" s="34"/>
      <c r="I5" s="35" t="s">
        <v>38</v>
      </c>
      <c r="K5" s="39"/>
      <c r="L5" s="37"/>
      <c r="M5" s="38">
        <f>J5</f>
        <v>0</v>
      </c>
      <c r="N5" s="8">
        <f>'03_25'!E114/1000</f>
        <v>0</v>
      </c>
    </row>
    <row r="6" spans="1:14">
      <c r="A6" t="s">
        <v>39</v>
      </c>
      <c r="B6" s="32">
        <f>'04_25'!D2</f>
        <v>15000</v>
      </c>
      <c r="C6" s="32">
        <f>'04_25'!E2</f>
        <v>-47286.84</v>
      </c>
      <c r="D6" s="33">
        <f t="shared" si="0"/>
        <v>229056.69999999995</v>
      </c>
      <c r="E6" s="32">
        <f>'04_25'!F2</f>
        <v>0</v>
      </c>
      <c r="F6" s="32">
        <f>'04_25'!G2</f>
        <v>-989.78</v>
      </c>
      <c r="G6" s="33">
        <f t="shared" si="1"/>
        <v>188420.31</v>
      </c>
      <c r="H6" s="34"/>
      <c r="I6" s="41" t="s">
        <v>40</v>
      </c>
      <c r="K6" s="39"/>
      <c r="L6" s="37"/>
      <c r="M6" s="42">
        <f>E18/1000</f>
        <v>0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198149.85999999996</v>
      </c>
      <c r="E7" s="32">
        <f>'05_25'!F2</f>
        <v>0</v>
      </c>
      <c r="F7" s="32">
        <f>'05_25'!G2</f>
        <v>-989.78</v>
      </c>
      <c r="G7" s="33">
        <f t="shared" si="1"/>
        <v>187430.53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159743.01999999996</v>
      </c>
      <c r="E8" s="32">
        <f>'06_25'!F2</f>
        <v>0</v>
      </c>
      <c r="F8" s="32">
        <f>'06_25'!G2</f>
        <v>-989.78</v>
      </c>
      <c r="G8" s="33">
        <f t="shared" si="1"/>
        <v>186440.75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121336.17999999996</v>
      </c>
      <c r="E9" s="32">
        <f>'07_25'!F2</f>
        <v>0</v>
      </c>
      <c r="F9" s="32">
        <f>'07_25'!G2</f>
        <v>-989.78</v>
      </c>
      <c r="G9" s="33">
        <f t="shared" si="1"/>
        <v>185450.97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82929.339999999967</v>
      </c>
      <c r="E10" s="32">
        <f>'08_25'!F2</f>
        <v>0</v>
      </c>
      <c r="F10" s="32">
        <f>'08_25'!G2</f>
        <v>-989.78</v>
      </c>
      <c r="G10" s="33">
        <f t="shared" si="1"/>
        <v>184461.19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45512.27999999997</v>
      </c>
      <c r="E11" s="32">
        <f>'09_25'!F2</f>
        <v>0</v>
      </c>
      <c r="F11" s="32">
        <f>'09_25'!G2</f>
        <v>0</v>
      </c>
      <c r="G11" s="33">
        <f t="shared" si="1"/>
        <v>184461.19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8095.2199999999721</v>
      </c>
      <c r="E12" s="32">
        <f>'10_25'!F2</f>
        <v>0</v>
      </c>
      <c r="F12" s="32">
        <f>'10_25'!G2</f>
        <v>0</v>
      </c>
      <c r="G12" s="33">
        <f t="shared" si="1"/>
        <v>184461.19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-29321.840000000026</v>
      </c>
      <c r="E13" s="32">
        <f>'11_25'!F2</f>
        <v>0</v>
      </c>
      <c r="F13" s="32">
        <f>'11_25'!G2</f>
        <v>0</v>
      </c>
      <c r="G13" s="33">
        <f t="shared" si="1"/>
        <v>184461.19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-66738.900000000023</v>
      </c>
      <c r="E14" s="32">
        <f>'12_25'!F2</f>
        <v>0</v>
      </c>
      <c r="F14" s="32">
        <f>'12_25'!G2</f>
        <v>0</v>
      </c>
      <c r="G14" s="33">
        <f t="shared" si="1"/>
        <v>184461.19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-660402.89999999991</v>
      </c>
      <c r="D15" s="33">
        <f>B15+C15</f>
        <v>-66738.899999999907</v>
      </c>
      <c r="E15" s="33">
        <f>SUM(E3:E14)</f>
        <v>320054.88</v>
      </c>
      <c r="F15" s="33">
        <f>SUM(F3:F14)</f>
        <v>-135593.69</v>
      </c>
      <c r="G15" s="33">
        <f>E15+F15</f>
        <v>184461.19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236.25</v>
      </c>
    </row>
    <row r="16" spans="1:14">
      <c r="A16" s="53">
        <v>12</v>
      </c>
      <c r="B16" s="54">
        <f>B15/A16</f>
        <v>49472</v>
      </c>
      <c r="C16" s="55">
        <f>C15/A16</f>
        <v>-55033.57499999999</v>
      </c>
      <c r="D16" s="55"/>
      <c r="E16" s="55">
        <f>E15/A16</f>
        <v>26671.24</v>
      </c>
      <c r="F16" s="55">
        <f>F15/A16</f>
        <v>-11299.474166666667</v>
      </c>
      <c r="G16" s="55">
        <f>G15/A16</f>
        <v>15371.765833333333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19.6875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35">
        <f>L15+M15</f>
        <v>961.10596800000008</v>
      </c>
      <c r="M17" s="435"/>
    </row>
    <row r="18" spans="2:13">
      <c r="D18" s="64" t="s">
        <v>58</v>
      </c>
      <c r="E18" s="2">
        <f>'01_25'!F32+'02_25'!F19+'02_25'!F30+'03_25'!F19+'04_25'!F41+'05_25'!F22+'06_25'!F19+'06_25'!F31+'04_25'!F15</f>
        <v>0</v>
      </c>
      <c r="J18" s="35"/>
      <c r="K18" s="2" t="s">
        <v>59</v>
      </c>
      <c r="L18" s="65"/>
      <c r="M18" s="66">
        <f>L17/12</f>
        <v>80.092164000000011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1646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33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-47286.84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100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1646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77"/>
  <sheetViews>
    <sheetView tabSelected="1" topLeftCell="A13" zoomScale="145" zoomScaleNormal="145" workbookViewId="0">
      <selection activeCell="B49" sqref="B4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101</v>
      </c>
      <c r="C2" s="79" t="s">
        <v>67</v>
      </c>
      <c r="D2" s="77">
        <f>SUM(D4:D33)</f>
        <v>15000</v>
      </c>
      <c r="E2" s="77">
        <f>SUM(E4:E33)</f>
        <v>-66357.66</v>
      </c>
      <c r="F2" s="77">
        <f>SUM(F4:F33)</f>
        <v>0</v>
      </c>
      <c r="G2" s="77">
        <f>SUM(G4:G33)</f>
        <v>-20060.599999999999</v>
      </c>
      <c r="H2" s="77">
        <f>F2+G2</f>
        <v>-20060.599999999999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28"/>
      <c r="B6" s="429"/>
      <c r="C6" s="410"/>
      <c r="D6" s="408"/>
      <c r="E6" s="408"/>
      <c r="H6" s="77">
        <f t="shared" si="0"/>
        <v>0</v>
      </c>
    </row>
    <row r="7" spans="1:10">
      <c r="A7" s="430"/>
      <c r="B7" s="429" t="s">
        <v>68</v>
      </c>
      <c r="C7" s="431"/>
      <c r="D7" s="432"/>
      <c r="E7" s="432">
        <f>E37</f>
        <v>-16672.61</v>
      </c>
      <c r="F7" s="87"/>
      <c r="G7" s="87">
        <f>E7</f>
        <v>-16672.61</v>
      </c>
      <c r="H7" s="77">
        <f t="shared" si="0"/>
        <v>-16672.61</v>
      </c>
    </row>
    <row r="8" spans="1:10">
      <c r="A8" s="428"/>
      <c r="B8" s="429" t="s">
        <v>69</v>
      </c>
      <c r="C8" s="431"/>
      <c r="D8" s="432"/>
      <c r="E8" s="432">
        <f>E58</f>
        <v>-3387.99</v>
      </c>
      <c r="F8" s="87"/>
      <c r="G8" s="87">
        <f>E8</f>
        <v>-3387.99</v>
      </c>
      <c r="H8" s="77">
        <f t="shared" si="0"/>
        <v>-20060.599999999999</v>
      </c>
    </row>
    <row r="9" spans="1:10">
      <c r="G9" s="87"/>
      <c r="H9" s="77">
        <f t="shared" si="0"/>
        <v>-20060.599999999999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-20060.599999999999</v>
      </c>
    </row>
    <row r="11" spans="1:10">
      <c r="B11" s="89" t="s">
        <v>1601</v>
      </c>
      <c r="C11" s="89"/>
      <c r="D11" s="90"/>
      <c r="E11" s="90">
        <v>-17500</v>
      </c>
      <c r="H11" s="77">
        <f t="shared" si="0"/>
        <v>-20060.599999999999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-20060.599999999999</v>
      </c>
    </row>
    <row r="13" spans="1:10">
      <c r="A13" s="88"/>
      <c r="B13" s="92"/>
      <c r="C13" s="92"/>
      <c r="D13" s="90"/>
      <c r="E13" s="90"/>
      <c r="H13" s="77">
        <f t="shared" si="0"/>
        <v>-20060.599999999999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-20060.599999999999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-20060.599999999999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-20060.599999999999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-20060.599999999999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-20060.599999999999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-20060.599999999999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-20060.599999999999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-20060.599999999999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-20060.599999999999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-20060.599999999999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-20060.599999999999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-20060.599999999999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-20060.599999999999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-20060.599999999999</v>
      </c>
    </row>
    <row r="28" spans="1:13" s="78" customFormat="1">
      <c r="D28" s="77"/>
      <c r="E28" s="77"/>
      <c r="F28" s="77"/>
      <c r="G28" s="77"/>
      <c r="H28" s="77">
        <f t="shared" si="0"/>
        <v>-20060.599999999999</v>
      </c>
    </row>
    <row r="29" spans="1:13">
      <c r="A29" s="100"/>
      <c r="B29" s="101" t="s">
        <v>103</v>
      </c>
      <c r="C29" s="101"/>
      <c r="H29" s="77">
        <f t="shared" si="0"/>
        <v>-20060.599999999999</v>
      </c>
      <c r="I29" s="78"/>
      <c r="J29" s="78"/>
    </row>
    <row r="30" spans="1:13">
      <c r="A30" s="100"/>
      <c r="H30" s="77">
        <f t="shared" si="0"/>
        <v>-20060.599999999999</v>
      </c>
    </row>
    <row r="31" spans="1:13">
      <c r="H31" s="77">
        <f t="shared" si="0"/>
        <v>-20060.599999999999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-16672.61</v>
      </c>
      <c r="I37" s="77"/>
      <c r="J37" s="77"/>
    </row>
    <row r="38" spans="1:14" s="77" customFormat="1">
      <c r="A38"/>
      <c r="B38"/>
      <c r="C38"/>
      <c r="I38"/>
      <c r="J38"/>
      <c r="K38" s="78"/>
      <c r="L38" s="78"/>
      <c r="M38" s="78"/>
      <c r="N38" s="78"/>
    </row>
    <row r="39" spans="1:14" s="77" customFormat="1">
      <c r="A39" s="88">
        <v>45715</v>
      </c>
      <c r="B39" s="90" t="s">
        <v>1646</v>
      </c>
      <c r="C39" s="90">
        <v>5938.7</v>
      </c>
      <c r="D39" s="90" t="s">
        <v>700</v>
      </c>
      <c r="E39" s="90">
        <v>-989.78</v>
      </c>
      <c r="K39" s="78"/>
      <c r="L39" s="78"/>
      <c r="M39" s="78"/>
      <c r="N39" s="78"/>
    </row>
    <row r="40" spans="1:14" s="77" customFormat="1">
      <c r="A40" s="88">
        <v>45715</v>
      </c>
      <c r="B40" s="77" t="s">
        <v>1640</v>
      </c>
      <c r="E40" s="77">
        <v>-2880</v>
      </c>
      <c r="K40" s="78"/>
      <c r="L40" s="78"/>
      <c r="M40" s="78"/>
      <c r="N40" s="78"/>
    </row>
    <row r="41" spans="1:14" s="77" customFormat="1">
      <c r="A41" s="88">
        <v>45715</v>
      </c>
      <c r="B41" s="77" t="s">
        <v>1642</v>
      </c>
      <c r="E41" s="77">
        <v>-3196.34</v>
      </c>
      <c r="K41" s="78"/>
      <c r="L41" s="78"/>
      <c r="M41" s="78"/>
      <c r="N41" s="78"/>
    </row>
    <row r="42" spans="1:14">
      <c r="A42" s="88">
        <v>45715</v>
      </c>
      <c r="B42" s="90" t="s">
        <v>1641</v>
      </c>
      <c r="C42" s="77"/>
      <c r="E42" s="77">
        <v>-467.95</v>
      </c>
      <c r="I42" s="77"/>
      <c r="J42" s="77"/>
    </row>
    <row r="43" spans="1:14" s="77" customFormat="1">
      <c r="A43" s="88">
        <v>45715</v>
      </c>
      <c r="B43" s="90" t="s">
        <v>1644</v>
      </c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>
        <v>45691</v>
      </c>
      <c r="B45" s="106" t="s">
        <v>1659</v>
      </c>
      <c r="C45" s="106"/>
      <c r="E45" s="77">
        <v>-1580</v>
      </c>
      <c r="K45" s="78"/>
      <c r="L45" s="78"/>
      <c r="M45" s="78"/>
      <c r="N45" s="78"/>
    </row>
    <row r="46" spans="1:14" s="77" customFormat="1">
      <c r="A46" s="100">
        <v>45691</v>
      </c>
      <c r="B46" s="107" t="s">
        <v>1658</v>
      </c>
      <c r="C46" s="106"/>
      <c r="E46" s="77">
        <v>-1338</v>
      </c>
      <c r="K46" s="78"/>
      <c r="L46" s="78"/>
      <c r="M46" s="78"/>
      <c r="N46" s="78"/>
    </row>
    <row r="47" spans="1:14" s="77" customFormat="1">
      <c r="A47" s="100">
        <v>45691</v>
      </c>
      <c r="B47" s="107" t="s">
        <v>1660</v>
      </c>
      <c r="C47" s="106"/>
      <c r="E47" s="77">
        <v>-1200</v>
      </c>
      <c r="K47" s="78"/>
      <c r="L47" s="78"/>
      <c r="M47" s="78"/>
      <c r="N47" s="78"/>
    </row>
    <row r="48" spans="1:14" s="77" customFormat="1">
      <c r="A48" s="100">
        <v>45691</v>
      </c>
      <c r="B48" s="107" t="s">
        <v>1666</v>
      </c>
      <c r="E48" s="77">
        <v>-1300.54</v>
      </c>
      <c r="K48" s="78"/>
      <c r="L48" s="78"/>
      <c r="M48" s="78"/>
      <c r="N48" s="78"/>
    </row>
    <row r="49" spans="1:14" s="77" customFormat="1">
      <c r="A49" s="100">
        <v>45689</v>
      </c>
      <c r="B49" s="107" t="s">
        <v>1661</v>
      </c>
      <c r="C49" s="106"/>
      <c r="E49" s="77">
        <v>-3720</v>
      </c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90" customFormat="1">
      <c r="A51" s="100"/>
      <c r="B51" s="92"/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90" customFormat="1" ht="15">
      <c r="A55" s="100"/>
      <c r="B55" s="105" t="s">
        <v>84</v>
      </c>
      <c r="K55" s="78"/>
      <c r="L55" s="78"/>
      <c r="M55" s="78"/>
      <c r="N55" s="78"/>
    </row>
    <row r="56" spans="1:14" s="90" customFormat="1">
      <c r="A56" s="100"/>
      <c r="B56" s="92"/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3"/>
      <c r="B58" s="104" t="s">
        <v>85</v>
      </c>
      <c r="C58" s="103"/>
      <c r="E58" s="77">
        <f>SUM(E59:E77)</f>
        <v>-3387.99</v>
      </c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F60" s="90"/>
      <c r="K60" s="78"/>
      <c r="L60" s="78"/>
      <c r="M60" s="78"/>
      <c r="N60" s="78"/>
    </row>
    <row r="61" spans="1:14" s="77" customFormat="1">
      <c r="A61" s="100">
        <v>45681</v>
      </c>
      <c r="B61" s="92" t="s">
        <v>1632</v>
      </c>
      <c r="C61" s="106"/>
      <c r="D61" s="90"/>
      <c r="E61" s="90">
        <v>-1798</v>
      </c>
      <c r="K61" s="78"/>
      <c r="L61" s="78"/>
      <c r="M61" s="78"/>
      <c r="N61" s="78"/>
    </row>
    <row r="62" spans="1:14" s="77" customFormat="1">
      <c r="A62" s="100">
        <v>45681</v>
      </c>
      <c r="B62" s="92" t="s">
        <v>1631</v>
      </c>
      <c r="C62" s="106"/>
      <c r="D62" s="90"/>
      <c r="E62" s="90">
        <v>-120</v>
      </c>
      <c r="K62" s="78"/>
      <c r="L62" s="78"/>
      <c r="M62" s="78"/>
      <c r="N62" s="78"/>
    </row>
    <row r="63" spans="1:14" s="77" customFormat="1">
      <c r="A63" s="100">
        <v>45681</v>
      </c>
      <c r="B63" s="92" t="s">
        <v>1633</v>
      </c>
      <c r="C63" s="106"/>
      <c r="D63" s="90"/>
      <c r="E63" s="90">
        <v>-700</v>
      </c>
      <c r="K63" s="78"/>
      <c r="L63" s="78"/>
      <c r="M63" s="78"/>
      <c r="N63" s="78"/>
    </row>
    <row r="64" spans="1:14" s="77" customFormat="1">
      <c r="A64" s="100">
        <v>45682</v>
      </c>
      <c r="B64" s="92" t="s">
        <v>1621</v>
      </c>
      <c r="C64" s="106"/>
      <c r="D64" s="90"/>
      <c r="E64" s="90">
        <v>-70</v>
      </c>
      <c r="K64" s="78"/>
      <c r="L64" s="78"/>
      <c r="M64" s="78"/>
      <c r="N64" s="78"/>
    </row>
    <row r="65" spans="1:14" s="77" customFormat="1">
      <c r="A65" s="100">
        <v>45682</v>
      </c>
      <c r="B65" s="92" t="s">
        <v>1634</v>
      </c>
      <c r="C65" s="106"/>
      <c r="D65" s="90"/>
      <c r="E65" s="90">
        <v>-699.99</v>
      </c>
      <c r="K65" s="78"/>
      <c r="L65" s="78"/>
      <c r="M65" s="78"/>
      <c r="N65" s="78"/>
    </row>
    <row r="66" spans="1:14" s="77" customFormat="1">
      <c r="A66" s="100">
        <v>45691</v>
      </c>
      <c r="B66" s="3" t="s">
        <v>130</v>
      </c>
      <c r="C66" s="106">
        <v>19000</v>
      </c>
      <c r="K66" s="78"/>
      <c r="L66" s="78"/>
      <c r="M66" s="78"/>
      <c r="N66" s="78"/>
    </row>
    <row r="67" spans="1:14" s="77" customFormat="1">
      <c r="A67" s="100">
        <v>45691</v>
      </c>
      <c r="B67" s="92" t="s">
        <v>130</v>
      </c>
      <c r="C67" s="106">
        <v>10500</v>
      </c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 ht="15">
      <c r="A73" s="100"/>
      <c r="B73" s="105" t="s">
        <v>84</v>
      </c>
      <c r="C73" s="106"/>
      <c r="K73" s="78"/>
      <c r="L73" s="78"/>
      <c r="M73" s="78"/>
      <c r="N73" s="78"/>
    </row>
    <row r="74" spans="1:14" s="77" customFormat="1">
      <c r="A74" s="100"/>
      <c r="B74" s="3"/>
      <c r="C74" s="106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171"/>
  <sheetViews>
    <sheetView topLeftCell="A19" zoomScale="145" zoomScaleNormal="145" workbookViewId="0">
      <selection activeCell="C15" sqref="C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SUM(D4:D35)</f>
        <v>45000</v>
      </c>
      <c r="E2" s="77">
        <f>SUM(E4:E36)</f>
        <v>-75400.399999999994</v>
      </c>
      <c r="F2" s="77">
        <f>SUM(F4:F36)</f>
        <v>0</v>
      </c>
      <c r="G2" s="77">
        <f>SUM(G4:G36)</f>
        <v>-51565.32</v>
      </c>
      <c r="H2" s="77">
        <f>F2+G2</f>
        <v>-51565.32</v>
      </c>
    </row>
    <row r="3" spans="1:14">
      <c r="B3" s="18"/>
    </row>
    <row r="4" spans="1:14">
      <c r="B4" s="41"/>
      <c r="H4" s="77">
        <f t="shared" ref="H4:H36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E41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E56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7">
        <v>45873</v>
      </c>
      <c r="B9" s="439" t="s">
        <v>1657</v>
      </c>
      <c r="C9" s="424"/>
      <c r="D9" s="385"/>
      <c r="E9" s="385"/>
      <c r="F9" s="385"/>
      <c r="G9" s="388">
        <v>-18000</v>
      </c>
      <c r="H9" s="90">
        <f t="shared" si="0"/>
        <v>-47103.34</v>
      </c>
    </row>
    <row r="10" spans="1:14">
      <c r="A10" s="392">
        <v>45692</v>
      </c>
      <c r="B10" s="393" t="s">
        <v>70</v>
      </c>
      <c r="C10" s="393"/>
      <c r="D10" s="388"/>
      <c r="E10" s="388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88"/>
      <c r="B11" s="99"/>
      <c r="C11" s="99"/>
      <c r="D11" s="90"/>
      <c r="E11" s="90"/>
      <c r="F11" s="90"/>
      <c r="G11" s="90"/>
      <c r="H11" s="90">
        <f t="shared" si="0"/>
        <v>-49220.32</v>
      </c>
      <c r="K11" s="78"/>
      <c r="L11" s="78"/>
      <c r="M11" s="78"/>
      <c r="N11" s="78"/>
    </row>
    <row r="12" spans="1:14" s="11" customFormat="1">
      <c r="A12" s="88"/>
      <c r="B12" s="99"/>
      <c r="C12" s="99"/>
      <c r="D12" s="90"/>
      <c r="E12" s="90"/>
      <c r="F12" s="90"/>
      <c r="G12" s="90"/>
      <c r="H12" s="90">
        <f t="shared" si="0"/>
        <v>-49220.32</v>
      </c>
      <c r="K12" s="78"/>
      <c r="L12" s="78"/>
      <c r="M12" s="78"/>
      <c r="N12" s="78"/>
    </row>
    <row r="13" spans="1:14" s="11" customFormat="1">
      <c r="A13" s="88"/>
      <c r="B13" s="99"/>
      <c r="C13" s="99"/>
      <c r="D13" s="90"/>
      <c r="E13" s="90"/>
      <c r="F13" s="90"/>
      <c r="G13" s="90"/>
      <c r="H13" s="90">
        <f t="shared" si="0"/>
        <v>-49220.32</v>
      </c>
      <c r="K13" s="78"/>
      <c r="L13" s="78"/>
      <c r="M13" s="78"/>
      <c r="N13" s="78"/>
    </row>
    <row r="14" spans="1:14" s="11" customFormat="1">
      <c r="A14" s="88"/>
      <c r="B14" s="99"/>
      <c r="C14" s="99"/>
      <c r="D14" s="90"/>
      <c r="E14" s="90"/>
      <c r="F14" s="90"/>
      <c r="G14" s="90"/>
      <c r="H14" s="90">
        <f t="shared" si="0"/>
        <v>-49220.32</v>
      </c>
      <c r="K14" s="78"/>
      <c r="L14" s="78"/>
      <c r="M14" s="78"/>
      <c r="N14" s="78"/>
    </row>
    <row r="15" spans="1:14" s="11" customFormat="1">
      <c r="A15" s="88"/>
      <c r="B15" s="99"/>
      <c r="C15" s="99"/>
      <c r="D15" s="90"/>
      <c r="E15" s="90"/>
      <c r="F15" s="90"/>
      <c r="G15" s="90"/>
      <c r="H15" s="90">
        <f t="shared" si="0"/>
        <v>-49220.32</v>
      </c>
      <c r="K15" s="78"/>
      <c r="L15" s="78"/>
      <c r="M15" s="78"/>
      <c r="N15" s="78"/>
    </row>
    <row r="16" spans="1:14">
      <c r="B16" s="89" t="s">
        <v>1600</v>
      </c>
      <c r="C16" s="89"/>
      <c r="D16" s="90"/>
      <c r="E16" s="90">
        <v>-17500</v>
      </c>
      <c r="H16" s="90">
        <f t="shared" si="0"/>
        <v>-49220.32</v>
      </c>
    </row>
    <row r="17" spans="1:13">
      <c r="B17" s="91" t="s">
        <v>72</v>
      </c>
      <c r="C17" s="92"/>
      <c r="D17" s="90"/>
      <c r="E17" s="90">
        <v>0</v>
      </c>
      <c r="H17" s="90">
        <f t="shared" si="0"/>
        <v>-49220.32</v>
      </c>
    </row>
    <row r="18" spans="1:13">
      <c r="A18" s="88"/>
      <c r="B18" s="92"/>
      <c r="C18" s="92"/>
      <c r="D18" s="90"/>
      <c r="E18" s="90"/>
      <c r="H18" s="90">
        <f t="shared" si="0"/>
        <v>-49220.32</v>
      </c>
    </row>
    <row r="19" spans="1:13" s="78" customFormat="1">
      <c r="A19" s="88"/>
      <c r="B19" s="419" t="s">
        <v>114</v>
      </c>
      <c r="C19" s="419"/>
      <c r="D19" s="420">
        <v>15000</v>
      </c>
      <c r="E19" s="77"/>
      <c r="F19" s="77"/>
      <c r="G19" s="77"/>
      <c r="H19" s="90">
        <f t="shared" si="0"/>
        <v>-49220.32</v>
      </c>
      <c r="I19"/>
      <c r="J19"/>
    </row>
    <row r="20" spans="1:13" s="78" customFormat="1">
      <c r="A20" s="88">
        <v>45705</v>
      </c>
      <c r="B20" s="93" t="s">
        <v>73</v>
      </c>
      <c r="C20" s="93"/>
      <c r="D20" s="90"/>
      <c r="E20" s="90">
        <v>-1000</v>
      </c>
      <c r="F20" s="77"/>
      <c r="G20" s="77">
        <v>-2305</v>
      </c>
      <c r="H20" s="90">
        <f t="shared" si="0"/>
        <v>-51525.32</v>
      </c>
    </row>
    <row r="21" spans="1:13" s="78" customFormat="1">
      <c r="A21" s="88">
        <v>45705</v>
      </c>
      <c r="B21" s="93" t="s">
        <v>74</v>
      </c>
      <c r="C21" s="93"/>
      <c r="D21" s="90"/>
      <c r="E21" s="90">
        <v>-200</v>
      </c>
      <c r="F21" s="77"/>
      <c r="G21" s="77">
        <v>-40</v>
      </c>
      <c r="H21" s="90">
        <f t="shared" si="0"/>
        <v>-51565.32</v>
      </c>
    </row>
    <row r="22" spans="1:13" s="78" customFormat="1">
      <c r="A22" s="88"/>
      <c r="B22" s="89" t="s">
        <v>75</v>
      </c>
      <c r="C22" s="89"/>
      <c r="D22" s="90"/>
      <c r="E22" s="90">
        <v>-200</v>
      </c>
      <c r="F22" s="77"/>
      <c r="G22" s="77"/>
      <c r="H22" s="90">
        <f t="shared" si="0"/>
        <v>-51565.32</v>
      </c>
    </row>
    <row r="23" spans="1:13" s="78" customFormat="1">
      <c r="A23" s="88"/>
      <c r="B23" s="92" t="s">
        <v>76</v>
      </c>
      <c r="C23" s="92"/>
      <c r="D23" s="90">
        <v>15000</v>
      </c>
      <c r="E23" s="90"/>
      <c r="F23" s="77"/>
      <c r="G23" s="77"/>
      <c r="H23" s="90">
        <f t="shared" si="0"/>
        <v>-51565.32</v>
      </c>
      <c r="J23" s="94"/>
      <c r="K23" s="94"/>
      <c r="L23" s="95"/>
      <c r="M23" s="96"/>
    </row>
    <row r="24" spans="1:13" s="78" customFormat="1">
      <c r="B24" s="92" t="s">
        <v>77</v>
      </c>
      <c r="C24" s="92"/>
      <c r="D24" s="90"/>
      <c r="E24" s="90">
        <v>-7500</v>
      </c>
      <c r="F24" s="77"/>
      <c r="G24" s="77"/>
      <c r="H24" s="77">
        <f t="shared" si="0"/>
        <v>-51565.32</v>
      </c>
      <c r="J24" s="94"/>
      <c r="K24" s="94"/>
      <c r="L24" s="95"/>
      <c r="M24" s="96"/>
    </row>
    <row r="25" spans="1:13" s="78" customFormat="1">
      <c r="B25" s="92" t="s">
        <v>78</v>
      </c>
      <c r="C25" s="92"/>
      <c r="D25" s="90"/>
      <c r="E25" s="90">
        <v>-7500</v>
      </c>
      <c r="F25" s="77"/>
      <c r="G25" s="77"/>
      <c r="H25" s="77">
        <f t="shared" si="0"/>
        <v>-51565.32</v>
      </c>
      <c r="J25" s="94"/>
      <c r="K25" s="94"/>
      <c r="L25" s="95"/>
      <c r="M25" s="96"/>
    </row>
    <row r="26" spans="1:13" s="78" customFormat="1">
      <c r="B26" s="92" t="s">
        <v>79</v>
      </c>
      <c r="C26" s="92"/>
      <c r="D26" s="90"/>
      <c r="E26" s="90">
        <v>-7500</v>
      </c>
      <c r="F26" s="77"/>
      <c r="G26" s="77"/>
      <c r="H26" s="77">
        <f t="shared" si="0"/>
        <v>-51565.32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-51565.32</v>
      </c>
      <c r="J27" s="94"/>
      <c r="K27" s="94"/>
      <c r="L27" s="95"/>
      <c r="M27" s="96"/>
    </row>
    <row r="28" spans="1:13" s="78" customFormat="1">
      <c r="A28" s="97"/>
      <c r="B28" s="92"/>
      <c r="C28" s="92"/>
      <c r="D28" s="90"/>
      <c r="E28" s="90"/>
      <c r="F28" s="77"/>
      <c r="G28" s="77"/>
      <c r="H28" s="77">
        <f t="shared" si="0"/>
        <v>-51565.32</v>
      </c>
      <c r="J28" s="94"/>
      <c r="K28" s="94"/>
      <c r="L28" s="95"/>
      <c r="M28" s="96"/>
    </row>
    <row r="29" spans="1:13" s="78" customFormat="1">
      <c r="A29" s="98">
        <v>45716</v>
      </c>
      <c r="B29" s="3" t="s">
        <v>98</v>
      </c>
      <c r="C29" s="3" t="s">
        <v>1606</v>
      </c>
      <c r="D29" s="77"/>
      <c r="E29" s="77">
        <v>-1380</v>
      </c>
      <c r="F29" s="77"/>
      <c r="G29" s="77"/>
      <c r="H29" s="77">
        <f t="shared" si="0"/>
        <v>-51565.32</v>
      </c>
      <c r="J29" s="94"/>
      <c r="K29" s="94"/>
      <c r="L29" s="95"/>
      <c r="M29" s="96"/>
    </row>
    <row r="30" spans="1:13" s="78" customFormat="1">
      <c r="B30" s="99" t="s">
        <v>80</v>
      </c>
      <c r="C30" s="99"/>
      <c r="D30" s="77"/>
      <c r="E30" s="77">
        <v>-600</v>
      </c>
      <c r="F30" s="77"/>
      <c r="G30" s="77"/>
      <c r="H30" s="77">
        <f t="shared" si="0"/>
        <v>-51565.32</v>
      </c>
      <c r="J30" s="94"/>
      <c r="K30" s="94"/>
      <c r="L30" s="95"/>
      <c r="M30" s="96"/>
    </row>
    <row r="31" spans="1:13" s="78" customFormat="1">
      <c r="B31" s="99" t="s">
        <v>81</v>
      </c>
      <c r="C31" s="99"/>
      <c r="D31" s="77"/>
      <c r="E31" s="77">
        <v>-800</v>
      </c>
      <c r="F31" s="77"/>
      <c r="G31" s="77"/>
      <c r="H31" s="77">
        <f t="shared" si="0"/>
        <v>-51565.32</v>
      </c>
      <c r="J31" s="94"/>
      <c r="K31" s="94"/>
      <c r="L31" s="95"/>
      <c r="M31" s="96"/>
    </row>
    <row r="32" spans="1:13" s="78" customFormat="1">
      <c r="B32" s="3" t="s">
        <v>107</v>
      </c>
      <c r="C32" s="3"/>
      <c r="D32" s="77">
        <v>15000</v>
      </c>
      <c r="E32" s="77"/>
      <c r="F32" s="77"/>
      <c r="G32" s="77"/>
      <c r="H32" s="77">
        <f t="shared" si="0"/>
        <v>-51565.32</v>
      </c>
    </row>
    <row r="33" spans="1:14" s="78" customFormat="1">
      <c r="D33" s="77"/>
      <c r="E33" s="77"/>
      <c r="F33" s="77"/>
      <c r="G33" s="77"/>
      <c r="H33" s="77">
        <f t="shared" si="0"/>
        <v>-51565.32</v>
      </c>
    </row>
    <row r="34" spans="1:14">
      <c r="A34" s="100"/>
      <c r="B34" s="101" t="s">
        <v>1663</v>
      </c>
      <c r="C34" s="101"/>
      <c r="H34" s="77">
        <f t="shared" si="0"/>
        <v>-51565.32</v>
      </c>
      <c r="I34" s="78"/>
      <c r="J34" s="78"/>
    </row>
    <row r="35" spans="1:14">
      <c r="A35" s="100"/>
      <c r="H35" s="77">
        <f t="shared" si="0"/>
        <v>-51565.32</v>
      </c>
    </row>
    <row r="36" spans="1:14" s="78" customFormat="1">
      <c r="A36"/>
      <c r="E36" s="77"/>
      <c r="F36" s="77"/>
      <c r="G36" s="77"/>
      <c r="H36" s="77">
        <f t="shared" si="0"/>
        <v>-51565.32</v>
      </c>
      <c r="I36"/>
      <c r="J36"/>
    </row>
    <row r="37" spans="1:14" s="78" customFormat="1">
      <c r="B37" s="101"/>
      <c r="C37" s="101"/>
      <c r="D37" s="77"/>
      <c r="E37" s="77"/>
      <c r="F37" s="77"/>
      <c r="G37" s="77"/>
      <c r="H37" s="77"/>
      <c r="J37" s="94"/>
      <c r="K37" s="94"/>
      <c r="L37" s="95"/>
      <c r="M37" s="96"/>
    </row>
    <row r="38" spans="1:14" s="78" customFormat="1">
      <c r="A38" s="98"/>
      <c r="D38" s="77"/>
      <c r="E38" s="77"/>
      <c r="F38" s="77"/>
      <c r="G38" s="77"/>
      <c r="H38" s="77"/>
    </row>
    <row r="39" spans="1:14" s="77" customFormat="1">
      <c r="A39" s="88"/>
      <c r="B39" s="78"/>
      <c r="C39" s="78"/>
      <c r="H39" s="77">
        <v>15000</v>
      </c>
      <c r="I39" s="78"/>
      <c r="J39" s="78"/>
      <c r="K39" s="78"/>
      <c r="L39" s="78"/>
      <c r="M39" s="78"/>
      <c r="N39" s="78"/>
    </row>
    <row r="40" spans="1:14" s="77" customFormat="1">
      <c r="B40" s="102"/>
      <c r="G40" s="77" t="s">
        <v>1664</v>
      </c>
      <c r="H40" s="433">
        <v>0.5635</v>
      </c>
      <c r="K40" s="78"/>
      <c r="L40" s="78"/>
      <c r="M40" s="78"/>
      <c r="N40" s="78"/>
    </row>
    <row r="41" spans="1:14">
      <c r="A41" s="103"/>
      <c r="B41" s="104" t="s">
        <v>83</v>
      </c>
      <c r="C41" s="103"/>
      <c r="E41" s="77">
        <f>SUM(E42:E53)</f>
        <v>0</v>
      </c>
      <c r="H41" s="77">
        <f>H40*H39</f>
        <v>8452.5</v>
      </c>
      <c r="I41" s="77"/>
      <c r="J41" s="77"/>
    </row>
    <row r="42" spans="1:14" s="77" customFormat="1" ht="15">
      <c r="A42"/>
      <c r="B42"/>
      <c r="C42"/>
      <c r="E42" s="105" t="s">
        <v>84</v>
      </c>
      <c r="G42" s="77" t="s">
        <v>1665</v>
      </c>
      <c r="H42" s="77">
        <f>SUM(H41+H39)</f>
        <v>23452.5</v>
      </c>
      <c r="I42"/>
      <c r="J42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 s="77" customFormat="1">
      <c r="A44" s="88"/>
      <c r="K44" s="78"/>
      <c r="L44" s="78"/>
      <c r="M44" s="78"/>
      <c r="N44" s="78"/>
    </row>
    <row r="45" spans="1:14" s="77" customFormat="1">
      <c r="A45" s="88"/>
      <c r="K45" s="78"/>
      <c r="L45" s="78"/>
      <c r="M45" s="78"/>
      <c r="N45" s="78"/>
    </row>
    <row r="46" spans="1:14">
      <c r="A46" s="88"/>
      <c r="I46" s="77"/>
      <c r="J46" s="77"/>
    </row>
    <row r="47" spans="1:14" s="77" customFormat="1">
      <c r="A47"/>
      <c r="I47"/>
      <c r="J47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0"/>
      <c r="B50" s="107"/>
      <c r="C50" s="106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107"/>
      <c r="K52" s="78"/>
      <c r="L52" s="78"/>
      <c r="M52" s="78"/>
      <c r="N52" s="78"/>
    </row>
    <row r="53" spans="1:14" s="77" customFormat="1">
      <c r="A53" s="100"/>
      <c r="B53" s="107"/>
      <c r="C53" s="106"/>
      <c r="K53" s="78"/>
      <c r="L53" s="78"/>
      <c r="M53" s="78"/>
      <c r="N53" s="78"/>
    </row>
    <row r="54" spans="1:14" s="77" customFormat="1">
      <c r="A54" s="100"/>
      <c r="B54" s="3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SUM(E57:E102)</f>
        <v>-29103.34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90" customFormat="1">
      <c r="A58" s="100"/>
      <c r="B58" s="106"/>
      <c r="C58" s="106"/>
      <c r="K58" s="78"/>
      <c r="L58" s="78"/>
      <c r="M58" s="78"/>
      <c r="N58" s="78"/>
    </row>
    <row r="59" spans="1:14" s="90" customFormat="1">
      <c r="A59" s="100"/>
      <c r="B59" s="106"/>
      <c r="C59" s="106"/>
      <c r="K59" s="78"/>
      <c r="L59" s="78"/>
      <c r="M59" s="78"/>
      <c r="N59" s="78"/>
    </row>
    <row r="60" spans="1:14" s="90" customFormat="1">
      <c r="A60" s="100">
        <v>46018</v>
      </c>
      <c r="B60" s="106" t="s">
        <v>1637</v>
      </c>
      <c r="C60" s="106"/>
      <c r="E60" s="90">
        <v>-135</v>
      </c>
      <c r="K60" s="78"/>
      <c r="L60" s="78"/>
      <c r="M60" s="78"/>
      <c r="N60" s="78"/>
    </row>
    <row r="61" spans="1:14" s="90" customFormat="1">
      <c r="A61" s="100">
        <v>46016</v>
      </c>
      <c r="B61" s="106" t="s">
        <v>1636</v>
      </c>
      <c r="C61" s="106"/>
      <c r="E61" s="90">
        <v>-240</v>
      </c>
      <c r="K61" s="78"/>
      <c r="L61" s="78"/>
      <c r="M61" s="78"/>
      <c r="N61" s="78"/>
    </row>
    <row r="62" spans="1:14" s="77" customFormat="1">
      <c r="A62" s="100">
        <v>46015</v>
      </c>
      <c r="B62" s="106" t="s">
        <v>1635</v>
      </c>
      <c r="C62" s="106"/>
      <c r="E62" s="77">
        <v>-550</v>
      </c>
      <c r="K62" s="78"/>
      <c r="L62" s="78"/>
      <c r="M62" s="78"/>
      <c r="N62" s="78"/>
    </row>
    <row r="63" spans="1:14" s="77" customFormat="1">
      <c r="A63" s="100">
        <v>46020</v>
      </c>
      <c r="B63" s="3" t="s">
        <v>1617</v>
      </c>
      <c r="C63" s="106"/>
      <c r="E63" s="77">
        <v>-12762</v>
      </c>
      <c r="F63" s="77">
        <v>0</v>
      </c>
      <c r="K63" s="78"/>
      <c r="L63" s="78"/>
      <c r="M63" s="78"/>
      <c r="N63" s="78"/>
    </row>
    <row r="64" spans="1:14" s="77" customFormat="1">
      <c r="A64" s="100">
        <v>46021</v>
      </c>
      <c r="B64" s="3" t="s">
        <v>1616</v>
      </c>
      <c r="C64" s="106"/>
      <c r="E64" s="77">
        <v>-120</v>
      </c>
      <c r="K64" s="78"/>
      <c r="L64" s="78"/>
      <c r="M64" s="78"/>
      <c r="N64" s="78"/>
    </row>
    <row r="65" spans="1:14" s="77" customFormat="1">
      <c r="A65" s="100">
        <v>46022</v>
      </c>
      <c r="B65" s="92" t="s">
        <v>1619</v>
      </c>
      <c r="C65" s="106"/>
      <c r="E65" s="77">
        <v>-3741</v>
      </c>
      <c r="F65" s="77">
        <v>0</v>
      </c>
      <c r="K65" s="78"/>
      <c r="L65" s="78"/>
      <c r="M65" s="78"/>
      <c r="N65" s="78"/>
    </row>
    <row r="66" spans="1:14" s="77" customFormat="1">
      <c r="A66" s="100">
        <v>46022</v>
      </c>
      <c r="B66" s="92" t="s">
        <v>1618</v>
      </c>
      <c r="C66" s="106"/>
      <c r="E66" s="77">
        <v>-3741</v>
      </c>
      <c r="F66" s="77">
        <v>0</v>
      </c>
      <c r="K66" s="78"/>
      <c r="L66" s="78"/>
      <c r="M66" s="78"/>
      <c r="N66" s="78"/>
    </row>
    <row r="67" spans="1:14" s="77" customFormat="1">
      <c r="A67" s="100">
        <v>46022</v>
      </c>
      <c r="B67" s="3" t="s">
        <v>1620</v>
      </c>
      <c r="C67" s="106"/>
      <c r="E67" s="77">
        <v>-560</v>
      </c>
      <c r="K67" s="78"/>
      <c r="L67" s="78"/>
      <c r="M67" s="78"/>
      <c r="N67" s="78"/>
    </row>
    <row r="68" spans="1:14" s="90" customFormat="1">
      <c r="A68" s="100">
        <v>45658</v>
      </c>
      <c r="B68" s="92" t="s">
        <v>128</v>
      </c>
      <c r="C68" s="106"/>
      <c r="E68" s="90">
        <v>-177.87</v>
      </c>
      <c r="K68" s="78"/>
      <c r="L68" s="78"/>
      <c r="M68" s="78"/>
      <c r="N68" s="78"/>
    </row>
    <row r="69" spans="1:14" s="77" customFormat="1">
      <c r="A69" s="100">
        <v>45658</v>
      </c>
      <c r="B69" s="3" t="s">
        <v>1638</v>
      </c>
      <c r="C69" s="106"/>
      <c r="D69" s="77">
        <v>69.13</v>
      </c>
      <c r="K69" s="78"/>
      <c r="L69" s="78"/>
      <c r="M69" s="78"/>
      <c r="N69" s="78"/>
    </row>
    <row r="70" spans="1:14" s="77" customFormat="1">
      <c r="A70" s="100">
        <v>45659</v>
      </c>
      <c r="B70" s="92" t="s">
        <v>128</v>
      </c>
      <c r="C70" s="106"/>
      <c r="E70" s="77">
        <v>-470</v>
      </c>
      <c r="K70" s="78"/>
      <c r="L70" s="78"/>
      <c r="M70" s="78"/>
      <c r="N70" s="78"/>
    </row>
    <row r="71" spans="1:14" s="77" customFormat="1">
      <c r="A71" s="100">
        <v>45660</v>
      </c>
      <c r="B71" s="3" t="s">
        <v>1621</v>
      </c>
      <c r="C71" s="106"/>
      <c r="E71" s="77">
        <v>-70</v>
      </c>
      <c r="K71" s="78"/>
      <c r="L71" s="78"/>
      <c r="M71" s="78"/>
      <c r="N71" s="78"/>
    </row>
    <row r="72" spans="1:14" s="90" customFormat="1">
      <c r="A72" s="100">
        <v>45660</v>
      </c>
      <c r="B72" s="92" t="s">
        <v>130</v>
      </c>
      <c r="C72" s="106"/>
      <c r="D72" s="90">
        <v>7885.34</v>
      </c>
      <c r="K72" s="78"/>
      <c r="L72" s="78"/>
      <c r="M72" s="78"/>
      <c r="N72" s="78"/>
    </row>
    <row r="73" spans="1:14" s="77" customFormat="1">
      <c r="A73" s="100">
        <v>45664</v>
      </c>
      <c r="B73" s="3" t="s">
        <v>1622</v>
      </c>
      <c r="C73" s="106"/>
      <c r="E73" s="77">
        <v>-230</v>
      </c>
      <c r="K73" s="78"/>
      <c r="L73" s="78"/>
      <c r="M73" s="78"/>
      <c r="N73" s="78"/>
    </row>
    <row r="74" spans="1:14" s="90" customFormat="1">
      <c r="A74" s="100">
        <v>45666</v>
      </c>
      <c r="B74" s="92" t="s">
        <v>1621</v>
      </c>
      <c r="C74" s="106"/>
      <c r="E74" s="90">
        <v>-70</v>
      </c>
      <c r="K74" s="78"/>
      <c r="L74" s="78"/>
      <c r="M74" s="78"/>
      <c r="N74" s="78"/>
    </row>
    <row r="75" spans="1:14" s="90" customFormat="1">
      <c r="A75" s="100">
        <v>45667</v>
      </c>
      <c r="B75" s="92" t="s">
        <v>1623</v>
      </c>
      <c r="C75" s="106"/>
      <c r="E75" s="90">
        <v>-1000</v>
      </c>
      <c r="F75" s="90">
        <v>0</v>
      </c>
      <c r="K75" s="78"/>
      <c r="L75" s="78"/>
      <c r="M75" s="78"/>
      <c r="N75" s="78"/>
    </row>
    <row r="76" spans="1:14" s="90" customFormat="1">
      <c r="A76" s="100">
        <v>45667</v>
      </c>
      <c r="B76" s="92" t="s">
        <v>1624</v>
      </c>
      <c r="C76" s="106"/>
      <c r="E76" s="90">
        <v>-75</v>
      </c>
      <c r="K76" s="78"/>
      <c r="L76" s="78"/>
      <c r="M76" s="78"/>
      <c r="N76" s="78"/>
    </row>
    <row r="77" spans="1:14" s="90" customFormat="1">
      <c r="A77" s="100">
        <v>45667</v>
      </c>
      <c r="B77" s="92" t="s">
        <v>1625</v>
      </c>
      <c r="C77" s="106"/>
      <c r="E77" s="90">
        <v>-400</v>
      </c>
      <c r="K77" s="78"/>
      <c r="L77" s="78"/>
      <c r="M77" s="78"/>
      <c r="N77" s="78"/>
    </row>
    <row r="78" spans="1:14" s="90" customFormat="1">
      <c r="A78" s="100">
        <v>45669</v>
      </c>
      <c r="B78" s="92" t="s">
        <v>1626</v>
      </c>
      <c r="C78" s="106"/>
      <c r="E78" s="90">
        <v>-2529.9699999999998</v>
      </c>
      <c r="K78" s="78"/>
      <c r="L78" s="78"/>
      <c r="M78" s="78"/>
      <c r="N78" s="78"/>
    </row>
    <row r="79" spans="1:14" s="90" customFormat="1">
      <c r="A79" s="100">
        <v>45669</v>
      </c>
      <c r="B79" s="92" t="s">
        <v>1627</v>
      </c>
      <c r="C79" s="106"/>
      <c r="E79" s="90">
        <v>-970</v>
      </c>
      <c r="K79" s="78"/>
      <c r="L79" s="78"/>
      <c r="M79" s="78"/>
      <c r="N79" s="78"/>
    </row>
    <row r="80" spans="1:14" s="77" customFormat="1">
      <c r="A80" s="100">
        <v>45669</v>
      </c>
      <c r="B80" s="92" t="s">
        <v>1628</v>
      </c>
      <c r="C80" s="106"/>
      <c r="E80" s="77">
        <v>-970</v>
      </c>
      <c r="K80" s="78"/>
      <c r="L80" s="78"/>
      <c r="M80" s="78"/>
      <c r="N80" s="78"/>
    </row>
    <row r="81" spans="1:14" s="77" customFormat="1">
      <c r="A81" s="100">
        <v>45670</v>
      </c>
      <c r="B81" s="3" t="s">
        <v>1624</v>
      </c>
      <c r="C81" s="106"/>
      <c r="E81" s="77">
        <v>-60</v>
      </c>
      <c r="K81" s="78"/>
      <c r="L81" s="78"/>
      <c r="M81" s="78"/>
      <c r="N81" s="78"/>
    </row>
    <row r="82" spans="1:14" s="90" customFormat="1">
      <c r="A82" s="100">
        <v>45672</v>
      </c>
      <c r="B82" s="92" t="s">
        <v>1630</v>
      </c>
      <c r="C82" s="106"/>
      <c r="E82" s="90">
        <v>-794</v>
      </c>
      <c r="F82" s="90">
        <v>0</v>
      </c>
      <c r="K82" s="78"/>
      <c r="L82" s="78"/>
      <c r="M82" s="78"/>
      <c r="N82" s="78"/>
    </row>
    <row r="83" spans="1:14" s="90" customFormat="1">
      <c r="A83" s="100">
        <v>45672</v>
      </c>
      <c r="B83" s="92" t="s">
        <v>1629</v>
      </c>
      <c r="C83" s="106"/>
      <c r="E83" s="90">
        <v>1762</v>
      </c>
      <c r="F83" s="90">
        <v>0</v>
      </c>
      <c r="K83" s="78"/>
      <c r="L83" s="78"/>
      <c r="M83" s="78"/>
      <c r="N83" s="78"/>
    </row>
    <row r="84" spans="1:14" s="90" customFormat="1">
      <c r="A84" s="100">
        <v>45672</v>
      </c>
      <c r="B84" s="92" t="s">
        <v>1616</v>
      </c>
      <c r="C84" s="106"/>
      <c r="E84" s="90">
        <v>-120</v>
      </c>
      <c r="K84" s="78"/>
      <c r="L84" s="78"/>
      <c r="M84" s="78"/>
      <c r="N84" s="78"/>
    </row>
    <row r="85" spans="1:14" s="90" customFormat="1">
      <c r="A85" s="100">
        <v>45673</v>
      </c>
      <c r="B85" s="92" t="s">
        <v>1621</v>
      </c>
      <c r="C85" s="106"/>
      <c r="E85" s="90">
        <v>-70</v>
      </c>
      <c r="K85" s="78"/>
      <c r="L85" s="78"/>
      <c r="M85" s="78"/>
      <c r="N85" s="78"/>
    </row>
    <row r="86" spans="1:14" s="90" customFormat="1">
      <c r="A86" s="100">
        <v>45673</v>
      </c>
      <c r="B86" s="92" t="s">
        <v>415</v>
      </c>
      <c r="C86" s="106"/>
      <c r="E86" s="90">
        <v>-385</v>
      </c>
      <c r="K86" s="78"/>
      <c r="L86" s="78"/>
      <c r="M86" s="78"/>
      <c r="N86" s="78"/>
    </row>
    <row r="87" spans="1:14" s="90" customFormat="1">
      <c r="A87" s="100">
        <v>45674</v>
      </c>
      <c r="B87" s="92" t="s">
        <v>135</v>
      </c>
      <c r="C87" s="106"/>
      <c r="E87" s="90">
        <v>-100</v>
      </c>
      <c r="K87" s="78"/>
      <c r="L87" s="78"/>
      <c r="M87" s="78"/>
      <c r="N87" s="78"/>
    </row>
    <row r="88" spans="1:14" s="90" customFormat="1">
      <c r="A88" s="100">
        <v>45677</v>
      </c>
      <c r="B88" s="92" t="s">
        <v>1622</v>
      </c>
      <c r="C88" s="106"/>
      <c r="E88" s="90">
        <v>-230</v>
      </c>
      <c r="K88" s="78"/>
      <c r="L88" s="78"/>
      <c r="M88" s="78"/>
      <c r="N88" s="78"/>
    </row>
    <row r="89" spans="1:14" s="90" customFormat="1">
      <c r="A89" s="100">
        <v>45677</v>
      </c>
      <c r="B89" s="92" t="s">
        <v>128</v>
      </c>
      <c r="C89" s="106"/>
      <c r="E89" s="90">
        <v>-174.5</v>
      </c>
      <c r="K89" s="78"/>
      <c r="L89" s="78"/>
      <c r="M89" s="78"/>
      <c r="N89" s="78"/>
    </row>
    <row r="90" spans="1:14" s="90" customFormat="1">
      <c r="A90" s="100">
        <v>45678</v>
      </c>
      <c r="B90" s="92" t="s">
        <v>1631</v>
      </c>
      <c r="C90" s="106"/>
      <c r="E90" s="90">
        <v>-120</v>
      </c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K92" s="78"/>
      <c r="L92" s="78"/>
      <c r="M92" s="78"/>
      <c r="N92" s="78"/>
    </row>
    <row r="93" spans="1:14" s="90" customFormat="1">
      <c r="K93" s="78"/>
      <c r="L93" s="78"/>
      <c r="M93" s="78"/>
      <c r="N93" s="78"/>
    </row>
    <row r="94" spans="1:14" s="90" customFormat="1">
      <c r="K94" s="78"/>
      <c r="L94" s="78"/>
      <c r="M94" s="78"/>
      <c r="N94" s="78"/>
    </row>
    <row r="95" spans="1:14" s="90" customFormat="1">
      <c r="K95" s="78"/>
      <c r="L95" s="78"/>
      <c r="M95" s="78"/>
      <c r="N95" s="78"/>
    </row>
    <row r="96" spans="1:14" s="90" customFormat="1">
      <c r="A96" s="100"/>
      <c r="B96" s="92"/>
      <c r="C96" s="106"/>
      <c r="K96" s="78"/>
      <c r="L96" s="78"/>
      <c r="M96" s="78"/>
      <c r="N96" s="78"/>
    </row>
    <row r="97" spans="1:14" s="77" customFormat="1" ht="15">
      <c r="A97" s="100"/>
      <c r="B97" s="3"/>
      <c r="C97" s="106"/>
      <c r="E97" s="105" t="s">
        <v>84</v>
      </c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>
      <c r="A102" s="100"/>
      <c r="B102" s="3"/>
      <c r="C102" s="106"/>
      <c r="I102" s="77"/>
      <c r="J102" s="77"/>
    </row>
    <row r="116" spans="1:14">
      <c r="A116" s="113" t="s">
        <v>1652</v>
      </c>
      <c r="B116" s="104" t="s">
        <v>137</v>
      </c>
      <c r="C116" s="103">
        <v>2025</v>
      </c>
      <c r="D116" s="90"/>
      <c r="E116" s="90"/>
      <c r="F116" s="90"/>
      <c r="G116" s="90">
        <f>SUM(G120:G150)</f>
        <v>1069484.3572140001</v>
      </c>
      <c r="H116" s="90"/>
      <c r="I116" s="90"/>
    </row>
    <row r="117" spans="1:14">
      <c r="A117" s="113"/>
      <c r="B117" s="104"/>
      <c r="C117" s="103"/>
      <c r="D117" s="90"/>
      <c r="E117" s="90"/>
      <c r="F117" s="90"/>
      <c r="G117" s="90"/>
      <c r="H117" s="90"/>
      <c r="I117" s="90"/>
    </row>
    <row r="118" spans="1:14">
      <c r="A118" s="113"/>
      <c r="B118" s="104"/>
      <c r="C118" s="103"/>
      <c r="D118" s="90"/>
      <c r="E118" s="90" t="s">
        <v>138</v>
      </c>
      <c r="F118" s="90"/>
      <c r="G118" s="90"/>
      <c r="H118" s="90"/>
      <c r="I118" s="90"/>
    </row>
    <row r="119" spans="1:14">
      <c r="A119" s="100"/>
      <c r="B119" s="90" t="s">
        <v>77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100"/>
      <c r="B120" s="90" t="s">
        <v>78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>
        <v>45691</v>
      </c>
      <c r="B121" s="90" t="s">
        <v>139</v>
      </c>
      <c r="C121" s="90"/>
      <c r="D121" s="90"/>
      <c r="E121" s="90"/>
      <c r="F121" s="90"/>
      <c r="G121" s="90">
        <v>221330</v>
      </c>
      <c r="H121" s="90"/>
      <c r="I121" s="90"/>
    </row>
    <row r="122" spans="1:14">
      <c r="A122" s="100">
        <v>45691</v>
      </c>
      <c r="B122" s="90" t="s">
        <v>140</v>
      </c>
      <c r="C122" s="12"/>
      <c r="D122" s="12"/>
      <c r="E122" s="90"/>
      <c r="F122" s="90"/>
      <c r="G122" s="17">
        <v>5000</v>
      </c>
      <c r="H122" s="90"/>
      <c r="I122" s="90"/>
    </row>
    <row r="123" spans="1:14">
      <c r="A123" s="100"/>
      <c r="B123" s="90" t="s">
        <v>141</v>
      </c>
      <c r="C123" s="12"/>
      <c r="D123" s="12"/>
      <c r="E123" s="90"/>
      <c r="F123" s="90"/>
      <c r="G123" s="17"/>
      <c r="H123" s="90"/>
      <c r="I123" s="90"/>
    </row>
    <row r="124" spans="1:14">
      <c r="A124" s="100"/>
      <c r="B124" s="90"/>
      <c r="C124" s="12"/>
      <c r="D124" s="12"/>
      <c r="E124" s="90"/>
      <c r="F124" s="90"/>
      <c r="G124" s="17"/>
      <c r="H124" s="90"/>
      <c r="I124" s="90"/>
    </row>
    <row r="125" spans="1:14">
      <c r="A125" s="100"/>
      <c r="B125" s="90"/>
      <c r="C125" s="12"/>
      <c r="D125" s="12"/>
      <c r="E125" s="90"/>
      <c r="F125" s="90"/>
      <c r="G125" s="17"/>
      <c r="H125" s="90"/>
      <c r="I125" s="90"/>
    </row>
    <row r="126" spans="1:14">
      <c r="A126" s="100">
        <v>45691</v>
      </c>
      <c r="B126" s="82" t="s">
        <v>1653</v>
      </c>
      <c r="C126" s="114"/>
      <c r="D126" s="115">
        <v>752.55561799999998</v>
      </c>
      <c r="E126" s="116">
        <f t="shared" ref="E126:E133" si="1">D126*C126</f>
        <v>0</v>
      </c>
      <c r="F126" s="406">
        <v>899.26057400000002</v>
      </c>
      <c r="G126" s="17">
        <f t="shared" ref="G126:G133" si="2">F126*C126</f>
        <v>0</v>
      </c>
      <c r="H126" s="90"/>
      <c r="I126" s="90">
        <f>G126-E126</f>
        <v>0</v>
      </c>
    </row>
    <row r="127" spans="1:14">
      <c r="A127" s="100">
        <v>45667</v>
      </c>
      <c r="B127" s="82" t="s">
        <v>142</v>
      </c>
      <c r="C127" s="114">
        <v>66</v>
      </c>
      <c r="D127" s="115">
        <v>872.26366499999995</v>
      </c>
      <c r="E127" s="116">
        <f t="shared" si="1"/>
        <v>57569.401889999994</v>
      </c>
      <c r="F127" s="407">
        <f>F126</f>
        <v>899.26057400000002</v>
      </c>
      <c r="G127" s="17">
        <f t="shared" si="2"/>
        <v>59351.197884000001</v>
      </c>
      <c r="H127" s="90"/>
      <c r="I127" s="90">
        <f t="shared" ref="I127:I133" si="3">G127-E127</f>
        <v>1781.7959940000073</v>
      </c>
    </row>
    <row r="128" spans="1:14" s="11" customFormat="1">
      <c r="A128" s="100">
        <v>45691</v>
      </c>
      <c r="B128" s="82" t="s">
        <v>1654</v>
      </c>
      <c r="C128" s="114"/>
      <c r="D128" s="115">
        <v>872.26366499999995</v>
      </c>
      <c r="E128" s="116">
        <f t="shared" ref="E128" si="4">D128*C128</f>
        <v>0</v>
      </c>
      <c r="F128" s="407">
        <f>F127</f>
        <v>899.26057400000002</v>
      </c>
      <c r="G128" s="17">
        <f t="shared" ref="G128" si="5">F128*C128</f>
        <v>0</v>
      </c>
      <c r="H128" s="90"/>
      <c r="I128" s="90">
        <f t="shared" ref="I128" si="6">G128-E128</f>
        <v>0</v>
      </c>
      <c r="K128" s="78"/>
      <c r="L128" s="78"/>
      <c r="M128" s="78"/>
      <c r="N128" s="78"/>
    </row>
    <row r="129" spans="1:14" s="11" customFormat="1">
      <c r="A129" s="100">
        <v>45692</v>
      </c>
      <c r="B129" s="82" t="s">
        <v>1654</v>
      </c>
      <c r="C129" s="114"/>
      <c r="D129" s="115">
        <v>872.26366499999995</v>
      </c>
      <c r="E129" s="116">
        <f t="shared" ref="E129" si="7">D129*C129</f>
        <v>0</v>
      </c>
      <c r="F129" s="407">
        <v>900.29758900000002</v>
      </c>
      <c r="G129" s="17">
        <f t="shared" ref="G129" si="8">F129*C129</f>
        <v>0</v>
      </c>
      <c r="H129" s="90"/>
      <c r="I129" s="90">
        <f t="shared" ref="I129" si="9">G129-E129</f>
        <v>0</v>
      </c>
      <c r="K129" s="78"/>
      <c r="L129" s="78"/>
      <c r="M129" s="78"/>
      <c r="N129" s="78"/>
    </row>
    <row r="130" spans="1:14">
      <c r="A130" s="100">
        <v>45672</v>
      </c>
      <c r="B130" s="82" t="s">
        <v>142</v>
      </c>
      <c r="C130" s="114">
        <v>55</v>
      </c>
      <c r="D130" s="115">
        <v>877.65409299999999</v>
      </c>
      <c r="E130" s="116">
        <f t="shared" si="1"/>
        <v>48270.975115000001</v>
      </c>
      <c r="F130" s="407">
        <f>F127</f>
        <v>899.26057400000002</v>
      </c>
      <c r="G130" s="17">
        <f t="shared" si="2"/>
        <v>49459.331570000002</v>
      </c>
      <c r="H130" s="90"/>
      <c r="I130" s="90">
        <f t="shared" si="3"/>
        <v>1188.356455000001</v>
      </c>
    </row>
    <row r="131" spans="1:14">
      <c r="A131" s="100">
        <v>45680</v>
      </c>
      <c r="B131" s="82" t="s">
        <v>1611</v>
      </c>
      <c r="C131" s="114">
        <v>120</v>
      </c>
      <c r="D131" s="115">
        <v>305</v>
      </c>
      <c r="E131" s="116">
        <f t="shared" si="1"/>
        <v>36600</v>
      </c>
      <c r="F131" s="90">
        <v>313.75</v>
      </c>
      <c r="G131" s="17">
        <f t="shared" si="2"/>
        <v>37650</v>
      </c>
      <c r="H131" s="90"/>
      <c r="I131" s="90">
        <f t="shared" si="3"/>
        <v>1050</v>
      </c>
    </row>
    <row r="132" spans="1:14">
      <c r="A132" s="100">
        <v>45620</v>
      </c>
      <c r="B132" s="82" t="s">
        <v>1613</v>
      </c>
      <c r="C132" s="114">
        <v>4000</v>
      </c>
      <c r="D132" s="114">
        <v>32.549999999999997</v>
      </c>
      <c r="E132" s="116">
        <f t="shared" si="1"/>
        <v>130199.99999999999</v>
      </c>
      <c r="F132" s="90">
        <v>33.549999999999997</v>
      </c>
      <c r="G132" s="17">
        <f t="shared" si="2"/>
        <v>134200</v>
      </c>
      <c r="H132" s="90"/>
      <c r="I132" s="90">
        <f t="shared" si="3"/>
        <v>4000.0000000000146</v>
      </c>
    </row>
    <row r="133" spans="1:14" ht="13.5" thickBot="1">
      <c r="A133" s="100">
        <v>45659</v>
      </c>
      <c r="B133" s="82" t="s">
        <v>1612</v>
      </c>
      <c r="C133" s="114">
        <v>4000</v>
      </c>
      <c r="D133" s="115">
        <v>30.86</v>
      </c>
      <c r="E133" s="116">
        <f t="shared" si="1"/>
        <v>123440</v>
      </c>
      <c r="F133" s="90">
        <f>F132</f>
        <v>33.549999999999997</v>
      </c>
      <c r="G133" s="17">
        <f t="shared" si="2"/>
        <v>134200</v>
      </c>
      <c r="H133" s="422">
        <f>SUM(G126:G133)</f>
        <v>414860.529454</v>
      </c>
      <c r="I133" s="90">
        <f t="shared" si="3"/>
        <v>10760</v>
      </c>
    </row>
    <row r="134" spans="1:14" ht="13.5" thickBot="1">
      <c r="A134" s="100"/>
      <c r="B134" s="90"/>
      <c r="C134" s="12"/>
      <c r="D134" s="12"/>
      <c r="E134" s="90">
        <f>SUM(E126:E133)</f>
        <v>396080.37700499996</v>
      </c>
      <c r="F134" s="90"/>
      <c r="G134" s="17"/>
      <c r="H134" s="117">
        <f>(SUM(G126:G133))-(SUM(E126:E133))</f>
        <v>18780.152449000045</v>
      </c>
      <c r="I134" s="117">
        <f>SUM(I126:I133)</f>
        <v>18780.152449000023</v>
      </c>
    </row>
    <row r="135" spans="1:14">
      <c r="A135" s="100"/>
      <c r="B135" s="90"/>
      <c r="C135" s="12"/>
      <c r="D135" s="12"/>
      <c r="E135" s="90"/>
      <c r="F135" s="90"/>
      <c r="G135" s="90"/>
      <c r="H135" s="90"/>
      <c r="I135" s="90"/>
    </row>
    <row r="136" spans="1:14">
      <c r="A136" s="100">
        <v>45345</v>
      </c>
      <c r="B136" s="82" t="s">
        <v>144</v>
      </c>
      <c r="C136" s="118">
        <v>125000</v>
      </c>
      <c r="D136" s="83">
        <v>1.0399430000000001</v>
      </c>
      <c r="E136" s="116">
        <f>D136*C136</f>
        <v>129992.87500000001</v>
      </c>
      <c r="F136" s="119">
        <v>0.79772600000000005</v>
      </c>
      <c r="G136" s="17">
        <f>F136*C136</f>
        <v>99715.75</v>
      </c>
      <c r="H136" s="90"/>
      <c r="I136" s="90">
        <f t="shared" ref="I136:I140" si="10">G136-E136</f>
        <v>-30277.125000000015</v>
      </c>
    </row>
    <row r="137" spans="1:14">
      <c r="A137" s="100">
        <v>45667</v>
      </c>
      <c r="B137" s="82" t="s">
        <v>1615</v>
      </c>
      <c r="C137" s="118">
        <v>240</v>
      </c>
      <c r="D137" s="83">
        <v>872.26366499999995</v>
      </c>
      <c r="E137" s="116">
        <f>D137*C137</f>
        <v>209343.27959999998</v>
      </c>
      <c r="F137" s="406">
        <f>F130</f>
        <v>899.26057400000002</v>
      </c>
      <c r="G137" s="17">
        <f>F137*C137</f>
        <v>215822.53776000001</v>
      </c>
      <c r="H137" s="90"/>
      <c r="I137" s="90">
        <f t="shared" si="10"/>
        <v>6479.2581600000267</v>
      </c>
    </row>
    <row r="138" spans="1:14">
      <c r="A138" s="100">
        <v>45400</v>
      </c>
      <c r="B138" s="82" t="s">
        <v>145</v>
      </c>
      <c r="C138" s="114">
        <v>10</v>
      </c>
      <c r="D138" s="83">
        <v>135</v>
      </c>
      <c r="E138" s="116">
        <f>D138*C138</f>
        <v>1350</v>
      </c>
      <c r="F138" s="90">
        <v>118.2</v>
      </c>
      <c r="G138" s="17">
        <f>F138*C138</f>
        <v>1182</v>
      </c>
      <c r="H138" s="90"/>
      <c r="I138" s="90">
        <f t="shared" si="10"/>
        <v>-168</v>
      </c>
    </row>
    <row r="139" spans="1:14">
      <c r="A139" s="100">
        <v>45418</v>
      </c>
      <c r="B139" s="82" t="s">
        <v>146</v>
      </c>
      <c r="C139" s="114">
        <v>38</v>
      </c>
      <c r="D139" s="83">
        <v>30.5</v>
      </c>
      <c r="E139" s="116">
        <f>D139*C139</f>
        <v>1159</v>
      </c>
      <c r="F139" s="90">
        <v>17.670000000000002</v>
      </c>
      <c r="G139" s="17">
        <f>F139*C139</f>
        <v>671.46</v>
      </c>
      <c r="H139" s="90"/>
      <c r="I139" s="90">
        <f t="shared" si="10"/>
        <v>-487.53999999999996</v>
      </c>
    </row>
    <row r="140" spans="1:14" ht="13.5" thickBot="1">
      <c r="A140" s="100">
        <v>45418</v>
      </c>
      <c r="B140" s="82" t="s">
        <v>147</v>
      </c>
      <c r="C140" s="114">
        <v>26</v>
      </c>
      <c r="D140" s="83">
        <v>37.115000000000002</v>
      </c>
      <c r="E140" s="116">
        <f>D140*C140</f>
        <v>964.99</v>
      </c>
      <c r="F140" s="90">
        <v>25.08</v>
      </c>
      <c r="G140" s="17">
        <f>F140*C140</f>
        <v>652.07999999999993</v>
      </c>
      <c r="H140" s="422">
        <f>SUM(G136:G140)</f>
        <v>318043.82776000001</v>
      </c>
      <c r="I140" s="90">
        <f t="shared" si="10"/>
        <v>-312.91000000000008</v>
      </c>
    </row>
    <row r="141" spans="1:14" ht="13.5" thickBot="1">
      <c r="A141" s="100"/>
      <c r="B141" s="90"/>
      <c r="C141" s="12"/>
      <c r="D141" s="12"/>
      <c r="E141" s="90">
        <f>SUM(E136:E140)</f>
        <v>342810.1446</v>
      </c>
      <c r="F141" s="90"/>
      <c r="G141" s="90"/>
      <c r="H141" s="117">
        <f>(SUM(G136:G140))-(SUM(E136:E140))</f>
        <v>-24766.316839999985</v>
      </c>
      <c r="I141" s="90"/>
    </row>
    <row r="142" spans="1:14">
      <c r="A142" s="100"/>
      <c r="B142" s="90"/>
      <c r="C142" s="90"/>
      <c r="D142" s="90"/>
      <c r="E142" s="17"/>
      <c r="F142" s="90"/>
      <c r="G142" s="90"/>
      <c r="H142" s="90"/>
      <c r="I142" s="90"/>
    </row>
    <row r="143" spans="1:14">
      <c r="A143" s="100">
        <v>45509</v>
      </c>
      <c r="B143" s="82" t="s">
        <v>148</v>
      </c>
      <c r="C143" s="114">
        <v>1</v>
      </c>
      <c r="D143" s="83">
        <v>2500</v>
      </c>
      <c r="E143" s="116">
        <f>D143*C143</f>
        <v>2500</v>
      </c>
      <c r="F143" s="90">
        <v>3250</v>
      </c>
      <c r="G143" s="17">
        <f>C143*F143</f>
        <v>3250</v>
      </c>
      <c r="H143" s="90"/>
      <c r="I143" s="90">
        <f t="shared" ref="I143:I145" si="11">G143-E143</f>
        <v>750</v>
      </c>
    </row>
    <row r="144" spans="1:14">
      <c r="A144" s="100">
        <v>45509</v>
      </c>
      <c r="B144" s="82" t="s">
        <v>149</v>
      </c>
      <c r="C144" s="114">
        <v>16</v>
      </c>
      <c r="D144" s="83">
        <v>4100</v>
      </c>
      <c r="E144" s="116">
        <f>D144*C144</f>
        <v>65600</v>
      </c>
      <c r="F144" s="90">
        <v>5300</v>
      </c>
      <c r="G144" s="17">
        <f>C144*F144</f>
        <v>84800</v>
      </c>
      <c r="H144" s="90"/>
      <c r="I144" s="90">
        <f t="shared" si="11"/>
        <v>19200</v>
      </c>
    </row>
    <row r="145" spans="1:9" ht="13.5" thickBot="1">
      <c r="A145" s="100">
        <v>45509</v>
      </c>
      <c r="B145" s="82" t="s">
        <v>150</v>
      </c>
      <c r="C145" s="114">
        <v>1</v>
      </c>
      <c r="D145" s="83">
        <v>16200</v>
      </c>
      <c r="E145" s="116">
        <f>D145*C145</f>
        <v>16200</v>
      </c>
      <c r="F145" s="90">
        <v>21200</v>
      </c>
      <c r="G145" s="17">
        <f>C145*F145</f>
        <v>21200</v>
      </c>
      <c r="H145" s="422">
        <f>SUM(G143:G145)</f>
        <v>109250</v>
      </c>
      <c r="I145" s="90">
        <f t="shared" si="11"/>
        <v>5000</v>
      </c>
    </row>
    <row r="146" spans="1:9" ht="13.5" thickBot="1">
      <c r="A146" s="100"/>
      <c r="B146" s="90"/>
      <c r="C146" s="12"/>
      <c r="D146" s="12"/>
      <c r="E146" s="90">
        <f>SUM(E143:E145)</f>
        <v>84300</v>
      </c>
      <c r="F146" s="90"/>
      <c r="G146" s="90"/>
      <c r="H146" s="117">
        <f>(SUM(G143:G145))-(SUM(E143:E145))</f>
        <v>24950</v>
      </c>
      <c r="I146" s="90"/>
    </row>
    <row r="147" spans="1:9">
      <c r="A147" s="100"/>
      <c r="B147" s="90" t="s">
        <v>151</v>
      </c>
      <c r="C147" s="120">
        <v>33.250599999999999</v>
      </c>
      <c r="D147" s="12"/>
      <c r="E147" s="90"/>
      <c r="F147" s="90"/>
      <c r="G147" s="17"/>
      <c r="H147" s="90"/>
      <c r="I147" s="90"/>
    </row>
    <row r="148" spans="1:9">
      <c r="A148" s="100"/>
      <c r="B148" s="90" t="s">
        <v>152</v>
      </c>
      <c r="C148" s="120">
        <v>36.854999999999997</v>
      </c>
      <c r="D148" s="12"/>
      <c r="E148" s="90"/>
      <c r="F148" s="90"/>
      <c r="G148" s="17"/>
      <c r="H148" s="90"/>
      <c r="I148" s="90"/>
    </row>
    <row r="149" spans="1:9">
      <c r="A149" s="100"/>
      <c r="B149" s="90" t="s">
        <v>153</v>
      </c>
      <c r="C149" s="12"/>
      <c r="D149" s="12"/>
      <c r="E149" s="90"/>
      <c r="F149" s="90"/>
      <c r="G149" s="17">
        <v>0</v>
      </c>
      <c r="H149" s="90"/>
      <c r="I149" s="90"/>
    </row>
    <row r="150" spans="1:9" ht="13.5" thickBot="1">
      <c r="A150" s="100"/>
      <c r="B150" s="90" t="s">
        <v>154</v>
      </c>
      <c r="C150" s="12"/>
      <c r="D150" s="12"/>
      <c r="E150" s="90"/>
      <c r="F150" s="90"/>
      <c r="G150" s="17">
        <v>1000</v>
      </c>
      <c r="H150" s="90"/>
      <c r="I150" s="90"/>
    </row>
    <row r="151" spans="1:9" ht="13.5" thickBot="1">
      <c r="A151" s="100"/>
      <c r="B151" s="90"/>
      <c r="C151" s="90"/>
      <c r="D151" s="90"/>
      <c r="E151" s="121"/>
      <c r="F151" s="122"/>
      <c r="G151" s="123" t="s">
        <v>155</v>
      </c>
      <c r="H151" s="124">
        <f>H146+H141+H134</f>
        <v>18963.83560900006</v>
      </c>
      <c r="I151" s="90"/>
    </row>
    <row r="152" spans="1:9">
      <c r="A152" s="100"/>
      <c r="B152" s="90"/>
      <c r="C152" s="125"/>
      <c r="D152" s="92"/>
      <c r="E152" s="90"/>
      <c r="F152" s="90"/>
      <c r="G152" s="125"/>
      <c r="H152" s="90"/>
      <c r="I152" s="90"/>
    </row>
    <row r="153" spans="1:9">
      <c r="A153" s="100"/>
      <c r="B153" s="90"/>
      <c r="C153" s="125"/>
      <c r="D153" s="18" t="s">
        <v>156</v>
      </c>
      <c r="E153" s="90"/>
      <c r="F153" s="90"/>
      <c r="G153" s="9">
        <f>SUM(G120:G150)</f>
        <v>1069484.3572140001</v>
      </c>
      <c r="H153" s="90"/>
      <c r="I153" s="90"/>
    </row>
    <row r="154" spans="1:9">
      <c r="A154" s="100"/>
      <c r="B154" s="90"/>
      <c r="C154" s="126" t="str">
        <f>A116</f>
        <v>MART 2025 e</v>
      </c>
      <c r="D154" s="127" t="s">
        <v>157</v>
      </c>
      <c r="E154" s="90"/>
      <c r="F154" s="90"/>
      <c r="G154" s="128"/>
      <c r="H154" s="90"/>
      <c r="I154" s="90"/>
    </row>
    <row r="155" spans="1:9">
      <c r="A155" s="90"/>
      <c r="B155" s="90"/>
      <c r="C155" s="90"/>
      <c r="D155" s="90"/>
      <c r="E155" s="90"/>
      <c r="F155" s="90"/>
      <c r="G155" s="90"/>
      <c r="H155" s="90"/>
      <c r="I155" s="90"/>
    </row>
    <row r="156" spans="1:9">
      <c r="A156" s="90"/>
      <c r="B156" s="90"/>
      <c r="C156" s="90"/>
      <c r="D156" s="90"/>
      <c r="E156" s="90"/>
      <c r="F156" s="90"/>
      <c r="G156" s="90"/>
      <c r="H156" s="90"/>
      <c r="I156" s="90"/>
    </row>
    <row r="157" spans="1:9">
      <c r="A157" s="398">
        <v>45680</v>
      </c>
      <c r="B157" s="399" t="s">
        <v>1656</v>
      </c>
      <c r="C157" s="400">
        <v>-25</v>
      </c>
      <c r="D157" s="401">
        <v>752.55561799999998</v>
      </c>
      <c r="E157" s="402">
        <f>D157*C157</f>
        <v>-18813.890449999999</v>
      </c>
      <c r="F157" s="403">
        <v>899.26057400000002</v>
      </c>
      <c r="G157" s="404">
        <f>F157*C157</f>
        <v>-22481.514350000001</v>
      </c>
      <c r="H157" s="403"/>
      <c r="I157" s="403">
        <f>E157-G157</f>
        <v>3667.6239000000023</v>
      </c>
    </row>
    <row r="158" spans="1:9">
      <c r="A158" s="398">
        <v>45680</v>
      </c>
      <c r="B158" s="399" t="s">
        <v>1614</v>
      </c>
      <c r="C158" s="400"/>
      <c r="D158" s="401"/>
      <c r="E158" s="402">
        <v>299.37</v>
      </c>
      <c r="F158" s="403"/>
      <c r="G158" s="404"/>
      <c r="H158" s="403"/>
      <c r="I158" s="403">
        <f>G158-E158</f>
        <v>-299.37</v>
      </c>
    </row>
    <row r="159" spans="1:9">
      <c r="A159" s="398">
        <v>45680</v>
      </c>
      <c r="B159" s="399" t="s">
        <v>142</v>
      </c>
      <c r="C159" s="400">
        <v>-9</v>
      </c>
      <c r="D159" s="115">
        <v>872.26366499999995</v>
      </c>
      <c r="E159" s="402">
        <f>D159*C159</f>
        <v>-7850.372985</v>
      </c>
      <c r="F159" s="403">
        <v>899.26057400000002</v>
      </c>
      <c r="G159" s="404">
        <f>F159*C159</f>
        <v>-8093.3451660000001</v>
      </c>
      <c r="H159" s="403"/>
      <c r="I159" s="403">
        <f>E159-G159</f>
        <v>242.97218100000009</v>
      </c>
    </row>
    <row r="160" spans="1:9">
      <c r="A160" s="398">
        <v>45680</v>
      </c>
      <c r="B160" s="399" t="s">
        <v>1614</v>
      </c>
      <c r="C160" s="400"/>
      <c r="D160" s="401"/>
      <c r="E160" s="402"/>
      <c r="F160" s="403"/>
      <c r="G160" s="404"/>
      <c r="H160" s="403"/>
      <c r="I160" s="403"/>
    </row>
    <row r="161" spans="1:14" s="11" customFormat="1">
      <c r="A161" s="398">
        <v>45692</v>
      </c>
      <c r="B161" s="399" t="s">
        <v>1655</v>
      </c>
      <c r="C161" s="400">
        <v>-25</v>
      </c>
      <c r="D161" s="401">
        <v>872.26366499999995</v>
      </c>
      <c r="E161" s="402">
        <f t="shared" ref="E161" si="12">D161*C161</f>
        <v>-21806.591624999997</v>
      </c>
      <c r="F161" s="426">
        <v>900.29758900000002</v>
      </c>
      <c r="G161" s="404">
        <f t="shared" ref="G161" si="13">F161*C161</f>
        <v>-22507.439725</v>
      </c>
      <c r="H161" s="403"/>
      <c r="I161" s="403">
        <f>E161-G161</f>
        <v>700.84810000000289</v>
      </c>
      <c r="K161" s="78"/>
      <c r="L161" s="78"/>
      <c r="M161" s="78"/>
      <c r="N161" s="78"/>
    </row>
    <row r="162" spans="1:14" s="11" customFormat="1">
      <c r="A162" s="398">
        <v>45680</v>
      </c>
      <c r="B162" s="399" t="s">
        <v>1614</v>
      </c>
      <c r="C162" s="400"/>
      <c r="D162" s="401"/>
      <c r="E162" s="402"/>
      <c r="F162" s="403"/>
      <c r="G162" s="404"/>
      <c r="H162" s="403"/>
      <c r="I162" s="403">
        <v>-70.09</v>
      </c>
      <c r="K162" s="78"/>
      <c r="L162" s="78"/>
      <c r="M162" s="78"/>
      <c r="N162" s="78"/>
    </row>
    <row r="164" spans="1:14">
      <c r="I164" s="78">
        <f>SUM(I157:I163)</f>
        <v>4241.9841810000053</v>
      </c>
    </row>
    <row r="171" spans="1:14">
      <c r="F171" s="407">
        <v>900.29758900000002</v>
      </c>
    </row>
  </sheetData>
  <conditionalFormatting sqref="F143:F145">
    <cfRule type="cellIs" dxfId="20" priority="9" operator="lessThan">
      <formula>D143</formula>
    </cfRule>
  </conditionalFormatting>
  <conditionalFormatting sqref="F138:F140">
    <cfRule type="cellIs" dxfId="19" priority="10" operator="lessThan">
      <formula>D138</formula>
    </cfRule>
  </conditionalFormatting>
  <conditionalFormatting sqref="F133">
    <cfRule type="cellIs" dxfId="18" priority="11" operator="lessThan">
      <formula>D133</formula>
    </cfRule>
  </conditionalFormatting>
  <conditionalFormatting sqref="F132">
    <cfRule type="cellIs" dxfId="17" priority="12" operator="lessThan">
      <formula>D132</formula>
    </cfRule>
  </conditionalFormatting>
  <conditionalFormatting sqref="F127 F130">
    <cfRule type="cellIs" dxfId="16" priority="13" operator="lessThan">
      <formula>D127</formula>
    </cfRule>
  </conditionalFormatting>
  <conditionalFormatting sqref="F131">
    <cfRule type="cellIs" dxfId="15" priority="8" operator="lessThan">
      <formula>D131</formula>
    </cfRule>
  </conditionalFormatting>
  <conditionalFormatting sqref="F157:F158">
    <cfRule type="cellIs" dxfId="14" priority="7" operator="lessThan">
      <formula>D157</formula>
    </cfRule>
  </conditionalFormatting>
  <conditionalFormatting sqref="F160 F162">
    <cfRule type="cellIs" dxfId="13" priority="6" operator="lessThan">
      <formula>D160</formula>
    </cfRule>
  </conditionalFormatting>
  <conditionalFormatting sqref="F128">
    <cfRule type="cellIs" dxfId="12" priority="5" operator="lessThan">
      <formula>D128</formula>
    </cfRule>
  </conditionalFormatting>
  <conditionalFormatting sqref="F159">
    <cfRule type="cellIs" dxfId="11" priority="4" operator="lessThan">
      <formula>D159</formula>
    </cfRule>
  </conditionalFormatting>
  <conditionalFormatting sqref="F129">
    <cfRule type="cellIs" dxfId="10" priority="3" operator="lessThan">
      <formula>D129</formula>
    </cfRule>
  </conditionalFormatting>
  <conditionalFormatting sqref="F171">
    <cfRule type="cellIs" dxfId="9" priority="2" operator="lessThan">
      <formula>D171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7"/>
  <sheetViews>
    <sheetView topLeftCell="A26" zoomScale="145" zoomScaleNormal="145" workbookViewId="0">
      <selection activeCell="E43" sqref="E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1599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1589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1610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1639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5">
        <v>45655</v>
      </c>
      <c r="B26" s="394" t="s">
        <v>98</v>
      </c>
      <c r="C26" s="394" t="s">
        <v>1607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6">
        <v>45686</v>
      </c>
      <c r="B27" s="394" t="s">
        <v>98</v>
      </c>
      <c r="C27" s="394" t="s">
        <v>1608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1643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4" t="s">
        <v>1609</v>
      </c>
      <c r="C29" s="418" t="s">
        <v>631</v>
      </c>
      <c r="D29" s="385"/>
      <c r="E29" s="385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36">
        <v>45688</v>
      </c>
      <c r="B31" s="393" t="s">
        <v>80</v>
      </c>
      <c r="C31" s="393"/>
      <c r="D31" s="388"/>
      <c r="E31" s="388">
        <v>-600</v>
      </c>
      <c r="F31" s="432"/>
      <c r="G31" s="432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36">
        <v>45688</v>
      </c>
      <c r="B32" s="393" t="s">
        <v>81</v>
      </c>
      <c r="C32" s="393"/>
      <c r="D32" s="388"/>
      <c r="E32" s="388">
        <v>-800</v>
      </c>
      <c r="F32" s="432"/>
      <c r="G32" s="432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36">
        <v>45688</v>
      </c>
      <c r="B33" s="388" t="s">
        <v>1645</v>
      </c>
      <c r="C33" s="388"/>
      <c r="D33" s="388"/>
      <c r="E33" s="388"/>
      <c r="F33" s="432"/>
      <c r="G33" s="432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9" t="s">
        <v>114</v>
      </c>
      <c r="C34" s="419"/>
      <c r="D34" s="420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7"/>
      <c r="B35" s="394" t="s">
        <v>76</v>
      </c>
      <c r="C35" s="394"/>
      <c r="D35" s="388">
        <v>15000</v>
      </c>
      <c r="E35" s="388"/>
      <c r="F35" s="388">
        <v>15054.88</v>
      </c>
      <c r="G35" s="77"/>
      <c r="H35" s="90">
        <f t="shared" si="2"/>
        <v>261036.01</v>
      </c>
    </row>
    <row r="36" spans="1:13" s="78" customFormat="1">
      <c r="A36" s="398"/>
      <c r="B36" s="437" t="s">
        <v>1662</v>
      </c>
      <c r="C36" s="438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9">
        <v>3085.73</v>
      </c>
      <c r="D62" s="389" t="s">
        <v>812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9">
        <v>49.12</v>
      </c>
      <c r="D63" s="389" t="s">
        <v>238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1154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F69" s="77" t="s">
        <v>1649</v>
      </c>
      <c r="K69" s="78"/>
      <c r="L69" s="78"/>
      <c r="M69" s="78"/>
      <c r="N69" s="78"/>
    </row>
    <row r="70" spans="1:14" s="77" customFormat="1">
      <c r="A70" s="88">
        <v>45715</v>
      </c>
      <c r="B70" s="77" t="s">
        <v>1651</v>
      </c>
      <c r="C70" s="77">
        <v>5938.68</v>
      </c>
      <c r="D70" s="77" t="s">
        <v>1647</v>
      </c>
      <c r="F70" s="77">
        <v>989.78</v>
      </c>
      <c r="G70" s="77">
        <v>6</v>
      </c>
      <c r="H70" s="77">
        <f>G70*F70</f>
        <v>5938.68</v>
      </c>
      <c r="K70" s="78"/>
      <c r="L70" s="78"/>
      <c r="M70" s="78"/>
      <c r="N70" s="78"/>
    </row>
    <row r="71" spans="1:14" s="77" customFormat="1">
      <c r="A71" s="88"/>
      <c r="F71" s="77">
        <f>H71/G70/2</f>
        <v>469.89833333333337</v>
      </c>
      <c r="H71" s="77">
        <f>H70-299.9</f>
        <v>5638.7800000000007</v>
      </c>
      <c r="K71" s="78"/>
      <c r="L71" s="78"/>
      <c r="M71" s="78"/>
      <c r="N71" s="78"/>
    </row>
    <row r="72" spans="1:14" s="77" customFormat="1">
      <c r="A72" s="88"/>
      <c r="F72" s="77" t="s">
        <v>1648</v>
      </c>
      <c r="K72" s="78"/>
      <c r="L72" s="78"/>
      <c r="M72" s="78"/>
      <c r="N72" s="78"/>
    </row>
    <row r="73" spans="1:14">
      <c r="F73" s="77" t="s">
        <v>1650</v>
      </c>
      <c r="H73" s="421">
        <f>H70-H71</f>
        <v>299.89999999999964</v>
      </c>
    </row>
    <row r="74" spans="1:14" s="77" customFormat="1">
      <c r="A74" s="100"/>
      <c r="B74" s="106"/>
      <c r="C74" s="106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0"/>
      <c r="B76" s="107"/>
      <c r="C76" s="106"/>
      <c r="K76" s="78"/>
      <c r="L76" s="78"/>
      <c r="M76" s="78"/>
      <c r="N76" s="78"/>
    </row>
    <row r="77" spans="1:14" s="77" customFormat="1">
      <c r="A77" s="100"/>
      <c r="B77" s="107"/>
      <c r="C77" s="106"/>
      <c r="K77" s="78"/>
      <c r="L77" s="78"/>
      <c r="M77" s="78"/>
      <c r="N77" s="78"/>
    </row>
    <row r="78" spans="1:14" s="77" customFormat="1">
      <c r="A78" s="100"/>
      <c r="B78" s="107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1122540.7310799998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1611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1613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1612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2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144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0.79772600000000005</v>
      </c>
      <c r="G125" s="17">
        <f>F125*C125</f>
        <v>99715.75</v>
      </c>
      <c r="I125" s="90">
        <f t="shared" ref="I125:I126" si="6">G125-E125</f>
        <v>-30277.125000000015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1615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899.26057400000002</v>
      </c>
      <c r="G126" s="17">
        <f>F126*C126</f>
        <v>215822.53776000001</v>
      </c>
      <c r="I126" s="90">
        <f t="shared" si="6"/>
        <v>6479.2581600000267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145</v>
      </c>
      <c r="C127" s="114">
        <v>10</v>
      </c>
      <c r="D127" s="83">
        <v>135</v>
      </c>
      <c r="E127" s="116">
        <f>D127*C127</f>
        <v>1350</v>
      </c>
      <c r="F127" s="77">
        <v>118.2</v>
      </c>
      <c r="G127" s="17">
        <f>F127*C127</f>
        <v>1182</v>
      </c>
      <c r="I127" s="90">
        <f t="shared" ref="I127:I129" si="7">G127-E127</f>
        <v>-168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146</v>
      </c>
      <c r="C128" s="114">
        <v>38</v>
      </c>
      <c r="D128" s="83">
        <v>30.5</v>
      </c>
      <c r="E128" s="116">
        <f>D128*C128</f>
        <v>1159</v>
      </c>
      <c r="F128" s="77">
        <v>17.670000000000002</v>
      </c>
      <c r="G128" s="17">
        <f>F128*C128</f>
        <v>671.46</v>
      </c>
      <c r="I128" s="90">
        <f t="shared" si="7"/>
        <v>-487.53999999999996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147</v>
      </c>
      <c r="C129" s="114">
        <v>26</v>
      </c>
      <c r="D129" s="83">
        <v>37.115000000000002</v>
      </c>
      <c r="E129" s="116">
        <f>D129*C129</f>
        <v>964.99</v>
      </c>
      <c r="F129" s="77">
        <v>25.08</v>
      </c>
      <c r="G129" s="17">
        <f>F129*C129</f>
        <v>652.07999999999993</v>
      </c>
      <c r="H129" s="422">
        <f>SUM(G125:G129)</f>
        <v>318043.82776000001</v>
      </c>
      <c r="I129" s="90">
        <f t="shared" si="7"/>
        <v>-312.91000000000008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-24766.316839999985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148</v>
      </c>
      <c r="C132" s="114">
        <v>1</v>
      </c>
      <c r="D132" s="83">
        <v>2500</v>
      </c>
      <c r="E132" s="116">
        <f>D132*C132</f>
        <v>2500</v>
      </c>
      <c r="F132" s="77">
        <v>3250</v>
      </c>
      <c r="G132" s="17">
        <f>C132*F132</f>
        <v>3250</v>
      </c>
      <c r="I132" s="90">
        <f t="shared" ref="I132:I134" si="8">G132-E132</f>
        <v>750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149</v>
      </c>
      <c r="C133" s="114">
        <v>16</v>
      </c>
      <c r="D133" s="83">
        <v>4100</v>
      </c>
      <c r="E133" s="116">
        <f>D133*C133</f>
        <v>65600</v>
      </c>
      <c r="F133" s="77">
        <v>5300</v>
      </c>
      <c r="G133" s="17">
        <f>C133*F133</f>
        <v>84800</v>
      </c>
      <c r="I133" s="90">
        <f t="shared" si="8"/>
        <v>19200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150</v>
      </c>
      <c r="C134" s="114">
        <v>1</v>
      </c>
      <c r="D134" s="83">
        <v>16200</v>
      </c>
      <c r="E134" s="116">
        <f>D134*C134</f>
        <v>16200</v>
      </c>
      <c r="F134" s="77">
        <f>F133*4</f>
        <v>21200</v>
      </c>
      <c r="G134" s="17">
        <f>C134*F134</f>
        <v>21200</v>
      </c>
      <c r="H134" s="422">
        <f>SUM(G132:G134)</f>
        <v>109250</v>
      </c>
      <c r="I134" s="90">
        <f t="shared" si="8"/>
        <v>5000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24950</v>
      </c>
      <c r="K135" s="78"/>
      <c r="L135" s="78"/>
      <c r="M135" s="78"/>
      <c r="N135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155</v>
      </c>
      <c r="H140" s="124">
        <f>H135+H130+H123</f>
        <v>23549.354415000067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156</v>
      </c>
      <c r="G142" s="9">
        <f>SUM(G111:G139)</f>
        <v>1122540.7310799998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157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142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1614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158</v>
      </c>
      <c r="E157" s="77">
        <v>13006</v>
      </c>
    </row>
    <row r="158" spans="1:14">
      <c r="B158" t="s">
        <v>159</v>
      </c>
      <c r="D158" s="76">
        <v>0.1575</v>
      </c>
      <c r="E158" s="77">
        <f>E157*D158</f>
        <v>2048.4450000000002</v>
      </c>
    </row>
    <row r="159" spans="1:14">
      <c r="B159" t="s">
        <v>160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188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189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190</v>
      </c>
      <c r="D37" s="2">
        <v>15500</v>
      </c>
      <c r="E37" s="69"/>
      <c r="F37" s="136">
        <f t="shared" si="1"/>
        <v>1493631</v>
      </c>
    </row>
    <row r="38" spans="1:6">
      <c r="B38" s="137" t="s">
        <v>191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192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3" t="s">
        <v>202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207</v>
      </c>
      <c r="C57" s="146" t="s">
        <v>121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208</v>
      </c>
      <c r="C58" s="146" t="s">
        <v>121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211</v>
      </c>
      <c r="C60" s="146" t="s">
        <v>121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8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216</v>
      </c>
      <c r="C65" s="82" t="s">
        <v>217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9" t="s">
        <v>221</v>
      </c>
      <c r="C87" s="149" t="s">
        <v>222</v>
      </c>
      <c r="D87" s="150"/>
      <c r="E87" s="151" t="s">
        <v>223</v>
      </c>
      <c r="F87" s="151" t="s">
        <v>224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230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237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4" t="s">
        <v>242</v>
      </c>
      <c r="E7" s="154" t="s">
        <v>243</v>
      </c>
      <c r="F7" s="154" t="s">
        <v>244</v>
      </c>
      <c r="G7" s="154"/>
      <c r="H7" s="154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6">
        <v>68000</v>
      </c>
      <c r="G34" s="156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6">
        <v>155000</v>
      </c>
      <c r="H45" s="2">
        <f t="shared" si="1"/>
        <v>177058</v>
      </c>
    </row>
    <row r="46" spans="1:10">
      <c r="C46" t="s">
        <v>278</v>
      </c>
      <c r="F46" s="156"/>
      <c r="G46" s="157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6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6">
        <v>12290</v>
      </c>
      <c r="G50" s="2"/>
      <c r="H50" s="17">
        <f t="shared" si="1"/>
        <v>140070</v>
      </c>
      <c r="I50" s="158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272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8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8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6">
        <v>127500</v>
      </c>
      <c r="H69" s="17">
        <f t="shared" ref="H69:H82" si="3">H68+F69-G69</f>
        <v>127500</v>
      </c>
    </row>
    <row r="70" spans="2:9">
      <c r="C70" t="s">
        <v>277</v>
      </c>
      <c r="F70" s="156"/>
      <c r="H70" s="17">
        <f t="shared" si="3"/>
        <v>127500</v>
      </c>
    </row>
    <row r="71" spans="2:9">
      <c r="C71" t="s">
        <v>278</v>
      </c>
      <c r="F71" s="156"/>
      <c r="G71" s="157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6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272</v>
      </c>
    </row>
    <row r="77" spans="2:9">
      <c r="C77" t="s">
        <v>288</v>
      </c>
      <c r="F77" s="156">
        <v>12290</v>
      </c>
      <c r="G77" s="2"/>
      <c r="H77" s="17">
        <f t="shared" si="3"/>
        <v>1164307.8659999999</v>
      </c>
      <c r="I77" s="158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8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8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34" t="s">
        <v>26</v>
      </c>
      <c r="M1" s="434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35">
        <f>L15+M15</f>
        <v>1080.7929879999999</v>
      </c>
      <c r="M17" s="435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307</v>
      </c>
      <c r="E120" s="2"/>
      <c r="F120" s="17">
        <v>6267.13</v>
      </c>
    </row>
    <row r="121" spans="2:7">
      <c r="B121" s="161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1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1">
        <f t="shared" si="2"/>
        <v>45290</v>
      </c>
      <c r="C123" s="8" t="s">
        <v>311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312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313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314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316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317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4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322</v>
      </c>
      <c r="C13" s="82"/>
      <c r="D13" s="83" t="s">
        <v>320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323</v>
      </c>
      <c r="C14" s="82"/>
      <c r="D14" s="83" t="s">
        <v>320</v>
      </c>
      <c r="E14" s="168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113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156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157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3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156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157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362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322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323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384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142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144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157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359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2">
        <v>0.234011</v>
      </c>
      <c r="H33" s="77">
        <f t="shared" si="0"/>
        <v>-59035.210000000014</v>
      </c>
    </row>
    <row r="34" spans="1:8">
      <c r="B34" s="171" t="s">
        <v>399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425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142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144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157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1" t="s">
        <v>441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390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399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1"/>
      <c r="B104" s="8" t="s">
        <v>453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142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144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156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157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2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2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2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2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2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2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474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433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441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399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2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502</v>
      </c>
      <c r="B125" s="104" t="s">
        <v>137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307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241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504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509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510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511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156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157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441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458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307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241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504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509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510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511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156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157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514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441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5" t="s">
        <v>423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307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504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601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510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602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156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157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2"/>
    </row>
    <row r="30" spans="1:8">
      <c r="A30" s="173">
        <v>44929</v>
      </c>
      <c r="B30" s="174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307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504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601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510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602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156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157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648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661</v>
      </c>
      <c r="D99" s="77" t="s">
        <v>662</v>
      </c>
      <c r="E99" s="77">
        <v>-600</v>
      </c>
    </row>
    <row r="100" spans="1:6">
      <c r="A100" s="166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307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1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601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510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602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156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157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672</v>
      </c>
      <c r="C10" s="8" t="s">
        <v>673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672</v>
      </c>
      <c r="C11" s="8" t="s">
        <v>673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692</v>
      </c>
      <c r="C70" s="177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694</v>
      </c>
      <c r="C71" s="177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695</v>
      </c>
      <c r="C72" s="177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696</v>
      </c>
      <c r="C73" s="177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6"/>
      <c r="B74" s="106" t="s">
        <v>162</v>
      </c>
      <c r="C74" s="106">
        <v>899</v>
      </c>
      <c r="D74" s="196" t="s">
        <v>697</v>
      </c>
      <c r="E74" s="77">
        <v>-449.5</v>
      </c>
      <c r="F74" s="63"/>
      <c r="G74" s="63"/>
      <c r="H74" s="63"/>
    </row>
    <row r="75" spans="1:8">
      <c r="A75" s="166"/>
      <c r="B75" s="106" t="s">
        <v>698</v>
      </c>
      <c r="C75" s="106"/>
      <c r="D75" s="196" t="s">
        <v>697</v>
      </c>
      <c r="E75" s="77">
        <v>-299.64</v>
      </c>
      <c r="F75" s="63"/>
      <c r="G75" s="63"/>
      <c r="H75" s="63"/>
    </row>
    <row r="76" spans="1:8">
      <c r="A76" s="166"/>
      <c r="B76" s="106" t="s">
        <v>699</v>
      </c>
      <c r="C76" s="106"/>
      <c r="D76" s="196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6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6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307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1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1">
        <f t="shared" si="1"/>
        <v>45352</v>
      </c>
      <c r="B118" s="8" t="s">
        <v>709</v>
      </c>
      <c r="C118" s="161" t="s">
        <v>710</v>
      </c>
      <c r="D118" s="162"/>
      <c r="E118" s="17">
        <v>0</v>
      </c>
    </row>
    <row r="119" spans="1:5">
      <c r="A119" s="161">
        <f t="shared" si="1"/>
        <v>45352</v>
      </c>
      <c r="B119" s="8" t="s">
        <v>711</v>
      </c>
      <c r="C119" s="161" t="s">
        <v>712</v>
      </c>
      <c r="D119" s="162"/>
      <c r="E119" s="17">
        <v>588.6</v>
      </c>
    </row>
    <row r="120" spans="1:5">
      <c r="A120" s="161">
        <f t="shared" si="1"/>
        <v>45352</v>
      </c>
      <c r="B120" s="8" t="s">
        <v>713</v>
      </c>
      <c r="C120" s="161"/>
      <c r="D120" s="162"/>
      <c r="E120" s="17"/>
    </row>
    <row r="121" spans="1:5">
      <c r="A121" s="161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715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510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716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156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157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717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430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399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720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722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723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724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677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727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330</v>
      </c>
      <c r="G33" s="63"/>
      <c r="H33" s="125"/>
    </row>
    <row r="34" spans="1:8">
      <c r="A34" s="103" t="s">
        <v>331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332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7">
        <v>999.4</v>
      </c>
      <c r="H37" s="63"/>
    </row>
    <row r="38" spans="1:8">
      <c r="B38" t="s">
        <v>334</v>
      </c>
      <c r="D38" s="2">
        <v>876.64</v>
      </c>
      <c r="E38" s="177">
        <v>875</v>
      </c>
      <c r="F38" s="63"/>
      <c r="G38" s="63"/>
    </row>
    <row r="39" spans="1:8">
      <c r="B39" t="s">
        <v>335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728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337</v>
      </c>
      <c r="D41" s="2">
        <v>483.72</v>
      </c>
      <c r="E41" s="177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729</v>
      </c>
      <c r="C50" s="106">
        <v>10764.57</v>
      </c>
      <c r="D50" s="35" t="s">
        <v>730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5" t="s">
        <v>731</v>
      </c>
      <c r="E51" s="125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5" t="s">
        <v>476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5">
        <v>-3974.44</v>
      </c>
      <c r="G66" s="63"/>
      <c r="H66" s="63"/>
    </row>
    <row r="67" spans="1:8">
      <c r="A67" s="166">
        <v>45214</v>
      </c>
      <c r="B67" s="8" t="s">
        <v>661</v>
      </c>
      <c r="D67" s="8" t="s">
        <v>733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526</v>
      </c>
      <c r="C68" s="106"/>
      <c r="D68" s="8" t="s">
        <v>734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692</v>
      </c>
      <c r="C69" s="177">
        <v>-1204.5</v>
      </c>
      <c r="D69" s="8" t="s">
        <v>735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-148.6</v>
      </c>
      <c r="D70" s="8" t="s">
        <v>735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695</v>
      </c>
      <c r="C71" s="177">
        <v>-244.8</v>
      </c>
      <c r="D71" s="8" t="s">
        <v>735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696</v>
      </c>
      <c r="C72" s="177">
        <v>-532.6</v>
      </c>
      <c r="D72" s="8" t="s">
        <v>735</v>
      </c>
      <c r="E72" s="125">
        <v>-177.53</v>
      </c>
      <c r="F72" s="63"/>
      <c r="G72" s="63"/>
      <c r="H72" s="63"/>
    </row>
    <row r="73" spans="1:8">
      <c r="A73" s="166"/>
      <c r="B73" s="106" t="s">
        <v>162</v>
      </c>
      <c r="C73" s="106">
        <v>899</v>
      </c>
      <c r="D73" s="8" t="s">
        <v>736</v>
      </c>
      <c r="E73" s="125">
        <v>-449.5</v>
      </c>
      <c r="F73" s="63"/>
      <c r="G73" s="63"/>
      <c r="H73" s="63"/>
    </row>
    <row r="74" spans="1:8">
      <c r="A74" s="166"/>
      <c r="B74" s="106" t="s">
        <v>698</v>
      </c>
      <c r="C74" s="106"/>
      <c r="D74" s="8" t="s">
        <v>736</v>
      </c>
      <c r="E74" s="125">
        <v>-299.64</v>
      </c>
      <c r="F74" s="63"/>
      <c r="G74" s="63"/>
      <c r="H74" s="63"/>
    </row>
    <row r="75" spans="1:8">
      <c r="A75" s="166"/>
      <c r="B75" s="106" t="s">
        <v>699</v>
      </c>
      <c r="C75" s="106"/>
      <c r="D75" s="8" t="s">
        <v>736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752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307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1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709</v>
      </c>
      <c r="C121" s="161" t="s">
        <v>756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711</v>
      </c>
      <c r="C122" s="161" t="s">
        <v>712</v>
      </c>
      <c r="D122" s="162"/>
      <c r="E122" s="17">
        <v>588.6</v>
      </c>
    </row>
    <row r="123" spans="1:6">
      <c r="A123" s="161">
        <f t="shared" si="1"/>
        <v>45352</v>
      </c>
      <c r="B123" s="8" t="s">
        <v>713</v>
      </c>
      <c r="C123" s="161"/>
      <c r="D123" s="162"/>
      <c r="E123" s="17"/>
    </row>
    <row r="124" spans="1:6">
      <c r="A124" s="161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715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510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716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156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157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757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430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399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758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328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328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328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759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759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760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761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677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762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763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764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727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765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766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766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767</v>
      </c>
      <c r="F36" s="177">
        <v>24000</v>
      </c>
      <c r="H36" s="125">
        <f t="shared" si="0"/>
        <v>137234.37</v>
      </c>
    </row>
    <row r="37" spans="1:8">
      <c r="A37" s="166"/>
      <c r="B37" s="8" t="s">
        <v>768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768</v>
      </c>
      <c r="G38" s="125">
        <v>-1000</v>
      </c>
      <c r="H38" s="125">
        <f t="shared" si="0"/>
        <v>132234.37</v>
      </c>
    </row>
    <row r="39" spans="1:8">
      <c r="A39" s="166"/>
      <c r="B39" s="8" t="s">
        <v>769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770</v>
      </c>
      <c r="H41" s="125">
        <f t="shared" si="0"/>
        <v>128534.37</v>
      </c>
    </row>
    <row r="42" spans="1:8">
      <c r="B42" t="s">
        <v>771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3">
        <v>44929</v>
      </c>
      <c r="B49" s="174" t="s">
        <v>332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333</v>
      </c>
      <c r="C50" s="125" t="s">
        <v>772</v>
      </c>
      <c r="D50" s="125">
        <v>1329.72</v>
      </c>
      <c r="E50" s="125">
        <v>1330</v>
      </c>
    </row>
    <row r="51" spans="1:5">
      <c r="B51" t="s">
        <v>773</v>
      </c>
      <c r="D51" s="125">
        <v>1282.42</v>
      </c>
      <c r="E51" s="125">
        <v>1250</v>
      </c>
    </row>
    <row r="52" spans="1:5">
      <c r="B52" t="s">
        <v>335</v>
      </c>
      <c r="D52" s="125">
        <v>298.67</v>
      </c>
      <c r="E52" s="125">
        <v>298.5</v>
      </c>
    </row>
    <row r="53" spans="1:5">
      <c r="B53" t="s">
        <v>774</v>
      </c>
      <c r="D53" s="125">
        <v>1204.3800000000001</v>
      </c>
      <c r="E53" s="125">
        <v>1205</v>
      </c>
    </row>
    <row r="54" spans="1:5">
      <c r="B54" t="s">
        <v>337</v>
      </c>
      <c r="D54" s="125">
        <v>487.82</v>
      </c>
      <c r="E54" s="125">
        <v>490</v>
      </c>
    </row>
    <row r="55" spans="1:5">
      <c r="B55" t="s">
        <v>338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729</v>
      </c>
      <c r="C63" s="125">
        <v>10764.57</v>
      </c>
      <c r="D63" s="125" t="s">
        <v>775</v>
      </c>
      <c r="E63" s="125">
        <v>-1196.06</v>
      </c>
    </row>
    <row r="64" spans="1:5">
      <c r="A64" s="100">
        <v>45187</v>
      </c>
      <c r="B64" s="106" t="s">
        <v>566</v>
      </c>
      <c r="C64" s="125">
        <v>7648.33</v>
      </c>
      <c r="D64" s="125" t="s">
        <v>776</v>
      </c>
      <c r="E64" s="125">
        <v>-849.81</v>
      </c>
    </row>
    <row r="65" spans="1:5">
      <c r="A65" s="100">
        <v>45187</v>
      </c>
      <c r="B65" s="106" t="s">
        <v>681</v>
      </c>
      <c r="C65" s="125">
        <v>11128</v>
      </c>
      <c r="D65" s="125" t="s">
        <v>519</v>
      </c>
      <c r="E65" s="125">
        <v>-1854.67</v>
      </c>
    </row>
    <row r="66" spans="1:5">
      <c r="A66" s="161">
        <v>44995</v>
      </c>
      <c r="B66" s="8" t="s">
        <v>777</v>
      </c>
      <c r="C66" s="125">
        <v>613.91</v>
      </c>
      <c r="D66" s="125" t="s">
        <v>778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5" t="s">
        <v>779</v>
      </c>
      <c r="E79" s="125">
        <v>-3974.44</v>
      </c>
    </row>
    <row r="80" spans="1:5">
      <c r="A80" s="166">
        <v>45214</v>
      </c>
      <c r="B80" s="8" t="s">
        <v>661</v>
      </c>
      <c r="D80" s="125" t="s">
        <v>663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692</v>
      </c>
      <c r="C82" s="125">
        <v>-1204.5</v>
      </c>
      <c r="D82" s="125" t="s">
        <v>780</v>
      </c>
      <c r="E82" s="125">
        <v>-401.5</v>
      </c>
    </row>
    <row r="83" spans="1:5">
      <c r="A83" s="166">
        <v>45259</v>
      </c>
      <c r="B83" s="8" t="s">
        <v>694</v>
      </c>
      <c r="C83" s="125">
        <v>-148.6</v>
      </c>
      <c r="D83" s="125" t="s">
        <v>780</v>
      </c>
      <c r="E83" s="125">
        <v>-49.53</v>
      </c>
    </row>
    <row r="84" spans="1:5">
      <c r="A84" s="166">
        <v>45259</v>
      </c>
      <c r="B84" s="8" t="s">
        <v>695</v>
      </c>
      <c r="C84" s="125">
        <v>-244.8</v>
      </c>
      <c r="D84" s="125" t="s">
        <v>780</v>
      </c>
      <c r="E84" s="125">
        <v>-81.599999999999994</v>
      </c>
    </row>
    <row r="85" spans="1:5">
      <c r="A85" s="166">
        <v>45259</v>
      </c>
      <c r="B85" s="8" t="s">
        <v>696</v>
      </c>
      <c r="C85" s="125">
        <v>-532.6</v>
      </c>
      <c r="D85" s="125" t="s">
        <v>780</v>
      </c>
      <c r="E85" s="125">
        <v>-177.53</v>
      </c>
    </row>
    <row r="86" spans="1:5">
      <c r="A86" s="166">
        <v>45285</v>
      </c>
      <c r="B86" s="106" t="s">
        <v>526</v>
      </c>
    </row>
    <row r="87" spans="1:5">
      <c r="A87" s="100"/>
      <c r="B87" s="3" t="s">
        <v>539</v>
      </c>
      <c r="C87" s="125">
        <v>109.92</v>
      </c>
    </row>
    <row r="88" spans="1:5">
      <c r="A88" s="100">
        <v>45283</v>
      </c>
      <c r="B88" s="3" t="s">
        <v>546</v>
      </c>
      <c r="E88" s="125">
        <v>-90</v>
      </c>
    </row>
    <row r="89" spans="1:5">
      <c r="A89" s="100">
        <v>45283</v>
      </c>
      <c r="B89" s="3" t="s">
        <v>135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135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546</v>
      </c>
      <c r="E91" s="125">
        <v>-110</v>
      </c>
    </row>
    <row r="92" spans="1:5">
      <c r="A92" s="100">
        <v>45281</v>
      </c>
      <c r="B92" s="3" t="s">
        <v>135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135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781</v>
      </c>
      <c r="E94" s="125">
        <v>-260</v>
      </c>
    </row>
    <row r="95" spans="1:5">
      <c r="A95" s="100">
        <v>45278</v>
      </c>
      <c r="B95" s="3" t="s">
        <v>135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782</v>
      </c>
      <c r="E96" s="125">
        <v>-300</v>
      </c>
    </row>
    <row r="97" spans="1:5">
      <c r="A97" s="100">
        <v>45276</v>
      </c>
      <c r="B97" s="3" t="s">
        <v>135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783</v>
      </c>
      <c r="E98" s="125">
        <v>-470</v>
      </c>
    </row>
    <row r="99" spans="1:5">
      <c r="A99" s="100">
        <v>45275</v>
      </c>
      <c r="B99" s="3" t="s">
        <v>784</v>
      </c>
      <c r="E99" s="125">
        <v>-285</v>
      </c>
    </row>
    <row r="100" spans="1:5">
      <c r="A100" s="100">
        <v>45274</v>
      </c>
      <c r="B100" s="3" t="s">
        <v>135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785</v>
      </c>
      <c r="E101" s="125">
        <v>-1108.1500000000001</v>
      </c>
    </row>
    <row r="102" spans="1:5">
      <c r="A102" s="100">
        <v>45271</v>
      </c>
      <c r="B102" s="3" t="s">
        <v>135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133</v>
      </c>
      <c r="E103" s="125">
        <v>-1551.29</v>
      </c>
    </row>
    <row r="104" spans="1:5">
      <c r="A104" s="100">
        <v>45270</v>
      </c>
      <c r="B104" s="3" t="s">
        <v>786</v>
      </c>
      <c r="E104" s="125">
        <v>-315.10000000000002</v>
      </c>
    </row>
    <row r="105" spans="1:5">
      <c r="A105" s="100">
        <v>45267</v>
      </c>
      <c r="B105" s="3" t="s">
        <v>546</v>
      </c>
      <c r="E105" s="125">
        <v>-300</v>
      </c>
    </row>
    <row r="106" spans="1:5">
      <c r="A106" s="100">
        <v>45266</v>
      </c>
      <c r="B106" s="3" t="s">
        <v>135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135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130</v>
      </c>
      <c r="D108" s="125">
        <v>11990.16</v>
      </c>
    </row>
    <row r="109" spans="1:5">
      <c r="A109" s="100">
        <v>45260</v>
      </c>
      <c r="B109" s="3" t="s">
        <v>135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135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135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135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423</v>
      </c>
      <c r="C114" s="125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307</v>
      </c>
      <c r="D124" s="2"/>
      <c r="E124" s="17">
        <v>0</v>
      </c>
    </row>
    <row r="125" spans="1:5">
      <c r="A125" s="161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1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1">
        <v>45327</v>
      </c>
      <c r="B127" s="8" t="s">
        <v>791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792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141</v>
      </c>
      <c r="C129" s="2"/>
      <c r="D129" s="2"/>
      <c r="E129" s="17">
        <v>500</v>
      </c>
    </row>
    <row r="130" spans="1:5">
      <c r="A130" s="161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794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510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795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157</v>
      </c>
      <c r="E136" s="128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5">
        <v>12500</v>
      </c>
      <c r="D141" s="125" t="s">
        <v>798</v>
      </c>
      <c r="E141" s="125">
        <v>10000</v>
      </c>
    </row>
    <row r="142" spans="1:5">
      <c r="B142" t="s">
        <v>797</v>
      </c>
      <c r="C142" s="125">
        <v>13400</v>
      </c>
      <c r="D142" s="125" t="s">
        <v>141</v>
      </c>
      <c r="E142" s="125">
        <v>25000</v>
      </c>
    </row>
    <row r="143" spans="1:5">
      <c r="B143" t="s">
        <v>797</v>
      </c>
      <c r="C143" s="125">
        <v>13700</v>
      </c>
      <c r="D143" s="125" t="s">
        <v>799</v>
      </c>
      <c r="E143" s="125">
        <v>10400</v>
      </c>
    </row>
    <row r="144" spans="1:5">
      <c r="B144" t="s">
        <v>797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800</v>
      </c>
      <c r="C146" s="125">
        <v>14400</v>
      </c>
    </row>
    <row r="147" spans="2:4">
      <c r="B147" t="s">
        <v>801</v>
      </c>
      <c r="C147" s="125">
        <v>2800</v>
      </c>
      <c r="D147" s="125">
        <f>SUM(C146:C147)</f>
        <v>17200</v>
      </c>
    </row>
    <row r="148" spans="2:4">
      <c r="B148" t="s">
        <v>802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803</v>
      </c>
      <c r="L2" s="213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805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859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860</v>
      </c>
      <c r="E61" s="242" t="s">
        <v>861</v>
      </c>
      <c r="F61" s="242" t="s">
        <v>862</v>
      </c>
      <c r="G61" s="243" t="s">
        <v>862</v>
      </c>
    </row>
    <row r="62" spans="2:7">
      <c r="D62" s="241" t="s">
        <v>863</v>
      </c>
      <c r="E62" s="242" t="s">
        <v>864</v>
      </c>
      <c r="F62" s="242" t="s">
        <v>274</v>
      </c>
      <c r="G62" s="244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866</v>
      </c>
    </row>
    <row r="3" spans="2:9">
      <c r="D3" s="247" t="s">
        <v>867</v>
      </c>
      <c r="E3" s="125" t="s">
        <v>868</v>
      </c>
      <c r="F3" s="247" t="s">
        <v>869</v>
      </c>
      <c r="G3" s="248"/>
      <c r="I3" s="247" t="s">
        <v>870</v>
      </c>
    </row>
    <row r="4" spans="2:9">
      <c r="D4" s="247" t="s">
        <v>871</v>
      </c>
      <c r="E4" s="125" t="s">
        <v>224</v>
      </c>
      <c r="F4" s="247" t="s">
        <v>871</v>
      </c>
      <c r="G4" s="248"/>
      <c r="I4" s="247" t="s">
        <v>224</v>
      </c>
    </row>
    <row r="5" spans="2:9" ht="14.25">
      <c r="E5" s="249">
        <v>119305.95</v>
      </c>
      <c r="F5" s="249"/>
      <c r="G5" s="250"/>
      <c r="H5" s="251" t="s">
        <v>872</v>
      </c>
      <c r="I5" s="252">
        <f>NZN_23!I8*-1</f>
        <v>119305.95484700002</v>
      </c>
    </row>
    <row r="6" spans="2:9" ht="14.25">
      <c r="H6" s="253" t="s">
        <v>873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874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875</v>
      </c>
      <c r="I8" s="257">
        <f t="shared" ref="I8:I19" si="0">I7-F8</f>
        <v>149272.95484700002</v>
      </c>
    </row>
    <row r="9" spans="2:9">
      <c r="B9" s="161">
        <v>45324</v>
      </c>
      <c r="C9" s="8" t="s">
        <v>874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875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875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875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875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875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875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876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876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876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876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877</v>
      </c>
      <c r="E21" s="259">
        <v>0.2351</v>
      </c>
      <c r="F21" s="259">
        <f>1-E21</f>
        <v>0.76490000000000002</v>
      </c>
    </row>
    <row r="22" spans="2:11">
      <c r="B22" s="260" t="s">
        <v>878</v>
      </c>
      <c r="C22" s="260" t="s">
        <v>879</v>
      </c>
      <c r="D22" s="261" t="s">
        <v>880</v>
      </c>
      <c r="E22" s="262" t="s">
        <v>881</v>
      </c>
      <c r="F22" s="261" t="s">
        <v>882</v>
      </c>
      <c r="G22" s="263" t="s">
        <v>883</v>
      </c>
      <c r="H22" s="261" t="s">
        <v>884</v>
      </c>
      <c r="I22" s="261" t="s">
        <v>885</v>
      </c>
    </row>
    <row r="23" spans="2:11">
      <c r="B23" s="264"/>
      <c r="C23" s="265" t="s">
        <v>886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887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888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889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890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891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891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771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892</v>
      </c>
      <c r="E40" s="177" t="s">
        <v>893</v>
      </c>
      <c r="F40" s="177" t="s">
        <v>894</v>
      </c>
      <c r="H40" s="282"/>
      <c r="I40" s="282"/>
      <c r="J40" s="283"/>
    </row>
    <row r="41" spans="2:11" ht="15.75">
      <c r="C41" t="s">
        <v>895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896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897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898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899</v>
      </c>
      <c r="E47" s="247" t="s">
        <v>900</v>
      </c>
      <c r="F47" s="247" t="s">
        <v>901</v>
      </c>
      <c r="K47" s="63"/>
    </row>
    <row r="48" spans="2:11">
      <c r="E48" s="253"/>
      <c r="K48" s="63"/>
    </row>
    <row r="49" spans="3:6">
      <c r="C49" s="63" t="s">
        <v>805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877</v>
      </c>
      <c r="E5" s="289">
        <v>0.2351</v>
      </c>
      <c r="F5" s="289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6" t="s">
        <v>881</v>
      </c>
      <c r="F6" s="35" t="s">
        <v>882</v>
      </c>
      <c r="G6" s="290" t="s">
        <v>883</v>
      </c>
      <c r="H6" s="35" t="s">
        <v>884</v>
      </c>
      <c r="I6" s="291" t="s">
        <v>885</v>
      </c>
    </row>
    <row r="7" spans="2:11">
      <c r="K7" s="268"/>
    </row>
    <row r="8" spans="2:11" ht="15.75">
      <c r="B8" s="269">
        <v>45290</v>
      </c>
      <c r="C8" s="8" t="s">
        <v>887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902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903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904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905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906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906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906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889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907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908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909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889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889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910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913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892</v>
      </c>
      <c r="E31" s="63" t="s">
        <v>893</v>
      </c>
      <c r="F31" s="63" t="s">
        <v>894</v>
      </c>
      <c r="H31" s="304"/>
      <c r="I31" s="304"/>
      <c r="J31" s="283"/>
    </row>
    <row r="32" spans="2:10" ht="15.75">
      <c r="C32" t="s">
        <v>895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896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897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898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917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4"/>
      <c r="H8" s="63">
        <f t="shared" si="0"/>
        <v>-1097</v>
      </c>
    </row>
    <row r="9" spans="1:8">
      <c r="B9" s="101" t="s">
        <v>920</v>
      </c>
      <c r="C9" s="101"/>
      <c r="D9" s="101"/>
      <c r="E9" s="164"/>
      <c r="H9" s="63">
        <f t="shared" si="0"/>
        <v>-1097</v>
      </c>
    </row>
    <row r="10" spans="1:8">
      <c r="B10" s="101" t="s">
        <v>119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924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762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764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332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777</v>
      </c>
      <c r="C60">
        <v>613.91</v>
      </c>
      <c r="D60" s="35" t="s">
        <v>929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729</v>
      </c>
      <c r="C62" s="106">
        <v>10764.57</v>
      </c>
      <c r="D62" s="35" t="s">
        <v>400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930</v>
      </c>
      <c r="D63" s="205" t="s">
        <v>445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5" t="s">
        <v>931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5" t="s">
        <v>932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661</v>
      </c>
      <c r="D83" s="8" t="s">
        <v>934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935</v>
      </c>
      <c r="E85" s="164">
        <v>-1046.0999999999999</v>
      </c>
    </row>
    <row r="86" spans="1:8">
      <c r="A86" s="166">
        <v>45226</v>
      </c>
      <c r="B86" s="8" t="s">
        <v>935</v>
      </c>
      <c r="E86" s="164">
        <v>-1046.0999999999999</v>
      </c>
    </row>
    <row r="87" spans="1:8">
      <c r="A87" s="166">
        <v>45224</v>
      </c>
      <c r="B87" s="8" t="s">
        <v>657</v>
      </c>
      <c r="D87">
        <v>160</v>
      </c>
      <c r="E87" s="164">
        <v>-160</v>
      </c>
    </row>
    <row r="88" spans="1:8">
      <c r="A88" s="166">
        <v>45225</v>
      </c>
      <c r="B88" s="8" t="s">
        <v>657</v>
      </c>
      <c r="D88">
        <v>200</v>
      </c>
      <c r="E88" s="164">
        <v>-200</v>
      </c>
    </row>
    <row r="89" spans="1:8">
      <c r="A89" s="166">
        <v>45225</v>
      </c>
      <c r="B89" s="8" t="s">
        <v>347</v>
      </c>
      <c r="E89" s="164">
        <v>-200</v>
      </c>
    </row>
    <row r="90" spans="1:8">
      <c r="A90" s="166">
        <v>45226</v>
      </c>
      <c r="B90" s="8" t="s">
        <v>657</v>
      </c>
      <c r="D90" s="35">
        <v>150</v>
      </c>
      <c r="E90" s="164">
        <v>-150</v>
      </c>
    </row>
    <row r="91" spans="1:8">
      <c r="A91" s="166">
        <v>45227</v>
      </c>
      <c r="B91" s="8" t="s">
        <v>657</v>
      </c>
      <c r="D91" s="35">
        <v>100</v>
      </c>
      <c r="E91" s="164">
        <v>-100</v>
      </c>
    </row>
    <row r="92" spans="1:8">
      <c r="A92" s="166">
        <v>45227</v>
      </c>
      <c r="B92" s="8" t="s">
        <v>135</v>
      </c>
      <c r="D92">
        <v>70</v>
      </c>
      <c r="E92" s="164">
        <v>-70</v>
      </c>
    </row>
    <row r="93" spans="1:8">
      <c r="A93" s="166">
        <v>45229</v>
      </c>
      <c r="B93" s="8" t="s">
        <v>657</v>
      </c>
      <c r="D93">
        <v>200</v>
      </c>
      <c r="E93" s="164">
        <v>-200</v>
      </c>
    </row>
    <row r="94" spans="1:8">
      <c r="A94" s="166">
        <v>45229</v>
      </c>
      <c r="B94" s="8" t="s">
        <v>936</v>
      </c>
      <c r="D94">
        <v>95.49</v>
      </c>
      <c r="E94" s="164">
        <v>-95.49</v>
      </c>
    </row>
    <row r="95" spans="1:8">
      <c r="A95" s="166">
        <v>45232</v>
      </c>
      <c r="B95" s="8" t="s">
        <v>657</v>
      </c>
      <c r="D95">
        <v>250</v>
      </c>
      <c r="E95" s="164">
        <v>-250</v>
      </c>
    </row>
    <row r="96" spans="1:8">
      <c r="A96" s="166">
        <v>45233</v>
      </c>
      <c r="B96" s="8" t="s">
        <v>657</v>
      </c>
      <c r="D96">
        <v>180</v>
      </c>
      <c r="E96" s="164">
        <v>-160</v>
      </c>
    </row>
    <row r="97" spans="1:5">
      <c r="A97" s="166">
        <v>45234</v>
      </c>
      <c r="B97" s="8" t="s">
        <v>657</v>
      </c>
      <c r="D97">
        <v>320</v>
      </c>
      <c r="E97" s="164">
        <v>-320</v>
      </c>
    </row>
    <row r="98" spans="1:5">
      <c r="A98" s="166">
        <v>45237</v>
      </c>
      <c r="B98" s="8" t="s">
        <v>657</v>
      </c>
      <c r="D98">
        <v>200</v>
      </c>
      <c r="E98" s="164">
        <v>-200</v>
      </c>
    </row>
    <row r="99" spans="1:5">
      <c r="A99" s="166">
        <v>45237</v>
      </c>
      <c r="B99" s="8" t="s">
        <v>180</v>
      </c>
      <c r="E99" s="164">
        <v>-500</v>
      </c>
    </row>
    <row r="100" spans="1:5">
      <c r="A100" s="166">
        <v>45237</v>
      </c>
      <c r="B100" s="8" t="s">
        <v>937</v>
      </c>
      <c r="E100" s="164">
        <v>-180</v>
      </c>
    </row>
    <row r="101" spans="1:5">
      <c r="A101" s="166">
        <v>45238</v>
      </c>
      <c r="B101" s="8" t="s">
        <v>657</v>
      </c>
      <c r="D101">
        <v>160</v>
      </c>
      <c r="E101" s="164">
        <v>-160</v>
      </c>
    </row>
    <row r="102" spans="1:5">
      <c r="A102" s="166">
        <v>45239</v>
      </c>
      <c r="B102" s="8" t="s">
        <v>657</v>
      </c>
      <c r="D102">
        <v>250</v>
      </c>
      <c r="E102" s="164">
        <v>-250</v>
      </c>
    </row>
    <row r="103" spans="1:5">
      <c r="A103" s="166">
        <v>45240</v>
      </c>
      <c r="B103" s="8" t="s">
        <v>657</v>
      </c>
      <c r="D103">
        <v>160</v>
      </c>
      <c r="E103" s="164">
        <v>-160</v>
      </c>
    </row>
    <row r="104" spans="1:5">
      <c r="A104" s="166">
        <v>45241</v>
      </c>
      <c r="B104" s="8" t="s">
        <v>657</v>
      </c>
      <c r="D104">
        <v>250</v>
      </c>
      <c r="E104" s="164">
        <v>-250</v>
      </c>
    </row>
    <row r="105" spans="1:5">
      <c r="A105" s="166">
        <v>45244</v>
      </c>
      <c r="B105" s="8" t="s">
        <v>129</v>
      </c>
      <c r="E105" s="164">
        <v>-1144.1099999999999</v>
      </c>
    </row>
    <row r="106" spans="1:5">
      <c r="A106" s="166">
        <v>45245</v>
      </c>
      <c r="B106" s="8" t="s">
        <v>938</v>
      </c>
      <c r="E106" s="164">
        <v>-373.92</v>
      </c>
    </row>
    <row r="107" spans="1:5">
      <c r="A107" s="166">
        <v>45253</v>
      </c>
      <c r="B107" s="8" t="s">
        <v>657</v>
      </c>
      <c r="D107">
        <v>200</v>
      </c>
      <c r="E107" s="164">
        <v>-200</v>
      </c>
    </row>
    <row r="108" spans="1:5">
      <c r="E108" s="164"/>
    </row>
    <row r="109" spans="1:5">
      <c r="B109" t="s">
        <v>939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307</v>
      </c>
      <c r="D116" s="2"/>
      <c r="E116" s="17">
        <v>6267.13</v>
      </c>
    </row>
    <row r="117" spans="1:5">
      <c r="A117" s="161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1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1">
        <f t="shared" si="2"/>
        <v>45290</v>
      </c>
      <c r="B119" s="8" t="s">
        <v>311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312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313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314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316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317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4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940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943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944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945</v>
      </c>
      <c r="C22" s="8" t="s">
        <v>946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951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952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332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956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5" t="s">
        <v>476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5" t="s">
        <v>613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5" t="s">
        <v>611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959</v>
      </c>
      <c r="D73" s="35" t="s">
        <v>960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4">
        <v>-59483.25</v>
      </c>
    </row>
    <row r="76" spans="1:8">
      <c r="A76" s="166">
        <v>45214</v>
      </c>
      <c r="B76" s="8" t="s">
        <v>661</v>
      </c>
      <c r="D76" s="8" t="s">
        <v>961</v>
      </c>
      <c r="E76" s="164">
        <v>-600</v>
      </c>
      <c r="F76" s="63"/>
    </row>
    <row r="77" spans="1:8">
      <c r="A77" s="166">
        <v>45198</v>
      </c>
      <c r="B77" s="8" t="s">
        <v>657</v>
      </c>
      <c r="E77" s="164">
        <v>-160</v>
      </c>
    </row>
    <row r="78" spans="1:8">
      <c r="A78" s="166">
        <v>45201</v>
      </c>
      <c r="B78" s="8" t="s">
        <v>962</v>
      </c>
      <c r="E78" s="164">
        <v>-1180</v>
      </c>
    </row>
    <row r="79" spans="1:8">
      <c r="A79" s="166">
        <v>45204</v>
      </c>
      <c r="B79" s="8" t="s">
        <v>963</v>
      </c>
      <c r="E79" s="164">
        <v>-713.25</v>
      </c>
    </row>
    <row r="80" spans="1:8">
      <c r="A80" s="166">
        <v>45204</v>
      </c>
      <c r="B80" s="8" t="s">
        <v>963</v>
      </c>
      <c r="E80" s="164">
        <v>-713.25</v>
      </c>
    </row>
    <row r="81" spans="1:5">
      <c r="A81" s="166">
        <v>45194</v>
      </c>
      <c r="B81" s="8" t="s">
        <v>657</v>
      </c>
      <c r="D81" s="35"/>
      <c r="E81" s="164">
        <v>-200</v>
      </c>
    </row>
    <row r="82" spans="1:5">
      <c r="A82" s="166">
        <v>45225</v>
      </c>
      <c r="B82" s="8" t="s">
        <v>657</v>
      </c>
      <c r="D82" s="35"/>
      <c r="E82" s="164">
        <v>-160</v>
      </c>
    </row>
    <row r="83" spans="1:5">
      <c r="A83" s="166">
        <v>45226</v>
      </c>
      <c r="B83" s="8" t="s">
        <v>657</v>
      </c>
      <c r="E83" s="164">
        <v>-200</v>
      </c>
    </row>
    <row r="84" spans="1:5">
      <c r="A84" s="166">
        <v>45227</v>
      </c>
      <c r="B84" s="8" t="s">
        <v>657</v>
      </c>
      <c r="E84" s="164">
        <v>-200</v>
      </c>
    </row>
    <row r="85" spans="1:5">
      <c r="A85" s="166">
        <v>45227</v>
      </c>
      <c r="B85" s="8" t="s">
        <v>546</v>
      </c>
      <c r="E85" s="164">
        <v>-245</v>
      </c>
    </row>
    <row r="86" spans="1:5">
      <c r="A86" s="166">
        <v>45228</v>
      </c>
      <c r="B86" s="8" t="s">
        <v>657</v>
      </c>
      <c r="E86" s="164">
        <v>-160</v>
      </c>
    </row>
    <row r="87" spans="1:5">
      <c r="A87" s="166">
        <v>45228</v>
      </c>
      <c r="B87" s="8" t="s">
        <v>964</v>
      </c>
      <c r="E87" s="164">
        <v>-33.65</v>
      </c>
    </row>
    <row r="88" spans="1:5">
      <c r="A88" s="166">
        <v>45201</v>
      </c>
      <c r="B88" s="8" t="s">
        <v>657</v>
      </c>
      <c r="E88" s="164">
        <v>-160</v>
      </c>
    </row>
    <row r="89" spans="1:5">
      <c r="A89" s="166">
        <v>45201</v>
      </c>
      <c r="B89" s="8" t="s">
        <v>130</v>
      </c>
      <c r="C89">
        <v>-16000.55</v>
      </c>
      <c r="E89" s="164"/>
    </row>
    <row r="90" spans="1:5">
      <c r="A90" s="166">
        <v>45202</v>
      </c>
      <c r="B90" s="8" t="s">
        <v>657</v>
      </c>
      <c r="E90" s="164">
        <v>-250</v>
      </c>
    </row>
    <row r="91" spans="1:5">
      <c r="A91" s="166">
        <v>45204</v>
      </c>
      <c r="B91" s="8" t="s">
        <v>657</v>
      </c>
      <c r="E91" s="164">
        <v>-300</v>
      </c>
    </row>
    <row r="92" spans="1:5">
      <c r="A92" s="166">
        <v>45205</v>
      </c>
      <c r="B92" s="8" t="s">
        <v>657</v>
      </c>
      <c r="E92" s="164">
        <v>-250</v>
      </c>
    </row>
    <row r="93" spans="1:5">
      <c r="A93" s="166">
        <v>45206</v>
      </c>
      <c r="B93" s="8" t="s">
        <v>657</v>
      </c>
      <c r="E93" s="164">
        <v>-250</v>
      </c>
    </row>
    <row r="94" spans="1:5">
      <c r="A94" s="166">
        <v>45206</v>
      </c>
      <c r="B94" s="8" t="s">
        <v>965</v>
      </c>
      <c r="E94" s="164">
        <v>-107.32</v>
      </c>
    </row>
    <row r="95" spans="1:5">
      <c r="A95" s="166">
        <v>45210</v>
      </c>
      <c r="B95" s="8" t="s">
        <v>657</v>
      </c>
      <c r="E95" s="164">
        <v>-200</v>
      </c>
    </row>
    <row r="96" spans="1:5">
      <c r="A96" s="166">
        <v>45215</v>
      </c>
      <c r="B96" s="8" t="s">
        <v>657</v>
      </c>
      <c r="E96" s="164">
        <v>-160</v>
      </c>
    </row>
    <row r="97" spans="1:5">
      <c r="A97" s="166">
        <v>45216</v>
      </c>
      <c r="B97" s="8" t="s">
        <v>657</v>
      </c>
      <c r="E97" s="164">
        <v>-160</v>
      </c>
    </row>
    <row r="98" spans="1:5">
      <c r="A98" s="166">
        <v>45217</v>
      </c>
      <c r="B98" s="8" t="s">
        <v>657</v>
      </c>
      <c r="E98" s="164">
        <v>-160</v>
      </c>
    </row>
    <row r="99" spans="1:5">
      <c r="A99" s="166">
        <v>45218</v>
      </c>
      <c r="B99" s="8" t="s">
        <v>657</v>
      </c>
      <c r="E99" s="164">
        <v>-200</v>
      </c>
    </row>
    <row r="100" spans="1:5">
      <c r="A100" s="166">
        <v>45219</v>
      </c>
      <c r="B100" s="8" t="s">
        <v>657</v>
      </c>
      <c r="E100" s="164">
        <v>-165</v>
      </c>
    </row>
    <row r="101" spans="1:5">
      <c r="A101" s="166">
        <v>45219</v>
      </c>
      <c r="B101" s="8" t="s">
        <v>964</v>
      </c>
      <c r="E101" s="164">
        <v>-93.36</v>
      </c>
    </row>
    <row r="102" spans="1:5">
      <c r="A102" s="166">
        <v>45220</v>
      </c>
      <c r="B102" s="8" t="s">
        <v>657</v>
      </c>
      <c r="E102" s="164">
        <v>-165</v>
      </c>
    </row>
    <row r="103" spans="1:5">
      <c r="A103" s="166">
        <v>45220</v>
      </c>
      <c r="B103" s="8" t="s">
        <v>966</v>
      </c>
      <c r="E103" s="164">
        <v>-80</v>
      </c>
    </row>
    <row r="104" spans="1:5">
      <c r="A104" s="166">
        <v>45221</v>
      </c>
      <c r="B104" s="8" t="s">
        <v>967</v>
      </c>
      <c r="E104" s="164">
        <v>-500</v>
      </c>
    </row>
    <row r="105" spans="1:5" ht="15">
      <c r="D105" s="105" t="s">
        <v>84</v>
      </c>
    </row>
    <row r="107" spans="1:5">
      <c r="B107" t="s">
        <v>968</v>
      </c>
      <c r="E107" s="164">
        <v>3707.01</v>
      </c>
    </row>
    <row r="108" spans="1:5">
      <c r="B108" t="s">
        <v>969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1">
        <v>45260</v>
      </c>
      <c r="B116" s="8" t="s">
        <v>307</v>
      </c>
      <c r="C116" s="2"/>
      <c r="D116" s="2"/>
      <c r="E116" s="17">
        <v>3242.78</v>
      </c>
    </row>
    <row r="117" spans="1:5">
      <c r="A117" s="161">
        <v>45260</v>
      </c>
      <c r="B117" s="8" t="s">
        <v>141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972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973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4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974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982</v>
      </c>
      <c r="C24" s="8" t="s">
        <v>946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984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951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332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777</v>
      </c>
      <c r="C52">
        <v>613.91</v>
      </c>
      <c r="D52" s="35" t="s">
        <v>987</v>
      </c>
      <c r="E52" s="164">
        <v>-61.39</v>
      </c>
      <c r="G52" s="63"/>
      <c r="H52" s="63"/>
    </row>
    <row r="53" spans="1:8">
      <c r="A53" s="161">
        <v>45043</v>
      </c>
      <c r="B53" s="106" t="s">
        <v>955</v>
      </c>
      <c r="C53" s="106">
        <v>3299</v>
      </c>
      <c r="D53" s="35" t="s">
        <v>476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729</v>
      </c>
      <c r="C54" s="106">
        <v>10764.57</v>
      </c>
      <c r="D54" s="35" t="s">
        <v>731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957</v>
      </c>
      <c r="C55" s="106">
        <v>3123.29</v>
      </c>
      <c r="D55" s="205" t="s">
        <v>476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930</v>
      </c>
      <c r="D56" s="205" t="s">
        <v>519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489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988</v>
      </c>
      <c r="C58" s="106">
        <v>148.6</v>
      </c>
      <c r="D58" s="205" t="s">
        <v>989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990</v>
      </c>
      <c r="C59" s="106">
        <v>244.8</v>
      </c>
      <c r="D59" s="205" t="s">
        <v>989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991</v>
      </c>
      <c r="C60" s="106">
        <v>1204.5</v>
      </c>
      <c r="D60" s="205" t="s">
        <v>989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992</v>
      </c>
      <c r="C61" s="106">
        <v>532.6</v>
      </c>
      <c r="D61" s="205" t="s">
        <v>989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993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566</v>
      </c>
      <c r="C63" s="106">
        <v>7648.33</v>
      </c>
      <c r="D63" s="205" t="s">
        <v>994</v>
      </c>
      <c r="E63" s="164">
        <v>-849.81</v>
      </c>
      <c r="F63" s="63"/>
    </row>
    <row r="64" spans="1:8">
      <c r="A64" s="161">
        <v>45187</v>
      </c>
      <c r="B64" s="106" t="s">
        <v>995</v>
      </c>
      <c r="C64" s="106">
        <v>11128</v>
      </c>
      <c r="D64" s="205" t="s">
        <v>650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958</v>
      </c>
      <c r="C69">
        <v>1140.99</v>
      </c>
      <c r="D69" s="8" t="s">
        <v>690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959</v>
      </c>
      <c r="D70" s="35" t="s">
        <v>996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997</v>
      </c>
      <c r="C71" s="106"/>
      <c r="D71" s="8" t="s">
        <v>961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998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999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1000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1001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1002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130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414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410</v>
      </c>
      <c r="E88" s="164">
        <v>-529.98</v>
      </c>
    </row>
    <row r="89" spans="1:8">
      <c r="A89" s="161">
        <v>45179</v>
      </c>
      <c r="B89" s="8" t="s">
        <v>410</v>
      </c>
      <c r="E89" s="164">
        <v>-2351.9499999999998</v>
      </c>
    </row>
    <row r="90" spans="1:8">
      <c r="A90" s="161">
        <v>45180</v>
      </c>
      <c r="B90" s="8" t="s">
        <v>1003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1003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1004</v>
      </c>
      <c r="E94" s="164">
        <v>-578</v>
      </c>
    </row>
    <row r="95" spans="1:8">
      <c r="A95" s="161">
        <v>45184</v>
      </c>
      <c r="B95" s="8" t="s">
        <v>1005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1006</v>
      </c>
      <c r="E101" s="164">
        <v>-230</v>
      </c>
    </row>
    <row r="102" spans="1:5">
      <c r="A102" s="161">
        <v>45191</v>
      </c>
      <c r="B102" s="8" t="s">
        <v>1007</v>
      </c>
      <c r="E102" s="164">
        <v>-382</v>
      </c>
    </row>
    <row r="103" spans="1:5">
      <c r="A103" s="161">
        <v>45191</v>
      </c>
      <c r="B103" s="8" t="s">
        <v>1008</v>
      </c>
      <c r="E103" s="164">
        <v>-699.6</v>
      </c>
    </row>
    <row r="104" spans="1:5">
      <c r="A104" s="161">
        <v>45192</v>
      </c>
      <c r="B104" s="8" t="s">
        <v>135</v>
      </c>
      <c r="E104" s="164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1010</v>
      </c>
      <c r="C113" s="2"/>
      <c r="D113" s="2"/>
      <c r="E113" s="17">
        <v>73088</v>
      </c>
    </row>
    <row r="114" spans="1:5">
      <c r="A114" s="161">
        <v>45230</v>
      </c>
      <c r="B114" s="8" t="s">
        <v>305</v>
      </c>
      <c r="C114" s="2"/>
      <c r="D114" s="2"/>
      <c r="E114" s="17">
        <v>20950.34</v>
      </c>
    </row>
    <row r="115" spans="1:5">
      <c r="A115" s="161">
        <v>45230</v>
      </c>
      <c r="B115" s="8" t="s">
        <v>306</v>
      </c>
      <c r="C115" s="2"/>
      <c r="D115" s="2"/>
      <c r="E115" s="17">
        <v>73011.39</v>
      </c>
    </row>
    <row r="116" spans="1:5">
      <c r="A116" s="161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1013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1014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153</v>
      </c>
      <c r="C120" s="2"/>
      <c r="D120" s="2"/>
      <c r="E120" s="17">
        <v>60000</v>
      </c>
    </row>
    <row r="121" spans="1:5">
      <c r="A121" s="161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4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1015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5" t="s">
        <v>519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5" t="s">
        <v>932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5" t="s">
        <v>1035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5" t="s">
        <v>1035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5" t="s">
        <v>1035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5" t="s">
        <v>1035</v>
      </c>
      <c r="E73" s="164">
        <v>-133.15</v>
      </c>
      <c r="F73" s="63"/>
    </row>
    <row r="74" spans="1:8">
      <c r="A74" s="100">
        <v>45139</v>
      </c>
      <c r="B74" s="106" t="s">
        <v>1036</v>
      </c>
      <c r="E74" s="164">
        <v>-260.02</v>
      </c>
    </row>
    <row r="75" spans="1:8">
      <c r="A75" s="166">
        <v>45139</v>
      </c>
      <c r="B75" s="106" t="s">
        <v>451</v>
      </c>
      <c r="E75" s="164">
        <v>-116.6</v>
      </c>
    </row>
    <row r="76" spans="1:8">
      <c r="A76" s="166">
        <v>45139</v>
      </c>
      <c r="B76" s="106" t="s">
        <v>451</v>
      </c>
      <c r="E76" s="164">
        <v>-23.75</v>
      </c>
    </row>
    <row r="77" spans="1:8">
      <c r="A77" s="166">
        <v>45140</v>
      </c>
      <c r="B77" s="106" t="s">
        <v>1037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1038</v>
      </c>
      <c r="E79" s="164">
        <v>-71</v>
      </c>
    </row>
    <row r="80" spans="1:8">
      <c r="A80" s="166">
        <v>45153</v>
      </c>
      <c r="B80" s="106" t="s">
        <v>1039</v>
      </c>
      <c r="E80" s="164">
        <v>-1806</v>
      </c>
    </row>
    <row r="81" spans="1:8">
      <c r="A81" s="166">
        <v>45158</v>
      </c>
      <c r="B81" s="106" t="s">
        <v>1040</v>
      </c>
      <c r="E81" s="164">
        <v>-160.9</v>
      </c>
    </row>
    <row r="82" spans="1:8">
      <c r="A82" s="166">
        <v>45160</v>
      </c>
      <c r="B82" s="106" t="s">
        <v>1041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4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959</v>
      </c>
      <c r="D99" s="35" t="s">
        <v>1048</v>
      </c>
      <c r="E99">
        <v>-181.83</v>
      </c>
    </row>
    <row r="100" spans="1:6">
      <c r="A100" s="166">
        <v>45141</v>
      </c>
      <c r="B100" s="8" t="s">
        <v>135</v>
      </c>
      <c r="D100" s="35"/>
      <c r="E100">
        <v>-150</v>
      </c>
    </row>
    <row r="101" spans="1:6">
      <c r="A101" s="166">
        <v>45143</v>
      </c>
      <c r="B101" s="8" t="s">
        <v>135</v>
      </c>
      <c r="E101">
        <v>-150</v>
      </c>
    </row>
    <row r="102" spans="1:6">
      <c r="A102" s="166">
        <v>45143</v>
      </c>
      <c r="B102" s="8" t="s">
        <v>128</v>
      </c>
      <c r="E102">
        <v>-337.19</v>
      </c>
    </row>
    <row r="103" spans="1:6">
      <c r="A103" s="166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4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1051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7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5" t="s">
        <v>932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5" t="s">
        <v>611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5" t="s">
        <v>1062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5" t="s">
        <v>1062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5" t="s">
        <v>1062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5" t="s">
        <v>1062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1063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1065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1066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1067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1077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1079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1080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1082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1084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332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5" t="s">
        <v>611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5" t="s">
        <v>1090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5" t="s">
        <v>1090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5" t="s">
        <v>1090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5" t="s">
        <v>1090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5" t="s">
        <v>650</v>
      </c>
      <c r="E64" s="164">
        <v>-666.67</v>
      </c>
      <c r="F64" s="63"/>
    </row>
    <row r="65" spans="1:8">
      <c r="A65" s="100">
        <v>45091</v>
      </c>
      <c r="B65" s="106" t="s">
        <v>1091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4">
        <v>-225</v>
      </c>
    </row>
    <row r="76" spans="1:8">
      <c r="B76" s="106" t="s">
        <v>274</v>
      </c>
      <c r="C76">
        <v>-1207</v>
      </c>
    </row>
    <row r="77" spans="1:8">
      <c r="A77" s="166">
        <v>45080</v>
      </c>
      <c r="B77" s="106" t="s">
        <v>1094</v>
      </c>
      <c r="E77" s="164">
        <v>-180</v>
      </c>
    </row>
    <row r="78" spans="1:8">
      <c r="A78" s="166">
        <v>45080</v>
      </c>
      <c r="B78" s="106" t="s">
        <v>1095</v>
      </c>
      <c r="E78" s="164">
        <v>-850</v>
      </c>
    </row>
    <row r="79" spans="1:8">
      <c r="A79" s="166">
        <v>45082</v>
      </c>
      <c r="B79" s="106" t="s">
        <v>1096</v>
      </c>
      <c r="E79" s="164">
        <v>-112.11</v>
      </c>
    </row>
    <row r="80" spans="1:8">
      <c r="A80" s="166">
        <v>45082</v>
      </c>
      <c r="B80" s="106" t="s">
        <v>1094</v>
      </c>
      <c r="E80" s="164">
        <v>-150</v>
      </c>
    </row>
    <row r="81" spans="1:5">
      <c r="A81" s="166">
        <v>45084</v>
      </c>
      <c r="B81" s="106" t="s">
        <v>1094</v>
      </c>
      <c r="D81" s="35"/>
      <c r="E81" s="164">
        <v>-250</v>
      </c>
    </row>
    <row r="82" spans="1:5">
      <c r="A82" s="166">
        <v>45085</v>
      </c>
      <c r="B82" s="106" t="s">
        <v>1094</v>
      </c>
      <c r="D82" s="35"/>
      <c r="E82" s="164">
        <v>-250</v>
      </c>
    </row>
    <row r="83" spans="1:5">
      <c r="A83" s="166">
        <v>45086</v>
      </c>
      <c r="B83" s="8" t="s">
        <v>1097</v>
      </c>
      <c r="E83" s="164">
        <v>-1420</v>
      </c>
    </row>
    <row r="84" spans="1:5">
      <c r="A84" s="166">
        <v>45087</v>
      </c>
      <c r="B84" s="8" t="s">
        <v>1098</v>
      </c>
      <c r="E84" s="164">
        <v>-242.56</v>
      </c>
    </row>
    <row r="85" spans="1:5">
      <c r="A85" s="166">
        <v>45089</v>
      </c>
      <c r="B85" s="8" t="s">
        <v>1099</v>
      </c>
      <c r="E85" s="164">
        <v>-167.19</v>
      </c>
    </row>
    <row r="86" spans="1:5">
      <c r="A86" s="166">
        <v>45091</v>
      </c>
      <c r="B86" s="8" t="s">
        <v>1094</v>
      </c>
      <c r="E86" s="164">
        <v>-200</v>
      </c>
    </row>
    <row r="87" spans="1:5">
      <c r="A87" s="166">
        <v>45091</v>
      </c>
      <c r="B87" s="8" t="s">
        <v>1096</v>
      </c>
      <c r="E87" s="164">
        <v>-61.41</v>
      </c>
    </row>
    <row r="88" spans="1:5">
      <c r="A88" s="166">
        <v>45092</v>
      </c>
      <c r="B88" s="8" t="s">
        <v>1094</v>
      </c>
      <c r="E88" s="164">
        <v>-200</v>
      </c>
    </row>
    <row r="89" spans="1:5">
      <c r="A89" s="100">
        <v>45095</v>
      </c>
      <c r="B89" s="8" t="s">
        <v>1100</v>
      </c>
      <c r="E89" s="164">
        <v>-257</v>
      </c>
    </row>
    <row r="90" spans="1:5">
      <c r="A90" s="100">
        <v>45096</v>
      </c>
      <c r="B90" s="8" t="s">
        <v>657</v>
      </c>
      <c r="E90" s="164">
        <v>-250</v>
      </c>
    </row>
    <row r="91" spans="1:5">
      <c r="A91" s="100">
        <v>45097</v>
      </c>
      <c r="B91" s="8" t="s">
        <v>1101</v>
      </c>
      <c r="E91" s="164">
        <v>-110</v>
      </c>
    </row>
    <row r="92" spans="1:5">
      <c r="A92" s="100">
        <v>45098</v>
      </c>
      <c r="B92" s="8" t="s">
        <v>1102</v>
      </c>
      <c r="E92" s="164">
        <v>-405</v>
      </c>
    </row>
    <row r="93" spans="1:5">
      <c r="A93" s="100">
        <v>45099</v>
      </c>
      <c r="B93" s="8" t="s">
        <v>1103</v>
      </c>
      <c r="E93" s="164">
        <v>-820</v>
      </c>
    </row>
    <row r="94" spans="1:5">
      <c r="A94" s="100">
        <v>45099</v>
      </c>
      <c r="B94" s="8" t="s">
        <v>1104</v>
      </c>
      <c r="E94" s="164">
        <v>-599</v>
      </c>
    </row>
    <row r="95" spans="1:5">
      <c r="A95" s="100">
        <v>45099</v>
      </c>
      <c r="B95" s="8" t="s">
        <v>1105</v>
      </c>
      <c r="E95" s="164">
        <v>-8</v>
      </c>
    </row>
    <row r="96" spans="1:5">
      <c r="A96" s="100">
        <v>45099</v>
      </c>
      <c r="B96" s="8" t="s">
        <v>1105</v>
      </c>
      <c r="E96" s="164">
        <v>-1197.3800000000001</v>
      </c>
    </row>
    <row r="97" spans="1:5">
      <c r="A97" s="100">
        <v>45100</v>
      </c>
      <c r="B97" s="8" t="s">
        <v>1106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1110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559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677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2" t="s">
        <v>1124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650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1127</v>
      </c>
      <c r="E63" s="164">
        <v>-496</v>
      </c>
    </row>
    <row r="64" spans="1:8">
      <c r="A64" s="100">
        <v>45043</v>
      </c>
      <c r="B64" s="106" t="s">
        <v>1128</v>
      </c>
      <c r="C64" s="106"/>
      <c r="D64" s="106"/>
      <c r="E64" s="164">
        <v>-120</v>
      </c>
    </row>
    <row r="65" spans="1:6">
      <c r="A65" s="100">
        <v>45044</v>
      </c>
      <c r="B65" s="8" t="s">
        <v>1129</v>
      </c>
      <c r="E65" s="164">
        <v>-321</v>
      </c>
      <c r="F65" s="63"/>
    </row>
    <row r="66" spans="1:6">
      <c r="A66" s="100">
        <v>45044</v>
      </c>
      <c r="B66" s="8" t="s">
        <v>1130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1131</v>
      </c>
      <c r="C69">
        <v>225</v>
      </c>
      <c r="E69" s="164"/>
    </row>
    <row r="70" spans="1:6">
      <c r="A70" s="100">
        <v>45062</v>
      </c>
      <c r="B70" s="8" t="s">
        <v>1131</v>
      </c>
      <c r="C70">
        <v>500</v>
      </c>
      <c r="E70" s="164"/>
    </row>
    <row r="71" spans="1:6">
      <c r="A71" s="100">
        <v>45066</v>
      </c>
      <c r="B71" s="8" t="s">
        <v>1132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4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4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4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4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4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4">
        <v>-260</v>
      </c>
      <c r="F90" s="63" t="s">
        <v>1134</v>
      </c>
    </row>
    <row r="91" spans="1:8">
      <c r="A91" s="100">
        <v>45026</v>
      </c>
      <c r="B91" s="8" t="s">
        <v>1136</v>
      </c>
      <c r="E91" s="164">
        <v>-140</v>
      </c>
      <c r="F91" s="63" t="s">
        <v>1134</v>
      </c>
    </row>
    <row r="92" spans="1:8">
      <c r="A92" s="100">
        <v>45026</v>
      </c>
      <c r="B92" s="8" t="s">
        <v>1135</v>
      </c>
      <c r="E92" s="164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4">
        <v>-190.17</v>
      </c>
      <c r="F93" s="8" t="s">
        <v>1134</v>
      </c>
    </row>
    <row r="94" spans="1:8">
      <c r="A94" s="100">
        <v>45061</v>
      </c>
      <c r="B94" s="8" t="s">
        <v>1137</v>
      </c>
      <c r="E94" s="164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1141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4"/>
      <c r="H28" s="63"/>
    </row>
    <row r="29" spans="1:8">
      <c r="A29" s="100"/>
      <c r="B29" s="101" t="s">
        <v>1147</v>
      </c>
      <c r="C29" s="101"/>
      <c r="D29" s="101"/>
      <c r="E29" s="164"/>
      <c r="H29" s="63"/>
    </row>
    <row r="30" spans="1:8">
      <c r="A30" s="100"/>
      <c r="B30" s="101" t="s">
        <v>1148</v>
      </c>
      <c r="C30" s="101"/>
      <c r="D30" s="101"/>
      <c r="E30" s="164"/>
      <c r="H30" s="63"/>
    </row>
    <row r="31" spans="1:8">
      <c r="A31" s="100"/>
      <c r="B31" s="101" t="s">
        <v>119</v>
      </c>
      <c r="C31" s="101"/>
      <c r="D31" s="101"/>
      <c r="E31" s="164"/>
      <c r="H31" s="63"/>
    </row>
    <row r="32" spans="1:8">
      <c r="A32" s="100"/>
      <c r="B32" s="101" t="s">
        <v>1149</v>
      </c>
      <c r="C32" s="101" t="s">
        <v>1150</v>
      </c>
      <c r="D32" s="101"/>
      <c r="E32" s="164"/>
      <c r="H32" s="63"/>
    </row>
    <row r="33" spans="1:8">
      <c r="A33" s="100"/>
      <c r="B33" s="8" t="s">
        <v>1151</v>
      </c>
      <c r="C33" s="101"/>
      <c r="D33" s="101"/>
      <c r="E33" s="164"/>
      <c r="H33" s="63"/>
    </row>
    <row r="34" spans="1:8">
      <c r="A34" s="100"/>
      <c r="B34" s="8" t="s">
        <v>1152</v>
      </c>
      <c r="C34" s="101"/>
      <c r="D34" s="101"/>
      <c r="E34" s="164"/>
      <c r="H34" s="63"/>
    </row>
    <row r="35" spans="1:8">
      <c r="A35" s="100"/>
      <c r="B35" s="101" t="s">
        <v>1153</v>
      </c>
      <c r="C35" s="101"/>
      <c r="D35" s="101"/>
      <c r="E35" s="164"/>
      <c r="H35" s="63"/>
    </row>
    <row r="36" spans="1:8">
      <c r="A36" s="100"/>
      <c r="B36" s="101" t="s">
        <v>1154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332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2" t="s">
        <v>1155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419</v>
      </c>
      <c r="E72" s="164">
        <v>-158.63999999999999</v>
      </c>
    </row>
    <row r="73" spans="1:8">
      <c r="A73" s="100">
        <v>45037</v>
      </c>
      <c r="B73" s="8" t="s">
        <v>1063</v>
      </c>
      <c r="D73" s="35"/>
      <c r="E73" s="164">
        <v>-100</v>
      </c>
    </row>
    <row r="74" spans="1:8">
      <c r="A74" s="100">
        <v>45037</v>
      </c>
      <c r="B74" s="8" t="s">
        <v>1063</v>
      </c>
      <c r="E74" s="164">
        <v>-15</v>
      </c>
    </row>
    <row r="75" spans="1:8">
      <c r="A75" s="100">
        <v>45039</v>
      </c>
      <c r="B75" s="8" t="s">
        <v>1160</v>
      </c>
      <c r="E75" s="164">
        <v>-430</v>
      </c>
    </row>
    <row r="76" spans="1:8">
      <c r="A76" s="100">
        <v>45040</v>
      </c>
      <c r="B76" s="8" t="s">
        <v>1161</v>
      </c>
      <c r="E76" s="164">
        <v>-69.739999999999995</v>
      </c>
    </row>
    <row r="77" spans="1:8">
      <c r="A77" s="100">
        <v>45040</v>
      </c>
      <c r="B77" s="8" t="s">
        <v>1162</v>
      </c>
      <c r="E77" s="164">
        <v>-125</v>
      </c>
    </row>
    <row r="78" spans="1:8">
      <c r="A78" s="100"/>
      <c r="E78" s="164" t="s">
        <v>1163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1165</v>
      </c>
      <c r="B111" s="104" t="s">
        <v>1139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1166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1168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677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332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4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4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4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2" t="s">
        <v>1183</v>
      </c>
      <c r="E64" s="164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4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4">
        <v>-376.49</v>
      </c>
      <c r="F66" s="63"/>
    </row>
    <row r="67" spans="1:8">
      <c r="A67" s="100">
        <v>44985</v>
      </c>
      <c r="B67" s="8" t="s">
        <v>1185</v>
      </c>
      <c r="D67" s="35"/>
      <c r="E67" s="164">
        <v>-161.31</v>
      </c>
      <c r="F67" s="63"/>
    </row>
    <row r="68" spans="1:8">
      <c r="A68" s="100">
        <v>44986</v>
      </c>
      <c r="B68" s="8" t="s">
        <v>1185</v>
      </c>
      <c r="D68" s="35"/>
      <c r="E68" s="164">
        <v>-137.93</v>
      </c>
      <c r="F68" s="63"/>
    </row>
    <row r="69" spans="1:8">
      <c r="A69" s="100">
        <v>44987</v>
      </c>
      <c r="B69" s="8" t="s">
        <v>1185</v>
      </c>
      <c r="D69" s="35"/>
      <c r="E69" s="164">
        <v>-121.99</v>
      </c>
      <c r="F69" s="63"/>
    </row>
    <row r="70" spans="1:8">
      <c r="A70" s="100">
        <v>45004</v>
      </c>
      <c r="B70" s="8" t="s">
        <v>1186</v>
      </c>
      <c r="D70" s="35"/>
      <c r="E70" s="164">
        <v>-94.85</v>
      </c>
      <c r="F70" s="63"/>
    </row>
    <row r="71" spans="1:8">
      <c r="A71" s="100">
        <v>45005</v>
      </c>
      <c r="B71" s="8" t="s">
        <v>1187</v>
      </c>
      <c r="D71" s="35"/>
      <c r="E71" s="164">
        <v>-456.1</v>
      </c>
      <c r="F71" s="63"/>
    </row>
    <row r="72" spans="1:8">
      <c r="A72" s="100">
        <v>45005</v>
      </c>
      <c r="B72" s="8" t="s">
        <v>1188</v>
      </c>
      <c r="E72" s="164">
        <v>-110</v>
      </c>
    </row>
    <row r="73" spans="1:8">
      <c r="A73" s="100">
        <v>45007</v>
      </c>
      <c r="B73" s="8" t="s">
        <v>1189</v>
      </c>
      <c r="D73" s="35"/>
      <c r="E73" s="164">
        <v>-554.11</v>
      </c>
    </row>
    <row r="74" spans="1:8">
      <c r="A74" s="100">
        <v>45010</v>
      </c>
      <c r="B74" s="8" t="s">
        <v>1190</v>
      </c>
      <c r="D74" s="35"/>
      <c r="E74" s="164">
        <v>-530.54999999999995</v>
      </c>
    </row>
    <row r="75" spans="1:8">
      <c r="A75" s="100">
        <v>45010</v>
      </c>
      <c r="B75" s="8" t="s">
        <v>1191</v>
      </c>
      <c r="D75" s="35"/>
      <c r="E75" s="164">
        <v>-26.53</v>
      </c>
    </row>
    <row r="76" spans="1:8">
      <c r="A76" s="100"/>
      <c r="D76" s="35"/>
      <c r="E76" s="164" t="s">
        <v>1163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1163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1193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1195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332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4">
        <v>-880.22</v>
      </c>
      <c r="G77" s="63"/>
    </row>
    <row r="78" spans="1:8">
      <c r="A78" s="100">
        <v>44958</v>
      </c>
      <c r="B78" s="8" t="s">
        <v>1225</v>
      </c>
      <c r="E78" s="164">
        <v>-218.24</v>
      </c>
      <c r="G78" s="63"/>
    </row>
    <row r="79" spans="1:8">
      <c r="A79" s="100">
        <v>44960</v>
      </c>
      <c r="B79" s="8" t="s">
        <v>1226</v>
      </c>
      <c r="E79" s="164">
        <v>-120.45</v>
      </c>
      <c r="G79" s="63"/>
    </row>
    <row r="80" spans="1:8">
      <c r="A80" s="100">
        <v>44963</v>
      </c>
      <c r="B80" s="8" t="s">
        <v>1227</v>
      </c>
      <c r="D80" s="35"/>
      <c r="E80" s="164">
        <v>-130.56</v>
      </c>
      <c r="G80" s="63"/>
    </row>
    <row r="81" spans="1:8">
      <c r="A81" s="100">
        <v>44969</v>
      </c>
      <c r="B81" s="8" t="s">
        <v>1228</v>
      </c>
      <c r="D81" s="35"/>
      <c r="E81" s="164">
        <v>-51.99</v>
      </c>
      <c r="G81" s="63"/>
    </row>
    <row r="82" spans="1:8">
      <c r="A82" s="100">
        <v>44970</v>
      </c>
      <c r="B82" s="8" t="s">
        <v>530</v>
      </c>
      <c r="D82" s="35"/>
      <c r="E82" s="164">
        <v>-379</v>
      </c>
      <c r="G82" s="63"/>
    </row>
    <row r="83" spans="1:8">
      <c r="A83" s="100">
        <v>44970</v>
      </c>
      <c r="B83" s="8" t="s">
        <v>530</v>
      </c>
      <c r="D83" s="35"/>
      <c r="E83" s="164">
        <v>-510</v>
      </c>
      <c r="G83" s="63"/>
    </row>
    <row r="84" spans="1:8">
      <c r="A84" s="100">
        <v>44971</v>
      </c>
      <c r="B84" s="8" t="s">
        <v>1228</v>
      </c>
      <c r="D84" s="35"/>
      <c r="E84" s="164">
        <v>-51.99</v>
      </c>
      <c r="G84" s="63"/>
    </row>
    <row r="85" spans="1:8">
      <c r="A85" s="100">
        <v>44972</v>
      </c>
      <c r="B85" s="8" t="s">
        <v>1229</v>
      </c>
      <c r="D85" s="35"/>
      <c r="E85" s="164">
        <v>-54.77</v>
      </c>
      <c r="G85" s="63"/>
    </row>
    <row r="86" spans="1:8">
      <c r="A86" s="100">
        <v>44972</v>
      </c>
      <c r="B86" s="8" t="s">
        <v>1230</v>
      </c>
      <c r="D86" s="35"/>
      <c r="E86" s="164">
        <v>-459</v>
      </c>
      <c r="G86" s="63"/>
    </row>
    <row r="87" spans="1:8">
      <c r="A87" s="100">
        <v>44972</v>
      </c>
      <c r="B87" s="8" t="s">
        <v>1231</v>
      </c>
      <c r="D87" s="35"/>
      <c r="E87" s="164">
        <v>-211</v>
      </c>
      <c r="G87" s="63"/>
    </row>
    <row r="88" spans="1:8">
      <c r="A88" s="100">
        <v>44977</v>
      </c>
      <c r="B88" s="8" t="s">
        <v>1232</v>
      </c>
      <c r="D88" s="35"/>
      <c r="E88" s="164">
        <v>-100</v>
      </c>
      <c r="G88" s="63"/>
    </row>
    <row r="89" spans="1:8">
      <c r="A89" s="100">
        <v>44977</v>
      </c>
      <c r="B89" s="8" t="s">
        <v>1232</v>
      </c>
      <c r="D89" s="35"/>
      <c r="E89" s="164">
        <v>-10</v>
      </c>
      <c r="G89" s="63"/>
    </row>
    <row r="90" spans="1:8">
      <c r="A90" s="100">
        <v>44981</v>
      </c>
      <c r="B90" s="8" t="s">
        <v>135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4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4">
        <v>-164.98</v>
      </c>
      <c r="G92" s="63"/>
    </row>
    <row r="93" spans="1:8">
      <c r="A93" s="324">
        <v>44982</v>
      </c>
      <c r="D93" s="35"/>
      <c r="E93" s="325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1163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1235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1077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1238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1239</v>
      </c>
      <c r="C8" s="326" t="s">
        <v>391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30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3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1256</v>
      </c>
      <c r="C46" s="313"/>
      <c r="D46" s="313" t="s">
        <v>1257</v>
      </c>
      <c r="H46" s="63"/>
    </row>
    <row r="47" spans="1:8">
      <c r="A47" s="318">
        <v>44844</v>
      </c>
      <c r="B47" s="313" t="s">
        <v>1258</v>
      </c>
      <c r="C47" s="315"/>
      <c r="D47" s="313" t="s">
        <v>1259</v>
      </c>
      <c r="H47" s="63"/>
    </row>
    <row r="48" spans="1:8">
      <c r="A48" s="318"/>
      <c r="B48" s="313" t="s">
        <v>1260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1213</v>
      </c>
      <c r="D51">
        <v>1245.19</v>
      </c>
      <c r="E51" s="164">
        <v>1245</v>
      </c>
      <c r="F51" s="63"/>
      <c r="G51" s="63"/>
    </row>
    <row r="52" spans="1:8">
      <c r="B52" t="s">
        <v>334</v>
      </c>
      <c r="D52">
        <v>914.78</v>
      </c>
      <c r="E52" s="164">
        <v>915</v>
      </c>
      <c r="F52" s="63"/>
      <c r="G52" s="63"/>
    </row>
    <row r="53" spans="1:8">
      <c r="B53" t="s">
        <v>335</v>
      </c>
      <c r="D53">
        <v>295.54000000000002</v>
      </c>
      <c r="E53" s="164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4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1263</v>
      </c>
      <c r="C57" s="106"/>
      <c r="D57" s="331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4">
        <v>-47.8</v>
      </c>
    </row>
    <row r="75" spans="1:8">
      <c r="A75" s="100">
        <v>44934</v>
      </c>
      <c r="B75" s="8" t="s">
        <v>1269</v>
      </c>
      <c r="E75" s="164">
        <v>-556.07000000000005</v>
      </c>
    </row>
    <row r="76" spans="1:8">
      <c r="A76" s="100">
        <v>44936</v>
      </c>
      <c r="B76" s="8" t="s">
        <v>1270</v>
      </c>
      <c r="E76" s="164">
        <v>-79.34</v>
      </c>
    </row>
    <row r="77" spans="1:8">
      <c r="A77" s="100">
        <v>44937</v>
      </c>
      <c r="B77" s="8" t="s">
        <v>1220</v>
      </c>
      <c r="E77" s="164">
        <v>-123.45</v>
      </c>
    </row>
    <row r="78" spans="1:8">
      <c r="A78" s="100">
        <v>44938</v>
      </c>
      <c r="B78" s="8" t="s">
        <v>1221</v>
      </c>
      <c r="E78" s="164">
        <v>-113.57</v>
      </c>
    </row>
    <row r="79" spans="1:8">
      <c r="A79" s="100">
        <v>44939</v>
      </c>
      <c r="B79" s="8" t="s">
        <v>1222</v>
      </c>
      <c r="E79" s="164">
        <v>-118.62</v>
      </c>
    </row>
    <row r="80" spans="1:8">
      <c r="A80" s="100">
        <v>44940</v>
      </c>
      <c r="B80" s="8" t="s">
        <v>1223</v>
      </c>
      <c r="E80" s="164">
        <v>-123.85</v>
      </c>
    </row>
    <row r="81" spans="1:8">
      <c r="A81" s="100">
        <v>44942</v>
      </c>
      <c r="B81" s="8" t="s">
        <v>1226</v>
      </c>
      <c r="E81" s="164">
        <v>-177.33</v>
      </c>
    </row>
    <row r="82" spans="1:8">
      <c r="A82" s="100">
        <v>44947</v>
      </c>
      <c r="B82" s="8" t="s">
        <v>1063</v>
      </c>
      <c r="E82" s="164">
        <v>-100</v>
      </c>
    </row>
    <row r="83" spans="1:8">
      <c r="A83" s="100">
        <v>44949</v>
      </c>
      <c r="B83" s="8" t="s">
        <v>1227</v>
      </c>
      <c r="E83" s="164">
        <v>-111.1</v>
      </c>
    </row>
    <row r="84" spans="1:8">
      <c r="A84" s="100">
        <v>44950</v>
      </c>
      <c r="B84" s="8" t="s">
        <v>1271</v>
      </c>
      <c r="E84" s="164">
        <v>-99.87</v>
      </c>
    </row>
    <row r="85" spans="1:8">
      <c r="A85" s="100">
        <v>44951</v>
      </c>
      <c r="B85" s="8" t="s">
        <v>1272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4">
        <v>-164.8</v>
      </c>
    </row>
    <row r="95" spans="1:8">
      <c r="A95" s="100">
        <v>44930</v>
      </c>
      <c r="B95" s="107" t="s">
        <v>1279</v>
      </c>
      <c r="E95" s="164">
        <v>-139.33000000000001</v>
      </c>
    </row>
    <row r="96" spans="1:8">
      <c r="A96" s="100">
        <v>44931</v>
      </c>
      <c r="B96" s="107" t="s">
        <v>1280</v>
      </c>
      <c r="E96" s="164">
        <v>-143.19999999999999</v>
      </c>
    </row>
    <row r="97" spans="1:7">
      <c r="A97" s="100">
        <v>44934</v>
      </c>
      <c r="B97" s="8" t="s">
        <v>1281</v>
      </c>
      <c r="E97" s="164">
        <v>-297.38</v>
      </c>
    </row>
    <row r="98" spans="1:7">
      <c r="A98" s="100">
        <v>44944</v>
      </c>
      <c r="B98" s="8" t="s">
        <v>1282</v>
      </c>
      <c r="E98" s="164">
        <v>-286.02999999999997</v>
      </c>
    </row>
    <row r="99" spans="1:7">
      <c r="A99" s="100">
        <v>44944</v>
      </c>
      <c r="B99" s="8" t="s">
        <v>1282</v>
      </c>
      <c r="E99" s="164">
        <v>-423.18</v>
      </c>
    </row>
    <row r="100" spans="1:7">
      <c r="A100" s="100">
        <v>44950</v>
      </c>
      <c r="B100" s="8" t="s">
        <v>1283</v>
      </c>
      <c r="D100" s="35"/>
      <c r="E100" s="164">
        <v>-31.35</v>
      </c>
    </row>
    <row r="101" spans="1:7">
      <c r="B101" t="s">
        <v>1284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305</v>
      </c>
      <c r="E114" s="164">
        <v>44567</v>
      </c>
    </row>
    <row r="115" spans="1:5">
      <c r="A115" s="100">
        <v>45291</v>
      </c>
      <c r="B115" s="8" t="s">
        <v>306</v>
      </c>
      <c r="E115" s="164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814</v>
      </c>
      <c r="E119" s="164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1287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1291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1256</v>
      </c>
      <c r="C31" s="313"/>
      <c r="D31" s="313" t="s">
        <v>1292</v>
      </c>
      <c r="E31" s="314"/>
      <c r="H31" s="63"/>
    </row>
    <row r="32" spans="1:8">
      <c r="A32" s="318">
        <v>44844</v>
      </c>
      <c r="B32" s="313" t="s">
        <v>1258</v>
      </c>
      <c r="C32" s="315"/>
      <c r="D32" s="313" t="s">
        <v>1259</v>
      </c>
      <c r="E32" s="313"/>
      <c r="H32" s="63"/>
    </row>
    <row r="33" spans="1:8">
      <c r="A33" s="318"/>
      <c r="B33" s="313" t="s">
        <v>1293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4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1323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803</v>
      </c>
      <c r="L2" s="336" t="s">
        <v>804</v>
      </c>
      <c r="M2" s="336" t="s">
        <v>32</v>
      </c>
      <c r="N2" s="26" t="s">
        <v>1325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1328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1330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1373</v>
      </c>
      <c r="C69" s="278"/>
      <c r="D69" s="327">
        <v>200</v>
      </c>
      <c r="E69" s="63" t="s">
        <v>1374</v>
      </c>
      <c r="H69" s="63"/>
    </row>
    <row r="70" spans="1:8">
      <c r="A70" s="346">
        <v>44839</v>
      </c>
      <c r="B70" s="278" t="s">
        <v>1375</v>
      </c>
      <c r="C70" s="278"/>
      <c r="D70" s="327">
        <v>200</v>
      </c>
      <c r="E70" s="63" t="s">
        <v>1374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1256</v>
      </c>
      <c r="C72" s="278">
        <v>3</v>
      </c>
      <c r="D72" s="8" t="s">
        <v>1376</v>
      </c>
      <c r="E72" s="63"/>
    </row>
    <row r="73" spans="1:8">
      <c r="A73" s="346">
        <v>44844</v>
      </c>
      <c r="B73" s="278" t="s">
        <v>1258</v>
      </c>
      <c r="C73" s="172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1377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335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336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337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1378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338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1391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1392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677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1398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1399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1400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50" t="s">
        <v>1258</v>
      </c>
      <c r="C56" s="350"/>
      <c r="D56" s="351">
        <v>2000</v>
      </c>
    </row>
    <row r="57" spans="1:8">
      <c r="A57" s="100">
        <v>44839</v>
      </c>
      <c r="B57" s="350" t="s">
        <v>1375</v>
      </c>
      <c r="C57" s="350"/>
      <c r="D57" s="351">
        <v>200</v>
      </c>
    </row>
    <row r="59" spans="1:8">
      <c r="A59" s="346">
        <v>44803</v>
      </c>
      <c r="B59" s="278" t="s">
        <v>1256</v>
      </c>
      <c r="C59" s="278"/>
      <c r="D59" s="347"/>
    </row>
    <row r="60" spans="1:8">
      <c r="A60" s="346">
        <v>44772</v>
      </c>
      <c r="B60" s="278" t="s">
        <v>1402</v>
      </c>
      <c r="C60" s="278"/>
      <c r="D60" s="347"/>
    </row>
    <row r="61" spans="1:8">
      <c r="A61" s="346">
        <v>44742</v>
      </c>
      <c r="B61" s="278" t="s">
        <v>1403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1404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2" t="s">
        <v>1444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1445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1256</v>
      </c>
      <c r="C87" s="278"/>
      <c r="D87" s="354">
        <v>4000</v>
      </c>
      <c r="H87" s="63"/>
    </row>
    <row r="88" spans="1:8">
      <c r="A88" s="346">
        <v>44772</v>
      </c>
      <c r="B88" s="278" t="s">
        <v>1402</v>
      </c>
      <c r="C88" s="278"/>
      <c r="D88" s="354">
        <v>4000</v>
      </c>
      <c r="H88" s="63"/>
    </row>
    <row r="89" spans="1:8">
      <c r="A89" s="346">
        <v>44742</v>
      </c>
      <c r="B89" s="278" t="s">
        <v>1403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1446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1444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1256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1402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1403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1466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1490</v>
      </c>
      <c r="H54" s="63">
        <f t="shared" si="1"/>
        <v>61721.7</v>
      </c>
    </row>
    <row r="55" spans="1:8">
      <c r="B55" s="326" t="s">
        <v>1491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1492</v>
      </c>
      <c r="C56" s="359" t="s">
        <v>1493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1494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1403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1402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1495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1513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1491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1514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1515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1403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1516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1517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1338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1527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1458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1535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1537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1403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1539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133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1458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1537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1545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1546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1458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1555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1558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1458</v>
      </c>
      <c r="C19" s="382" t="s">
        <v>1560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1569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1458</v>
      </c>
      <c r="C16" s="382" t="s">
        <v>1560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1577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1458</v>
      </c>
      <c r="C17" s="382" t="s">
        <v>1560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803</v>
      </c>
      <c r="L11" s="336" t="s">
        <v>804</v>
      </c>
      <c r="M11" s="336" t="s">
        <v>32</v>
      </c>
      <c r="N11" s="26" t="s">
        <v>1325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1328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2025-02-08T19:24:57Z</dcterms:modified>
  <dc:language>tr-TR</dc:language>
</cp:coreProperties>
</file>