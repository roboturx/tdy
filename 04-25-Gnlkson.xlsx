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C2C8D86-EFBB-46A5-BFE5-5583B1B8A7C7}" xr6:coauthVersionLast="47" xr6:coauthVersionMax="47" xr10:uidLastSave="{00000000-0000-0000-0000-000000000000}"/>
  <bookViews>
    <workbookView xWindow="-120" yWindow="-120" windowWidth="29040" windowHeight="15720" tabRatio="839" activeTab="6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59" i="8" l="1"/>
  <c r="G159" i="8" s="1"/>
  <c r="E159" i="8"/>
  <c r="G158" i="8"/>
  <c r="E158" i="8"/>
  <c r="F133" i="8"/>
  <c r="G133" i="8"/>
  <c r="E133" i="8"/>
  <c r="H198" i="8"/>
  <c r="H196" i="8"/>
  <c r="H194" i="8"/>
  <c r="H192" i="8"/>
  <c r="H190" i="8"/>
  <c r="H188" i="8"/>
  <c r="H186" i="8"/>
  <c r="H184" i="8"/>
  <c r="H182" i="8"/>
  <c r="H180" i="8"/>
  <c r="H178" i="8"/>
  <c r="G176" i="8"/>
  <c r="H176" i="8" s="1"/>
  <c r="G175" i="8"/>
  <c r="G177" i="8" s="1"/>
  <c r="H174" i="8"/>
  <c r="I174" i="8" s="1"/>
  <c r="D174" i="8"/>
  <c r="D175" i="8" s="1"/>
  <c r="B168" i="8"/>
  <c r="C155" i="8"/>
  <c r="E146" i="8"/>
  <c r="F145" i="8"/>
  <c r="F146" i="8" s="1"/>
  <c r="G146" i="8" s="1"/>
  <c r="I146" i="8" s="1"/>
  <c r="E145" i="8"/>
  <c r="G144" i="8"/>
  <c r="E144" i="8"/>
  <c r="G141" i="8"/>
  <c r="E141" i="8"/>
  <c r="G140" i="8"/>
  <c r="E140" i="8"/>
  <c r="G139" i="8"/>
  <c r="E139" i="8"/>
  <c r="G138" i="8"/>
  <c r="E138" i="8"/>
  <c r="E142" i="8" s="1"/>
  <c r="E134" i="8"/>
  <c r="G134" i="8"/>
  <c r="I134" i="8" s="1"/>
  <c r="E132" i="8"/>
  <c r="G127" i="8"/>
  <c r="G126" i="8"/>
  <c r="C25" i="1"/>
  <c r="F34" i="1"/>
  <c r="F28" i="1"/>
  <c r="F29" i="1" s="1"/>
  <c r="F30" i="1" s="1"/>
  <c r="F31" i="1" s="1"/>
  <c r="F32" i="1" s="1"/>
  <c r="F35" i="1"/>
  <c r="D27" i="1"/>
  <c r="F27" i="1" s="1"/>
  <c r="B27" i="1"/>
  <c r="C29" i="1"/>
  <c r="D66" i="1"/>
  <c r="D47" i="1"/>
  <c r="J14" i="8"/>
  <c r="H12" i="9"/>
  <c r="H13" i="9" s="1"/>
  <c r="H14" i="9" s="1"/>
  <c r="H15" i="9" s="1"/>
  <c r="H16" i="9" s="1"/>
  <c r="H17" i="9" s="1"/>
  <c r="H18" i="9" s="1"/>
  <c r="H19" i="9" s="1"/>
  <c r="H20" i="9" s="1"/>
  <c r="H21" i="9" s="1"/>
  <c r="E111" i="8"/>
  <c r="D92" i="11"/>
  <c r="E36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I144" i="8" l="1"/>
  <c r="E147" i="8"/>
  <c r="H159" i="8"/>
  <c r="H142" i="8"/>
  <c r="G164" i="8"/>
  <c r="H158" i="8"/>
  <c r="I133" i="8"/>
  <c r="E136" i="8"/>
  <c r="I139" i="8"/>
  <c r="I141" i="8"/>
  <c r="I140" i="8"/>
  <c r="D176" i="8"/>
  <c r="F175" i="8"/>
  <c r="H201" i="8"/>
  <c r="G145" i="8"/>
  <c r="F174" i="8"/>
  <c r="H175" i="8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I194" i="8" s="1"/>
  <c r="I195" i="8" s="1"/>
  <c r="I196" i="8" s="1"/>
  <c r="I197" i="8" s="1"/>
  <c r="I198" i="8" s="1"/>
  <c r="I199" i="8" s="1"/>
  <c r="I138" i="8"/>
  <c r="H164" i="8"/>
  <c r="H141" i="8"/>
  <c r="G132" i="8"/>
  <c r="H133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32" i="8" l="1"/>
  <c r="I136" i="8" s="1"/>
  <c r="G121" i="8"/>
  <c r="H136" i="8"/>
  <c r="H134" i="8"/>
  <c r="H147" i="8"/>
  <c r="H146" i="8"/>
  <c r="I145" i="8"/>
  <c r="G154" i="8"/>
  <c r="D177" i="8"/>
  <c r="F176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H152" i="8" l="1"/>
  <c r="D178" i="8"/>
  <c r="F177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D179" i="8" l="1"/>
  <c r="F178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F179" i="8" l="1"/>
  <c r="D180" i="8"/>
  <c r="D147" i="9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58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46" i="5"/>
  <c r="E8" i="5" s="1"/>
  <c r="G8" i="5" s="1"/>
  <c r="E39" i="5"/>
  <c r="E7" i="5" s="1"/>
  <c r="G7" i="5" s="1"/>
  <c r="H4" i="5"/>
  <c r="H5" i="5" s="1"/>
  <c r="H6" i="5" s="1"/>
  <c r="F2" i="5"/>
  <c r="D2" i="5"/>
  <c r="B12" i="2" s="1"/>
  <c r="E54" i="4"/>
  <c r="E8" i="4" s="1"/>
  <c r="G8" i="4" s="1"/>
  <c r="E39" i="4"/>
  <c r="E7" i="4"/>
  <c r="G7" i="4" s="1"/>
  <c r="G2" i="4" s="1"/>
  <c r="F13" i="2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H7" i="5" l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E2" i="5"/>
  <c r="C12" i="2" s="1"/>
  <c r="G2" i="5"/>
  <c r="D181" i="8"/>
  <c r="F180" i="8"/>
  <c r="D148" i="9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8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8" i="8" l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D182" i="8"/>
  <c r="F181" i="8"/>
  <c r="F148" i="9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D183" i="8" l="1"/>
  <c r="F182" i="8"/>
  <c r="F24" i="1"/>
  <c r="F26" i="1" s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D184" i="8" l="1"/>
  <c r="F183" i="8"/>
  <c r="H10" i="9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D185" i="8" l="1"/>
  <c r="F184" i="8"/>
  <c r="H27" i="9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D186" i="8" l="1"/>
  <c r="F185" i="8"/>
  <c r="F152" i="9"/>
  <c r="D153" i="9"/>
  <c r="F16" i="17"/>
  <c r="G15" i="17"/>
  <c r="G16" i="17" s="1"/>
  <c r="F186" i="8" l="1"/>
  <c r="D187" i="8"/>
  <c r="D154" i="9"/>
  <c r="F153" i="9"/>
  <c r="D188" i="8" l="1"/>
  <c r="F187" i="8"/>
  <c r="F154" i="9"/>
  <c r="D155" i="9"/>
  <c r="D189" i="8" l="1"/>
  <c r="F188" i="8"/>
  <c r="D156" i="9"/>
  <c r="F155" i="9"/>
  <c r="D190" i="8" l="1"/>
  <c r="F189" i="8"/>
  <c r="F156" i="9"/>
  <c r="D157" i="9"/>
  <c r="D191" i="8" l="1"/>
  <c r="F190" i="8"/>
  <c r="D158" i="9"/>
  <c r="F157" i="9"/>
  <c r="D192" i="8" l="1"/>
  <c r="F191" i="8"/>
  <c r="F158" i="9"/>
  <c r="D159" i="9"/>
  <c r="D193" i="8" l="1"/>
  <c r="F192" i="8"/>
  <c r="F159" i="9"/>
  <c r="D160" i="9"/>
  <c r="D194" i="8" l="1"/>
  <c r="F193" i="8"/>
  <c r="F160" i="9"/>
  <c r="D161" i="9"/>
  <c r="D195" i="8" l="1"/>
  <c r="F194" i="8"/>
  <c r="D162" i="9"/>
  <c r="F161" i="9"/>
  <c r="D196" i="8" l="1"/>
  <c r="F195" i="8"/>
  <c r="F162" i="9"/>
  <c r="D163" i="9"/>
  <c r="D197" i="8" l="1"/>
  <c r="F196" i="8"/>
  <c r="D164" i="9"/>
  <c r="F163" i="9"/>
  <c r="D198" i="8" l="1"/>
  <c r="F197" i="8"/>
  <c r="F164" i="9"/>
  <c r="D165" i="9"/>
  <c r="D199" i="8" l="1"/>
  <c r="F199" i="8" s="1"/>
  <c r="F198" i="8"/>
  <c r="D166" i="9"/>
  <c r="F166" i="9" s="1"/>
  <c r="F165" i="9"/>
</calcChain>
</file>

<file path=xl/sharedStrings.xml><?xml version="1.0" encoding="utf-8"?>
<sst xmlns="http://schemas.openxmlformats.org/spreadsheetml/2006/main" count="5133" uniqueCount="1920">
  <si>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</si>
  <si>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</si>
  <si>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</si>
  <si>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</si>
  <si>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</si>
  <si>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</si>
  <si>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</si>
  <si>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</si>
  <si>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</si>
  <si>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</si>
  <si>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</si>
  <si>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</si>
  <si>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</si>
  <si>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</si>
  <si>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</si>
  <si>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</si>
  <si>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</si>
  <si>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</si>
  <si>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</si>
  <si>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</si>
  <si>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</si>
  <si>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</si>
  <si>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</si>
  <si>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</si>
  <si>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</si>
  <si>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</si>
  <si>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</si>
  <si>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</si>
  <si>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</si>
  <si>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</si>
  <si>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</si>
  <si>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</si>
  <si>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</si>
  <si>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</si>
  <si>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</si>
  <si>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</si>
  <si>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</si>
  <si>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</si>
  <si>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</si>
  <si>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</si>
  <si>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</si>
  <si>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</si>
  <si>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</si>
  <si>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</si>
  <si>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</si>
  <si>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</si>
  <si>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</si>
  <si>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</si>
  <si>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</si>
  <si>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</si>
  <si>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</si>
  <si>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</si>
  <si>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</si>
  <si>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</si>
  <si>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</si>
  <si>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</si>
  <si>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</si>
  <si>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</si>
  <si>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</si>
  <si>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</si>
  <si>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</si>
  <si>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</si>
  <si>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</si>
  <si>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</si>
  <si>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</si>
  <si>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</si>
  <si>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</si>
  <si>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</si>
  <si>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</si>
  <si>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</si>
  <si>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</si>
  <si>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</si>
  <si>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</si>
  <si>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</si>
  <si>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</si>
  <si>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</si>
  <si>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</si>
  <si>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</si>
  <si>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</si>
  <si>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</si>
  <si>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</si>
  <si>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</si>
  <si>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</si>
  <si>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</si>
  <si>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</si>
  <si>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</si>
  <si>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</si>
  <si>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</si>
  <si>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</si>
  <si>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</si>
  <si>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</si>
  <si>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</si>
  <si>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</si>
  <si>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</si>
  <si>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</si>
  <si>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</si>
  <si>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</si>
  <si>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</si>
  <si>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</si>
  <si>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</si>
  <si>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</si>
  <si>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</si>
  <si>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</si>
  <si>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</si>
  <si>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</si>
  <si>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</si>
  <si>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</si>
  <si>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</si>
  <si>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</si>
  <si>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</si>
  <si>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</si>
  <si>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</si>
  <si>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</si>
  <si>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</si>
  <si>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</si>
  <si>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</si>
  <si>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</si>
  <si>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</si>
  <si>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</si>
  <si>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</si>
  <si>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</si>
  <si>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</si>
  <si>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</si>
  <si>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</si>
  <si>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</si>
  <si>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</si>
  <si>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</si>
  <si>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</si>
  <si>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</si>
  <si>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</si>
  <si>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</si>
  <si>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</si>
  <si>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</si>
  <si>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</si>
  <si>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</si>
  <si>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</si>
  <si>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</si>
  <si>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</si>
  <si>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</si>
  <si>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</si>
  <si>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</si>
  <si>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</si>
  <si>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</si>
  <si>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</si>
  <si>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</si>
  <si>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</si>
  <si>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</si>
  <si>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</si>
  <si>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</si>
  <si>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</si>
  <si>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</si>
  <si>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</si>
  <si>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</si>
  <si>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</si>
  <si>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</si>
  <si>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</si>
  <si>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</si>
  <si>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</si>
  <si>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</si>
  <si>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</si>
  <si>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</si>
  <si>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</si>
  <si>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</si>
  <si>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</si>
  <si>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</si>
  <si>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</si>
  <si>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</si>
  <si>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</si>
  <si>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</si>
  <si>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</si>
  <si>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</si>
  <si>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</si>
  <si>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</si>
  <si>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</si>
  <si>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</si>
  <si>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</si>
  <si>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</si>
  <si>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</si>
  <si>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</si>
  <si>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</si>
  <si>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</si>
  <si>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</si>
  <si>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</si>
  <si>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</si>
  <si>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</si>
  <si>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</si>
  <si>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</si>
  <si>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</si>
  <si>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</si>
  <si>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</si>
  <si>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</si>
  <si>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</si>
  <si>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</si>
  <si>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</si>
  <si>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</si>
  <si>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</si>
  <si>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</si>
  <si>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</si>
  <si>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</si>
  <si>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</si>
  <si>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</si>
  <si>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</si>
  <si>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</si>
  <si>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</si>
  <si>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</si>
  <si>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</si>
  <si>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</si>
  <si>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</si>
  <si>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</si>
  <si>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</si>
  <si>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</si>
  <si>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</si>
  <si>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</si>
  <si>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</si>
  <si>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</si>
  <si>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</si>
  <si>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</si>
  <si>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</si>
  <si>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</si>
  <si>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</si>
  <si>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</si>
  <si>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</si>
  <si>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</si>
  <si>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</si>
  <si>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</si>
  <si>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</si>
  <si>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</si>
  <si>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</si>
  <si>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</si>
  <si>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</si>
  <si>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</si>
  <si>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</si>
  <si>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</si>
  <si>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</si>
  <si>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</si>
  <si>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</si>
  <si>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</si>
  <si>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</si>
  <si>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</si>
  <si>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</si>
  <si>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</si>
  <si>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</si>
  <si>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</si>
  <si>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</si>
  <si>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</si>
  <si>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</si>
  <si>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</si>
  <si>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</si>
  <si>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</si>
  <si>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</si>
  <si>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</si>
  <si>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</si>
  <si>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</si>
  <si>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</si>
  <si>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</si>
  <si>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</si>
  <si>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</si>
  <si>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</si>
  <si>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</si>
  <si>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</si>
  <si>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</si>
  <si>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</si>
  <si>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</si>
  <si>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</si>
  <si>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</si>
  <si>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</si>
  <si>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</si>
  <si>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</si>
  <si>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</si>
  <si>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</si>
  <si>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</si>
  <si>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</si>
  <si>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</si>
  <si>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</si>
  <si>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</si>
  <si>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</si>
  <si>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</si>
  <si>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</si>
  <si>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</si>
  <si>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</si>
  <si>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</si>
  <si>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</si>
  <si>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</si>
  <si>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</si>
  <si>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</si>
  <si>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</si>
  <si>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</si>
  <si>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</si>
  <si>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</si>
  <si>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</si>
  <si>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</si>
  <si>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</si>
  <si>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</si>
  <si>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</si>
  <si>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</si>
  <si>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</si>
  <si>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</si>
  <si>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</si>
  <si>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</si>
  <si>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</si>
  <si>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</si>
  <si>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</si>
  <si>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</si>
  <si>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</si>
  <si>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</si>
  <si>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</si>
  <si>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</si>
  <si>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</si>
  <si>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</si>
  <si>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</si>
  <si>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</si>
  <si>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</si>
  <si>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</si>
  <si>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</si>
  <si>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</si>
  <si>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</si>
  <si>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</si>
  <si>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</si>
  <si>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</si>
  <si>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</si>
  <si>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</si>
  <si>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</si>
  <si>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</si>
  <si>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</si>
  <si>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</si>
  <si>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</si>
  <si>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</si>
  <si>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</si>
  <si>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</si>
  <si>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</si>
  <si>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</si>
  <si>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</si>
  <si>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</si>
  <si>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</si>
  <si>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</si>
  <si>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</si>
  <si>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</si>
  <si>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</si>
  <si>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</si>
  <si>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</si>
  <si>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</si>
  <si>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</si>
  <si>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</si>
  <si>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</si>
  <si>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</si>
  <si>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</si>
  <si>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</si>
  <si>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</si>
  <si>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</si>
  <si>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</si>
  <si>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</si>
  <si>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</si>
  <si>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</si>
  <si>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</si>
  <si>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</si>
  <si>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</si>
  <si>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</si>
  <si>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</si>
  <si>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</si>
  <si>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</si>
  <si>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</si>
  <si>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</si>
  <si>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</si>
  <si>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</si>
  <si>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</si>
  <si>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</si>
  <si>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</si>
  <si>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</si>
  <si>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</si>
  <si>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</si>
  <si>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</si>
  <si>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</si>
  <si>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</si>
  <si>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</si>
  <si>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</si>
  <si>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</si>
  <si>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</si>
  <si>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</si>
  <si>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</si>
  <si>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</si>
  <si>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</si>
  <si>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</si>
  <si>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</si>
  <si>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</si>
  <si>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</si>
  <si>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</si>
  <si>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</si>
  <si>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</si>
  <si>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</si>
  <si>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</si>
  <si>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</si>
  <si>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</si>
  <si>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</si>
  <si>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</si>
  <si>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</si>
  <si>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</si>
  <si>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</si>
  <si>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</si>
  <si>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</si>
  <si>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</si>
  <si>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</si>
  <si>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</si>
  <si>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</si>
  <si>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</si>
  <si>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</si>
  <si>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</si>
  <si>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</si>
  <si>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</si>
  <si>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</si>
  <si>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</si>
  <si>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</si>
  <si>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</si>
  <si>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</si>
  <si>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</si>
  <si>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</si>
  <si>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</si>
  <si>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</si>
  <si>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</si>
  <si>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</si>
  <si>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</si>
  <si>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</si>
  <si>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</si>
  <si>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</si>
  <si>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</si>
  <si>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</si>
  <si>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</si>
  <si>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</si>
  <si>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</si>
  <si>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</si>
  <si>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</si>
  <si>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</si>
  <si>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</si>
  <si>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</si>
  <si>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</si>
  <si>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</si>
  <si>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</si>
  <si>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</si>
  <si>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</si>
  <si>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</si>
  <si>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</si>
  <si>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</si>
  <si>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</si>
  <si>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</si>
  <si>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</si>
  <si>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</si>
  <si>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</si>
  <si>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</si>
  <si>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</si>
  <si>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</si>
  <si>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</si>
  <si>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</si>
  <si>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</si>
  <si>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</si>
  <si>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</si>
  <si>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</si>
  <si>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</si>
  <si>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</si>
  <si>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</si>
  <si>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</si>
  <si>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</si>
  <si>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</si>
  <si>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</si>
  <si>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</si>
  <si>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</si>
  <si>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</si>
  <si>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</si>
  <si>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</si>
  <si>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</si>
  <si>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</si>
  <si>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</si>
  <si>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</si>
  <si>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</si>
  <si>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</si>
  <si>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</si>
  <si>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</si>
  <si>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</si>
  <si>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</si>
  <si>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</si>
  <si>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</si>
  <si>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</si>
  <si>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</si>
  <si>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</si>
  <si>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</si>
  <si>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</si>
  <si>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</si>
  <si>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</si>
  <si>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</si>
  <si>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</si>
  <si>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</si>
  <si>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</si>
  <si>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</si>
  <si>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</si>
  <si>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</si>
  <si>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</si>
  <si>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</si>
  <si>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</si>
  <si>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</si>
  <si>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</si>
  <si>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</si>
  <si>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</si>
  <si>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</si>
  <si>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</si>
  <si>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</si>
  <si>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</si>
  <si>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</si>
  <si>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</si>
  <si>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</si>
  <si>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</si>
  <si>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</si>
  <si>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</si>
  <si>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</si>
  <si>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</si>
  <si>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</si>
  <si>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</si>
  <si>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</si>
  <si>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</si>
  <si>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</si>
  <si>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</si>
  <si>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</si>
  <si>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</si>
  <si>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</si>
  <si>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</si>
  <si>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</si>
  <si>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</si>
  <si>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</si>
  <si>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</si>
  <si>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</si>
  <si>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</si>
  <si>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</si>
  <si>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</si>
  <si>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</si>
  <si>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</si>
  <si>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</si>
  <si>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</si>
  <si>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</si>
  <si>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</si>
  <si>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</si>
  <si>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</si>
  <si>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</si>
  <si>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</si>
  <si>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</si>
  <si>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</si>
  <si>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</si>
  <si>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</si>
  <si>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</si>
  <si>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</si>
  <si>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</si>
  <si>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</si>
  <si>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</si>
  <si>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</si>
  <si>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</si>
  <si>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</si>
  <si>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</si>
  <si>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</si>
  <si>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</si>
  <si>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</si>
  <si>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</si>
  <si>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</si>
  <si>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</si>
  <si>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</si>
  <si>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</si>
  <si>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</si>
  <si>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</si>
  <si>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</si>
  <si>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</si>
  <si>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</si>
  <si>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</si>
  <si>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</si>
  <si>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</si>
  <si>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</si>
  <si>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</si>
  <si>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</si>
  <si>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</si>
  <si>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</si>
  <si>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</si>
  <si>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</si>
  <si>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</si>
  <si>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</si>
  <si>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</si>
  <si>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</si>
  <si>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</si>
  <si>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</si>
  <si>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</si>
  <si>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</si>
  <si>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</si>
  <si>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</si>
  <si>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</si>
  <si>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</si>
  <si>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</si>
  <si>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</si>
  <si>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</si>
  <si>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</si>
  <si>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</si>
  <si>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</si>
  <si>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</si>
  <si>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</si>
  <si>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</si>
  <si>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</si>
  <si>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</si>
  <si>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</si>
  <si>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</si>
  <si>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</si>
  <si>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</si>
  <si>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</si>
  <si>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</si>
  <si>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</si>
  <si>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</si>
  <si>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</si>
  <si>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</si>
  <si>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</si>
  <si>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</si>
  <si>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</si>
  <si>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</si>
  <si>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</si>
  <si>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</si>
  <si>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</si>
  <si>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</si>
  <si>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</si>
  <si>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</si>
  <si>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</si>
  <si>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</si>
  <si>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</si>
  <si>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</si>
  <si>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</si>
  <si>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</si>
  <si>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</si>
  <si>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</si>
  <si>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</si>
  <si>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</si>
  <si>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</si>
  <si>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</si>
  <si>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</si>
  <si>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</si>
  <si>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</si>
  <si>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</si>
  <si>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</si>
  <si>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</si>
  <si>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</si>
  <si>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</si>
  <si>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</si>
  <si>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</si>
  <si>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</si>
  <si>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</si>
  <si>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</si>
  <si>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</si>
  <si>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</si>
  <si>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</si>
  <si>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</si>
  <si>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</si>
  <si>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</si>
  <si>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</si>
  <si>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</si>
  <si>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</si>
  <si>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</si>
  <si>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</si>
  <si>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</si>
  <si>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</si>
  <si>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</si>
  <si>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</si>
  <si>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</si>
  <si>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</si>
  <si>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</si>
  <si>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</si>
  <si>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</si>
  <si>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</si>
  <si>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</si>
  <si>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</si>
  <si>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</si>
  <si>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</si>
  <si>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</si>
  <si>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</si>
  <si>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</si>
  <si>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</si>
  <si>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</si>
  <si>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</si>
  <si>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</si>
  <si>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</si>
  <si>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</si>
  <si>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</si>
  <si>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</si>
  <si>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</si>
  <si>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</si>
  <si>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</si>
  <si>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</si>
  <si>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</si>
  <si>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</si>
  <si>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</si>
  <si>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</si>
  <si>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</si>
  <si>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</si>
  <si>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</si>
  <si>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</si>
  <si>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</si>
  <si>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</si>
  <si>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</si>
  <si>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</si>
  <si>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</si>
  <si>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</si>
  <si>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</si>
  <si>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</si>
  <si>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</si>
  <si>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</si>
  <si>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</si>
  <si>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</si>
  <si>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</si>
  <si>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</si>
  <si>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</si>
  <si>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</si>
  <si>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</si>
  <si>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</si>
  <si>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</si>
  <si>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</si>
  <si>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</si>
  <si>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</si>
  <si>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</si>
  <si>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</si>
  <si>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</si>
  <si>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</si>
  <si>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</si>
  <si>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</si>
  <si>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</si>
  <si>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</si>
  <si>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</si>
  <si>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</si>
  <si>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</si>
  <si>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</si>
  <si>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</si>
  <si>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</si>
  <si>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</si>
  <si>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</si>
  <si>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</si>
  <si>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</si>
  <si>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</si>
  <si>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</si>
  <si>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</si>
  <si>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</si>
  <si>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</si>
  <si>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</si>
  <si>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</si>
  <si>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</si>
  <si>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</si>
  <si>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</si>
  <si>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</si>
  <si>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</si>
  <si>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</si>
  <si>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</si>
  <si>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</si>
  <si>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</si>
  <si>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</si>
  <si>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</si>
  <si>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</si>
  <si>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</si>
  <si>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</si>
  <si>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</si>
  <si>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</si>
  <si>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</si>
  <si>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</si>
  <si>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</si>
  <si>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</si>
  <si>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</si>
  <si>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</si>
  <si>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</si>
  <si>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</si>
  <si>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</si>
  <si>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</si>
  <si>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</si>
  <si>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</si>
  <si>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</si>
  <si>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</si>
  <si>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</si>
  <si>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</si>
  <si>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</si>
  <si>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</si>
  <si>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</si>
  <si>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</si>
  <si>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</si>
  <si>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</si>
  <si>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</si>
  <si>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</si>
  <si>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</si>
  <si>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</si>
  <si>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</si>
  <si>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</si>
  <si>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</si>
  <si>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</si>
  <si>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</si>
  <si>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</si>
  <si>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</si>
  <si>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</si>
  <si>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</si>
  <si>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</si>
  <si>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</si>
  <si>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</si>
  <si>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</si>
  <si>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</si>
  <si>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</si>
  <si>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</si>
  <si>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</si>
  <si>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</si>
  <si>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</si>
  <si>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</si>
  <si>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</si>
  <si>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</si>
  <si>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</si>
  <si>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</si>
  <si>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</si>
  <si>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</si>
  <si>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</si>
  <si>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</si>
  <si>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</si>
  <si>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</si>
  <si>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</si>
  <si>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</si>
  <si>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</si>
  <si>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</si>
  <si>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</si>
  <si>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</si>
  <si>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</si>
  <si>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</si>
  <si>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</si>
  <si>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</si>
  <si>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</si>
  <si>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</si>
  <si>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</si>
  <si>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</si>
  <si>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</si>
  <si>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</si>
  <si>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</si>
  <si>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</si>
  <si>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</si>
  <si>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</si>
  <si>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</si>
  <si>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</si>
  <si>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</si>
  <si>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</si>
  <si>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</si>
  <si>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</si>
  <si>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</si>
  <si>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</si>
  <si>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</si>
  <si>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</si>
  <si>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</si>
  <si>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</si>
  <si>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</si>
  <si>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</si>
  <si>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</si>
  <si>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</si>
  <si>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</si>
  <si>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</si>
  <si>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</si>
  <si>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</si>
  <si>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</si>
  <si>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</si>
  <si>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</si>
  <si>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</si>
  <si>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</si>
  <si>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</si>
  <si>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</si>
  <si>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</si>
  <si>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</si>
  <si>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</si>
  <si>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</si>
  <si>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</si>
  <si>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</si>
  <si>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</si>
  <si>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</si>
  <si>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</si>
  <si>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</si>
  <si>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</si>
  <si>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</si>
  <si>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</si>
  <si>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</si>
  <si>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</si>
  <si>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</si>
  <si>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</si>
  <si>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</si>
  <si>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</si>
  <si>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</si>
  <si>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</si>
  <si>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</si>
  <si>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</si>
  <si>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</si>
  <si>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</si>
  <si>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</si>
  <si>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</si>
  <si>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</si>
  <si>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</si>
  <si>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</si>
  <si>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</si>
  <si>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</si>
  <si>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</si>
  <si>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</si>
  <si>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</si>
  <si>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</si>
  <si>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</si>
  <si>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</si>
  <si>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</si>
  <si>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</si>
  <si>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</si>
  <si>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</si>
  <si>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</si>
  <si>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</si>
  <si>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</si>
  <si>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</si>
  <si>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</si>
  <si>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</si>
  <si>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</si>
  <si>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</si>
  <si>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</si>
  <si>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</si>
  <si>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</si>
  <si>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</si>
  <si>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</si>
  <si>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</si>
  <si>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</si>
  <si>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</si>
  <si>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</si>
  <si>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</si>
  <si>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</si>
  <si>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</si>
  <si>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</si>
  <si>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</si>
  <si>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</si>
  <si>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</si>
  <si>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</si>
  <si>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</si>
  <si>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</si>
  <si>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</si>
  <si>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</si>
  <si>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</si>
  <si>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</si>
  <si>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</si>
  <si>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</si>
  <si>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</si>
  <si>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</si>
  <si>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</si>
  <si>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</si>
  <si>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</si>
  <si>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</si>
  <si>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</si>
  <si>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</si>
  <si>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</si>
  <si>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</si>
  <si>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</si>
  <si>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</si>
  <si>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</si>
  <si>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</si>
  <si>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</si>
  <si>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</si>
  <si>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</si>
  <si>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</si>
  <si>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</si>
  <si>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</si>
  <si>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</si>
  <si>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</si>
  <si>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</si>
  <si>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</si>
  <si>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</si>
  <si>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</si>
  <si>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</si>
  <si>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</si>
  <si>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</si>
  <si>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</si>
  <si>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</si>
  <si>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</si>
  <si>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</si>
  <si>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</si>
  <si>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</si>
  <si>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</si>
  <si>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</si>
  <si>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</si>
  <si>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</si>
  <si>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</si>
  <si>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</si>
  <si>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</si>
  <si>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</si>
  <si>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</si>
  <si>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</si>
  <si>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</si>
  <si>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</si>
  <si>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</si>
  <si>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</si>
  <si>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</si>
  <si>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</si>
  <si>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</si>
  <si>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</si>
  <si>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</si>
  <si>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</si>
  <si>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</si>
  <si>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</si>
  <si>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</si>
  <si>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</si>
  <si>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</si>
  <si>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</si>
  <si>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</si>
  <si>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</si>
  <si>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</si>
  <si>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</si>
  <si>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</si>
  <si>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</si>
  <si>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</si>
  <si>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</si>
  <si>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</si>
  <si>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</si>
  <si>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</si>
  <si>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</si>
  <si>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</si>
  <si>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</si>
  <si>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</si>
  <si>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</si>
  <si>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</si>
  <si>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</si>
  <si>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</si>
  <si>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</si>
  <si>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</si>
  <si>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</si>
  <si>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</si>
  <si>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</si>
  <si>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</si>
  <si>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</si>
  <si>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</si>
  <si>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</si>
  <si>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</si>
  <si>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</si>
  <si>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</si>
  <si>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</si>
  <si>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</si>
  <si>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</si>
  <si>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</si>
  <si>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</si>
  <si>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</si>
  <si>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</si>
  <si>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</si>
  <si>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</si>
  <si>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</si>
  <si>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</si>
  <si>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</si>
  <si>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</si>
  <si>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</si>
  <si>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</si>
  <si>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</si>
  <si>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</si>
  <si>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</si>
  <si>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</si>
  <si>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</si>
  <si>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</si>
  <si>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</si>
  <si>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</si>
  <si>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</si>
  <si>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</si>
  <si>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</si>
  <si>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</si>
  <si>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</si>
  <si>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</si>
  <si>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</si>
  <si>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</si>
  <si>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</si>
  <si>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</si>
  <si>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</si>
  <si>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</si>
  <si>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</si>
  <si>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</si>
  <si>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</si>
  <si>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</si>
  <si>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</si>
  <si>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</si>
  <si>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</si>
  <si>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</si>
  <si>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</si>
  <si>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</si>
  <si>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</si>
  <si>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</si>
  <si>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</si>
  <si>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</si>
  <si>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</si>
  <si>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</si>
  <si>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</si>
  <si>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</si>
  <si>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</si>
  <si>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</si>
  <si>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</si>
  <si>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</si>
  <si>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</si>
  <si>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</si>
  <si>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</si>
  <si>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</si>
  <si>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</si>
  <si>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</si>
  <si>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</si>
  <si>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</si>
  <si>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</si>
  <si>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</si>
  <si>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</si>
  <si>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</si>
  <si>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</si>
  <si>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</si>
  <si>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</si>
  <si>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</si>
  <si>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</si>
  <si>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</si>
  <si>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</si>
  <si>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</si>
  <si>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</si>
  <si>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</si>
  <si>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</si>
  <si>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</si>
  <si>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</si>
  <si>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</si>
  <si>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</si>
  <si>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</si>
  <si>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</si>
  <si>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</si>
  <si>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</si>
  <si>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</si>
  <si>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</si>
  <si>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</si>
  <si>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</si>
  <si>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</si>
  <si>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</si>
  <si>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</si>
  <si>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</si>
  <si>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</si>
  <si>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</si>
  <si>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</si>
  <si>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</si>
  <si>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</si>
  <si>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</si>
  <si>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</si>
  <si>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</si>
  <si>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</si>
  <si>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</si>
  <si>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</si>
  <si>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</si>
  <si>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</si>
  <si>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</si>
  <si>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</si>
  <si>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</si>
  <si>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</si>
  <si>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</si>
  <si>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</si>
  <si>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</si>
  <si>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</si>
  <si>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</si>
  <si>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</si>
  <si>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</si>
  <si>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</si>
  <si>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</si>
  <si>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</si>
  <si>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</si>
  <si>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</si>
  <si>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</si>
  <si>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</si>
  <si>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</si>
  <si>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</si>
  <si>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</si>
  <si>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</si>
  <si>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</si>
  <si>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</si>
  <si>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</si>
  <si>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</si>
  <si>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</si>
  <si>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</si>
  <si>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</si>
  <si>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</si>
  <si>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</si>
  <si>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</si>
  <si>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</si>
  <si>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</si>
  <si>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</si>
  <si>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</si>
  <si>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</si>
  <si>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</si>
  <si>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</si>
  <si>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</si>
  <si>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</si>
  <si>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</si>
  <si>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</si>
  <si>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</si>
  <si>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</si>
  <si>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</si>
  <si>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</si>
  <si>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</si>
  <si>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</si>
  <si>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</si>
  <si>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</si>
  <si>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</si>
  <si>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</si>
  <si>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</si>
  <si>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</si>
  <si>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</si>
  <si>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</si>
  <si>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</si>
  <si>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</si>
  <si>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</si>
  <si>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</si>
  <si>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</si>
  <si>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</si>
  <si>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</si>
  <si>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</si>
  <si>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</si>
  <si>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</si>
  <si>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</si>
  <si>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</si>
  <si>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</si>
  <si>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</si>
  <si>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</si>
  <si>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</si>
  <si>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</si>
  <si>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</si>
  <si>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</si>
  <si>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</si>
  <si>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</si>
  <si>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</si>
  <si>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</si>
  <si>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</si>
  <si>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</si>
  <si>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</si>
  <si>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</si>
  <si>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</si>
  <si>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</si>
  <si>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</si>
  <si>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</si>
  <si>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</si>
  <si>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</si>
  <si>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</si>
  <si>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</si>
  <si>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</si>
  <si>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</si>
  <si>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</si>
  <si>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</si>
  <si>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</si>
  <si>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</si>
  <si>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</si>
  <si>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</si>
  <si>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</si>
  <si>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</si>
  <si>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</si>
  <si>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</si>
  <si>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</si>
  <si>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</si>
  <si>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</si>
  <si>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</si>
  <si>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</si>
  <si>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</si>
  <si>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</si>
  <si>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</si>
  <si>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</si>
  <si>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</si>
  <si>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</si>
  <si>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</si>
  <si>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</si>
  <si>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</si>
  <si>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</si>
  <si>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</si>
  <si>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</si>
  <si>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</si>
  <si>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</si>
  <si>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</si>
  <si>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</si>
  <si>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</si>
  <si>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</si>
  <si>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</si>
  <si>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</si>
  <si>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</si>
  <si>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</si>
  <si>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</si>
  <si>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</si>
  <si>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</si>
  <si>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</si>
  <si>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</si>
  <si>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</si>
  <si>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</si>
  <si>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</si>
  <si>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</si>
  <si>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</si>
  <si>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</si>
  <si>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</si>
  <si>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</si>
  <si>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</si>
  <si>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</si>
  <si>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</si>
  <si>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</si>
  <si>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</si>
  <si>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</si>
  <si>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</si>
  <si>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</si>
  <si>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</si>
  <si>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</si>
  <si>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</si>
  <si>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</si>
  <si>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</si>
  <si>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</si>
  <si>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</si>
  <si>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</si>
  <si>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</si>
  <si>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</si>
  <si>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</si>
  <si>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</si>
  <si>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</si>
  <si>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</si>
  <si>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</si>
  <si>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</si>
  <si>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</si>
  <si>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</si>
  <si>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</si>
  <si>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</si>
  <si>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</si>
  <si>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</si>
  <si>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</si>
  <si>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</si>
  <si>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</si>
  <si>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</si>
  <si>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</si>
  <si>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</si>
  <si>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</si>
  <si>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</si>
  <si>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</si>
  <si>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</si>
  <si>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</si>
  <si>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</si>
  <si>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</si>
  <si>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</si>
  <si>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</si>
  <si>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</si>
  <si>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</si>
  <si>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</si>
  <si>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</si>
  <si>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</si>
  <si>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</si>
  <si>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</si>
  <si>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</si>
  <si>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</si>
  <si>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</si>
  <si>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</si>
  <si>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</si>
  <si>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</si>
  <si>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</si>
  <si>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</si>
  <si>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</si>
  <si>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</si>
  <si>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</si>
  <si>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</si>
  <si>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</si>
  <si>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</si>
  <si>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</si>
  <si>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</si>
  <si>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</si>
  <si>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</si>
  <si>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</si>
  <si>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</si>
  <si>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</si>
  <si>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</si>
  <si>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</si>
  <si>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</si>
  <si>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</si>
  <si>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</si>
  <si>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</si>
  <si>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</si>
  <si>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</si>
  <si>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</si>
  <si>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</si>
  <si>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</si>
  <si>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</si>
  <si>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</si>
  <si>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</si>
  <si>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</si>
  <si>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</si>
  <si>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</si>
  <si>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</si>
  <si>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</si>
  <si>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</si>
  <si>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</si>
  <si>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</si>
  <si>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</si>
  <si>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</si>
  <si>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</si>
  <si>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</si>
  <si>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</si>
  <si>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</si>
  <si>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</si>
  <si>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</si>
  <si>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</si>
  <si>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</si>
  <si>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</si>
  <si>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</si>
  <si>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</si>
  <si>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</si>
  <si>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</si>
  <si>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</si>
  <si>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</si>
  <si>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</si>
  <si>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</si>
  <si>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</si>
  <si>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</si>
  <si>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</si>
  <si>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</si>
  <si>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</si>
  <si>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</si>
  <si>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</si>
  <si>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</si>
  <si>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</si>
  <si>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</si>
  <si>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</si>
  <si>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</si>
  <si>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</si>
  <si>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</si>
  <si>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</si>
  <si>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</si>
  <si>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</si>
  <si>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</si>
  <si>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</si>
  <si>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</si>
  <si>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</si>
  <si>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</si>
  <si>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</si>
  <si>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</si>
  <si>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</si>
  <si>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</si>
  <si>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</si>
  <si>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</si>
  <si>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</si>
  <si>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</si>
  <si>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</si>
  <si>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</si>
  <si>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</si>
  <si>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</si>
  <si>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</si>
  <si>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</si>
  <si>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</si>
  <si>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</si>
  <si>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</si>
  <si>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</si>
  <si>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</si>
  <si>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</si>
  <si>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</si>
  <si>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</si>
  <si>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</si>
  <si>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</si>
  <si>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</si>
  <si>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</si>
  <si>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</si>
  <si>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</si>
  <si>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</si>
  <si>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</si>
  <si>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</si>
  <si>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</si>
  <si>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</si>
  <si>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</si>
  <si>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</si>
  <si>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</si>
  <si>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</si>
  <si>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</si>
  <si>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</si>
  <si>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</si>
  <si>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</si>
  <si>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</si>
  <si>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</si>
  <si>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</si>
  <si>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</si>
  <si>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</si>
  <si>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</si>
  <si>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</si>
  <si>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</si>
  <si>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</si>
  <si>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</si>
  <si>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</si>
  <si>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</si>
  <si>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</si>
  <si>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</si>
  <si>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</si>
  <si>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</si>
  <si>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</si>
  <si>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</si>
  <si>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</si>
  <si>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</si>
  <si>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</si>
  <si>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</si>
  <si>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</si>
  <si>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</si>
  <si>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</si>
  <si>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</si>
  <si>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</si>
  <si>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</si>
  <si>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</si>
  <si>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</si>
  <si>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</si>
  <si>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</si>
  <si>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</si>
  <si>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</si>
  <si>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</si>
  <si>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</si>
  <si>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</si>
  <si>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</si>
  <si>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</si>
  <si>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</si>
  <si>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</si>
  <si>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</si>
  <si>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</si>
  <si>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</si>
  <si>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</si>
  <si>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</si>
  <si>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</si>
  <si>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</si>
  <si>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</si>
  <si>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</si>
  <si>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</si>
  <si>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</si>
  <si>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</si>
  <si>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</si>
  <si>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</si>
  <si>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</si>
  <si>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</si>
  <si>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</si>
  <si>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</si>
  <si>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</si>
  <si>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</si>
  <si>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</si>
  <si>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</si>
  <si>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</si>
  <si>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</si>
  <si>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</si>
  <si>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</si>
  <si>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</si>
  <si>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</si>
  <si>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</si>
  <si>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</si>
  <si>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</si>
  <si>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</si>
  <si>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</si>
  <si>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</si>
  <si>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</si>
  <si>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</si>
  <si>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</si>
  <si>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</si>
  <si>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</si>
  <si>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</si>
  <si>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</si>
  <si>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</si>
  <si>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</si>
  <si>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</si>
  <si>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</si>
  <si>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</si>
  <si>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</si>
  <si>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</si>
  <si>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</si>
  <si>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</si>
  <si>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</si>
  <si>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</si>
  <si>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</si>
  <si>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</si>
  <si>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</si>
  <si>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</si>
  <si>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</si>
  <si>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</si>
  <si>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</si>
  <si>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</si>
  <si>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</si>
  <si>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</si>
  <si>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</si>
  <si>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</si>
  <si>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</si>
  <si>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</si>
  <si>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</si>
  <si>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</si>
  <si>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</si>
  <si>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</si>
  <si>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</si>
  <si>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</si>
  <si>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</si>
  <si>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</si>
  <si>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</si>
  <si>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</si>
  <si>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</si>
  <si>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</si>
  <si>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</si>
  <si>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</si>
  <si>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</si>
  <si>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</si>
  <si>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</si>
  <si>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</si>
  <si>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</si>
  <si>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</si>
  <si>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</si>
  <si>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</si>
  <si>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</si>
  <si>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</si>
  <si>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</si>
  <si>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</si>
  <si>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</si>
  <si>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</si>
  <si>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</si>
  <si>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</si>
  <si>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</si>
  <si>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</si>
  <si>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</si>
  <si>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</si>
  <si>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</si>
  <si>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</si>
  <si>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</si>
  <si>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</si>
  <si>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</si>
  <si>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</si>
  <si>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</si>
  <si>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</si>
  <si>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</si>
  <si>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</si>
  <si>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</si>
  <si>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</si>
  <si>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</si>
  <si>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</si>
  <si>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</si>
  <si>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</si>
  <si>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</si>
  <si>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</si>
  <si>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</si>
  <si>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</si>
  <si>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</si>
  <si>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</si>
  <si>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</si>
  <si>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</si>
  <si>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</si>
  <si>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</si>
  <si>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</si>
  <si>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</si>
  <si>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</si>
  <si>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</si>
  <si>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</si>
  <si>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</si>
  <si>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</si>
  <si>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</si>
  <si>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</si>
  <si>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</si>
  <si>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</si>
  <si>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</si>
  <si>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</si>
  <si>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</si>
  <si>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</si>
  <si>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</si>
  <si>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</si>
  <si>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</si>
  <si>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</si>
  <si>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</si>
  <si>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</si>
  <si>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</si>
  <si>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</si>
  <si>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</si>
  <si>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</si>
  <si>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</si>
  <si>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</si>
  <si>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</si>
  <si>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</si>
  <si>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</si>
  <si>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</si>
  <si>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</si>
  <si>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</si>
  <si>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</si>
  <si>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</si>
  <si>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</si>
  <si>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</si>
  <si>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</si>
  <si>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</si>
  <si>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</si>
  <si>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</si>
  <si>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</si>
  <si>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</si>
  <si>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</si>
  <si>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</si>
  <si>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</si>
  <si>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</si>
  <si>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</si>
  <si>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</si>
  <si>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</si>
  <si>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</si>
  <si>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</si>
  <si>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</si>
  <si>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</si>
  <si>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</si>
  <si>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</si>
  <si>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</si>
  <si>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</si>
  <si>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</si>
  <si>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</si>
  <si>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</si>
  <si>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</si>
  <si>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</si>
  <si>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</si>
  <si>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</si>
  <si>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</si>
  <si>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</si>
  <si>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</si>
  <si>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</si>
  <si>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</si>
  <si>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</si>
  <si>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</si>
  <si>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</si>
  <si>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</si>
  <si>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</si>
  <si>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</si>
  <si>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</si>
  <si>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</si>
  <si>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</si>
  <si>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</si>
  <si>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</si>
  <si>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</si>
  <si>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</si>
  <si>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</si>
  <si>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</si>
  <si>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</si>
  <si>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</si>
  <si>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</si>
  <si>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</si>
  <si>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</si>
  <si>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</si>
  <si>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</si>
  <si>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</si>
  <si>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</si>
  <si>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</si>
  <si>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</si>
  <si>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</si>
  <si>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</si>
  <si>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</si>
  <si>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</si>
  <si>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</si>
  <si>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</si>
  <si>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</si>
  <si>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</si>
  <si>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</si>
  <si>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</si>
  <si>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</si>
  <si>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</si>
  <si>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</si>
  <si>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</si>
  <si>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</si>
  <si>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</si>
  <si>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</si>
  <si>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</si>
  <si>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</si>
  <si>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</si>
  <si>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</si>
  <si>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</si>
  <si>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</si>
  <si>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</si>
  <si>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</si>
  <si>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</si>
  <si>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</si>
  <si>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</si>
  <si>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</si>
  <si>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</si>
  <si>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</si>
  <si>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</si>
  <si>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</si>
  <si>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</si>
  <si>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</si>
  <si>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</si>
  <si>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</si>
  <si>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</si>
  <si>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</si>
  <si>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</si>
  <si>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</si>
  <si>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</si>
  <si>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</si>
  <si>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</si>
  <si>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</si>
  <si>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</si>
  <si>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</si>
  <si>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</si>
  <si>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</si>
  <si>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</si>
  <si>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</si>
  <si>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</si>
  <si>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</si>
  <si>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</si>
  <si>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</si>
  <si>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</si>
  <si>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</si>
  <si>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</si>
  <si>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</si>
  <si>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</si>
  <si>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</si>
  <si>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</si>
  <si>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</si>
  <si>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</si>
  <si>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</si>
  <si>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</si>
  <si>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</si>
  <si>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</si>
  <si>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</si>
  <si>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</si>
  <si>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</si>
  <si>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</si>
  <si>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</si>
  <si>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</si>
  <si>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</si>
  <si>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</si>
  <si>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</si>
  <si>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</si>
  <si>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</si>
  <si>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</si>
  <si>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</si>
  <si>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</si>
  <si>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</si>
  <si>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</si>
  <si>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</si>
  <si>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</si>
  <si>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</si>
  <si>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</si>
  <si>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</si>
  <si>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</si>
  <si>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</si>
  <si>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</si>
  <si>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</si>
  <si>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</si>
  <si>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</si>
  <si>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</si>
  <si>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</si>
  <si>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</si>
  <si>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</si>
  <si>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</si>
  <si>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</si>
  <si>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</si>
  <si>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</si>
  <si>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</si>
  <si>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</si>
  <si>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</si>
  <si>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</si>
  <si>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</si>
  <si>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</si>
  <si>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</si>
  <si>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</si>
  <si>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</si>
  <si>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</si>
  <si>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</si>
  <si>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</si>
  <si>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</si>
  <si>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</si>
  <si>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</si>
  <si>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</si>
  <si>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</si>
  <si>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</si>
  <si>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</si>
  <si>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</si>
  <si>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</si>
  <si>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</si>
  <si>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</si>
  <si>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</si>
  <si>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</si>
  <si>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</si>
  <si>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</si>
  <si>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</si>
  <si>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</si>
  <si>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</si>
  <si>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</si>
  <si>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</si>
  <si>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</si>
  <si>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</si>
  <si>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</si>
  <si>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</si>
  <si>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</si>
  <si>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</si>
  <si>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</si>
  <si>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</si>
  <si>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</si>
  <si>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</si>
  <si>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</si>
  <si>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</si>
  <si>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</si>
  <si>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</si>
  <si>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</si>
  <si>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</si>
  <si>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</si>
  <si>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</si>
  <si>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</si>
  <si>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</si>
  <si>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</si>
  <si>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</si>
  <si>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</si>
  <si>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</si>
  <si>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</si>
  <si>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</si>
  <si>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</si>
  <si>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</si>
  <si>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</si>
  <si>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</si>
  <si>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</si>
  <si>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</si>
  <si>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</si>
  <si>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</si>
  <si>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</si>
  <si>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</si>
  <si>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</si>
  <si>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</si>
  <si>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</si>
  <si>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</si>
  <si>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</si>
  <si>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</si>
  <si>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</si>
  <si>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</si>
  <si>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</si>
  <si>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</si>
  <si>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</si>
  <si>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</si>
  <si>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</si>
  <si>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</si>
  <si>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</si>
  <si>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</si>
  <si>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</si>
  <si>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</si>
  <si>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</si>
  <si>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</si>
  <si>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36500/42 TLgr=58,98 -  ,58  =  ,98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</si>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</sst>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75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66" fontId="46" fillId="0" borderId="0" xfId="2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84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opLeftCell="A17" zoomScale="175" zoomScaleNormal="175" workbookViewId="0">
      <selection activeCell="L34" sqref="L3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36500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4250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8.5882352941176467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67.569999999999993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8.5882352941176467</v>
      </c>
    </row>
    <row r="26" spans="1:9">
      <c r="A26" s="1">
        <v>45853</v>
      </c>
      <c r="B26" s="8" t="s">
        <v>1589</v>
      </c>
      <c r="C26" s="8"/>
      <c r="D26" s="12"/>
      <c r="F26" s="12">
        <f>F24+D26-E26</f>
        <v>51330</v>
      </c>
      <c r="I26">
        <f>I23-I25</f>
        <v>58.981764705882348</v>
      </c>
    </row>
    <row r="27" spans="1:9" s="11" customFormat="1">
      <c r="A27" s="10"/>
      <c r="B27" s="8" t="str">
        <f>B66</f>
        <v>audi toplam bakım masraf</v>
      </c>
      <c r="C27" s="8"/>
      <c r="D27" s="12">
        <f>D66</f>
        <v>22500</v>
      </c>
      <c r="E27" s="87"/>
      <c r="F27" s="12">
        <f>F26+D27-E27</f>
        <v>73830</v>
      </c>
    </row>
    <row r="28" spans="1:9" s="11" customFormat="1">
      <c r="A28" s="529"/>
      <c r="B28" s="530"/>
      <c r="C28" s="531"/>
      <c r="D28" s="532"/>
      <c r="E28" s="532"/>
      <c r="F28" s="12">
        <f t="shared" ref="F28:F32" si="1">F27+D28-E28</f>
        <v>73830</v>
      </c>
    </row>
    <row r="29" spans="1:9" s="11" customFormat="1">
      <c r="A29" s="560">
        <v>45823</v>
      </c>
      <c r="B29" s="561" t="s">
        <v>1909</v>
      </c>
      <c r="C29" s="562">
        <f>35000/4150</f>
        <v>8.4337349397590362</v>
      </c>
      <c r="D29" s="563"/>
      <c r="E29" s="532"/>
      <c r="F29" s="12">
        <f t="shared" si="1"/>
        <v>73830</v>
      </c>
    </row>
    <row r="30" spans="1:9" s="11" customFormat="1">
      <c r="A30" s="10">
        <v>45853</v>
      </c>
      <c r="B30" s="8"/>
      <c r="C30" s="8"/>
      <c r="D30" s="12"/>
      <c r="E30" s="12"/>
      <c r="F30" s="12">
        <f t="shared" si="1"/>
        <v>73830</v>
      </c>
    </row>
    <row r="31" spans="1:9" s="11" customFormat="1">
      <c r="A31" s="529"/>
      <c r="B31" s="530"/>
      <c r="C31" s="531"/>
      <c r="D31" s="532"/>
      <c r="E31" s="532"/>
      <c r="F31" s="12">
        <f t="shared" si="1"/>
        <v>73830</v>
      </c>
    </row>
    <row r="32" spans="1:9" s="11" customFormat="1" ht="13.5" thickBot="1">
      <c r="A32" s="529"/>
      <c r="F32" s="12">
        <f t="shared" si="1"/>
        <v>73830</v>
      </c>
    </row>
    <row r="33" spans="1:6" s="11" customFormat="1" ht="13.5" thickBot="1">
      <c r="A33" s="529"/>
      <c r="B33" s="569"/>
      <c r="C33" s="531"/>
      <c r="D33" s="532"/>
      <c r="E33" s="532"/>
      <c r="F33" s="131"/>
    </row>
    <row r="34" spans="1:6" ht="13.5" thickBot="1">
      <c r="B34" s="16" t="s">
        <v>14</v>
      </c>
      <c r="E34" s="13"/>
      <c r="F34" s="519">
        <f>D34+F32-E34</f>
        <v>73830</v>
      </c>
    </row>
    <row r="35" spans="1:6">
      <c r="B35" s="501" t="s">
        <v>1889</v>
      </c>
      <c r="C35" s="531"/>
      <c r="D35" s="532"/>
      <c r="E35" s="532"/>
      <c r="F35" s="571">
        <f>D47</f>
        <v>137100</v>
      </c>
    </row>
    <row r="40" spans="1:6" ht="13.5" thickBot="1">
      <c r="A40" s="98">
        <v>45733</v>
      </c>
      <c r="B40" s="92" t="s">
        <v>1695</v>
      </c>
      <c r="C40" s="106"/>
      <c r="D40" s="459">
        <v>2500</v>
      </c>
    </row>
    <row r="41" spans="1:6">
      <c r="A41" s="457">
        <v>45740</v>
      </c>
      <c r="B41" s="407" t="s">
        <v>1708</v>
      </c>
      <c r="C41" s="407"/>
      <c r="D41" s="464">
        <v>8500</v>
      </c>
    </row>
    <row r="42" spans="1:6">
      <c r="A42" s="457">
        <v>45740</v>
      </c>
      <c r="B42" s="407" t="s">
        <v>1709</v>
      </c>
      <c r="C42" s="407"/>
      <c r="D42" s="465">
        <v>90000</v>
      </c>
    </row>
    <row r="43" spans="1:6">
      <c r="A43" s="98">
        <v>45743</v>
      </c>
      <c r="B43" s="471" t="s">
        <v>1722</v>
      </c>
      <c r="C43" s="468"/>
      <c r="D43" s="470">
        <v>1600</v>
      </c>
    </row>
    <row r="44" spans="1:6">
      <c r="A44" s="98">
        <v>45829</v>
      </c>
      <c r="B44" s="467" t="s">
        <v>1888</v>
      </c>
      <c r="C44" s="468"/>
      <c r="D44" s="469">
        <v>30000</v>
      </c>
    </row>
    <row r="45" spans="1:6">
      <c r="A45" s="98">
        <v>45761</v>
      </c>
      <c r="B45" s="494" t="s">
        <v>1752</v>
      </c>
      <c r="C45" s="495"/>
      <c r="D45" s="496">
        <v>4500</v>
      </c>
    </row>
    <row r="46" spans="1:6" s="11" customFormat="1">
      <c r="A46" s="98"/>
      <c r="B46" s="494"/>
      <c r="C46" s="495"/>
      <c r="D46" s="496"/>
      <c r="E46" s="12"/>
      <c r="F46" s="12"/>
    </row>
    <row r="47" spans="1:6" s="11" customFormat="1">
      <c r="A47" s="98"/>
      <c r="B47" s="494" t="s">
        <v>1907</v>
      </c>
      <c r="C47" s="495"/>
      <c r="D47" s="496">
        <f>SUM(D40:D46)</f>
        <v>137100</v>
      </c>
      <c r="E47" s="12"/>
      <c r="F47" s="12"/>
    </row>
    <row r="48" spans="1:6" s="11" customFormat="1">
      <c r="A48" s="98"/>
      <c r="B48" s="494" t="s">
        <v>545</v>
      </c>
      <c r="C48" s="495"/>
      <c r="D48" s="496"/>
      <c r="E48" s="12"/>
      <c r="F48" s="12"/>
    </row>
    <row r="49" spans="1:6" s="11" customFormat="1" ht="13.5" thickBot="1">
      <c r="A49" s="98"/>
      <c r="B49" s="494"/>
      <c r="C49" s="495"/>
      <c r="D49" s="496"/>
      <c r="E49" s="12"/>
      <c r="F49" s="12"/>
    </row>
    <row r="50" spans="1:6" s="11" customFormat="1">
      <c r="A50" s="98">
        <v>45728</v>
      </c>
      <c r="B50" s="92" t="s">
        <v>1693</v>
      </c>
      <c r="C50" s="106"/>
      <c r="D50" s="458">
        <v>1400</v>
      </c>
      <c r="E50" s="12"/>
      <c r="F50" s="12"/>
    </row>
    <row r="51" spans="1:6" s="11" customFormat="1">
      <c r="A51" s="98">
        <v>45728</v>
      </c>
      <c r="B51" s="92" t="s">
        <v>1694</v>
      </c>
      <c r="C51" s="106"/>
      <c r="D51" s="459">
        <v>4150</v>
      </c>
      <c r="E51" s="12"/>
      <c r="F51" s="12"/>
    </row>
    <row r="52" spans="1:6" s="11" customFormat="1">
      <c r="A52" s="457">
        <v>45728</v>
      </c>
      <c r="B52" s="407" t="s">
        <v>1710</v>
      </c>
      <c r="C52" s="407"/>
      <c r="D52" s="465">
        <v>1500</v>
      </c>
      <c r="E52" s="12"/>
      <c r="F52" s="12"/>
    </row>
    <row r="53" spans="1:6" s="11" customFormat="1">
      <c r="A53" s="98">
        <v>45739</v>
      </c>
      <c r="B53" s="92" t="s">
        <v>1697</v>
      </c>
      <c r="C53" s="106"/>
      <c r="D53" s="459">
        <v>1200</v>
      </c>
      <c r="E53" s="12"/>
      <c r="F53" s="12"/>
    </row>
    <row r="54" spans="1:6" s="11" customFormat="1">
      <c r="A54" s="98">
        <v>45733</v>
      </c>
      <c r="B54" s="92" t="s">
        <v>1696</v>
      </c>
      <c r="C54" s="106"/>
      <c r="D54" s="459">
        <v>1400</v>
      </c>
      <c r="E54" s="12"/>
      <c r="F54" s="12"/>
    </row>
    <row r="55" spans="1:6" s="11" customFormat="1">
      <c r="A55" s="98"/>
      <c r="B55" s="466" t="s">
        <v>1714</v>
      </c>
      <c r="D55" s="459">
        <v>3750</v>
      </c>
      <c r="E55" s="12"/>
      <c r="F55" s="12"/>
    </row>
    <row r="56" spans="1:6">
      <c r="A56" s="98">
        <v>45772</v>
      </c>
      <c r="B56" s="467" t="s">
        <v>1775</v>
      </c>
      <c r="C56" s="468"/>
      <c r="D56" s="469">
        <v>700</v>
      </c>
    </row>
    <row r="57" spans="1:6">
      <c r="A57" s="98">
        <v>45772</v>
      </c>
      <c r="B57" s="11" t="s">
        <v>1789</v>
      </c>
      <c r="C57" s="11"/>
      <c r="D57" s="459">
        <v>700</v>
      </c>
    </row>
    <row r="58" spans="1:6">
      <c r="A58" s="98">
        <v>45772</v>
      </c>
      <c r="B58" s="11" t="s">
        <v>1790</v>
      </c>
      <c r="C58" s="11"/>
      <c r="D58" s="459">
        <v>1200</v>
      </c>
    </row>
    <row r="59" spans="1:6">
      <c r="A59" s="98">
        <v>45829</v>
      </c>
      <c r="B59" s="11" t="s">
        <v>1890</v>
      </c>
      <c r="C59" s="11"/>
      <c r="D59" s="459">
        <v>6500</v>
      </c>
    </row>
    <row r="60" spans="1:6">
      <c r="A60" s="98">
        <v>45829</v>
      </c>
      <c r="B60" s="11" t="s">
        <v>1891</v>
      </c>
      <c r="C60" s="11"/>
      <c r="D60" s="459"/>
    </row>
    <row r="61" spans="1:6">
      <c r="A61" s="98">
        <v>45829</v>
      </c>
      <c r="B61" s="11" t="s">
        <v>1892</v>
      </c>
      <c r="C61" s="11"/>
      <c r="D61" s="459"/>
    </row>
    <row r="62" spans="1:6">
      <c r="A62" s="98">
        <v>45829</v>
      </c>
      <c r="B62" s="11" t="s">
        <v>1893</v>
      </c>
      <c r="C62" s="11"/>
      <c r="D62" s="459"/>
    </row>
    <row r="63" spans="1:6" s="11" customFormat="1">
      <c r="A63" s="98"/>
      <c r="D63" s="459"/>
      <c r="E63" s="12"/>
      <c r="F63" s="12"/>
    </row>
    <row r="64" spans="1:6" ht="13.5" thickBot="1">
      <c r="A64" s="98"/>
      <c r="B64" s="11"/>
      <c r="C64" s="11"/>
      <c r="D64" s="460"/>
    </row>
    <row r="65" spans="1:6" s="11" customFormat="1" ht="13.5" thickBot="1">
      <c r="A65" s="98"/>
      <c r="D65" s="570"/>
      <c r="E65" s="12"/>
      <c r="F65" s="12"/>
    </row>
    <row r="66" spans="1:6" ht="13.5" thickBot="1">
      <c r="A66" s="98"/>
      <c r="B66" s="462" t="s">
        <v>1908</v>
      </c>
      <c r="C66" s="463"/>
      <c r="D66" s="461">
        <f>SUM(D50:D64)</f>
        <v>22500</v>
      </c>
    </row>
    <row r="71" spans="1:6">
      <c r="B71" s="2"/>
      <c r="C71" s="2"/>
    </row>
    <row r="72" spans="1:6">
      <c r="B72" s="2"/>
      <c r="C72" s="2"/>
    </row>
    <row r="73" spans="1:6">
      <c r="B73" s="2"/>
      <c r="C73" s="2"/>
    </row>
    <row r="74" spans="1:6">
      <c r="B74" s="2"/>
      <c r="C74" s="2"/>
    </row>
    <row r="75" spans="1:6">
      <c r="B75" s="2"/>
      <c r="C75" s="2"/>
    </row>
    <row r="76" spans="1:6">
      <c r="B76" s="2"/>
      <c r="C76" s="2"/>
    </row>
    <row r="77" spans="1:6">
      <c r="B77" s="2"/>
      <c r="C77" s="2"/>
    </row>
    <row r="78" spans="1:6">
      <c r="B78" s="17"/>
      <c r="C78" s="17"/>
    </row>
    <row r="79" spans="1:6">
      <c r="B79" s="2"/>
      <c r="C79" s="2"/>
    </row>
    <row r="80" spans="1:6">
      <c r="B80" s="18"/>
      <c r="C80" s="17"/>
    </row>
    <row r="81" spans="2:3">
      <c r="B81" s="2"/>
      <c r="C81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0</v>
      </c>
      <c r="F9" s="32">
        <f>'07_25'!G2</f>
        <v>-89376.640000000014</v>
      </c>
      <c r="G9" s="33">
        <f t="shared" si="1"/>
        <v>-360400.27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'07_25'!E186/1000</f>
        <v>0.87226000000000004</v>
      </c>
    </row>
    <row r="10" spans="1:14">
      <c r="A10" t="s">
        <v>47</v>
      </c>
      <c r="B10" s="32">
        <f>'08_25'!D2</f>
        <v>15000</v>
      </c>
      <c r="C10" s="32">
        <f>'08_25'!E2</f>
        <v>-68840.960000000006</v>
      </c>
      <c r="D10" s="33">
        <f t="shared" si="0"/>
        <v>-151856.56000000006</v>
      </c>
      <c r="E10" s="32">
        <f>'08_25'!F2</f>
        <v>0</v>
      </c>
      <c r="F10" s="32">
        <f>'08_25'!G2</f>
        <v>-16423.900000000001</v>
      </c>
      <c r="G10" s="33">
        <f t="shared" si="1"/>
        <v>-376824.17000000004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'08_25'!E133/1000</f>
        <v>0</v>
      </c>
    </row>
    <row r="11" spans="1:14">
      <c r="A11" t="s">
        <v>49</v>
      </c>
      <c r="B11" s="32">
        <f>'09_25'!D2</f>
        <v>15000</v>
      </c>
      <c r="C11" s="32">
        <f>'09_25'!E2</f>
        <v>-67851.179999999993</v>
      </c>
      <c r="D11" s="33">
        <f t="shared" si="0"/>
        <v>-204707.74000000005</v>
      </c>
      <c r="E11" s="32">
        <f>'09_25'!F2</f>
        <v>0</v>
      </c>
      <c r="F11" s="32">
        <f>'09_25'!G2</f>
        <v>-15434.119999999999</v>
      </c>
      <c r="G11" s="33">
        <f t="shared" si="1"/>
        <v>-392258.29000000004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-53058.31</v>
      </c>
      <c r="D12" s="33">
        <f t="shared" si="0"/>
        <v>-242766.05000000005</v>
      </c>
      <c r="E12" s="32">
        <f>'10_25'!F2</f>
        <v>0</v>
      </c>
      <c r="F12" s="32">
        <f>'10_25'!G2</f>
        <v>-641.25</v>
      </c>
      <c r="G12" s="33">
        <f t="shared" si="1"/>
        <v>-392899.54000000004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'10_25'!E128/1000</f>
        <v>0</v>
      </c>
    </row>
    <row r="13" spans="1:14">
      <c r="A13" t="s">
        <v>53</v>
      </c>
      <c r="B13" s="32">
        <f>'11_25'!D2</f>
        <v>15000</v>
      </c>
      <c r="C13" s="32">
        <f>'11_25'!E2</f>
        <v>-53058.31</v>
      </c>
      <c r="D13" s="33">
        <f t="shared" si="0"/>
        <v>-280824.36000000004</v>
      </c>
      <c r="E13" s="32">
        <f>'11_25'!F2</f>
        <v>0</v>
      </c>
      <c r="F13" s="32">
        <f>'11_25'!G2</f>
        <v>-641.25</v>
      </c>
      <c r="G13" s="33">
        <f t="shared" si="1"/>
        <v>-393540.79000000004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-52823.729999999996</v>
      </c>
      <c r="D14" s="33">
        <f t="shared" si="0"/>
        <v>-318648.09000000003</v>
      </c>
      <c r="E14" s="32">
        <f>'12_25'!F2</f>
        <v>0</v>
      </c>
      <c r="F14" s="32">
        <f>'12_25'!G2</f>
        <v>-406.67</v>
      </c>
      <c r="G14" s="33">
        <f t="shared" si="1"/>
        <v>-393947.46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-927312.09000000008</v>
      </c>
      <c r="D15" s="33">
        <f>B15+C15</f>
        <v>-318648.09000000008</v>
      </c>
      <c r="E15" s="33">
        <f>SUM(E3:E14)</f>
        <v>432268.59</v>
      </c>
      <c r="F15" s="33">
        <f>SUM(F3:F14)</f>
        <v>-826216.05000000016</v>
      </c>
      <c r="G15" s="33">
        <f>E15+F15</f>
        <v>-393947.46000000014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-77276.007500000007</v>
      </c>
      <c r="D16" s="55"/>
      <c r="E16" s="55">
        <f>E15/A16</f>
        <v>36022.3825</v>
      </c>
      <c r="F16" s="55">
        <f>F15/A16</f>
        <v>-68851.337500000009</v>
      </c>
      <c r="G16" s="55">
        <f>G15/A16</f>
        <v>-32828.955000000009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976.10596800000008</v>
      </c>
      <c r="M17" s="573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'07_25'!F31+'08_25'!F25+'09_25'!F19+'10_25'!F29+'11_25'!F34+'12_25'!F22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D42" sqref="D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-52823.729999999996</v>
      </c>
      <c r="F2" s="77">
        <f>SUM(F4:F33)</f>
        <v>0</v>
      </c>
      <c r="G2" s="77">
        <f>SUM(G4:G33)</f>
        <v>-406.67</v>
      </c>
      <c r="H2" s="77">
        <f>F2+G2</f>
        <v>-406.67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-406.67</v>
      </c>
      <c r="F7" s="87"/>
      <c r="G7" s="87">
        <f>E7</f>
        <v>-406.67</v>
      </c>
      <c r="H7" s="77">
        <f t="shared" si="0"/>
        <v>-406.67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-406.67</v>
      </c>
    </row>
    <row r="9" spans="1:10">
      <c r="G9" s="87"/>
      <c r="H9" s="77">
        <f t="shared" si="0"/>
        <v>-406.67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-406.67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-406.67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-406.67</v>
      </c>
    </row>
    <row r="13" spans="1:10">
      <c r="A13" s="88"/>
      <c r="B13" s="92"/>
      <c r="C13" s="92"/>
      <c r="D13" s="90"/>
      <c r="E13" s="90"/>
      <c r="H13" s="77">
        <f t="shared" si="0"/>
        <v>-406.67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-406.67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-406.67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-406.67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-406.67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-406.67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-406.67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-406.67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-406.67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-406.67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-406.67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-406.67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-406.67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-406.67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-406.67</v>
      </c>
    </row>
    <row r="28" spans="1:13" s="78" customFormat="1">
      <c r="D28" s="77"/>
      <c r="E28" s="77"/>
      <c r="F28" s="77"/>
      <c r="G28" s="77"/>
      <c r="H28" s="77">
        <f t="shared" si="0"/>
        <v>-406.67</v>
      </c>
    </row>
    <row r="29" spans="1:13">
      <c r="A29" s="100"/>
      <c r="B29" s="101" t="s">
        <v>82</v>
      </c>
      <c r="C29" s="101"/>
      <c r="H29" s="77">
        <f t="shared" si="0"/>
        <v>-406.67</v>
      </c>
      <c r="I29" s="78"/>
      <c r="J29" s="78"/>
    </row>
    <row r="30" spans="1:13">
      <c r="A30" s="100"/>
      <c r="H30" s="77">
        <f t="shared" si="0"/>
        <v>-406.67</v>
      </c>
    </row>
    <row r="31" spans="1:13">
      <c r="H31" s="77">
        <f t="shared" si="0"/>
        <v>-406.67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-406.67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1919</v>
      </c>
      <c r="E41" s="90">
        <v>-406.67</v>
      </c>
      <c r="F41" s="90">
        <v>0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zoomScale="145" zoomScaleNormal="145" workbookViewId="0">
      <selection activeCell="A41" sqref="A41:F4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90" customFormat="1">
      <c r="A41" s="88">
        <v>45817</v>
      </c>
      <c r="B41" s="90" t="s">
        <v>1872</v>
      </c>
      <c r="D41" s="90" t="s">
        <v>1918</v>
      </c>
      <c r="E41" s="90">
        <v>-406.67</v>
      </c>
      <c r="F41" s="90">
        <v>0</v>
      </c>
      <c r="I41" s="11"/>
      <c r="J41" s="11"/>
      <c r="K41" s="78"/>
      <c r="L41" s="78"/>
      <c r="M41" s="78"/>
      <c r="N41" s="78"/>
    </row>
    <row r="42" spans="1:14" s="90" customFormat="1">
      <c r="A42" s="100">
        <v>45790</v>
      </c>
      <c r="B42" s="107" t="s">
        <v>338</v>
      </c>
      <c r="C42" s="90">
        <v>1407.46</v>
      </c>
      <c r="D42" s="90" t="s">
        <v>477</v>
      </c>
      <c r="E42" s="90">
        <v>-234.58</v>
      </c>
      <c r="F42" s="90">
        <v>0</v>
      </c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69"/>
  <sheetViews>
    <sheetView zoomScale="145" zoomScaleNormal="145" workbookViewId="0">
      <selection activeCell="A41" sqref="A41:XFD4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-53058.31</v>
      </c>
      <c r="F2" s="77">
        <f>SUM(F4:F33)</f>
        <v>0</v>
      </c>
      <c r="G2" s="77">
        <f>SUM(G4:G33)</f>
        <v>-641.25</v>
      </c>
      <c r="H2" s="77">
        <f>F2+G2</f>
        <v>-641.25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-641.25</v>
      </c>
      <c r="F7" s="87"/>
      <c r="G7" s="87">
        <f>E7</f>
        <v>-641.25</v>
      </c>
      <c r="H7" s="77">
        <f t="shared" si="0"/>
        <v>-641.25</v>
      </c>
    </row>
    <row r="8" spans="1:10">
      <c r="A8" s="80"/>
      <c r="B8" s="81" t="s">
        <v>69</v>
      </c>
      <c r="C8" s="85"/>
      <c r="D8" s="86"/>
      <c r="E8" s="86">
        <f>E46</f>
        <v>0</v>
      </c>
      <c r="F8" s="87"/>
      <c r="G8" s="87">
        <f>E8</f>
        <v>0</v>
      </c>
      <c r="H8" s="77">
        <f t="shared" si="0"/>
        <v>-641.25</v>
      </c>
    </row>
    <row r="9" spans="1:10">
      <c r="G9" s="87"/>
      <c r="H9" s="77">
        <f t="shared" si="0"/>
        <v>-641.25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-641.25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-641.25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-641.25</v>
      </c>
    </row>
    <row r="13" spans="1:10">
      <c r="A13" s="88"/>
      <c r="B13" s="92"/>
      <c r="C13" s="92"/>
      <c r="D13" s="90"/>
      <c r="E13" s="90"/>
      <c r="H13" s="77">
        <f t="shared" si="0"/>
        <v>-641.25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-641.25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-641.25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-641.25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-641.25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-641.25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-641.25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-641.25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-641.25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-641.25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-641.25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-641.25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-641.25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-641.25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-641.25</v>
      </c>
    </row>
    <row r="28" spans="1:13" s="78" customFormat="1">
      <c r="D28" s="77"/>
      <c r="E28" s="77"/>
      <c r="F28" s="77"/>
      <c r="G28" s="77"/>
      <c r="H28" s="77">
        <f t="shared" si="0"/>
        <v>-641.25</v>
      </c>
    </row>
    <row r="29" spans="1:13">
      <c r="A29" s="100"/>
      <c r="B29" s="101" t="s">
        <v>82</v>
      </c>
      <c r="C29" s="101"/>
      <c r="H29" s="77">
        <f t="shared" si="0"/>
        <v>-641.25</v>
      </c>
      <c r="I29" s="78"/>
      <c r="J29" s="78"/>
    </row>
    <row r="30" spans="1:13">
      <c r="A30" s="100"/>
      <c r="H30" s="77">
        <f t="shared" si="0"/>
        <v>-641.25</v>
      </c>
    </row>
    <row r="31" spans="1:13">
      <c r="H31" s="77">
        <f t="shared" si="0"/>
        <v>-641.25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SUM(E40:E43)</f>
        <v>-641.25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45817</v>
      </c>
      <c r="B41" s="90" t="s">
        <v>1872</v>
      </c>
      <c r="C41" s="90"/>
      <c r="D41" s="90" t="s">
        <v>1917</v>
      </c>
      <c r="E41" s="90">
        <v>-406.67</v>
      </c>
      <c r="F41" s="90">
        <v>0</v>
      </c>
      <c r="G41" s="90"/>
      <c r="H41" s="90"/>
      <c r="I41"/>
      <c r="J41"/>
      <c r="K41" s="78"/>
      <c r="L41" s="78"/>
      <c r="M41" s="78"/>
      <c r="N41" s="78"/>
    </row>
    <row r="42" spans="1:14" s="77" customFormat="1">
      <c r="A42" s="100">
        <v>45790</v>
      </c>
      <c r="B42" s="107" t="s">
        <v>338</v>
      </c>
      <c r="C42" s="90">
        <v>1407.46</v>
      </c>
      <c r="D42" s="90" t="s">
        <v>523</v>
      </c>
      <c r="E42" s="90">
        <v>-234.58</v>
      </c>
      <c r="F42" s="90">
        <v>0</v>
      </c>
      <c r="G42" s="90"/>
      <c r="H42" s="90"/>
      <c r="K42" s="78"/>
      <c r="L42" s="78"/>
      <c r="M42" s="78"/>
      <c r="N42" s="78"/>
    </row>
    <row r="43" spans="1:14" s="77" customFormat="1">
      <c r="A43" s="100"/>
      <c r="B43" s="107"/>
      <c r="C43" s="106"/>
      <c r="K43" s="78"/>
      <c r="L43" s="78"/>
      <c r="M43" s="78"/>
      <c r="N43" s="78"/>
    </row>
    <row r="44" spans="1:14" s="77" customFormat="1">
      <c r="A44" s="100"/>
      <c r="B44" s="3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3"/>
      <c r="B46" s="104" t="s">
        <v>85</v>
      </c>
      <c r="C46" s="103"/>
      <c r="E46" s="77">
        <f>SUM(E47:E65)</f>
        <v>0</v>
      </c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3"/>
      <c r="C49" s="106"/>
      <c r="K49" s="78"/>
      <c r="L49" s="78"/>
      <c r="M49" s="78"/>
      <c r="N49" s="78"/>
    </row>
    <row r="50" spans="1:14" s="77" customFormat="1">
      <c r="A50" s="100"/>
      <c r="B50" s="3"/>
      <c r="C50" s="106"/>
      <c r="K50" s="78"/>
      <c r="L50" s="78"/>
      <c r="M50" s="78"/>
      <c r="N50" s="78"/>
    </row>
    <row r="51" spans="1:14" s="77" customFormat="1">
      <c r="A51" s="100"/>
      <c r="B51" s="3"/>
      <c r="C51" s="106"/>
      <c r="K51" s="78"/>
      <c r="L51" s="78"/>
      <c r="M51" s="78"/>
      <c r="N51" s="78"/>
    </row>
    <row r="52" spans="1:14" s="77" customFormat="1">
      <c r="A52" s="100"/>
      <c r="B52" s="3"/>
      <c r="C52" s="106"/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 ht="15">
      <c r="A60" s="100"/>
      <c r="B60" s="3"/>
      <c r="C60" s="106"/>
      <c r="E60" s="105" t="s">
        <v>84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zoomScale="145" zoomScaleNormal="145" workbookViewId="0">
      <selection activeCell="A41" sqref="A41:H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-67851.179999999993</v>
      </c>
      <c r="F2" s="77">
        <f>SUM(F4:F34)</f>
        <v>0</v>
      </c>
      <c r="G2" s="77">
        <f>SUM(G4:G33)</f>
        <v>-15434.119999999999</v>
      </c>
      <c r="H2" s="77">
        <f>F2+G2</f>
        <v>-15434.119999999999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-14809.119999999999</v>
      </c>
      <c r="F7" s="87"/>
      <c r="G7" s="87">
        <f>E7</f>
        <v>-14809.119999999999</v>
      </c>
      <c r="H7" s="77">
        <f t="shared" si="0"/>
        <v>-14809.119999999999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-15434.119999999999</v>
      </c>
    </row>
    <row r="9" spans="1:10">
      <c r="G9" s="87"/>
      <c r="H9" s="77">
        <f t="shared" si="0"/>
        <v>-15434.119999999999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-15434.119999999999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-15434.119999999999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-15434.119999999999</v>
      </c>
    </row>
    <row r="13" spans="1:10">
      <c r="A13" s="88"/>
      <c r="B13" s="92"/>
      <c r="C13" s="92"/>
      <c r="D13" s="90"/>
      <c r="E13" s="90"/>
      <c r="H13" s="77">
        <f t="shared" si="0"/>
        <v>-15434.119999999999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-15434.119999999999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-15434.119999999999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-15434.119999999999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-15434.119999999999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-15434.119999999999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-15434.119999999999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-15434.119999999999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-15434.119999999999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-15434.119999999999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-15434.119999999999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-15434.119999999999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-15434.119999999999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-15434.119999999999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-15434.119999999999</v>
      </c>
    </row>
    <row r="28" spans="1:13" s="78" customFormat="1">
      <c r="D28" s="77"/>
      <c r="E28" s="77"/>
      <c r="F28" s="77"/>
      <c r="G28" s="77"/>
      <c r="H28" s="77">
        <f t="shared" si="0"/>
        <v>-15434.119999999999</v>
      </c>
    </row>
    <row r="29" spans="1:13">
      <c r="A29" s="100"/>
      <c r="B29" s="101" t="s">
        <v>88</v>
      </c>
      <c r="C29" s="101"/>
      <c r="H29" s="77">
        <f t="shared" si="0"/>
        <v>-15434.119999999999</v>
      </c>
      <c r="I29" s="78"/>
      <c r="J29" s="78"/>
    </row>
    <row r="30" spans="1:13">
      <c r="A30" s="100"/>
      <c r="H30" s="77">
        <f t="shared" si="0"/>
        <v>-15434.119999999999</v>
      </c>
    </row>
    <row r="31" spans="1:13">
      <c r="H31" s="77">
        <f t="shared" si="0"/>
        <v>-15434.119999999999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-14809.119999999999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>
        <v>45811</v>
      </c>
      <c r="B41" s="90" t="s">
        <v>1844</v>
      </c>
      <c r="C41" s="90">
        <v>5250</v>
      </c>
      <c r="D41" s="90" t="s">
        <v>1915</v>
      </c>
      <c r="E41" s="90">
        <v>-1750</v>
      </c>
      <c r="F41" s="90">
        <v>0</v>
      </c>
      <c r="K41" s="78"/>
      <c r="L41" s="78"/>
      <c r="M41" s="78"/>
      <c r="N41" s="78"/>
    </row>
    <row r="42" spans="1:14" s="77" customFormat="1">
      <c r="A42" s="88">
        <v>45811</v>
      </c>
      <c r="B42" s="90" t="s">
        <v>1844</v>
      </c>
      <c r="C42" s="90">
        <v>5250</v>
      </c>
      <c r="D42" s="90" t="s">
        <v>1915</v>
      </c>
      <c r="E42" s="90">
        <v>-1750</v>
      </c>
      <c r="F42" s="90">
        <v>0</v>
      </c>
      <c r="K42" s="78"/>
      <c r="L42" s="78"/>
      <c r="M42" s="78"/>
      <c r="N42" s="78"/>
    </row>
    <row r="43" spans="1:14" s="77" customFormat="1">
      <c r="A43" s="88">
        <v>45811</v>
      </c>
      <c r="B43" s="90" t="s">
        <v>443</v>
      </c>
      <c r="C43" s="90">
        <v>5250</v>
      </c>
      <c r="D43" s="90" t="s">
        <v>1915</v>
      </c>
      <c r="E43" s="90">
        <v>-1750</v>
      </c>
      <c r="F43" s="90">
        <v>0</v>
      </c>
      <c r="K43" s="78"/>
      <c r="L43" s="78"/>
      <c r="M43" s="78"/>
      <c r="N43" s="78"/>
    </row>
    <row r="44" spans="1:14">
      <c r="A44" s="88">
        <v>45811</v>
      </c>
      <c r="B44" s="90" t="s">
        <v>1842</v>
      </c>
      <c r="C44" s="90">
        <v>14500</v>
      </c>
      <c r="D44" s="90" t="s">
        <v>1915</v>
      </c>
      <c r="E44" s="90">
        <v>-4833.33</v>
      </c>
      <c r="F44" s="90">
        <v>0</v>
      </c>
      <c r="I44" s="77"/>
      <c r="J44" s="77"/>
    </row>
    <row r="45" spans="1:14" s="77" customFormat="1">
      <c r="A45" s="88">
        <v>45817</v>
      </c>
      <c r="B45" s="90" t="s">
        <v>1872</v>
      </c>
      <c r="C45" s="90"/>
      <c r="D45" s="90" t="s">
        <v>1916</v>
      </c>
      <c r="E45" s="90">
        <v>-406.67</v>
      </c>
      <c r="F45" s="90">
        <v>0</v>
      </c>
      <c r="I45"/>
      <c r="J45"/>
      <c r="K45" s="78"/>
      <c r="L45" s="78"/>
      <c r="M45" s="78"/>
      <c r="N45" s="78"/>
    </row>
    <row r="46" spans="1:14" s="77" customFormat="1">
      <c r="A46" s="100">
        <v>45790</v>
      </c>
      <c r="B46" s="107" t="s">
        <v>338</v>
      </c>
      <c r="C46" s="90">
        <v>1407.46</v>
      </c>
      <c r="D46" s="90" t="s">
        <v>567</v>
      </c>
      <c r="E46" s="90">
        <v>-234.58</v>
      </c>
      <c r="F46" s="90">
        <v>0</v>
      </c>
      <c r="K46" s="78"/>
      <c r="L46" s="78"/>
      <c r="M46" s="78"/>
      <c r="N46" s="78"/>
    </row>
    <row r="47" spans="1:14" s="77" customFormat="1">
      <c r="A47" s="100">
        <v>45828</v>
      </c>
      <c r="B47" s="107" t="s">
        <v>1902</v>
      </c>
      <c r="C47" s="90">
        <v>6500</v>
      </c>
      <c r="D47" s="90" t="s">
        <v>1915</v>
      </c>
      <c r="E47" s="90">
        <v>-2166.67</v>
      </c>
      <c r="F47" s="90"/>
      <c r="K47" s="78"/>
      <c r="L47" s="78"/>
      <c r="M47" s="78"/>
      <c r="N47" s="78"/>
    </row>
    <row r="48" spans="1:14" s="77" customFormat="1">
      <c r="A48" s="100">
        <v>45805</v>
      </c>
      <c r="B48" s="107" t="s">
        <v>126</v>
      </c>
      <c r="C48" s="204">
        <v>1380</v>
      </c>
      <c r="D48" s="90" t="s">
        <v>1915</v>
      </c>
      <c r="E48" s="90">
        <v>-460</v>
      </c>
      <c r="F48" s="90">
        <v>0</v>
      </c>
      <c r="K48" s="78"/>
      <c r="L48" s="78"/>
      <c r="M48" s="78"/>
      <c r="N48" s="78"/>
    </row>
    <row r="49" spans="1:14" s="77" customFormat="1">
      <c r="A49" s="100">
        <v>45805</v>
      </c>
      <c r="B49" s="107" t="s">
        <v>126</v>
      </c>
      <c r="C49" s="204">
        <v>4373.6000000000004</v>
      </c>
      <c r="D49" s="90" t="s">
        <v>1915</v>
      </c>
      <c r="E49" s="90">
        <v>-1457.87</v>
      </c>
      <c r="F49" s="90">
        <v>0</v>
      </c>
      <c r="K49" s="78"/>
      <c r="L49" s="78"/>
      <c r="M49" s="78"/>
      <c r="N49" s="78"/>
    </row>
    <row r="50" spans="1:14" s="77" customFormat="1">
      <c r="A50" s="11"/>
      <c r="B50" s="90" t="s">
        <v>1837</v>
      </c>
      <c r="C50" s="90">
        <v>0</v>
      </c>
      <c r="D50" s="90"/>
      <c r="E50" s="90"/>
      <c r="F50" s="90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9"/>
  <sheetViews>
    <sheetView tabSelected="1" zoomScale="145" zoomScaleNormal="145" workbookViewId="0">
      <selection activeCell="A38" sqref="A38:F4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-68840.960000000006</v>
      </c>
      <c r="F2" s="77">
        <f>SUM(F4:F32)</f>
        <v>0</v>
      </c>
      <c r="G2" s="77">
        <f>SUM(G4:G32)</f>
        <v>-16423.900000000001</v>
      </c>
      <c r="H2" s="77">
        <f>F2+G2</f>
        <v>-16423.900000000001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-15798.900000000001</v>
      </c>
      <c r="F7" s="87"/>
      <c r="G7" s="87">
        <f>E7</f>
        <v>-15798.900000000001</v>
      </c>
      <c r="H7" s="77">
        <f t="shared" si="0"/>
        <v>-15798.900000000001</v>
      </c>
    </row>
    <row r="8" spans="1:10">
      <c r="A8" s="80"/>
      <c r="B8" s="81" t="s">
        <v>69</v>
      </c>
      <c r="C8" s="85"/>
      <c r="D8" s="86"/>
      <c r="E8" s="86">
        <f>E58</f>
        <v>-625</v>
      </c>
      <c r="F8" s="87"/>
      <c r="G8" s="87">
        <f>E8</f>
        <v>-625</v>
      </c>
      <c r="H8" s="77">
        <f t="shared" si="0"/>
        <v>-16423.900000000001</v>
      </c>
    </row>
    <row r="9" spans="1:10">
      <c r="G9" s="87"/>
      <c r="H9" s="77">
        <f t="shared" si="0"/>
        <v>-16423.900000000001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-16423.900000000001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-16423.900000000001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-16423.900000000001</v>
      </c>
    </row>
    <row r="13" spans="1:10">
      <c r="A13" s="88"/>
      <c r="B13" s="92"/>
      <c r="C13" s="92"/>
      <c r="D13" s="90"/>
      <c r="E13" s="90"/>
      <c r="H13" s="77">
        <f t="shared" si="0"/>
        <v>-16423.900000000001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-16423.900000000001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-16423.900000000001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-16423.900000000001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-16423.900000000001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-16423.900000000001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-16423.900000000001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-16423.900000000001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-16423.900000000001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-16423.900000000001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-16423.900000000001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-16423.900000000001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-16423.900000000001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-16423.900000000001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-16423.900000000001</v>
      </c>
    </row>
    <row r="28" spans="1:13" s="78" customFormat="1">
      <c r="D28" s="77"/>
      <c r="E28" s="77"/>
      <c r="F28" s="77"/>
      <c r="G28" s="77"/>
      <c r="H28" s="77">
        <f t="shared" si="0"/>
        <v>-16423.900000000001</v>
      </c>
    </row>
    <row r="29" spans="1:13">
      <c r="A29" s="100"/>
      <c r="B29" s="101" t="s">
        <v>90</v>
      </c>
      <c r="C29" s="101"/>
      <c r="H29" s="77">
        <f t="shared" si="0"/>
        <v>-16423.900000000001</v>
      </c>
      <c r="I29" s="78"/>
      <c r="J29" s="78"/>
    </row>
    <row r="30" spans="1:13">
      <c r="A30" s="100"/>
      <c r="H30" s="77">
        <f t="shared" si="0"/>
        <v>-16423.900000000001</v>
      </c>
    </row>
    <row r="31" spans="1:13">
      <c r="H31" s="77">
        <f t="shared" si="0"/>
        <v>-16423.900000000001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SUM(E36:E55)</f>
        <v>-15798.900000000001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>
        <v>45811</v>
      </c>
      <c r="B38" s="90" t="s">
        <v>1844</v>
      </c>
      <c r="C38" s="90">
        <v>5250</v>
      </c>
      <c r="D38" s="90" t="s">
        <v>1913</v>
      </c>
      <c r="E38" s="90">
        <v>-1750</v>
      </c>
      <c r="F38" s="90">
        <v>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1913</v>
      </c>
      <c r="E39" s="90">
        <v>-1750</v>
      </c>
      <c r="F39" s="90">
        <v>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1913</v>
      </c>
      <c r="E40" s="90">
        <v>-1750</v>
      </c>
      <c r="F40" s="90">
        <v>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1842</v>
      </c>
      <c r="C41" s="90">
        <v>14500</v>
      </c>
      <c r="D41" s="90" t="s">
        <v>1913</v>
      </c>
      <c r="E41" s="90">
        <v>-4833.33</v>
      </c>
      <c r="F41" s="90">
        <v>0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1872</v>
      </c>
      <c r="D42" s="90" t="s">
        <v>1914</v>
      </c>
      <c r="E42" s="90">
        <v>-406.67</v>
      </c>
      <c r="F42" s="90">
        <v>0</v>
      </c>
      <c r="K42" s="78"/>
      <c r="L42" s="78"/>
      <c r="M42" s="78"/>
      <c r="N42" s="78"/>
    </row>
    <row r="43" spans="1:14" s="90" customFormat="1">
      <c r="A43" s="100">
        <v>45790</v>
      </c>
      <c r="B43" s="107" t="s">
        <v>338</v>
      </c>
      <c r="C43" s="90">
        <v>1407.46</v>
      </c>
      <c r="D43" s="90" t="s">
        <v>615</v>
      </c>
      <c r="E43" s="90">
        <v>-234.58</v>
      </c>
      <c r="F43" s="90">
        <v>0</v>
      </c>
      <c r="K43" s="78"/>
      <c r="L43" s="78"/>
      <c r="M43" s="78"/>
      <c r="N43" s="78"/>
    </row>
    <row r="44" spans="1:14" s="90" customFormat="1">
      <c r="A44" s="100">
        <v>45828</v>
      </c>
      <c r="B44" s="107" t="s">
        <v>1902</v>
      </c>
      <c r="C44" s="90">
        <v>6500</v>
      </c>
      <c r="D44" s="90" t="s">
        <v>1913</v>
      </c>
      <c r="E44" s="90">
        <v>-2166.67</v>
      </c>
      <c r="K44" s="78"/>
      <c r="L44" s="78"/>
      <c r="M44" s="78"/>
      <c r="N44" s="78"/>
    </row>
    <row r="45" spans="1:14" s="90" customFormat="1">
      <c r="A45" s="100">
        <v>45805</v>
      </c>
      <c r="B45" s="107" t="s">
        <v>126</v>
      </c>
      <c r="C45" s="204">
        <v>1380</v>
      </c>
      <c r="D45" s="90" t="s">
        <v>1913</v>
      </c>
      <c r="E45" s="90">
        <v>-460</v>
      </c>
      <c r="F45" s="90">
        <v>0</v>
      </c>
      <c r="K45" s="78"/>
      <c r="L45" s="78"/>
      <c r="M45" s="78"/>
      <c r="N45" s="78"/>
    </row>
    <row r="46" spans="1:14" s="90" customFormat="1">
      <c r="A46" s="100">
        <v>45805</v>
      </c>
      <c r="B46" s="107" t="s">
        <v>126</v>
      </c>
      <c r="C46" s="204">
        <v>4373.6000000000004</v>
      </c>
      <c r="D46" s="90" t="s">
        <v>1913</v>
      </c>
      <c r="E46" s="90">
        <v>-1457.87</v>
      </c>
      <c r="F46" s="90">
        <v>0</v>
      </c>
      <c r="K46" s="78"/>
      <c r="L46" s="78"/>
      <c r="M46" s="78"/>
      <c r="N46" s="78"/>
    </row>
    <row r="47" spans="1:14" s="90" customFormat="1">
      <c r="A47" s="11"/>
      <c r="B47" s="90" t="s">
        <v>1837</v>
      </c>
      <c r="C47" s="90">
        <v>0</v>
      </c>
      <c r="K47" s="78"/>
      <c r="L47" s="78"/>
      <c r="M47" s="78"/>
      <c r="N47" s="78"/>
    </row>
    <row r="48" spans="1:14">
      <c r="A48" s="88"/>
      <c r="B48" s="77"/>
      <c r="C48" s="77"/>
      <c r="I48" s="77"/>
      <c r="J48" s="77"/>
    </row>
    <row r="49" spans="1:14" s="77" customFormat="1">
      <c r="A49"/>
      <c r="B49"/>
      <c r="C49"/>
      <c r="I49"/>
      <c r="J49"/>
      <c r="K49" s="78"/>
      <c r="L49" s="78"/>
      <c r="M49" s="78"/>
      <c r="N49" s="78"/>
    </row>
    <row r="50" spans="1:14" s="77" customFormat="1">
      <c r="A50" s="100"/>
      <c r="B50" s="106"/>
      <c r="C50" s="106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7"/>
      <c r="C52" s="106"/>
      <c r="K52" s="78"/>
      <c r="L52" s="78"/>
      <c r="M52" s="78"/>
      <c r="N52" s="78"/>
    </row>
    <row r="53" spans="1:14" s="77" customFormat="1">
      <c r="A53" s="100"/>
      <c r="B53" s="107"/>
      <c r="C53" s="106"/>
      <c r="K53" s="78"/>
      <c r="L53" s="78"/>
      <c r="M53" s="78"/>
      <c r="N53" s="78"/>
    </row>
    <row r="54" spans="1:14" s="77" customFormat="1">
      <c r="A54" s="100"/>
      <c r="B54" s="107"/>
      <c r="K54" s="78"/>
      <c r="L54" s="78"/>
      <c r="M54" s="78"/>
      <c r="N54" s="78"/>
    </row>
    <row r="55" spans="1:14" s="77" customFormat="1">
      <c r="A55" s="100"/>
      <c r="B55" s="107"/>
      <c r="C55" s="106"/>
      <c r="K55" s="78"/>
      <c r="L55" s="78"/>
      <c r="M55" s="78"/>
      <c r="N55" s="78"/>
    </row>
    <row r="56" spans="1:14" s="77" customFormat="1">
      <c r="A56" s="100"/>
      <c r="B56" s="3"/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3"/>
      <c r="B58" s="104" t="s">
        <v>85</v>
      </c>
      <c r="C58" s="103"/>
      <c r="E58" s="77">
        <f>SUM(E59:E77)</f>
        <v>-625</v>
      </c>
      <c r="K58" s="78"/>
      <c r="L58" s="78"/>
      <c r="M58" s="78"/>
      <c r="N58" s="78"/>
    </row>
    <row r="59" spans="1:14" s="77" customFormat="1">
      <c r="A59" s="100"/>
      <c r="B59" s="106"/>
      <c r="C59" s="106"/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1720</v>
      </c>
      <c r="E60" s="90">
        <v>-625</v>
      </c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 ht="15">
      <c r="A72" s="100"/>
      <c r="B72" s="3"/>
      <c r="C72" s="106"/>
      <c r="E72" s="105" t="s">
        <v>84</v>
      </c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C74" s="106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 s="77" customFormat="1">
      <c r="A77" s="100"/>
      <c r="B77" s="3"/>
      <c r="C77" s="106"/>
      <c r="K77" s="78"/>
      <c r="L77" s="78"/>
      <c r="M77" s="78"/>
      <c r="N77" s="78"/>
    </row>
    <row r="78" spans="1:14" s="77" customFormat="1">
      <c r="A78" s="100"/>
      <c r="B78" s="3"/>
      <c r="K78" s="78"/>
      <c r="L78" s="78"/>
      <c r="M78" s="78"/>
      <c r="N78" s="78"/>
    </row>
    <row r="79" spans="1:14">
      <c r="A79" s="100"/>
      <c r="B79" s="3"/>
      <c r="C79" s="106"/>
      <c r="I79" s="77"/>
      <c r="J7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206"/>
  <sheetViews>
    <sheetView zoomScale="145" zoomScaleNormal="145" workbookViewId="0">
      <selection activeCell="A38" sqref="A38: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6" width="12.28515625" style="77"/>
    <col min="7" max="7" width="13.5703125" style="77" customWidth="1"/>
    <col min="8" max="8" width="12.28515625" style="77"/>
    <col min="10" max="10" width="10.140625" style="574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91</v>
      </c>
      <c r="C2" s="79" t="s">
        <v>67</v>
      </c>
      <c r="D2" s="77">
        <f>SUM(D4:D32)</f>
        <v>15000</v>
      </c>
      <c r="E2" s="77">
        <f>SUM(E4:E32)</f>
        <v>-93124.89</v>
      </c>
      <c r="F2" s="77">
        <f>SUM(F4:F32)</f>
        <v>0</v>
      </c>
      <c r="G2" s="77">
        <f>SUM(G4:G32)</f>
        <v>-89376.640000000014</v>
      </c>
      <c r="H2" s="77">
        <f>F2+G2</f>
        <v>-89376.640000000014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 t="s">
        <v>869</v>
      </c>
      <c r="C6" s="82"/>
      <c r="D6" s="83"/>
      <c r="E6" s="83"/>
      <c r="G6" s="77">
        <v>-20000</v>
      </c>
      <c r="H6" s="77">
        <f t="shared" si="0"/>
        <v>-20000</v>
      </c>
    </row>
    <row r="7" spans="1:14" s="11" customFormat="1">
      <c r="A7" s="80"/>
      <c r="B7" s="81" t="s">
        <v>1910</v>
      </c>
      <c r="C7" s="82"/>
      <c r="D7" s="83"/>
      <c r="E7" s="83"/>
      <c r="F7" s="90"/>
      <c r="G7" s="90">
        <v>-1500</v>
      </c>
      <c r="H7" s="90">
        <f t="shared" si="0"/>
        <v>-21500</v>
      </c>
      <c r="J7" s="574"/>
      <c r="K7" s="78"/>
      <c r="L7" s="78"/>
      <c r="M7" s="78"/>
      <c r="N7" s="78"/>
    </row>
    <row r="8" spans="1:14">
      <c r="A8" s="84">
        <v>45845</v>
      </c>
      <c r="B8" s="81" t="s">
        <v>68</v>
      </c>
      <c r="C8" s="85"/>
      <c r="D8" s="86"/>
      <c r="E8" s="86">
        <f>E36</f>
        <v>-39087.630000000005</v>
      </c>
      <c r="F8" s="87"/>
      <c r="G8" s="87">
        <f>E8</f>
        <v>-39087.630000000005</v>
      </c>
      <c r="H8" s="90">
        <f t="shared" si="0"/>
        <v>-60587.630000000005</v>
      </c>
    </row>
    <row r="9" spans="1:14">
      <c r="A9" s="80"/>
      <c r="B9" s="81" t="s">
        <v>69</v>
      </c>
      <c r="C9" s="85"/>
      <c r="D9" s="86"/>
      <c r="E9" s="86">
        <f>E111</f>
        <v>-1620.2</v>
      </c>
      <c r="F9" s="87"/>
      <c r="G9" s="87">
        <v>-1620.5</v>
      </c>
      <c r="H9" s="90">
        <f t="shared" si="0"/>
        <v>-62208.130000000005</v>
      </c>
    </row>
    <row r="10" spans="1:14">
      <c r="G10" s="87"/>
      <c r="H10" s="90">
        <f t="shared" si="0"/>
        <v>-62208.130000000005</v>
      </c>
    </row>
    <row r="11" spans="1:14">
      <c r="A11" s="411">
        <v>45846</v>
      </c>
      <c r="B11" s="434" t="s">
        <v>70</v>
      </c>
      <c r="C11" s="434"/>
      <c r="D11" s="384"/>
      <c r="E11" s="384">
        <v>-2117.06</v>
      </c>
      <c r="G11" s="77">
        <v>-2168.5100000000002</v>
      </c>
      <c r="H11" s="90">
        <f t="shared" si="0"/>
        <v>-64376.640000000007</v>
      </c>
    </row>
    <row r="12" spans="1:14">
      <c r="A12" s="422">
        <v>45846</v>
      </c>
      <c r="B12" s="434" t="s">
        <v>509</v>
      </c>
      <c r="C12" s="434"/>
      <c r="D12" s="384"/>
      <c r="E12" s="384">
        <v>-25000</v>
      </c>
      <c r="G12" s="77">
        <v>-25000</v>
      </c>
      <c r="H12" s="90">
        <f t="shared" si="0"/>
        <v>-89376.640000000014</v>
      </c>
      <c r="J12" s="574">
        <v>67000</v>
      </c>
    </row>
    <row r="13" spans="1:14">
      <c r="B13" s="91" t="s">
        <v>72</v>
      </c>
      <c r="C13" s="92"/>
      <c r="D13" s="90"/>
      <c r="E13" s="90">
        <v>0</v>
      </c>
      <c r="H13" s="90">
        <f t="shared" si="0"/>
        <v>-89376.640000000014</v>
      </c>
      <c r="J13" s="574">
        <v>47</v>
      </c>
    </row>
    <row r="14" spans="1:14">
      <c r="A14" s="88"/>
      <c r="B14" s="92"/>
      <c r="C14" s="92"/>
      <c r="D14" s="90"/>
      <c r="E14" s="90"/>
      <c r="H14" s="77">
        <f t="shared" si="0"/>
        <v>-89376.640000000014</v>
      </c>
      <c r="J14" s="574">
        <f>J12/J13</f>
        <v>1425.5319148936171</v>
      </c>
    </row>
    <row r="15" spans="1:14" s="78" customFormat="1">
      <c r="A15" s="88"/>
      <c r="B15" s="3"/>
      <c r="C15" s="3"/>
      <c r="D15" s="77"/>
      <c r="E15" s="77"/>
      <c r="F15" s="77"/>
      <c r="G15" s="77"/>
      <c r="H15" s="77">
        <f t="shared" si="0"/>
        <v>-89376.640000000014</v>
      </c>
      <c r="I15"/>
      <c r="J15" s="574"/>
    </row>
    <row r="16" spans="1:14" s="78" customFormat="1">
      <c r="A16" s="88"/>
      <c r="B16" s="93" t="s">
        <v>73</v>
      </c>
      <c r="C16" s="93"/>
      <c r="D16" s="90"/>
      <c r="E16" s="90">
        <v>-1000</v>
      </c>
      <c r="F16" s="77"/>
      <c r="G16" s="77"/>
      <c r="H16" s="77">
        <f t="shared" si="0"/>
        <v>-89376.640000000014</v>
      </c>
      <c r="J16" s="574"/>
    </row>
    <row r="17" spans="1:13" s="78" customFormat="1">
      <c r="A17" s="88"/>
      <c r="B17" s="93" t="s">
        <v>74</v>
      </c>
      <c r="C17" s="93"/>
      <c r="D17" s="90"/>
      <c r="E17" s="90">
        <v>-200</v>
      </c>
      <c r="F17" s="77"/>
      <c r="G17" s="77"/>
      <c r="H17" s="77">
        <f t="shared" si="0"/>
        <v>-89376.640000000014</v>
      </c>
      <c r="J17" s="574"/>
    </row>
    <row r="18" spans="1:13" s="78" customFormat="1">
      <c r="A18" s="88"/>
      <c r="B18" s="89" t="s">
        <v>75</v>
      </c>
      <c r="C18" s="89"/>
      <c r="D18" s="90"/>
      <c r="E18" s="90">
        <v>-200</v>
      </c>
      <c r="F18" s="77"/>
      <c r="G18" s="77"/>
      <c r="H18" s="77">
        <f t="shared" si="0"/>
        <v>-89376.640000000014</v>
      </c>
      <c r="J18" s="574"/>
    </row>
    <row r="19" spans="1:13" s="78" customFormat="1">
      <c r="A19" s="88"/>
      <c r="B19" s="92" t="s">
        <v>76</v>
      </c>
      <c r="C19" s="92"/>
      <c r="D19" s="90">
        <v>15000</v>
      </c>
      <c r="E19" s="90"/>
      <c r="F19" s="77"/>
      <c r="G19" s="77"/>
      <c r="H19" s="77">
        <f t="shared" si="0"/>
        <v>-89376.640000000014</v>
      </c>
      <c r="J19" s="574"/>
      <c r="K19" s="94"/>
      <c r="L19" s="95"/>
      <c r="M19" s="96"/>
    </row>
    <row r="20" spans="1:13" s="78" customFormat="1">
      <c r="B20" s="92" t="s">
        <v>77</v>
      </c>
      <c r="C20" s="92"/>
      <c r="D20" s="90"/>
      <c r="E20" s="90">
        <v>-7500</v>
      </c>
      <c r="F20" s="77"/>
      <c r="G20" s="77"/>
      <c r="H20" s="77">
        <f t="shared" si="0"/>
        <v>-89376.640000000014</v>
      </c>
      <c r="J20" s="574"/>
      <c r="K20" s="94"/>
      <c r="L20" s="95"/>
      <c r="M20" s="96"/>
    </row>
    <row r="21" spans="1:13" s="78" customFormat="1">
      <c r="B21" s="92" t="s">
        <v>78</v>
      </c>
      <c r="C21" s="92"/>
      <c r="D21" s="90"/>
      <c r="E21" s="90">
        <v>-7500</v>
      </c>
      <c r="F21" s="77"/>
      <c r="G21" s="77"/>
      <c r="H21" s="77">
        <f t="shared" si="0"/>
        <v>-89376.640000000014</v>
      </c>
      <c r="J21" s="574"/>
      <c r="K21" s="94"/>
      <c r="L21" s="95"/>
      <c r="M21" s="96"/>
    </row>
    <row r="22" spans="1:13" s="78" customFormat="1">
      <c r="B22" s="92" t="s">
        <v>79</v>
      </c>
      <c r="C22" s="92"/>
      <c r="D22" s="90"/>
      <c r="E22" s="90">
        <v>-7500</v>
      </c>
      <c r="F22" s="77"/>
      <c r="G22" s="77"/>
      <c r="H22" s="77">
        <f t="shared" si="0"/>
        <v>-89376.640000000014</v>
      </c>
      <c r="J22" s="574"/>
      <c r="K22" s="94"/>
      <c r="L22" s="95"/>
      <c r="M22" s="96"/>
    </row>
    <row r="23" spans="1:13" s="78" customFormat="1">
      <c r="B23" s="3"/>
      <c r="C23" s="3"/>
      <c r="D23" s="77"/>
      <c r="E23" s="77"/>
      <c r="F23" s="77"/>
      <c r="G23" s="77"/>
      <c r="H23" s="77">
        <f t="shared" si="0"/>
        <v>-89376.640000000014</v>
      </c>
      <c r="J23" s="574"/>
      <c r="K23" s="94"/>
      <c r="L23" s="95"/>
      <c r="M23" s="96"/>
    </row>
    <row r="24" spans="1:13" s="78" customFormat="1">
      <c r="A24" s="97"/>
      <c r="B24" s="92"/>
      <c r="C24" s="92"/>
      <c r="D24" s="90"/>
      <c r="E24" s="90"/>
      <c r="F24" s="77"/>
      <c r="G24" s="77"/>
      <c r="H24" s="77">
        <f t="shared" si="0"/>
        <v>-89376.640000000014</v>
      </c>
      <c r="J24" s="574"/>
      <c r="K24" s="94"/>
      <c r="L24" s="95"/>
      <c r="M24" s="96"/>
    </row>
    <row r="25" spans="1:13" s="78" customFormat="1">
      <c r="A25" s="98"/>
      <c r="B25" s="3"/>
      <c r="C25" s="3"/>
      <c r="D25" s="77"/>
      <c r="E25" s="77"/>
      <c r="F25" s="77"/>
      <c r="G25" s="77"/>
      <c r="H25" s="77">
        <f t="shared" si="0"/>
        <v>-89376.640000000014</v>
      </c>
      <c r="J25" s="574"/>
      <c r="K25" s="94"/>
      <c r="L25" s="95"/>
      <c r="M25" s="96"/>
    </row>
    <row r="26" spans="1:13" s="78" customFormat="1">
      <c r="B26" s="99" t="s">
        <v>80</v>
      </c>
      <c r="C26" s="99"/>
      <c r="D26" s="77"/>
      <c r="E26" s="77">
        <v>-600</v>
      </c>
      <c r="F26" s="77"/>
      <c r="G26" s="77"/>
      <c r="H26" s="77">
        <f t="shared" si="0"/>
        <v>-89376.640000000014</v>
      </c>
      <c r="J26" s="574"/>
      <c r="K26" s="94"/>
      <c r="L26" s="95"/>
      <c r="M26" s="96"/>
    </row>
    <row r="27" spans="1:13" s="78" customFormat="1">
      <c r="B27" s="99" t="s">
        <v>81</v>
      </c>
      <c r="C27" s="99"/>
      <c r="D27" s="77"/>
      <c r="E27" s="77">
        <v>-800</v>
      </c>
      <c r="F27" s="77"/>
      <c r="G27" s="77"/>
      <c r="H27" s="77">
        <f t="shared" si="0"/>
        <v>-89376.640000000014</v>
      </c>
      <c r="J27" s="574"/>
      <c r="K27" s="94"/>
      <c r="L27" s="95"/>
      <c r="M27" s="96"/>
    </row>
    <row r="28" spans="1:13" s="78" customFormat="1">
      <c r="B28" s="3"/>
      <c r="C28" s="3"/>
      <c r="D28" s="77"/>
      <c r="E28" s="77"/>
      <c r="F28" s="77"/>
      <c r="G28" s="77"/>
      <c r="H28" s="77">
        <f t="shared" si="0"/>
        <v>-89376.640000000014</v>
      </c>
      <c r="J28" s="574"/>
    </row>
    <row r="29" spans="1:13" s="78" customFormat="1">
      <c r="D29" s="77"/>
      <c r="E29" s="77"/>
      <c r="F29" s="77"/>
      <c r="G29" s="77"/>
      <c r="H29" s="77">
        <f t="shared" si="0"/>
        <v>-89376.640000000014</v>
      </c>
      <c r="J29" s="574"/>
    </row>
    <row r="30" spans="1:13">
      <c r="A30" s="100"/>
      <c r="B30" s="101" t="s">
        <v>92</v>
      </c>
      <c r="C30" s="101"/>
      <c r="H30" s="77">
        <f t="shared" si="0"/>
        <v>-89376.640000000014</v>
      </c>
      <c r="I30" s="78"/>
    </row>
    <row r="31" spans="1:13">
      <c r="A31" s="100"/>
      <c r="H31" s="77">
        <f t="shared" si="0"/>
        <v>-89376.640000000014</v>
      </c>
    </row>
    <row r="32" spans="1:13" s="78" customFormat="1">
      <c r="A32"/>
      <c r="B32"/>
      <c r="C32"/>
      <c r="D32" s="77"/>
      <c r="E32" s="77"/>
      <c r="F32" s="77"/>
      <c r="G32" s="77"/>
      <c r="H32" s="77">
        <f t="shared" si="0"/>
        <v>-89376.640000000014</v>
      </c>
      <c r="I32"/>
      <c r="J32" s="574"/>
    </row>
    <row r="33" spans="1:14" s="78" customFormat="1">
      <c r="A33" s="98"/>
      <c r="D33" s="77"/>
      <c r="E33" s="77"/>
      <c r="F33" s="77"/>
      <c r="G33" s="77"/>
      <c r="H33" s="77"/>
      <c r="J33" s="574"/>
    </row>
    <row r="34" spans="1:14" s="77" customFormat="1">
      <c r="A34" s="88"/>
      <c r="B34" s="78"/>
      <c r="C34" s="78"/>
      <c r="I34" s="78"/>
      <c r="J34" s="574"/>
      <c r="K34" s="78"/>
      <c r="L34" s="78"/>
      <c r="M34" s="78"/>
      <c r="N34" s="78"/>
    </row>
    <row r="35" spans="1:14" s="77" customFormat="1">
      <c r="B35" s="102"/>
      <c r="J35" s="574"/>
      <c r="K35" s="78"/>
      <c r="L35" s="78"/>
      <c r="M35" s="78"/>
      <c r="N35" s="78"/>
    </row>
    <row r="36" spans="1:14">
      <c r="A36" s="103"/>
      <c r="B36" s="104" t="s">
        <v>83</v>
      </c>
      <c r="C36" s="103"/>
      <c r="E36" s="77">
        <f>SUM(E38:E109)</f>
        <v>-39087.630000000005</v>
      </c>
      <c r="I36" s="77"/>
    </row>
    <row r="37" spans="1:14" s="77" customFormat="1">
      <c r="A37"/>
      <c r="B37"/>
      <c r="C37"/>
      <c r="I37"/>
      <c r="J37" s="574"/>
      <c r="K37" s="78"/>
      <c r="L37" s="78"/>
      <c r="M37" s="78"/>
      <c r="N37" s="78"/>
    </row>
    <row r="38" spans="1:14" s="77" customFormat="1">
      <c r="A38" s="88">
        <v>45715</v>
      </c>
      <c r="B38" s="90" t="s">
        <v>1637</v>
      </c>
      <c r="C38" s="90">
        <v>5938.68</v>
      </c>
      <c r="D38" s="90" t="s">
        <v>523</v>
      </c>
      <c r="E38" s="90">
        <v>-989.78</v>
      </c>
      <c r="F38" s="77">
        <v>0</v>
      </c>
      <c r="J38" s="574"/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1843</v>
      </c>
      <c r="E39" s="90">
        <v>-1750</v>
      </c>
      <c r="F39" s="90">
        <v>0</v>
      </c>
      <c r="J39" s="574"/>
      <c r="K39" s="78"/>
      <c r="L39" s="78"/>
      <c r="M39" s="78"/>
      <c r="N39" s="78"/>
    </row>
    <row r="40" spans="1:14" s="90" customFormat="1">
      <c r="A40" s="88">
        <v>45811</v>
      </c>
      <c r="B40" s="90" t="s">
        <v>1844</v>
      </c>
      <c r="C40" s="90">
        <v>5250</v>
      </c>
      <c r="D40" s="90" t="s">
        <v>1843</v>
      </c>
      <c r="E40" s="90">
        <v>-1750</v>
      </c>
      <c r="F40" s="90">
        <v>0</v>
      </c>
      <c r="J40" s="574"/>
      <c r="K40" s="78"/>
      <c r="L40" s="78"/>
      <c r="M40" s="78"/>
      <c r="N40" s="78"/>
    </row>
    <row r="41" spans="1:14" s="90" customFormat="1">
      <c r="A41" s="88">
        <v>45811</v>
      </c>
      <c r="B41" s="90" t="s">
        <v>443</v>
      </c>
      <c r="C41" s="90">
        <v>5250</v>
      </c>
      <c r="D41" s="90" t="s">
        <v>1861</v>
      </c>
      <c r="E41" s="90">
        <v>-1750</v>
      </c>
      <c r="F41" s="90">
        <v>0</v>
      </c>
      <c r="J41" s="574"/>
      <c r="K41" s="78"/>
      <c r="L41" s="78"/>
      <c r="M41" s="78"/>
      <c r="N41" s="78"/>
    </row>
    <row r="42" spans="1:14" s="90" customFormat="1">
      <c r="A42" s="88">
        <v>45811</v>
      </c>
      <c r="B42" s="90" t="s">
        <v>1842</v>
      </c>
      <c r="C42" s="90">
        <v>14500</v>
      </c>
      <c r="D42" s="90" t="s">
        <v>1861</v>
      </c>
      <c r="E42" s="90">
        <v>-4833.33</v>
      </c>
      <c r="F42" s="90">
        <v>0</v>
      </c>
      <c r="J42" s="574"/>
      <c r="K42" s="78"/>
      <c r="L42" s="78"/>
      <c r="M42" s="78"/>
      <c r="N42" s="78"/>
    </row>
    <row r="43" spans="1:14" s="90" customFormat="1">
      <c r="A43" s="88">
        <v>45817</v>
      </c>
      <c r="B43" s="90" t="s">
        <v>1872</v>
      </c>
      <c r="D43" s="90" t="s">
        <v>1873</v>
      </c>
      <c r="E43" s="90">
        <v>-406.67</v>
      </c>
      <c r="F43" s="90">
        <v>0</v>
      </c>
      <c r="J43" s="574"/>
      <c r="K43" s="78"/>
      <c r="L43" s="78"/>
      <c r="M43" s="78"/>
      <c r="N43" s="78"/>
    </row>
    <row r="44" spans="1:14" s="90" customFormat="1">
      <c r="A44" s="100">
        <v>45790</v>
      </c>
      <c r="B44" s="107" t="s">
        <v>338</v>
      </c>
      <c r="C44" s="90">
        <v>1407.46</v>
      </c>
      <c r="D44" s="90" t="s">
        <v>659</v>
      </c>
      <c r="E44" s="90">
        <v>-234.58</v>
      </c>
      <c r="F44" s="90">
        <v>0</v>
      </c>
      <c r="J44" s="574"/>
      <c r="K44" s="78"/>
      <c r="L44" s="78"/>
      <c r="M44" s="78"/>
      <c r="N44" s="78"/>
    </row>
    <row r="45" spans="1:14" s="77" customFormat="1">
      <c r="A45" s="100">
        <v>45828</v>
      </c>
      <c r="B45" s="107" t="s">
        <v>1902</v>
      </c>
      <c r="C45" s="77">
        <v>6500</v>
      </c>
      <c r="D45" s="90" t="s">
        <v>1861</v>
      </c>
      <c r="E45" s="77">
        <v>-2166.67</v>
      </c>
      <c r="J45" s="574"/>
      <c r="K45" s="78"/>
      <c r="L45" s="78"/>
      <c r="M45" s="78"/>
      <c r="N45" s="78"/>
    </row>
    <row r="46" spans="1:14" s="77" customFormat="1">
      <c r="A46" s="100">
        <v>45805</v>
      </c>
      <c r="B46" s="107" t="s">
        <v>126</v>
      </c>
      <c r="C46" s="204">
        <v>1380</v>
      </c>
      <c r="D46" s="90" t="s">
        <v>1861</v>
      </c>
      <c r="E46" s="90">
        <v>-460</v>
      </c>
      <c r="F46" s="90">
        <v>0</v>
      </c>
      <c r="J46" s="574"/>
      <c r="K46" s="78"/>
      <c r="L46" s="78"/>
      <c r="M46" s="78"/>
      <c r="N46" s="78"/>
    </row>
    <row r="47" spans="1:14">
      <c r="A47" s="100">
        <v>45805</v>
      </c>
      <c r="B47" s="107" t="s">
        <v>126</v>
      </c>
      <c r="C47" s="204">
        <v>4373.6000000000004</v>
      </c>
      <c r="D47" s="90" t="s">
        <v>1861</v>
      </c>
      <c r="E47" s="90">
        <v>-1457.87</v>
      </c>
      <c r="F47" s="90">
        <v>0</v>
      </c>
      <c r="I47" s="77"/>
    </row>
    <row r="48" spans="1:14" s="77" customFormat="1">
      <c r="A48"/>
      <c r="B48" s="90" t="s">
        <v>1837</v>
      </c>
      <c r="C48" s="90">
        <v>0</v>
      </c>
      <c r="I48"/>
      <c r="J48" s="574"/>
      <c r="K48" s="78"/>
      <c r="L48" s="78"/>
      <c r="M48" s="78"/>
      <c r="N48" s="78"/>
    </row>
    <row r="49" spans="1:14" s="77" customFormat="1">
      <c r="J49" s="574"/>
      <c r="K49" s="78"/>
      <c r="L49" s="78"/>
      <c r="M49" s="78"/>
      <c r="N49" s="78"/>
    </row>
    <row r="50" spans="1:14" s="77" customFormat="1">
      <c r="A50" s="100">
        <v>45802</v>
      </c>
      <c r="B50" s="107" t="s">
        <v>1612</v>
      </c>
      <c r="C50" s="106"/>
      <c r="E50" s="77">
        <v>-80</v>
      </c>
      <c r="J50" s="574"/>
      <c r="K50" s="78"/>
      <c r="L50" s="78"/>
      <c r="M50" s="78"/>
      <c r="N50" s="78"/>
    </row>
    <row r="51" spans="1:14" s="90" customFormat="1">
      <c r="A51" s="100">
        <v>45802</v>
      </c>
      <c r="B51" s="107" t="s">
        <v>1840</v>
      </c>
      <c r="C51" s="77"/>
      <c r="D51" s="77"/>
      <c r="E51" s="77">
        <v>-120</v>
      </c>
      <c r="F51" s="77">
        <v>0</v>
      </c>
      <c r="J51" s="574"/>
      <c r="K51" s="78"/>
      <c r="L51" s="78"/>
      <c r="M51" s="78"/>
      <c r="N51" s="78"/>
    </row>
    <row r="52" spans="1:14" s="90" customFormat="1">
      <c r="A52" s="100">
        <v>45802</v>
      </c>
      <c r="B52" s="107" t="s">
        <v>1841</v>
      </c>
      <c r="C52" s="106"/>
      <c r="D52" s="77"/>
      <c r="E52" s="77">
        <v>-200</v>
      </c>
      <c r="F52" s="77">
        <v>0</v>
      </c>
      <c r="J52" s="574"/>
      <c r="K52" s="78"/>
      <c r="L52" s="78"/>
      <c r="M52" s="78"/>
      <c r="N52" s="78"/>
    </row>
    <row r="53" spans="1:14" s="90" customFormat="1">
      <c r="A53" s="100">
        <v>45802</v>
      </c>
      <c r="B53" s="107" t="s">
        <v>1840</v>
      </c>
      <c r="C53" s="106"/>
      <c r="D53" s="77"/>
      <c r="E53" s="77">
        <v>-350</v>
      </c>
      <c r="F53" s="77">
        <v>0</v>
      </c>
      <c r="J53" s="574"/>
      <c r="K53" s="78"/>
      <c r="L53" s="78"/>
      <c r="M53" s="78"/>
      <c r="N53" s="78"/>
    </row>
    <row r="54" spans="1:14" s="90" customFormat="1">
      <c r="A54" s="100"/>
      <c r="C54" s="106"/>
      <c r="E54" s="90">
        <v>-250</v>
      </c>
      <c r="J54" s="574"/>
      <c r="K54" s="78"/>
      <c r="L54" s="78"/>
      <c r="M54" s="78"/>
      <c r="N54" s="78"/>
    </row>
    <row r="55" spans="1:14" s="90" customFormat="1">
      <c r="A55" s="100">
        <v>45803</v>
      </c>
      <c r="B55" s="106" t="s">
        <v>1839</v>
      </c>
      <c r="C55" s="106"/>
      <c r="D55" s="77"/>
      <c r="E55" s="77">
        <v>-250</v>
      </c>
      <c r="F55" s="77">
        <v>0</v>
      </c>
      <c r="J55" s="574"/>
      <c r="K55" s="78"/>
      <c r="L55" s="78"/>
      <c r="M55" s="78"/>
      <c r="N55" s="78"/>
    </row>
    <row r="56" spans="1:14" s="90" customFormat="1">
      <c r="A56" s="88">
        <v>45804</v>
      </c>
      <c r="B56" s="77" t="s">
        <v>1818</v>
      </c>
      <c r="C56" s="77"/>
      <c r="D56" s="77"/>
      <c r="E56" s="77">
        <v>-1380</v>
      </c>
      <c r="F56" s="77">
        <v>0</v>
      </c>
      <c r="J56" s="574"/>
      <c r="K56" s="78"/>
      <c r="L56" s="78"/>
      <c r="M56" s="78"/>
      <c r="N56" s="78"/>
    </row>
    <row r="57" spans="1:14" s="90" customFormat="1">
      <c r="A57" s="100">
        <v>45804</v>
      </c>
      <c r="B57" s="90" t="s">
        <v>1838</v>
      </c>
      <c r="C57" s="106"/>
      <c r="D57" s="77"/>
      <c r="E57" s="77">
        <v>-4373.6000000000004</v>
      </c>
      <c r="F57" s="77">
        <v>0</v>
      </c>
      <c r="J57" s="574"/>
      <c r="K57" s="78"/>
      <c r="L57" s="78"/>
      <c r="M57" s="78"/>
      <c r="N57" s="78"/>
    </row>
    <row r="58" spans="1:14" s="90" customFormat="1">
      <c r="A58" s="88">
        <v>45804</v>
      </c>
      <c r="B58" s="77" t="s">
        <v>1836</v>
      </c>
      <c r="C58" s="77"/>
      <c r="D58" s="77"/>
      <c r="E58" s="77">
        <v>-234.3</v>
      </c>
      <c r="F58" s="77">
        <v>0</v>
      </c>
      <c r="J58" s="574"/>
      <c r="K58" s="78"/>
      <c r="L58" s="78"/>
      <c r="M58" s="78"/>
      <c r="N58" s="78"/>
    </row>
    <row r="59" spans="1:14" s="90" customFormat="1">
      <c r="A59" s="88">
        <v>45805</v>
      </c>
      <c r="B59" s="77" t="s">
        <v>1612</v>
      </c>
      <c r="C59" s="77"/>
      <c r="D59" s="77"/>
      <c r="E59" s="77">
        <v>-80</v>
      </c>
      <c r="F59" s="77">
        <v>1</v>
      </c>
      <c r="G59" s="77"/>
      <c r="J59" s="574"/>
      <c r="K59" s="78"/>
      <c r="L59" s="78"/>
      <c r="M59" s="78"/>
      <c r="N59" s="78"/>
    </row>
    <row r="60" spans="1:14" s="90" customFormat="1">
      <c r="A60" s="100"/>
      <c r="B60" s="107"/>
      <c r="C60" s="106"/>
      <c r="J60" s="574"/>
      <c r="K60" s="78"/>
      <c r="L60" s="78"/>
      <c r="M60" s="78"/>
      <c r="N60" s="78"/>
    </row>
    <row r="61" spans="1:14" s="90" customFormat="1">
      <c r="A61" s="100">
        <v>45805</v>
      </c>
      <c r="B61" s="107" t="s">
        <v>651</v>
      </c>
      <c r="C61" s="106"/>
      <c r="E61" s="90">
        <v>-575</v>
      </c>
      <c r="F61" s="90">
        <v>0</v>
      </c>
      <c r="J61" s="574"/>
      <c r="K61" s="78"/>
      <c r="L61" s="78"/>
      <c r="M61" s="78"/>
      <c r="N61" s="78"/>
    </row>
    <row r="62" spans="1:14" s="90" customFormat="1">
      <c r="A62" s="100">
        <v>45805</v>
      </c>
      <c r="B62" s="107" t="s">
        <v>126</v>
      </c>
      <c r="C62" s="204" t="s">
        <v>1895</v>
      </c>
      <c r="D62" s="90" t="s">
        <v>1843</v>
      </c>
      <c r="E62" s="90">
        <v>1380</v>
      </c>
      <c r="F62" s="90">
        <v>0</v>
      </c>
      <c r="J62" s="574"/>
      <c r="K62" s="78"/>
      <c r="L62" s="78"/>
      <c r="M62" s="78"/>
      <c r="N62" s="78"/>
    </row>
    <row r="63" spans="1:14" s="90" customFormat="1">
      <c r="A63" s="100">
        <v>45805</v>
      </c>
      <c r="B63" s="107" t="s">
        <v>126</v>
      </c>
      <c r="C63" s="204" t="s">
        <v>1895</v>
      </c>
      <c r="D63" s="90" t="s">
        <v>1843</v>
      </c>
      <c r="E63" s="90">
        <v>4373.6000000000004</v>
      </c>
      <c r="F63" s="90">
        <v>0</v>
      </c>
      <c r="J63" s="574"/>
      <c r="K63" s="78"/>
      <c r="L63" s="78"/>
      <c r="M63" s="78"/>
      <c r="N63" s="78"/>
    </row>
    <row r="64" spans="1:14" s="90" customFormat="1">
      <c r="A64" s="100">
        <v>45806</v>
      </c>
      <c r="B64" s="107" t="s">
        <v>127</v>
      </c>
      <c r="C64" s="106"/>
      <c r="E64" s="90">
        <v>-112.44</v>
      </c>
      <c r="F64" s="90">
        <v>0</v>
      </c>
      <c r="J64" s="574"/>
      <c r="K64" s="78"/>
      <c r="L64" s="78"/>
      <c r="M64" s="78"/>
      <c r="N64" s="78"/>
    </row>
    <row r="65" spans="1:14" s="90" customFormat="1">
      <c r="A65" s="100">
        <v>45807</v>
      </c>
      <c r="B65" s="107" t="s">
        <v>651</v>
      </c>
      <c r="C65" s="106"/>
      <c r="E65" s="90">
        <v>-500</v>
      </c>
      <c r="F65" s="90">
        <v>0</v>
      </c>
      <c r="J65" s="574"/>
      <c r="K65" s="78"/>
      <c r="L65" s="78"/>
      <c r="M65" s="78"/>
      <c r="N65" s="78"/>
    </row>
    <row r="66" spans="1:14" s="90" customFormat="1">
      <c r="A66" s="100">
        <v>45808</v>
      </c>
      <c r="B66" s="107" t="s">
        <v>127</v>
      </c>
      <c r="C66" s="106"/>
      <c r="E66" s="90">
        <v>-61.44</v>
      </c>
      <c r="F66" s="90">
        <v>0</v>
      </c>
      <c r="J66" s="574"/>
      <c r="K66" s="78"/>
      <c r="L66" s="78"/>
      <c r="M66" s="78"/>
      <c r="N66" s="78"/>
    </row>
    <row r="67" spans="1:14" s="90" customFormat="1">
      <c r="A67" s="100">
        <v>45811</v>
      </c>
      <c r="B67" s="107" t="s">
        <v>1628</v>
      </c>
      <c r="C67" s="106"/>
      <c r="E67" s="90">
        <v>-850</v>
      </c>
      <c r="F67" s="90">
        <v>0</v>
      </c>
      <c r="J67" s="574"/>
      <c r="K67" s="78"/>
      <c r="L67" s="78"/>
      <c r="M67" s="78"/>
      <c r="N67" s="78"/>
    </row>
    <row r="68" spans="1:14" s="90" customFormat="1">
      <c r="A68" s="100">
        <v>45811</v>
      </c>
      <c r="B68" s="107" t="s">
        <v>1877</v>
      </c>
      <c r="C68" s="106"/>
      <c r="E68" s="90">
        <v>-195</v>
      </c>
      <c r="F68" s="90">
        <v>0</v>
      </c>
      <c r="J68" s="574"/>
      <c r="K68" s="78"/>
      <c r="L68" s="78"/>
      <c r="M68" s="78"/>
      <c r="N68" s="78"/>
    </row>
    <row r="69" spans="1:14" s="90" customFormat="1">
      <c r="A69" s="100">
        <v>45811</v>
      </c>
      <c r="B69" s="107" t="s">
        <v>1876</v>
      </c>
      <c r="C69" s="106"/>
      <c r="E69" s="90">
        <v>-494</v>
      </c>
      <c r="F69" s="90">
        <v>0</v>
      </c>
      <c r="J69" s="574"/>
      <c r="K69" s="78"/>
      <c r="L69" s="78"/>
      <c r="M69" s="78"/>
      <c r="N69" s="78"/>
    </row>
    <row r="70" spans="1:14" s="90" customFormat="1">
      <c r="A70" s="100">
        <v>45812</v>
      </c>
      <c r="B70" s="107" t="s">
        <v>1862</v>
      </c>
      <c r="C70" s="106"/>
      <c r="E70" s="90">
        <v>-150</v>
      </c>
      <c r="F70" s="90">
        <v>0</v>
      </c>
      <c r="J70" s="574"/>
      <c r="K70" s="78"/>
      <c r="L70" s="78"/>
      <c r="M70" s="78"/>
      <c r="N70" s="78"/>
    </row>
    <row r="71" spans="1:14" s="90" customFormat="1">
      <c r="A71" s="100">
        <v>45812</v>
      </c>
      <c r="B71" s="107" t="s">
        <v>129</v>
      </c>
      <c r="C71" s="106">
        <v>21573.62</v>
      </c>
      <c r="J71" s="574"/>
      <c r="K71" s="78"/>
      <c r="L71" s="78"/>
      <c r="M71" s="78"/>
      <c r="N71" s="78"/>
    </row>
    <row r="72" spans="1:14" s="90" customFormat="1">
      <c r="A72" s="100">
        <v>45934</v>
      </c>
      <c r="B72" s="107" t="s">
        <v>1863</v>
      </c>
      <c r="C72" s="106"/>
      <c r="E72" s="90">
        <v>-40</v>
      </c>
      <c r="F72" s="90">
        <v>0</v>
      </c>
      <c r="J72" s="574"/>
      <c r="K72" s="78"/>
      <c r="L72" s="78"/>
      <c r="M72" s="78"/>
      <c r="N72" s="78"/>
    </row>
    <row r="73" spans="1:14" s="90" customFormat="1">
      <c r="A73" s="100">
        <v>45813</v>
      </c>
      <c r="B73" s="107"/>
      <c r="C73" s="106"/>
      <c r="E73" s="90">
        <v>-250</v>
      </c>
      <c r="F73" s="90">
        <v>0</v>
      </c>
      <c r="J73" s="574"/>
      <c r="K73" s="78"/>
      <c r="L73" s="78"/>
      <c r="M73" s="78"/>
      <c r="N73" s="78"/>
    </row>
    <row r="74" spans="1:14" s="90" customFormat="1">
      <c r="A74" s="100">
        <v>45813</v>
      </c>
      <c r="B74" s="107"/>
      <c r="C74" s="106"/>
      <c r="E74" s="90">
        <v>-340</v>
      </c>
      <c r="F74" s="90">
        <v>0</v>
      </c>
      <c r="J74" s="574"/>
      <c r="K74" s="78"/>
      <c r="L74" s="78"/>
      <c r="M74" s="78"/>
      <c r="N74" s="78"/>
    </row>
    <row r="75" spans="1:14" s="90" customFormat="1">
      <c r="A75" s="100">
        <v>45813</v>
      </c>
      <c r="B75" s="107"/>
      <c r="C75" s="106"/>
      <c r="E75" s="90">
        <v>-350</v>
      </c>
      <c r="F75" s="90">
        <v>0</v>
      </c>
      <c r="J75" s="574"/>
      <c r="K75" s="78"/>
      <c r="L75" s="78"/>
      <c r="M75" s="78"/>
      <c r="N75" s="78"/>
    </row>
    <row r="76" spans="1:14" s="90" customFormat="1">
      <c r="A76" s="100">
        <v>45813</v>
      </c>
      <c r="B76" s="107" t="s">
        <v>1875</v>
      </c>
      <c r="C76" s="106"/>
      <c r="E76" s="90">
        <v>-950</v>
      </c>
      <c r="F76" s="90">
        <v>0</v>
      </c>
      <c r="J76" s="574"/>
      <c r="K76" s="78"/>
      <c r="L76" s="78"/>
      <c r="M76" s="78"/>
      <c r="N76" s="78"/>
    </row>
    <row r="77" spans="1:14" s="90" customFormat="1">
      <c r="A77" s="100">
        <v>45813</v>
      </c>
      <c r="B77" s="107" t="s">
        <v>1864</v>
      </c>
      <c r="C77" s="106"/>
      <c r="E77" s="90">
        <v>-160</v>
      </c>
      <c r="F77" s="90">
        <v>0</v>
      </c>
      <c r="J77" s="574"/>
      <c r="K77" s="78"/>
      <c r="L77" s="78"/>
      <c r="M77" s="78"/>
      <c r="N77" s="78"/>
    </row>
    <row r="78" spans="1:14" s="90" customFormat="1">
      <c r="A78" s="100">
        <v>45813</v>
      </c>
      <c r="B78" s="107" t="s">
        <v>1865</v>
      </c>
      <c r="C78" s="106"/>
      <c r="E78" s="90">
        <v>-795.29</v>
      </c>
      <c r="F78" s="90">
        <v>0</v>
      </c>
      <c r="J78" s="574"/>
      <c r="K78" s="78"/>
      <c r="L78" s="78"/>
      <c r="M78" s="78"/>
      <c r="N78" s="78"/>
    </row>
    <row r="79" spans="1:14" s="90" customFormat="1">
      <c r="A79" s="100">
        <v>45815</v>
      </c>
      <c r="B79" s="107"/>
      <c r="C79" s="106"/>
      <c r="E79" s="90">
        <v>-400</v>
      </c>
      <c r="F79" s="90">
        <v>0</v>
      </c>
      <c r="J79" s="574"/>
      <c r="K79" s="78"/>
      <c r="L79" s="78"/>
      <c r="M79" s="78"/>
      <c r="N79" s="78"/>
    </row>
    <row r="80" spans="1:14" s="90" customFormat="1">
      <c r="A80" s="100">
        <v>45815</v>
      </c>
      <c r="B80" s="107" t="s">
        <v>1878</v>
      </c>
      <c r="C80" s="106"/>
      <c r="E80" s="90">
        <v>-3570</v>
      </c>
      <c r="F80" s="90">
        <v>0</v>
      </c>
      <c r="J80" s="574"/>
      <c r="K80" s="78"/>
      <c r="L80" s="78"/>
      <c r="M80" s="78"/>
      <c r="N80" s="78"/>
    </row>
    <row r="81" spans="1:14" s="90" customFormat="1">
      <c r="A81" s="100">
        <v>45816</v>
      </c>
      <c r="B81" s="107" t="s">
        <v>1866</v>
      </c>
      <c r="C81" s="106"/>
      <c r="E81" s="90">
        <v>-520</v>
      </c>
      <c r="F81" s="90">
        <v>0</v>
      </c>
      <c r="J81" s="574"/>
      <c r="K81" s="78"/>
      <c r="L81" s="78"/>
      <c r="M81" s="78"/>
      <c r="N81" s="78"/>
    </row>
    <row r="82" spans="1:14" s="90" customFormat="1">
      <c r="A82" s="100">
        <v>45816</v>
      </c>
      <c r="B82" s="107" t="s">
        <v>1867</v>
      </c>
      <c r="C82" s="106"/>
      <c r="E82" s="90">
        <v>-580</v>
      </c>
      <c r="F82" s="90">
        <v>0</v>
      </c>
      <c r="J82" s="574"/>
      <c r="K82" s="78"/>
      <c r="L82" s="78"/>
      <c r="M82" s="78"/>
      <c r="N82" s="78"/>
    </row>
    <row r="83" spans="1:14" s="90" customFormat="1">
      <c r="A83" s="100">
        <v>45813</v>
      </c>
      <c r="B83" s="107" t="s">
        <v>1868</v>
      </c>
      <c r="C83" s="106"/>
      <c r="E83" s="90">
        <v>-1500</v>
      </c>
      <c r="F83" s="90">
        <v>0</v>
      </c>
      <c r="J83" s="574"/>
      <c r="K83" s="78"/>
      <c r="L83" s="78"/>
      <c r="M83" s="78"/>
      <c r="N83" s="78"/>
    </row>
    <row r="84" spans="1:14" s="90" customFormat="1">
      <c r="A84" s="100"/>
      <c r="B84" s="107" t="s">
        <v>1869</v>
      </c>
      <c r="C84" s="106"/>
      <c r="E84" s="90">
        <v>-149.94999999999999</v>
      </c>
      <c r="F84" s="90">
        <v>0</v>
      </c>
      <c r="J84" s="574"/>
      <c r="K84" s="78"/>
      <c r="L84" s="78"/>
      <c r="M84" s="78"/>
      <c r="N84" s="78"/>
    </row>
    <row r="85" spans="1:14" s="90" customFormat="1">
      <c r="A85" s="100">
        <v>45817</v>
      </c>
      <c r="B85" s="107" t="s">
        <v>1870</v>
      </c>
      <c r="C85" s="106"/>
      <c r="E85" s="90">
        <v>-1304.99</v>
      </c>
      <c r="F85" s="90">
        <v>0</v>
      </c>
      <c r="J85" s="574"/>
      <c r="K85" s="78"/>
      <c r="L85" s="78"/>
      <c r="M85" s="78"/>
      <c r="N85" s="78"/>
    </row>
    <row r="86" spans="1:14" s="90" customFormat="1">
      <c r="A86" s="100">
        <v>45817</v>
      </c>
      <c r="B86" s="107" t="s">
        <v>1871</v>
      </c>
      <c r="C86" s="106"/>
      <c r="E86" s="90">
        <v>-1199.99</v>
      </c>
      <c r="F86" s="90">
        <v>0</v>
      </c>
      <c r="J86" s="574"/>
      <c r="K86" s="78"/>
      <c r="L86" s="78"/>
      <c r="M86" s="78"/>
      <c r="N86" s="78"/>
    </row>
    <row r="87" spans="1:14" s="90" customFormat="1">
      <c r="A87" s="100">
        <v>45817</v>
      </c>
      <c r="B87" s="107"/>
      <c r="C87" s="106"/>
      <c r="E87" s="90">
        <v>-558</v>
      </c>
      <c r="F87" s="90">
        <v>0</v>
      </c>
      <c r="J87" s="574"/>
      <c r="K87" s="78"/>
      <c r="L87" s="78"/>
      <c r="M87" s="78"/>
      <c r="N87" s="78"/>
    </row>
    <row r="88" spans="1:14" s="90" customFormat="1">
      <c r="A88" s="100">
        <v>45818</v>
      </c>
      <c r="B88" s="107" t="s">
        <v>1874</v>
      </c>
      <c r="C88" s="106"/>
      <c r="E88" s="90">
        <v>-240</v>
      </c>
      <c r="F88" s="90">
        <v>0</v>
      </c>
      <c r="J88" s="574"/>
      <c r="K88" s="78"/>
      <c r="L88" s="78"/>
      <c r="M88" s="78"/>
      <c r="N88" s="78"/>
    </row>
    <row r="89" spans="1:14" s="90" customFormat="1">
      <c r="A89" s="100">
        <v>45820</v>
      </c>
      <c r="B89" s="107" t="s">
        <v>127</v>
      </c>
      <c r="C89" s="106"/>
      <c r="E89" s="90">
        <v>-101.31</v>
      </c>
      <c r="F89" s="90">
        <v>101.31</v>
      </c>
      <c r="J89" s="574"/>
      <c r="K89" s="78"/>
      <c r="L89" s="78"/>
      <c r="M89" s="78"/>
      <c r="N89" s="78"/>
    </row>
    <row r="90" spans="1:14" s="90" customFormat="1">
      <c r="A90" s="100">
        <v>45821</v>
      </c>
      <c r="B90" s="107" t="s">
        <v>1896</v>
      </c>
      <c r="C90" s="106"/>
      <c r="E90" s="90">
        <v>-315</v>
      </c>
      <c r="J90" s="574"/>
      <c r="K90" s="78"/>
      <c r="L90" s="78"/>
      <c r="M90" s="78"/>
      <c r="N90" s="78"/>
    </row>
    <row r="91" spans="1:14" s="90" customFormat="1">
      <c r="A91" s="100">
        <v>45913</v>
      </c>
      <c r="B91" s="107" t="s">
        <v>1896</v>
      </c>
      <c r="C91" s="106"/>
      <c r="E91" s="90">
        <v>-60</v>
      </c>
      <c r="J91" s="574"/>
      <c r="K91" s="78"/>
      <c r="L91" s="78"/>
      <c r="M91" s="78"/>
      <c r="N91" s="78"/>
    </row>
    <row r="92" spans="1:14" s="90" customFormat="1">
      <c r="A92" s="100">
        <v>45821</v>
      </c>
      <c r="B92" s="107" t="s">
        <v>1897</v>
      </c>
      <c r="C92" s="106"/>
      <c r="E92" s="90">
        <v>-1425</v>
      </c>
      <c r="J92" s="574"/>
      <c r="K92" s="78"/>
      <c r="L92" s="78"/>
      <c r="M92" s="78"/>
      <c r="N92" s="78"/>
    </row>
    <row r="93" spans="1:14" s="90" customFormat="1">
      <c r="A93" s="100">
        <v>45822</v>
      </c>
      <c r="B93" s="107" t="s">
        <v>127</v>
      </c>
      <c r="C93" s="106"/>
      <c r="E93" s="90">
        <v>-510.46</v>
      </c>
      <c r="J93" s="574"/>
      <c r="K93" s="78"/>
      <c r="L93" s="78"/>
      <c r="M93" s="78"/>
      <c r="N93" s="78"/>
    </row>
    <row r="94" spans="1:14" s="90" customFormat="1">
      <c r="A94" s="100">
        <v>45824</v>
      </c>
      <c r="B94" s="107" t="s">
        <v>1898</v>
      </c>
      <c r="C94" s="106"/>
      <c r="E94" s="90">
        <v>-260</v>
      </c>
      <c r="J94" s="574"/>
      <c r="K94" s="78"/>
      <c r="L94" s="78"/>
      <c r="M94" s="78"/>
      <c r="N94" s="78"/>
    </row>
    <row r="95" spans="1:14" s="90" customFormat="1">
      <c r="A95" s="100">
        <v>45825</v>
      </c>
      <c r="B95" s="107" t="s">
        <v>651</v>
      </c>
      <c r="C95" s="106"/>
      <c r="E95" s="90">
        <v>-300</v>
      </c>
      <c r="J95" s="574"/>
      <c r="K95" s="78"/>
      <c r="L95" s="78"/>
      <c r="M95" s="78"/>
      <c r="N95" s="78"/>
    </row>
    <row r="96" spans="1:14" s="90" customFormat="1">
      <c r="A96" s="100">
        <v>45825</v>
      </c>
      <c r="B96" s="107" t="s">
        <v>1896</v>
      </c>
      <c r="C96" s="106"/>
      <c r="E96" s="90">
        <v>-300</v>
      </c>
      <c r="J96" s="574"/>
      <c r="K96" s="78"/>
      <c r="L96" s="78"/>
      <c r="M96" s="78"/>
      <c r="N96" s="78"/>
    </row>
    <row r="97" spans="1:14" s="90" customFormat="1">
      <c r="A97" s="100">
        <v>45826</v>
      </c>
      <c r="B97" s="107" t="s">
        <v>1896</v>
      </c>
      <c r="C97" s="106"/>
      <c r="E97" s="90">
        <v>-280</v>
      </c>
      <c r="J97" s="574"/>
      <c r="K97" s="78"/>
      <c r="L97" s="78"/>
      <c r="M97" s="78"/>
      <c r="N97" s="78"/>
    </row>
    <row r="98" spans="1:14" s="90" customFormat="1">
      <c r="A98" s="100">
        <v>45826</v>
      </c>
      <c r="B98" s="107" t="s">
        <v>127</v>
      </c>
      <c r="C98" s="106"/>
      <c r="E98" s="90">
        <v>-304.55</v>
      </c>
      <c r="J98" s="574"/>
      <c r="K98" s="78"/>
      <c r="L98" s="78"/>
      <c r="M98" s="78"/>
      <c r="N98" s="78"/>
    </row>
    <row r="99" spans="1:14" s="90" customFormat="1">
      <c r="A99" s="100">
        <v>45827</v>
      </c>
      <c r="B99" s="107" t="s">
        <v>1612</v>
      </c>
      <c r="C99" s="106"/>
      <c r="E99" s="90">
        <v>-200</v>
      </c>
      <c r="J99" s="574"/>
      <c r="K99" s="78"/>
      <c r="L99" s="78"/>
      <c r="M99" s="78"/>
      <c r="N99" s="78"/>
    </row>
    <row r="100" spans="1:14" s="90" customFormat="1">
      <c r="A100" s="100">
        <v>45827</v>
      </c>
      <c r="B100" s="107" t="s">
        <v>127</v>
      </c>
      <c r="C100" s="106"/>
      <c r="E100" s="90">
        <v>-82.01</v>
      </c>
      <c r="J100" s="574"/>
      <c r="K100" s="78"/>
      <c r="L100" s="78"/>
      <c r="M100" s="78"/>
      <c r="N100" s="78"/>
    </row>
    <row r="101" spans="1:14" s="90" customFormat="1">
      <c r="A101" s="100">
        <v>45828</v>
      </c>
      <c r="B101" s="90" t="s">
        <v>1899</v>
      </c>
      <c r="C101" s="106"/>
      <c r="E101" s="90">
        <v>-710</v>
      </c>
      <c r="J101" s="574"/>
      <c r="K101" s="78"/>
      <c r="L101" s="78"/>
      <c r="M101" s="78"/>
      <c r="N101" s="78"/>
    </row>
    <row r="102" spans="1:14" s="90" customFormat="1">
      <c r="A102" s="100">
        <v>45829</v>
      </c>
      <c r="B102" s="107" t="s">
        <v>1896</v>
      </c>
      <c r="C102" s="106"/>
      <c r="E102" s="90">
        <v>-280</v>
      </c>
      <c r="J102" s="574"/>
      <c r="K102" s="78"/>
      <c r="L102" s="78"/>
      <c r="M102" s="78"/>
      <c r="N102" s="78"/>
    </row>
    <row r="103" spans="1:14" s="90" customFormat="1">
      <c r="A103" s="100">
        <v>45832</v>
      </c>
      <c r="B103" s="107" t="s">
        <v>1900</v>
      </c>
      <c r="C103" s="106"/>
      <c r="E103" s="90">
        <v>-500</v>
      </c>
      <c r="J103" s="574"/>
      <c r="K103" s="78"/>
      <c r="L103" s="78"/>
      <c r="M103" s="78"/>
      <c r="N103" s="78"/>
    </row>
    <row r="104" spans="1:14" s="90" customFormat="1">
      <c r="A104" s="100">
        <v>45832</v>
      </c>
      <c r="B104" s="107" t="s">
        <v>1901</v>
      </c>
      <c r="C104" s="106"/>
      <c r="E104" s="90">
        <v>-250</v>
      </c>
      <c r="J104" s="574"/>
      <c r="K104" s="78"/>
      <c r="L104" s="78"/>
      <c r="M104" s="78"/>
      <c r="N104" s="78"/>
    </row>
    <row r="105" spans="1:14" s="90" customFormat="1" ht="15">
      <c r="A105" s="100"/>
      <c r="B105" s="107"/>
      <c r="C105" s="106"/>
      <c r="E105" s="105" t="s">
        <v>84</v>
      </c>
      <c r="J105" s="574"/>
      <c r="K105" s="78"/>
      <c r="L105" s="78"/>
      <c r="M105" s="78"/>
      <c r="N105" s="78"/>
    </row>
    <row r="106" spans="1:14" s="90" customFormat="1">
      <c r="A106" s="100"/>
      <c r="B106" s="107"/>
      <c r="C106" s="106"/>
      <c r="J106" s="574"/>
      <c r="K106" s="78"/>
      <c r="L106" s="78"/>
      <c r="M106" s="78"/>
      <c r="N106" s="78"/>
    </row>
    <row r="107" spans="1:14" s="90" customFormat="1">
      <c r="A107" s="100"/>
      <c r="B107" s="107"/>
      <c r="C107" s="106"/>
      <c r="J107" s="574"/>
      <c r="K107" s="78"/>
      <c r="L107" s="78"/>
      <c r="M107" s="78"/>
      <c r="N107" s="78"/>
    </row>
    <row r="108" spans="1:14" s="90" customFormat="1">
      <c r="A108" s="100"/>
      <c r="B108" s="107"/>
      <c r="C108" s="106"/>
      <c r="J108" s="574"/>
      <c r="K108" s="78"/>
      <c r="L108" s="78"/>
      <c r="M108" s="78"/>
      <c r="N108" s="78"/>
    </row>
    <row r="109" spans="1:14" s="77" customFormat="1">
      <c r="A109" s="100"/>
      <c r="B109" s="3"/>
      <c r="J109" s="574"/>
      <c r="K109" s="78"/>
      <c r="L109" s="78"/>
      <c r="M109" s="78"/>
      <c r="N109" s="78"/>
    </row>
    <row r="110" spans="1:14" s="77" customFormat="1">
      <c r="A110" s="100"/>
      <c r="B110" s="106"/>
      <c r="C110" s="106"/>
      <c r="J110" s="574"/>
      <c r="K110" s="78"/>
      <c r="L110" s="78"/>
      <c r="M110" s="78"/>
      <c r="N110" s="78"/>
    </row>
    <row r="111" spans="1:14" s="77" customFormat="1">
      <c r="A111" s="103"/>
      <c r="B111" s="104" t="s">
        <v>85</v>
      </c>
      <c r="C111" s="103"/>
      <c r="E111" s="77">
        <f>SUM(E112:E115)</f>
        <v>-1620.2</v>
      </c>
      <c r="J111" s="574"/>
      <c r="K111" s="78"/>
      <c r="L111" s="78"/>
      <c r="M111" s="78"/>
      <c r="N111" s="78"/>
    </row>
    <row r="112" spans="1:14" s="77" customFormat="1">
      <c r="A112" s="100"/>
      <c r="B112" s="106"/>
      <c r="C112" s="106"/>
      <c r="J112" s="574"/>
      <c r="K112" s="78"/>
      <c r="L112" s="78"/>
      <c r="M112" s="78"/>
      <c r="N112" s="78"/>
    </row>
    <row r="113" spans="1:14" s="77" customFormat="1">
      <c r="A113" s="98">
        <v>45728</v>
      </c>
      <c r="B113" s="90" t="s">
        <v>1687</v>
      </c>
      <c r="C113" s="11"/>
      <c r="D113" s="90" t="s">
        <v>1721</v>
      </c>
      <c r="E113" s="90">
        <v>-625</v>
      </c>
      <c r="J113" s="574"/>
      <c r="K113" s="78"/>
      <c r="L113" s="78"/>
      <c r="M113" s="78"/>
      <c r="N113" s="78"/>
    </row>
    <row r="114" spans="1:14" s="77" customFormat="1">
      <c r="A114" s="100"/>
      <c r="B114" s="3" t="s">
        <v>1894</v>
      </c>
      <c r="C114" s="106"/>
      <c r="E114" s="77">
        <v>-995.2</v>
      </c>
      <c r="J114" s="574"/>
      <c r="K114" s="78"/>
      <c r="L114" s="78"/>
      <c r="M114" s="78"/>
      <c r="N114" s="78"/>
    </row>
    <row r="115" spans="1:14" s="77" customFormat="1" ht="15">
      <c r="A115" s="100"/>
      <c r="B115" s="3"/>
      <c r="C115" s="106"/>
      <c r="E115" s="105" t="s">
        <v>84</v>
      </c>
      <c r="J115" s="574"/>
      <c r="K115" s="78"/>
      <c r="L115" s="78"/>
      <c r="M115" s="78"/>
      <c r="N115" s="78"/>
    </row>
    <row r="116" spans="1:14" s="77" customFormat="1">
      <c r="A116" s="100"/>
      <c r="B116" s="3"/>
      <c r="C116" s="106"/>
      <c r="J116" s="574"/>
      <c r="K116" s="78"/>
      <c r="L116" s="78"/>
      <c r="M116" s="78"/>
      <c r="N116" s="78"/>
    </row>
    <row r="117" spans="1:14" s="77" customFormat="1">
      <c r="A117" s="100"/>
      <c r="B117" s="3"/>
      <c r="C117" s="106"/>
      <c r="J117" s="574"/>
      <c r="K117" s="78"/>
      <c r="L117" s="78"/>
      <c r="M117" s="78"/>
      <c r="N117" s="78"/>
    </row>
    <row r="118" spans="1:14" s="77" customFormat="1">
      <c r="A118" s="100"/>
      <c r="B118" s="3"/>
      <c r="C118" s="106"/>
      <c r="J118" s="574"/>
      <c r="K118" s="78"/>
      <c r="L118" s="78"/>
      <c r="M118" s="78"/>
      <c r="N118" s="78"/>
    </row>
    <row r="119" spans="1:14" s="77" customFormat="1">
      <c r="A119" s="100"/>
      <c r="B119" s="3"/>
      <c r="C119" s="106"/>
      <c r="J119" s="574"/>
      <c r="K119" s="78"/>
      <c r="L119" s="78"/>
      <c r="M119" s="78"/>
      <c r="N119" s="78"/>
    </row>
    <row r="120" spans="1:14" s="77" customFormat="1">
      <c r="A120" s="100"/>
      <c r="B120" s="3"/>
      <c r="C120" s="106"/>
      <c r="J120" s="574"/>
      <c r="K120" s="78"/>
      <c r="L120" s="78"/>
      <c r="M120" s="78"/>
      <c r="N120" s="78"/>
    </row>
    <row r="121" spans="1:14">
      <c r="A121" s="113" t="s">
        <v>1911</v>
      </c>
      <c r="B121" s="104" t="s">
        <v>136</v>
      </c>
      <c r="C121" s="103">
        <v>2025</v>
      </c>
      <c r="D121" s="90"/>
      <c r="E121" s="90"/>
      <c r="F121" s="90"/>
      <c r="G121" s="90">
        <f>SUM(G125:G151)</f>
        <v>480873.57500000001</v>
      </c>
      <c r="H121" s="90"/>
      <c r="I121" s="90"/>
    </row>
    <row r="122" spans="1:14">
      <c r="A122" s="113"/>
      <c r="B122" s="104"/>
      <c r="C122" s="103"/>
      <c r="D122" s="90"/>
      <c r="E122" s="90"/>
      <c r="F122" s="90"/>
      <c r="G122" s="90"/>
      <c r="H122" s="90"/>
      <c r="I122" s="90"/>
    </row>
    <row r="123" spans="1:14">
      <c r="A123" s="113"/>
      <c r="B123" s="104"/>
      <c r="C123" s="103"/>
      <c r="D123" s="90"/>
      <c r="E123" s="90" t="s">
        <v>137</v>
      </c>
      <c r="F123" s="90"/>
      <c r="G123" s="90"/>
      <c r="H123" s="90"/>
      <c r="I123" s="90"/>
    </row>
    <row r="124" spans="1:14">
      <c r="A124" s="100"/>
      <c r="B124" s="90" t="s">
        <v>77</v>
      </c>
      <c r="C124" s="90"/>
      <c r="D124" s="90"/>
      <c r="E124" s="90"/>
      <c r="F124" s="90"/>
      <c r="G124" s="90">
        <v>0</v>
      </c>
      <c r="H124" s="90"/>
      <c r="I124" s="90"/>
    </row>
    <row r="125" spans="1:14">
      <c r="A125" s="100"/>
      <c r="B125" s="90" t="s">
        <v>78</v>
      </c>
      <c r="C125" s="90"/>
      <c r="D125" s="90"/>
      <c r="E125" s="90"/>
      <c r="F125" s="90"/>
      <c r="G125" s="90">
        <v>0</v>
      </c>
      <c r="H125" s="90"/>
      <c r="I125" s="90"/>
    </row>
    <row r="126" spans="1:14">
      <c r="A126" s="539">
        <v>45843</v>
      </c>
      <c r="B126" s="90" t="s">
        <v>1737</v>
      </c>
      <c r="C126" s="90"/>
      <c r="D126" s="90"/>
      <c r="E126" s="90">
        <v>51330</v>
      </c>
      <c r="F126" s="90">
        <v>0</v>
      </c>
      <c r="G126" s="90">
        <f>E126+F126</f>
        <v>51330</v>
      </c>
      <c r="H126" s="90"/>
      <c r="I126" s="90"/>
    </row>
    <row r="127" spans="1:14">
      <c r="A127" s="539"/>
      <c r="B127" s="90" t="s">
        <v>1738</v>
      </c>
      <c r="C127" s="90"/>
      <c r="D127" s="90"/>
      <c r="E127" s="90"/>
      <c r="F127" s="90"/>
      <c r="G127" s="90">
        <f>D107</f>
        <v>0</v>
      </c>
      <c r="H127" s="90"/>
      <c r="I127" s="90"/>
    </row>
    <row r="128" spans="1:14">
      <c r="A128" s="539">
        <v>45777</v>
      </c>
      <c r="B128" s="90" t="s">
        <v>139</v>
      </c>
      <c r="C128" s="12"/>
      <c r="D128" s="12"/>
      <c r="E128" s="90"/>
      <c r="F128" s="90"/>
      <c r="G128" s="17">
        <v>225</v>
      </c>
      <c r="H128" s="90"/>
      <c r="I128" s="90"/>
    </row>
    <row r="129" spans="1:14">
      <c r="A129" s="539">
        <v>45777</v>
      </c>
      <c r="B129" s="90" t="s">
        <v>140</v>
      </c>
      <c r="C129" s="12"/>
      <c r="D129" s="12"/>
      <c r="E129" s="90"/>
      <c r="F129" s="90"/>
      <c r="G129" s="17">
        <v>0</v>
      </c>
      <c r="H129" s="90"/>
      <c r="I129" s="90"/>
    </row>
    <row r="130" spans="1:14">
      <c r="A130" s="100"/>
      <c r="B130" s="90"/>
      <c r="C130" s="12"/>
      <c r="D130" s="12"/>
      <c r="E130" s="90"/>
      <c r="F130" s="90"/>
      <c r="G130" s="17"/>
      <c r="H130" s="90"/>
      <c r="I130" s="90" t="s">
        <v>1686</v>
      </c>
    </row>
    <row r="131" spans="1:14">
      <c r="A131" s="100"/>
      <c r="B131" s="82"/>
      <c r="C131" s="114"/>
      <c r="D131" s="114"/>
      <c r="E131" s="116"/>
      <c r="F131" s="90"/>
      <c r="G131" s="17"/>
      <c r="H131" s="90"/>
      <c r="I131" s="90"/>
    </row>
    <row r="132" spans="1:14">
      <c r="A132" s="100">
        <v>45620</v>
      </c>
      <c r="B132" s="82" t="s">
        <v>1604</v>
      </c>
      <c r="C132" s="114"/>
      <c r="D132" s="114">
        <v>32.549999999999997</v>
      </c>
      <c r="E132" s="116">
        <f t="shared" ref="E132:E134" si="1">D132*C132</f>
        <v>0</v>
      </c>
      <c r="F132" s="90">
        <v>46.68</v>
      </c>
      <c r="G132" s="17">
        <f>F132*C132</f>
        <v>0</v>
      </c>
      <c r="H132" s="90"/>
      <c r="I132" s="90">
        <f>G132-E132</f>
        <v>0</v>
      </c>
    </row>
    <row r="133" spans="1:14" s="11" customFormat="1">
      <c r="A133" s="100">
        <v>45659</v>
      </c>
      <c r="B133" s="82" t="s">
        <v>1603</v>
      </c>
      <c r="C133" s="114"/>
      <c r="D133" s="115">
        <v>30.86</v>
      </c>
      <c r="E133" s="116">
        <f t="shared" ref="E133" si="2">D133*C133</f>
        <v>0</v>
      </c>
      <c r="F133" s="90">
        <f>F132</f>
        <v>46.68</v>
      </c>
      <c r="G133" s="17">
        <f t="shared" ref="G133" si="3">F133*C133</f>
        <v>0</v>
      </c>
      <c r="H133" s="419">
        <f>SUM(G131:G133)</f>
        <v>0</v>
      </c>
      <c r="I133" s="90">
        <f t="shared" ref="I133" si="4">G133-E133</f>
        <v>0</v>
      </c>
      <c r="J133" s="574"/>
      <c r="K133" s="78"/>
      <c r="L133" s="78"/>
      <c r="M133" s="78"/>
      <c r="N133" s="78"/>
    </row>
    <row r="134" spans="1:14">
      <c r="A134" s="100">
        <v>45659</v>
      </c>
      <c r="B134" s="82" t="s">
        <v>1603</v>
      </c>
      <c r="C134" s="114">
        <v>3500</v>
      </c>
      <c r="D134" s="115">
        <v>30.86</v>
      </c>
      <c r="E134" s="116">
        <f t="shared" si="1"/>
        <v>108010</v>
      </c>
      <c r="F134" s="90">
        <v>46.58</v>
      </c>
      <c r="G134" s="17">
        <f t="shared" ref="G134" si="5">F134*C134</f>
        <v>163030</v>
      </c>
      <c r="H134" s="419">
        <f>SUM(G132:G134)</f>
        <v>163030</v>
      </c>
      <c r="I134" s="90">
        <f t="shared" ref="I134" si="6">G134-E134</f>
        <v>55020</v>
      </c>
    </row>
    <row r="135" spans="1:14" ht="13.5" thickBot="1">
      <c r="A135" s="100">
        <v>45804</v>
      </c>
      <c r="B135" s="82" t="s">
        <v>236</v>
      </c>
      <c r="C135" s="114"/>
      <c r="D135" s="115"/>
      <c r="E135" s="116"/>
      <c r="F135" s="90"/>
      <c r="G135" s="17"/>
      <c r="H135" s="419"/>
      <c r="I135" s="90"/>
    </row>
    <row r="136" spans="1:14" ht="13.5" thickBot="1">
      <c r="A136" s="100"/>
      <c r="B136" s="90"/>
      <c r="C136" s="12"/>
      <c r="D136" s="12"/>
      <c r="E136" s="90">
        <f>SUM(E131:E134)</f>
        <v>108010</v>
      </c>
      <c r="F136" s="90"/>
      <c r="G136" s="90"/>
      <c r="H136" s="117">
        <f>(SUM(G131:G134))-(SUM(E131:E134))</f>
        <v>55020</v>
      </c>
      <c r="I136" s="117">
        <f>SUM(I131:I134)</f>
        <v>55020</v>
      </c>
    </row>
    <row r="137" spans="1:14">
      <c r="A137" s="100"/>
      <c r="B137" s="90"/>
      <c r="C137" s="12"/>
      <c r="D137" s="12"/>
      <c r="E137" s="90"/>
      <c r="F137" s="90"/>
      <c r="G137" s="90"/>
      <c r="H137" s="90"/>
      <c r="I137" s="90"/>
    </row>
    <row r="138" spans="1:14">
      <c r="A138" s="100">
        <v>45345</v>
      </c>
      <c r="B138" s="82" t="s">
        <v>143</v>
      </c>
      <c r="C138" s="118">
        <v>125000</v>
      </c>
      <c r="D138" s="83">
        <v>1.0399430000000001</v>
      </c>
      <c r="E138" s="116">
        <f>D138*C138</f>
        <v>129992.87500000001</v>
      </c>
      <c r="F138" s="404">
        <v>0.90563899999999997</v>
      </c>
      <c r="G138" s="17">
        <f>F138*C138</f>
        <v>113204.875</v>
      </c>
      <c r="H138" s="90"/>
      <c r="I138" s="90">
        <f t="shared" ref="I138:I141" si="7">G138-E138</f>
        <v>-16788.000000000015</v>
      </c>
    </row>
    <row r="139" spans="1:14">
      <c r="A139" s="100">
        <v>45400</v>
      </c>
      <c r="B139" s="82" t="s">
        <v>144</v>
      </c>
      <c r="C139" s="114">
        <v>10</v>
      </c>
      <c r="D139" s="83">
        <v>135</v>
      </c>
      <c r="E139" s="116">
        <f>D139*C139</f>
        <v>1350</v>
      </c>
      <c r="F139" s="90">
        <v>139</v>
      </c>
      <c r="G139" s="17">
        <f>F139*C139</f>
        <v>1390</v>
      </c>
      <c r="H139" s="90"/>
      <c r="I139" s="90">
        <f t="shared" si="7"/>
        <v>40</v>
      </c>
    </row>
    <row r="140" spans="1:14">
      <c r="A140" s="100">
        <v>45418</v>
      </c>
      <c r="B140" s="82" t="s">
        <v>145</v>
      </c>
      <c r="C140" s="114">
        <v>38</v>
      </c>
      <c r="D140" s="83">
        <v>30.5</v>
      </c>
      <c r="E140" s="116">
        <f>D140*C140</f>
        <v>1159</v>
      </c>
      <c r="F140" s="90">
        <v>14.63</v>
      </c>
      <c r="G140" s="17">
        <f>F140*C140</f>
        <v>555.94000000000005</v>
      </c>
      <c r="H140" s="90"/>
      <c r="I140" s="90">
        <f t="shared" si="7"/>
        <v>-603.05999999999995</v>
      </c>
    </row>
    <row r="141" spans="1:14" ht="13.5" thickBot="1">
      <c r="A141" s="100">
        <v>45418</v>
      </c>
      <c r="B141" s="82" t="s">
        <v>146</v>
      </c>
      <c r="C141" s="114">
        <v>26</v>
      </c>
      <c r="D141" s="83">
        <v>37.115000000000002</v>
      </c>
      <c r="E141" s="116">
        <f>D141*C141</f>
        <v>964.99</v>
      </c>
      <c r="F141" s="90">
        <v>23.76</v>
      </c>
      <c r="G141" s="17">
        <f>F141*C141</f>
        <v>617.76</v>
      </c>
      <c r="H141" s="419">
        <f>SUM(G138:G141)</f>
        <v>115768.575</v>
      </c>
      <c r="I141" s="90">
        <f t="shared" si="7"/>
        <v>-347.23</v>
      </c>
    </row>
    <row r="142" spans="1:14" ht="13.5" thickBot="1">
      <c r="A142" s="100"/>
      <c r="B142" s="90"/>
      <c r="C142" s="12"/>
      <c r="D142" s="12"/>
      <c r="E142" s="90">
        <f>SUM(E138:E141)</f>
        <v>133466.86499999999</v>
      </c>
      <c r="F142" s="90"/>
      <c r="G142" s="90"/>
      <c r="H142" s="117">
        <f>(SUM(G138:G141))-(SUM(E138:E141))</f>
        <v>-17698.289999999994</v>
      </c>
      <c r="I142" s="90"/>
    </row>
    <row r="143" spans="1:14">
      <c r="A143" s="100"/>
      <c r="B143" s="90"/>
      <c r="C143" s="90"/>
      <c r="D143" s="90"/>
      <c r="E143" s="17"/>
      <c r="F143" s="90"/>
      <c r="G143" s="90"/>
      <c r="H143" s="90"/>
      <c r="I143" s="90"/>
    </row>
    <row r="144" spans="1:14">
      <c r="A144" s="100">
        <v>45509</v>
      </c>
      <c r="B144" s="82" t="s">
        <v>1731</v>
      </c>
      <c r="C144" s="114">
        <v>1</v>
      </c>
      <c r="D144" s="83">
        <v>2500</v>
      </c>
      <c r="E144" s="116">
        <f>D144*C144</f>
        <v>2500</v>
      </c>
      <c r="F144" s="90">
        <v>4200</v>
      </c>
      <c r="G144" s="17">
        <f>C144*F144</f>
        <v>4200</v>
      </c>
      <c r="H144" s="90"/>
      <c r="I144" s="90">
        <f t="shared" ref="I144:I146" si="8">G144-E144</f>
        <v>1700</v>
      </c>
    </row>
    <row r="145" spans="1:9">
      <c r="A145" s="100">
        <v>45509</v>
      </c>
      <c r="B145" s="82" t="s">
        <v>148</v>
      </c>
      <c r="C145" s="114">
        <v>16</v>
      </c>
      <c r="D145" s="83">
        <v>4100</v>
      </c>
      <c r="E145" s="116">
        <f>D145*C145</f>
        <v>65600</v>
      </c>
      <c r="F145" s="90">
        <f>F144*1.73</f>
        <v>7266</v>
      </c>
      <c r="G145" s="17">
        <f>C145*F145</f>
        <v>116256</v>
      </c>
      <c r="H145" s="90"/>
      <c r="I145" s="90">
        <f t="shared" si="8"/>
        <v>50656</v>
      </c>
    </row>
    <row r="146" spans="1:9" ht="13.5" thickBot="1">
      <c r="A146" s="100">
        <v>45509</v>
      </c>
      <c r="B146" s="82" t="s">
        <v>149</v>
      </c>
      <c r="C146" s="114">
        <v>1</v>
      </c>
      <c r="D146" s="83">
        <v>16200</v>
      </c>
      <c r="E146" s="116">
        <f>D146*C146</f>
        <v>16200</v>
      </c>
      <c r="F146" s="90">
        <f>F145*4</f>
        <v>29064</v>
      </c>
      <c r="G146" s="17">
        <f>C146*F146</f>
        <v>29064</v>
      </c>
      <c r="H146" s="419">
        <f>SUM(G144:G146)</f>
        <v>149520</v>
      </c>
      <c r="I146" s="90">
        <f t="shared" si="8"/>
        <v>12864</v>
      </c>
    </row>
    <row r="147" spans="1:9" ht="13.5" thickBot="1">
      <c r="A147" s="100"/>
      <c r="B147" s="90"/>
      <c r="C147" s="12"/>
      <c r="D147" s="12"/>
      <c r="E147" s="90">
        <f>SUM(E144:E146)</f>
        <v>84300</v>
      </c>
      <c r="F147" s="90"/>
      <c r="G147" s="90"/>
      <c r="H147" s="117">
        <f>(SUM(G144:G146))-(SUM(E144:E146))</f>
        <v>65220</v>
      </c>
      <c r="I147" s="90"/>
    </row>
    <row r="148" spans="1:9">
      <c r="A148" s="100"/>
      <c r="B148" s="90" t="s">
        <v>150</v>
      </c>
      <c r="C148" s="120">
        <v>33.250599999999999</v>
      </c>
      <c r="D148" s="12"/>
      <c r="E148" s="90"/>
      <c r="F148" s="90"/>
      <c r="G148" s="17"/>
      <c r="H148" s="90"/>
      <c r="I148" s="90"/>
    </row>
    <row r="149" spans="1:9">
      <c r="A149" s="100"/>
      <c r="B149" s="90" t="s">
        <v>151</v>
      </c>
      <c r="C149" s="120">
        <v>36.854999999999997</v>
      </c>
      <c r="D149" s="12"/>
      <c r="E149" s="90"/>
      <c r="F149" s="90"/>
      <c r="G149" s="17"/>
      <c r="H149" s="90"/>
      <c r="I149" s="90"/>
    </row>
    <row r="150" spans="1:9">
      <c r="A150" s="100"/>
      <c r="B150" s="90" t="s">
        <v>152</v>
      </c>
      <c r="C150" s="12"/>
      <c r="D150" s="12"/>
      <c r="E150" s="90"/>
      <c r="F150" s="90"/>
      <c r="G150" s="17">
        <v>0</v>
      </c>
      <c r="H150" s="90"/>
      <c r="I150" s="90"/>
    </row>
    <row r="151" spans="1:9" ht="13.5" thickBot="1">
      <c r="A151" s="100"/>
      <c r="B151" s="90" t="s">
        <v>153</v>
      </c>
      <c r="C151" s="12"/>
      <c r="D151" s="12"/>
      <c r="E151" s="90"/>
      <c r="F151" s="90"/>
      <c r="G151" s="17">
        <v>1000</v>
      </c>
      <c r="H151" s="90"/>
      <c r="I151" s="90"/>
    </row>
    <row r="152" spans="1:9" ht="13.5" thickBot="1">
      <c r="A152" s="100"/>
      <c r="B152" s="90"/>
      <c r="C152" s="90"/>
      <c r="D152" s="90"/>
      <c r="E152" s="121"/>
      <c r="F152" s="122"/>
      <c r="G152" s="123" t="s">
        <v>154</v>
      </c>
      <c r="H152" s="429">
        <f>H147+H142+H136</f>
        <v>102541.71</v>
      </c>
      <c r="I152" s="90"/>
    </row>
    <row r="153" spans="1:9" ht="13.5" thickBot="1">
      <c r="A153" s="100"/>
      <c r="B153" s="90"/>
      <c r="C153" s="124"/>
      <c r="D153" s="92"/>
      <c r="E153" s="90"/>
      <c r="F153" s="90"/>
      <c r="G153" s="124"/>
      <c r="H153" s="90"/>
      <c r="I153" s="90"/>
    </row>
    <row r="154" spans="1:9" ht="13.5" thickBot="1">
      <c r="A154" s="100"/>
      <c r="B154" s="90"/>
      <c r="C154" s="124"/>
      <c r="D154" s="18" t="s">
        <v>155</v>
      </c>
      <c r="E154" s="90"/>
      <c r="F154" s="90"/>
      <c r="G154" s="482">
        <f>SUM(G125:G151)</f>
        <v>480873.57500000001</v>
      </c>
      <c r="H154" s="90"/>
      <c r="I154" s="90"/>
    </row>
    <row r="155" spans="1:9">
      <c r="A155" s="100"/>
      <c r="B155" s="90"/>
      <c r="C155" s="126" t="str">
        <f>A121</f>
        <v>AĞSTOS  2025 e</v>
      </c>
      <c r="D155" s="126" t="s">
        <v>156</v>
      </c>
      <c r="E155" s="90"/>
      <c r="F155" s="90"/>
      <c r="G155" s="127"/>
      <c r="H155" s="90"/>
      <c r="I155" s="90"/>
    </row>
    <row r="156" spans="1:9">
      <c r="A156" s="100"/>
      <c r="B156" s="11"/>
      <c r="C156" s="438"/>
      <c r="D156" s="439"/>
      <c r="E156" s="405"/>
      <c r="F156" s="405"/>
      <c r="G156" s="409"/>
      <c r="H156" s="90"/>
      <c r="I156" s="90"/>
    </row>
    <row r="157" spans="1:9">
      <c r="A157" s="90"/>
      <c r="B157" s="90" t="s">
        <v>1685</v>
      </c>
      <c r="C157" s="90"/>
      <c r="D157" s="90"/>
      <c r="E157" s="90"/>
      <c r="F157" s="90"/>
      <c r="G157" s="90"/>
      <c r="H157" s="90"/>
      <c r="I157" s="11"/>
    </row>
    <row r="158" spans="1:9">
      <c r="A158" s="100">
        <v>45620</v>
      </c>
      <c r="B158" s="82" t="s">
        <v>1604</v>
      </c>
      <c r="C158" s="114">
        <v>1000</v>
      </c>
      <c r="D158" s="114">
        <v>32.549999999999997</v>
      </c>
      <c r="E158" s="116">
        <f t="shared" ref="E158:E159" si="9">D158*C158</f>
        <v>32549.999999999996</v>
      </c>
      <c r="F158" s="90">
        <v>46.68</v>
      </c>
      <c r="G158" s="17">
        <f>F158*C158</f>
        <v>46680</v>
      </c>
      <c r="H158" s="90">
        <f>G158-E158</f>
        <v>14130.000000000004</v>
      </c>
    </row>
    <row r="159" spans="1:9">
      <c r="A159" s="100">
        <v>45659</v>
      </c>
      <c r="B159" s="82" t="s">
        <v>1603</v>
      </c>
      <c r="C159" s="114">
        <v>500</v>
      </c>
      <c r="D159" s="115">
        <v>30.86</v>
      </c>
      <c r="E159" s="116">
        <f t="shared" si="9"/>
        <v>15430</v>
      </c>
      <c r="F159" s="90">
        <f>F158</f>
        <v>46.68</v>
      </c>
      <c r="G159" s="17">
        <f t="shared" ref="G159" si="10">F159*C159</f>
        <v>23340</v>
      </c>
      <c r="H159" s="90">
        <f>G159-E159</f>
        <v>7910</v>
      </c>
    </row>
    <row r="160" spans="1:9">
      <c r="A160" s="100"/>
      <c r="B160" s="82" t="s">
        <v>1912</v>
      </c>
      <c r="C160" s="114"/>
      <c r="D160" s="115"/>
      <c r="E160" s="116"/>
      <c r="F160" s="115"/>
      <c r="G160" s="17"/>
      <c r="H160" s="90"/>
      <c r="I160" s="11"/>
    </row>
    <row r="161" spans="1:9">
      <c r="A161" s="100"/>
      <c r="B161" s="82"/>
      <c r="C161" s="114"/>
      <c r="D161" s="115"/>
      <c r="E161" s="116"/>
      <c r="F161" s="404"/>
      <c r="G161" s="17"/>
      <c r="H161" s="90"/>
      <c r="I161" s="443"/>
    </row>
    <row r="162" spans="1:9">
      <c r="A162" s="406"/>
      <c r="B162" s="82"/>
      <c r="C162" s="114"/>
      <c r="D162" s="115"/>
      <c r="E162" s="116"/>
      <c r="F162" s="90"/>
      <c r="G162" s="17"/>
      <c r="H162" s="90"/>
      <c r="I162" s="90"/>
    </row>
    <row r="163" spans="1:9" ht="13.5" thickBot="1">
      <c r="A163" s="407"/>
      <c r="B163" s="82"/>
      <c r="C163" s="407"/>
      <c r="D163" s="405"/>
      <c r="E163" s="405"/>
      <c r="F163" s="405"/>
      <c r="G163" s="405"/>
      <c r="H163" s="407"/>
      <c r="I163" s="11"/>
    </row>
    <row r="164" spans="1:9">
      <c r="A164" s="428"/>
      <c r="B164" s="428"/>
      <c r="C164" s="428"/>
      <c r="D164" s="417"/>
      <c r="E164" s="417"/>
      <c r="F164" s="417"/>
      <c r="G164" s="417">
        <f>SUM(G158:G163)</f>
        <v>70020</v>
      </c>
      <c r="H164" s="480">
        <f>SUM(H158:H163)</f>
        <v>22040.000000000004</v>
      </c>
      <c r="I164" s="11"/>
    </row>
    <row r="165" spans="1:9">
      <c r="A165" s="11"/>
      <c r="B165" s="11"/>
      <c r="C165" s="11"/>
      <c r="D165" s="90"/>
      <c r="E165" s="90"/>
      <c r="F165" s="90"/>
      <c r="G165" s="90"/>
      <c r="H165" s="90"/>
      <c r="I165" s="11"/>
    </row>
    <row r="166" spans="1:9">
      <c r="A166" s="98"/>
      <c r="B166" s="11"/>
      <c r="C166" s="11"/>
      <c r="D166" s="90"/>
      <c r="E166" s="90"/>
      <c r="F166" s="90"/>
      <c r="G166" s="90"/>
      <c r="H166" s="90"/>
      <c r="I166" s="11"/>
    </row>
    <row r="167" spans="1:9" ht="18">
      <c r="A167" s="493" t="s">
        <v>1743</v>
      </c>
      <c r="B167" s="11"/>
      <c r="C167" s="11"/>
      <c r="D167" s="90"/>
      <c r="E167" s="90"/>
      <c r="F167" s="90"/>
      <c r="G167" s="90"/>
      <c r="H167" s="90"/>
      <c r="I167" s="11"/>
    </row>
    <row r="168" spans="1:9" ht="15.75">
      <c r="A168" s="98"/>
      <c r="B168" s="476">
        <f>1-76.4616%</f>
        <v>0.23538399999999993</v>
      </c>
      <c r="C168" s="477">
        <v>0.76461599999999996</v>
      </c>
      <c r="D168" s="404"/>
      <c r="E168" s="90"/>
      <c r="F168" s="90"/>
      <c r="G168" s="90"/>
      <c r="H168" s="90"/>
      <c r="I168" s="11"/>
    </row>
    <row r="169" spans="1:9" ht="15.75">
      <c r="A169" s="98"/>
      <c r="B169" s="476" t="s">
        <v>1883</v>
      </c>
      <c r="C169" s="477"/>
      <c r="D169" s="404"/>
      <c r="E169" s="90"/>
      <c r="F169" s="90"/>
      <c r="G169" s="90"/>
      <c r="H169" s="90"/>
      <c r="I169" s="11"/>
    </row>
    <row r="170" spans="1:9" ht="15.75">
      <c r="A170" s="98"/>
      <c r="B170" s="476" t="s">
        <v>1744</v>
      </c>
      <c r="C170" s="477"/>
      <c r="D170" s="404"/>
      <c r="E170" s="90"/>
      <c r="F170" s="90"/>
      <c r="G170" s="90"/>
      <c r="H170" s="90"/>
      <c r="I170" s="11"/>
    </row>
    <row r="171" spans="1:9" ht="15.75">
      <c r="A171" s="98"/>
      <c r="B171" s="476" t="s">
        <v>1747</v>
      </c>
      <c r="C171" s="477"/>
      <c r="D171" s="404"/>
      <c r="E171" s="90"/>
      <c r="F171" s="90"/>
      <c r="G171" s="90"/>
      <c r="H171" s="90"/>
      <c r="I171" s="11"/>
    </row>
    <row r="172" spans="1:9" ht="15.75">
      <c r="A172" s="98"/>
      <c r="B172" s="476" t="s">
        <v>1746</v>
      </c>
      <c r="C172" s="477"/>
      <c r="D172" s="404"/>
      <c r="E172" s="90"/>
      <c r="F172" s="90"/>
      <c r="G172" s="90"/>
      <c r="H172" s="90"/>
      <c r="I172" s="11"/>
    </row>
    <row r="173" spans="1:9" ht="16.5" thickBot="1">
      <c r="A173" s="98"/>
      <c r="B173" s="476"/>
      <c r="C173" s="11" t="s">
        <v>1749</v>
      </c>
      <c r="D173" s="11" t="s">
        <v>1748</v>
      </c>
      <c r="E173" s="90" t="s">
        <v>1740</v>
      </c>
      <c r="F173" s="490">
        <v>138749.76000000001</v>
      </c>
      <c r="G173" s="11" t="s">
        <v>1741</v>
      </c>
      <c r="H173" s="90" t="s">
        <v>3</v>
      </c>
      <c r="I173" s="11"/>
    </row>
    <row r="174" spans="1:9" ht="13.5" thickBot="1">
      <c r="A174" s="100"/>
      <c r="B174" s="82" t="s">
        <v>1881</v>
      </c>
      <c r="C174" s="118">
        <v>160</v>
      </c>
      <c r="D174" s="384">
        <f>C174</f>
        <v>160</v>
      </c>
      <c r="E174" s="83">
        <v>872.26</v>
      </c>
      <c r="F174" s="491">
        <f>E174*D174</f>
        <v>139561.60000000001</v>
      </c>
      <c r="G174" s="481">
        <v>962.89330700000005</v>
      </c>
      <c r="H174" s="567">
        <f>G174*C174</f>
        <v>154062.92912000002</v>
      </c>
      <c r="I174" s="12">
        <f>H174</f>
        <v>154062.92912000002</v>
      </c>
    </row>
    <row r="175" spans="1:9" ht="13.5" thickBot="1">
      <c r="A175" s="100"/>
      <c r="B175" s="82" t="s">
        <v>1880</v>
      </c>
      <c r="C175" s="118">
        <v>78</v>
      </c>
      <c r="D175" s="384">
        <f>D174+C175</f>
        <v>238</v>
      </c>
      <c r="E175" s="83">
        <v>872.26</v>
      </c>
      <c r="F175" s="491">
        <f t="shared" ref="F175:F199" si="11">E175*D175</f>
        <v>207597.88</v>
      </c>
      <c r="G175" s="403">
        <f>G176</f>
        <v>962.89330700000005</v>
      </c>
      <c r="H175" s="567">
        <f>G175*C175</f>
        <v>75105.677946000011</v>
      </c>
      <c r="I175" s="12">
        <f>I174+H175</f>
        <v>229168.60706600003</v>
      </c>
    </row>
    <row r="176" spans="1:9" ht="13.5" thickBot="1">
      <c r="A176" s="489">
        <v>45755</v>
      </c>
      <c r="B176" s="492" t="s">
        <v>1848</v>
      </c>
      <c r="C176" s="118">
        <v>-21</v>
      </c>
      <c r="D176" s="384">
        <f>D175+C176</f>
        <v>217</v>
      </c>
      <c r="E176" s="83">
        <v>872.26</v>
      </c>
      <c r="F176" s="491">
        <f t="shared" si="11"/>
        <v>189280.41999999998</v>
      </c>
      <c r="G176" s="403">
        <f>G174</f>
        <v>962.89330700000005</v>
      </c>
      <c r="H176" s="568">
        <f>G176*C176</f>
        <v>-20220.759447</v>
      </c>
      <c r="I176" s="12">
        <f>I175+H176</f>
        <v>208947.84761900004</v>
      </c>
    </row>
    <row r="177" spans="1:10" ht="13.5" thickBot="1">
      <c r="A177" s="100"/>
      <c r="B177" s="82" t="s">
        <v>1742</v>
      </c>
      <c r="C177" s="565"/>
      <c r="D177" s="384">
        <f t="shared" ref="D177:D199" si="12">D176+C177</f>
        <v>217</v>
      </c>
      <c r="E177" s="83">
        <v>872.26</v>
      </c>
      <c r="F177" s="491">
        <f t="shared" si="11"/>
        <v>189280.41999999998</v>
      </c>
      <c r="G177" s="403">
        <f>G175</f>
        <v>962.89330700000005</v>
      </c>
      <c r="H177" s="384">
        <v>-300.32</v>
      </c>
      <c r="I177" s="12">
        <f>I176+H177</f>
        <v>208647.52761900003</v>
      </c>
    </row>
    <row r="178" spans="1:10" ht="13.5" thickBot="1">
      <c r="A178" s="489">
        <v>45786</v>
      </c>
      <c r="B178" s="492" t="s">
        <v>1849</v>
      </c>
      <c r="C178" s="566">
        <v>-20</v>
      </c>
      <c r="D178" s="384">
        <f t="shared" si="12"/>
        <v>197</v>
      </c>
      <c r="E178" s="83">
        <v>872.26</v>
      </c>
      <c r="F178" s="491">
        <f t="shared" si="11"/>
        <v>171835.22</v>
      </c>
      <c r="G178" s="403">
        <v>1000.86</v>
      </c>
      <c r="H178" s="568">
        <f>G178*C178</f>
        <v>-20017.2</v>
      </c>
      <c r="I178" s="12">
        <f>I177+H178</f>
        <v>188630.32761900002</v>
      </c>
    </row>
    <row r="179" spans="1:10" ht="13.5" thickBot="1">
      <c r="A179" s="489"/>
      <c r="B179" s="492"/>
      <c r="C179" s="566"/>
      <c r="D179" s="384">
        <f t="shared" si="12"/>
        <v>197</v>
      </c>
      <c r="E179" s="83">
        <v>872.26</v>
      </c>
      <c r="F179" s="491">
        <f t="shared" si="11"/>
        <v>171835.22</v>
      </c>
      <c r="G179" s="403">
        <v>1000.86</v>
      </c>
      <c r="H179" s="568">
        <v>-257.18</v>
      </c>
      <c r="I179" s="12">
        <f t="shared" ref="I179:I199" si="13">I178+H179</f>
        <v>188373.14761900002</v>
      </c>
    </row>
    <row r="180" spans="1:10" ht="13.5" thickBot="1">
      <c r="A180" s="100">
        <v>45818</v>
      </c>
      <c r="B180" s="492" t="s">
        <v>1850</v>
      </c>
      <c r="C180" s="565">
        <v>-20</v>
      </c>
      <c r="D180" s="384">
        <f t="shared" si="12"/>
        <v>177</v>
      </c>
      <c r="E180" s="83">
        <v>872.26</v>
      </c>
      <c r="F180" s="491">
        <f t="shared" si="11"/>
        <v>154390.01999999999</v>
      </c>
      <c r="G180" s="403">
        <v>1043.4576589999999</v>
      </c>
      <c r="H180" s="568">
        <f>G180*C180</f>
        <v>-20869.153179999998</v>
      </c>
      <c r="I180" s="12">
        <f t="shared" si="13"/>
        <v>167503.99443900003</v>
      </c>
    </row>
    <row r="181" spans="1:10" ht="13.5" thickBot="1">
      <c r="A181" s="100"/>
      <c r="B181" s="82"/>
      <c r="C181" s="565"/>
      <c r="D181" s="384">
        <f t="shared" si="12"/>
        <v>177</v>
      </c>
      <c r="E181" s="83">
        <v>872.26</v>
      </c>
      <c r="F181" s="491">
        <f t="shared" si="11"/>
        <v>154390.01999999999</v>
      </c>
      <c r="G181" s="403">
        <v>1043.4576589999999</v>
      </c>
      <c r="H181" s="384">
        <v>-342.39</v>
      </c>
      <c r="I181" s="12">
        <f t="shared" si="13"/>
        <v>167161.60443900002</v>
      </c>
    </row>
    <row r="182" spans="1:10" ht="13.5" thickBot="1">
      <c r="A182" s="100">
        <v>45846</v>
      </c>
      <c r="B182" s="492" t="s">
        <v>1851</v>
      </c>
      <c r="C182" s="388">
        <v>-19</v>
      </c>
      <c r="D182" s="90">
        <f t="shared" si="12"/>
        <v>158</v>
      </c>
      <c r="E182" s="83">
        <v>872.26</v>
      </c>
      <c r="F182" s="491">
        <f t="shared" si="11"/>
        <v>137817.07999999999</v>
      </c>
      <c r="G182" s="403">
        <v>1080.914657</v>
      </c>
      <c r="H182" s="141">
        <f>G182*C182</f>
        <v>-20537.378483</v>
      </c>
      <c r="I182" s="12">
        <f t="shared" si="13"/>
        <v>146624.22595600001</v>
      </c>
      <c r="J182" s="424">
        <v>0.16400000000000001</v>
      </c>
    </row>
    <row r="183" spans="1:10" ht="13.5" thickBot="1">
      <c r="A183" s="100"/>
      <c r="B183" s="82"/>
      <c r="C183" s="388"/>
      <c r="D183" s="90">
        <f t="shared" si="12"/>
        <v>158</v>
      </c>
      <c r="E183" s="83">
        <v>872.26</v>
      </c>
      <c r="F183" s="491">
        <f t="shared" si="11"/>
        <v>137817.07999999999</v>
      </c>
      <c r="G183" s="403">
        <v>1080</v>
      </c>
      <c r="H183" s="90">
        <v>-396.44</v>
      </c>
      <c r="I183" s="12">
        <f t="shared" si="13"/>
        <v>146227.78595600001</v>
      </c>
    </row>
    <row r="184" spans="1:10" ht="13.5" thickBot="1">
      <c r="A184" s="100"/>
      <c r="B184" s="492" t="s">
        <v>1852</v>
      </c>
      <c r="C184" s="388">
        <v>-20</v>
      </c>
      <c r="D184" s="90">
        <f t="shared" si="12"/>
        <v>138</v>
      </c>
      <c r="E184" s="83">
        <v>872.26</v>
      </c>
      <c r="F184" s="491">
        <f t="shared" si="11"/>
        <v>120371.88</v>
      </c>
      <c r="G184" s="403">
        <v>1120</v>
      </c>
      <c r="H184" s="141">
        <f>G184*C184</f>
        <v>-22400</v>
      </c>
      <c r="I184" s="12">
        <f t="shared" si="13"/>
        <v>123827.78595600001</v>
      </c>
    </row>
    <row r="185" spans="1:10" ht="13.5" thickBot="1">
      <c r="A185" s="100"/>
      <c r="B185" s="82"/>
      <c r="C185" s="388"/>
      <c r="D185" s="90">
        <f t="shared" si="12"/>
        <v>138</v>
      </c>
      <c r="E185" s="83">
        <v>872.26</v>
      </c>
      <c r="F185" s="491">
        <f t="shared" si="11"/>
        <v>120371.88</v>
      </c>
      <c r="G185" s="403">
        <v>1120</v>
      </c>
      <c r="H185" s="90"/>
      <c r="I185" s="12">
        <f t="shared" si="13"/>
        <v>123827.78595600001</v>
      </c>
    </row>
    <row r="186" spans="1:10" ht="13.5" thickBot="1">
      <c r="A186" s="100"/>
      <c r="B186" s="492" t="s">
        <v>1853</v>
      </c>
      <c r="C186" s="388">
        <v>-20</v>
      </c>
      <c r="D186" s="90">
        <f t="shared" si="12"/>
        <v>118</v>
      </c>
      <c r="E186" s="83">
        <v>872.26</v>
      </c>
      <c r="F186" s="491">
        <f t="shared" si="11"/>
        <v>102926.68</v>
      </c>
      <c r="G186" s="403">
        <v>1160</v>
      </c>
      <c r="H186" s="141">
        <f>G186*C186</f>
        <v>-23200</v>
      </c>
      <c r="I186" s="12">
        <f t="shared" si="13"/>
        <v>100627.78595600001</v>
      </c>
    </row>
    <row r="187" spans="1:10" ht="13.5" thickBot="1">
      <c r="A187" s="100"/>
      <c r="B187" s="82"/>
      <c r="C187" s="388"/>
      <c r="D187" s="90">
        <f t="shared" si="12"/>
        <v>118</v>
      </c>
      <c r="E187" s="83">
        <v>872.26</v>
      </c>
      <c r="F187" s="491">
        <f t="shared" si="11"/>
        <v>102926.68</v>
      </c>
      <c r="G187" s="403">
        <v>1160</v>
      </c>
      <c r="H187" s="90"/>
      <c r="I187" s="12">
        <f t="shared" si="13"/>
        <v>100627.78595600001</v>
      </c>
    </row>
    <row r="188" spans="1:10" ht="13.5" thickBot="1">
      <c r="A188" s="100"/>
      <c r="B188" s="492" t="s">
        <v>1854</v>
      </c>
      <c r="C188" s="388">
        <v>-17</v>
      </c>
      <c r="D188" s="90">
        <f t="shared" si="12"/>
        <v>101</v>
      </c>
      <c r="E188" s="83">
        <v>872.26</v>
      </c>
      <c r="F188" s="491">
        <f t="shared" si="11"/>
        <v>88098.26</v>
      </c>
      <c r="G188" s="403">
        <v>1200</v>
      </c>
      <c r="H188" s="141">
        <f>G188*C188</f>
        <v>-20400</v>
      </c>
      <c r="I188" s="12">
        <f t="shared" si="13"/>
        <v>80227.785956000007</v>
      </c>
    </row>
    <row r="189" spans="1:10" ht="13.5" thickBot="1">
      <c r="A189" s="100"/>
      <c r="B189" s="82"/>
      <c r="C189" s="388"/>
      <c r="D189" s="90">
        <f t="shared" si="12"/>
        <v>101</v>
      </c>
      <c r="E189" s="83">
        <v>872.26</v>
      </c>
      <c r="F189" s="491">
        <f t="shared" si="11"/>
        <v>88098.26</v>
      </c>
      <c r="G189" s="403">
        <v>1200</v>
      </c>
      <c r="H189" s="90"/>
      <c r="I189" s="12">
        <f t="shared" si="13"/>
        <v>80227.785956000007</v>
      </c>
    </row>
    <row r="190" spans="1:10" ht="13.5" thickBot="1">
      <c r="A190" s="100"/>
      <c r="B190" s="492" t="s">
        <v>1855</v>
      </c>
      <c r="C190" s="388">
        <v>-20</v>
      </c>
      <c r="D190" s="90">
        <f t="shared" si="12"/>
        <v>81</v>
      </c>
      <c r="E190" s="83">
        <v>872.26</v>
      </c>
      <c r="F190" s="491">
        <f t="shared" si="11"/>
        <v>70653.06</v>
      </c>
      <c r="G190" s="403">
        <v>1240</v>
      </c>
      <c r="H190" s="141">
        <f>G190*C190</f>
        <v>-24800</v>
      </c>
      <c r="I190" s="12">
        <f t="shared" si="13"/>
        <v>55427.785956000007</v>
      </c>
    </row>
    <row r="191" spans="1:10" ht="13.5" thickBot="1">
      <c r="A191" s="100"/>
      <c r="B191" s="82"/>
      <c r="C191" s="388"/>
      <c r="D191" s="90">
        <f t="shared" si="12"/>
        <v>81</v>
      </c>
      <c r="E191" s="83">
        <v>872.26</v>
      </c>
      <c r="F191" s="491">
        <f t="shared" si="11"/>
        <v>70653.06</v>
      </c>
      <c r="G191" s="403">
        <v>1240</v>
      </c>
      <c r="H191" s="90"/>
      <c r="I191" s="12">
        <f t="shared" si="13"/>
        <v>55427.785956000007</v>
      </c>
    </row>
    <row r="192" spans="1:10" ht="13.5" thickBot="1">
      <c r="A192" s="100"/>
      <c r="B192" s="492" t="s">
        <v>1856</v>
      </c>
      <c r="C192" s="388">
        <v>-20</v>
      </c>
      <c r="D192" s="90">
        <f t="shared" si="12"/>
        <v>61</v>
      </c>
      <c r="E192" s="83">
        <v>872.26</v>
      </c>
      <c r="F192" s="491">
        <f t="shared" si="11"/>
        <v>53207.86</v>
      </c>
      <c r="G192" s="403">
        <v>1280</v>
      </c>
      <c r="H192" s="141">
        <f>G192*C192</f>
        <v>-25600</v>
      </c>
      <c r="I192" s="12">
        <f t="shared" si="13"/>
        <v>29827.785956000007</v>
      </c>
    </row>
    <row r="193" spans="1:9" ht="13.5" thickBot="1">
      <c r="A193" s="100"/>
      <c r="B193" s="82"/>
      <c r="C193" s="388"/>
      <c r="D193" s="90">
        <f t="shared" si="12"/>
        <v>61</v>
      </c>
      <c r="E193" s="83">
        <v>872.26</v>
      </c>
      <c r="F193" s="491">
        <f t="shared" si="11"/>
        <v>53207.86</v>
      </c>
      <c r="G193" s="403">
        <v>1280</v>
      </c>
      <c r="H193" s="90"/>
      <c r="I193" s="12">
        <f t="shared" si="13"/>
        <v>29827.785956000007</v>
      </c>
    </row>
    <row r="194" spans="1:9" ht="13.5" thickBot="1">
      <c r="A194" s="100"/>
      <c r="B194" s="492" t="s">
        <v>1857</v>
      </c>
      <c r="C194" s="388">
        <v>-20</v>
      </c>
      <c r="D194" s="90">
        <f t="shared" si="12"/>
        <v>41</v>
      </c>
      <c r="E194" s="83">
        <v>872.26</v>
      </c>
      <c r="F194" s="491">
        <f t="shared" si="11"/>
        <v>35762.659999999996</v>
      </c>
      <c r="G194" s="403">
        <v>1300</v>
      </c>
      <c r="H194" s="141">
        <f>G194*C194</f>
        <v>-26000</v>
      </c>
      <c r="I194" s="12">
        <f t="shared" si="13"/>
        <v>3827.785956000007</v>
      </c>
    </row>
    <row r="195" spans="1:9" ht="13.5" thickBot="1">
      <c r="A195" s="100"/>
      <c r="B195" s="82"/>
      <c r="C195" s="388"/>
      <c r="D195" s="90">
        <f t="shared" si="12"/>
        <v>41</v>
      </c>
      <c r="E195" s="83">
        <v>872.26</v>
      </c>
      <c r="F195" s="491">
        <f t="shared" si="11"/>
        <v>35762.659999999996</v>
      </c>
      <c r="G195" s="403">
        <v>1300</v>
      </c>
      <c r="H195" s="90"/>
      <c r="I195" s="12">
        <f t="shared" si="13"/>
        <v>3827.785956000007</v>
      </c>
    </row>
    <row r="196" spans="1:9" ht="13.5" thickBot="1">
      <c r="A196" s="100"/>
      <c r="B196" s="492" t="s">
        <v>1858</v>
      </c>
      <c r="C196" s="388">
        <v>-20</v>
      </c>
      <c r="D196" s="90">
        <f t="shared" si="12"/>
        <v>21</v>
      </c>
      <c r="E196" s="83">
        <v>872.26</v>
      </c>
      <c r="F196" s="491">
        <f t="shared" si="11"/>
        <v>18317.46</v>
      </c>
      <c r="G196" s="403">
        <v>1330</v>
      </c>
      <c r="H196" s="141">
        <f>G196*C196</f>
        <v>-26600</v>
      </c>
      <c r="I196" s="12">
        <f t="shared" si="13"/>
        <v>-22772.214043999993</v>
      </c>
    </row>
    <row r="197" spans="1:9" ht="13.5" thickBot="1">
      <c r="A197" s="100"/>
      <c r="B197" s="82"/>
      <c r="C197" s="388"/>
      <c r="D197" s="90">
        <f t="shared" si="12"/>
        <v>21</v>
      </c>
      <c r="E197" s="83">
        <v>872.26</v>
      </c>
      <c r="F197" s="491">
        <f t="shared" si="11"/>
        <v>18317.46</v>
      </c>
      <c r="G197" s="403">
        <v>1330</v>
      </c>
      <c r="H197" s="90"/>
      <c r="I197" s="12">
        <f t="shared" si="13"/>
        <v>-22772.214043999993</v>
      </c>
    </row>
    <row r="198" spans="1:9" ht="13.5" thickBot="1">
      <c r="A198" s="100"/>
      <c r="B198" s="492" t="s">
        <v>1859</v>
      </c>
      <c r="C198" s="388">
        <v>-20</v>
      </c>
      <c r="D198" s="90">
        <f t="shared" si="12"/>
        <v>1</v>
      </c>
      <c r="E198" s="83">
        <v>872.26</v>
      </c>
      <c r="F198" s="491">
        <f t="shared" si="11"/>
        <v>872.26</v>
      </c>
      <c r="G198" s="403">
        <v>1360</v>
      </c>
      <c r="H198" s="141">
        <f>G198*C198</f>
        <v>-27200</v>
      </c>
      <c r="I198" s="12">
        <f t="shared" si="13"/>
        <v>-49972.214043999993</v>
      </c>
    </row>
    <row r="199" spans="1:9">
      <c r="A199" s="100"/>
      <c r="B199" s="82"/>
      <c r="C199" s="388"/>
      <c r="D199" s="90">
        <f t="shared" si="12"/>
        <v>1</v>
      </c>
      <c r="E199" s="83">
        <v>872.26</v>
      </c>
      <c r="F199" s="491">
        <f t="shared" si="11"/>
        <v>872.26</v>
      </c>
      <c r="G199" s="403">
        <v>1360</v>
      </c>
      <c r="H199" s="90"/>
      <c r="I199" s="12">
        <f t="shared" si="13"/>
        <v>-49972.214043999993</v>
      </c>
    </row>
    <row r="200" spans="1:9">
      <c r="A200" s="100"/>
      <c r="B200" s="82"/>
      <c r="C200" s="388"/>
      <c r="D200" s="90"/>
      <c r="E200" s="83"/>
      <c r="F200" s="491"/>
      <c r="G200" s="403"/>
      <c r="H200" s="90"/>
      <c r="I200" s="12"/>
    </row>
    <row r="201" spans="1:9">
      <c r="A201" s="549"/>
      <c r="B201" s="466"/>
      <c r="C201" s="550"/>
      <c r="D201" s="551"/>
      <c r="E201" s="405"/>
      <c r="F201" s="409"/>
      <c r="G201" s="551"/>
      <c r="H201" s="552">
        <f>SUM(H176:H200)</f>
        <v>-279140.82111000002</v>
      </c>
      <c r="I201" s="440"/>
    </row>
    <row r="202" spans="1:9">
      <c r="A202" s="553"/>
      <c r="B202" s="407"/>
      <c r="C202" s="408"/>
      <c r="D202" s="405"/>
      <c r="E202" s="405"/>
      <c r="F202" s="405"/>
      <c r="G202" s="405"/>
      <c r="H202" s="409"/>
      <c r="I202" s="90"/>
    </row>
    <row r="203" spans="1:9">
      <c r="A203" s="100"/>
      <c r="B203" s="90" t="s">
        <v>1882</v>
      </c>
      <c r="C203" s="438"/>
      <c r="D203" s="439"/>
      <c r="E203" s="405"/>
      <c r="F203" s="405"/>
      <c r="G203" s="409"/>
      <c r="H203" s="90"/>
      <c r="I203" s="90"/>
    </row>
    <row r="204" spans="1:9">
      <c r="A204" s="98"/>
      <c r="B204" s="11"/>
      <c r="C204" s="11"/>
      <c r="D204" s="90"/>
      <c r="E204" s="90"/>
      <c r="F204" s="90"/>
      <c r="G204" s="90"/>
      <c r="H204" s="90"/>
      <c r="I204" s="11"/>
    </row>
    <row r="205" spans="1:9">
      <c r="A205" s="98"/>
      <c r="B205" s="11"/>
      <c r="C205" s="11"/>
      <c r="D205" s="90"/>
      <c r="E205" s="90"/>
      <c r="F205" s="90"/>
      <c r="G205" s="90"/>
      <c r="H205" s="90"/>
      <c r="I205" s="11"/>
    </row>
    <row r="206" spans="1:9">
      <c r="A206" s="98"/>
      <c r="B206" s="11"/>
      <c r="C206" s="11"/>
      <c r="D206" s="90"/>
      <c r="E206" s="90"/>
      <c r="F206" s="90"/>
      <c r="G206" s="90"/>
      <c r="H206" s="90"/>
      <c r="I206" s="11"/>
    </row>
  </sheetData>
  <conditionalFormatting sqref="F144:F146">
    <cfRule type="cellIs" dxfId="83" priority="11" operator="lessThan">
      <formula>D144</formula>
    </cfRule>
  </conditionalFormatting>
  <conditionalFormatting sqref="F139:F141">
    <cfRule type="cellIs" dxfId="82" priority="12" operator="lessThan">
      <formula>D139</formula>
    </cfRule>
  </conditionalFormatting>
  <conditionalFormatting sqref="F134">
    <cfRule type="cellIs" dxfId="81" priority="13" operator="lessThan">
      <formula>D134</formula>
    </cfRule>
  </conditionalFormatting>
  <conditionalFormatting sqref="F132">
    <cfRule type="cellIs" dxfId="80" priority="14" operator="lessThan">
      <formula>D132</formula>
    </cfRule>
  </conditionalFormatting>
  <conditionalFormatting sqref="F131">
    <cfRule type="cellIs" dxfId="79" priority="8" operator="lessThan">
      <formula>D131</formula>
    </cfRule>
  </conditionalFormatting>
  <conditionalFormatting sqref="F161">
    <cfRule type="cellIs" dxfId="78" priority="9" operator="lessThan">
      <formula>D161</formula>
    </cfRule>
  </conditionalFormatting>
  <conditionalFormatting sqref="F135">
    <cfRule type="cellIs" dxfId="77" priority="5" operator="lessThan">
      <formula>D135</formula>
    </cfRule>
  </conditionalFormatting>
  <conditionalFormatting sqref="F138">
    <cfRule type="cellIs" dxfId="76" priority="6" operator="lessThan">
      <formula>D138</formula>
    </cfRule>
  </conditionalFormatting>
  <conditionalFormatting sqref="F162">
    <cfRule type="cellIs" dxfId="75" priority="4" operator="lessThan">
      <formula>D162</formula>
    </cfRule>
  </conditionalFormatting>
  <conditionalFormatting sqref="F133">
    <cfRule type="cellIs" dxfId="74" priority="3" operator="lessThan">
      <formula>D133</formula>
    </cfRule>
  </conditionalFormatting>
  <conditionalFormatting sqref="F158">
    <cfRule type="cellIs" dxfId="73" priority="2" operator="lessThan">
      <formula>D158</formula>
    </cfRule>
  </conditionalFormatting>
  <conditionalFormatting sqref="F159">
    <cfRule type="cellIs" dxfId="72" priority="1" operator="lessThan">
      <formula>D159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54" zoomScale="175" zoomScaleNormal="175" workbookViewId="0">
      <selection activeCell="A89" sqref="A89:J173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09" zoomScale="175" zoomScaleNormal="175" workbookViewId="0">
      <selection activeCell="F100" sqref="F10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I99" sqref="I9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23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1080.7929879999999</v>
      </c>
      <c r="M17" s="573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2025-07-08T06:40:03Z</dcterms:modified>
  <dc:language>tr-TR</dc:language>
</cp:coreProperties>
</file>