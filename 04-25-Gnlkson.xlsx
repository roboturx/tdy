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D3DD522D-535D-4FBC-991C-E9B9AF76621D}" xr6:coauthVersionLast="47" xr6:coauthVersionMax="47" xr10:uidLastSave="{00000000-0000-0000-0000-000000000000}"/>
  <bookViews>
    <workbookView xWindow="-120" yWindow="-120" windowWidth="29040" windowHeight="15720" tabRatio="839" activeTab="12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2" i="13" l="1"/>
  <c r="H41" i="13"/>
  <c r="H7" i="13" l="1"/>
  <c r="H8" i="13"/>
  <c r="H9" i="13"/>
  <c r="H10" i="13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G161" i="13"/>
  <c r="E161" i="13"/>
  <c r="I161" i="13" s="1"/>
  <c r="G129" i="13"/>
  <c r="E129" i="13"/>
  <c r="F134" i="14"/>
  <c r="G132" i="14"/>
  <c r="E128" i="13"/>
  <c r="G159" i="13"/>
  <c r="E159" i="13"/>
  <c r="I159" i="13" s="1"/>
  <c r="I158" i="13"/>
  <c r="G157" i="13"/>
  <c r="E157" i="13"/>
  <c r="C154" i="13"/>
  <c r="G145" i="13"/>
  <c r="E145" i="13"/>
  <c r="N4" i="2" s="1"/>
  <c r="G144" i="13"/>
  <c r="E144" i="13"/>
  <c r="G143" i="13"/>
  <c r="E143" i="13"/>
  <c r="G140" i="13"/>
  <c r="E140" i="13"/>
  <c r="G139" i="13"/>
  <c r="E139" i="13"/>
  <c r="G138" i="13"/>
  <c r="E138" i="13"/>
  <c r="E137" i="13"/>
  <c r="G136" i="13"/>
  <c r="E136" i="13"/>
  <c r="F133" i="13"/>
  <c r="G133" i="13" s="1"/>
  <c r="E133" i="13"/>
  <c r="G132" i="13"/>
  <c r="E132" i="13"/>
  <c r="G131" i="13"/>
  <c r="E131" i="13"/>
  <c r="E130" i="13"/>
  <c r="F127" i="13"/>
  <c r="F130" i="13" s="1"/>
  <c r="E127" i="13"/>
  <c r="G126" i="13"/>
  <c r="E126" i="13"/>
  <c r="H73" i="14"/>
  <c r="H71" i="14"/>
  <c r="F71" i="14"/>
  <c r="H70" i="14"/>
  <c r="H18" i="14"/>
  <c r="H19" i="14"/>
  <c r="H20" i="14" s="1"/>
  <c r="H21" i="14" s="1"/>
  <c r="H22" i="14" s="1"/>
  <c r="H23" i="14" s="1"/>
  <c r="H24" i="14" s="1"/>
  <c r="H25" i="14" s="1"/>
  <c r="H26" i="14" s="1"/>
  <c r="H27" i="14" s="1"/>
  <c r="G146" i="14"/>
  <c r="I147" i="14"/>
  <c r="E146" i="14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8" i="14"/>
  <c r="E159" i="14" s="1"/>
  <c r="E126" i="14"/>
  <c r="C143" i="14"/>
  <c r="G134" i="14"/>
  <c r="E134" i="14"/>
  <c r="G133" i="14"/>
  <c r="E133" i="14"/>
  <c r="E132" i="14"/>
  <c r="G129" i="14"/>
  <c r="E129" i="14"/>
  <c r="N3" i="2" s="1"/>
  <c r="G128" i="14"/>
  <c r="E128" i="14"/>
  <c r="G127" i="14"/>
  <c r="E127" i="14"/>
  <c r="G125" i="14"/>
  <c r="E125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6" i="13"/>
  <c r="E8" i="13" s="1"/>
  <c r="G8" i="13" s="1"/>
  <c r="E41" i="13"/>
  <c r="E7" i="13" s="1"/>
  <c r="H4" i="13"/>
  <c r="H5" i="13" s="1"/>
  <c r="H6" i="13" s="1"/>
  <c r="F2" i="13"/>
  <c r="E4" i="2" s="1"/>
  <c r="D2" i="13"/>
  <c r="B4" i="2" s="1"/>
  <c r="E58" i="12"/>
  <c r="E8" i="12" s="1"/>
  <c r="G8" i="12" s="1"/>
  <c r="E37" i="12"/>
  <c r="E7" i="12" s="1"/>
  <c r="G7" i="12"/>
  <c r="H4" i="12"/>
  <c r="H5" i="12" s="1"/>
  <c r="H6" i="12" s="1"/>
  <c r="F2" i="12"/>
  <c r="D2" i="12"/>
  <c r="E50" i="11"/>
  <c r="E35" i="11"/>
  <c r="E7" i="11" s="1"/>
  <c r="G7" i="11" s="1"/>
  <c r="E8" i="11"/>
  <c r="E2" i="11" s="1"/>
  <c r="C6" i="2" s="1"/>
  <c r="H5" i="11"/>
  <c r="H6" i="11" s="1"/>
  <c r="H7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E6" i="2"/>
  <c r="N5" i="2"/>
  <c r="M5" i="2"/>
  <c r="E5" i="2"/>
  <c r="B5" i="2"/>
  <c r="L4" i="2"/>
  <c r="K4" i="2"/>
  <c r="M3" i="2"/>
  <c r="N2" i="2"/>
  <c r="L2" i="2"/>
  <c r="F38" i="1"/>
  <c r="F39" i="1" s="1"/>
  <c r="F40" i="1" s="1"/>
  <c r="F41" i="1" s="1"/>
  <c r="F42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H7" i="12" l="1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F128" i="13"/>
  <c r="G128" i="13" s="1"/>
  <c r="I129" i="13"/>
  <c r="E146" i="13"/>
  <c r="I145" i="13"/>
  <c r="E141" i="13"/>
  <c r="I136" i="13"/>
  <c r="I131" i="13"/>
  <c r="I132" i="13"/>
  <c r="G130" i="13"/>
  <c r="I130" i="13" s="1"/>
  <c r="F137" i="13"/>
  <c r="G137" i="13" s="1"/>
  <c r="I139" i="13"/>
  <c r="G127" i="13"/>
  <c r="I138" i="13"/>
  <c r="I144" i="13"/>
  <c r="H146" i="13"/>
  <c r="I133" i="13"/>
  <c r="I140" i="13"/>
  <c r="I126" i="13"/>
  <c r="E134" i="13"/>
  <c r="I157" i="13"/>
  <c r="I164" i="13" s="1"/>
  <c r="H141" i="13"/>
  <c r="I137" i="13"/>
  <c r="H140" i="13"/>
  <c r="I143" i="13"/>
  <c r="H145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25" i="14"/>
  <c r="I120" i="14"/>
  <c r="I146" i="14"/>
  <c r="I127" i="14"/>
  <c r="I128" i="14"/>
  <c r="I122" i="14"/>
  <c r="I134" i="14"/>
  <c r="I129" i="14"/>
  <c r="I121" i="14"/>
  <c r="I132" i="14"/>
  <c r="I133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G126" i="14"/>
  <c r="I126" i="14" s="1"/>
  <c r="E123" i="14"/>
  <c r="F119" i="14"/>
  <c r="F126" i="14" s="1"/>
  <c r="E130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35" i="14"/>
  <c r="H134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H2" i="12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3" i="1"/>
  <c r="H2" i="9"/>
  <c r="D44" i="1"/>
  <c r="F44" i="1" s="1"/>
  <c r="F45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35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153" i="13" l="1"/>
  <c r="H134" i="13"/>
  <c r="I128" i="13"/>
  <c r="H133" i="13"/>
  <c r="G116" i="13"/>
  <c r="I127" i="13"/>
  <c r="I134" i="13" s="1"/>
  <c r="H151" i="13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24" i="13"/>
  <c r="H25" i="13" s="1"/>
  <c r="H26" i="13" s="1"/>
  <c r="H27" i="13" s="1"/>
  <c r="H28" i="13" s="1"/>
  <c r="H29" i="13" s="1"/>
  <c r="H30" i="13" s="1"/>
  <c r="H31" i="13" s="1"/>
  <c r="H32" i="13" s="1"/>
  <c r="H33" i="13" s="1"/>
  <c r="H34" i="13" s="1"/>
  <c r="H35" i="13" s="1"/>
  <c r="H36" i="13" s="1"/>
  <c r="H2" i="14"/>
  <c r="G119" i="14"/>
  <c r="I119" i="14" s="1"/>
  <c r="I123" i="14" s="1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130" i="14" l="1"/>
  <c r="H129" i="14"/>
  <c r="H122" i="14"/>
  <c r="G107" i="14"/>
  <c r="H123" i="14"/>
  <c r="G142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<sst xmlns="http://schemas.openxmlformats.org/spreadsheetml/2006/main" count="4478" uniqueCount="1666">
  <si>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</si>
  <si>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</si>
  <si>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</si>
  <si>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</si>
  <si>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</si>
  <si>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</si>
  <si>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</si>
  <si>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</si>
  <si>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</si>
  <si>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</si>
  <si>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</si>
  <si>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</si>
  <si>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</si>
  <si>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</si>
  <si>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</si>
  <si>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</si>
  <si>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</si>
  <si>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</si>
  <si>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</si>
  <si>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</si>
  <si>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</si>
  <si>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</si>
  <si>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</si>
  <si>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</si>
  <si>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</si>
  <si>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</si>
  <si>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</si>
  <si>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</si>
  <si>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</si>
  <si>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</si>
  <si>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</si>
  <si>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</si>
  <si>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</si>
  <si>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</si>
  <si>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</si>
  <si>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</si>
  <si>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</si>
  <si>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</si>
  <si>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</si>
  <si>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</si>
  <si>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</si>
  <si>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</si>
  <si>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</si>
  <si>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</si>
  <si>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</si>
  <si>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</si>
  <si>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</si>
  <si>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</si>
  <si>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</si>
  <si>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</si>
  <si>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</si>
  <si>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</si>
  <si>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</si>
  <si>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</si>
  <si>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</si>
  <si>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</si>
  <si>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</si>
  <si>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</si>
  <si>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</si>
  <si>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</si>
  <si>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</si>
  <si>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</si>
  <si>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</si>
  <si>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</si>
  <si>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</si>
  <si>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</si>
  <si>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</si>
  <si>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</si>
  <si>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</si>
  <si>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</si>
  <si>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</si>
  <si>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</si>
  <si>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</si>
  <si>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</si>
  <si>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</si>
  <si>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</si>
  <si>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</si>
  <si>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</si>
  <si>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</si>
  <si>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</si>
  <si>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</si>
  <si>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</si>
  <si>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</si>
  <si>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</si>
  <si>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</si>
  <si>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</si>
  <si>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</si>
  <si>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</si>
  <si>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</si>
  <si>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</si>
  <si>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</si>
  <si>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</si>
  <si>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</si>
  <si>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</si>
  <si>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</si>
  <si>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</si>
  <si>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</si>
  <si>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</si>
  <si>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</si>
  <si>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</si>
  <si>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</si>
  <si>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</si>
  <si>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</si>
  <si>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</si>
  <si>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</si>
  <si>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</si>
  <si>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</si>
  <si>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</si>
  <si>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</si>
  <si>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</si>
  <si>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</si>
  <si>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</si>
  <si>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</si>
  <si>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</si>
  <si>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</si>
  <si>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</si>
  <si>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</si>
  <si>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</si>
  <si>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</si>
  <si>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</si>
  <si>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</si>
  <si>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</si>
  <si>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</si>
  <si>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</si>
  <si>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</si>
  <si>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</si>
  <si>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</si>
  <si>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</si>
  <si>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</si>
  <si>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</si>
  <si>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</si>
  <si>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</si>
  <si>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</si>
  <si>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</si>
  <si>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</si>
  <si>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</si>
  <si>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</si>
  <si>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</si>
  <si>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</si>
  <si>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</si>
  <si>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</si>
  <si>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</si>
  <si>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</si>
  <si>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</si>
  <si>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</si>
  <si>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</si>
  <si>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</si>
  <si>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</si>
  <si>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</si>
  <si>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</si>
  <si>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</si>
  <si>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</si>
  <si>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</si>
  <si>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</si>
  <si>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</si>
  <si>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</si>
  <si>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</si>
  <si>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</si>
  <si>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</si>
  <si>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</si>
  <si>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</si>
  <si>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</si>
  <si>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</si>
  <si>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</si>
  <si>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</si>
  <si>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</si>
  <si>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</si>
  <si>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</si>
  <si>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</si>
  <si>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</si>
  <si>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</si>
  <si>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</si>
  <si>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</si>
  <si>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</si>
  <si>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</si>
  <si>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</si>
  <si>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</si>
  <si>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</si>
  <si>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</si>
  <si>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</si>
  <si>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</si>
  <si>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</si>
  <si>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</si>
  <si>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</si>
  <si>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</si>
  <si>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</si>
  <si>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</si>
  <si>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</si>
  <si>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</si>
  <si>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</si>
  <si>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</si>
  <si>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</si>
  <si>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</si>
  <si>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</si>
  <si>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</si>
  <si>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</si>
  <si>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</si>
  <si>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</si>
  <si>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</si>
  <si>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</si>
  <si>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</si>
  <si>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</si>
  <si>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</si>
  <si>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</si>
  <si>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</si>
  <si>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</si>
  <si>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</si>
  <si>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</si>
  <si>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</si>
  <si>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</si>
  <si>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</si>
  <si>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</si>
  <si>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</si>
  <si>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</si>
  <si>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</si>
  <si>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</si>
  <si>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</si>
  <si>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</si>
  <si>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</si>
  <si>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</si>
  <si>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</si>
  <si>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</si>
  <si>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</si>
  <si>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</si>
  <si>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</si>
  <si>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</si>
  <si>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</si>
  <si>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</si>
  <si>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</si>
  <si>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</si>
  <si>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</si>
  <si>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</si>
  <si>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</si>
  <si>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</si>
  <si>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</si>
  <si>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</si>
  <si>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</si>
  <si>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</si>
  <si>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</si>
  <si>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</si>
  <si>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</si>
  <si>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</si>
  <si>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</si>
  <si>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</si>
  <si>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</si>
  <si>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</si>
  <si>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</si>
  <si>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</si>
  <si>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</si>
  <si>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</si>
  <si>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</si>
  <si>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</si>
  <si>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</si>
  <si>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</si>
  <si>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</si>
  <si>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</si>
  <si>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</si>
  <si>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</si>
  <si>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</si>
  <si>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</si>
  <si>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</si>
  <si>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</si>
  <si>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</si>
  <si>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</si>
  <si>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</si>
  <si>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</si>
  <si>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</si>
  <si>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</si>
  <si>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</si>
  <si>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</si>
  <si>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</si>
  <si>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</si>
  <si>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</si>
  <si>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</si>
  <si>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</si>
  <si>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</si>
  <si>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</si>
  <si>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</si>
  <si>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</si>
  <si>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</si>
  <si>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</si>
  <si>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</si>
  <si>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</si>
  <si>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</si>
  <si>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</si>
  <si>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</si>
  <si>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</si>
  <si>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</si>
  <si>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</si>
  <si>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</si>
  <si>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</si>
  <si>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</si>
  <si>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</si>
  <si>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</si>
  <si>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</si>
  <si>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</si>
  <si>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</si>
  <si>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</si>
  <si>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</si>
  <si>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</si>
  <si>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</si>
  <si>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</si>
  <si>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</si>
  <si>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</si>
  <si>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</si>
  <si>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</si>
  <si>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</si>
  <si>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</si>
  <si>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</si>
  <si>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</si>
  <si>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</si>
  <si>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</si>
  <si>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</si>
  <si>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</si>
  <si>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</si>
  <si>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</si>
  <si>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</si>
  <si>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</si>
  <si>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</si>
  <si>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</si>
  <si>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</si>
  <si>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</si>
  <si>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</si>
  <si>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</si>
  <si>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</si>
  <si>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</si>
  <si>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</si>
  <si>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</si>
  <si>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</si>
  <si>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</si>
  <si>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</si>
  <si>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</si>
  <si>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</si>
  <si>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</si>
  <si>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</si>
  <si>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</si>
  <si>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</si>
  <si>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</si>
  <si>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</si>
  <si>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</si>
  <si>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</si>
  <si>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</si>
  <si>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</si>
  <si>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</si>
  <si>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</si>
  <si>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</si>
  <si>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</si>
  <si>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</si>
  <si>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</si>
  <si>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</si>
  <si>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</si>
  <si>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</si>
  <si>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</si>
  <si>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</si>
  <si>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</si>
  <si>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</si>
  <si>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</si>
  <si>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</si>
  <si>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</si>
  <si>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</si>
  <si>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</si>
  <si>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</si>
  <si>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</si>
  <si>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</si>
  <si>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</si>
  <si>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</si>
  <si>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</si>
  <si>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</si>
  <si>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</si>
  <si>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</si>
  <si>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</si>
  <si>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</si>
  <si>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</si>
  <si>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</si>
  <si>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</si>
  <si>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</si>
  <si>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</si>
  <si>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</si>
  <si>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</si>
  <si>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</si>
  <si>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</si>
  <si>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</si>
  <si>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</si>
  <si>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</si>
  <si>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</si>
  <si>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</si>
  <si>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</si>
  <si>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</si>
  <si>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</si>
  <si>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</si>
  <si>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</si>
  <si>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</si>
  <si>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</si>
  <si>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</si>
  <si>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</si>
  <si>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</si>
  <si>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</si>
  <si>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</si>
  <si>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</si>
  <si>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</si>
  <si>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</si>
  <si>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</si>
  <si>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</si>
  <si>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</si>
  <si>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</si>
  <si>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</si>
  <si>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</si>
  <si>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</si>
  <si>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</si>
  <si>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</si>
  <si>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</si>
  <si>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</si>
  <si>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</si>
  <si>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</si>
  <si>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</si>
  <si>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</si>
  <si>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</si>
  <si>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</si>
  <si>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</si>
  <si>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</si>
  <si>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</si>
  <si>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</si>
  <si>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</si>
  <si>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</si>
  <si>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</si>
  <si>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</si>
  <si>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</si>
  <si>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</si>
  <si>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</si>
  <si>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</si>
  <si>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</si>
  <si>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</si>
  <si>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</si>
  <si>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</si>
  <si>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</si>
  <si>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</si>
  <si>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</si>
  <si>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</si>
  <si>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</si>
  <si>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</si>
  <si>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</si>
  <si>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</si>
  <si>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</si>
  <si>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</si>
  <si>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</si>
  <si>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</si>
  <si>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</si>
  <si>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</si>
  <si>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</si>
  <si>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</si>
  <si>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</si>
  <si>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</si>
  <si>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</si>
  <si>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</si>
  <si>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</si>
  <si>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</si>
  <si>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</si>
  <si>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</si>
  <si>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</si>
  <si>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</si>
  <si>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</si>
  <si>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</si>
  <si>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</si>
  <si>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</si>
  <si>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</si>
  <si>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</si>
  <si>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</si>
  <si>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</si>
  <si>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</si>
  <si>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</si>
  <si>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</si>
  <si>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</si>
  <si>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</si>
  <si>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</si>
  <si>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</si>
  <si>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</si>
  <si>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</si>
  <si>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</si>
  <si>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</si>
  <si>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</si>
  <si>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</si>
  <si>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</si>
  <si>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</si>
  <si>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</si>
  <si>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</si>
  <si>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</si>
  <si>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</si>
  <si>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</si>
  <si>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</si>
  <si>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</si>
  <si>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</si>
  <si>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</si>
  <si>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</si>
  <si>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</si>
  <si>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</si>
  <si>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</si>
  <si>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</si>
  <si>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</si>
  <si>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</si>
  <si>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</si>
  <si>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</si>
  <si>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</si>
  <si>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</si>
  <si>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</si>
  <si>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</si>
  <si>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</si>
  <si>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</si>
  <si>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</si>
  <si>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</si>
  <si>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</si>
  <si>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</si>
  <si>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</si>
  <si>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</si>
  <si>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</si>
  <si>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</si>
  <si>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</si>
  <si>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</si>
  <si>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</si>
  <si>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</si>
  <si>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</si>
  <si>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</si>
  <si>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</si>
  <si>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</si>
  <si>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</si>
  <si>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</si>
  <si>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</si>
  <si>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</si>
  <si>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</si>
  <si>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</si>
  <si>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</si>
  <si>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</si>
  <si>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</si>
  <si>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</si>
  <si>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</si>
  <si>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</si>
  <si>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</si>
  <si>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</si>
  <si>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</si>
  <si>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</si>
  <si>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</si>
  <si>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</si>
  <si>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</si>
  <si>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</si>
  <si>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</si>
  <si>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</si>
  <si>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</si>
  <si>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</si>
  <si>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</si>
  <si>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</si>
  <si>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</si>
  <si>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</si>
  <si>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</si>
  <si>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</si>
  <si>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</si>
  <si>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</si>
  <si>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</si>
  <si>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</si>
  <si>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</si>
  <si>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</si>
  <si>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</si>
  <si>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</si>
  <si>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</si>
  <si>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</si>
  <si>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</si>
  <si>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</si>
  <si>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</si>
  <si>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</si>
  <si>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</si>
  <si>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</si>
  <si>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</si>
  <si>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</si>
  <si>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</si>
  <si>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</si>
  <si>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</si>
  <si>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</si>
  <si>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</si>
  <si>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</si>
  <si>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</si>
  <si>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</si>
  <si>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</si>
  <si>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</si>
  <si>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</si>
  <si>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</si>
  <si>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</si>
  <si>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</si>
  <si>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</si>
  <si>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</si>
  <si>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</si>
  <si>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</si>
  <si>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</si>
  <si>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</si>
  <si>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</si>
  <si>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</si>
  <si>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</si>
  <si>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</si>
  <si>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</si>
  <si>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</si>
  <si>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</si>
  <si>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</si>
  <si>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</si>
  <si>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</si>
  <si>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</si>
  <si>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</si>
  <si>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</si>
  <si>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</si>
  <si>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</si>
  <si>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</si>
  <si>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</si>
  <si>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</si>
  <si>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</si>
  <si>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</si>
  <si>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</si>
  <si>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</si>
  <si>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</si>
  <si>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</si>
  <si>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</si>
  <si>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</si>
  <si>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</si>
  <si>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</si>
  <si>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</si>
  <si>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</si>
  <si>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</si>
  <si>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</si>
  <si>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</si>
  <si>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</si>
  <si>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</si>
  <si>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</si>
  <si>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</si>
  <si>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</si>
  <si>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</si>
  <si>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</si>
  <si>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</si>
  <si>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</si>
  <si>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</si>
  <si>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</si>
  <si>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</si>
  <si>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</si>
  <si>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</si>
  <si>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</si>
  <si>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</si>
  <si>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</si>
  <si>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</si>
  <si>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</si>
  <si>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</si>
  <si>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</si>
  <si>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</si>
  <si>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</si>
  <si>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</si>
  <si>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</si>
  <si>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</si>
  <si>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</si>
  <si>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</si>
  <si>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</si>
  <si>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</si>
  <si>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</si>
  <si>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</si>
  <si>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</si>
  <si>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</si>
  <si>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</si>
  <si>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</si>
  <si>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</si>
  <si>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</si>
  <si>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</si>
  <si>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</si>
  <si>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</si>
  <si>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</si>
  <si>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</si>
  <si>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</si>
  <si>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</si>
  <si>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</si>
  <si>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</si>
  <si>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</si>
  <si>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</si>
  <si>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</si>
  <si>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</si>
  <si>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</si>
  <si>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</si>
  <si>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</si>
  <si>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</si>
  <si>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</si>
  <si>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</si>
  <si>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</si>
  <si>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</si>
  <si>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</si>
  <si>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</si>
  <si>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</si>
  <si>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</si>
  <si>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</si>
  <si>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</si>
  <si>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</si>
  <si>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</si>
  <si>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</si>
  <si>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</si>
  <si>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</si>
  <si>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</si>
  <si>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</si>
  <si>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</si>
  <si>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</si>
  <si>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</si>
  <si>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</si>
  <si>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</si>
  <si>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</si>
  <si>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</si>
  <si>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</si>
  <si>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</si>
  <si>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</si>
  <si>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</si>
  <si>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</si>
  <si>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</si>
  <si>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</si>
  <si>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</si>
  <si>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</si>
  <si>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</si>
  <si>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</si>
  <si>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</si>
  <si>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</si>
  <si>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</si>
  <si>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</si>
  <si>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</si>
  <si>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</si>
  <si>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</si>
  <si>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</si>
  <si>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</si>
  <si>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</si>
  <si>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</si>
  <si>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</si>
  <si>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</si>
  <si>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</si>
  <si>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</si>
  <si>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</si>
  <si>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</si>
  <si>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</si>
  <si>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</si>
  <si>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</si>
  <si>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</si>
  <si>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</si>
  <si>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</si>
  <si>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</si>
  <si>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</si>
  <si>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</si>
  <si>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</si>
  <si>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</si>
  <si>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</si>
  <si>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</si>
  <si>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</si>
  <si>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</si>
  <si>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</si>
  <si>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</si>
  <si>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</si>
  <si>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</si>
  <si>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</si>
  <si>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</si>
  <si>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</si>
  <si>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</si>
  <si>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</si>
  <si>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</si>
  <si>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</si>
  <si>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</si>
  <si>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</si>
  <si>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</si>
  <si>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</si>
  <si>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</si>
  <si>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</si>
  <si>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</si>
  <si>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</si>
  <si>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</si>
  <si>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</si>
  <si>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</si>
  <si>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</si>
  <si>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</si>
  <si>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</si>
  <si>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</si>
  <si>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</si>
  <si>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</si>
  <si>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</si>
  <si>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</si>
  <si>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</si>
  <si>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</si>
  <si>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</si>
  <si>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</si>
  <si>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</si>
  <si>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</si>
  <si>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</si>
  <si>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</si>
  <si>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</si>
  <si>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</si>
  <si>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</si>
  <si>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</si>
  <si>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</si>
  <si>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</si>
  <si>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</si>
  <si>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</si>
  <si>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</si>
  <si>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</si>
  <si>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</si>
  <si>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</si>
  <si>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</si>
  <si>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</si>
  <si>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</si>
  <si>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</si>
  <si>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</si>
  <si>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</si>
  <si>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</si>
  <si>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</si>
  <si>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</si>
  <si>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</si>
  <si>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</si>
  <si>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</si>
  <si>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</si>
  <si>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</si>
  <si>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</si>
  <si>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</si>
  <si>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</si>
  <si>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</si>
  <si>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</si>
  <si>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</si>
  <si>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</si>
  <si>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</si>
  <si>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</si>
  <si>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</si>
  <si>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</si>
  <si>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</si>
  <si>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</si>
  <si>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</si>
  <si>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</si>
  <si>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</si>
  <si>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</si>
  <si>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</si>
  <si>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</si>
  <si>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</si>
  <si>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</si>
  <si>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</si>
  <si>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</si>
  <si>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</si>
  <si>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</si>
  <si>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</si>
  <si>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</si>
  <si>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</si>
  <si>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</si>
  <si>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</si>
  <si>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</si>
  <si>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</si>
  <si>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</si>
  <si>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</si>
  <si>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</si>
  <si>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</si>
  <si>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</si>
  <si>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</si>
  <si>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</si>
  <si>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</si>
  <si>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</si>
  <si>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</si>
  <si>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</si>
  <si>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</si>
  <si>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</si>
  <si>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</si>
  <si>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</si>
  <si>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</si>
  <si>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</si>
  <si>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</si>
  <si>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</si>
  <si>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</si>
  <si>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</si>
  <si>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</si>
  <si>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</si>
  <si>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</si>
  <si>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</si>
  <si>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</si>
  <si>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</si>
  <si>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</si>
  <si>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</si>
  <si>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</si>
  <si>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</si>
  <si>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</si>
  <si>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</si>
  <si>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</si>
  <si>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</si>
  <si>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</si>
  <si>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</si>
  <si>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</si>
  <si>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</si>
  <si>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</si>
  <si>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</si>
  <si>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</si>
  <si>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</si>
  <si>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</si>
  <si>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</si>
  <si>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</si>
  <si>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</si>
  <si>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</si>
  <si>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</si>
  <si>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</si>
  <si>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</si>
  <si>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</si>
  <si>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</si>
  <si>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</si>
  <si>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</si>
  <si>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</si>
  <si>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</si>
  <si>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</si>
  <si>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</si>
  <si>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</si>
  <si>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</si>
  <si>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</si>
  <si>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</si>
  <si>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</si>
  <si>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</si>
  <si>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</si>
  <si>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</si>
  <si>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</si>
  <si>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</si>
  <si>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</si>
  <si>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</si>
  <si>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</si>
  <si>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</si>
  <si>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</si>
  <si>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</si>
  <si>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</si>
  <si>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</si>
  <si>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</si>
  <si>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</si>
  <si>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</si>
  <si>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</si>
  <si>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</si>
  <si>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</si>
  <si>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</si>
  <si>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</si>
  <si>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</si>
  <si>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</si>
  <si>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</si>
  <si>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</si>
  <si>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</si>
  <si>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</si>
  <si>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</si>
  <si>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</si>
  <si>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</si>
  <si>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</si>
  <si>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</si>
  <si>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</si>
  <si>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</si>
  <si>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</si>
  <si>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</si>
  <si>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</si>
  <si>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</si>
  <si>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</si>
  <si>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</si>
  <si>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</si>
  <si>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</si>
  <si>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</si>
  <si>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</si>
  <si>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</si>
  <si>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</si>
  <si>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</si>
  <si>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</si>
  <si>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</si>
  <si>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</si>
  <si>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</si>
  <si>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</si>
  <si>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</si>
  <si>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</si>
  <si>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</si>
  <si>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</si>
  <si>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</si>
  <si>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</si>
  <si>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</si>
  <si>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</si>
  <si>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</si>
  <si>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</si>
  <si>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</si>
  <si>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</si>
  <si>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</si>
  <si>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</si>
  <si>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</si>
  <si>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</si>
  <si>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</si>
  <si>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</si>
  <si>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</si>
  <si>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</si>
  <si>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</si>
  <si>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</si>
  <si>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</si>
  <si>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</si>
  <si>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</si>
  <si>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</si>
  <si>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</si>
  <si>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</si>
  <si>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</si>
  <si>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</si>
  <si>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</si>
  <si>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</si>
  <si>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</si>
  <si>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</si>
  <si>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</si>
  <si>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</si>
  <si>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</si>
  <si>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</si>
  <si>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</si>
  <si>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</si>
  <si>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</si>
  <si>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</si>
  <si>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</si>
  <si>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</si>
  <si>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</si>
  <si>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</si>
  <si>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</si>
  <si>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</si>
  <si>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</si>
  <si>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</si>
  <si>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</si>
  <si>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</si>
  <si>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</si>
  <si>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</si>
  <si>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</si>
  <si>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</si>
  <si>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</si>
  <si>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</si>
  <si>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</si>
  <si>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</si>
  <si>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</si>
  <si>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</si>
  <si>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</si>
  <si>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</si>
  <si>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</si>
  <si>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</si>
  <si>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</si>
  <si>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</si>
  <si>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</si>
  <si>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</si>
  <si>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</si>
  <si>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</si>
  <si>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</si>
  <si>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</si>
  <si>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</si>
  <si>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</si>
  <si>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</si>
  <si>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</si>
  <si>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</si>
  <si>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</si>
  <si>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</si>
  <si>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</si>
  <si>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</si>
  <si>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</si>
  <si>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</si>
  <si>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</si>
  <si>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</si>
  <si>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</si>
  <si>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</si>
  <si>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</si>
  <si>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</si>
  <si>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</si>
  <si>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</si>
  <si>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</si>
  <si>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</si>
  <si>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</si>
  <si>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</si>
  <si>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</si>
  <si>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</si>
  <si>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</si>
  <si>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</si>
  <si>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</si>
  <si>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</si>
  <si>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</si>
  <si>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</si>
  <si>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</si>
  <si>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</si>
  <si>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</si>
  <si>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</si>
  <si>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</si>
  <si>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</si>
  <si>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</si>
  <si>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</si>
  <si>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</si>
  <si>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</si>
  <si>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</si>
  <si>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</si>
  <si>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</si>
  <si>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</si>
  <si>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</si>
  <si>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</si>
  <si>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</si>
  <si>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</si>
  <si>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</si>
  <si>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</si>
  <si>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</si>
  <si>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</si>
  <si>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</si>
  <si>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</si>
  <si>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</si>
  <si>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</si>
  <si>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</si>
  <si>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</si>
  <si>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</si>
  <si>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</si>
  <si>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</si>
  <si>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</si>
  <si>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</si>
  <si>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</si>
  <si>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</si>
  <si>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</si>
  <si>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</si>
  <si>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</si>
  <si>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</si>
  <si>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</si>
  <si>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</si>
  <si>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</si>
  <si>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</si>
  <si>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</si>
  <si>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</si>
  <si>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</si>
  <si>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</si>
  <si>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</si>
  <si>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</si>
  <si>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</si>
  <si>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</si>
  <si>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</si>
  <si>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</si>
  <si>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</si>
  <si>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</si>
  <si>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</si>
  <si>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</si>
  <si>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</si>
  <si>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</si>
  <si>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</si>
  <si>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</si>
  <si>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</si>
  <si>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</si>
  <si>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</si>
  <si>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</si>
  <si>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</si>
  <si>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</si>
  <si>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</si>
  <si>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</si>
  <si>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</si>
  <si>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</si>
  <si>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</si>
  <si>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</si>
  <si>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</si>
  <si>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</si>
  <si>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</si>
  <si>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</si>
  <si>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</si>
  <si>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</si>
  <si>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</si>
  <si>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</si>
  <si>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</si>
  <si>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</si>
  <si>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</si>
  <si>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</si>
  <si>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</si>
  <si>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</si>
  <si>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</si>
  <si>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</si>
  <si>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</si>
  <si>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</si>
  <si>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</si>
  <si>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</si>
  <si>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</si>
  <si>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</si>
  <si>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</si>
  <si>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</si>
  <si>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</si>
  <si>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</si>
  <si>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</si>
  <si>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</si>
  <si>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</si>
  <si>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</si>
  <si>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</si>
  <si>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</si>
  <si>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</si>
  <si>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</si>
  <si>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</si>
  <si>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</si>
  <si>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</si>
  <si>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</si>
  <si>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</si>
  <si>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</si>
  <si>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</si>
  <si>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</si>
  <si>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</si>
  <si>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</si>
  <si>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</si>
  <si>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</si>
  <si>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</si>
  <si>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</si>
  <si>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</si>
  <si>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</si>
  <si>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</si>
  <si>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</si>
  <si>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</si>
  <si>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</si>
  <si>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</si>
  <si>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</si>
  <si>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</si>
  <si>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</si>
  <si>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</si>
  <si>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</si>
  <si>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</si>
  <si>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</si>
  <si>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</si>
  <si>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</si>
  <si>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</si>
  <si>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</si>
  <si>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</si>
  <si>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</si>
  <si>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</si>
  <si>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</si>
  <si>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</si>
  <si>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</si>
  <si>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</si>
  <si>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</si>
  <si>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</si>
  <si>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</si>
  <si>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</si>
  <si>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</si>
  <si>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</si>
  <si>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</si>
  <si>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</si>
  <si>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</si>
  <si>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</si>
  <si>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</si>
  <si>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</si>
  <si>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</si>
  <si>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</si>
  <si>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</si>
  <si>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</si>
  <si>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</si>
  <si>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</si>
  <si>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</si>
  <si>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</si>
  <si>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</si>
  <si>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</si>
  <si>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</si>
  <si>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</si>
  <si>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</si>
  <si>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</si>
  <si>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</si>
  <si>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</si>
  <si>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</si>
  <si>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</si>
  <si>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</si>
  <si>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</si>
  <si>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</si>
  <si>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</si>
  <si>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</si>
  <si>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</si>
  <si>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</si>
  <si>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</si>
  <si>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</si>
  <si>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</si>
  <si>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</si>
  <si>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</si>
  <si>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</si>
  <si>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</si>
  <si>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</si>
  <si>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</si>
  <si>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</si>
  <si>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</si>
  <si>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</si>
  <si>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</si>
  <si>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</si>
  <si>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</si>
  <si>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</si>
  <si>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</si>
  <si>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</si>
  <si>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</si>
  <si>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</si>
  <si>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</si>
  <si>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</si>
  <si>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</si>
  <si>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</si>
  <si>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</si>
  <si>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</si>
  <si>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</si>
  <si>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</si>
  <si>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</si>
  <si>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</si>
  <si>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</si>
  <si>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</si>
  <si>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</si>
  <si>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</si>
  <si>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</si>
  <si>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</si>
  <si>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</si>
  <si>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</si>
  <si>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</si>
  <si>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</si>
  <si>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</si>
  <si>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</si>
  <si>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</si>
  <si>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</si>
  <si>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</si>
  <si>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</si>
  <si>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</si>
  <si>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</si>
  <si>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</si>
  <si>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</si>
  <si>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</si>
  <si>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</si>
  <si>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</si>
  <si>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</si>
  <si>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</si>
  <si>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</si>
  <si>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</si>
  <si>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</si>
  <si>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</si>
  <si>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</si>
  <si>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</si>
  <si>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</si>
  <si>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</si>
  <si>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</si>
  <si>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</si>
  <si>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</si>
  <si>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</si>
  <si>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</si>
  <si>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</si>
  <si>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</si>
  <si>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</si>
  <si>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</si>
  <si>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</si>
  <si>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</si>
  <si>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</si>
  <si>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</si>
  <si>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</si>
  <si>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</si>
  <si>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</si>
  <si>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</si>
  <si>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</si>
  <si>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</si>
  <si>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</si>
  <si>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</si>
  <si>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</si>
  <si>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</si>
  <si>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</si>
  <si>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</si>
  <si>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</si>
  <si>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</si>
  <si>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</si>
  <si>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</si>
  <si>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</si>
  <si>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</si>
  <si>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</si>
  <si>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</si>
  <si>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</si>
  <si>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</si>
  <si>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</si>
  <si>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</si>
  <si>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</si>
  <si>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</si>
  <si>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</si>
  <si>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</si>
  <si>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</si>
  <si>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</si>
  <si>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</si>
  <si>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</si>
  <si>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</si>
  <si>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</si>
  <si>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</si>
  <si>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</si>
  <si>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</si>
  <si>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</si>
  <si>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</si>
  <si>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</si>
  <si>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</si>
  <si>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</si>
  <si>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</si>
  <si>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</si>
  <si>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</si>
  <si>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</si>
  <si>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</si>
  <si>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</si>
  <si>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</si>
  <si>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</si>
  <si>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</si>
  <si>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</si>
  <si>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</si>
  <si>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</si>
  <si>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</si>
  <si>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</si>
  <si>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</si>
  <si>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</si>
  <si>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</si>
  <si>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</si>
  <si>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</si>
  <si>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</si>
  <si>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</si>
  <si>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</si>
  <si>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</si>
  <si>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</si>
  <si>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</si>
  <si>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</si>
  <si>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</si>
  <si>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</si>
  <si>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</si>
  <si>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</si>
  <si>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</si>
  <si>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</si>
  <si>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</si>
  <si>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</si>
  <si>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</si>
  <si>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</si>
  <si>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</si>
  <si>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</si>
  <si>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</si>
  <si>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</si>
  <si>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</si>
  <si>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</si>
  <si>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</si>
  <si>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</si>
  <si>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</si>
  <si>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</si>
  <si>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</si>
  <si>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</si>
  <si>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</si>
  <si>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</si>
  <si>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</si>
  <si>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</si>
  <si>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</si>
  <si>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</si>
  <si>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</si>
  <si>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</si>
  <si>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</si>
  <si>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</si>
  <si>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</si>
  <si>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</si>
  <si>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</si>
  <si>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</si>
  <si>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</si>
  <si>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</si>
  <si>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</si>
  <si>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</si>
  <si>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</si>
  <si>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</si>
  <si>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</si>
  <si>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</si>
  <si>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</si>
  <si>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</si>
  <si>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</si>
  <si>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</si>
  <si>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</si>
  <si>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</si>
  <si>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</si>
  <si>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</si>
  <si>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</si>
  <si>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</si>
  <si>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</si>
  <si>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</si>
  <si>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</si>
  <si>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</si>
  <si>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</si>
  <si>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</si>
  <si>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</si>
  <si>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</si>
  <si>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</si>
  <si>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</si>
  <si>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</si>
  <si>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</si>
  <si>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</si>
  <si>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</si>
  <si>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</si>
  <si>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</si>
  <si>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</si>
  <si>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</si>
  <si>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</si>
  <si>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</si>
  <si>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</si>
  <si>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</si>
  <si>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</si>
  <si>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</si>
  <si>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</si>
  <si>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</si>
  <si>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</si>
  <si>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</si>
  <si>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</si>
  <si>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</si>
  <si>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</si>
  <si>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</si>
  <si>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</si>
  <si>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</si>
  <si>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</si>
  <si>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</si>
  <si>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</si>
  <si>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</si>
  <si>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</si>
  <si>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</si>
  <si>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</si>
  <si>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</si>
  <si>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</si>
  <si>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</si>
  <si>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</si>
  <si>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</si>
  <si>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</si>
  <si>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</si>
  <si>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</si>
  <si>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</si>
  <si>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</si>
  <si>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</si>
  <si>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</si>
  <si>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</si>
  <si>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</si>
  <si>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</si>
  <si>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</si>
  <si>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</si>
  <si>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</si>
  <si>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</si>
  <si>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</si>
  <si>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</si>
  <si>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</si>
  <si>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</si>
  <si>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</si>
  <si>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</si>
  <si>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</si>
  <si>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</si>
  <si>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</si>
  <si>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</si>
  <si>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</si>
  <si>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</si>
  <si>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</si>
  <si>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</si>
  <si>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</si>
  <si>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</si>
  <si>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</si>
  <si>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</si>
  <si>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</si>
  <si>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</si>
  <si>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</si>
  <si>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</si>
  <si>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</si>
  <si>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</si>
  <si>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</si>
  <si>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</si>
  <si>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</si>
  <si>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</si>
  <si>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</si>
  <si>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</si>
  <si>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</si>
  <si>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</si>
  <si>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</si>
  <si>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</si>
  <si>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</si>
  <si>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</si>
  <si>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</si>
  <si>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</si>
  <si>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</si>
  <si>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</si>
  <si>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</si>
  <si>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</si>
  <si>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</si>
  <si>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</si>
  <si>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</si>
  <si>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</si>
  <si>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</si>
  <si>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</si>
  <si>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</si>
  <si>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</si>
  <si>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</si>
  <si>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</si>
  <si>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</si>
  <si>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</si>
  <si>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</si>
  <si>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</si>
  <si>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</si>
  <si>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</si>
  <si>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</si>
  <si>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</si>
  <si>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</si>
  <si>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</si>
  <si>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</si>
  <si>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</si>
  <si>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</si>
  <si>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</si>
  <si>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</si>
  <si>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</si>
  <si>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</si>
  <si>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</si>
  <si>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</si>
  <si>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</si>
  <si>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</si>
  <si>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</si>
  <si>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</si>
  <si>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</si>
  <si>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</si>
  <si>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</si>
  <si>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</si>
  <si>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</si>
  <si>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</si>
  <si>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</si>
  <si>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</si>
  <si>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</si>
  <si>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</si>
  <si>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</si>
  <si>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</si>
  <si>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</si>
  <si>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</si>
  <si>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</si>
  <si>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</si>
  <si>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</si>
  <si>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</si>
  <si>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</si>
  <si>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</si>
  <si>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</si>
  <si>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</si>
  <si>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</si>
  <si>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</si>
  <si>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</si>
  <si>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</si>
  <si>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</si>
  <si>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7/9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</si>
  <si>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</si>
  <si>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</si>
  <si>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</si>
  <si>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</si>
  <si>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</si>
  <si>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</si>
  <si>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</si>
  <si>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</si>
  <si>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</si>
  <si>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</si>
  <si>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</si>
  <si>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</si>
  <si>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</si>
  <si>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</si>
  <si>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</si>
  <si>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</si>
  <si>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</si>
  <si>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</si>
  <si>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</si>
  <si>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</si>
  <si>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</si>
  <si>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</si>
  <si>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</si>
  <si>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</si>
  <si>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</si>
  <si>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</si>
  <si>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</si>
  <si>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</si>
  <si>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</si>
  <si>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</si>
  <si>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</si>
  <si>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</si>
  <si>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</si>
  <si>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</si>
  <si>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</si>
  <si>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</si>
  <si>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</si>
  <si>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</si>
  <si>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</si>
  <si>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</si>
  <si>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</si>
  <si>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</si>
  <si>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</si>
  <si>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</si>
  <si>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</si>
  <si>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</si>
  <si>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</si>
  <si>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</si>
  <si>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</si>
  <si>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</si>
  <si>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</si>
  <si>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</si>
  <si>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</si>
  <si>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</si>
  <si>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march benzin umut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</si>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</sst>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%0.000"/>
    <numFmt numFmtId="190" formatCode="0.000000_ ;[Red]\-0.000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47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37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72" fontId="3" fillId="0" borderId="26" xfId="0" applyNumberFormat="1" applyFont="1" applyBorder="1"/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46" fillId="0" borderId="0" xfId="2" applyNumberFormat="1"/>
    <xf numFmtId="190" fontId="3" fillId="20" borderId="0" xfId="0" applyNumberFormat="1" applyFont="1" applyFill="1"/>
    <xf numFmtId="190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5" fontId="23" fillId="40" borderId="0" xfId="0" applyNumberFormat="1" applyFon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90" fontId="3" fillId="43" borderId="0" xfId="0" applyNumberFormat="1" applyFont="1" applyFill="1"/>
    <xf numFmtId="16" fontId="0" fillId="40" borderId="0" xfId="0" applyNumberFormat="1" applyFill="1"/>
    <xf numFmtId="173" fontId="0" fillId="0" borderId="0" xfId="0" applyNumberFormat="1" applyFont="1" applyFill="1"/>
    <xf numFmtId="0" fontId="22" fillId="0" borderId="0" xfId="0" applyFont="1" applyFill="1"/>
    <xf numFmtId="174" fontId="0" fillId="0" borderId="0" xfId="0" applyNumberFormat="1" applyFont="1" applyFill="1"/>
    <xf numFmtId="0" fontId="0" fillId="0" borderId="0" xfId="0" applyFont="1" applyFill="1"/>
    <xf numFmtId="172" fontId="0" fillId="0" borderId="0" xfId="0" applyNumberFormat="1" applyFont="1" applyFill="1"/>
    <xf numFmtId="171" fontId="46" fillId="0" borderId="0" xfId="2" applyNumberForma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21"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zoomScale="175" zoomScaleNormal="175" workbookViewId="0">
      <selection activeCell="B9" sqref="B9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4">
        <v>45667</v>
      </c>
      <c r="B7" s="425" t="s">
        <v>5</v>
      </c>
      <c r="C7" s="394"/>
      <c r="D7" s="426">
        <v>20000</v>
      </c>
      <c r="E7" s="426"/>
      <c r="F7" s="2">
        <f t="shared" ref="F7:F16" si="0">F6+D7-E7</f>
        <v>277330</v>
      </c>
    </row>
    <row r="8" spans="1:6" s="11" customFormat="1">
      <c r="A8" s="424">
        <v>45672</v>
      </c>
      <c r="B8" s="425" t="s">
        <v>1590</v>
      </c>
      <c r="C8" s="394"/>
      <c r="D8" s="426"/>
      <c r="E8" s="426">
        <v>25000</v>
      </c>
      <c r="F8" s="12">
        <f t="shared" si="0"/>
        <v>252330</v>
      </c>
    </row>
    <row r="9" spans="1:6">
      <c r="A9" s="424">
        <v>45672</v>
      </c>
      <c r="B9" s="394" t="s">
        <v>1591</v>
      </c>
      <c r="C9" s="394"/>
      <c r="D9" s="426"/>
      <c r="E9" s="426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>
      <c r="A11" s="1">
        <v>45731</v>
      </c>
      <c r="B11" s="8" t="s">
        <v>1593</v>
      </c>
      <c r="C11" s="8"/>
      <c r="D11" s="12"/>
      <c r="F11" s="12">
        <f t="shared" si="0"/>
        <v>221330</v>
      </c>
    </row>
    <row r="12" spans="1:6">
      <c r="A12" s="1">
        <v>45762</v>
      </c>
      <c r="B12" s="8" t="s">
        <v>1594</v>
      </c>
      <c r="C12" s="8"/>
      <c r="D12" s="12"/>
      <c r="F12" s="12">
        <f t="shared" si="0"/>
        <v>221330</v>
      </c>
    </row>
    <row r="13" spans="1:6">
      <c r="A13" s="1">
        <v>45792</v>
      </c>
      <c r="B13" s="8" t="s">
        <v>1595</v>
      </c>
      <c r="C13" s="8"/>
      <c r="D13" s="12"/>
      <c r="F13" s="12">
        <f t="shared" si="0"/>
        <v>221330</v>
      </c>
    </row>
    <row r="14" spans="1:6">
      <c r="A14" s="1">
        <v>45823</v>
      </c>
      <c r="B14" s="8" t="s">
        <v>1596</v>
      </c>
      <c r="C14" s="8"/>
      <c r="D14" s="12"/>
      <c r="F14" s="12">
        <f t="shared" si="0"/>
        <v>221330</v>
      </c>
    </row>
    <row r="15" spans="1:6" ht="13.5" thickBot="1">
      <c r="A15" s="1">
        <v>45853</v>
      </c>
      <c r="B15" s="8" t="s">
        <v>1597</v>
      </c>
      <c r="C15" s="8"/>
      <c r="D15" s="12"/>
      <c r="F15" s="12">
        <f t="shared" si="0"/>
        <v>221330</v>
      </c>
    </row>
    <row r="16" spans="1:6">
      <c r="E16" s="13"/>
      <c r="F16" s="390">
        <f t="shared" si="0"/>
        <v>221330</v>
      </c>
    </row>
    <row r="17" spans="5:6" ht="13.5" thickBot="1">
      <c r="E17" s="15"/>
      <c r="F17" s="16" t="s">
        <v>14</v>
      </c>
    </row>
    <row r="36" spans="2:6">
      <c r="B36" s="8" t="s">
        <v>15</v>
      </c>
    </row>
    <row r="38" spans="2:6">
      <c r="F38" s="2">
        <f t="shared" ref="F38:F43" si="1">F37+D38-E38</f>
        <v>0</v>
      </c>
    </row>
    <row r="39" spans="2:6">
      <c r="B39" s="8" t="s">
        <v>16</v>
      </c>
      <c r="D39" s="2">
        <v>50000</v>
      </c>
      <c r="F39" s="2">
        <f t="shared" si="1"/>
        <v>50000</v>
      </c>
    </row>
    <row r="40" spans="2:6">
      <c r="B40" s="8" t="s">
        <v>17</v>
      </c>
      <c r="D40" s="2">
        <v>140000</v>
      </c>
      <c r="F40" s="2">
        <f t="shared" si="1"/>
        <v>190000</v>
      </c>
    </row>
    <row r="41" spans="2:6">
      <c r="B41" s="8" t="s">
        <v>18</v>
      </c>
      <c r="D41" s="2">
        <v>195000</v>
      </c>
      <c r="F41" s="2">
        <f t="shared" si="1"/>
        <v>385000</v>
      </c>
    </row>
    <row r="42" spans="2:6">
      <c r="B42" s="8" t="s">
        <v>19</v>
      </c>
      <c r="E42" s="2">
        <v>310000</v>
      </c>
      <c r="F42" s="2">
        <f t="shared" si="1"/>
        <v>75000</v>
      </c>
    </row>
    <row r="43" spans="2:6">
      <c r="B43" s="3" t="s">
        <v>20</v>
      </c>
      <c r="C43" s="3"/>
      <c r="D43" s="17"/>
      <c r="E43" s="17"/>
      <c r="F43" s="17">
        <f t="shared" si="1"/>
        <v>75000</v>
      </c>
    </row>
    <row r="44" spans="2:6">
      <c r="B44" s="3" t="s">
        <v>21</v>
      </c>
      <c r="C44" s="3"/>
      <c r="D44" s="17" t="e">
        <f>#REF!-F42</f>
        <v>#REF!</v>
      </c>
      <c r="F44" s="2" t="e">
        <f>F42+D44-E44</f>
        <v>#REF!</v>
      </c>
    </row>
    <row r="45" spans="2:6">
      <c r="E45" s="18" t="s">
        <v>22</v>
      </c>
      <c r="F45" s="17" t="e">
        <f>F44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27" t="s">
        <v>26</v>
      </c>
      <c r="M1" s="427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'01_25'!E129/1000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0</v>
      </c>
      <c r="F4" s="32">
        <f>'02_25'!G2</f>
        <v>-49220.32</v>
      </c>
      <c r="G4" s="33">
        <f t="shared" ref="G4:G14" si="1">E4+F4+G3</f>
        <v>211815.69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'02_25'!E145/1000</f>
        <v>16.2</v>
      </c>
    </row>
    <row r="5" spans="1:14">
      <c r="A5" t="s">
        <v>37</v>
      </c>
      <c r="B5" s="32">
        <f>'03_25'!D2</f>
        <v>15000</v>
      </c>
      <c r="C5" s="32">
        <f>'03_25'!E2</f>
        <v>-66357.66</v>
      </c>
      <c r="D5" s="33">
        <f t="shared" si="0"/>
        <v>261343.53999999995</v>
      </c>
      <c r="E5" s="32">
        <f>'03_25'!F2</f>
        <v>0</v>
      </c>
      <c r="F5" s="32">
        <f>'03_25'!G2</f>
        <v>-20060.599999999999</v>
      </c>
      <c r="G5" s="33">
        <f t="shared" si="1"/>
        <v>191755.09</v>
      </c>
      <c r="H5" s="34"/>
      <c r="I5" s="35" t="s">
        <v>38</v>
      </c>
      <c r="K5" s="39"/>
      <c r="L5" s="37"/>
      <c r="M5" s="38">
        <f>J5</f>
        <v>0</v>
      </c>
      <c r="N5" s="8">
        <f>'03_25'!E114/1000</f>
        <v>0</v>
      </c>
    </row>
    <row r="6" spans="1:14">
      <c r="A6" t="s">
        <v>39</v>
      </c>
      <c r="B6" s="32">
        <f>'04_25'!D2</f>
        <v>15000</v>
      </c>
      <c r="C6" s="32">
        <f>'04_25'!E2</f>
        <v>-47286.84</v>
      </c>
      <c r="D6" s="33">
        <f t="shared" si="0"/>
        <v>229056.69999999995</v>
      </c>
      <c r="E6" s="32">
        <f>'04_25'!F2</f>
        <v>0</v>
      </c>
      <c r="F6" s="32">
        <f>'04_25'!G2</f>
        <v>-989.78</v>
      </c>
      <c r="G6" s="33">
        <f t="shared" si="1"/>
        <v>190765.31</v>
      </c>
      <c r="H6" s="34"/>
      <c r="I6" s="41" t="s">
        <v>40</v>
      </c>
      <c r="K6" s="39"/>
      <c r="L6" s="37"/>
      <c r="M6" s="42">
        <f>E18/1000</f>
        <v>0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198149.85999999996</v>
      </c>
      <c r="E7" s="32">
        <f>'05_25'!F2</f>
        <v>0</v>
      </c>
      <c r="F7" s="32">
        <f>'05_25'!G2</f>
        <v>-989.78</v>
      </c>
      <c r="G7" s="33">
        <f t="shared" si="1"/>
        <v>189775.53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159743.01999999996</v>
      </c>
      <c r="E8" s="32">
        <f>'06_25'!F2</f>
        <v>0</v>
      </c>
      <c r="F8" s="32">
        <f>'06_25'!G2</f>
        <v>-989.78</v>
      </c>
      <c r="G8" s="33">
        <f t="shared" si="1"/>
        <v>188785.75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121336.17999999996</v>
      </c>
      <c r="E9" s="32">
        <f>'07_25'!F2</f>
        <v>0</v>
      </c>
      <c r="F9" s="32">
        <f>'07_25'!G2</f>
        <v>-989.78</v>
      </c>
      <c r="G9" s="33">
        <f t="shared" si="1"/>
        <v>187795.97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82929.339999999967</v>
      </c>
      <c r="E10" s="32">
        <f>'08_25'!F2</f>
        <v>0</v>
      </c>
      <c r="F10" s="32">
        <f>'08_25'!G2</f>
        <v>-989.78</v>
      </c>
      <c r="G10" s="33">
        <f t="shared" si="1"/>
        <v>186806.19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45512.27999999997</v>
      </c>
      <c r="E11" s="32">
        <f>'09_25'!F2</f>
        <v>0</v>
      </c>
      <c r="F11" s="32">
        <f>'09_25'!G2</f>
        <v>0</v>
      </c>
      <c r="G11" s="33">
        <f t="shared" si="1"/>
        <v>186806.19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8095.2199999999721</v>
      </c>
      <c r="E12" s="32">
        <f>'10_25'!F2</f>
        <v>0</v>
      </c>
      <c r="F12" s="32">
        <f>'10_25'!G2</f>
        <v>0</v>
      </c>
      <c r="G12" s="33">
        <f t="shared" si="1"/>
        <v>186806.19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-29321.840000000026</v>
      </c>
      <c r="E13" s="32">
        <f>'11_25'!F2</f>
        <v>0</v>
      </c>
      <c r="F13" s="32">
        <f>'11_25'!G2</f>
        <v>0</v>
      </c>
      <c r="G13" s="33">
        <f t="shared" si="1"/>
        <v>186806.19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-66738.900000000023</v>
      </c>
      <c r="E14" s="32">
        <f>'12_25'!F2</f>
        <v>0</v>
      </c>
      <c r="F14" s="32">
        <f>'12_25'!G2</f>
        <v>0</v>
      </c>
      <c r="G14" s="33">
        <f t="shared" si="1"/>
        <v>186806.19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593664</v>
      </c>
      <c r="C15" s="33">
        <f>SUM(C3:C14)</f>
        <v>-660402.89999999991</v>
      </c>
      <c r="D15" s="33">
        <f>B15+C15</f>
        <v>-66738.899999999907</v>
      </c>
      <c r="E15" s="33">
        <f>SUM(E3:E14)</f>
        <v>320054.88</v>
      </c>
      <c r="F15" s="33">
        <f>SUM(F3:F14)</f>
        <v>-133248.69</v>
      </c>
      <c r="G15" s="33">
        <f>E15+F15</f>
        <v>186806.19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236.25</v>
      </c>
    </row>
    <row r="16" spans="1:14">
      <c r="A16" s="53">
        <v>12</v>
      </c>
      <c r="B16" s="54">
        <f>B15/A16</f>
        <v>49472</v>
      </c>
      <c r="C16" s="55">
        <f>C15/A16</f>
        <v>-55033.57499999999</v>
      </c>
      <c r="D16" s="55"/>
      <c r="E16" s="55">
        <f>E15/A16</f>
        <v>26671.24</v>
      </c>
      <c r="F16" s="55">
        <f>F15/A16</f>
        <v>-11104.057500000001</v>
      </c>
      <c r="G16" s="55">
        <f>G15/A16</f>
        <v>15567.182500000001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19.6875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28">
        <f>L15+M15</f>
        <v>961.10596800000008</v>
      </c>
      <c r="M17" s="428"/>
    </row>
    <row r="18" spans="2:13">
      <c r="D18" s="64" t="s">
        <v>58</v>
      </c>
      <c r="E18" s="2">
        <f>'01_25'!F32+'02_25'!F19+'02_25'!F30+'03_25'!F19+'04_25'!F41+'05_25'!F22+'06_25'!F19+'06_25'!F31+'04_25'!F15</f>
        <v>0</v>
      </c>
      <c r="J18" s="35"/>
      <c r="K18" s="2" t="s">
        <v>59</v>
      </c>
      <c r="L18" s="65"/>
      <c r="M18" s="66">
        <f>L17/12</f>
        <v>80.092164000000011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1646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33" zoomScale="145" zoomScaleNormal="145" workbookViewId="0">
      <selection activeCell="D54" sqref="D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-47286.84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100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88">
        <v>45715</v>
      </c>
      <c r="B53" s="90" t="s">
        <v>1646</v>
      </c>
      <c r="C53" s="90">
        <v>5938.68</v>
      </c>
      <c r="D53" s="90" t="s">
        <v>665</v>
      </c>
      <c r="E53" s="90">
        <v>-989.78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77"/>
  <sheetViews>
    <sheetView zoomScale="145" zoomScaleNormal="145" workbookViewId="0">
      <selection activeCell="E9" sqref="E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101</v>
      </c>
      <c r="C2" s="79" t="s">
        <v>67</v>
      </c>
      <c r="D2" s="77">
        <f>SUM(D4:D33)</f>
        <v>15000</v>
      </c>
      <c r="E2" s="77">
        <f>SUM(E4:E33)</f>
        <v>-66357.66</v>
      </c>
      <c r="F2" s="77">
        <f>SUM(F4:F33)</f>
        <v>0</v>
      </c>
      <c r="G2" s="77">
        <f>SUM(G4:G33)</f>
        <v>-20060.599999999999</v>
      </c>
      <c r="H2" s="77">
        <f>F2+G2</f>
        <v>-20060.599999999999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431"/>
      <c r="B6" s="432"/>
      <c r="C6" s="410"/>
      <c r="D6" s="408"/>
      <c r="E6" s="408"/>
      <c r="H6" s="77">
        <f t="shared" si="0"/>
        <v>0</v>
      </c>
    </row>
    <row r="7" spans="1:10">
      <c r="A7" s="433"/>
      <c r="B7" s="432" t="s">
        <v>68</v>
      </c>
      <c r="C7" s="434"/>
      <c r="D7" s="435"/>
      <c r="E7" s="435">
        <f>E37</f>
        <v>-16672.61</v>
      </c>
      <c r="F7" s="87"/>
      <c r="G7" s="87">
        <f>E7</f>
        <v>-16672.61</v>
      </c>
      <c r="H7" s="77">
        <f t="shared" si="0"/>
        <v>-16672.61</v>
      </c>
    </row>
    <row r="8" spans="1:10">
      <c r="A8" s="431"/>
      <c r="B8" s="432" t="s">
        <v>69</v>
      </c>
      <c r="C8" s="434"/>
      <c r="D8" s="435"/>
      <c r="E8" s="435">
        <f>E58</f>
        <v>-3387.99</v>
      </c>
      <c r="F8" s="87"/>
      <c r="G8" s="87">
        <f>E8</f>
        <v>-3387.99</v>
      </c>
      <c r="H8" s="77">
        <f t="shared" si="0"/>
        <v>-20060.599999999999</v>
      </c>
    </row>
    <row r="9" spans="1:10">
      <c r="G9" s="87"/>
      <c r="H9" s="77">
        <f t="shared" si="0"/>
        <v>-20060.599999999999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-20060.599999999999</v>
      </c>
    </row>
    <row r="11" spans="1:10">
      <c r="B11" s="89" t="s">
        <v>1601</v>
      </c>
      <c r="C11" s="89"/>
      <c r="D11" s="90"/>
      <c r="E11" s="90">
        <v>-17500</v>
      </c>
      <c r="H11" s="77">
        <f t="shared" si="0"/>
        <v>-20060.599999999999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-20060.599999999999</v>
      </c>
    </row>
    <row r="13" spans="1:10">
      <c r="A13" s="88"/>
      <c r="B13" s="92"/>
      <c r="C13" s="92"/>
      <c r="D13" s="90"/>
      <c r="E13" s="90"/>
      <c r="H13" s="77">
        <f t="shared" si="0"/>
        <v>-20060.599999999999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-20060.599999999999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-20060.599999999999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-20060.599999999999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-20060.599999999999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-20060.599999999999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-20060.599999999999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-20060.599999999999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-20060.599999999999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-20060.599999999999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-20060.599999999999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1605</v>
      </c>
      <c r="D24" s="77"/>
      <c r="E24" s="77">
        <v>-1380</v>
      </c>
      <c r="F24" s="77"/>
      <c r="G24" s="77"/>
      <c r="H24" s="77">
        <f t="shared" si="0"/>
        <v>-20060.599999999999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-20060.599999999999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-20060.599999999999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-20060.599999999999</v>
      </c>
    </row>
    <row r="28" spans="1:13" s="78" customFormat="1">
      <c r="D28" s="77"/>
      <c r="E28" s="77"/>
      <c r="F28" s="77"/>
      <c r="G28" s="77"/>
      <c r="H28" s="77">
        <f t="shared" si="0"/>
        <v>-20060.599999999999</v>
      </c>
    </row>
    <row r="29" spans="1:13">
      <c r="A29" s="100"/>
      <c r="B29" s="101" t="s">
        <v>103</v>
      </c>
      <c r="C29" s="101"/>
      <c r="H29" s="77">
        <f t="shared" si="0"/>
        <v>-20060.599999999999</v>
      </c>
      <c r="I29" s="78"/>
      <c r="J29" s="78"/>
    </row>
    <row r="30" spans="1:13">
      <c r="A30" s="100"/>
      <c r="H30" s="77">
        <f t="shared" si="0"/>
        <v>-20060.599999999999</v>
      </c>
    </row>
    <row r="31" spans="1:13">
      <c r="H31" s="77">
        <f t="shared" si="0"/>
        <v>-20060.599999999999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-16672.61</v>
      </c>
      <c r="I37" s="77"/>
      <c r="J37" s="77"/>
    </row>
    <row r="38" spans="1:14" s="77" customFormat="1">
      <c r="A38"/>
      <c r="B38"/>
      <c r="C38"/>
      <c r="I38"/>
      <c r="J38"/>
      <c r="K38" s="78"/>
      <c r="L38" s="78"/>
      <c r="M38" s="78"/>
      <c r="N38" s="78"/>
    </row>
    <row r="39" spans="1:14" s="77" customFormat="1">
      <c r="A39" s="88">
        <v>45715</v>
      </c>
      <c r="B39" s="90" t="s">
        <v>1646</v>
      </c>
      <c r="C39" s="90">
        <v>5938.7</v>
      </c>
      <c r="D39" s="90" t="s">
        <v>700</v>
      </c>
      <c r="E39" s="90">
        <v>-989.78</v>
      </c>
      <c r="K39" s="78"/>
      <c r="L39" s="78"/>
      <c r="M39" s="78"/>
      <c r="N39" s="78"/>
    </row>
    <row r="40" spans="1:14" s="77" customFormat="1">
      <c r="A40" s="88">
        <v>45715</v>
      </c>
      <c r="B40" s="77" t="s">
        <v>1640</v>
      </c>
      <c r="E40" s="77">
        <v>-2880</v>
      </c>
      <c r="K40" s="78"/>
      <c r="L40" s="78"/>
      <c r="M40" s="78"/>
      <c r="N40" s="78"/>
    </row>
    <row r="41" spans="1:14" s="77" customFormat="1">
      <c r="A41" s="88">
        <v>45715</v>
      </c>
      <c r="B41" s="77" t="s">
        <v>1642</v>
      </c>
      <c r="E41" s="77">
        <v>-3196.34</v>
      </c>
      <c r="K41" s="78"/>
      <c r="L41" s="78"/>
      <c r="M41" s="78"/>
      <c r="N41" s="78"/>
    </row>
    <row r="42" spans="1:14">
      <c r="A42" s="88">
        <v>45715</v>
      </c>
      <c r="B42" s="90" t="s">
        <v>1641</v>
      </c>
      <c r="C42" s="77"/>
      <c r="E42" s="77">
        <v>-467.95</v>
      </c>
      <c r="I42" s="77"/>
      <c r="J42" s="77"/>
    </row>
    <row r="43" spans="1:14" s="77" customFormat="1">
      <c r="A43" s="88">
        <v>45715</v>
      </c>
      <c r="B43" s="90" t="s">
        <v>1644</v>
      </c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>
        <v>45691</v>
      </c>
      <c r="B45" s="106" t="s">
        <v>1659</v>
      </c>
      <c r="C45" s="106"/>
      <c r="E45" s="77">
        <v>-1580</v>
      </c>
      <c r="K45" s="78"/>
      <c r="L45" s="78"/>
      <c r="M45" s="78"/>
      <c r="N45" s="78"/>
    </row>
    <row r="46" spans="1:14" s="77" customFormat="1">
      <c r="A46" s="100">
        <v>45691</v>
      </c>
      <c r="B46" s="107" t="s">
        <v>1658</v>
      </c>
      <c r="C46" s="106"/>
      <c r="E46" s="77">
        <v>-1338</v>
      </c>
      <c r="K46" s="78"/>
      <c r="L46" s="78"/>
      <c r="M46" s="78"/>
      <c r="N46" s="78"/>
    </row>
    <row r="47" spans="1:14" s="77" customFormat="1">
      <c r="A47" s="100">
        <v>45691</v>
      </c>
      <c r="B47" s="107" t="s">
        <v>1660</v>
      </c>
      <c r="C47" s="106"/>
      <c r="E47" s="77">
        <v>-1200</v>
      </c>
      <c r="K47" s="78"/>
      <c r="L47" s="78"/>
      <c r="M47" s="78"/>
      <c r="N47" s="78"/>
    </row>
    <row r="48" spans="1:14" s="77" customFormat="1">
      <c r="A48" s="100">
        <v>45691</v>
      </c>
      <c r="B48" s="107" t="s">
        <v>1661</v>
      </c>
      <c r="E48" s="77">
        <v>-1300.54</v>
      </c>
      <c r="K48" s="78"/>
      <c r="L48" s="78"/>
      <c r="M48" s="78"/>
      <c r="N48" s="78"/>
    </row>
    <row r="49" spans="1:14" s="77" customFormat="1">
      <c r="A49" s="100">
        <v>45689</v>
      </c>
      <c r="B49" s="107" t="s">
        <v>1662</v>
      </c>
      <c r="C49" s="106"/>
      <c r="E49" s="77">
        <v>-3720</v>
      </c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90" customFormat="1">
      <c r="A51" s="100"/>
      <c r="B51" s="92"/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90" customFormat="1" ht="15">
      <c r="A55" s="100"/>
      <c r="B55" s="105" t="s">
        <v>84</v>
      </c>
      <c r="K55" s="78"/>
      <c r="L55" s="78"/>
      <c r="M55" s="78"/>
      <c r="N55" s="78"/>
    </row>
    <row r="56" spans="1:14" s="90" customFormat="1">
      <c r="A56" s="100"/>
      <c r="B56" s="92"/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3"/>
      <c r="B58" s="104" t="s">
        <v>85</v>
      </c>
      <c r="C58" s="103"/>
      <c r="E58" s="77">
        <f>SUM(E59:E77)</f>
        <v>-3387.99</v>
      </c>
      <c r="K58" s="78"/>
      <c r="L58" s="78"/>
      <c r="M58" s="78"/>
      <c r="N58" s="78"/>
    </row>
    <row r="59" spans="1:14" s="77" customFormat="1">
      <c r="A59" s="100"/>
      <c r="B59" s="106"/>
      <c r="C59" s="106"/>
      <c r="K59" s="78"/>
      <c r="L59" s="78"/>
      <c r="M59" s="78"/>
      <c r="N59" s="78"/>
    </row>
    <row r="60" spans="1:14" s="77" customFormat="1">
      <c r="F60" s="90"/>
      <c r="K60" s="78"/>
      <c r="L60" s="78"/>
      <c r="M60" s="78"/>
      <c r="N60" s="78"/>
    </row>
    <row r="61" spans="1:14" s="77" customFormat="1">
      <c r="A61" s="100">
        <v>45681</v>
      </c>
      <c r="B61" s="92" t="s">
        <v>1632</v>
      </c>
      <c r="C61" s="106"/>
      <c r="D61" s="90"/>
      <c r="E61" s="90">
        <v>-1798</v>
      </c>
      <c r="K61" s="78"/>
      <c r="L61" s="78"/>
      <c r="M61" s="78"/>
      <c r="N61" s="78"/>
    </row>
    <row r="62" spans="1:14" s="77" customFormat="1">
      <c r="A62" s="100">
        <v>45681</v>
      </c>
      <c r="B62" s="92" t="s">
        <v>1631</v>
      </c>
      <c r="C62" s="106"/>
      <c r="D62" s="90"/>
      <c r="E62" s="90">
        <v>-120</v>
      </c>
      <c r="K62" s="78"/>
      <c r="L62" s="78"/>
      <c r="M62" s="78"/>
      <c r="N62" s="78"/>
    </row>
    <row r="63" spans="1:14" s="77" customFormat="1">
      <c r="A63" s="100">
        <v>45681</v>
      </c>
      <c r="B63" s="92" t="s">
        <v>1633</v>
      </c>
      <c r="C63" s="106"/>
      <c r="D63" s="90"/>
      <c r="E63" s="90">
        <v>-700</v>
      </c>
      <c r="K63" s="78"/>
      <c r="L63" s="78"/>
      <c r="M63" s="78"/>
      <c r="N63" s="78"/>
    </row>
    <row r="64" spans="1:14" s="77" customFormat="1">
      <c r="A64" s="100">
        <v>45682</v>
      </c>
      <c r="B64" s="92" t="s">
        <v>1621</v>
      </c>
      <c r="C64" s="106"/>
      <c r="D64" s="90"/>
      <c r="E64" s="90">
        <v>-70</v>
      </c>
      <c r="K64" s="78"/>
      <c r="L64" s="78"/>
      <c r="M64" s="78"/>
      <c r="N64" s="78"/>
    </row>
    <row r="65" spans="1:14" s="77" customFormat="1">
      <c r="A65" s="100">
        <v>45682</v>
      </c>
      <c r="B65" s="92" t="s">
        <v>1634</v>
      </c>
      <c r="C65" s="106"/>
      <c r="D65" s="90"/>
      <c r="E65" s="90">
        <v>-699.99</v>
      </c>
      <c r="K65" s="78"/>
      <c r="L65" s="78"/>
      <c r="M65" s="78"/>
      <c r="N65" s="78"/>
    </row>
    <row r="66" spans="1:14" s="77" customFormat="1">
      <c r="A66" s="100">
        <v>45691</v>
      </c>
      <c r="B66" s="3" t="s">
        <v>130</v>
      </c>
      <c r="C66" s="106">
        <v>19000</v>
      </c>
      <c r="K66" s="78"/>
      <c r="L66" s="78"/>
      <c r="M66" s="78"/>
      <c r="N66" s="78"/>
    </row>
    <row r="67" spans="1:14" s="77" customFormat="1">
      <c r="A67" s="100">
        <v>45691</v>
      </c>
      <c r="B67" s="92" t="s">
        <v>130</v>
      </c>
      <c r="C67" s="106">
        <v>10500</v>
      </c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 ht="15">
      <c r="A73" s="100"/>
      <c r="B73" s="105" t="s">
        <v>84</v>
      </c>
      <c r="C73" s="106"/>
      <c r="K73" s="78"/>
      <c r="L73" s="78"/>
      <c r="M73" s="78"/>
      <c r="N73" s="78"/>
    </row>
    <row r="74" spans="1:14" s="77" customFormat="1">
      <c r="A74" s="100"/>
      <c r="B74" s="3"/>
      <c r="C74" s="106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N171"/>
  <sheetViews>
    <sheetView tabSelected="1" topLeftCell="A15" zoomScale="145" zoomScaleNormal="145" workbookViewId="0">
      <selection activeCell="H43" sqref="H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SUM(D4:D35)</f>
        <v>45000</v>
      </c>
      <c r="E2" s="77">
        <f>SUM(E4:E36)</f>
        <v>-75400.399999999994</v>
      </c>
      <c r="F2" s="77">
        <f>SUM(F4:F36)</f>
        <v>0</v>
      </c>
      <c r="G2" s="77">
        <f>SUM(G4:G36)</f>
        <v>-49220.32</v>
      </c>
      <c r="H2" s="77">
        <f>F2+G2</f>
        <v>-49220.32</v>
      </c>
    </row>
    <row r="3" spans="1:14">
      <c r="B3" s="18"/>
    </row>
    <row r="4" spans="1:14">
      <c r="B4" s="41"/>
      <c r="H4" s="77">
        <f t="shared" ref="H4:H36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E41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E56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30">
        <v>45873</v>
      </c>
      <c r="B9" s="425" t="s">
        <v>1657</v>
      </c>
      <c r="C9" s="425"/>
      <c r="D9" s="385"/>
      <c r="E9" s="385"/>
      <c r="F9" s="385"/>
      <c r="G9" s="388">
        <v>-18000</v>
      </c>
      <c r="H9" s="90">
        <f t="shared" si="0"/>
        <v>-47103.34</v>
      </c>
    </row>
    <row r="10" spans="1:14">
      <c r="A10" s="392">
        <v>45692</v>
      </c>
      <c r="B10" s="393" t="s">
        <v>70</v>
      </c>
      <c r="C10" s="393"/>
      <c r="D10" s="388"/>
      <c r="E10" s="388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88"/>
      <c r="B11" s="99"/>
      <c r="C11" s="99"/>
      <c r="D11" s="90"/>
      <c r="E11" s="90"/>
      <c r="F11" s="90"/>
      <c r="G11" s="90"/>
      <c r="H11" s="90">
        <f t="shared" si="0"/>
        <v>-49220.32</v>
      </c>
      <c r="K11" s="78"/>
      <c r="L11" s="78"/>
      <c r="M11" s="78"/>
      <c r="N11" s="78"/>
    </row>
    <row r="12" spans="1:14" s="11" customFormat="1">
      <c r="A12" s="88"/>
      <c r="B12" s="99"/>
      <c r="C12" s="99"/>
      <c r="D12" s="90"/>
      <c r="E12" s="90"/>
      <c r="F12" s="90"/>
      <c r="G12" s="90"/>
      <c r="H12" s="90">
        <f t="shared" si="0"/>
        <v>-49220.32</v>
      </c>
      <c r="K12" s="78"/>
      <c r="L12" s="78"/>
      <c r="M12" s="78"/>
      <c r="N12" s="78"/>
    </row>
    <row r="13" spans="1:14" s="11" customFormat="1">
      <c r="A13" s="88"/>
      <c r="B13" s="99"/>
      <c r="C13" s="99"/>
      <c r="D13" s="90"/>
      <c r="E13" s="90"/>
      <c r="F13" s="90"/>
      <c r="G13" s="90"/>
      <c r="H13" s="90">
        <f t="shared" si="0"/>
        <v>-49220.32</v>
      </c>
      <c r="K13" s="78"/>
      <c r="L13" s="78"/>
      <c r="M13" s="78"/>
      <c r="N13" s="78"/>
    </row>
    <row r="14" spans="1:14" s="11" customFormat="1">
      <c r="A14" s="88"/>
      <c r="B14" s="99"/>
      <c r="C14" s="99"/>
      <c r="D14" s="90"/>
      <c r="E14" s="90"/>
      <c r="F14" s="90"/>
      <c r="G14" s="90"/>
      <c r="H14" s="90">
        <f t="shared" si="0"/>
        <v>-49220.32</v>
      </c>
      <c r="K14" s="78"/>
      <c r="L14" s="78"/>
      <c r="M14" s="78"/>
      <c r="N14" s="78"/>
    </row>
    <row r="15" spans="1:14" s="11" customFormat="1">
      <c r="A15" s="88"/>
      <c r="B15" s="99"/>
      <c r="C15" s="99"/>
      <c r="D15" s="90"/>
      <c r="E15" s="90"/>
      <c r="F15" s="90"/>
      <c r="G15" s="90"/>
      <c r="H15" s="90">
        <f t="shared" si="0"/>
        <v>-49220.32</v>
      </c>
      <c r="K15" s="78"/>
      <c r="L15" s="78"/>
      <c r="M15" s="78"/>
      <c r="N15" s="78"/>
    </row>
    <row r="16" spans="1:14">
      <c r="B16" s="89" t="s">
        <v>1600</v>
      </c>
      <c r="C16" s="89"/>
      <c r="D16" s="90"/>
      <c r="E16" s="90">
        <v>-17500</v>
      </c>
      <c r="H16" s="90">
        <f t="shared" si="0"/>
        <v>-49220.32</v>
      </c>
    </row>
    <row r="17" spans="1:13">
      <c r="B17" s="91" t="s">
        <v>72</v>
      </c>
      <c r="C17" s="92"/>
      <c r="D17" s="90"/>
      <c r="E17" s="90">
        <v>0</v>
      </c>
      <c r="H17" s="90">
        <f t="shared" si="0"/>
        <v>-49220.32</v>
      </c>
    </row>
    <row r="18" spans="1:13">
      <c r="A18" s="88"/>
      <c r="B18" s="92"/>
      <c r="C18" s="92"/>
      <c r="D18" s="90"/>
      <c r="E18" s="90"/>
      <c r="H18" s="90">
        <f t="shared" si="0"/>
        <v>-49220.32</v>
      </c>
    </row>
    <row r="19" spans="1:13" s="78" customFormat="1">
      <c r="A19" s="88"/>
      <c r="B19" s="420" t="s">
        <v>114</v>
      </c>
      <c r="C19" s="420"/>
      <c r="D19" s="421">
        <v>15000</v>
      </c>
      <c r="E19" s="77"/>
      <c r="F19" s="77"/>
      <c r="G19" s="77"/>
      <c r="H19" s="90">
        <f t="shared" si="0"/>
        <v>-49220.32</v>
      </c>
      <c r="I19"/>
      <c r="J19"/>
    </row>
    <row r="20" spans="1:13" s="78" customFormat="1">
      <c r="A20" s="88"/>
      <c r="B20" s="93" t="s">
        <v>73</v>
      </c>
      <c r="C20" s="93"/>
      <c r="D20" s="90"/>
      <c r="E20" s="90">
        <v>-1000</v>
      </c>
      <c r="F20" s="77"/>
      <c r="G20" s="77"/>
      <c r="H20" s="90">
        <f t="shared" si="0"/>
        <v>-49220.32</v>
      </c>
    </row>
    <row r="21" spans="1:13" s="78" customFormat="1">
      <c r="A21" s="88"/>
      <c r="B21" s="93" t="s">
        <v>74</v>
      </c>
      <c r="C21" s="93"/>
      <c r="D21" s="90"/>
      <c r="E21" s="90">
        <v>-200</v>
      </c>
      <c r="F21" s="77"/>
      <c r="G21" s="77"/>
      <c r="H21" s="90">
        <f t="shared" si="0"/>
        <v>-49220.32</v>
      </c>
    </row>
    <row r="22" spans="1:13" s="78" customFormat="1">
      <c r="A22" s="88"/>
      <c r="B22" s="89" t="s">
        <v>75</v>
      </c>
      <c r="C22" s="89"/>
      <c r="D22" s="90"/>
      <c r="E22" s="90">
        <v>-200</v>
      </c>
      <c r="F22" s="77"/>
      <c r="G22" s="77"/>
      <c r="H22" s="90">
        <f t="shared" si="0"/>
        <v>-49220.32</v>
      </c>
    </row>
    <row r="23" spans="1:13" s="78" customFormat="1">
      <c r="A23" s="88"/>
      <c r="B23" s="92" t="s">
        <v>76</v>
      </c>
      <c r="C23" s="92"/>
      <c r="D23" s="90">
        <v>15000</v>
      </c>
      <c r="E23" s="90"/>
      <c r="F23" s="77"/>
      <c r="G23" s="77"/>
      <c r="H23" s="90">
        <f t="shared" si="0"/>
        <v>-49220.32</v>
      </c>
      <c r="J23" s="94"/>
      <c r="K23" s="94"/>
      <c r="L23" s="95"/>
      <c r="M23" s="96"/>
    </row>
    <row r="24" spans="1:13" s="78" customFormat="1">
      <c r="B24" s="92" t="s">
        <v>77</v>
      </c>
      <c r="C24" s="92"/>
      <c r="D24" s="90"/>
      <c r="E24" s="90">
        <v>-7500</v>
      </c>
      <c r="F24" s="77"/>
      <c r="G24" s="77"/>
      <c r="H24" s="77">
        <f t="shared" si="0"/>
        <v>-49220.32</v>
      </c>
      <c r="J24" s="94"/>
      <c r="K24" s="94"/>
      <c r="L24" s="95"/>
      <c r="M24" s="96"/>
    </row>
    <row r="25" spans="1:13" s="78" customFormat="1">
      <c r="B25" s="92" t="s">
        <v>78</v>
      </c>
      <c r="C25" s="92"/>
      <c r="D25" s="90"/>
      <c r="E25" s="90">
        <v>-7500</v>
      </c>
      <c r="F25" s="77"/>
      <c r="G25" s="77"/>
      <c r="H25" s="77">
        <f t="shared" si="0"/>
        <v>-49220.32</v>
      </c>
      <c r="J25" s="94"/>
      <c r="K25" s="94"/>
      <c r="L25" s="95"/>
      <c r="M25" s="96"/>
    </row>
    <row r="26" spans="1:13" s="78" customFormat="1">
      <c r="B26" s="92" t="s">
        <v>79</v>
      </c>
      <c r="C26" s="92"/>
      <c r="D26" s="90"/>
      <c r="E26" s="90">
        <v>-7500</v>
      </c>
      <c r="F26" s="77"/>
      <c r="G26" s="77"/>
      <c r="H26" s="77">
        <f t="shared" si="0"/>
        <v>-49220.32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-49220.32</v>
      </c>
      <c r="J27" s="94"/>
      <c r="K27" s="94"/>
      <c r="L27" s="95"/>
      <c r="M27" s="96"/>
    </row>
    <row r="28" spans="1:13" s="78" customFormat="1">
      <c r="A28" s="97"/>
      <c r="B28" s="92"/>
      <c r="C28" s="92"/>
      <c r="D28" s="90"/>
      <c r="E28" s="90"/>
      <c r="F28" s="77"/>
      <c r="G28" s="77"/>
      <c r="H28" s="77">
        <f t="shared" si="0"/>
        <v>-49220.32</v>
      </c>
      <c r="J28" s="94"/>
      <c r="K28" s="94"/>
      <c r="L28" s="95"/>
      <c r="M28" s="96"/>
    </row>
    <row r="29" spans="1:13" s="78" customFormat="1">
      <c r="A29" s="98">
        <v>45716</v>
      </c>
      <c r="B29" s="3" t="s">
        <v>98</v>
      </c>
      <c r="C29" s="3" t="s">
        <v>1606</v>
      </c>
      <c r="D29" s="77"/>
      <c r="E29" s="77">
        <v>-1380</v>
      </c>
      <c r="F29" s="77"/>
      <c r="G29" s="77"/>
      <c r="H29" s="77">
        <f t="shared" si="0"/>
        <v>-49220.32</v>
      </c>
      <c r="J29" s="94"/>
      <c r="K29" s="94"/>
      <c r="L29" s="95"/>
      <c r="M29" s="96"/>
    </row>
    <row r="30" spans="1:13" s="78" customFormat="1">
      <c r="B30" s="99" t="s">
        <v>80</v>
      </c>
      <c r="C30" s="99"/>
      <c r="D30" s="77"/>
      <c r="E30" s="77">
        <v>-600</v>
      </c>
      <c r="F30" s="77"/>
      <c r="G30" s="77"/>
      <c r="H30" s="77">
        <f t="shared" si="0"/>
        <v>-49220.32</v>
      </c>
      <c r="J30" s="94"/>
      <c r="K30" s="94"/>
      <c r="L30" s="95"/>
      <c r="M30" s="96"/>
    </row>
    <row r="31" spans="1:13" s="78" customFormat="1">
      <c r="B31" s="99" t="s">
        <v>81</v>
      </c>
      <c r="C31" s="99"/>
      <c r="D31" s="77"/>
      <c r="E31" s="77">
        <v>-800</v>
      </c>
      <c r="F31" s="77"/>
      <c r="G31" s="77"/>
      <c r="H31" s="77">
        <f t="shared" si="0"/>
        <v>-49220.32</v>
      </c>
      <c r="J31" s="94"/>
      <c r="K31" s="94"/>
      <c r="L31" s="95"/>
      <c r="M31" s="96"/>
    </row>
    <row r="32" spans="1:13" s="78" customFormat="1">
      <c r="B32" s="3" t="s">
        <v>107</v>
      </c>
      <c r="C32" s="3"/>
      <c r="D32" s="77">
        <v>15000</v>
      </c>
      <c r="E32" s="77"/>
      <c r="F32" s="77"/>
      <c r="G32" s="77"/>
      <c r="H32" s="77">
        <f t="shared" si="0"/>
        <v>-49220.32</v>
      </c>
    </row>
    <row r="33" spans="1:14" s="78" customFormat="1">
      <c r="D33" s="77"/>
      <c r="E33" s="77"/>
      <c r="F33" s="77"/>
      <c r="G33" s="77"/>
      <c r="H33" s="77">
        <f t="shared" si="0"/>
        <v>-49220.32</v>
      </c>
    </row>
    <row r="34" spans="1:14">
      <c r="A34" s="100"/>
      <c r="B34" s="101" t="s">
        <v>1664</v>
      </c>
      <c r="C34" s="101"/>
      <c r="H34" s="77">
        <f t="shared" si="0"/>
        <v>-49220.32</v>
      </c>
      <c r="I34" s="78"/>
      <c r="J34" s="78"/>
    </row>
    <row r="35" spans="1:14">
      <c r="A35" s="100"/>
      <c r="H35" s="77">
        <f t="shared" si="0"/>
        <v>-49220.32</v>
      </c>
    </row>
    <row r="36" spans="1:14" s="78" customFormat="1">
      <c r="A36"/>
      <c r="E36" s="77"/>
      <c r="F36" s="77"/>
      <c r="G36" s="77"/>
      <c r="H36" s="77">
        <f t="shared" si="0"/>
        <v>-49220.32</v>
      </c>
      <c r="I36"/>
      <c r="J36"/>
    </row>
    <row r="37" spans="1:14" s="78" customFormat="1">
      <c r="B37" s="101"/>
      <c r="C37" s="101"/>
      <c r="D37" s="77"/>
      <c r="E37" s="77"/>
      <c r="F37" s="77"/>
      <c r="G37" s="77"/>
      <c r="H37" s="77"/>
      <c r="J37" s="94"/>
      <c r="K37" s="94"/>
      <c r="L37" s="95"/>
      <c r="M37" s="96"/>
    </row>
    <row r="38" spans="1:14" s="78" customFormat="1">
      <c r="A38" s="98"/>
      <c r="D38" s="77"/>
      <c r="E38" s="77"/>
      <c r="F38" s="77"/>
      <c r="G38" s="77"/>
      <c r="H38" s="77"/>
    </row>
    <row r="39" spans="1:14" s="77" customFormat="1">
      <c r="A39" s="88"/>
      <c r="B39" s="78"/>
      <c r="C39" s="78"/>
      <c r="H39" s="77">
        <v>15000</v>
      </c>
      <c r="I39" s="78"/>
      <c r="J39" s="78"/>
      <c r="K39" s="78"/>
      <c r="L39" s="78"/>
      <c r="M39" s="78"/>
      <c r="N39" s="78"/>
    </row>
    <row r="40" spans="1:14" s="77" customFormat="1">
      <c r="B40" s="102"/>
      <c r="G40" s="77" t="s">
        <v>1665</v>
      </c>
      <c r="H40" s="436">
        <v>0.5635</v>
      </c>
      <c r="K40" s="78"/>
      <c r="L40" s="78"/>
      <c r="M40" s="78"/>
      <c r="N40" s="78"/>
    </row>
    <row r="41" spans="1:14">
      <c r="A41" s="103"/>
      <c r="B41" s="104" t="s">
        <v>83</v>
      </c>
      <c r="C41" s="103"/>
      <c r="E41" s="77">
        <f>SUM(E42:E53)</f>
        <v>0</v>
      </c>
      <c r="H41" s="77">
        <f>H40*H39</f>
        <v>8452.5</v>
      </c>
      <c r="I41" s="77"/>
      <c r="J41" s="77"/>
    </row>
    <row r="42" spans="1:14" s="77" customFormat="1" ht="15">
      <c r="A42"/>
      <c r="B42"/>
      <c r="C42"/>
      <c r="E42" s="105" t="s">
        <v>84</v>
      </c>
      <c r="H42" s="77">
        <f>SUM(H41+H39)</f>
        <v>23452.5</v>
      </c>
      <c r="I42"/>
      <c r="J42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 s="77" customFormat="1">
      <c r="A44" s="88"/>
      <c r="K44" s="78"/>
      <c r="L44" s="78"/>
      <c r="M44" s="78"/>
      <c r="N44" s="78"/>
    </row>
    <row r="45" spans="1:14" s="77" customFormat="1">
      <c r="A45" s="88"/>
      <c r="K45" s="78"/>
      <c r="L45" s="78"/>
      <c r="M45" s="78"/>
      <c r="N45" s="78"/>
    </row>
    <row r="46" spans="1:14">
      <c r="A46" s="88"/>
      <c r="I46" s="77"/>
      <c r="J46" s="77"/>
    </row>
    <row r="47" spans="1:14" s="77" customFormat="1">
      <c r="A47"/>
      <c r="I47"/>
      <c r="J47"/>
      <c r="K47" s="78"/>
      <c r="L47" s="78"/>
      <c r="M47" s="78"/>
      <c r="N47" s="78"/>
    </row>
    <row r="48" spans="1:14" s="77" customFormat="1">
      <c r="A48" s="100"/>
      <c r="B48" s="106"/>
      <c r="C48" s="106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0"/>
      <c r="B50" s="107"/>
      <c r="C50" s="106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107"/>
      <c r="K52" s="78"/>
      <c r="L52" s="78"/>
      <c r="M52" s="78"/>
      <c r="N52" s="78"/>
    </row>
    <row r="53" spans="1:14" s="77" customFormat="1">
      <c r="A53" s="100"/>
      <c r="B53" s="107"/>
      <c r="C53" s="106"/>
      <c r="K53" s="78"/>
      <c r="L53" s="78"/>
      <c r="M53" s="78"/>
      <c r="N53" s="78"/>
    </row>
    <row r="54" spans="1:14" s="77" customFormat="1">
      <c r="A54" s="100"/>
      <c r="B54" s="3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SUM(E57:E102)</f>
        <v>-29103.34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90" customFormat="1">
      <c r="A58" s="100"/>
      <c r="B58" s="106"/>
      <c r="C58" s="106"/>
      <c r="K58" s="78"/>
      <c r="L58" s="78"/>
      <c r="M58" s="78"/>
      <c r="N58" s="78"/>
    </row>
    <row r="59" spans="1:14" s="90" customFormat="1">
      <c r="A59" s="100"/>
      <c r="B59" s="106"/>
      <c r="C59" s="106"/>
      <c r="K59" s="78"/>
      <c r="L59" s="78"/>
      <c r="M59" s="78"/>
      <c r="N59" s="78"/>
    </row>
    <row r="60" spans="1:14" s="90" customFormat="1">
      <c r="A60" s="100">
        <v>46018</v>
      </c>
      <c r="B60" s="106" t="s">
        <v>1637</v>
      </c>
      <c r="C60" s="106"/>
      <c r="E60" s="90">
        <v>-135</v>
      </c>
      <c r="K60" s="78"/>
      <c r="L60" s="78"/>
      <c r="M60" s="78"/>
      <c r="N60" s="78"/>
    </row>
    <row r="61" spans="1:14" s="90" customFormat="1">
      <c r="A61" s="100">
        <v>46016</v>
      </c>
      <c r="B61" s="106" t="s">
        <v>1636</v>
      </c>
      <c r="C61" s="106"/>
      <c r="E61" s="90">
        <v>-240</v>
      </c>
      <c r="K61" s="78"/>
      <c r="L61" s="78"/>
      <c r="M61" s="78"/>
      <c r="N61" s="78"/>
    </row>
    <row r="62" spans="1:14" s="77" customFormat="1">
      <c r="A62" s="100">
        <v>46015</v>
      </c>
      <c r="B62" s="106" t="s">
        <v>1635</v>
      </c>
      <c r="C62" s="106"/>
      <c r="E62" s="77">
        <v>-550</v>
      </c>
      <c r="K62" s="78"/>
      <c r="L62" s="78"/>
      <c r="M62" s="78"/>
      <c r="N62" s="78"/>
    </row>
    <row r="63" spans="1:14" s="77" customFormat="1">
      <c r="A63" s="100">
        <v>46020</v>
      </c>
      <c r="B63" s="3" t="s">
        <v>1617</v>
      </c>
      <c r="C63" s="106"/>
      <c r="E63" s="77">
        <v>-12762</v>
      </c>
      <c r="F63" s="77">
        <v>0</v>
      </c>
      <c r="K63" s="78"/>
      <c r="L63" s="78"/>
      <c r="M63" s="78"/>
      <c r="N63" s="78"/>
    </row>
    <row r="64" spans="1:14" s="77" customFormat="1">
      <c r="A64" s="100">
        <v>46021</v>
      </c>
      <c r="B64" s="3" t="s">
        <v>1616</v>
      </c>
      <c r="C64" s="106"/>
      <c r="E64" s="77">
        <v>-120</v>
      </c>
      <c r="K64" s="78"/>
      <c r="L64" s="78"/>
      <c r="M64" s="78"/>
      <c r="N64" s="78"/>
    </row>
    <row r="65" spans="1:14" s="77" customFormat="1">
      <c r="A65" s="100">
        <v>46022</v>
      </c>
      <c r="B65" s="92" t="s">
        <v>1619</v>
      </c>
      <c r="C65" s="106"/>
      <c r="E65" s="77">
        <v>-3741</v>
      </c>
      <c r="F65" s="77">
        <v>0</v>
      </c>
      <c r="K65" s="78"/>
      <c r="L65" s="78"/>
      <c r="M65" s="78"/>
      <c r="N65" s="78"/>
    </row>
    <row r="66" spans="1:14" s="77" customFormat="1">
      <c r="A66" s="100">
        <v>46022</v>
      </c>
      <c r="B66" s="92" t="s">
        <v>1618</v>
      </c>
      <c r="C66" s="106"/>
      <c r="E66" s="77">
        <v>-3741</v>
      </c>
      <c r="F66" s="77">
        <v>0</v>
      </c>
      <c r="K66" s="78"/>
      <c r="L66" s="78"/>
      <c r="M66" s="78"/>
      <c r="N66" s="78"/>
    </row>
    <row r="67" spans="1:14" s="77" customFormat="1">
      <c r="A67" s="100">
        <v>46022</v>
      </c>
      <c r="B67" s="3" t="s">
        <v>1620</v>
      </c>
      <c r="C67" s="106"/>
      <c r="E67" s="77">
        <v>-560</v>
      </c>
      <c r="K67" s="78"/>
      <c r="L67" s="78"/>
      <c r="M67" s="78"/>
      <c r="N67" s="78"/>
    </row>
    <row r="68" spans="1:14" s="90" customFormat="1">
      <c r="A68" s="100">
        <v>45658</v>
      </c>
      <c r="B68" s="92" t="s">
        <v>128</v>
      </c>
      <c r="C68" s="106"/>
      <c r="E68" s="90">
        <v>-177.87</v>
      </c>
      <c r="K68" s="78"/>
      <c r="L68" s="78"/>
      <c r="M68" s="78"/>
      <c r="N68" s="78"/>
    </row>
    <row r="69" spans="1:14" s="77" customFormat="1">
      <c r="A69" s="100">
        <v>45658</v>
      </c>
      <c r="B69" s="3" t="s">
        <v>1638</v>
      </c>
      <c r="C69" s="106"/>
      <c r="D69" s="77">
        <v>69.13</v>
      </c>
      <c r="K69" s="78"/>
      <c r="L69" s="78"/>
      <c r="M69" s="78"/>
      <c r="N69" s="78"/>
    </row>
    <row r="70" spans="1:14" s="77" customFormat="1">
      <c r="A70" s="100">
        <v>45659</v>
      </c>
      <c r="B70" s="92" t="s">
        <v>128</v>
      </c>
      <c r="C70" s="106"/>
      <c r="E70" s="77">
        <v>-470</v>
      </c>
      <c r="K70" s="78"/>
      <c r="L70" s="78"/>
      <c r="M70" s="78"/>
      <c r="N70" s="78"/>
    </row>
    <row r="71" spans="1:14" s="77" customFormat="1">
      <c r="A71" s="100">
        <v>45660</v>
      </c>
      <c r="B71" s="3" t="s">
        <v>1621</v>
      </c>
      <c r="C71" s="106"/>
      <c r="E71" s="77">
        <v>-70</v>
      </c>
      <c r="K71" s="78"/>
      <c r="L71" s="78"/>
      <c r="M71" s="78"/>
      <c r="N71" s="78"/>
    </row>
    <row r="72" spans="1:14" s="90" customFormat="1">
      <c r="A72" s="100">
        <v>45660</v>
      </c>
      <c r="B72" s="92" t="s">
        <v>130</v>
      </c>
      <c r="C72" s="106"/>
      <c r="D72" s="90">
        <v>7885.34</v>
      </c>
      <c r="K72" s="78"/>
      <c r="L72" s="78"/>
      <c r="M72" s="78"/>
      <c r="N72" s="78"/>
    </row>
    <row r="73" spans="1:14" s="77" customFormat="1">
      <c r="A73" s="100">
        <v>45664</v>
      </c>
      <c r="B73" s="3" t="s">
        <v>1622</v>
      </c>
      <c r="C73" s="106"/>
      <c r="E73" s="77">
        <v>-230</v>
      </c>
      <c r="K73" s="78"/>
      <c r="L73" s="78"/>
      <c r="M73" s="78"/>
      <c r="N73" s="78"/>
    </row>
    <row r="74" spans="1:14" s="90" customFormat="1">
      <c r="A74" s="100">
        <v>45666</v>
      </c>
      <c r="B74" s="92" t="s">
        <v>1621</v>
      </c>
      <c r="C74" s="106"/>
      <c r="E74" s="90">
        <v>-70</v>
      </c>
      <c r="K74" s="78"/>
      <c r="L74" s="78"/>
      <c r="M74" s="78"/>
      <c r="N74" s="78"/>
    </row>
    <row r="75" spans="1:14" s="90" customFormat="1">
      <c r="A75" s="100">
        <v>45667</v>
      </c>
      <c r="B75" s="92" t="s">
        <v>1623</v>
      </c>
      <c r="C75" s="106"/>
      <c r="E75" s="90">
        <v>-1000</v>
      </c>
      <c r="F75" s="90">
        <v>0</v>
      </c>
      <c r="K75" s="78"/>
      <c r="L75" s="78"/>
      <c r="M75" s="78"/>
      <c r="N75" s="78"/>
    </row>
    <row r="76" spans="1:14" s="90" customFormat="1">
      <c r="A76" s="100">
        <v>45667</v>
      </c>
      <c r="B76" s="92" t="s">
        <v>1624</v>
      </c>
      <c r="C76" s="106"/>
      <c r="E76" s="90">
        <v>-75</v>
      </c>
      <c r="K76" s="78"/>
      <c r="L76" s="78"/>
      <c r="M76" s="78"/>
      <c r="N76" s="78"/>
    </row>
    <row r="77" spans="1:14" s="90" customFormat="1">
      <c r="A77" s="100">
        <v>45667</v>
      </c>
      <c r="B77" s="92" t="s">
        <v>1625</v>
      </c>
      <c r="C77" s="106"/>
      <c r="E77" s="90">
        <v>-400</v>
      </c>
      <c r="K77" s="78"/>
      <c r="L77" s="78"/>
      <c r="M77" s="78"/>
      <c r="N77" s="78"/>
    </row>
    <row r="78" spans="1:14" s="90" customFormat="1">
      <c r="A78" s="100">
        <v>45669</v>
      </c>
      <c r="B78" s="92" t="s">
        <v>1626</v>
      </c>
      <c r="C78" s="106"/>
      <c r="E78" s="90">
        <v>-2529.9699999999998</v>
      </c>
      <c r="K78" s="78"/>
      <c r="L78" s="78"/>
      <c r="M78" s="78"/>
      <c r="N78" s="78"/>
    </row>
    <row r="79" spans="1:14" s="90" customFormat="1">
      <c r="A79" s="100">
        <v>45669</v>
      </c>
      <c r="B79" s="92" t="s">
        <v>1627</v>
      </c>
      <c r="C79" s="106"/>
      <c r="E79" s="90">
        <v>-970</v>
      </c>
      <c r="K79" s="78"/>
      <c r="L79" s="78"/>
      <c r="M79" s="78"/>
      <c r="N79" s="78"/>
    </row>
    <row r="80" spans="1:14" s="77" customFormat="1">
      <c r="A80" s="100">
        <v>45669</v>
      </c>
      <c r="B80" s="92" t="s">
        <v>1628</v>
      </c>
      <c r="C80" s="106"/>
      <c r="E80" s="77">
        <v>-970</v>
      </c>
      <c r="K80" s="78"/>
      <c r="L80" s="78"/>
      <c r="M80" s="78"/>
      <c r="N80" s="78"/>
    </row>
    <row r="81" spans="1:14" s="77" customFormat="1">
      <c r="A81" s="100">
        <v>45670</v>
      </c>
      <c r="B81" s="3" t="s">
        <v>1624</v>
      </c>
      <c r="C81" s="106"/>
      <c r="E81" s="77">
        <v>-60</v>
      </c>
      <c r="K81" s="78"/>
      <c r="L81" s="78"/>
      <c r="M81" s="78"/>
      <c r="N81" s="78"/>
    </row>
    <row r="82" spans="1:14" s="90" customFormat="1">
      <c r="A82" s="100">
        <v>45672</v>
      </c>
      <c r="B82" s="92" t="s">
        <v>1630</v>
      </c>
      <c r="C82" s="106"/>
      <c r="E82" s="90">
        <v>-794</v>
      </c>
      <c r="F82" s="90">
        <v>0</v>
      </c>
      <c r="K82" s="78"/>
      <c r="L82" s="78"/>
      <c r="M82" s="78"/>
      <c r="N82" s="78"/>
    </row>
    <row r="83" spans="1:14" s="90" customFormat="1">
      <c r="A83" s="100">
        <v>45672</v>
      </c>
      <c r="B83" s="92" t="s">
        <v>1629</v>
      </c>
      <c r="C83" s="106"/>
      <c r="E83" s="90">
        <v>1762</v>
      </c>
      <c r="F83" s="90">
        <v>0</v>
      </c>
      <c r="K83" s="78"/>
      <c r="L83" s="78"/>
      <c r="M83" s="78"/>
      <c r="N83" s="78"/>
    </row>
    <row r="84" spans="1:14" s="90" customFormat="1">
      <c r="A84" s="100">
        <v>45672</v>
      </c>
      <c r="B84" s="92" t="s">
        <v>1616</v>
      </c>
      <c r="C84" s="106"/>
      <c r="E84" s="90">
        <v>-120</v>
      </c>
      <c r="K84" s="78"/>
      <c r="L84" s="78"/>
      <c r="M84" s="78"/>
      <c r="N84" s="78"/>
    </row>
    <row r="85" spans="1:14" s="90" customFormat="1">
      <c r="A85" s="100">
        <v>45673</v>
      </c>
      <c r="B85" s="92" t="s">
        <v>1621</v>
      </c>
      <c r="C85" s="106"/>
      <c r="E85" s="90">
        <v>-70</v>
      </c>
      <c r="K85" s="78"/>
      <c r="L85" s="78"/>
      <c r="M85" s="78"/>
      <c r="N85" s="78"/>
    </row>
    <row r="86" spans="1:14" s="90" customFormat="1">
      <c r="A86" s="100">
        <v>45673</v>
      </c>
      <c r="B86" s="92" t="s">
        <v>415</v>
      </c>
      <c r="C86" s="106"/>
      <c r="E86" s="90">
        <v>-385</v>
      </c>
      <c r="K86" s="78"/>
      <c r="L86" s="78"/>
      <c r="M86" s="78"/>
      <c r="N86" s="78"/>
    </row>
    <row r="87" spans="1:14" s="90" customFormat="1">
      <c r="A87" s="100">
        <v>45674</v>
      </c>
      <c r="B87" s="92" t="s">
        <v>135</v>
      </c>
      <c r="C87" s="106"/>
      <c r="E87" s="90">
        <v>-100</v>
      </c>
      <c r="K87" s="78"/>
      <c r="L87" s="78"/>
      <c r="M87" s="78"/>
      <c r="N87" s="78"/>
    </row>
    <row r="88" spans="1:14" s="90" customFormat="1">
      <c r="A88" s="100">
        <v>45677</v>
      </c>
      <c r="B88" s="92" t="s">
        <v>1622</v>
      </c>
      <c r="C88" s="106"/>
      <c r="E88" s="90">
        <v>-230</v>
      </c>
      <c r="K88" s="78"/>
      <c r="L88" s="78"/>
      <c r="M88" s="78"/>
      <c r="N88" s="78"/>
    </row>
    <row r="89" spans="1:14" s="90" customFormat="1">
      <c r="A89" s="100">
        <v>45677</v>
      </c>
      <c r="B89" s="92" t="s">
        <v>128</v>
      </c>
      <c r="C89" s="106"/>
      <c r="E89" s="90">
        <v>-174.5</v>
      </c>
      <c r="K89" s="78"/>
      <c r="L89" s="78"/>
      <c r="M89" s="78"/>
      <c r="N89" s="78"/>
    </row>
    <row r="90" spans="1:14" s="90" customFormat="1">
      <c r="A90" s="100">
        <v>45678</v>
      </c>
      <c r="B90" s="92" t="s">
        <v>1631</v>
      </c>
      <c r="C90" s="106"/>
      <c r="E90" s="90">
        <v>-120</v>
      </c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K92" s="78"/>
      <c r="L92" s="78"/>
      <c r="M92" s="78"/>
      <c r="N92" s="78"/>
    </row>
    <row r="93" spans="1:14" s="90" customFormat="1">
      <c r="K93" s="78"/>
      <c r="L93" s="78"/>
      <c r="M93" s="78"/>
      <c r="N93" s="78"/>
    </row>
    <row r="94" spans="1:14" s="90" customFormat="1">
      <c r="K94" s="78"/>
      <c r="L94" s="78"/>
      <c r="M94" s="78"/>
      <c r="N94" s="78"/>
    </row>
    <row r="95" spans="1:14" s="90" customFormat="1">
      <c r="K95" s="78"/>
      <c r="L95" s="78"/>
      <c r="M95" s="78"/>
      <c r="N95" s="78"/>
    </row>
    <row r="96" spans="1:14" s="90" customFormat="1">
      <c r="A96" s="100"/>
      <c r="B96" s="92"/>
      <c r="C96" s="106"/>
      <c r="K96" s="78"/>
      <c r="L96" s="78"/>
      <c r="M96" s="78"/>
      <c r="N96" s="78"/>
    </row>
    <row r="97" spans="1:14" s="77" customFormat="1" ht="15">
      <c r="A97" s="100"/>
      <c r="B97" s="3"/>
      <c r="C97" s="106"/>
      <c r="E97" s="105" t="s">
        <v>84</v>
      </c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>
      <c r="A102" s="100"/>
      <c r="B102" s="3"/>
      <c r="C102" s="106"/>
      <c r="I102" s="77"/>
      <c r="J102" s="77"/>
    </row>
    <row r="116" spans="1:14">
      <c r="A116" s="113" t="s">
        <v>1652</v>
      </c>
      <c r="B116" s="104" t="s">
        <v>137</v>
      </c>
      <c r="C116" s="103">
        <v>2025</v>
      </c>
      <c r="D116" s="90"/>
      <c r="E116" s="90"/>
      <c r="F116" s="90"/>
      <c r="G116" s="90">
        <f>SUM(G120:G150)</f>
        <v>1069484.3572140001</v>
      </c>
      <c r="H116" s="90"/>
      <c r="I116" s="90"/>
    </row>
    <row r="117" spans="1:14">
      <c r="A117" s="113"/>
      <c r="B117" s="104"/>
      <c r="C117" s="103"/>
      <c r="D117" s="90"/>
      <c r="E117" s="90"/>
      <c r="F117" s="90"/>
      <c r="G117" s="90"/>
      <c r="H117" s="90"/>
      <c r="I117" s="90"/>
    </row>
    <row r="118" spans="1:14">
      <c r="A118" s="113"/>
      <c r="B118" s="104"/>
      <c r="C118" s="103"/>
      <c r="D118" s="90"/>
      <c r="E118" s="90" t="s">
        <v>138</v>
      </c>
      <c r="F118" s="90"/>
      <c r="G118" s="90"/>
      <c r="H118" s="90"/>
      <c r="I118" s="90"/>
    </row>
    <row r="119" spans="1:14">
      <c r="A119" s="100"/>
      <c r="B119" s="90" t="s">
        <v>77</v>
      </c>
      <c r="C119" s="90"/>
      <c r="D119" s="90"/>
      <c r="E119" s="90"/>
      <c r="F119" s="90"/>
      <c r="G119" s="90">
        <v>0</v>
      </c>
      <c r="H119" s="90"/>
      <c r="I119" s="90"/>
    </row>
    <row r="120" spans="1:14">
      <c r="A120" s="100"/>
      <c r="B120" s="90" t="s">
        <v>78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>
        <v>45691</v>
      </c>
      <c r="B121" s="90" t="s">
        <v>139</v>
      </c>
      <c r="C121" s="90"/>
      <c r="D121" s="90"/>
      <c r="E121" s="90"/>
      <c r="F121" s="90"/>
      <c r="G121" s="90">
        <v>221330</v>
      </c>
      <c r="H121" s="90"/>
      <c r="I121" s="90"/>
    </row>
    <row r="122" spans="1:14">
      <c r="A122" s="100">
        <v>45691</v>
      </c>
      <c r="B122" s="90" t="s">
        <v>140</v>
      </c>
      <c r="C122" s="12"/>
      <c r="D122" s="12"/>
      <c r="E122" s="90"/>
      <c r="F122" s="90"/>
      <c r="G122" s="17">
        <v>5000</v>
      </c>
      <c r="H122" s="90"/>
      <c r="I122" s="90"/>
    </row>
    <row r="123" spans="1:14">
      <c r="A123" s="100"/>
      <c r="B123" s="90" t="s">
        <v>141</v>
      </c>
      <c r="C123" s="12"/>
      <c r="D123" s="12"/>
      <c r="E123" s="90"/>
      <c r="F123" s="90"/>
      <c r="G123" s="17"/>
      <c r="H123" s="90"/>
      <c r="I123" s="90"/>
    </row>
    <row r="124" spans="1:14">
      <c r="A124" s="100"/>
      <c r="B124" s="90"/>
      <c r="C124" s="12"/>
      <c r="D124" s="12"/>
      <c r="E124" s="90"/>
      <c r="F124" s="90"/>
      <c r="G124" s="17"/>
      <c r="H124" s="90"/>
      <c r="I124" s="90"/>
    </row>
    <row r="125" spans="1:14">
      <c r="A125" s="100"/>
      <c r="B125" s="90"/>
      <c r="C125" s="12"/>
      <c r="D125" s="12"/>
      <c r="E125" s="90"/>
      <c r="F125" s="90"/>
      <c r="G125" s="17"/>
      <c r="H125" s="90"/>
      <c r="I125" s="90"/>
    </row>
    <row r="126" spans="1:14">
      <c r="A126" s="100">
        <v>45691</v>
      </c>
      <c r="B126" s="82" t="s">
        <v>1653</v>
      </c>
      <c r="C126" s="114"/>
      <c r="D126" s="115">
        <v>752.55561799999998</v>
      </c>
      <c r="E126" s="116">
        <f t="shared" ref="E126:E133" si="1">D126*C126</f>
        <v>0</v>
      </c>
      <c r="F126" s="406">
        <v>899.26057400000002</v>
      </c>
      <c r="G126" s="17">
        <f t="shared" ref="G126:G133" si="2">F126*C126</f>
        <v>0</v>
      </c>
      <c r="H126" s="90"/>
      <c r="I126" s="90">
        <f>G126-E126</f>
        <v>0</v>
      </c>
    </row>
    <row r="127" spans="1:14">
      <c r="A127" s="100">
        <v>45667</v>
      </c>
      <c r="B127" s="82" t="s">
        <v>142</v>
      </c>
      <c r="C127" s="114">
        <v>66</v>
      </c>
      <c r="D127" s="115">
        <v>872.26366499999995</v>
      </c>
      <c r="E127" s="116">
        <f t="shared" si="1"/>
        <v>57569.401889999994</v>
      </c>
      <c r="F127" s="407">
        <f>F126</f>
        <v>899.26057400000002</v>
      </c>
      <c r="G127" s="17">
        <f t="shared" si="2"/>
        <v>59351.197884000001</v>
      </c>
      <c r="H127" s="90"/>
      <c r="I127" s="90">
        <f t="shared" ref="I127:I133" si="3">G127-E127</f>
        <v>1781.7959940000073</v>
      </c>
    </row>
    <row r="128" spans="1:14" s="11" customFormat="1">
      <c r="A128" s="100">
        <v>45691</v>
      </c>
      <c r="B128" s="82" t="s">
        <v>1654</v>
      </c>
      <c r="C128" s="114"/>
      <c r="D128" s="115">
        <v>872.26366499999995</v>
      </c>
      <c r="E128" s="116">
        <f t="shared" ref="E128" si="4">D128*C128</f>
        <v>0</v>
      </c>
      <c r="F128" s="407">
        <f>F127</f>
        <v>899.26057400000002</v>
      </c>
      <c r="G128" s="17">
        <f t="shared" ref="G128" si="5">F128*C128</f>
        <v>0</v>
      </c>
      <c r="H128" s="90"/>
      <c r="I128" s="90">
        <f t="shared" ref="I128" si="6">G128-E128</f>
        <v>0</v>
      </c>
      <c r="K128" s="78"/>
      <c r="L128" s="78"/>
      <c r="M128" s="78"/>
      <c r="N128" s="78"/>
    </row>
    <row r="129" spans="1:14" s="11" customFormat="1">
      <c r="A129" s="100">
        <v>45692</v>
      </c>
      <c r="B129" s="82" t="s">
        <v>1654</v>
      </c>
      <c r="C129" s="114"/>
      <c r="D129" s="115">
        <v>872.26366499999995</v>
      </c>
      <c r="E129" s="116">
        <f t="shared" ref="E129" si="7">D129*C129</f>
        <v>0</v>
      </c>
      <c r="F129" s="407">
        <v>900.29758900000002</v>
      </c>
      <c r="G129" s="17">
        <f t="shared" ref="G129" si="8">F129*C129</f>
        <v>0</v>
      </c>
      <c r="H129" s="90"/>
      <c r="I129" s="90">
        <f t="shared" ref="I129" si="9">G129-E129</f>
        <v>0</v>
      </c>
      <c r="K129" s="78"/>
      <c r="L129" s="78"/>
      <c r="M129" s="78"/>
      <c r="N129" s="78"/>
    </row>
    <row r="130" spans="1:14">
      <c r="A130" s="100">
        <v>45672</v>
      </c>
      <c r="B130" s="82" t="s">
        <v>142</v>
      </c>
      <c r="C130" s="114">
        <v>55</v>
      </c>
      <c r="D130" s="115">
        <v>877.65409299999999</v>
      </c>
      <c r="E130" s="116">
        <f t="shared" si="1"/>
        <v>48270.975115000001</v>
      </c>
      <c r="F130" s="407">
        <f>F127</f>
        <v>899.26057400000002</v>
      </c>
      <c r="G130" s="17">
        <f t="shared" si="2"/>
        <v>49459.331570000002</v>
      </c>
      <c r="H130" s="90"/>
      <c r="I130" s="90">
        <f t="shared" si="3"/>
        <v>1188.356455000001</v>
      </c>
    </row>
    <row r="131" spans="1:14">
      <c r="A131" s="100">
        <v>45680</v>
      </c>
      <c r="B131" s="82" t="s">
        <v>1611</v>
      </c>
      <c r="C131" s="114">
        <v>120</v>
      </c>
      <c r="D131" s="115">
        <v>305</v>
      </c>
      <c r="E131" s="116">
        <f t="shared" si="1"/>
        <v>36600</v>
      </c>
      <c r="F131" s="90">
        <v>313.75</v>
      </c>
      <c r="G131" s="17">
        <f t="shared" si="2"/>
        <v>37650</v>
      </c>
      <c r="H131" s="90"/>
      <c r="I131" s="90">
        <f t="shared" si="3"/>
        <v>1050</v>
      </c>
    </row>
    <row r="132" spans="1:14">
      <c r="A132" s="100">
        <v>45620</v>
      </c>
      <c r="B132" s="82" t="s">
        <v>1613</v>
      </c>
      <c r="C132" s="114">
        <v>4000</v>
      </c>
      <c r="D132" s="114">
        <v>32.549999999999997</v>
      </c>
      <c r="E132" s="116">
        <f t="shared" si="1"/>
        <v>130199.99999999999</v>
      </c>
      <c r="F132" s="90">
        <v>33.549999999999997</v>
      </c>
      <c r="G132" s="17">
        <f t="shared" si="2"/>
        <v>134200</v>
      </c>
      <c r="H132" s="90"/>
      <c r="I132" s="90">
        <f t="shared" si="3"/>
        <v>4000.0000000000146</v>
      </c>
    </row>
    <row r="133" spans="1:14" ht="13.5" thickBot="1">
      <c r="A133" s="100">
        <v>45659</v>
      </c>
      <c r="B133" s="82" t="s">
        <v>1612</v>
      </c>
      <c r="C133" s="114">
        <v>4000</v>
      </c>
      <c r="D133" s="115">
        <v>30.86</v>
      </c>
      <c r="E133" s="116">
        <f t="shared" si="1"/>
        <v>123440</v>
      </c>
      <c r="F133" s="90">
        <f>F132</f>
        <v>33.549999999999997</v>
      </c>
      <c r="G133" s="17">
        <f t="shared" si="2"/>
        <v>134200</v>
      </c>
      <c r="H133" s="423">
        <f>SUM(G126:G133)</f>
        <v>414860.529454</v>
      </c>
      <c r="I133" s="90">
        <f t="shared" si="3"/>
        <v>10760</v>
      </c>
    </row>
    <row r="134" spans="1:14" ht="13.5" thickBot="1">
      <c r="A134" s="100"/>
      <c r="B134" s="90"/>
      <c r="C134" s="12"/>
      <c r="D134" s="12"/>
      <c r="E134" s="90">
        <f>SUM(E126:E133)</f>
        <v>396080.37700499996</v>
      </c>
      <c r="F134" s="90"/>
      <c r="G134" s="17"/>
      <c r="H134" s="117">
        <f>(SUM(G126:G133))-(SUM(E126:E133))</f>
        <v>18780.152449000045</v>
      </c>
      <c r="I134" s="117">
        <f>SUM(I126:I133)</f>
        <v>18780.152449000023</v>
      </c>
    </row>
    <row r="135" spans="1:14">
      <c r="A135" s="100"/>
      <c r="B135" s="90"/>
      <c r="C135" s="12"/>
      <c r="D135" s="12"/>
      <c r="E135" s="90"/>
      <c r="F135" s="90"/>
      <c r="G135" s="90"/>
      <c r="H135" s="90"/>
      <c r="I135" s="90"/>
    </row>
    <row r="136" spans="1:14">
      <c r="A136" s="100">
        <v>45345</v>
      </c>
      <c r="B136" s="82" t="s">
        <v>144</v>
      </c>
      <c r="C136" s="118">
        <v>125000</v>
      </c>
      <c r="D136" s="83">
        <v>1.0399430000000001</v>
      </c>
      <c r="E136" s="116">
        <f>D136*C136</f>
        <v>129992.87500000001</v>
      </c>
      <c r="F136" s="119">
        <v>0.79772600000000005</v>
      </c>
      <c r="G136" s="17">
        <f>F136*C136</f>
        <v>99715.75</v>
      </c>
      <c r="H136" s="90"/>
      <c r="I136" s="90">
        <f t="shared" ref="I136:I140" si="10">G136-E136</f>
        <v>-30277.125000000015</v>
      </c>
    </row>
    <row r="137" spans="1:14">
      <c r="A137" s="100">
        <v>45667</v>
      </c>
      <c r="B137" s="82" t="s">
        <v>1615</v>
      </c>
      <c r="C137" s="118">
        <v>240</v>
      </c>
      <c r="D137" s="83">
        <v>872.26366499999995</v>
      </c>
      <c r="E137" s="116">
        <f>D137*C137</f>
        <v>209343.27959999998</v>
      </c>
      <c r="F137" s="406">
        <f>F130</f>
        <v>899.26057400000002</v>
      </c>
      <c r="G137" s="17">
        <f>F137*C137</f>
        <v>215822.53776000001</v>
      </c>
      <c r="H137" s="90"/>
      <c r="I137" s="90">
        <f t="shared" si="10"/>
        <v>6479.2581600000267</v>
      </c>
    </row>
    <row r="138" spans="1:14">
      <c r="A138" s="100">
        <v>45400</v>
      </c>
      <c r="B138" s="82" t="s">
        <v>145</v>
      </c>
      <c r="C138" s="114">
        <v>10</v>
      </c>
      <c r="D138" s="83">
        <v>135</v>
      </c>
      <c r="E138" s="116">
        <f>D138*C138</f>
        <v>1350</v>
      </c>
      <c r="F138" s="90">
        <v>118.2</v>
      </c>
      <c r="G138" s="17">
        <f>F138*C138</f>
        <v>1182</v>
      </c>
      <c r="H138" s="90"/>
      <c r="I138" s="90">
        <f t="shared" si="10"/>
        <v>-168</v>
      </c>
    </row>
    <row r="139" spans="1:14">
      <c r="A139" s="100">
        <v>45418</v>
      </c>
      <c r="B139" s="82" t="s">
        <v>146</v>
      </c>
      <c r="C139" s="114">
        <v>38</v>
      </c>
      <c r="D139" s="83">
        <v>30.5</v>
      </c>
      <c r="E139" s="116">
        <f>D139*C139</f>
        <v>1159</v>
      </c>
      <c r="F139" s="90">
        <v>17.670000000000002</v>
      </c>
      <c r="G139" s="17">
        <f>F139*C139</f>
        <v>671.46</v>
      </c>
      <c r="H139" s="90"/>
      <c r="I139" s="90">
        <f t="shared" si="10"/>
        <v>-487.53999999999996</v>
      </c>
    </row>
    <row r="140" spans="1:14" ht="13.5" thickBot="1">
      <c r="A140" s="100">
        <v>45418</v>
      </c>
      <c r="B140" s="82" t="s">
        <v>147</v>
      </c>
      <c r="C140" s="114">
        <v>26</v>
      </c>
      <c r="D140" s="83">
        <v>37.115000000000002</v>
      </c>
      <c r="E140" s="116">
        <f>D140*C140</f>
        <v>964.99</v>
      </c>
      <c r="F140" s="90">
        <v>25.08</v>
      </c>
      <c r="G140" s="17">
        <f>F140*C140</f>
        <v>652.07999999999993</v>
      </c>
      <c r="H140" s="423">
        <f>SUM(G136:G140)</f>
        <v>318043.82776000001</v>
      </c>
      <c r="I140" s="90">
        <f t="shared" si="10"/>
        <v>-312.91000000000008</v>
      </c>
    </row>
    <row r="141" spans="1:14" ht="13.5" thickBot="1">
      <c r="A141" s="100"/>
      <c r="B141" s="90"/>
      <c r="C141" s="12"/>
      <c r="D141" s="12"/>
      <c r="E141" s="90">
        <f>SUM(E136:E140)</f>
        <v>342810.1446</v>
      </c>
      <c r="F141" s="90"/>
      <c r="G141" s="90"/>
      <c r="H141" s="117">
        <f>(SUM(G136:G140))-(SUM(E136:E140))</f>
        <v>-24766.316839999985</v>
      </c>
      <c r="I141" s="90"/>
    </row>
    <row r="142" spans="1:14">
      <c r="A142" s="100"/>
      <c r="B142" s="90"/>
      <c r="C142" s="90"/>
      <c r="D142" s="90"/>
      <c r="E142" s="17"/>
      <c r="F142" s="90"/>
      <c r="G142" s="90"/>
      <c r="H142" s="90"/>
      <c r="I142" s="90"/>
    </row>
    <row r="143" spans="1:14">
      <c r="A143" s="100">
        <v>45509</v>
      </c>
      <c r="B143" s="82" t="s">
        <v>148</v>
      </c>
      <c r="C143" s="114">
        <v>1</v>
      </c>
      <c r="D143" s="83">
        <v>2500</v>
      </c>
      <c r="E143" s="116">
        <f>D143*C143</f>
        <v>2500</v>
      </c>
      <c r="F143" s="90">
        <v>3250</v>
      </c>
      <c r="G143" s="17">
        <f>C143*F143</f>
        <v>3250</v>
      </c>
      <c r="H143" s="90"/>
      <c r="I143" s="90">
        <f t="shared" ref="I143:I145" si="11">G143-E143</f>
        <v>750</v>
      </c>
    </row>
    <row r="144" spans="1:14">
      <c r="A144" s="100">
        <v>45509</v>
      </c>
      <c r="B144" s="82" t="s">
        <v>149</v>
      </c>
      <c r="C144" s="114">
        <v>16</v>
      </c>
      <c r="D144" s="83">
        <v>4100</v>
      </c>
      <c r="E144" s="116">
        <f>D144*C144</f>
        <v>65600</v>
      </c>
      <c r="F144" s="90">
        <v>5300</v>
      </c>
      <c r="G144" s="17">
        <f>C144*F144</f>
        <v>84800</v>
      </c>
      <c r="H144" s="90"/>
      <c r="I144" s="90">
        <f t="shared" si="11"/>
        <v>19200</v>
      </c>
    </row>
    <row r="145" spans="1:9" ht="13.5" thickBot="1">
      <c r="A145" s="100">
        <v>45509</v>
      </c>
      <c r="B145" s="82" t="s">
        <v>150</v>
      </c>
      <c r="C145" s="114">
        <v>1</v>
      </c>
      <c r="D145" s="83">
        <v>16200</v>
      </c>
      <c r="E145" s="116">
        <f>D145*C145</f>
        <v>16200</v>
      </c>
      <c r="F145" s="90">
        <v>21200</v>
      </c>
      <c r="G145" s="17">
        <f>C145*F145</f>
        <v>21200</v>
      </c>
      <c r="H145" s="423">
        <f>SUM(G143:G145)</f>
        <v>109250</v>
      </c>
      <c r="I145" s="90">
        <f t="shared" si="11"/>
        <v>5000</v>
      </c>
    </row>
    <row r="146" spans="1:9" ht="13.5" thickBot="1">
      <c r="A146" s="100"/>
      <c r="B146" s="90"/>
      <c r="C146" s="12"/>
      <c r="D146" s="12"/>
      <c r="E146" s="90">
        <f>SUM(E143:E145)</f>
        <v>84300</v>
      </c>
      <c r="F146" s="90"/>
      <c r="G146" s="90"/>
      <c r="H146" s="117">
        <f>(SUM(G143:G145))-(SUM(E143:E145))</f>
        <v>24950</v>
      </c>
      <c r="I146" s="90"/>
    </row>
    <row r="147" spans="1:9">
      <c r="A147" s="100"/>
      <c r="B147" s="90" t="s">
        <v>151</v>
      </c>
      <c r="C147" s="120">
        <v>33.250599999999999</v>
      </c>
      <c r="D147" s="12"/>
      <c r="E147" s="90"/>
      <c r="F147" s="90"/>
      <c r="G147" s="17"/>
      <c r="H147" s="90"/>
      <c r="I147" s="90"/>
    </row>
    <row r="148" spans="1:9">
      <c r="A148" s="100"/>
      <c r="B148" s="90" t="s">
        <v>152</v>
      </c>
      <c r="C148" s="120">
        <v>36.854999999999997</v>
      </c>
      <c r="D148" s="12"/>
      <c r="E148" s="90"/>
      <c r="F148" s="90"/>
      <c r="G148" s="17"/>
      <c r="H148" s="90"/>
      <c r="I148" s="90"/>
    </row>
    <row r="149" spans="1:9">
      <c r="A149" s="100"/>
      <c r="B149" s="90" t="s">
        <v>153</v>
      </c>
      <c r="C149" s="12"/>
      <c r="D149" s="12"/>
      <c r="E149" s="90"/>
      <c r="F149" s="90"/>
      <c r="G149" s="17">
        <v>0</v>
      </c>
      <c r="H149" s="90"/>
      <c r="I149" s="90"/>
    </row>
    <row r="150" spans="1:9" ht="13.5" thickBot="1">
      <c r="A150" s="100"/>
      <c r="B150" s="90" t="s">
        <v>154</v>
      </c>
      <c r="C150" s="12"/>
      <c r="D150" s="12"/>
      <c r="E150" s="90"/>
      <c r="F150" s="90"/>
      <c r="G150" s="17">
        <v>1000</v>
      </c>
      <c r="H150" s="90"/>
      <c r="I150" s="90"/>
    </row>
    <row r="151" spans="1:9" ht="13.5" thickBot="1">
      <c r="A151" s="100"/>
      <c r="B151" s="90"/>
      <c r="C151" s="90"/>
      <c r="D151" s="90"/>
      <c r="E151" s="121"/>
      <c r="F151" s="122"/>
      <c r="G151" s="123" t="s">
        <v>155</v>
      </c>
      <c r="H151" s="124">
        <f>H146+H141+H134</f>
        <v>18963.83560900006</v>
      </c>
      <c r="I151" s="90"/>
    </row>
    <row r="152" spans="1:9">
      <c r="A152" s="100"/>
      <c r="B152" s="90"/>
      <c r="C152" s="125"/>
      <c r="D152" s="92"/>
      <c r="E152" s="90"/>
      <c r="F152" s="90"/>
      <c r="G152" s="125"/>
      <c r="H152" s="90"/>
      <c r="I152" s="90"/>
    </row>
    <row r="153" spans="1:9">
      <c r="A153" s="100"/>
      <c r="B153" s="90"/>
      <c r="C153" s="125"/>
      <c r="D153" s="18" t="s">
        <v>156</v>
      </c>
      <c r="E153" s="90"/>
      <c r="F153" s="90"/>
      <c r="G153" s="9">
        <f>SUM(G120:G150)</f>
        <v>1069484.3572140001</v>
      </c>
      <c r="H153" s="90"/>
      <c r="I153" s="90"/>
    </row>
    <row r="154" spans="1:9">
      <c r="A154" s="100"/>
      <c r="B154" s="90"/>
      <c r="C154" s="126" t="str">
        <f>A116</f>
        <v>MART 2025 e</v>
      </c>
      <c r="D154" s="127" t="s">
        <v>157</v>
      </c>
      <c r="E154" s="90"/>
      <c r="F154" s="90"/>
      <c r="G154" s="128"/>
      <c r="H154" s="90"/>
      <c r="I154" s="90"/>
    </row>
    <row r="155" spans="1:9">
      <c r="A155" s="90"/>
      <c r="B155" s="90"/>
      <c r="C155" s="90"/>
      <c r="D155" s="90"/>
      <c r="E155" s="90"/>
      <c r="F155" s="90"/>
      <c r="G155" s="90"/>
      <c r="H155" s="90"/>
      <c r="I155" s="90"/>
    </row>
    <row r="156" spans="1:9">
      <c r="A156" s="90"/>
      <c r="B156" s="90"/>
      <c r="C156" s="90"/>
      <c r="D156" s="90"/>
      <c r="E156" s="90"/>
      <c r="F156" s="90"/>
      <c r="G156" s="90"/>
      <c r="H156" s="90"/>
      <c r="I156" s="90"/>
    </row>
    <row r="157" spans="1:9">
      <c r="A157" s="398">
        <v>45680</v>
      </c>
      <c r="B157" s="399" t="s">
        <v>1656</v>
      </c>
      <c r="C157" s="400">
        <v>-25</v>
      </c>
      <c r="D157" s="401">
        <v>752.55561799999998</v>
      </c>
      <c r="E157" s="402">
        <f>D157*C157</f>
        <v>-18813.890449999999</v>
      </c>
      <c r="F157" s="403">
        <v>899.26057400000002</v>
      </c>
      <c r="G157" s="404">
        <f>F157*C157</f>
        <v>-22481.514350000001</v>
      </c>
      <c r="H157" s="403"/>
      <c r="I157" s="403">
        <f>E157-G157</f>
        <v>3667.6239000000023</v>
      </c>
    </row>
    <row r="158" spans="1:9">
      <c r="A158" s="398">
        <v>45680</v>
      </c>
      <c r="B158" s="399" t="s">
        <v>1614</v>
      </c>
      <c r="C158" s="400"/>
      <c r="D158" s="401"/>
      <c r="E158" s="402">
        <v>299.37</v>
      </c>
      <c r="F158" s="403"/>
      <c r="G158" s="404"/>
      <c r="H158" s="403"/>
      <c r="I158" s="403">
        <f>G158-E158</f>
        <v>-299.37</v>
      </c>
    </row>
    <row r="159" spans="1:9">
      <c r="A159" s="398">
        <v>45680</v>
      </c>
      <c r="B159" s="399" t="s">
        <v>142</v>
      </c>
      <c r="C159" s="400">
        <v>-9</v>
      </c>
      <c r="D159" s="115">
        <v>872.26366499999995</v>
      </c>
      <c r="E159" s="402">
        <f>D159*C159</f>
        <v>-7850.372985</v>
      </c>
      <c r="F159" s="403">
        <v>899.26057400000002</v>
      </c>
      <c r="G159" s="404">
        <f>F159*C159</f>
        <v>-8093.3451660000001</v>
      </c>
      <c r="H159" s="403"/>
      <c r="I159" s="403">
        <f>E159-G159</f>
        <v>242.97218100000009</v>
      </c>
    </row>
    <row r="160" spans="1:9">
      <c r="A160" s="398">
        <v>45680</v>
      </c>
      <c r="B160" s="399" t="s">
        <v>1614</v>
      </c>
      <c r="C160" s="400"/>
      <c r="D160" s="401"/>
      <c r="E160" s="402"/>
      <c r="F160" s="403"/>
      <c r="G160" s="404"/>
      <c r="H160" s="403"/>
      <c r="I160" s="403"/>
    </row>
    <row r="161" spans="1:14" s="11" customFormat="1">
      <c r="A161" s="398">
        <v>45692</v>
      </c>
      <c r="B161" s="399" t="s">
        <v>1655</v>
      </c>
      <c r="C161" s="400">
        <v>-25</v>
      </c>
      <c r="D161" s="401">
        <v>872.26366499999995</v>
      </c>
      <c r="E161" s="402">
        <f t="shared" ref="E161" si="12">D161*C161</f>
        <v>-21806.591624999997</v>
      </c>
      <c r="F161" s="429">
        <v>900.29758900000002</v>
      </c>
      <c r="G161" s="404">
        <f t="shared" ref="G161" si="13">F161*C161</f>
        <v>-22507.439725</v>
      </c>
      <c r="H161" s="403"/>
      <c r="I161" s="403">
        <f>E161-G161</f>
        <v>700.84810000000289</v>
      </c>
      <c r="K161" s="78"/>
      <c r="L161" s="78"/>
      <c r="M161" s="78"/>
      <c r="N161" s="78"/>
    </row>
    <row r="162" spans="1:14" s="11" customFormat="1">
      <c r="A162" s="398">
        <v>45680</v>
      </c>
      <c r="B162" s="399" t="s">
        <v>1614</v>
      </c>
      <c r="C162" s="400"/>
      <c r="D162" s="401"/>
      <c r="E162" s="402"/>
      <c r="F162" s="403"/>
      <c r="G162" s="404"/>
      <c r="H162" s="403"/>
      <c r="I162" s="403">
        <v>-70.09</v>
      </c>
      <c r="K162" s="78"/>
      <c r="L162" s="78"/>
      <c r="M162" s="78"/>
      <c r="N162" s="78"/>
    </row>
    <row r="164" spans="1:14">
      <c r="I164" s="78">
        <f>SUM(I157:I163)</f>
        <v>4241.9841810000053</v>
      </c>
    </row>
    <row r="171" spans="1:14">
      <c r="F171" s="407">
        <v>900.29758900000002</v>
      </c>
    </row>
  </sheetData>
  <conditionalFormatting sqref="F143:F145">
    <cfRule type="cellIs" dxfId="20" priority="9" operator="lessThan">
      <formula>D143</formula>
    </cfRule>
  </conditionalFormatting>
  <conditionalFormatting sqref="F138:F140">
    <cfRule type="cellIs" dxfId="19" priority="10" operator="lessThan">
      <formula>D138</formula>
    </cfRule>
  </conditionalFormatting>
  <conditionalFormatting sqref="F133">
    <cfRule type="cellIs" dxfId="18" priority="11" operator="lessThan">
      <formula>D133</formula>
    </cfRule>
  </conditionalFormatting>
  <conditionalFormatting sqref="F132">
    <cfRule type="cellIs" dxfId="17" priority="12" operator="lessThan">
      <formula>D132</formula>
    </cfRule>
  </conditionalFormatting>
  <conditionalFormatting sqref="F127 F130">
    <cfRule type="cellIs" dxfId="16" priority="13" operator="lessThan">
      <formula>D127</formula>
    </cfRule>
  </conditionalFormatting>
  <conditionalFormatting sqref="F131">
    <cfRule type="cellIs" dxfId="15" priority="8" operator="lessThan">
      <formula>D131</formula>
    </cfRule>
  </conditionalFormatting>
  <conditionalFormatting sqref="F157:F158">
    <cfRule type="cellIs" dxfId="14" priority="7" operator="lessThan">
      <formula>D157</formula>
    </cfRule>
  </conditionalFormatting>
  <conditionalFormatting sqref="F160 F162">
    <cfRule type="cellIs" dxfId="13" priority="6" operator="lessThan">
      <formula>D160</formula>
    </cfRule>
  </conditionalFormatting>
  <conditionalFormatting sqref="F128">
    <cfRule type="cellIs" dxfId="12" priority="5" operator="lessThan">
      <formula>D128</formula>
    </cfRule>
  </conditionalFormatting>
  <conditionalFormatting sqref="F159">
    <cfRule type="cellIs" dxfId="11" priority="4" operator="lessThan">
      <formula>D159</formula>
    </cfRule>
  </conditionalFormatting>
  <conditionalFormatting sqref="F129">
    <cfRule type="cellIs" dxfId="10" priority="3" operator="lessThan">
      <formula>D129</formula>
    </cfRule>
  </conditionalFormatting>
  <conditionalFormatting sqref="F171">
    <cfRule type="cellIs" dxfId="9" priority="2" operator="lessThan">
      <formula>D171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C2E6"/>
  </sheetPr>
  <dimension ref="A1:N187"/>
  <sheetViews>
    <sheetView topLeftCell="A22" zoomScale="145" zoomScaleNormal="145" workbookViewId="0">
      <selection activeCell="B37" sqref="B3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8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2"/>
      <c r="B12" s="393" t="s">
        <v>70</v>
      </c>
      <c r="C12" s="393"/>
      <c r="D12" s="388"/>
      <c r="E12" s="388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4"/>
      <c r="B13" s="393" t="s">
        <v>1599</v>
      </c>
      <c r="C13" s="393"/>
      <c r="D13" s="388"/>
      <c r="E13" s="388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4"/>
      <c r="B14" s="395" t="s">
        <v>72</v>
      </c>
      <c r="C14" s="394"/>
      <c r="D14" s="388"/>
      <c r="E14" s="388">
        <v>0</v>
      </c>
      <c r="F14" s="87"/>
      <c r="G14" s="87">
        <v>0</v>
      </c>
      <c r="H14" s="87">
        <f t="shared" si="1"/>
        <v>262497.59999999998</v>
      </c>
    </row>
    <row r="15" spans="1:8">
      <c r="A15" s="392">
        <v>45671</v>
      </c>
      <c r="B15" s="386" t="s">
        <v>1589</v>
      </c>
      <c r="C15" s="396"/>
      <c r="D15" s="397">
        <v>15000</v>
      </c>
      <c r="E15" s="388"/>
      <c r="F15" s="388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2">
        <v>45677</v>
      </c>
      <c r="B17" s="413" t="s">
        <v>73</v>
      </c>
      <c r="C17" s="413"/>
      <c r="D17" s="388"/>
      <c r="E17" s="388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2">
        <v>45677</v>
      </c>
      <c r="B18" s="413" t="s">
        <v>74</v>
      </c>
      <c r="C18" s="413"/>
      <c r="D18" s="388"/>
      <c r="E18" s="388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2">
        <v>45677</v>
      </c>
      <c r="B19" s="393" t="s">
        <v>75</v>
      </c>
      <c r="C19" s="393"/>
      <c r="D19" s="388"/>
      <c r="E19" s="388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4">
        <v>45684</v>
      </c>
      <c r="B21" s="394" t="s">
        <v>1610</v>
      </c>
      <c r="C21" s="394"/>
      <c r="D21" s="388"/>
      <c r="E21" s="388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4">
        <v>45684</v>
      </c>
      <c r="B22" s="394" t="s">
        <v>77</v>
      </c>
      <c r="C22" s="394"/>
      <c r="D22" s="388"/>
      <c r="E22" s="388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4">
        <v>45684</v>
      </c>
      <c r="B23" s="394" t="s">
        <v>78</v>
      </c>
      <c r="C23" s="394"/>
      <c r="D23" s="388"/>
      <c r="E23" s="388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4">
        <v>45684</v>
      </c>
      <c r="B24" s="394" t="s">
        <v>79</v>
      </c>
      <c r="C24" s="394"/>
      <c r="D24" s="388"/>
      <c r="E24" s="388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4">
        <v>45684</v>
      </c>
      <c r="B25" s="394" t="s">
        <v>1639</v>
      </c>
      <c r="C25" s="394"/>
      <c r="D25" s="388"/>
      <c r="E25" s="388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5">
        <v>45655</v>
      </c>
      <c r="B26" s="394" t="s">
        <v>98</v>
      </c>
      <c r="C26" s="394" t="s">
        <v>1607</v>
      </c>
      <c r="D26" s="388"/>
      <c r="E26" s="388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6">
        <v>45686</v>
      </c>
      <c r="B27" s="394" t="s">
        <v>98</v>
      </c>
      <c r="C27" s="394" t="s">
        <v>1608</v>
      </c>
      <c r="D27" s="388"/>
      <c r="E27" s="388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4">
        <v>45684</v>
      </c>
      <c r="B28" s="394" t="s">
        <v>1643</v>
      </c>
      <c r="C28" s="394"/>
      <c r="D28" s="388"/>
      <c r="E28" s="388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4" t="s">
        <v>1609</v>
      </c>
      <c r="C29" s="419" t="s">
        <v>631</v>
      </c>
      <c r="D29" s="385"/>
      <c r="E29" s="385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16">
        <v>45688</v>
      </c>
      <c r="B31" s="417" t="s">
        <v>80</v>
      </c>
      <c r="C31" s="417"/>
      <c r="D31" s="385"/>
      <c r="E31" s="385">
        <v>-600</v>
      </c>
      <c r="F31" s="408"/>
      <c r="G31" s="408">
        <v>-425</v>
      </c>
      <c r="H31" s="90">
        <f t="shared" si="2"/>
        <v>246866.63</v>
      </c>
      <c r="J31" s="94"/>
      <c r="K31" s="94"/>
      <c r="L31" s="95"/>
      <c r="M31" s="96"/>
    </row>
    <row r="32" spans="1:13" s="78" customFormat="1">
      <c r="A32" s="416">
        <v>45688</v>
      </c>
      <c r="B32" s="417" t="s">
        <v>81</v>
      </c>
      <c r="C32" s="417"/>
      <c r="D32" s="385"/>
      <c r="E32" s="385">
        <v>-800</v>
      </c>
      <c r="F32" s="408"/>
      <c r="G32" s="408">
        <v>-680</v>
      </c>
      <c r="H32" s="90">
        <f t="shared" si="2"/>
        <v>246186.63</v>
      </c>
      <c r="J32" s="94"/>
      <c r="K32" s="94"/>
      <c r="L32" s="95"/>
      <c r="M32" s="96"/>
    </row>
    <row r="33" spans="1:13" s="78" customFormat="1">
      <c r="A33" s="416">
        <v>45688</v>
      </c>
      <c r="B33" s="418" t="s">
        <v>1645</v>
      </c>
      <c r="C33" s="418"/>
      <c r="D33" s="418"/>
      <c r="E33" s="385"/>
      <c r="F33" s="408"/>
      <c r="G33" s="408">
        <v>-205.5</v>
      </c>
      <c r="H33" s="90">
        <f t="shared" si="2"/>
        <v>245981.13</v>
      </c>
      <c r="J33" s="94"/>
      <c r="K33" s="94"/>
      <c r="L33" s="95"/>
      <c r="M33" s="96"/>
    </row>
    <row r="34" spans="1:13" s="78" customFormat="1">
      <c r="B34" s="420" t="s">
        <v>114</v>
      </c>
      <c r="C34" s="420"/>
      <c r="D34" s="421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8"/>
      <c r="B35" s="394" t="s">
        <v>76</v>
      </c>
      <c r="C35" s="394"/>
      <c r="D35" s="388">
        <v>15000</v>
      </c>
      <c r="E35" s="388"/>
      <c r="F35" s="388">
        <v>15054.88</v>
      </c>
      <c r="G35" s="77"/>
      <c r="H35" s="90">
        <f t="shared" si="2"/>
        <v>261036.01</v>
      </c>
    </row>
    <row r="36" spans="1:13" s="78" customFormat="1">
      <c r="A36" s="100"/>
      <c r="B36" s="101" t="s">
        <v>1663</v>
      </c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9">
        <v>3085.73</v>
      </c>
      <c r="D62" s="389" t="s">
        <v>812</v>
      </c>
      <c r="E62" s="78">
        <v>18.78</v>
      </c>
      <c r="F62" s="78">
        <f>E62*C62</f>
        <v>57950.009400000003</v>
      </c>
      <c r="G62" s="389">
        <v>35.5</v>
      </c>
      <c r="H62" s="389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9">
        <v>49.12</v>
      </c>
      <c r="D63" s="389" t="s">
        <v>238</v>
      </c>
      <c r="E63" s="78">
        <v>1179.83</v>
      </c>
      <c r="F63" s="78">
        <f>E63*C63</f>
        <v>57953.249599999996</v>
      </c>
      <c r="G63" s="389">
        <v>3075</v>
      </c>
      <c r="H63" s="389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9"/>
      <c r="D64" s="389"/>
      <c r="E64" s="389"/>
      <c r="F64" s="389"/>
      <c r="G64" s="389"/>
      <c r="H64" s="77"/>
    </row>
    <row r="65" spans="1:14" s="78" customFormat="1">
      <c r="A65" s="88"/>
      <c r="B65" s="101" t="s">
        <v>1154</v>
      </c>
      <c r="C65" s="389"/>
      <c r="D65" s="389"/>
      <c r="E65" s="389"/>
      <c r="F65" s="389"/>
      <c r="G65" s="389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F69" s="77" t="s">
        <v>1649</v>
      </c>
      <c r="K69" s="78"/>
      <c r="L69" s="78"/>
      <c r="M69" s="78"/>
      <c r="N69" s="78"/>
    </row>
    <row r="70" spans="1:14" s="77" customFormat="1">
      <c r="A70" s="88">
        <v>45715</v>
      </c>
      <c r="B70" s="77" t="s">
        <v>1651</v>
      </c>
      <c r="C70" s="77">
        <v>5938.68</v>
      </c>
      <c r="D70" s="77" t="s">
        <v>1647</v>
      </c>
      <c r="F70" s="77">
        <v>989.78</v>
      </c>
      <c r="G70" s="77">
        <v>6</v>
      </c>
      <c r="H70" s="77">
        <f>G70*F70</f>
        <v>5938.68</v>
      </c>
      <c r="K70" s="78"/>
      <c r="L70" s="78"/>
      <c r="M70" s="78"/>
      <c r="N70" s="78"/>
    </row>
    <row r="71" spans="1:14" s="77" customFormat="1">
      <c r="A71" s="88"/>
      <c r="F71" s="77">
        <f>H71/G70/2</f>
        <v>469.89833333333337</v>
      </c>
      <c r="H71" s="77">
        <f>H70-299.9</f>
        <v>5638.7800000000007</v>
      </c>
      <c r="K71" s="78"/>
      <c r="L71" s="78"/>
      <c r="M71" s="78"/>
      <c r="N71" s="78"/>
    </row>
    <row r="72" spans="1:14" s="77" customFormat="1">
      <c r="A72" s="88"/>
      <c r="F72" s="77" t="s">
        <v>1648</v>
      </c>
      <c r="K72" s="78"/>
      <c r="L72" s="78"/>
      <c r="M72" s="78"/>
      <c r="N72" s="78"/>
    </row>
    <row r="73" spans="1:14">
      <c r="F73" s="77" t="s">
        <v>1650</v>
      </c>
      <c r="H73" s="422">
        <f>H70-H71</f>
        <v>299.89999999999964</v>
      </c>
    </row>
    <row r="74" spans="1:14" s="77" customFormat="1">
      <c r="A74" s="100"/>
      <c r="B74" s="106"/>
      <c r="C74" s="106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0"/>
      <c r="B76" s="107"/>
      <c r="C76" s="106"/>
      <c r="K76" s="78"/>
      <c r="L76" s="78"/>
      <c r="M76" s="78"/>
      <c r="N76" s="78"/>
    </row>
    <row r="77" spans="1:14" s="77" customFormat="1">
      <c r="A77" s="100"/>
      <c r="B77" s="107"/>
      <c r="C77" s="106"/>
      <c r="K77" s="78"/>
      <c r="L77" s="78"/>
      <c r="M77" s="78"/>
      <c r="N77" s="78"/>
    </row>
    <row r="78" spans="1:14" s="77" customFormat="1">
      <c r="A78" s="100"/>
      <c r="B78" s="107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1122540.7310799998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6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7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7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1611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1613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1612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3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3.5" thickBot="1">
      <c r="A123" s="100"/>
      <c r="C123" s="2"/>
      <c r="D123" s="2"/>
      <c r="E123" s="77">
        <f>SUM(E117:E122)</f>
        <v>444551.23206499999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45345</v>
      </c>
      <c r="B125" s="82" t="s">
        <v>144</v>
      </c>
      <c r="C125" s="118">
        <v>125000</v>
      </c>
      <c r="D125" s="83">
        <v>1.0399430000000001</v>
      </c>
      <c r="E125" s="116">
        <f>D125*C125</f>
        <v>129992.87500000001</v>
      </c>
      <c r="F125" s="119">
        <v>0.79772600000000005</v>
      </c>
      <c r="G125" s="17">
        <f>F125*C125</f>
        <v>99715.75</v>
      </c>
      <c r="I125" s="90">
        <f t="shared" ref="I125:I126" si="6">G125-E125</f>
        <v>-30277.125000000015</v>
      </c>
      <c r="K125" s="78"/>
      <c r="L125" s="78"/>
      <c r="M125" s="78"/>
      <c r="N125" s="78"/>
    </row>
    <row r="126" spans="1:14" s="90" customFormat="1">
      <c r="A126" s="100">
        <v>45667</v>
      </c>
      <c r="B126" s="82" t="s">
        <v>1615</v>
      </c>
      <c r="C126" s="118">
        <v>240</v>
      </c>
      <c r="D126" s="83">
        <v>872.26366499999995</v>
      </c>
      <c r="E126" s="116">
        <f>D126*C126</f>
        <v>209343.27959999998</v>
      </c>
      <c r="F126" s="406">
        <f>F119</f>
        <v>899.26057400000002</v>
      </c>
      <c r="G126" s="17">
        <f>F126*C126</f>
        <v>215822.53776000001</v>
      </c>
      <c r="I126" s="90">
        <f t="shared" si="6"/>
        <v>6479.2581600000267</v>
      </c>
      <c r="J126" s="405"/>
      <c r="K126" s="78"/>
      <c r="L126" s="78"/>
      <c r="M126" s="78"/>
      <c r="N126" s="78"/>
    </row>
    <row r="127" spans="1:14" s="77" customFormat="1">
      <c r="A127" s="100">
        <v>45400</v>
      </c>
      <c r="B127" s="82" t="s">
        <v>145</v>
      </c>
      <c r="C127" s="114">
        <v>10</v>
      </c>
      <c r="D127" s="83">
        <v>135</v>
      </c>
      <c r="E127" s="116">
        <f>D127*C127</f>
        <v>1350</v>
      </c>
      <c r="F127" s="77">
        <v>118.2</v>
      </c>
      <c r="G127" s="17">
        <f>F127*C127</f>
        <v>1182</v>
      </c>
      <c r="I127" s="90">
        <f t="shared" ref="I127:I129" si="7">G127-E127</f>
        <v>-168</v>
      </c>
      <c r="K127" s="78"/>
      <c r="L127" s="78"/>
      <c r="M127" s="78"/>
      <c r="N127" s="78"/>
    </row>
    <row r="128" spans="1:14" s="77" customFormat="1">
      <c r="A128" s="100">
        <v>45418</v>
      </c>
      <c r="B128" s="82" t="s">
        <v>146</v>
      </c>
      <c r="C128" s="114">
        <v>38</v>
      </c>
      <c r="D128" s="83">
        <v>30.5</v>
      </c>
      <c r="E128" s="116">
        <f>D128*C128</f>
        <v>1159</v>
      </c>
      <c r="F128" s="77">
        <v>17.670000000000002</v>
      </c>
      <c r="G128" s="17">
        <f>F128*C128</f>
        <v>671.46</v>
      </c>
      <c r="I128" s="90">
        <f t="shared" si="7"/>
        <v>-487.53999999999996</v>
      </c>
      <c r="K128" s="78"/>
      <c r="L128" s="78"/>
      <c r="M128" s="78"/>
      <c r="N128" s="78"/>
    </row>
    <row r="129" spans="1:14" s="77" customFormat="1">
      <c r="A129" s="100">
        <v>45418</v>
      </c>
      <c r="B129" s="82" t="s">
        <v>147</v>
      </c>
      <c r="C129" s="114">
        <v>26</v>
      </c>
      <c r="D129" s="83">
        <v>37.115000000000002</v>
      </c>
      <c r="E129" s="116">
        <f>D129*C129</f>
        <v>964.99</v>
      </c>
      <c r="F129" s="77">
        <v>25.08</v>
      </c>
      <c r="G129" s="17">
        <f>F129*C129</f>
        <v>652.07999999999993</v>
      </c>
      <c r="H129" s="423">
        <f>SUM(G125:G129)</f>
        <v>318043.82776000001</v>
      </c>
      <c r="I129" s="90">
        <f t="shared" si="7"/>
        <v>-312.91000000000008</v>
      </c>
      <c r="K129" s="78"/>
      <c r="L129" s="78"/>
      <c r="M129" s="78"/>
      <c r="N129" s="78"/>
    </row>
    <row r="130" spans="1:14" s="77" customFormat="1">
      <c r="A130" s="100"/>
      <c r="C130" s="2"/>
      <c r="D130" s="2"/>
      <c r="E130" s="77">
        <f>SUM(E125:E129)</f>
        <v>342810.1446</v>
      </c>
      <c r="H130" s="117">
        <f>(SUM(G125:G129))-(SUM(E125:E129))</f>
        <v>-24766.316839999985</v>
      </c>
      <c r="K130" s="78"/>
      <c r="L130" s="78"/>
      <c r="M130" s="78"/>
      <c r="N130" s="78"/>
    </row>
    <row r="131" spans="1:14" s="77" customFormat="1">
      <c r="A131" s="100"/>
      <c r="E131" s="17"/>
      <c r="K131" s="78"/>
      <c r="L131" s="78"/>
      <c r="M131" s="78"/>
      <c r="N131" s="78"/>
    </row>
    <row r="132" spans="1:14" s="77" customFormat="1">
      <c r="A132" s="100">
        <v>45509</v>
      </c>
      <c r="B132" s="82" t="s">
        <v>148</v>
      </c>
      <c r="C132" s="114">
        <v>1</v>
      </c>
      <c r="D132" s="83">
        <v>2500</v>
      </c>
      <c r="E132" s="116">
        <f>D132*C132</f>
        <v>2500</v>
      </c>
      <c r="F132" s="77">
        <v>3250</v>
      </c>
      <c r="G132" s="17">
        <f>C132*F132</f>
        <v>3250</v>
      </c>
      <c r="I132" s="90">
        <f t="shared" ref="I132:I134" si="8">G132-E132</f>
        <v>750</v>
      </c>
      <c r="K132" s="78"/>
      <c r="L132" s="78"/>
      <c r="M132" s="78"/>
      <c r="N132" s="78"/>
    </row>
    <row r="133" spans="1:14" s="77" customFormat="1">
      <c r="A133" s="100">
        <v>45509</v>
      </c>
      <c r="B133" s="82" t="s">
        <v>149</v>
      </c>
      <c r="C133" s="114">
        <v>16</v>
      </c>
      <c r="D133" s="83">
        <v>4100</v>
      </c>
      <c r="E133" s="116">
        <f>D133*C133</f>
        <v>65600</v>
      </c>
      <c r="F133" s="77">
        <v>5300</v>
      </c>
      <c r="G133" s="17">
        <f>C133*F133</f>
        <v>84800</v>
      </c>
      <c r="I133" s="90">
        <f t="shared" si="8"/>
        <v>19200</v>
      </c>
      <c r="K133" s="78"/>
      <c r="L133" s="78"/>
      <c r="M133" s="78"/>
      <c r="N133" s="78"/>
    </row>
    <row r="134" spans="1:14" s="77" customFormat="1">
      <c r="A134" s="100">
        <v>45509</v>
      </c>
      <c r="B134" s="82" t="s">
        <v>150</v>
      </c>
      <c r="C134" s="114">
        <v>1</v>
      </c>
      <c r="D134" s="83">
        <v>16200</v>
      </c>
      <c r="E134" s="116">
        <f>D134*C134</f>
        <v>16200</v>
      </c>
      <c r="F134" s="77">
        <f>F133*4</f>
        <v>21200</v>
      </c>
      <c r="G134" s="17">
        <f>C134*F134</f>
        <v>21200</v>
      </c>
      <c r="H134" s="423">
        <f>SUM(G132:G134)</f>
        <v>109250</v>
      </c>
      <c r="I134" s="90">
        <f t="shared" si="8"/>
        <v>5000</v>
      </c>
      <c r="K134" s="78"/>
      <c r="L134" s="78"/>
      <c r="M134" s="78"/>
      <c r="N134" s="78"/>
    </row>
    <row r="135" spans="1:14" s="77" customFormat="1">
      <c r="A135" s="100"/>
      <c r="C135" s="2"/>
      <c r="D135" s="2"/>
      <c r="E135" s="77">
        <f>SUM(E132:E134)</f>
        <v>84300</v>
      </c>
      <c r="H135" s="117">
        <f>(SUM(G132:G134))-(SUM(E132:E134))</f>
        <v>24950</v>
      </c>
      <c r="K135" s="78"/>
      <c r="L135" s="78"/>
      <c r="M135" s="78"/>
      <c r="N135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>
      <c r="A140" s="100"/>
      <c r="E140" s="121"/>
      <c r="F140" s="122"/>
      <c r="G140" s="123" t="s">
        <v>155</v>
      </c>
      <c r="H140" s="124">
        <f>H135+H130+H123</f>
        <v>23549.354415000067</v>
      </c>
      <c r="K140" s="78"/>
      <c r="L140" s="78"/>
      <c r="M140" s="78"/>
      <c r="N140" s="78"/>
    </row>
    <row r="141" spans="1:14" s="77" customFormat="1">
      <c r="A141" s="100"/>
      <c r="C141" s="125"/>
      <c r="D141" s="3"/>
      <c r="G141" s="125"/>
      <c r="K141" s="78"/>
      <c r="L141" s="78"/>
      <c r="M141" s="78"/>
      <c r="N141" s="78"/>
    </row>
    <row r="142" spans="1:14" s="77" customFormat="1">
      <c r="A142" s="100"/>
      <c r="C142" s="125"/>
      <c r="D142" s="18" t="s">
        <v>156</v>
      </c>
      <c r="G142" s="9">
        <f>SUM(G111:G139)</f>
        <v>1122540.7310799998</v>
      </c>
      <c r="K142" s="78"/>
      <c r="L142" s="78"/>
      <c r="M142" s="78"/>
      <c r="N142" s="78"/>
    </row>
    <row r="143" spans="1:14" s="77" customFormat="1">
      <c r="A143" s="100"/>
      <c r="C143" s="126" t="str">
        <f>A107</f>
        <v>ŞUBAT 2025 e</v>
      </c>
      <c r="D143" s="127" t="s">
        <v>157</v>
      </c>
      <c r="G143" s="128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K145" s="78"/>
      <c r="L145" s="78"/>
      <c r="M145" s="78"/>
      <c r="N145" s="78"/>
    </row>
    <row r="146" spans="1:14" s="90" customFormat="1">
      <c r="A146" s="398">
        <v>45680</v>
      </c>
      <c r="B146" s="399" t="s">
        <v>142</v>
      </c>
      <c r="C146" s="400">
        <v>-15</v>
      </c>
      <c r="D146" s="401">
        <v>752.55561799999998</v>
      </c>
      <c r="E146" s="402">
        <f>D146*C146</f>
        <v>-11288.334269999999</v>
      </c>
      <c r="F146" s="403">
        <v>886.51320299999998</v>
      </c>
      <c r="G146" s="404">
        <f>F146*C146</f>
        <v>-13297.698044999999</v>
      </c>
      <c r="H146" s="403"/>
      <c r="I146" s="403">
        <f>E146-G146</f>
        <v>2009.3637749999998</v>
      </c>
      <c r="K146" s="78"/>
      <c r="L146" s="78"/>
      <c r="M146" s="78"/>
      <c r="N146" s="78"/>
    </row>
    <row r="147" spans="1:14" s="90" customFormat="1">
      <c r="A147" s="398">
        <v>45680</v>
      </c>
      <c r="B147" s="399" t="s">
        <v>1614</v>
      </c>
      <c r="C147" s="400"/>
      <c r="D147" s="401"/>
      <c r="E147" s="402">
        <v>150.77000000000001</v>
      </c>
      <c r="F147" s="403"/>
      <c r="G147" s="404"/>
      <c r="H147" s="403"/>
      <c r="I147" s="403">
        <f>G147-E147</f>
        <v>-150.77000000000001</v>
      </c>
      <c r="K147" s="78"/>
      <c r="L147" s="78"/>
      <c r="M147" s="78"/>
      <c r="N147" s="78"/>
    </row>
    <row r="148" spans="1:14" s="90" customFormat="1"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A151" s="408"/>
      <c r="B151" s="408"/>
      <c r="C151" s="408"/>
      <c r="D151" s="408"/>
      <c r="E151" s="408"/>
      <c r="F151" s="408"/>
      <c r="G151" s="408"/>
      <c r="K151" s="78"/>
      <c r="L151" s="78"/>
      <c r="M151" s="78"/>
      <c r="N151" s="78"/>
    </row>
    <row r="152" spans="1:14" s="90" customFormat="1">
      <c r="A152" s="408"/>
      <c r="B152" s="408"/>
      <c r="C152" s="408"/>
      <c r="D152" s="408"/>
      <c r="E152" s="408"/>
      <c r="F152" s="408"/>
      <c r="G152" s="408"/>
      <c r="K152" s="78"/>
      <c r="L152" s="78"/>
      <c r="M152" s="78"/>
      <c r="N152" s="78"/>
    </row>
    <row r="153" spans="1:14" s="77" customFormat="1">
      <c r="A153" s="408"/>
      <c r="B153" s="408"/>
      <c r="C153" s="408"/>
      <c r="D153" s="408"/>
      <c r="E153" s="408"/>
      <c r="F153" s="408"/>
      <c r="G153" s="408"/>
      <c r="K153" s="78"/>
      <c r="L153" s="78"/>
      <c r="M153" s="78"/>
      <c r="N153" s="78"/>
    </row>
    <row r="154" spans="1:14" s="77" customFormat="1">
      <c r="A154" s="408"/>
      <c r="B154" s="408"/>
      <c r="C154" s="408"/>
      <c r="D154" s="408"/>
      <c r="E154" s="408"/>
      <c r="F154" s="408"/>
      <c r="G154" s="408"/>
      <c r="K154" s="78"/>
      <c r="L154" s="78"/>
      <c r="M154" s="78"/>
      <c r="N154" s="78"/>
    </row>
    <row r="155" spans="1:14" s="77" customFormat="1">
      <c r="A155" s="409"/>
      <c r="B155" s="410"/>
      <c r="C155" s="411"/>
      <c r="D155" s="408"/>
      <c r="E155" s="412"/>
      <c r="F155" s="408"/>
      <c r="G155" s="412"/>
      <c r="K155" s="78"/>
      <c r="L155" s="78"/>
      <c r="M155" s="78"/>
      <c r="N155" s="78"/>
    </row>
    <row r="156" spans="1:14" s="77" customFormat="1">
      <c r="A156" s="100"/>
      <c r="K156" s="78"/>
      <c r="L156" s="78"/>
      <c r="M156" s="78"/>
      <c r="N156" s="78"/>
    </row>
    <row r="157" spans="1:14">
      <c r="B157" t="s">
        <v>158</v>
      </c>
      <c r="E157" s="77">
        <v>13006</v>
      </c>
    </row>
    <row r="158" spans="1:14">
      <c r="B158" t="s">
        <v>159</v>
      </c>
      <c r="D158" s="76">
        <v>0.1575</v>
      </c>
      <c r="E158" s="77">
        <f>E157*D158</f>
        <v>2048.4450000000002</v>
      </c>
    </row>
    <row r="159" spans="1:14">
      <c r="B159" t="s">
        <v>160</v>
      </c>
      <c r="E159" s="77">
        <f>SUM(E157:E158)</f>
        <v>15054.445</v>
      </c>
    </row>
    <row r="162" spans="1:12">
      <c r="A162" s="11"/>
      <c r="B162" s="98"/>
      <c r="C162" s="11"/>
      <c r="D162" s="11"/>
      <c r="E162" s="11"/>
      <c r="F162" s="11"/>
      <c r="G162" s="11"/>
      <c r="H162" s="11"/>
      <c r="K162" s="11"/>
      <c r="L162" s="11"/>
    </row>
    <row r="163" spans="1:12">
      <c r="A163" s="11"/>
      <c r="B163" s="98"/>
      <c r="C163" s="11"/>
      <c r="D163" s="11"/>
      <c r="E163" s="11"/>
      <c r="F163" s="11"/>
      <c r="G163" s="11"/>
      <c r="H163" s="11"/>
      <c r="I163" s="11"/>
      <c r="J163" s="11"/>
      <c r="K163" s="11"/>
      <c r="L163" s="11"/>
    </row>
    <row r="164" spans="1:12" ht="15">
      <c r="A164" s="98"/>
      <c r="B164" s="11"/>
      <c r="D164" s="383"/>
      <c r="E164" s="11"/>
      <c r="F164" s="11"/>
      <c r="G164" s="11"/>
      <c r="H164" s="11"/>
      <c r="I164" s="11"/>
      <c r="J164" s="384"/>
    </row>
    <row r="165" spans="1:12" ht="15">
      <c r="A165" s="98"/>
      <c r="B165" s="11"/>
      <c r="D165" s="383"/>
      <c r="E165" s="11"/>
      <c r="F165" s="11"/>
      <c r="G165" s="11"/>
      <c r="H165" s="11"/>
      <c r="I165" s="11"/>
      <c r="J165" s="384"/>
    </row>
    <row r="166" spans="1:12" ht="15">
      <c r="A166" s="98"/>
      <c r="B166" s="11"/>
      <c r="C166" s="11"/>
      <c r="D166" s="383"/>
      <c r="E166" s="11"/>
      <c r="F166" s="11"/>
      <c r="G166" s="11"/>
      <c r="H166" s="11"/>
      <c r="I166" s="11"/>
      <c r="J166" s="11"/>
    </row>
    <row r="167" spans="1:12">
      <c r="A167" s="98"/>
      <c r="B167" s="11"/>
      <c r="C167" s="11"/>
      <c r="D167" s="11"/>
      <c r="E167" s="11"/>
      <c r="F167" s="11"/>
      <c r="G167" s="11"/>
      <c r="H167" s="11"/>
      <c r="I167" s="11"/>
      <c r="J167" s="11"/>
    </row>
    <row r="168" spans="1:12" ht="15">
      <c r="A168" s="98"/>
      <c r="B168" s="11"/>
      <c r="C168" s="11"/>
      <c r="D168" s="383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3"/>
      <c r="E169" s="11"/>
      <c r="F169" s="11"/>
      <c r="G169" s="11"/>
      <c r="H169" s="11"/>
      <c r="I169" s="11"/>
      <c r="J169" s="11"/>
    </row>
    <row r="170" spans="1:12">
      <c r="C170" s="77"/>
      <c r="H170"/>
      <c r="J170" s="78"/>
    </row>
    <row r="171" spans="1:12">
      <c r="C171" s="11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77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</sheetData>
  <conditionalFormatting sqref="F132:F134">
    <cfRule type="cellIs" dxfId="7" priority="8" operator="lessThan">
      <formula>D132</formula>
    </cfRule>
  </conditionalFormatting>
  <conditionalFormatting sqref="F127:F129">
    <cfRule type="cellIs" dxfId="6" priority="9" operator="lessThan">
      <formula>D127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4:I165">
    <cfRule type="expression" dxfId="2" priority="4">
      <formula>H164&gt;0</formula>
    </cfRule>
  </conditionalFormatting>
  <conditionalFormatting sqref="F120">
    <cfRule type="cellIs" dxfId="1" priority="2" operator="lessThan">
      <formula>D120</formula>
    </cfRule>
  </conditionalFormatting>
  <conditionalFormatting sqref="F146:F147">
    <cfRule type="cellIs" dxfId="0" priority="1" operator="lessThan">
      <formula>D146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0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9"/>
      <c r="E33" s="129"/>
      <c r="F33" s="129">
        <f t="shared" si="0"/>
        <v>-91403.16</v>
      </c>
    </row>
    <row r="34" spans="1:6">
      <c r="B34" s="3"/>
      <c r="C34" s="3"/>
      <c r="D34" s="129"/>
      <c r="E34" s="129"/>
      <c r="F34" s="129"/>
    </row>
    <row r="35" spans="1:6">
      <c r="B35" s="130" t="s">
        <v>188</v>
      </c>
      <c r="C35" s="131"/>
      <c r="D35" s="132">
        <v>1466500</v>
      </c>
      <c r="E35" s="133"/>
      <c r="F35" s="134">
        <f>D35-E35</f>
        <v>1466500</v>
      </c>
    </row>
    <row r="36" spans="1:6">
      <c r="B36" s="135" t="s">
        <v>189</v>
      </c>
      <c r="D36" s="2">
        <v>11631</v>
      </c>
      <c r="E36" s="69"/>
      <c r="F36" s="136">
        <f t="shared" ref="F36:F73" si="1">F35+D36-E36</f>
        <v>1478131</v>
      </c>
    </row>
    <row r="37" spans="1:6">
      <c r="B37" s="135" t="s">
        <v>190</v>
      </c>
      <c r="D37" s="2">
        <v>15500</v>
      </c>
      <c r="E37" s="69"/>
      <c r="F37" s="136">
        <f t="shared" si="1"/>
        <v>1493631</v>
      </c>
    </row>
    <row r="38" spans="1:6">
      <c r="B38" s="137" t="s">
        <v>191</v>
      </c>
      <c r="C38" s="138"/>
      <c r="D38" s="139"/>
      <c r="E38" s="140"/>
      <c r="F38" s="141">
        <f t="shared" si="1"/>
        <v>1493631</v>
      </c>
    </row>
    <row r="39" spans="1:6">
      <c r="E39" s="69"/>
      <c r="F39" s="142">
        <f t="shared" si="1"/>
        <v>1493631</v>
      </c>
    </row>
    <row r="40" spans="1:6">
      <c r="B40" s="3" t="s">
        <v>192</v>
      </c>
      <c r="C40" s="3"/>
      <c r="D40" s="17"/>
      <c r="E40" s="129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3" t="s">
        <v>202</v>
      </c>
      <c r="C50" s="143"/>
      <c r="D50" s="144"/>
      <c r="E50" s="144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5">
        <v>45536</v>
      </c>
      <c r="B57" s="146" t="s">
        <v>207</v>
      </c>
      <c r="C57" s="146" t="s">
        <v>121</v>
      </c>
      <c r="D57" s="147"/>
      <c r="E57" s="147">
        <v>5600</v>
      </c>
      <c r="F57" s="147">
        <f t="shared" si="1"/>
        <v>401500</v>
      </c>
    </row>
    <row r="58" spans="1:6">
      <c r="A58" s="145">
        <v>45550</v>
      </c>
      <c r="B58" s="146" t="s">
        <v>208</v>
      </c>
      <c r="C58" s="146" t="s">
        <v>121</v>
      </c>
      <c r="D58" s="147"/>
      <c r="E58" s="147">
        <v>30000</v>
      </c>
      <c r="F58" s="147">
        <f t="shared" si="1"/>
        <v>371500</v>
      </c>
    </row>
    <row r="59" spans="1:6">
      <c r="A59" s="145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5">
        <v>45580</v>
      </c>
      <c r="B60" s="146" t="s">
        <v>211</v>
      </c>
      <c r="C60" s="146" t="s">
        <v>121</v>
      </c>
      <c r="D60" s="147"/>
      <c r="E60" s="147">
        <v>30000</v>
      </c>
      <c r="F60" s="147">
        <f t="shared" si="1"/>
        <v>335500</v>
      </c>
    </row>
    <row r="61" spans="1:6">
      <c r="A61" s="145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8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8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8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8">
        <v>45641</v>
      </c>
      <c r="B65" s="82" t="s">
        <v>216</v>
      </c>
      <c r="C65" s="82" t="s">
        <v>217</v>
      </c>
      <c r="D65" s="114"/>
      <c r="E65" s="114">
        <v>38000</v>
      </c>
      <c r="F65" s="391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9" t="s">
        <v>221</v>
      </c>
      <c r="C87" s="149" t="s">
        <v>222</v>
      </c>
      <c r="D87" s="150"/>
      <c r="E87" s="151" t="s">
        <v>223</v>
      </c>
      <c r="F87" s="151" t="s">
        <v>224</v>
      </c>
    </row>
    <row r="88" spans="2:6">
      <c r="F88" s="129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2"/>
      <c r="D96" s="153" t="s">
        <v>230</v>
      </c>
      <c r="E96" s="142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2"/>
      <c r="D104" s="153" t="s">
        <v>237</v>
      </c>
      <c r="E104" s="142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4" t="s">
        <v>242</v>
      </c>
      <c r="E7" s="154" t="s">
        <v>243</v>
      </c>
      <c r="F7" s="154" t="s">
        <v>244</v>
      </c>
      <c r="G7" s="154"/>
      <c r="H7" s="154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5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5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5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5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5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5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5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6">
        <v>100000</v>
      </c>
      <c r="G33" s="156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6">
        <v>68000</v>
      </c>
      <c r="G34" s="156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6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6">
        <v>155000</v>
      </c>
      <c r="H45" s="2">
        <f t="shared" si="1"/>
        <v>177058</v>
      </c>
    </row>
    <row r="46" spans="1:10">
      <c r="C46" t="s">
        <v>278</v>
      </c>
      <c r="F46" s="156"/>
      <c r="G46" s="157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6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6">
        <v>12290</v>
      </c>
      <c r="G50" s="2"/>
      <c r="H50" s="17">
        <f t="shared" si="1"/>
        <v>140070</v>
      </c>
      <c r="I50" s="158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8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8" t="s">
        <v>272</v>
      </c>
    </row>
    <row r="59" spans="2:10">
      <c r="F59" s="2"/>
      <c r="H59" s="2">
        <f t="shared" si="2"/>
        <v>948067.39240000001</v>
      </c>
      <c r="I59" s="158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8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8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8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6">
        <v>127500</v>
      </c>
      <c r="H69" s="17">
        <f t="shared" ref="H69:H82" si="3">H68+F69-G69</f>
        <v>127500</v>
      </c>
    </row>
    <row r="70" spans="2:9">
      <c r="C70" t="s">
        <v>277</v>
      </c>
      <c r="F70" s="156"/>
      <c r="H70" s="17">
        <f t="shared" si="3"/>
        <v>127500</v>
      </c>
    </row>
    <row r="71" spans="2:9">
      <c r="C71" t="s">
        <v>278</v>
      </c>
      <c r="F71" s="156"/>
      <c r="G71" s="157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6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6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8" t="s">
        <v>272</v>
      </c>
    </row>
    <row r="77" spans="2:9">
      <c r="C77" t="s">
        <v>288</v>
      </c>
      <c r="F77" s="156">
        <v>12290</v>
      </c>
      <c r="G77" s="2"/>
      <c r="H77" s="17">
        <f t="shared" si="3"/>
        <v>1164307.8659999999</v>
      </c>
      <c r="I77" s="158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8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8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8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8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27" t="s">
        <v>26</v>
      </c>
      <c r="M1" s="427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28">
        <f>L15+M15</f>
        <v>1080.7929879999999</v>
      </c>
      <c r="M17" s="428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9"/>
      <c r="F115" s="160">
        <f>SUM(F116:F132)</f>
        <v>698220.30499999993</v>
      </c>
      <c r="G115" s="160"/>
    </row>
    <row r="116" spans="2:7">
      <c r="B116" s="161">
        <v>45290</v>
      </c>
      <c r="C116" s="8" t="s">
        <v>77</v>
      </c>
      <c r="D116" s="2"/>
      <c r="E116" s="2"/>
      <c r="F116" s="17">
        <v>64000</v>
      </c>
    </row>
    <row r="117" spans="2:7">
      <c r="B117" s="161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1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1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1">
        <f t="shared" si="2"/>
        <v>45290</v>
      </c>
      <c r="C120" s="8" t="s">
        <v>307</v>
      </c>
      <c r="E120" s="2"/>
      <c r="F120" s="17">
        <v>6267.13</v>
      </c>
    </row>
    <row r="121" spans="2:7">
      <c r="B121" s="161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1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1">
        <f t="shared" si="2"/>
        <v>45290</v>
      </c>
      <c r="C123" s="8" t="s">
        <v>311</v>
      </c>
      <c r="D123" s="161">
        <v>45295</v>
      </c>
      <c r="E123" s="162">
        <v>-629.36</v>
      </c>
      <c r="F123" s="17">
        <v>4752.22</v>
      </c>
    </row>
    <row r="124" spans="2:7">
      <c r="B124" s="161">
        <f t="shared" si="2"/>
        <v>45290</v>
      </c>
      <c r="C124" s="8" t="s">
        <v>312</v>
      </c>
      <c r="D124" s="161">
        <v>45295</v>
      </c>
      <c r="E124" s="162">
        <v>-52.52</v>
      </c>
      <c r="F124" s="17">
        <v>315.38</v>
      </c>
      <c r="G124" s="63"/>
    </row>
    <row r="125" spans="2:7">
      <c r="B125" s="161">
        <f t="shared" si="2"/>
        <v>45290</v>
      </c>
      <c r="C125" s="8" t="s">
        <v>313</v>
      </c>
      <c r="D125" s="161">
        <v>45295</v>
      </c>
      <c r="E125" s="162">
        <v>-196</v>
      </c>
      <c r="F125" s="17">
        <v>295.8</v>
      </c>
    </row>
    <row r="126" spans="2:7">
      <c r="B126" s="161">
        <f t="shared" si="2"/>
        <v>45290</v>
      </c>
      <c r="C126" s="8" t="s">
        <v>314</v>
      </c>
      <c r="D126" s="161">
        <v>45295</v>
      </c>
      <c r="E126" s="162">
        <v>-669.7</v>
      </c>
      <c r="F126" s="17">
        <v>4239.3</v>
      </c>
    </row>
    <row r="127" spans="2:7">
      <c r="B127" s="161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1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1">
        <f>B128</f>
        <v>45290</v>
      </c>
      <c r="C129" s="8" t="s">
        <v>316</v>
      </c>
      <c r="D129" s="163">
        <v>29.2927</v>
      </c>
      <c r="E129" s="2">
        <v>850</v>
      </c>
      <c r="F129" s="17">
        <f>E129*D129</f>
        <v>24898.794999999998</v>
      </c>
    </row>
    <row r="130" spans="2:6">
      <c r="B130" s="161">
        <f>B129</f>
        <v>45290</v>
      </c>
      <c r="C130" s="8" t="s">
        <v>317</v>
      </c>
      <c r="D130" s="163">
        <v>32.028700000000001</v>
      </c>
      <c r="E130" s="2">
        <v>100</v>
      </c>
      <c r="F130" s="17">
        <f>E130*D130</f>
        <v>3202.87</v>
      </c>
    </row>
    <row r="131" spans="2:6">
      <c r="B131" s="161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1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4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5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6">
        <v>45630</v>
      </c>
      <c r="B6" s="165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7" t="s">
        <v>70</v>
      </c>
      <c r="C7" s="167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7" t="s">
        <v>71</v>
      </c>
      <c r="C8" s="167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5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8">
        <v>-1380</v>
      </c>
      <c r="H12" s="77">
        <f t="shared" si="0"/>
        <v>-30048.39</v>
      </c>
    </row>
    <row r="13" spans="1:8">
      <c r="A13" s="88">
        <v>45630</v>
      </c>
      <c r="B13" s="167" t="s">
        <v>322</v>
      </c>
      <c r="C13" s="82"/>
      <c r="D13" s="83" t="s">
        <v>320</v>
      </c>
      <c r="E13" s="168">
        <v>-1415</v>
      </c>
      <c r="H13" s="77">
        <f t="shared" si="0"/>
        <v>-30048.39</v>
      </c>
    </row>
    <row r="14" spans="1:8">
      <c r="A14" s="88">
        <v>45630</v>
      </c>
      <c r="B14" s="167" t="s">
        <v>323</v>
      </c>
      <c r="C14" s="82"/>
      <c r="D14" s="83" t="s">
        <v>320</v>
      </c>
      <c r="E14" s="168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9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70" t="s">
        <v>73</v>
      </c>
      <c r="C19" s="170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70" t="s">
        <v>74</v>
      </c>
      <c r="C20" s="170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7" t="s">
        <v>75</v>
      </c>
      <c r="C21" s="167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8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7" t="s">
        <v>80</v>
      </c>
      <c r="C28" s="167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7" t="s">
        <v>81</v>
      </c>
      <c r="C29" s="167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7">
        <v>45671</v>
      </c>
      <c r="B30" s="386" t="s">
        <v>113</v>
      </c>
      <c r="D30" s="385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2"/>
    </row>
    <row r="65" spans="1:5">
      <c r="A65" s="173">
        <v>44929</v>
      </c>
      <c r="B65" s="174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5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6">
        <v>125000</v>
      </c>
      <c r="D135" s="175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7"/>
    </row>
    <row r="150" spans="1:5">
      <c r="A150" s="100"/>
      <c r="C150" s="125"/>
      <c r="D150" s="3"/>
      <c r="E150" s="125"/>
    </row>
    <row r="151" spans="1:5">
      <c r="A151" s="100"/>
      <c r="C151" s="125"/>
      <c r="D151" s="18" t="s">
        <v>156</v>
      </c>
      <c r="E151" s="9">
        <f>SUM(E126:E148)</f>
        <v>674753.38</v>
      </c>
    </row>
    <row r="152" spans="1:5">
      <c r="A152" s="100"/>
      <c r="C152" s="126" t="str">
        <f>A125</f>
        <v>ARALIKa</v>
      </c>
      <c r="D152" s="127" t="s">
        <v>157</v>
      </c>
      <c r="E152" s="128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3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6">
        <v>125000</v>
      </c>
      <c r="D179" s="77">
        <v>1.0399430000000001</v>
      </c>
      <c r="E179" s="17">
        <f>D179*C179</f>
        <v>129992.87500000001</v>
      </c>
      <c r="F179" s="175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7"/>
    </row>
    <row r="194" spans="1:7">
      <c r="A194" s="100"/>
      <c r="C194" s="125"/>
      <c r="D194" s="3"/>
      <c r="G194" s="125"/>
    </row>
    <row r="195" spans="1:7">
      <c r="A195" s="100"/>
      <c r="C195" s="125"/>
      <c r="D195" s="18" t="s">
        <v>156</v>
      </c>
      <c r="G195" s="9">
        <f>SUM(G169:G192)</f>
        <v>851853.7</v>
      </c>
    </row>
    <row r="196" spans="1:7">
      <c r="A196" s="100"/>
      <c r="C196" s="126" t="str">
        <f>A165</f>
        <v>OCAK 2025 e</v>
      </c>
      <c r="D196" s="127" t="s">
        <v>157</v>
      </c>
      <c r="G196" s="1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6">
        <v>45596</v>
      </c>
      <c r="B7" s="178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6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9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8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7" t="s">
        <v>362</v>
      </c>
      <c r="E22" s="78"/>
      <c r="F22" s="168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8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7" t="s">
        <v>322</v>
      </c>
      <c r="C25" s="82"/>
      <c r="D25" s="83"/>
      <c r="E25" s="168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7" t="s">
        <v>323</v>
      </c>
      <c r="C26" s="82"/>
      <c r="D26" s="83"/>
      <c r="E26" s="168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9">
        <v>0.234011</v>
      </c>
      <c r="D36" s="83">
        <v>250000</v>
      </c>
      <c r="H36" s="77">
        <f t="shared" si="0"/>
        <v>-8252.9400000000078</v>
      </c>
    </row>
    <row r="38" spans="1:8" ht="15.75">
      <c r="B38" s="180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2"/>
    </row>
    <row r="43" spans="1:8">
      <c r="A43" s="173">
        <v>44929</v>
      </c>
      <c r="B43" s="174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9"/>
      <c r="E111" s="160">
        <f>SUM(E112:E133)</f>
        <v>695352.38</v>
      </c>
    </row>
    <row r="112" spans="1:5">
      <c r="A112" s="161">
        <v>45595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384</v>
      </c>
      <c r="C114" s="2"/>
      <c r="D114" s="2"/>
      <c r="E114" s="2">
        <v>329500</v>
      </c>
    </row>
    <row r="115" spans="1:5">
      <c r="A115" s="161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1">
        <f>A113</f>
        <v>45595</v>
      </c>
      <c r="B116" s="8" t="s">
        <v>142</v>
      </c>
      <c r="C116" s="2">
        <v>40</v>
      </c>
      <c r="D116" s="175">
        <v>830</v>
      </c>
      <c r="E116" s="17">
        <f t="shared" ref="E116:E128" si="1">D116*C116</f>
        <v>33200</v>
      </c>
    </row>
    <row r="117" spans="1:5">
      <c r="A117" s="161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1">
        <f>A115</f>
        <v>45595</v>
      </c>
      <c r="B118" s="8" t="s">
        <v>144</v>
      </c>
      <c r="C118" s="176">
        <v>125000</v>
      </c>
      <c r="D118" s="175">
        <v>0.77971599999999996</v>
      </c>
      <c r="E118" s="17">
        <f t="shared" si="1"/>
        <v>97464.5</v>
      </c>
    </row>
    <row r="119" spans="1:5">
      <c r="A119" s="161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1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1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1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1">
        <f>A117</f>
        <v>45595</v>
      </c>
      <c r="C124" s="2"/>
      <c r="D124" s="2"/>
      <c r="E124" s="17">
        <f t="shared" si="1"/>
        <v>0</v>
      </c>
    </row>
    <row r="125" spans="1:5">
      <c r="A125" s="161">
        <f>A124</f>
        <v>45595</v>
      </c>
      <c r="C125" s="2"/>
      <c r="D125" s="2"/>
      <c r="E125" s="17">
        <f t="shared" si="1"/>
        <v>0</v>
      </c>
    </row>
    <row r="126" spans="1:5">
      <c r="A126" s="161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1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1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1">
        <f>A128</f>
        <v>45595</v>
      </c>
      <c r="C129" s="2"/>
      <c r="D129" s="2"/>
      <c r="E129" s="17"/>
    </row>
    <row r="130" spans="1:5">
      <c r="A130" s="161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1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1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695352.38</v>
      </c>
    </row>
    <row r="137" spans="1:5">
      <c r="C137" s="126" t="str">
        <f>A111</f>
        <v>KASIMa</v>
      </c>
      <c r="D137" s="127" t="s">
        <v>157</v>
      </c>
      <c r="E137" s="128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6">
        <v>45569</v>
      </c>
      <c r="B7" s="178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8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8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1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7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1" t="s">
        <v>359</v>
      </c>
      <c r="C31" s="171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2">
        <v>0.234011</v>
      </c>
      <c r="H33" s="77">
        <f t="shared" si="0"/>
        <v>-59035.210000000014</v>
      </c>
    </row>
    <row r="34" spans="1:8">
      <c r="B34" s="171" t="s">
        <v>399</v>
      </c>
      <c r="C34" s="171"/>
      <c r="D34" s="108"/>
      <c r="E34" s="108">
        <v>-10000</v>
      </c>
    </row>
    <row r="35" spans="1:8" ht="15.75">
      <c r="B35" s="180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2"/>
    </row>
    <row r="40" spans="1:8">
      <c r="A40" s="173">
        <v>44929</v>
      </c>
      <c r="B40" s="174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9"/>
      <c r="E111" s="160">
        <f>SUM(E112:E133)</f>
        <v>726058.6</v>
      </c>
    </row>
    <row r="112" spans="1:5">
      <c r="A112" s="161">
        <v>45565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425</v>
      </c>
      <c r="C114" s="2"/>
      <c r="D114" s="2"/>
      <c r="E114" s="2">
        <v>365500</v>
      </c>
    </row>
    <row r="115" spans="1:5">
      <c r="A115" s="161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1">
        <f>A113</f>
        <v>45565</v>
      </c>
      <c r="B116" s="8" t="s">
        <v>142</v>
      </c>
      <c r="C116" s="2">
        <v>40</v>
      </c>
      <c r="D116" s="175">
        <v>852</v>
      </c>
      <c r="E116" s="17">
        <f t="shared" ref="E116:E122" si="1">D116*C116</f>
        <v>34080</v>
      </c>
    </row>
    <row r="117" spans="1:5">
      <c r="A117" s="161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1">
        <f>A115</f>
        <v>45565</v>
      </c>
      <c r="B118" s="8" t="s">
        <v>144</v>
      </c>
      <c r="C118" s="176">
        <v>125000</v>
      </c>
      <c r="D118" s="175">
        <v>0.77300000000000002</v>
      </c>
      <c r="E118" s="17">
        <f t="shared" si="1"/>
        <v>96625</v>
      </c>
    </row>
    <row r="119" spans="1:5">
      <c r="A119" s="161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1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1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1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1">
        <f>A117</f>
        <v>45565</v>
      </c>
      <c r="C124" s="2"/>
      <c r="D124" s="2"/>
      <c r="E124" s="17">
        <f>D124*C124</f>
        <v>0</v>
      </c>
    </row>
    <row r="125" spans="1:5">
      <c r="A125" s="161">
        <f>A124</f>
        <v>45565</v>
      </c>
      <c r="C125" s="2"/>
      <c r="D125" s="2"/>
      <c r="E125" s="17">
        <f>D125*C125</f>
        <v>0</v>
      </c>
    </row>
    <row r="126" spans="1:5">
      <c r="A126" s="161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1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1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1">
        <f>A128</f>
        <v>45565</v>
      </c>
      <c r="C129" s="2"/>
      <c r="D129" s="2"/>
      <c r="E129" s="17"/>
    </row>
    <row r="130" spans="1:5">
      <c r="A130" s="161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1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1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726058.6</v>
      </c>
    </row>
    <row r="137" spans="1:5">
      <c r="C137" s="126" t="str">
        <f>A111</f>
        <v>EKİMe</v>
      </c>
      <c r="D137" s="127" t="s">
        <v>157</v>
      </c>
      <c r="E137" s="128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6">
        <v>45538</v>
      </c>
      <c r="B6" s="178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8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1" t="s">
        <v>441</v>
      </c>
      <c r="C25" s="171"/>
      <c r="D25" s="181">
        <v>8500</v>
      </c>
      <c r="H25" s="77">
        <f t="shared" si="0"/>
        <v>28142.839999999997</v>
      </c>
    </row>
    <row r="26" spans="1:8">
      <c r="A26" s="88">
        <v>45574</v>
      </c>
      <c r="B26" s="171" t="s">
        <v>390</v>
      </c>
      <c r="C26" s="171"/>
      <c r="D26" s="83">
        <v>15000</v>
      </c>
      <c r="H26" s="77">
        <f t="shared" si="0"/>
        <v>28142.839999999997</v>
      </c>
    </row>
    <row r="27" spans="1:8">
      <c r="B27" s="171" t="s">
        <v>399</v>
      </c>
      <c r="C27" s="171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2">
        <v>0.234011</v>
      </c>
      <c r="D30" s="77">
        <v>144000</v>
      </c>
      <c r="H30" s="77">
        <f t="shared" si="0"/>
        <v>18142.839999999997</v>
      </c>
    </row>
    <row r="31" spans="1:8">
      <c r="C31" s="172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2"/>
    </row>
    <row r="35" spans="1:5">
      <c r="A35" s="173">
        <v>44929</v>
      </c>
      <c r="B35" s="174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9"/>
      <c r="E101" s="160">
        <f>SUM(E102:E123)</f>
        <v>749196.59931999992</v>
      </c>
    </row>
    <row r="102" spans="1:5">
      <c r="A102" s="161">
        <v>45534</v>
      </c>
      <c r="B102" s="8" t="s">
        <v>77</v>
      </c>
      <c r="C102" s="2"/>
      <c r="D102" s="2"/>
      <c r="E102" s="2">
        <v>0</v>
      </c>
    </row>
    <row r="103" spans="1:5">
      <c r="A103" s="161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1"/>
      <c r="B104" s="8" t="s">
        <v>453</v>
      </c>
      <c r="C104" s="2"/>
      <c r="D104" s="2"/>
      <c r="E104" s="2">
        <v>407100</v>
      </c>
    </row>
    <row r="105" spans="1:5">
      <c r="A105" s="161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1">
        <f>A103</f>
        <v>45534</v>
      </c>
      <c r="B106" s="8" t="s">
        <v>142</v>
      </c>
      <c r="C106" s="2">
        <v>40</v>
      </c>
      <c r="D106" s="175">
        <v>732.60648300000003</v>
      </c>
      <c r="E106" s="17">
        <f t="shared" ref="E106:E118" si="1">D106*C106</f>
        <v>29304.259320000001</v>
      </c>
    </row>
    <row r="107" spans="1:5">
      <c r="A107" s="161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1">
        <f>A105</f>
        <v>45534</v>
      </c>
      <c r="B108" s="8" t="s">
        <v>144</v>
      </c>
      <c r="C108" s="176">
        <v>125000</v>
      </c>
      <c r="D108" s="175">
        <v>0.77971599999999996</v>
      </c>
      <c r="E108" s="17">
        <f t="shared" si="1"/>
        <v>97464.5</v>
      </c>
    </row>
    <row r="109" spans="1:5">
      <c r="A109" s="161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1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1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1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1">
        <f>A107</f>
        <v>45534</v>
      </c>
      <c r="C114" s="2"/>
      <c r="D114" s="2"/>
      <c r="E114" s="17">
        <f t="shared" si="1"/>
        <v>0</v>
      </c>
    </row>
    <row r="115" spans="1:5">
      <c r="A115" s="161">
        <f>A114</f>
        <v>45534</v>
      </c>
      <c r="C115" s="2"/>
      <c r="D115" s="2"/>
      <c r="E115" s="17">
        <f t="shared" si="1"/>
        <v>0</v>
      </c>
    </row>
    <row r="116" spans="1:5">
      <c r="A116" s="161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1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1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1">
        <f>A118</f>
        <v>45534</v>
      </c>
      <c r="C119" s="2"/>
      <c r="D119" s="2"/>
      <c r="E119" s="17"/>
    </row>
    <row r="120" spans="1:5">
      <c r="A120" s="161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1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1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1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7"/>
    </row>
    <row r="125" spans="1:5">
      <c r="C125" s="125"/>
      <c r="D125" s="3"/>
      <c r="E125" s="125"/>
    </row>
    <row r="126" spans="1:5">
      <c r="C126" s="125"/>
      <c r="D126" s="18" t="s">
        <v>156</v>
      </c>
      <c r="E126" s="9">
        <f>SUM(E102:E123)</f>
        <v>749196.59931999992</v>
      </c>
    </row>
    <row r="127" spans="1:5">
      <c r="C127" s="126" t="str">
        <f>A101</f>
        <v>EYLÜLe</v>
      </c>
      <c r="D127" s="127" t="s">
        <v>157</v>
      </c>
      <c r="E127" s="128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8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6">
        <v>45509</v>
      </c>
      <c r="B8" s="178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6"/>
      <c r="B9" s="178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6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6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9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7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2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2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2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2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2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2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2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2"/>
      <c r="H39" s="78">
        <f t="shared" si="0"/>
        <v>-60375.490000000005</v>
      </c>
    </row>
    <row r="40" spans="1:8">
      <c r="A40" s="88">
        <v>45535</v>
      </c>
      <c r="B40" s="167" t="s">
        <v>474</v>
      </c>
      <c r="C40" s="172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1" t="s">
        <v>433</v>
      </c>
      <c r="C42" s="171"/>
      <c r="D42" s="83">
        <v>15000</v>
      </c>
      <c r="H42" s="78">
        <f t="shared" si="0"/>
        <v>-60375.490000000005</v>
      </c>
    </row>
    <row r="43" spans="1:8">
      <c r="B43" s="171" t="s">
        <v>441</v>
      </c>
      <c r="C43" s="171"/>
      <c r="D43" s="181">
        <v>8500</v>
      </c>
      <c r="H43" s="78">
        <f t="shared" si="0"/>
        <v>-60375.490000000005</v>
      </c>
    </row>
    <row r="44" spans="1:8">
      <c r="B44" s="171" t="s">
        <v>399</v>
      </c>
      <c r="C44" s="171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2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2"/>
    </row>
    <row r="52" spans="1:5">
      <c r="A52" s="173">
        <v>44929</v>
      </c>
      <c r="B52" s="174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2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3"/>
    </row>
    <row r="123" spans="1:5" ht="15">
      <c r="D123" s="183"/>
    </row>
    <row r="125" spans="1:5">
      <c r="A125" s="113" t="s">
        <v>502</v>
      </c>
      <c r="B125" s="104" t="s">
        <v>137</v>
      </c>
      <c r="C125" s="103">
        <v>2024</v>
      </c>
      <c r="D125" s="159"/>
      <c r="E125" s="160">
        <f>SUM(E126:E146)</f>
        <v>981303.72722800006</v>
      </c>
    </row>
    <row r="126" spans="1:5">
      <c r="A126" s="161">
        <v>45505</v>
      </c>
      <c r="B126" s="8" t="s">
        <v>77</v>
      </c>
      <c r="C126" s="2"/>
      <c r="D126" s="2"/>
      <c r="E126" s="2">
        <v>64000</v>
      </c>
    </row>
    <row r="127" spans="1:5">
      <c r="A127" s="161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1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1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1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1">
        <f t="shared" si="2"/>
        <v>45505</v>
      </c>
      <c r="B131" s="8" t="s">
        <v>307</v>
      </c>
      <c r="C131" s="125"/>
      <c r="D131" s="2"/>
      <c r="E131" s="17">
        <v>0</v>
      </c>
    </row>
    <row r="132" spans="1:5">
      <c r="A132" s="161">
        <f t="shared" si="2"/>
        <v>45505</v>
      </c>
      <c r="B132" s="8" t="s">
        <v>241</v>
      </c>
      <c r="C132" s="2">
        <v>74</v>
      </c>
      <c r="D132" s="175">
        <v>677.53942199999995</v>
      </c>
      <c r="E132" s="17">
        <f t="shared" ref="E132:E144" si="3">D132*C132</f>
        <v>50137.917227999998</v>
      </c>
    </row>
    <row r="133" spans="1:5">
      <c r="A133" s="161">
        <f t="shared" si="2"/>
        <v>45505</v>
      </c>
      <c r="B133" s="8" t="s">
        <v>504</v>
      </c>
      <c r="C133" s="176">
        <v>125000</v>
      </c>
      <c r="D133" s="175">
        <v>0.83506999999999998</v>
      </c>
      <c r="E133" s="17">
        <f t="shared" si="3"/>
        <v>104383.75</v>
      </c>
    </row>
    <row r="134" spans="1:5">
      <c r="A134" s="161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1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1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1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1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1">
        <f t="shared" si="2"/>
        <v>45505</v>
      </c>
      <c r="C139" s="2"/>
      <c r="D139" s="2"/>
      <c r="E139" s="17">
        <f t="shared" si="3"/>
        <v>0</v>
      </c>
    </row>
    <row r="140" spans="1:5">
      <c r="A140" s="161">
        <f t="shared" si="2"/>
        <v>45505</v>
      </c>
      <c r="C140" s="2"/>
      <c r="D140" s="2"/>
      <c r="E140" s="17">
        <f t="shared" si="3"/>
        <v>0</v>
      </c>
    </row>
    <row r="141" spans="1:5">
      <c r="A141" s="161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1">
        <f t="shared" si="2"/>
        <v>45505</v>
      </c>
      <c r="B142" s="8" t="s">
        <v>509</v>
      </c>
      <c r="C142" s="163">
        <v>31.963699999999999</v>
      </c>
      <c r="D142" s="2">
        <v>850</v>
      </c>
      <c r="E142" s="17">
        <f t="shared" si="3"/>
        <v>27169.145</v>
      </c>
    </row>
    <row r="143" spans="1:5">
      <c r="A143" s="161">
        <f t="shared" si="2"/>
        <v>45505</v>
      </c>
      <c r="B143" s="8" t="s">
        <v>510</v>
      </c>
      <c r="C143" s="163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1">
        <f t="shared" si="2"/>
        <v>45505</v>
      </c>
      <c r="B144" s="8" t="s">
        <v>511</v>
      </c>
      <c r="C144" s="163">
        <v>34.412100000000002</v>
      </c>
      <c r="D144" s="2">
        <v>0</v>
      </c>
      <c r="E144" s="17">
        <f t="shared" si="3"/>
        <v>0</v>
      </c>
    </row>
    <row r="145" spans="1:5">
      <c r="A145" s="161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1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7"/>
    </row>
    <row r="148" spans="1:5">
      <c r="C148" s="125"/>
      <c r="D148" s="3"/>
      <c r="E148" s="125"/>
    </row>
    <row r="149" spans="1:5">
      <c r="C149" s="125"/>
      <c r="D149" s="18" t="s">
        <v>156</v>
      </c>
      <c r="E149" s="9">
        <f>SUM(E126:E146)</f>
        <v>981303.72722800006</v>
      </c>
    </row>
    <row r="150" spans="1:5">
      <c r="C150" s="126" t="str">
        <f>A125</f>
        <v>AĞUSTOSa</v>
      </c>
      <c r="D150" s="127" t="s">
        <v>157</v>
      </c>
      <c r="E150" s="128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8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6">
        <v>45478</v>
      </c>
      <c r="B10" s="178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8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1" t="s">
        <v>441</v>
      </c>
      <c r="C32" s="171"/>
      <c r="D32" s="184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1" t="s">
        <v>458</v>
      </c>
      <c r="C33" s="171"/>
      <c r="D33" s="168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80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2"/>
    </row>
    <row r="44" spans="1:8">
      <c r="A44" s="173">
        <v>44929</v>
      </c>
      <c r="B44" s="174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2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6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9"/>
      <c r="E133" s="160">
        <f>SUM(E134:E154)</f>
        <v>981303.72722800006</v>
      </c>
    </row>
    <row r="134" spans="1:5">
      <c r="A134" s="161">
        <v>45474</v>
      </c>
      <c r="B134" s="8" t="s">
        <v>77</v>
      </c>
      <c r="C134" s="2"/>
      <c r="D134" s="2"/>
      <c r="E134" s="2">
        <v>64000</v>
      </c>
    </row>
    <row r="135" spans="1:5">
      <c r="A135" s="161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1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1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1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1">
        <f t="shared" si="1"/>
        <v>45474</v>
      </c>
      <c r="B139" s="8" t="s">
        <v>307</v>
      </c>
      <c r="C139" s="125"/>
      <c r="D139" s="2"/>
      <c r="E139" s="17">
        <v>0</v>
      </c>
    </row>
    <row r="140" spans="1:5">
      <c r="A140" s="161">
        <f t="shared" si="1"/>
        <v>45474</v>
      </c>
      <c r="B140" s="8" t="s">
        <v>241</v>
      </c>
      <c r="C140" s="2">
        <v>74</v>
      </c>
      <c r="D140" s="175">
        <v>677.53942199999995</v>
      </c>
      <c r="E140" s="17">
        <f t="shared" ref="E140:E152" si="2">D140*C140</f>
        <v>50137.917227999998</v>
      </c>
    </row>
    <row r="141" spans="1:5">
      <c r="A141" s="161">
        <f t="shared" si="1"/>
        <v>45474</v>
      </c>
      <c r="B141" s="8" t="s">
        <v>504</v>
      </c>
      <c r="C141" s="176">
        <v>125000</v>
      </c>
      <c r="D141" s="175">
        <v>0.83506999999999998</v>
      </c>
      <c r="E141" s="17">
        <f t="shared" si="2"/>
        <v>104383.75</v>
      </c>
    </row>
    <row r="142" spans="1:5">
      <c r="A142" s="161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1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1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1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1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1">
        <f t="shared" si="1"/>
        <v>45474</v>
      </c>
      <c r="C147" s="2"/>
      <c r="D147" s="2"/>
      <c r="E147" s="17">
        <f t="shared" si="2"/>
        <v>0</v>
      </c>
    </row>
    <row r="148" spans="1:5">
      <c r="A148" s="161">
        <f t="shared" si="1"/>
        <v>45474</v>
      </c>
      <c r="C148" s="2"/>
      <c r="D148" s="2"/>
      <c r="E148" s="17">
        <f t="shared" si="2"/>
        <v>0</v>
      </c>
    </row>
    <row r="149" spans="1:5">
      <c r="A149" s="161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1">
        <f t="shared" si="1"/>
        <v>45474</v>
      </c>
      <c r="B150" s="8" t="s">
        <v>509</v>
      </c>
      <c r="C150" s="163">
        <v>31.963699999999999</v>
      </c>
      <c r="D150" s="2">
        <v>850</v>
      </c>
      <c r="E150" s="17">
        <f t="shared" si="2"/>
        <v>27169.145</v>
      </c>
    </row>
    <row r="151" spans="1:5">
      <c r="A151" s="161">
        <f t="shared" si="1"/>
        <v>45474</v>
      </c>
      <c r="B151" s="8" t="s">
        <v>510</v>
      </c>
      <c r="C151" s="163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1">
        <f t="shared" si="1"/>
        <v>45474</v>
      </c>
      <c r="B152" s="8" t="s">
        <v>511</v>
      </c>
      <c r="C152" s="163">
        <v>34.412100000000002</v>
      </c>
      <c r="D152" s="2">
        <v>0</v>
      </c>
      <c r="E152" s="17">
        <f t="shared" si="2"/>
        <v>0</v>
      </c>
    </row>
    <row r="153" spans="1:5">
      <c r="A153" s="161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1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7"/>
    </row>
    <row r="156" spans="1:5">
      <c r="C156" s="125"/>
      <c r="D156" s="3"/>
      <c r="E156" s="125"/>
    </row>
    <row r="157" spans="1:5">
      <c r="C157" s="125"/>
      <c r="D157" s="18" t="s">
        <v>156</v>
      </c>
      <c r="E157" s="9">
        <f>SUM(E134:E154)</f>
        <v>981303.72722800006</v>
      </c>
    </row>
    <row r="158" spans="1:5">
      <c r="C158" s="126" t="str">
        <f>A133</f>
        <v>TEMMUZa</v>
      </c>
      <c r="D158" s="127" t="s">
        <v>157</v>
      </c>
      <c r="E158" s="128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6">
        <v>45446</v>
      </c>
      <c r="B7" s="178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6">
        <v>45446</v>
      </c>
      <c r="B8" s="178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6">
        <v>45447</v>
      </c>
      <c r="B9" s="178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8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8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8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8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1" t="s">
        <v>514</v>
      </c>
      <c r="C32" s="171"/>
      <c r="D32" s="168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1" t="s">
        <v>441</v>
      </c>
      <c r="C33" s="171"/>
      <c r="D33" s="184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80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2"/>
    </row>
    <row r="41" spans="1:8">
      <c r="A41" s="173">
        <v>44929</v>
      </c>
      <c r="B41" s="174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3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6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5" t="s">
        <v>423</v>
      </c>
      <c r="D114" s="186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9"/>
      <c r="E118" s="160">
        <f>SUM(E119:E135)</f>
        <v>794302.15999999992</v>
      </c>
    </row>
    <row r="119" spans="1:6">
      <c r="A119" s="161">
        <v>45413</v>
      </c>
      <c r="B119" s="8" t="s">
        <v>77</v>
      </c>
      <c r="C119" s="2"/>
      <c r="D119" s="2"/>
      <c r="E119" s="2">
        <v>64000</v>
      </c>
    </row>
    <row r="120" spans="1:6">
      <c r="A120" s="161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1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1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1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1">
        <f t="shared" si="1"/>
        <v>45413</v>
      </c>
      <c r="B124" s="8" t="s">
        <v>307</v>
      </c>
      <c r="C124" s="125"/>
      <c r="D124" s="2"/>
      <c r="E124" s="17">
        <v>0</v>
      </c>
    </row>
    <row r="125" spans="1:6">
      <c r="A125" s="161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1">
        <f t="shared" si="1"/>
        <v>45413</v>
      </c>
      <c r="B126" s="8" t="s">
        <v>504</v>
      </c>
      <c r="C126" s="176">
        <v>125000</v>
      </c>
      <c r="D126" s="2">
        <v>0.88097599999999998</v>
      </c>
      <c r="E126" s="17">
        <f>D126*C126</f>
        <v>110122</v>
      </c>
    </row>
    <row r="127" spans="1:6">
      <c r="A127" s="161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1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1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1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1">
        <f>A130</f>
        <v>45413</v>
      </c>
      <c r="B131" s="8" t="s">
        <v>601</v>
      </c>
      <c r="C131" s="163">
        <v>31.879300000000001</v>
      </c>
      <c r="D131" s="2">
        <v>850</v>
      </c>
      <c r="E131" s="17">
        <f>D131*C131</f>
        <v>27097.404999999999</v>
      </c>
    </row>
    <row r="132" spans="1:5">
      <c r="A132" s="161">
        <f>A131</f>
        <v>45413</v>
      </c>
      <c r="B132" s="8" t="s">
        <v>510</v>
      </c>
      <c r="C132" s="163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1">
        <f>A132</f>
        <v>45413</v>
      </c>
      <c r="B133" s="8" t="s">
        <v>602</v>
      </c>
      <c r="C133" s="163">
        <v>34.394500000000001</v>
      </c>
      <c r="D133" s="2">
        <v>0</v>
      </c>
      <c r="E133" s="17">
        <f>D133*C133</f>
        <v>0</v>
      </c>
    </row>
    <row r="134" spans="1:5">
      <c r="A134" s="161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1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7"/>
    </row>
    <row r="137" spans="1:5">
      <c r="C137" s="125"/>
      <c r="D137" s="3"/>
      <c r="E137" s="125"/>
    </row>
    <row r="138" spans="1:5">
      <c r="C138" s="125"/>
      <c r="D138" s="18" t="s">
        <v>156</v>
      </c>
      <c r="E138" s="9">
        <f>SUM(E119:E135)</f>
        <v>794302.15999999992</v>
      </c>
    </row>
    <row r="139" spans="1:5">
      <c r="C139" s="126" t="str">
        <f>A118</f>
        <v>HAZİRANa</v>
      </c>
      <c r="D139" s="127" t="s">
        <v>157</v>
      </c>
      <c r="E139" s="128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8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6">
        <v>45418</v>
      </c>
      <c r="B11" s="178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8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2"/>
    </row>
    <row r="30" spans="1:8">
      <c r="A30" s="173">
        <v>44929</v>
      </c>
      <c r="B30" s="174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6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9"/>
      <c r="E101" s="160">
        <f>SUM(E102:E118)</f>
        <v>1018967.8866</v>
      </c>
    </row>
    <row r="102" spans="1:5">
      <c r="A102" s="161">
        <v>45413</v>
      </c>
      <c r="B102" s="8" t="s">
        <v>77</v>
      </c>
      <c r="C102" s="2"/>
      <c r="D102" s="2"/>
      <c r="E102" s="2">
        <v>64000</v>
      </c>
    </row>
    <row r="103" spans="1:5">
      <c r="A103" s="161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1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1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1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1">
        <f t="shared" si="1"/>
        <v>45413</v>
      </c>
      <c r="B107" s="8" t="s">
        <v>307</v>
      </c>
      <c r="C107" s="125"/>
      <c r="D107" s="2"/>
      <c r="E107" s="17">
        <v>0</v>
      </c>
    </row>
    <row r="108" spans="1:5">
      <c r="A108" s="161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1">
        <f t="shared" si="1"/>
        <v>45413</v>
      </c>
      <c r="B109" s="8" t="s">
        <v>504</v>
      </c>
      <c r="C109" s="176">
        <v>125000</v>
      </c>
      <c r="D109" s="2">
        <v>0.88097599999999998</v>
      </c>
      <c r="E109" s="17">
        <f>D109*C109</f>
        <v>110122</v>
      </c>
    </row>
    <row r="110" spans="1:5">
      <c r="A110" s="161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1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1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1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1">
        <f>A113</f>
        <v>45413</v>
      </c>
      <c r="B114" s="8" t="s">
        <v>601</v>
      </c>
      <c r="C114" s="163">
        <v>31.879300000000001</v>
      </c>
      <c r="D114" s="2">
        <v>850</v>
      </c>
      <c r="E114" s="17">
        <f>D114*C114</f>
        <v>27097.404999999999</v>
      </c>
    </row>
    <row r="115" spans="1:5">
      <c r="A115" s="161">
        <f>A114</f>
        <v>45413</v>
      </c>
      <c r="B115" s="8" t="s">
        <v>510</v>
      </c>
      <c r="C115" s="163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1">
        <f>A115</f>
        <v>45413</v>
      </c>
      <c r="B116" s="8" t="s">
        <v>602</v>
      </c>
      <c r="C116" s="163">
        <v>34.394500000000001</v>
      </c>
      <c r="D116" s="2">
        <v>58.8</v>
      </c>
      <c r="E116" s="17">
        <f>D116*C116</f>
        <v>2022.3966</v>
      </c>
    </row>
    <row r="117" spans="1:5">
      <c r="A117" s="161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1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7"/>
    </row>
    <row r="120" spans="1:5">
      <c r="C120" s="125"/>
      <c r="D120" s="3"/>
      <c r="E120" s="125"/>
    </row>
    <row r="121" spans="1:5">
      <c r="C121" s="125"/>
      <c r="D121" s="18" t="s">
        <v>156</v>
      </c>
      <c r="E121" s="9">
        <f>SUM(E102:E118)</f>
        <v>1018967.8866</v>
      </c>
    </row>
    <row r="122" spans="1:5">
      <c r="C122" s="126" t="str">
        <f>A101</f>
        <v>MAYISa</v>
      </c>
      <c r="D122" s="127" t="s">
        <v>157</v>
      </c>
      <c r="E122" s="128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7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6">
        <v>45385</v>
      </c>
      <c r="B12" s="178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8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7">
        <v>15000</v>
      </c>
      <c r="F14" s="78">
        <v>15000</v>
      </c>
      <c r="H14" s="78">
        <f t="shared" si="0"/>
        <v>-12414.329999999998</v>
      </c>
    </row>
    <row r="15" spans="1:8">
      <c r="A15" s="166">
        <v>45387</v>
      </c>
      <c r="B15" s="178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8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8">
        <v>45322</v>
      </c>
      <c r="B45" s="25" t="s">
        <v>648</v>
      </c>
      <c r="C45" s="189"/>
      <c r="D45" s="189"/>
      <c r="H45" s="78">
        <f t="shared" si="0"/>
        <v>245535.4</v>
      </c>
    </row>
    <row r="46" spans="1:8">
      <c r="A46" s="88"/>
      <c r="C46" s="125"/>
      <c r="D46" s="125"/>
    </row>
    <row r="47" spans="1:8">
      <c r="A47" s="88"/>
      <c r="C47" s="125"/>
      <c r="D47" s="125"/>
    </row>
    <row r="48" spans="1:8">
      <c r="A48" s="88"/>
      <c r="C48" s="125"/>
      <c r="D48" s="125"/>
    </row>
    <row r="49" spans="1:5">
      <c r="A49" s="88"/>
      <c r="C49" s="125"/>
      <c r="D49" s="125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2"/>
    </row>
    <row r="54" spans="1:5">
      <c r="A54" s="173">
        <v>44929</v>
      </c>
      <c r="B54" s="174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3"/>
    </row>
    <row r="93" spans="1:5" ht="15">
      <c r="A93" s="100"/>
      <c r="B93" s="107"/>
      <c r="D93" s="183"/>
    </row>
    <row r="94" spans="1:5" ht="15">
      <c r="A94" s="100"/>
      <c r="B94" s="107"/>
      <c r="D94" s="183"/>
    </row>
    <row r="95" spans="1:5" ht="15">
      <c r="A95" s="100"/>
      <c r="B95" s="107"/>
      <c r="D95" s="183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6">
        <v>45214</v>
      </c>
      <c r="B99" s="8" t="s">
        <v>661</v>
      </c>
      <c r="D99" s="77" t="s">
        <v>662</v>
      </c>
      <c r="E99" s="77">
        <v>-600</v>
      </c>
    </row>
    <row r="100" spans="1:6">
      <c r="A100" s="166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9"/>
      <c r="E111" s="160">
        <f>SUM(E112:E126)</f>
        <v>774287.73659999995</v>
      </c>
    </row>
    <row r="112" spans="1:6">
      <c r="A112" s="161">
        <v>45383</v>
      </c>
      <c r="B112" s="8" t="s">
        <v>77</v>
      </c>
      <c r="C112" s="2"/>
      <c r="D112" s="2"/>
      <c r="E112" s="2">
        <v>64000</v>
      </c>
    </row>
    <row r="113" spans="1:5">
      <c r="A113" s="161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1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1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1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1">
        <f t="shared" si="1"/>
        <v>45383</v>
      </c>
      <c r="B117" s="8" t="s">
        <v>307</v>
      </c>
      <c r="C117" s="125"/>
      <c r="D117" s="2"/>
      <c r="E117" s="17">
        <v>0</v>
      </c>
    </row>
    <row r="118" spans="1:5">
      <c r="A118" s="161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1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1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1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1">
        <f t="shared" si="1"/>
        <v>45383</v>
      </c>
      <c r="B122" s="8" t="s">
        <v>601</v>
      </c>
      <c r="C122" s="163">
        <v>31.879300000000001</v>
      </c>
      <c r="D122" s="2">
        <v>850</v>
      </c>
      <c r="E122" s="17">
        <f>D122*C122</f>
        <v>27097.404999999999</v>
      </c>
    </row>
    <row r="123" spans="1:5">
      <c r="A123" s="161">
        <f t="shared" si="1"/>
        <v>45383</v>
      </c>
      <c r="B123" s="8" t="s">
        <v>510</v>
      </c>
      <c r="C123" s="163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1">
        <f t="shared" si="1"/>
        <v>45383</v>
      </c>
      <c r="B124" s="8" t="s">
        <v>602</v>
      </c>
      <c r="C124" s="163">
        <v>34.394500000000001</v>
      </c>
      <c r="D124" s="2">
        <v>58.8</v>
      </c>
      <c r="E124" s="17">
        <f>D124*C124</f>
        <v>2022.3966</v>
      </c>
    </row>
    <row r="125" spans="1:5">
      <c r="A125" s="161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1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7"/>
    </row>
    <row r="128" spans="1:5">
      <c r="C128" s="125"/>
      <c r="D128" s="3"/>
      <c r="E128" s="125"/>
    </row>
    <row r="129" spans="3:5">
      <c r="C129" s="125"/>
      <c r="D129" s="18" t="s">
        <v>156</v>
      </c>
      <c r="E129" s="9">
        <f>SUM(E112:E126)</f>
        <v>774287.73659999995</v>
      </c>
    </row>
    <row r="130" spans="3:5">
      <c r="C130" s="126" t="str">
        <f>A111</f>
        <v>NİSANa</v>
      </c>
      <c r="D130" s="127" t="s">
        <v>157</v>
      </c>
      <c r="E130" s="128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6">
        <v>45356</v>
      </c>
      <c r="B8" s="178" t="s">
        <v>69</v>
      </c>
      <c r="C8">
        <v>72000</v>
      </c>
      <c r="D8" s="187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8" t="s">
        <v>68</v>
      </c>
      <c r="D9" s="187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8" t="s">
        <v>672</v>
      </c>
      <c r="C10" s="8" t="s">
        <v>673</v>
      </c>
      <c r="D10" s="187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8" t="s">
        <v>672</v>
      </c>
      <c r="C11" s="8" t="s">
        <v>673</v>
      </c>
      <c r="D11" s="187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7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7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7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7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7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7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7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7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7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7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7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7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7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7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7"/>
      <c r="E26" s="78">
        <v>-500</v>
      </c>
      <c r="G26" s="78">
        <v>-460</v>
      </c>
      <c r="H26" s="78">
        <f t="shared" si="0"/>
        <v>-96476.67</v>
      </c>
    </row>
    <row r="27" spans="1:8">
      <c r="F27" s="164"/>
      <c r="G27" s="78"/>
      <c r="H27" s="78">
        <f t="shared" si="0"/>
        <v>-96476.67</v>
      </c>
    </row>
    <row r="28" spans="1:8">
      <c r="A28" s="191"/>
      <c r="G28" s="78"/>
      <c r="H28" s="78">
        <f t="shared" si="0"/>
        <v>-96476.67</v>
      </c>
    </row>
    <row r="29" spans="1:8">
      <c r="A29" s="158"/>
      <c r="E29" s="192"/>
      <c r="F29" s="63"/>
      <c r="G29" s="78"/>
      <c r="H29" s="78">
        <f t="shared" si="0"/>
        <v>-96476.67</v>
      </c>
    </row>
    <row r="30" spans="1:8">
      <c r="A30" s="193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4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5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6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6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6">
        <v>45259</v>
      </c>
      <c r="B70" s="8" t="s">
        <v>692</v>
      </c>
      <c r="C70" s="177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6">
        <v>45259</v>
      </c>
      <c r="B71" s="8" t="s">
        <v>694</v>
      </c>
      <c r="C71" s="177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6">
        <v>45259</v>
      </c>
      <c r="B72" s="8" t="s">
        <v>695</v>
      </c>
      <c r="C72" s="177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6">
        <v>45259</v>
      </c>
      <c r="B73" s="8" t="s">
        <v>696</v>
      </c>
      <c r="C73" s="177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6"/>
      <c r="B74" s="106" t="s">
        <v>162</v>
      </c>
      <c r="C74" s="106">
        <v>899</v>
      </c>
      <c r="D74" s="196" t="s">
        <v>697</v>
      </c>
      <c r="E74" s="77">
        <v>-449.5</v>
      </c>
      <c r="F74" s="63"/>
      <c r="G74" s="63"/>
      <c r="H74" s="63"/>
    </row>
    <row r="75" spans="1:8">
      <c r="A75" s="166"/>
      <c r="B75" s="106" t="s">
        <v>698</v>
      </c>
      <c r="C75" s="106"/>
      <c r="D75" s="196" t="s">
        <v>697</v>
      </c>
      <c r="E75" s="77">
        <v>-299.64</v>
      </c>
      <c r="F75" s="63"/>
      <c r="G75" s="63"/>
      <c r="H75" s="63"/>
    </row>
    <row r="76" spans="1:8">
      <c r="A76" s="166"/>
      <c r="B76" s="106" t="s">
        <v>699</v>
      </c>
      <c r="C76" s="106"/>
      <c r="D76" s="196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6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6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9"/>
      <c r="E108" s="160">
        <f>SUM(E109:E127)</f>
        <v>745852.05035699997</v>
      </c>
    </row>
    <row r="109" spans="1:8">
      <c r="A109" s="161">
        <v>45352</v>
      </c>
      <c r="B109" s="8" t="s">
        <v>77</v>
      </c>
      <c r="C109" s="2"/>
      <c r="D109" s="2"/>
      <c r="E109" s="2">
        <v>64000</v>
      </c>
    </row>
    <row r="110" spans="1:8">
      <c r="A110" s="161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1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1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1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1">
        <f t="shared" si="1"/>
        <v>45352</v>
      </c>
      <c r="B114" s="8" t="s">
        <v>307</v>
      </c>
      <c r="C114" s="125"/>
      <c r="D114" s="2"/>
      <c r="E114" s="17">
        <v>0</v>
      </c>
    </row>
    <row r="115" spans="1:5">
      <c r="A115" s="161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1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1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1">
        <f t="shared" si="1"/>
        <v>45352</v>
      </c>
      <c r="B118" s="8" t="s">
        <v>709</v>
      </c>
      <c r="C118" s="161" t="s">
        <v>710</v>
      </c>
      <c r="D118" s="162"/>
      <c r="E118" s="17">
        <v>0</v>
      </c>
    </row>
    <row r="119" spans="1:5">
      <c r="A119" s="161">
        <f t="shared" si="1"/>
        <v>45352</v>
      </c>
      <c r="B119" s="8" t="s">
        <v>711</v>
      </c>
      <c r="C119" s="161" t="s">
        <v>712</v>
      </c>
      <c r="D119" s="162"/>
      <c r="E119" s="17">
        <v>588.6</v>
      </c>
    </row>
    <row r="120" spans="1:5">
      <c r="A120" s="161">
        <f t="shared" si="1"/>
        <v>45352</v>
      </c>
      <c r="B120" s="8" t="s">
        <v>713</v>
      </c>
      <c r="C120" s="161"/>
      <c r="D120" s="162"/>
      <c r="E120" s="17"/>
    </row>
    <row r="121" spans="1:5">
      <c r="A121" s="161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1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1">
        <f t="shared" si="1"/>
        <v>45352</v>
      </c>
      <c r="B123" s="8" t="s">
        <v>715</v>
      </c>
      <c r="C123" s="163">
        <v>30.726199999999999</v>
      </c>
      <c r="D123" s="2">
        <v>850</v>
      </c>
      <c r="E123" s="17">
        <f>D123*C123</f>
        <v>26117.27</v>
      </c>
    </row>
    <row r="124" spans="1:5">
      <c r="A124" s="161">
        <f t="shared" si="1"/>
        <v>45352</v>
      </c>
      <c r="B124" s="8" t="s">
        <v>510</v>
      </c>
      <c r="C124" s="163">
        <v>30.725999999999999</v>
      </c>
      <c r="D124" s="2">
        <v>250</v>
      </c>
      <c r="E124" s="17">
        <f>D124*C124</f>
        <v>7681.5</v>
      </c>
    </row>
    <row r="125" spans="1:5">
      <c r="A125" s="161">
        <f t="shared" si="1"/>
        <v>45352</v>
      </c>
      <c r="B125" s="8" t="s">
        <v>716</v>
      </c>
      <c r="C125" s="163">
        <v>33.224299999999999</v>
      </c>
      <c r="D125" s="2">
        <v>81.99</v>
      </c>
      <c r="E125" s="17">
        <f>D125*C125</f>
        <v>2724.0603569999998</v>
      </c>
    </row>
    <row r="126" spans="1:5">
      <c r="A126" s="161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1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7"/>
    </row>
    <row r="129" spans="3:5">
      <c r="C129" s="125"/>
      <c r="D129" s="3"/>
      <c r="E129" s="125"/>
    </row>
    <row r="130" spans="3:5">
      <c r="C130" s="125"/>
      <c r="D130" s="18" t="s">
        <v>156</v>
      </c>
      <c r="E130" s="9">
        <f>SUM(E109:E127)</f>
        <v>745852.05035699997</v>
      </c>
    </row>
    <row r="131" spans="3:5">
      <c r="C131" s="126" t="str">
        <f>A108</f>
        <v>MART</v>
      </c>
      <c r="D131" s="127" t="s">
        <v>157</v>
      </c>
      <c r="E131" s="12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7" customWidth="1"/>
    <col min="1024" max="1024" width="9.140625" customWidth="1"/>
  </cols>
  <sheetData>
    <row r="1" spans="1:8">
      <c r="E1" s="197"/>
      <c r="F1" s="190" t="s">
        <v>28</v>
      </c>
      <c r="G1" s="190" t="s">
        <v>29</v>
      </c>
      <c r="H1" s="190" t="s">
        <v>3</v>
      </c>
    </row>
    <row r="2" spans="1:8">
      <c r="A2" s="3" t="s">
        <v>717</v>
      </c>
      <c r="C2" s="79" t="s">
        <v>67</v>
      </c>
      <c r="D2" s="125">
        <f>SUM(D4:D31)</f>
        <v>19300</v>
      </c>
      <c r="E2" s="125">
        <f>SUM(E4:E31)</f>
        <v>-65325.849999999991</v>
      </c>
      <c r="F2" s="125">
        <f>SUM(F4:F31)</f>
        <v>20543.64</v>
      </c>
      <c r="G2" s="125">
        <f>SUM(G4:G31)</f>
        <v>-69834.739999999991</v>
      </c>
      <c r="H2" s="125">
        <f>F2+G2</f>
        <v>-49291.099999999991</v>
      </c>
    </row>
    <row r="3" spans="1:8">
      <c r="B3" s="18"/>
      <c r="E3" s="125"/>
      <c r="F3" s="125"/>
      <c r="G3" s="125"/>
      <c r="H3" s="125"/>
    </row>
    <row r="4" spans="1:8">
      <c r="A4" s="88">
        <v>45323</v>
      </c>
      <c r="B4" s="41" t="s">
        <v>430</v>
      </c>
      <c r="E4" s="177">
        <v>-152</v>
      </c>
      <c r="F4" s="177"/>
      <c r="G4" s="177">
        <v>-167</v>
      </c>
      <c r="H4" s="125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7">
        <v>-1500</v>
      </c>
      <c r="F5" s="177"/>
      <c r="G5" s="177">
        <v>-1512.13</v>
      </c>
      <c r="H5" s="125">
        <f t="shared" si="0"/>
        <v>-1679.13</v>
      </c>
    </row>
    <row r="6" spans="1:8">
      <c r="A6" s="88">
        <v>45323</v>
      </c>
      <c r="B6" s="8" t="s">
        <v>399</v>
      </c>
      <c r="D6" s="102"/>
      <c r="E6" s="177">
        <v>-10000</v>
      </c>
      <c r="F6" s="177"/>
      <c r="G6" s="177">
        <v>-10000</v>
      </c>
      <c r="H6" s="125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7">
        <v>-250</v>
      </c>
      <c r="F7" s="177"/>
      <c r="G7" s="177">
        <v>-250</v>
      </c>
      <c r="H7" s="125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7"/>
      <c r="G8" s="177">
        <v>-2750</v>
      </c>
      <c r="H8" s="125">
        <f t="shared" si="0"/>
        <v>-14679.130000000001</v>
      </c>
    </row>
    <row r="9" spans="1:8">
      <c r="A9" s="88">
        <v>45327</v>
      </c>
      <c r="B9" s="179" t="s">
        <v>68</v>
      </c>
      <c r="E9" s="177">
        <f>E47</f>
        <v>-3900.5699999999997</v>
      </c>
      <c r="F9" s="177"/>
      <c r="G9" s="177">
        <f>E9</f>
        <v>-3900.5699999999997</v>
      </c>
      <c r="H9" s="125">
        <f t="shared" si="0"/>
        <v>-18579.7</v>
      </c>
    </row>
    <row r="10" spans="1:8">
      <c r="A10" s="166">
        <v>45327</v>
      </c>
      <c r="B10" s="179" t="s">
        <v>69</v>
      </c>
      <c r="E10" s="177">
        <f>E64</f>
        <v>-24792.94</v>
      </c>
      <c r="F10" s="177"/>
      <c r="G10" s="177">
        <f>E10</f>
        <v>-24792.94</v>
      </c>
      <c r="H10" s="125">
        <f t="shared" si="0"/>
        <v>-43372.639999999999</v>
      </c>
    </row>
    <row r="11" spans="1:8">
      <c r="A11" s="100">
        <v>45328</v>
      </c>
      <c r="B11" s="8" t="s">
        <v>720</v>
      </c>
      <c r="C11" s="125"/>
      <c r="D11" s="125"/>
      <c r="F11" s="177">
        <v>6500</v>
      </c>
      <c r="G11" s="177"/>
      <c r="H11" s="125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7">
        <v>-5375</v>
      </c>
      <c r="F12" s="177"/>
      <c r="G12" s="177">
        <f>E12</f>
        <v>-5375</v>
      </c>
      <c r="H12" s="125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7">
        <v>-2125</v>
      </c>
      <c r="F13" s="177"/>
      <c r="G13" s="177">
        <f>E13</f>
        <v>-2125</v>
      </c>
      <c r="H13" s="125">
        <f t="shared" si="0"/>
        <v>-44372.639999999999</v>
      </c>
    </row>
    <row r="14" spans="1:8">
      <c r="A14" s="88">
        <v>45329</v>
      </c>
      <c r="B14" s="8" t="s">
        <v>722</v>
      </c>
      <c r="E14" s="125"/>
      <c r="F14" s="177">
        <v>816.04</v>
      </c>
      <c r="G14" s="177"/>
      <c r="H14" s="125">
        <f t="shared" si="0"/>
        <v>-43556.6</v>
      </c>
    </row>
    <row r="15" spans="1:8">
      <c r="A15" s="198">
        <v>45329</v>
      </c>
      <c r="B15" s="199" t="s">
        <v>723</v>
      </c>
      <c r="C15" s="101"/>
      <c r="E15" s="177">
        <v>-713.25</v>
      </c>
      <c r="F15" s="177"/>
      <c r="G15" s="177">
        <f>E15</f>
        <v>-713.25</v>
      </c>
      <c r="H15" s="125">
        <f t="shared" si="0"/>
        <v>-44269.85</v>
      </c>
    </row>
    <row r="16" spans="1:8">
      <c r="A16" s="166"/>
      <c r="B16" s="8" t="s">
        <v>724</v>
      </c>
      <c r="E16" s="125"/>
      <c r="F16" s="125"/>
      <c r="G16" s="125"/>
      <c r="H16" s="125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7">
        <v>-100</v>
      </c>
      <c r="F17" s="125"/>
      <c r="G17" s="177">
        <v>0</v>
      </c>
      <c r="H17" s="125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7">
        <v>-150</v>
      </c>
      <c r="F18" s="177"/>
      <c r="G18" s="177">
        <v>-242.76</v>
      </c>
      <c r="H18" s="125">
        <f t="shared" si="0"/>
        <v>-44512.61</v>
      </c>
    </row>
    <row r="19" spans="1:8">
      <c r="A19" s="88">
        <v>45334</v>
      </c>
      <c r="B19" s="179" t="s">
        <v>72</v>
      </c>
      <c r="D19" s="63"/>
      <c r="E19" s="177">
        <f>E42*-1</f>
        <v>-67.09</v>
      </c>
      <c r="G19" s="177">
        <f>E19</f>
        <v>-67.09</v>
      </c>
      <c r="H19" s="125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7">
        <v>-300</v>
      </c>
      <c r="F20" s="177"/>
      <c r="G20" s="177">
        <v>-1734</v>
      </c>
      <c r="H20" s="125">
        <f t="shared" si="0"/>
        <v>-46313.7</v>
      </c>
    </row>
    <row r="21" spans="1:8">
      <c r="A21" s="198">
        <v>45341</v>
      </c>
      <c r="B21" s="8" t="s">
        <v>677</v>
      </c>
      <c r="D21" s="187">
        <v>2800</v>
      </c>
      <c r="F21" s="177">
        <v>2800</v>
      </c>
      <c r="G21" s="125"/>
      <c r="H21" s="125">
        <f t="shared" si="0"/>
        <v>-43513.7</v>
      </c>
    </row>
    <row r="22" spans="1:8">
      <c r="A22" s="88">
        <v>45349</v>
      </c>
      <c r="B22" s="8" t="s">
        <v>77</v>
      </c>
      <c r="E22" s="177">
        <v>-5000</v>
      </c>
      <c r="F22" s="177"/>
      <c r="G22" s="177">
        <v>-5200</v>
      </c>
      <c r="H22" s="125">
        <f t="shared" si="0"/>
        <v>-48713.7</v>
      </c>
    </row>
    <row r="23" spans="1:8">
      <c r="A23" s="88">
        <v>45349</v>
      </c>
      <c r="B23" s="8" t="s">
        <v>78</v>
      </c>
      <c r="E23" s="177">
        <v>-5000</v>
      </c>
      <c r="F23" s="177"/>
      <c r="G23" s="177">
        <v>-5200</v>
      </c>
      <c r="H23" s="125">
        <f t="shared" si="0"/>
        <v>-53913.7</v>
      </c>
    </row>
    <row r="24" spans="1:8">
      <c r="A24" s="88">
        <v>45349</v>
      </c>
      <c r="B24" s="8" t="s">
        <v>79</v>
      </c>
      <c r="E24" s="177">
        <v>-5000</v>
      </c>
      <c r="F24" s="177"/>
      <c r="G24" s="177">
        <v>-5000</v>
      </c>
      <c r="H24" s="125">
        <f t="shared" si="0"/>
        <v>-58913.7</v>
      </c>
    </row>
    <row r="25" spans="1:8">
      <c r="A25" s="88">
        <v>45349</v>
      </c>
      <c r="B25" s="8" t="s">
        <v>76</v>
      </c>
      <c r="D25" s="187">
        <v>10000</v>
      </c>
      <c r="F25" s="177">
        <v>10427.6</v>
      </c>
      <c r="G25" s="125"/>
      <c r="H25" s="125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5"/>
      <c r="G26" s="125"/>
      <c r="H26" s="125">
        <f t="shared" si="0"/>
        <v>-48486.1</v>
      </c>
    </row>
    <row r="27" spans="1:8">
      <c r="A27" s="100"/>
      <c r="H27" s="125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5">
        <v>-400</v>
      </c>
      <c r="F28" s="125"/>
      <c r="G28" s="125">
        <v>-300</v>
      </c>
      <c r="H28" s="125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5">
        <v>-500</v>
      </c>
      <c r="F29" s="125"/>
      <c r="G29" s="125">
        <v>-505</v>
      </c>
      <c r="H29" s="125">
        <f t="shared" si="0"/>
        <v>-49291.1</v>
      </c>
    </row>
    <row r="30" spans="1:8">
      <c r="A30" s="193"/>
      <c r="B30" s="171" t="s">
        <v>727</v>
      </c>
      <c r="C30" s="200">
        <v>7000</v>
      </c>
      <c r="D30" s="200"/>
      <c r="F30" s="125"/>
      <c r="G30" s="125"/>
      <c r="H30" s="125">
        <f t="shared" si="0"/>
        <v>-49291.1</v>
      </c>
    </row>
    <row r="31" spans="1:8" ht="15.75">
      <c r="B31" s="180"/>
      <c r="F31" s="63"/>
      <c r="G31" s="63"/>
      <c r="H31" s="125"/>
    </row>
    <row r="32" spans="1:8">
      <c r="G32" s="63"/>
      <c r="H32" s="125"/>
    </row>
    <row r="33" spans="1:8">
      <c r="B33" t="s">
        <v>330</v>
      </c>
      <c r="G33" s="63"/>
      <c r="H33" s="125"/>
    </row>
    <row r="34" spans="1:8">
      <c r="A34" s="103" t="s">
        <v>331</v>
      </c>
      <c r="B34" s="103"/>
      <c r="C34" s="103"/>
      <c r="D34" s="103"/>
      <c r="E34" s="201"/>
      <c r="G34" s="63"/>
      <c r="H34" s="63"/>
    </row>
    <row r="35" spans="1:8">
      <c r="A35" s="100"/>
      <c r="C35" s="172"/>
      <c r="H35" s="63"/>
    </row>
    <row r="36" spans="1:8">
      <c r="A36" s="173">
        <v>44929</v>
      </c>
      <c r="B36" s="174" t="s">
        <v>332</v>
      </c>
      <c r="C36" s="103"/>
      <c r="D36" s="202">
        <f>SUM(D37:D42)</f>
        <v>3749.5300000000007</v>
      </c>
      <c r="E36" s="203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7">
        <v>999.4</v>
      </c>
      <c r="H37" s="63"/>
    </row>
    <row r="38" spans="1:8">
      <c r="B38" t="s">
        <v>334</v>
      </c>
      <c r="D38" s="2">
        <v>876.64</v>
      </c>
      <c r="E38" s="177">
        <v>875</v>
      </c>
      <c r="F38" s="63"/>
      <c r="G38" s="63"/>
    </row>
    <row r="39" spans="1:8">
      <c r="B39" t="s">
        <v>335</v>
      </c>
      <c r="D39" s="2">
        <v>431.36</v>
      </c>
      <c r="E39" s="177">
        <v>431</v>
      </c>
      <c r="F39" s="63"/>
      <c r="G39" s="63"/>
    </row>
    <row r="40" spans="1:8">
      <c r="A40" s="88">
        <v>45334</v>
      </c>
      <c r="B40" s="8" t="s">
        <v>728</v>
      </c>
      <c r="C40" s="177">
        <f>E40-D40</f>
        <v>90.67999999999995</v>
      </c>
      <c r="D40" s="2">
        <v>891.32</v>
      </c>
      <c r="E40" s="177">
        <v>982</v>
      </c>
      <c r="F40" s="63"/>
      <c r="G40" s="63"/>
    </row>
    <row r="41" spans="1:8">
      <c r="B41" t="s">
        <v>337</v>
      </c>
      <c r="D41" s="2">
        <v>483.72</v>
      </c>
      <c r="E41" s="177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4">
        <v>67.09</v>
      </c>
      <c r="F42" s="63"/>
      <c r="G42" s="63"/>
    </row>
    <row r="43" spans="1:8">
      <c r="C43" s="106"/>
      <c r="D43" s="106"/>
      <c r="E43" s="125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9"/>
      <c r="E47" s="203">
        <f>SUM(E48:E61)</f>
        <v>-3900.5699999999997</v>
      </c>
    </row>
    <row r="48" spans="1:8">
      <c r="G48" s="63"/>
      <c r="H48" s="63"/>
    </row>
    <row r="49" spans="1:8">
      <c r="A49" s="161"/>
      <c r="B49" s="106"/>
      <c r="C49" s="106"/>
      <c r="D49" s="35"/>
      <c r="E49" s="125"/>
      <c r="F49" s="63"/>
      <c r="G49" s="63"/>
      <c r="H49" s="63"/>
    </row>
    <row r="50" spans="1:8">
      <c r="A50" s="161">
        <v>45043</v>
      </c>
      <c r="B50" s="106" t="s">
        <v>729</v>
      </c>
      <c r="C50" s="106">
        <v>10764.57</v>
      </c>
      <c r="D50" s="35" t="s">
        <v>730</v>
      </c>
      <c r="E50" s="125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5" t="s">
        <v>731</v>
      </c>
      <c r="E51" s="125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5" t="s">
        <v>476</v>
      </c>
      <c r="E52" s="125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6">
        <f>SUM(E65:E102)</f>
        <v>-24792.94</v>
      </c>
      <c r="F64" s="63"/>
      <c r="G64" s="63"/>
    </row>
    <row r="65" spans="1:8">
      <c r="A65" s="100"/>
      <c r="B65" s="106"/>
      <c r="C65" s="106"/>
      <c r="E65" s="125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5">
        <v>-3974.44</v>
      </c>
      <c r="G66" s="63"/>
      <c r="H66" s="63"/>
    </row>
    <row r="67" spans="1:8">
      <c r="A67" s="166">
        <v>45214</v>
      </c>
      <c r="B67" s="8" t="s">
        <v>661</v>
      </c>
      <c r="D67" s="8" t="s">
        <v>733</v>
      </c>
      <c r="E67" s="125">
        <v>-600</v>
      </c>
      <c r="F67" s="63"/>
      <c r="G67" s="63"/>
      <c r="H67" s="63"/>
    </row>
    <row r="68" spans="1:8">
      <c r="A68" s="166">
        <v>45285</v>
      </c>
      <c r="B68" s="106" t="s">
        <v>526</v>
      </c>
      <c r="C68" s="106"/>
      <c r="D68" s="8" t="s">
        <v>734</v>
      </c>
      <c r="E68" s="125">
        <v>-3551.66</v>
      </c>
      <c r="F68" s="63"/>
      <c r="G68" s="63"/>
      <c r="H68" s="63"/>
    </row>
    <row r="69" spans="1:8">
      <c r="A69" s="166">
        <v>45259</v>
      </c>
      <c r="B69" s="8" t="s">
        <v>692</v>
      </c>
      <c r="C69" s="177">
        <v>-1204.5</v>
      </c>
      <c r="D69" s="8" t="s">
        <v>735</v>
      </c>
      <c r="E69" s="125">
        <v>-401.5</v>
      </c>
      <c r="F69" s="63"/>
      <c r="G69" s="63"/>
      <c r="H69" s="63"/>
    </row>
    <row r="70" spans="1:8">
      <c r="A70" s="166">
        <v>45259</v>
      </c>
      <c r="B70" s="8" t="s">
        <v>694</v>
      </c>
      <c r="C70" s="177">
        <v>-148.6</v>
      </c>
      <c r="D70" s="8" t="s">
        <v>735</v>
      </c>
      <c r="E70" s="125">
        <v>-49.53</v>
      </c>
      <c r="F70" s="63"/>
      <c r="G70" s="63"/>
      <c r="H70" s="63"/>
    </row>
    <row r="71" spans="1:8">
      <c r="A71" s="166">
        <v>45259</v>
      </c>
      <c r="B71" s="8" t="s">
        <v>695</v>
      </c>
      <c r="C71" s="177">
        <v>-244.8</v>
      </c>
      <c r="D71" s="8" t="s">
        <v>735</v>
      </c>
      <c r="E71" s="125">
        <v>-81.599999999999994</v>
      </c>
      <c r="F71" s="63"/>
      <c r="G71" s="63"/>
      <c r="H71" s="63"/>
    </row>
    <row r="72" spans="1:8">
      <c r="A72" s="166">
        <v>45259</v>
      </c>
      <c r="B72" s="8" t="s">
        <v>696</v>
      </c>
      <c r="C72" s="177">
        <v>-532.6</v>
      </c>
      <c r="D72" s="8" t="s">
        <v>735</v>
      </c>
      <c r="E72" s="125">
        <v>-177.53</v>
      </c>
      <c r="F72" s="63"/>
      <c r="G72" s="63"/>
      <c r="H72" s="63"/>
    </row>
    <row r="73" spans="1:8">
      <c r="A73" s="166"/>
      <c r="B73" s="106" t="s">
        <v>162</v>
      </c>
      <c r="C73" s="106">
        <v>899</v>
      </c>
      <c r="D73" s="8" t="s">
        <v>736</v>
      </c>
      <c r="E73" s="125">
        <v>-449.5</v>
      </c>
      <c r="F73" s="63"/>
      <c r="G73" s="63"/>
      <c r="H73" s="63"/>
    </row>
    <row r="74" spans="1:8">
      <c r="A74" s="166"/>
      <c r="B74" s="106" t="s">
        <v>698</v>
      </c>
      <c r="C74" s="106"/>
      <c r="D74" s="8" t="s">
        <v>736</v>
      </c>
      <c r="E74" s="125">
        <v>-299.64</v>
      </c>
      <c r="F74" s="63"/>
      <c r="G74" s="63"/>
      <c r="H74" s="63"/>
    </row>
    <row r="75" spans="1:8">
      <c r="A75" s="166"/>
      <c r="B75" s="106" t="s">
        <v>699</v>
      </c>
      <c r="C75" s="106"/>
      <c r="D75" s="8" t="s">
        <v>736</v>
      </c>
      <c r="E75" s="125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5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5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5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5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5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5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5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5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5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5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5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5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5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5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5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5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5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5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5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5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5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5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5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5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5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5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5">
        <v>-54</v>
      </c>
      <c r="F102" s="63"/>
      <c r="G102" s="63"/>
      <c r="H102" s="63"/>
    </row>
    <row r="103" spans="1:8">
      <c r="A103" s="100"/>
      <c r="B103" s="3"/>
      <c r="C103" s="207" t="s">
        <v>752</v>
      </c>
      <c r="D103" s="107">
        <f>SUM(D94:D102)</f>
        <v>323.49</v>
      </c>
      <c r="E103" s="125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5"/>
      <c r="F104" s="63"/>
      <c r="G104" s="63"/>
      <c r="H104" s="63"/>
    </row>
    <row r="105" spans="1:8" ht="15">
      <c r="A105" s="100"/>
      <c r="B105" s="3"/>
      <c r="C105" s="106"/>
      <c r="D105" s="183"/>
      <c r="E105" s="125"/>
      <c r="F105" s="63"/>
      <c r="G105" s="63"/>
      <c r="H105" s="63"/>
    </row>
    <row r="106" spans="1:8" ht="15">
      <c r="A106" s="100"/>
      <c r="B106" s="3"/>
      <c r="C106" s="106"/>
      <c r="D106" s="183"/>
      <c r="E106" s="125"/>
      <c r="F106" s="63"/>
      <c r="G106" s="63"/>
      <c r="H106" s="63"/>
    </row>
    <row r="107" spans="1:8" ht="15">
      <c r="A107" s="100"/>
      <c r="B107" s="3"/>
      <c r="C107" s="106"/>
      <c r="D107" s="183"/>
      <c r="E107" s="125"/>
      <c r="F107" s="63"/>
      <c r="G107" s="63"/>
      <c r="H107" s="63"/>
    </row>
    <row r="108" spans="1:8" ht="15">
      <c r="A108" s="100"/>
      <c r="B108" s="3"/>
      <c r="C108" s="106"/>
      <c r="D108" s="183"/>
      <c r="E108" s="125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9"/>
      <c r="E111" s="160">
        <f>SUM(E112:E130)</f>
        <v>809249.830357</v>
      </c>
    </row>
    <row r="112" spans="1:8">
      <c r="A112" s="161">
        <v>45352</v>
      </c>
      <c r="B112" s="8" t="s">
        <v>77</v>
      </c>
      <c r="C112" s="2"/>
      <c r="D112" s="2"/>
      <c r="E112" s="17">
        <v>64000</v>
      </c>
    </row>
    <row r="113" spans="1:6">
      <c r="A113" s="161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1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1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1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1">
        <f t="shared" si="1"/>
        <v>45352</v>
      </c>
      <c r="B117" s="8" t="s">
        <v>307</v>
      </c>
      <c r="C117" s="125"/>
      <c r="D117" s="2"/>
      <c r="E117" s="17">
        <v>0</v>
      </c>
    </row>
    <row r="118" spans="1:6">
      <c r="A118" s="161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1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1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1">
        <f t="shared" si="1"/>
        <v>45352</v>
      </c>
      <c r="B121" s="8" t="s">
        <v>709</v>
      </c>
      <c r="C121" s="161" t="s">
        <v>756</v>
      </c>
      <c r="D121" s="162"/>
      <c r="E121" s="17">
        <v>1031.76</v>
      </c>
      <c r="F121" s="2">
        <f>E121</f>
        <v>1031.76</v>
      </c>
    </row>
    <row r="122" spans="1:6">
      <c r="A122" s="161">
        <f t="shared" si="1"/>
        <v>45352</v>
      </c>
      <c r="B122" s="8" t="s">
        <v>711</v>
      </c>
      <c r="C122" s="161" t="s">
        <v>712</v>
      </c>
      <c r="D122" s="162"/>
      <c r="E122" s="17">
        <v>588.6</v>
      </c>
    </row>
    <row r="123" spans="1:6">
      <c r="A123" s="161">
        <f t="shared" si="1"/>
        <v>45352</v>
      </c>
      <c r="B123" s="8" t="s">
        <v>713</v>
      </c>
      <c r="C123" s="161"/>
      <c r="D123" s="162"/>
      <c r="E123" s="17"/>
    </row>
    <row r="124" spans="1:6">
      <c r="A124" s="161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1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1">
        <f t="shared" si="1"/>
        <v>45352</v>
      </c>
      <c r="B126" s="8" t="s">
        <v>715</v>
      </c>
      <c r="C126" s="163">
        <v>30.726199999999999</v>
      </c>
      <c r="D126" s="2">
        <v>850</v>
      </c>
      <c r="E126" s="17">
        <f>D126*C126</f>
        <v>26117.27</v>
      </c>
      <c r="F126" s="2"/>
    </row>
    <row r="127" spans="1:6">
      <c r="A127" s="161">
        <f t="shared" si="1"/>
        <v>45352</v>
      </c>
      <c r="B127" s="8" t="s">
        <v>510</v>
      </c>
      <c r="C127" s="163">
        <v>30.725999999999999</v>
      </c>
      <c r="D127" s="2">
        <v>250</v>
      </c>
      <c r="E127" s="17">
        <f>D127*C127</f>
        <v>7681.5</v>
      </c>
    </row>
    <row r="128" spans="1:6">
      <c r="A128" s="161">
        <f t="shared" si="1"/>
        <v>45352</v>
      </c>
      <c r="B128" s="8" t="s">
        <v>716</v>
      </c>
      <c r="C128" s="163">
        <v>33.224299999999999</v>
      </c>
      <c r="D128" s="2">
        <v>81.99</v>
      </c>
      <c r="E128" s="17">
        <f>D128*C128</f>
        <v>2724.0603569999998</v>
      </c>
    </row>
    <row r="129" spans="1:6">
      <c r="A129" s="161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1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5"/>
      <c r="D132" s="3"/>
      <c r="E132" s="125"/>
    </row>
    <row r="133" spans="1:6">
      <c r="C133" s="125"/>
      <c r="D133" s="18" t="s">
        <v>156</v>
      </c>
      <c r="E133" s="9">
        <f>SUM(E112:E130)</f>
        <v>809249.830357</v>
      </c>
    </row>
    <row r="134" spans="1:6">
      <c r="C134" s="126" t="str">
        <f>A111</f>
        <v>ŞUBAT</v>
      </c>
      <c r="D134" s="127" t="s">
        <v>157</v>
      </c>
      <c r="E134" s="12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5" customWidth="1"/>
    <col min="4" max="4" width="15.5703125" style="125" customWidth="1"/>
    <col min="5" max="5" width="13.140625" style="125" customWidth="1"/>
    <col min="6" max="8" width="12.28515625" style="125"/>
    <col min="1024" max="1024" width="9.140625" customWidth="1"/>
  </cols>
  <sheetData>
    <row r="1" spans="1:8">
      <c r="F1" s="125" t="s">
        <v>28</v>
      </c>
      <c r="G1" s="125" t="s">
        <v>29</v>
      </c>
      <c r="H1" s="125" t="s">
        <v>3</v>
      </c>
    </row>
    <row r="2" spans="1:8">
      <c r="A2" s="3" t="s">
        <v>757</v>
      </c>
      <c r="C2" s="125" t="s">
        <v>67</v>
      </c>
      <c r="D2" s="125">
        <f>SUM(D4:D42)</f>
        <v>340464.6</v>
      </c>
      <c r="E2" s="125">
        <f>SUM(E4:E42)</f>
        <v>-52469.760000000002</v>
      </c>
      <c r="F2" s="125">
        <f>SUM(F4:F42)</f>
        <v>194911.58000000002</v>
      </c>
      <c r="G2" s="125">
        <f>SUM(G4:G42)</f>
        <v>-66377.209999999992</v>
      </c>
      <c r="H2" s="125">
        <f>F2+G2</f>
        <v>128534.37000000002</v>
      </c>
    </row>
    <row r="3" spans="1:8">
      <c r="B3" s="18"/>
    </row>
    <row r="4" spans="1:8">
      <c r="A4" s="166">
        <v>45231</v>
      </c>
      <c r="B4" s="41" t="s">
        <v>430</v>
      </c>
      <c r="E4" s="125">
        <v>-152</v>
      </c>
      <c r="G4" s="125">
        <v>-152</v>
      </c>
      <c r="H4" s="125">
        <f t="shared" ref="H4:H45" si="0">H3+F4+G4</f>
        <v>-152</v>
      </c>
    </row>
    <row r="5" spans="1:8">
      <c r="A5" s="166"/>
      <c r="B5" s="8" t="s">
        <v>399</v>
      </c>
      <c r="E5" s="125">
        <v>-10000</v>
      </c>
      <c r="G5" s="125">
        <v>-10000</v>
      </c>
      <c r="H5" s="125">
        <f t="shared" si="0"/>
        <v>-10152</v>
      </c>
    </row>
    <row r="6" spans="1:8">
      <c r="B6" s="101" t="s">
        <v>758</v>
      </c>
      <c r="E6" s="125">
        <v>-250</v>
      </c>
      <c r="G6" s="125">
        <v>-250</v>
      </c>
      <c r="H6" s="125">
        <f t="shared" si="0"/>
        <v>-10402</v>
      </c>
    </row>
    <row r="7" spans="1:8">
      <c r="B7" s="101"/>
      <c r="H7" s="125">
        <f t="shared" si="0"/>
        <v>-10402</v>
      </c>
    </row>
    <row r="8" spans="1:8">
      <c r="B8" s="101" t="s">
        <v>75</v>
      </c>
      <c r="C8" s="125" t="s">
        <v>328</v>
      </c>
      <c r="E8" s="125">
        <v>-150</v>
      </c>
      <c r="G8" s="125">
        <v>0</v>
      </c>
      <c r="H8" s="125">
        <f t="shared" si="0"/>
        <v>-10402</v>
      </c>
    </row>
    <row r="9" spans="1:8">
      <c r="A9" s="166">
        <v>45309</v>
      </c>
      <c r="B9" s="106" t="s">
        <v>73</v>
      </c>
      <c r="C9" s="125" t="s">
        <v>328</v>
      </c>
      <c r="D9" s="125">
        <v>137.30000000000001</v>
      </c>
      <c r="E9" s="125">
        <v>-300</v>
      </c>
      <c r="G9" s="125">
        <v>-1408</v>
      </c>
      <c r="H9" s="125">
        <f t="shared" si="0"/>
        <v>-11810</v>
      </c>
    </row>
    <row r="10" spans="1:8">
      <c r="A10" s="166">
        <v>45299</v>
      </c>
      <c r="B10" s="106" t="s">
        <v>74</v>
      </c>
      <c r="C10" s="125" t="s">
        <v>328</v>
      </c>
      <c r="D10" s="125">
        <v>27.3</v>
      </c>
      <c r="E10" s="125">
        <v>-100</v>
      </c>
      <c r="G10" s="125">
        <v>0</v>
      </c>
      <c r="H10" s="125">
        <f t="shared" si="0"/>
        <v>-11810</v>
      </c>
    </row>
    <row r="11" spans="1:8">
      <c r="B11" s="101"/>
      <c r="H11" s="125">
        <f t="shared" si="0"/>
        <v>-11810</v>
      </c>
    </row>
    <row r="12" spans="1:8">
      <c r="B12" s="179" t="s">
        <v>72</v>
      </c>
      <c r="E12" s="125">
        <f>E55*-1</f>
        <v>-169.14</v>
      </c>
      <c r="G12" s="125">
        <f>E12</f>
        <v>-169.14</v>
      </c>
      <c r="H12" s="125">
        <f t="shared" si="0"/>
        <v>-11979.14</v>
      </c>
    </row>
    <row r="13" spans="1:8">
      <c r="A13" s="166"/>
      <c r="B13" s="179" t="s">
        <v>68</v>
      </c>
      <c r="E13" s="125">
        <f>E60</f>
        <v>-3961.94</v>
      </c>
      <c r="G13" s="125">
        <f>E13</f>
        <v>-3961.94</v>
      </c>
      <c r="H13" s="125">
        <f t="shared" si="0"/>
        <v>-15941.08</v>
      </c>
    </row>
    <row r="14" spans="1:8">
      <c r="A14" s="166">
        <v>45294</v>
      </c>
      <c r="B14" s="179" t="s">
        <v>69</v>
      </c>
      <c r="E14" s="125">
        <f>E77</f>
        <v>-12474.550000000001</v>
      </c>
      <c r="G14" s="125">
        <v>-12474</v>
      </c>
      <c r="H14" s="125">
        <f t="shared" si="0"/>
        <v>-28415.08</v>
      </c>
    </row>
    <row r="15" spans="1:8">
      <c r="A15" s="100">
        <v>45295</v>
      </c>
      <c r="B15" s="101" t="s">
        <v>759</v>
      </c>
      <c r="E15" s="125">
        <v>-5375</v>
      </c>
      <c r="G15" s="125">
        <f>E15</f>
        <v>-5375</v>
      </c>
      <c r="H15" s="125">
        <f t="shared" si="0"/>
        <v>-33790.080000000002</v>
      </c>
    </row>
    <row r="16" spans="1:8">
      <c r="A16" s="100"/>
      <c r="B16" s="101" t="s">
        <v>759</v>
      </c>
      <c r="E16" s="125">
        <v>-2125</v>
      </c>
      <c r="G16" s="125">
        <f>E16</f>
        <v>-2125</v>
      </c>
      <c r="H16" s="125">
        <f t="shared" si="0"/>
        <v>-35915.08</v>
      </c>
    </row>
    <row r="17" spans="1:8">
      <c r="B17" s="101" t="s">
        <v>760</v>
      </c>
      <c r="E17" s="125">
        <v>-1512.13</v>
      </c>
      <c r="G17" s="125">
        <v>-1512.13</v>
      </c>
      <c r="H17" s="125">
        <f t="shared" si="0"/>
        <v>-37427.21</v>
      </c>
    </row>
    <row r="18" spans="1:8">
      <c r="H18" s="125">
        <f t="shared" si="0"/>
        <v>-37427.21</v>
      </c>
    </row>
    <row r="19" spans="1:8">
      <c r="B19" t="s">
        <v>77</v>
      </c>
      <c r="E19" s="125">
        <v>-5000</v>
      </c>
      <c r="G19" s="125">
        <v>-4800</v>
      </c>
      <c r="H19" s="125">
        <f t="shared" si="0"/>
        <v>-42227.21</v>
      </c>
    </row>
    <row r="20" spans="1:8">
      <c r="B20" t="s">
        <v>78</v>
      </c>
      <c r="E20" s="125">
        <v>-5000</v>
      </c>
      <c r="G20" s="125">
        <v>-4800</v>
      </c>
      <c r="H20" s="125">
        <f t="shared" si="0"/>
        <v>-47027.21</v>
      </c>
    </row>
    <row r="21" spans="1:8">
      <c r="B21" t="s">
        <v>79</v>
      </c>
      <c r="E21" s="125">
        <v>-5000</v>
      </c>
      <c r="G21" s="125">
        <v>-5000</v>
      </c>
      <c r="H21" s="125">
        <f t="shared" si="0"/>
        <v>-52027.21</v>
      </c>
    </row>
    <row r="22" spans="1:8">
      <c r="B22" s="101" t="s">
        <v>80</v>
      </c>
      <c r="E22" s="125">
        <v>-400</v>
      </c>
      <c r="G22" s="125">
        <v>-230</v>
      </c>
      <c r="H22" s="125">
        <f t="shared" si="0"/>
        <v>-52257.21</v>
      </c>
    </row>
    <row r="23" spans="1:8">
      <c r="B23" s="101" t="s">
        <v>81</v>
      </c>
      <c r="E23" s="125">
        <v>-500</v>
      </c>
      <c r="G23" s="125">
        <v>-420</v>
      </c>
      <c r="H23" s="125">
        <f t="shared" si="0"/>
        <v>-52677.21</v>
      </c>
    </row>
    <row r="24" spans="1:8">
      <c r="H24" s="125">
        <f t="shared" si="0"/>
        <v>-52677.21</v>
      </c>
    </row>
    <row r="25" spans="1:8">
      <c r="A25" s="166">
        <v>45300</v>
      </c>
      <c r="B25" s="8" t="s">
        <v>761</v>
      </c>
      <c r="G25" s="125">
        <v>-5000</v>
      </c>
      <c r="H25" s="125">
        <f t="shared" si="0"/>
        <v>-57677.21</v>
      </c>
    </row>
    <row r="26" spans="1:8">
      <c r="H26" s="125">
        <f t="shared" si="0"/>
        <v>-57677.21</v>
      </c>
    </row>
    <row r="27" spans="1:8">
      <c r="B27" t="s">
        <v>76</v>
      </c>
      <c r="D27" s="177">
        <v>10000</v>
      </c>
      <c r="F27" s="177">
        <v>9611.58</v>
      </c>
      <c r="H27" s="125">
        <f t="shared" si="0"/>
        <v>-48065.63</v>
      </c>
    </row>
    <row r="28" spans="1:8">
      <c r="A28" s="100"/>
      <c r="B28" s="8" t="s">
        <v>677</v>
      </c>
      <c r="D28" s="177">
        <v>2800</v>
      </c>
      <c r="F28" s="177">
        <v>2800</v>
      </c>
      <c r="H28" s="125">
        <f t="shared" si="0"/>
        <v>-45265.63</v>
      </c>
    </row>
    <row r="29" spans="1:8">
      <c r="A29" s="161">
        <v>45293</v>
      </c>
      <c r="B29" s="8" t="s">
        <v>762</v>
      </c>
      <c r="F29" s="177">
        <v>6500</v>
      </c>
      <c r="H29" s="125">
        <f t="shared" si="0"/>
        <v>-38765.629999999997</v>
      </c>
    </row>
    <row r="30" spans="1:8">
      <c r="A30" s="100">
        <v>45328</v>
      </c>
      <c r="B30" s="8" t="s">
        <v>763</v>
      </c>
      <c r="D30" s="177">
        <v>6500</v>
      </c>
      <c r="F30" s="177"/>
      <c r="H30" s="125">
        <f t="shared" si="0"/>
        <v>-38765.629999999997</v>
      </c>
    </row>
    <row r="31" spans="1:8">
      <c r="A31" s="161">
        <v>45294</v>
      </c>
      <c r="B31" s="8" t="s">
        <v>764</v>
      </c>
      <c r="F31" s="177">
        <v>6000</v>
      </c>
      <c r="H31" s="125">
        <f t="shared" si="0"/>
        <v>-32765.629999999997</v>
      </c>
    </row>
    <row r="32" spans="1:8">
      <c r="A32" s="193"/>
      <c r="B32" s="171" t="s">
        <v>727</v>
      </c>
      <c r="C32" s="200"/>
      <c r="D32" s="200">
        <v>7000</v>
      </c>
      <c r="E32" s="200"/>
      <c r="F32" s="208"/>
      <c r="H32" s="125">
        <f t="shared" si="0"/>
        <v>-32765.629999999997</v>
      </c>
    </row>
    <row r="33" spans="1:8">
      <c r="B33" t="s">
        <v>765</v>
      </c>
      <c r="D33" s="177">
        <v>170000</v>
      </c>
      <c r="F33" s="177"/>
      <c r="H33" s="125">
        <f t="shared" si="0"/>
        <v>-32765.629999999997</v>
      </c>
    </row>
    <row r="34" spans="1:8">
      <c r="A34" s="166">
        <v>45295</v>
      </c>
      <c r="B34" s="8" t="s">
        <v>766</v>
      </c>
      <c r="F34" s="177">
        <v>120000</v>
      </c>
      <c r="H34" s="125">
        <f t="shared" si="0"/>
        <v>87234.37</v>
      </c>
    </row>
    <row r="35" spans="1:8">
      <c r="A35" s="166">
        <v>45296</v>
      </c>
      <c r="B35" s="8" t="s">
        <v>766</v>
      </c>
      <c r="F35" s="177">
        <v>26000</v>
      </c>
      <c r="H35" s="125">
        <f t="shared" si="0"/>
        <v>113234.37</v>
      </c>
    </row>
    <row r="36" spans="1:8">
      <c r="A36" s="166">
        <v>45299</v>
      </c>
      <c r="B36" s="8" t="s">
        <v>767</v>
      </c>
      <c r="F36" s="177">
        <v>24000</v>
      </c>
      <c r="H36" s="125">
        <f t="shared" si="0"/>
        <v>137234.37</v>
      </c>
    </row>
    <row r="37" spans="1:8">
      <c r="A37" s="166"/>
      <c r="B37" s="8" t="s">
        <v>768</v>
      </c>
      <c r="G37" s="125">
        <v>-4000</v>
      </c>
      <c r="H37" s="125">
        <f t="shared" si="0"/>
        <v>133234.37</v>
      </c>
    </row>
    <row r="38" spans="1:8">
      <c r="A38" s="166">
        <v>45321</v>
      </c>
      <c r="B38" s="8" t="s">
        <v>768</v>
      </c>
      <c r="G38" s="125">
        <v>-1000</v>
      </c>
      <c r="H38" s="125">
        <f t="shared" si="0"/>
        <v>132234.37</v>
      </c>
    </row>
    <row r="39" spans="1:8">
      <c r="A39" s="166"/>
      <c r="B39" s="8" t="s">
        <v>769</v>
      </c>
      <c r="G39" s="125">
        <v>-3700</v>
      </c>
      <c r="H39" s="125">
        <f t="shared" si="0"/>
        <v>128534.37</v>
      </c>
    </row>
    <row r="40" spans="1:8">
      <c r="A40" s="166"/>
      <c r="H40" s="125">
        <f t="shared" si="0"/>
        <v>128534.37</v>
      </c>
    </row>
    <row r="41" spans="1:8">
      <c r="A41" s="88">
        <v>45315</v>
      </c>
      <c r="B41" s="8" t="s">
        <v>770</v>
      </c>
      <c r="H41" s="125">
        <f t="shared" si="0"/>
        <v>128534.37</v>
      </c>
    </row>
    <row r="42" spans="1:8">
      <c r="B42" t="s">
        <v>771</v>
      </c>
      <c r="C42" s="125">
        <v>0.234011</v>
      </c>
      <c r="D42" s="125">
        <v>144000</v>
      </c>
      <c r="H42" s="125">
        <f t="shared" si="0"/>
        <v>128534.37</v>
      </c>
    </row>
    <row r="43" spans="1:8">
      <c r="A43" s="161"/>
      <c r="H43" s="125">
        <f t="shared" si="0"/>
        <v>128534.37</v>
      </c>
    </row>
    <row r="44" spans="1:8">
      <c r="A44" s="161"/>
      <c r="H44" s="125">
        <f t="shared" si="0"/>
        <v>128534.37</v>
      </c>
    </row>
    <row r="45" spans="1:8">
      <c r="H45" s="125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3">
        <v>44929</v>
      </c>
      <c r="B49" s="174" t="s">
        <v>332</v>
      </c>
      <c r="D49" s="125">
        <f>SUM(D50:D55)</f>
        <v>4772.1500000000005</v>
      </c>
      <c r="E49" s="125">
        <f>SUM(E50:E55)</f>
        <v>4742.6400000000003</v>
      </c>
    </row>
    <row r="50" spans="1:5">
      <c r="A50" s="100"/>
      <c r="B50" s="106" t="s">
        <v>333</v>
      </c>
      <c r="C50" s="125" t="s">
        <v>772</v>
      </c>
      <c r="D50" s="125">
        <v>1329.72</v>
      </c>
      <c r="E50" s="125">
        <v>1330</v>
      </c>
    </row>
    <row r="51" spans="1:5">
      <c r="B51" t="s">
        <v>773</v>
      </c>
      <c r="D51" s="125">
        <v>1282.42</v>
      </c>
      <c r="E51" s="125">
        <v>1250</v>
      </c>
    </row>
    <row r="52" spans="1:5">
      <c r="B52" t="s">
        <v>335</v>
      </c>
      <c r="D52" s="125">
        <v>298.67</v>
      </c>
      <c r="E52" s="125">
        <v>298.5</v>
      </c>
    </row>
    <row r="53" spans="1:5">
      <c r="B53" t="s">
        <v>774</v>
      </c>
      <c r="D53" s="125">
        <v>1204.3800000000001</v>
      </c>
      <c r="E53" s="125">
        <v>1205</v>
      </c>
    </row>
    <row r="54" spans="1:5">
      <c r="B54" t="s">
        <v>337</v>
      </c>
      <c r="D54" s="125">
        <v>487.82</v>
      </c>
      <c r="E54" s="125">
        <v>490</v>
      </c>
    </row>
    <row r="55" spans="1:5">
      <c r="B55" t="s">
        <v>338</v>
      </c>
      <c r="D55" s="125">
        <v>169.14</v>
      </c>
      <c r="E55" s="125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5">
        <f>SUM(E61:E74)</f>
        <v>-3961.94</v>
      </c>
    </row>
    <row r="62" spans="1:5">
      <c r="A62" s="161"/>
      <c r="B62" s="106"/>
    </row>
    <row r="63" spans="1:5">
      <c r="A63" s="161">
        <v>45043</v>
      </c>
      <c r="B63" s="106" t="s">
        <v>729</v>
      </c>
      <c r="C63" s="125">
        <v>10764.57</v>
      </c>
      <c r="D63" s="125" t="s">
        <v>775</v>
      </c>
      <c r="E63" s="125">
        <v>-1196.06</v>
      </c>
    </row>
    <row r="64" spans="1:5">
      <c r="A64" s="100">
        <v>45187</v>
      </c>
      <c r="B64" s="106" t="s">
        <v>566</v>
      </c>
      <c r="C64" s="125">
        <v>7648.33</v>
      </c>
      <c r="D64" s="125" t="s">
        <v>776</v>
      </c>
      <c r="E64" s="125">
        <v>-849.81</v>
      </c>
    </row>
    <row r="65" spans="1:5">
      <c r="A65" s="100">
        <v>45187</v>
      </c>
      <c r="B65" s="106" t="s">
        <v>681</v>
      </c>
      <c r="C65" s="125">
        <v>11128</v>
      </c>
      <c r="D65" s="125" t="s">
        <v>519</v>
      </c>
      <c r="E65" s="125">
        <v>-1854.67</v>
      </c>
    </row>
    <row r="66" spans="1:5">
      <c r="A66" s="161">
        <v>44995</v>
      </c>
      <c r="B66" s="8" t="s">
        <v>777</v>
      </c>
      <c r="C66" s="125">
        <v>613.91</v>
      </c>
      <c r="D66" s="125" t="s">
        <v>778</v>
      </c>
      <c r="E66" s="125">
        <v>-61.4</v>
      </c>
    </row>
    <row r="67" spans="1:5">
      <c r="D67" s="125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5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5" t="s">
        <v>779</v>
      </c>
      <c r="E79" s="125">
        <v>-3974.44</v>
      </c>
    </row>
    <row r="80" spans="1:5">
      <c r="A80" s="166">
        <v>45214</v>
      </c>
      <c r="B80" s="8" t="s">
        <v>661</v>
      </c>
      <c r="D80" s="125" t="s">
        <v>663</v>
      </c>
      <c r="E80" s="125">
        <v>-600</v>
      </c>
    </row>
    <row r="81" spans="1:5">
      <c r="A81" s="100"/>
      <c r="B81" s="3"/>
    </row>
    <row r="82" spans="1:5">
      <c r="A82" s="166">
        <v>45259</v>
      </c>
      <c r="B82" s="8" t="s">
        <v>692</v>
      </c>
      <c r="C82" s="125">
        <v>-1204.5</v>
      </c>
      <c r="D82" s="125" t="s">
        <v>780</v>
      </c>
      <c r="E82" s="125">
        <v>-401.5</v>
      </c>
    </row>
    <row r="83" spans="1:5">
      <c r="A83" s="166">
        <v>45259</v>
      </c>
      <c r="B83" s="8" t="s">
        <v>694</v>
      </c>
      <c r="C83" s="125">
        <v>-148.6</v>
      </c>
      <c r="D83" s="125" t="s">
        <v>780</v>
      </c>
      <c r="E83" s="125">
        <v>-49.53</v>
      </c>
    </row>
    <row r="84" spans="1:5">
      <c r="A84" s="166">
        <v>45259</v>
      </c>
      <c r="B84" s="8" t="s">
        <v>695</v>
      </c>
      <c r="C84" s="125">
        <v>-244.8</v>
      </c>
      <c r="D84" s="125" t="s">
        <v>780</v>
      </c>
      <c r="E84" s="125">
        <v>-81.599999999999994</v>
      </c>
    </row>
    <row r="85" spans="1:5">
      <c r="A85" s="166">
        <v>45259</v>
      </c>
      <c r="B85" s="8" t="s">
        <v>696</v>
      </c>
      <c r="C85" s="125">
        <v>-532.6</v>
      </c>
      <c r="D85" s="125" t="s">
        <v>780</v>
      </c>
      <c r="E85" s="125">
        <v>-177.53</v>
      </c>
    </row>
    <row r="86" spans="1:5">
      <c r="A86" s="166">
        <v>45285</v>
      </c>
      <c r="B86" s="106" t="s">
        <v>526</v>
      </c>
    </row>
    <row r="87" spans="1:5">
      <c r="A87" s="100"/>
      <c r="B87" s="3" t="s">
        <v>539</v>
      </c>
      <c r="C87" s="125">
        <v>109.92</v>
      </c>
    </row>
    <row r="88" spans="1:5">
      <c r="A88" s="100">
        <v>45283</v>
      </c>
      <c r="B88" s="3" t="s">
        <v>546</v>
      </c>
      <c r="E88" s="125">
        <v>-90</v>
      </c>
    </row>
    <row r="89" spans="1:5">
      <c r="A89" s="100">
        <v>45283</v>
      </c>
      <c r="B89" s="3" t="s">
        <v>135</v>
      </c>
      <c r="C89" s="125">
        <f>E89</f>
        <v>-105.12</v>
      </c>
      <c r="E89" s="125">
        <v>-105.12</v>
      </c>
    </row>
    <row r="90" spans="1:5">
      <c r="A90" s="100">
        <v>45282</v>
      </c>
      <c r="B90" s="3" t="s">
        <v>135</v>
      </c>
      <c r="C90" s="125">
        <f>E90</f>
        <v>-58.63</v>
      </c>
      <c r="E90" s="125">
        <v>-58.63</v>
      </c>
    </row>
    <row r="91" spans="1:5">
      <c r="A91" s="100">
        <v>45281</v>
      </c>
      <c r="B91" s="3" t="s">
        <v>546</v>
      </c>
      <c r="E91" s="125">
        <v>-110</v>
      </c>
    </row>
    <row r="92" spans="1:5">
      <c r="A92" s="100">
        <v>45281</v>
      </c>
      <c r="B92" s="3" t="s">
        <v>135</v>
      </c>
      <c r="C92" s="125">
        <f>E92</f>
        <v>-70</v>
      </c>
      <c r="E92" s="125">
        <v>-70</v>
      </c>
    </row>
    <row r="93" spans="1:5">
      <c r="A93" s="100">
        <v>45281</v>
      </c>
      <c r="B93" s="3" t="s">
        <v>135</v>
      </c>
      <c r="C93" s="125">
        <f>E93</f>
        <v>-76.66</v>
      </c>
      <c r="E93" s="125">
        <v>-76.66</v>
      </c>
    </row>
    <row r="94" spans="1:5">
      <c r="A94" s="100">
        <v>45279</v>
      </c>
      <c r="B94" s="3" t="s">
        <v>781</v>
      </c>
      <c r="E94" s="125">
        <v>-260</v>
      </c>
    </row>
    <row r="95" spans="1:5">
      <c r="A95" s="100">
        <v>45278</v>
      </c>
      <c r="B95" s="3" t="s">
        <v>135</v>
      </c>
      <c r="C95" s="125">
        <f>E95</f>
        <v>-370</v>
      </c>
      <c r="E95" s="125">
        <v>-370</v>
      </c>
    </row>
    <row r="96" spans="1:5">
      <c r="A96" s="100">
        <v>45276</v>
      </c>
      <c r="B96" s="3" t="s">
        <v>782</v>
      </c>
      <c r="E96" s="125">
        <v>-300</v>
      </c>
    </row>
    <row r="97" spans="1:5">
      <c r="A97" s="100">
        <v>45276</v>
      </c>
      <c r="B97" s="3" t="s">
        <v>135</v>
      </c>
      <c r="C97" s="125">
        <f>E97</f>
        <v>-250</v>
      </c>
      <c r="E97" s="125">
        <v>-250</v>
      </c>
    </row>
    <row r="98" spans="1:5">
      <c r="A98" s="100">
        <v>45275</v>
      </c>
      <c r="B98" s="3" t="s">
        <v>783</v>
      </c>
      <c r="E98" s="125">
        <v>-470</v>
      </c>
    </row>
    <row r="99" spans="1:5">
      <c r="A99" s="100">
        <v>45275</v>
      </c>
      <c r="B99" s="3" t="s">
        <v>784</v>
      </c>
      <c r="E99" s="125">
        <v>-285</v>
      </c>
    </row>
    <row r="100" spans="1:5">
      <c r="A100" s="100">
        <v>45274</v>
      </c>
      <c r="B100" s="3" t="s">
        <v>135</v>
      </c>
      <c r="C100" s="125">
        <f>E100</f>
        <v>-150</v>
      </c>
      <c r="E100" s="125">
        <v>-150</v>
      </c>
    </row>
    <row r="101" spans="1:5">
      <c r="A101" s="100">
        <v>45272</v>
      </c>
      <c r="B101" s="3" t="s">
        <v>785</v>
      </c>
      <c r="E101" s="125">
        <v>-1108.1500000000001</v>
      </c>
    </row>
    <row r="102" spans="1:5">
      <c r="A102" s="100">
        <v>45271</v>
      </c>
      <c r="B102" s="3" t="s">
        <v>135</v>
      </c>
      <c r="C102" s="125">
        <f>E102</f>
        <v>-150</v>
      </c>
      <c r="E102" s="125">
        <v>-150</v>
      </c>
    </row>
    <row r="103" spans="1:5">
      <c r="A103" s="100">
        <v>45270</v>
      </c>
      <c r="B103" s="3" t="s">
        <v>133</v>
      </c>
      <c r="E103" s="125">
        <v>-1551.29</v>
      </c>
    </row>
    <row r="104" spans="1:5">
      <c r="A104" s="100">
        <v>45270</v>
      </c>
      <c r="B104" s="3" t="s">
        <v>786</v>
      </c>
      <c r="E104" s="125">
        <v>-315.10000000000002</v>
      </c>
    </row>
    <row r="105" spans="1:5">
      <c r="A105" s="100">
        <v>45267</v>
      </c>
      <c r="B105" s="3" t="s">
        <v>546</v>
      </c>
      <c r="E105" s="125">
        <v>-300</v>
      </c>
    </row>
    <row r="106" spans="1:5">
      <c r="A106" s="100">
        <v>45266</v>
      </c>
      <c r="B106" s="3" t="s">
        <v>135</v>
      </c>
      <c r="C106" s="125">
        <f>E106</f>
        <v>-200</v>
      </c>
      <c r="E106" s="125">
        <v>-200</v>
      </c>
    </row>
    <row r="107" spans="1:5">
      <c r="A107" s="100">
        <v>45265</v>
      </c>
      <c r="B107" s="3" t="s">
        <v>135</v>
      </c>
      <c r="C107" s="125">
        <f>E107</f>
        <v>-200</v>
      </c>
      <c r="E107" s="125">
        <v>-200</v>
      </c>
    </row>
    <row r="108" spans="1:5">
      <c r="A108" s="100">
        <v>45264</v>
      </c>
      <c r="B108" s="3" t="s">
        <v>130</v>
      </c>
      <c r="D108" s="125">
        <v>11990.16</v>
      </c>
    </row>
    <row r="109" spans="1:5">
      <c r="A109" s="100">
        <v>45260</v>
      </c>
      <c r="B109" s="3" t="s">
        <v>135</v>
      </c>
      <c r="C109" s="125">
        <f>E109</f>
        <v>-200</v>
      </c>
      <c r="E109" s="125">
        <v>-200</v>
      </c>
    </row>
    <row r="110" spans="1:5">
      <c r="A110" s="166">
        <v>45257</v>
      </c>
      <c r="B110" s="3" t="s">
        <v>135</v>
      </c>
      <c r="C110" s="125">
        <f>E110</f>
        <v>-250</v>
      </c>
      <c r="E110" s="125">
        <v>-250</v>
      </c>
    </row>
    <row r="111" spans="1:5">
      <c r="A111" s="166">
        <v>45255</v>
      </c>
      <c r="B111" s="3" t="s">
        <v>135</v>
      </c>
      <c r="C111" s="125">
        <f>E111</f>
        <v>-160</v>
      </c>
      <c r="E111" s="125">
        <v>-160</v>
      </c>
    </row>
    <row r="112" spans="1:5">
      <c r="A112" s="166">
        <v>45254</v>
      </c>
      <c r="B112" s="3" t="s">
        <v>135</v>
      </c>
      <c r="C112" s="125">
        <f>E112</f>
        <v>-160</v>
      </c>
      <c r="E112" s="125">
        <v>-160</v>
      </c>
    </row>
    <row r="113" spans="1:5">
      <c r="D113" s="125" t="s">
        <v>84</v>
      </c>
    </row>
    <row r="114" spans="1:5">
      <c r="B114" s="18" t="s">
        <v>423</v>
      </c>
      <c r="C114" s="125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9"/>
      <c r="E118" s="160">
        <f>SUM(E119:E135)</f>
        <v>813151.51</v>
      </c>
    </row>
    <row r="119" spans="1:5">
      <c r="A119" s="161">
        <v>45322</v>
      </c>
      <c r="B119" s="8" t="s">
        <v>77</v>
      </c>
      <c r="C119" s="2"/>
      <c r="D119" s="2"/>
      <c r="E119" s="17">
        <v>64000</v>
      </c>
    </row>
    <row r="120" spans="1:5">
      <c r="A120" s="161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1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1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1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1">
        <f>A123</f>
        <v>45322</v>
      </c>
      <c r="B124" s="8" t="s">
        <v>307</v>
      </c>
      <c r="D124" s="2"/>
      <c r="E124" s="17">
        <v>0</v>
      </c>
    </row>
    <row r="125" spans="1:5">
      <c r="A125" s="161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1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1">
        <v>45327</v>
      </c>
      <c r="B127" s="8" t="s">
        <v>791</v>
      </c>
      <c r="C127" s="161">
        <v>45327</v>
      </c>
      <c r="D127" s="162">
        <v>21.7</v>
      </c>
      <c r="E127" s="17">
        <v>513.5</v>
      </c>
    </row>
    <row r="128" spans="1:5">
      <c r="A128" s="161">
        <f>A127</f>
        <v>45327</v>
      </c>
      <c r="B128" s="8" t="s">
        <v>792</v>
      </c>
      <c r="C128" s="161">
        <v>45327</v>
      </c>
      <c r="D128" s="162">
        <v>539.29</v>
      </c>
      <c r="E128" s="17">
        <v>5448.3</v>
      </c>
    </row>
    <row r="129" spans="1:5">
      <c r="A129" s="161">
        <v>45327</v>
      </c>
      <c r="B129" s="8" t="s">
        <v>141</v>
      </c>
      <c r="C129" s="2"/>
      <c r="D129" s="2"/>
      <c r="E129" s="17">
        <v>500</v>
      </c>
    </row>
    <row r="130" spans="1:5">
      <c r="A130" s="161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1">
        <f>A130</f>
        <v>45327</v>
      </c>
      <c r="B131" s="8" t="s">
        <v>794</v>
      </c>
      <c r="C131" s="163">
        <v>30.452000000000002</v>
      </c>
      <c r="D131" s="2">
        <v>850</v>
      </c>
      <c r="E131" s="17">
        <f>D131*C131</f>
        <v>25884.2</v>
      </c>
    </row>
    <row r="132" spans="1:5">
      <c r="A132" s="161">
        <f>A131</f>
        <v>45327</v>
      </c>
      <c r="B132" s="8" t="s">
        <v>510</v>
      </c>
      <c r="C132" s="163">
        <v>30.452000000000002</v>
      </c>
      <c r="D132" s="2">
        <v>250</v>
      </c>
      <c r="E132" s="17">
        <f>D132*C132</f>
        <v>7613</v>
      </c>
    </row>
    <row r="133" spans="1:5">
      <c r="A133" s="161">
        <f>A131</f>
        <v>45327</v>
      </c>
      <c r="B133" s="8" t="s">
        <v>795</v>
      </c>
      <c r="C133" s="163">
        <v>32.3887</v>
      </c>
      <c r="D133" s="2">
        <v>100</v>
      </c>
      <c r="E133" s="17">
        <f>D133*C133</f>
        <v>3238.87</v>
      </c>
    </row>
    <row r="134" spans="1:5">
      <c r="A134" s="161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1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6" t="str">
        <f>A118</f>
        <v>OCAK</v>
      </c>
      <c r="D136" s="127" t="s">
        <v>157</v>
      </c>
      <c r="E136" s="128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5">
        <v>12500</v>
      </c>
      <c r="D141" s="125" t="s">
        <v>798</v>
      </c>
      <c r="E141" s="125">
        <v>10000</v>
      </c>
    </row>
    <row r="142" spans="1:5">
      <c r="B142" t="s">
        <v>797</v>
      </c>
      <c r="C142" s="125">
        <v>13400</v>
      </c>
      <c r="D142" s="125" t="s">
        <v>141</v>
      </c>
      <c r="E142" s="125">
        <v>25000</v>
      </c>
    </row>
    <row r="143" spans="1:5">
      <c r="B143" t="s">
        <v>797</v>
      </c>
      <c r="C143" s="125">
        <v>13700</v>
      </c>
      <c r="D143" s="125" t="s">
        <v>799</v>
      </c>
      <c r="E143" s="125">
        <v>10400</v>
      </c>
    </row>
    <row r="144" spans="1:5">
      <c r="B144" t="s">
        <v>797</v>
      </c>
      <c r="C144" s="125">
        <v>5800</v>
      </c>
      <c r="D144" s="125">
        <f>SUM(C141:C144)</f>
        <v>45400</v>
      </c>
      <c r="E144" s="125">
        <f>SUM(E141:E143)</f>
        <v>45400</v>
      </c>
    </row>
    <row r="146" spans="2:4">
      <c r="B146" t="s">
        <v>800</v>
      </c>
      <c r="C146" s="125">
        <v>14400</v>
      </c>
    </row>
    <row r="147" spans="2:4">
      <c r="B147" t="s">
        <v>801</v>
      </c>
      <c r="C147" s="125">
        <v>2800</v>
      </c>
      <c r="D147" s="125">
        <f>SUM(C146:C147)</f>
        <v>17200</v>
      </c>
    </row>
    <row r="148" spans="2:4">
      <c r="B148" t="s">
        <v>802</v>
      </c>
      <c r="C148" s="125">
        <v>200</v>
      </c>
    </row>
    <row r="149" spans="2:4">
      <c r="C149" s="125">
        <f>SUM(C141:C148)</f>
        <v>62800</v>
      </c>
      <c r="D149" s="125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9">
        <v>0.23538400000000001</v>
      </c>
      <c r="L1" s="210">
        <f>1-K1</f>
        <v>0.76461599999999996</v>
      </c>
      <c r="M1" s="211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2" t="s">
        <v>803</v>
      </c>
      <c r="L2" s="213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4">
        <f>'01_23'!D2</f>
        <v>13261</v>
      </c>
      <c r="C3" s="215">
        <f>'01_23'!E2</f>
        <v>-22808.309999999998</v>
      </c>
      <c r="D3" s="216">
        <f>B3+C3</f>
        <v>-9547.3099999999977</v>
      </c>
      <c r="E3" s="214">
        <f>'01_23'!F2</f>
        <v>8049.2</v>
      </c>
      <c r="F3" s="215">
        <f>'01_23'!G2</f>
        <v>-23047.62</v>
      </c>
      <c r="G3" s="217">
        <f>E3+F3</f>
        <v>-14998.419999999998</v>
      </c>
      <c r="H3" s="34"/>
      <c r="I3" s="35" t="s">
        <v>34</v>
      </c>
      <c r="J3">
        <v>78</v>
      </c>
      <c r="K3" s="218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4">
        <f>'02_23'!D2</f>
        <v>15761</v>
      </c>
      <c r="C4" s="215">
        <f>'02_23'!E2</f>
        <v>-56286.92</v>
      </c>
      <c r="D4" s="216">
        <f t="shared" ref="D4:D14" si="0">B4+C4+D3</f>
        <v>-50073.229999999996</v>
      </c>
      <c r="E4" s="214">
        <f>'02_23'!F2</f>
        <v>26990.010000000002</v>
      </c>
      <c r="F4" s="215">
        <f>'02_23'!G2</f>
        <v>-77441.489999999991</v>
      </c>
      <c r="G4" s="217">
        <f t="shared" ref="G4:G14" si="1">E4+F4+G3</f>
        <v>-65449.899999999987</v>
      </c>
      <c r="H4" s="34"/>
      <c r="I4" s="35" t="s">
        <v>36</v>
      </c>
      <c r="J4">
        <v>83.16</v>
      </c>
      <c r="K4" s="218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4">
        <f>'03_23'!D2</f>
        <v>88189</v>
      </c>
      <c r="C5" s="215">
        <f>'03_23'!E2</f>
        <v>-24634.690000000002</v>
      </c>
      <c r="D5" s="216">
        <f t="shared" si="0"/>
        <v>13481.080000000002</v>
      </c>
      <c r="E5" s="214">
        <f>'03_23'!F2</f>
        <v>23139.34</v>
      </c>
      <c r="F5" s="215">
        <f>'03_23'!G2</f>
        <v>-33283.54</v>
      </c>
      <c r="G5" s="217">
        <f t="shared" si="1"/>
        <v>-75594.099999999991</v>
      </c>
      <c r="H5" s="34"/>
      <c r="I5" s="35" t="s">
        <v>38</v>
      </c>
      <c r="J5">
        <v>33</v>
      </c>
      <c r="K5" s="218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4">
        <f>'04_23'!D2</f>
        <v>20911</v>
      </c>
      <c r="C6" s="215">
        <f>'04_23'!E2</f>
        <v>-54277.093000000001</v>
      </c>
      <c r="D6" s="216">
        <f t="shared" si="0"/>
        <v>-19885.012999999999</v>
      </c>
      <c r="E6" s="214">
        <f>'04_23'!F2</f>
        <v>72630</v>
      </c>
      <c r="F6" s="215">
        <f>'04_23'!G2</f>
        <v>-58332.79</v>
      </c>
      <c r="G6" s="217">
        <f t="shared" si="1"/>
        <v>-61296.889999999992</v>
      </c>
      <c r="H6" s="34"/>
      <c r="I6" s="41" t="s">
        <v>40</v>
      </c>
      <c r="K6" s="219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4">
        <f>'05_23'!D2</f>
        <v>17911</v>
      </c>
      <c r="C7" s="215">
        <f>'05_23'!E2</f>
        <v>-20977.52</v>
      </c>
      <c r="D7" s="216">
        <f t="shared" si="0"/>
        <v>-22951.532999999999</v>
      </c>
      <c r="E7" s="214">
        <f>'05_23'!F2</f>
        <v>19800</v>
      </c>
      <c r="F7" s="215">
        <f>'05_23'!G2</f>
        <v>-25248.52</v>
      </c>
      <c r="G7" s="217">
        <f t="shared" si="1"/>
        <v>-66745.409999999989</v>
      </c>
      <c r="H7" s="34"/>
      <c r="I7" s="41" t="s">
        <v>42</v>
      </c>
      <c r="K7" s="218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4">
        <f>'06_23'!D2</f>
        <v>28744</v>
      </c>
      <c r="C8" s="215">
        <f>'06_23'!E2</f>
        <v>-26572.629999999997</v>
      </c>
      <c r="D8" s="216">
        <f t="shared" si="0"/>
        <v>-20780.162999999997</v>
      </c>
      <c r="E8" s="214">
        <f>'06_23'!F2</f>
        <v>33133</v>
      </c>
      <c r="F8" s="215">
        <f>'06_23'!G2</f>
        <v>-28830.22</v>
      </c>
      <c r="G8" s="217">
        <f t="shared" si="1"/>
        <v>-62442.62999999999</v>
      </c>
      <c r="H8" s="34"/>
      <c r="I8" s="35" t="s">
        <v>44</v>
      </c>
      <c r="J8">
        <v>150</v>
      </c>
      <c r="K8" s="218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4">
        <f>'07_23'!D2</f>
        <v>67911</v>
      </c>
      <c r="C9" s="215">
        <f>'07_23'!E2</f>
        <v>-35277.64</v>
      </c>
      <c r="D9" s="216">
        <f t="shared" si="0"/>
        <v>11853.197000000004</v>
      </c>
      <c r="E9" s="214">
        <f>'07_23'!F2</f>
        <v>70250</v>
      </c>
      <c r="F9" s="215">
        <f>'07_23'!G2</f>
        <v>-42110.31</v>
      </c>
      <c r="G9" s="217">
        <f t="shared" si="1"/>
        <v>-34302.939999999988</v>
      </c>
      <c r="H9" s="34"/>
      <c r="I9" s="35" t="s">
        <v>46</v>
      </c>
      <c r="J9">
        <v>96</v>
      </c>
      <c r="K9" s="218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4">
        <f>'08_23'!D2</f>
        <v>87911</v>
      </c>
      <c r="C10" s="215">
        <f>'08_23'!E2</f>
        <v>-32079.01</v>
      </c>
      <c r="D10" s="216">
        <f t="shared" si="0"/>
        <v>67685.187000000005</v>
      </c>
      <c r="E10" s="214">
        <f>'08_23'!F2</f>
        <v>16800</v>
      </c>
      <c r="F10" s="215">
        <f>'08_23'!G2</f>
        <v>-37135.350000000006</v>
      </c>
      <c r="G10" s="217">
        <f t="shared" si="1"/>
        <v>-54638.289999999994</v>
      </c>
      <c r="H10" s="34"/>
      <c r="I10" s="35" t="s">
        <v>48</v>
      </c>
      <c r="J10">
        <v>100</v>
      </c>
      <c r="K10" s="218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4">
        <f>'09_23'!D2</f>
        <v>133300</v>
      </c>
      <c r="C11" s="215">
        <f>'09_23'!E2</f>
        <v>-31871.02</v>
      </c>
      <c r="D11" s="216">
        <f t="shared" si="0"/>
        <v>169114.16700000002</v>
      </c>
      <c r="E11" s="214">
        <f>'09_23'!F2</f>
        <v>257800</v>
      </c>
      <c r="F11" s="215">
        <f>'09_23'!G2</f>
        <v>-34914.910000000003</v>
      </c>
      <c r="G11" s="217">
        <f t="shared" si="1"/>
        <v>168246.8</v>
      </c>
      <c r="H11" s="34"/>
      <c r="I11" s="35" t="s">
        <v>50</v>
      </c>
      <c r="J11">
        <v>96</v>
      </c>
      <c r="K11" s="218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4">
        <f>'10_23'!D2</f>
        <v>32800</v>
      </c>
      <c r="C12" s="215">
        <f>'10_23'!E2</f>
        <v>-44478.170000000006</v>
      </c>
      <c r="D12" s="216">
        <f t="shared" si="0"/>
        <v>157435.997</v>
      </c>
      <c r="E12" s="214">
        <f>'10_23'!F2</f>
        <v>23200</v>
      </c>
      <c r="F12" s="215">
        <f>'10_23'!G2</f>
        <v>-43968.17</v>
      </c>
      <c r="G12" s="217">
        <f t="shared" si="1"/>
        <v>147478.63</v>
      </c>
      <c r="H12" s="34"/>
      <c r="I12" s="35" t="s">
        <v>52</v>
      </c>
      <c r="J12">
        <v>84</v>
      </c>
      <c r="K12" s="218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4">
        <f>'11_23'!D2</f>
        <v>262800</v>
      </c>
      <c r="C13" s="215">
        <f>'11_23'!E2</f>
        <v>-98843.11</v>
      </c>
      <c r="D13" s="216">
        <f t="shared" si="0"/>
        <v>321392.88699999999</v>
      </c>
      <c r="E13" s="214">
        <f>'11_23'!F2</f>
        <v>177687.06</v>
      </c>
      <c r="F13" s="215">
        <f>'11_23'!G2</f>
        <v>-242504.11</v>
      </c>
      <c r="G13" s="217">
        <f t="shared" si="1"/>
        <v>82661.580000000016</v>
      </c>
      <c r="H13" s="34"/>
      <c r="I13" s="35" t="s">
        <v>54</v>
      </c>
      <c r="J13">
        <v>135</v>
      </c>
      <c r="K13" s="218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4">
        <f>'12_23'!D2</f>
        <v>22800</v>
      </c>
      <c r="C14" s="215">
        <f>'12_23'!E2</f>
        <v>-38101.83</v>
      </c>
      <c r="D14" s="216">
        <f t="shared" si="0"/>
        <v>306091.05699999997</v>
      </c>
      <c r="E14" s="214">
        <f>'12_23'!F2</f>
        <v>16232.529999999999</v>
      </c>
      <c r="F14" s="215">
        <f>'12_23'!G2</f>
        <v>-41854.230000000003</v>
      </c>
      <c r="G14" s="217">
        <f t="shared" si="1"/>
        <v>57039.880000000012</v>
      </c>
      <c r="H14" s="34"/>
      <c r="I14" s="35" t="s">
        <v>56</v>
      </c>
      <c r="K14" s="218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20">
        <f>SUM(B3:B14)</f>
        <v>792299</v>
      </c>
      <c r="C15" s="221">
        <f>SUM(C3:C14)</f>
        <v>-486207.94300000003</v>
      </c>
      <c r="D15" s="222">
        <f>B15+C15</f>
        <v>306091.05699999997</v>
      </c>
      <c r="E15" s="220">
        <f>SUM(E3:E14)</f>
        <v>745711.14000000013</v>
      </c>
      <c r="F15" s="221">
        <f>SUM(F3:F14)</f>
        <v>-688671.26</v>
      </c>
      <c r="G15" s="222">
        <f>E15+F15</f>
        <v>57039.880000000121</v>
      </c>
      <c r="H15" s="34"/>
      <c r="I15" s="223"/>
      <c r="J15" s="223">
        <f>SUM(J3:J14)</f>
        <v>855.16</v>
      </c>
      <c r="K15" s="224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5"/>
      <c r="J16" s="55">
        <f>J15/12</f>
        <v>71.263333333333335</v>
      </c>
      <c r="K16" s="226">
        <f>K15/12</f>
        <v>9.6931131199999996</v>
      </c>
      <c r="L16" s="227">
        <f>L15/12</f>
        <v>31.486886880000004</v>
      </c>
      <c r="M16" s="228">
        <f>M15/12</f>
        <v>20.803423333333331</v>
      </c>
      <c r="N16" s="229">
        <f>AVERAGE(N2:N15)</f>
        <v>418.25000730769227</v>
      </c>
    </row>
    <row r="17" spans="2:13">
      <c r="C17" s="2"/>
      <c r="D17" s="2"/>
      <c r="G17" s="63"/>
      <c r="H17" s="63"/>
      <c r="I17" s="35"/>
      <c r="L17" s="230" t="s">
        <v>805</v>
      </c>
      <c r="M17" s="231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2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9"/>
      <c r="F26" s="160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3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4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5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6">
        <f t="shared" si="1"/>
        <v>1072</v>
      </c>
    </row>
    <row r="59" spans="2:7">
      <c r="G59" s="237"/>
    </row>
    <row r="60" spans="2:7" ht="15">
      <c r="C60" s="238" t="s">
        <v>859</v>
      </c>
      <c r="D60" s="239">
        <f>SUM(D3:D36)+SUM(D41:D52)</f>
        <v>5271</v>
      </c>
      <c r="E60" s="239">
        <f>SUM(E3:E36)+SUM(E41:E56)</f>
        <v>37708</v>
      </c>
      <c r="F60" s="239">
        <f>SUM(F3:F36)+SUM(F41:F56)</f>
        <v>36636</v>
      </c>
      <c r="G60" s="240">
        <f>E60-F60</f>
        <v>1072</v>
      </c>
    </row>
    <row r="61" spans="2:7">
      <c r="D61" s="241" t="s">
        <v>860</v>
      </c>
      <c r="E61" s="242" t="s">
        <v>861</v>
      </c>
      <c r="F61" s="242" t="s">
        <v>862</v>
      </c>
      <c r="G61" s="243" t="s">
        <v>862</v>
      </c>
    </row>
    <row r="62" spans="2:7">
      <c r="D62" s="241" t="s">
        <v>863</v>
      </c>
      <c r="E62" s="242" t="s">
        <v>864</v>
      </c>
      <c r="F62" s="242" t="s">
        <v>274</v>
      </c>
      <c r="G62" s="244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7" customWidth="1"/>
    <col min="5" max="5" width="12" style="177" customWidth="1"/>
    <col min="6" max="6" width="12.5703125" style="177" customWidth="1"/>
    <col min="7" max="7" width="4.140625" style="245" customWidth="1"/>
    <col min="8" max="8" width="11.85546875" style="177" customWidth="1"/>
    <col min="9" max="9" width="15.5703125" style="177" customWidth="1"/>
    <col min="10" max="10" width="9.140625" customWidth="1"/>
  </cols>
  <sheetData>
    <row r="2" spans="2:9">
      <c r="C2" s="246" t="s">
        <v>866</v>
      </c>
    </row>
    <row r="3" spans="2:9">
      <c r="D3" s="247" t="s">
        <v>867</v>
      </c>
      <c r="E3" s="125" t="s">
        <v>868</v>
      </c>
      <c r="F3" s="247" t="s">
        <v>869</v>
      </c>
      <c r="G3" s="248"/>
      <c r="I3" s="247" t="s">
        <v>870</v>
      </c>
    </row>
    <row r="4" spans="2:9">
      <c r="D4" s="247" t="s">
        <v>871</v>
      </c>
      <c r="E4" s="125" t="s">
        <v>224</v>
      </c>
      <c r="F4" s="247" t="s">
        <v>871</v>
      </c>
      <c r="G4" s="248"/>
      <c r="I4" s="247" t="s">
        <v>224</v>
      </c>
    </row>
    <row r="5" spans="2:9" ht="14.25">
      <c r="E5" s="249">
        <v>119305.95</v>
      </c>
      <c r="F5" s="249"/>
      <c r="G5" s="250"/>
      <c r="H5" s="251" t="s">
        <v>872</v>
      </c>
      <c r="I5" s="252">
        <f>NZN_23!I8*-1</f>
        <v>119305.95484700002</v>
      </c>
    </row>
    <row r="6" spans="2:9" ht="14.25">
      <c r="H6" s="253" t="s">
        <v>873</v>
      </c>
      <c r="I6" s="254">
        <f>I23*-1</f>
        <v>39967</v>
      </c>
    </row>
    <row r="7" spans="2:9" ht="14.25">
      <c r="I7" s="254">
        <f>I6+I5</f>
        <v>159272.95484700002</v>
      </c>
    </row>
    <row r="8" spans="2:9">
      <c r="B8" s="161">
        <v>45295</v>
      </c>
      <c r="C8" s="8" t="s">
        <v>874</v>
      </c>
      <c r="D8" s="125">
        <v>10000</v>
      </c>
      <c r="E8" s="177">
        <f>I7-D8</f>
        <v>149272.95484700002</v>
      </c>
      <c r="F8" s="255">
        <v>10000</v>
      </c>
      <c r="G8" s="256"/>
      <c r="H8" s="257" t="s">
        <v>875</v>
      </c>
      <c r="I8" s="257">
        <f t="shared" ref="I8:I19" si="0">I7-F8</f>
        <v>149272.95484700002</v>
      </c>
    </row>
    <row r="9" spans="2:9">
      <c r="B9" s="161">
        <v>45324</v>
      </c>
      <c r="C9" s="8" t="s">
        <v>874</v>
      </c>
      <c r="D9" s="125">
        <v>10000</v>
      </c>
      <c r="E9" s="177">
        <f t="shared" ref="E9:E19" si="1">E8-D9</f>
        <v>139272.95484700002</v>
      </c>
      <c r="F9" s="255">
        <v>10000</v>
      </c>
      <c r="H9" s="257" t="s">
        <v>875</v>
      </c>
      <c r="I9" s="177">
        <f t="shared" si="0"/>
        <v>139272.95484700002</v>
      </c>
    </row>
    <row r="10" spans="2:9">
      <c r="B10" s="161">
        <v>45352</v>
      </c>
      <c r="D10" s="125">
        <v>10000</v>
      </c>
      <c r="E10" s="177">
        <f t="shared" si="1"/>
        <v>129272.95484700002</v>
      </c>
      <c r="F10" s="255">
        <v>10000</v>
      </c>
      <c r="H10" s="257" t="s">
        <v>875</v>
      </c>
      <c r="I10" s="177">
        <f t="shared" si="0"/>
        <v>129272.95484700002</v>
      </c>
    </row>
    <row r="11" spans="2:9">
      <c r="B11" s="161">
        <v>45383</v>
      </c>
      <c r="D11" s="125">
        <v>10000</v>
      </c>
      <c r="E11" s="177">
        <f t="shared" si="1"/>
        <v>119272.95484700002</v>
      </c>
      <c r="F11" s="255">
        <v>10000</v>
      </c>
      <c r="H11" s="257" t="s">
        <v>875</v>
      </c>
      <c r="I11" s="177">
        <f t="shared" si="0"/>
        <v>119272.95484700002</v>
      </c>
    </row>
    <row r="12" spans="2:9">
      <c r="B12" s="161">
        <v>45413</v>
      </c>
      <c r="D12" s="125">
        <v>10000</v>
      </c>
      <c r="E12" s="177">
        <f t="shared" si="1"/>
        <v>109272.95484700002</v>
      </c>
      <c r="F12" s="255">
        <v>10000</v>
      </c>
      <c r="H12" s="257" t="s">
        <v>875</v>
      </c>
      <c r="I12" s="177">
        <f t="shared" si="0"/>
        <v>109272.95484700002</v>
      </c>
    </row>
    <row r="13" spans="2:9">
      <c r="B13" s="161">
        <v>45444</v>
      </c>
      <c r="D13" s="125">
        <v>10000</v>
      </c>
      <c r="E13" s="177">
        <f t="shared" si="1"/>
        <v>99272.954847000015</v>
      </c>
      <c r="F13" s="255">
        <v>10000</v>
      </c>
      <c r="H13" s="257" t="s">
        <v>875</v>
      </c>
      <c r="I13" s="177">
        <f t="shared" si="0"/>
        <v>99272.954847000015</v>
      </c>
    </row>
    <row r="14" spans="2:9">
      <c r="B14" s="161">
        <v>45474</v>
      </c>
      <c r="D14" s="125">
        <v>10000</v>
      </c>
      <c r="E14" s="177">
        <f t="shared" si="1"/>
        <v>89272.954847000015</v>
      </c>
      <c r="F14" s="255">
        <v>10000</v>
      </c>
      <c r="H14" s="257" t="s">
        <v>875</v>
      </c>
      <c r="I14" s="177">
        <f t="shared" si="0"/>
        <v>89272.954847000015</v>
      </c>
    </row>
    <row r="15" spans="2:9">
      <c r="B15" s="161">
        <v>45505</v>
      </c>
      <c r="D15" s="125">
        <v>10000</v>
      </c>
      <c r="E15" s="177">
        <f t="shared" si="1"/>
        <v>79272.954847000015</v>
      </c>
      <c r="H15" s="177" t="s">
        <v>876</v>
      </c>
      <c r="I15" s="177">
        <f t="shared" si="0"/>
        <v>89272.954847000015</v>
      </c>
    </row>
    <row r="16" spans="2:9">
      <c r="B16" s="161">
        <v>45536</v>
      </c>
      <c r="D16" s="125">
        <v>10000</v>
      </c>
      <c r="E16" s="177">
        <f t="shared" si="1"/>
        <v>69272.954847000015</v>
      </c>
      <c r="H16" s="177" t="s">
        <v>876</v>
      </c>
      <c r="I16" s="177">
        <f t="shared" si="0"/>
        <v>89272.954847000015</v>
      </c>
    </row>
    <row r="17" spans="2:11">
      <c r="B17" s="161">
        <v>45566</v>
      </c>
      <c r="D17" s="125">
        <v>10000</v>
      </c>
      <c r="E17" s="177">
        <f t="shared" si="1"/>
        <v>59272.954847000015</v>
      </c>
      <c r="H17" s="177" t="s">
        <v>876</v>
      </c>
      <c r="I17" s="177">
        <f t="shared" si="0"/>
        <v>89272.954847000015</v>
      </c>
    </row>
    <row r="18" spans="2:11">
      <c r="B18" s="161">
        <v>45597</v>
      </c>
      <c r="D18" s="125">
        <v>10000</v>
      </c>
      <c r="E18" s="177">
        <f t="shared" si="1"/>
        <v>49272.954847000015</v>
      </c>
      <c r="H18" s="177" t="s">
        <v>876</v>
      </c>
      <c r="I18" s="177">
        <f t="shared" si="0"/>
        <v>89272.954847000015</v>
      </c>
    </row>
    <row r="19" spans="2:11">
      <c r="B19" s="161">
        <v>45627</v>
      </c>
      <c r="D19" s="125">
        <v>10000</v>
      </c>
      <c r="E19" s="177">
        <f t="shared" si="1"/>
        <v>39272.954847000015</v>
      </c>
      <c r="I19" s="177">
        <f t="shared" si="0"/>
        <v>89272.954847000015</v>
      </c>
    </row>
    <row r="20" spans="2:11">
      <c r="D20" s="125"/>
    </row>
    <row r="21" spans="2:11" ht="15.75">
      <c r="C21" s="258" t="s">
        <v>877</v>
      </c>
      <c r="E21" s="259">
        <v>0.2351</v>
      </c>
      <c r="F21" s="259">
        <f>1-E21</f>
        <v>0.76490000000000002</v>
      </c>
    </row>
    <row r="22" spans="2:11">
      <c r="B22" s="260" t="s">
        <v>878</v>
      </c>
      <c r="C22" s="260" t="s">
        <v>879</v>
      </c>
      <c r="D22" s="261" t="s">
        <v>880</v>
      </c>
      <c r="E22" s="262" t="s">
        <v>881</v>
      </c>
      <c r="F22" s="261" t="s">
        <v>882</v>
      </c>
      <c r="G22" s="263" t="s">
        <v>883</v>
      </c>
      <c r="H22" s="261" t="s">
        <v>884</v>
      </c>
      <c r="I22" s="261" t="s">
        <v>885</v>
      </c>
    </row>
    <row r="23" spans="2:11">
      <c r="B23" s="264"/>
      <c r="C23" s="265" t="s">
        <v>886</v>
      </c>
      <c r="D23" s="266">
        <f>SUBTOTAL(109,D24:D37)</f>
        <v>331000</v>
      </c>
      <c r="E23" s="266">
        <f>SUBTOTAL(109,$E$24:$E$37)</f>
        <v>170000</v>
      </c>
      <c r="F23" s="266">
        <f>SUM(F24:F37)</f>
        <v>-37851.1</v>
      </c>
      <c r="G23" s="267"/>
      <c r="H23" s="266">
        <f>SUBTOTAL(109,$H$24:$H$37)</f>
        <v>-39967</v>
      </c>
      <c r="I23" s="266">
        <f>I24</f>
        <v>-39967</v>
      </c>
      <c r="K23" s="268"/>
    </row>
    <row r="24" spans="2:11">
      <c r="B24" s="269">
        <v>45656</v>
      </c>
      <c r="C24" s="8" t="s">
        <v>887</v>
      </c>
      <c r="E24" s="125">
        <f t="shared" ref="E24:E37" si="2">IF(G24=1,$D24,0)</f>
        <v>0</v>
      </c>
      <c r="F24" s="270">
        <f t="shared" ref="F24:F37" si="3">IF(G24=0,D24*$E$21*-1,0)</f>
        <v>0</v>
      </c>
      <c r="G24" s="271">
        <v>0</v>
      </c>
      <c r="H24" s="125">
        <f t="shared" ref="H24:H37" si="4">IF(G24=1,D24*$E$21*-1,0)</f>
        <v>0</v>
      </c>
      <c r="I24" s="177">
        <f t="shared" ref="I24:I36" si="5">I25+H24</f>
        <v>-39967</v>
      </c>
      <c r="K24" s="268"/>
    </row>
    <row r="25" spans="2:11">
      <c r="B25" s="272"/>
      <c r="C25" s="273"/>
      <c r="D25" s="274"/>
      <c r="E25" s="125">
        <f t="shared" si="2"/>
        <v>0</v>
      </c>
      <c r="F25" s="270">
        <f t="shared" si="3"/>
        <v>0</v>
      </c>
      <c r="G25" s="271">
        <v>0</v>
      </c>
      <c r="H25" s="125">
        <f t="shared" si="4"/>
        <v>0</v>
      </c>
      <c r="I25" s="177">
        <f t="shared" si="5"/>
        <v>-39967</v>
      </c>
    </row>
    <row r="26" spans="2:11">
      <c r="B26" s="275"/>
      <c r="C26" s="276"/>
      <c r="D26" s="277"/>
      <c r="E26" s="125">
        <f t="shared" si="2"/>
        <v>0</v>
      </c>
      <c r="F26" s="270">
        <f t="shared" si="3"/>
        <v>0</v>
      </c>
      <c r="G26" s="271">
        <v>0</v>
      </c>
      <c r="H26" s="125">
        <f t="shared" si="4"/>
        <v>0</v>
      </c>
      <c r="I26" s="177">
        <f t="shared" si="5"/>
        <v>-39967</v>
      </c>
    </row>
    <row r="27" spans="2:11">
      <c r="B27" s="275"/>
      <c r="C27" s="276"/>
      <c r="D27" s="277"/>
      <c r="E27" s="125">
        <f t="shared" si="2"/>
        <v>0</v>
      </c>
      <c r="F27" s="270">
        <f t="shared" si="3"/>
        <v>0</v>
      </c>
      <c r="G27" s="271">
        <v>0</v>
      </c>
      <c r="H27" s="125">
        <f t="shared" si="4"/>
        <v>0</v>
      </c>
      <c r="I27" s="177">
        <f t="shared" si="5"/>
        <v>-39967</v>
      </c>
    </row>
    <row r="28" spans="2:11">
      <c r="B28" s="272"/>
      <c r="C28" s="273"/>
      <c r="D28" s="274"/>
      <c r="E28" s="125">
        <f t="shared" si="2"/>
        <v>0</v>
      </c>
      <c r="F28" s="270">
        <f t="shared" si="3"/>
        <v>0</v>
      </c>
      <c r="G28" s="271">
        <v>0</v>
      </c>
      <c r="H28" s="125">
        <f t="shared" si="4"/>
        <v>0</v>
      </c>
      <c r="I28" s="177">
        <f t="shared" si="5"/>
        <v>-39967</v>
      </c>
    </row>
    <row r="29" spans="2:11">
      <c r="B29" s="272"/>
      <c r="C29" s="273" t="s">
        <v>888</v>
      </c>
      <c r="D29" s="274"/>
      <c r="E29" s="125">
        <f t="shared" si="2"/>
        <v>0</v>
      </c>
      <c r="F29" s="270">
        <f t="shared" si="3"/>
        <v>0</v>
      </c>
      <c r="G29" s="271">
        <v>0</v>
      </c>
      <c r="H29" s="125">
        <f t="shared" si="4"/>
        <v>0</v>
      </c>
      <c r="I29" s="177">
        <f t="shared" si="5"/>
        <v>-39967</v>
      </c>
    </row>
    <row r="30" spans="2:11">
      <c r="B30" s="272"/>
      <c r="C30" s="273"/>
      <c r="D30" s="274"/>
      <c r="E30" s="125">
        <f t="shared" si="2"/>
        <v>0</v>
      </c>
      <c r="F30" s="270">
        <f t="shared" si="3"/>
        <v>0</v>
      </c>
      <c r="G30" s="271">
        <v>0</v>
      </c>
      <c r="H30" s="125">
        <f t="shared" si="4"/>
        <v>0</v>
      </c>
      <c r="I30" s="177">
        <f t="shared" si="5"/>
        <v>-39967</v>
      </c>
    </row>
    <row r="31" spans="2:11">
      <c r="B31" s="272"/>
      <c r="C31" s="273"/>
      <c r="D31" s="274"/>
      <c r="E31" s="125">
        <f t="shared" si="2"/>
        <v>0</v>
      </c>
      <c r="F31" s="270">
        <f t="shared" si="3"/>
        <v>0</v>
      </c>
      <c r="G31" s="271">
        <v>0</v>
      </c>
      <c r="H31" s="125">
        <f t="shared" si="4"/>
        <v>0</v>
      </c>
      <c r="I31" s="177">
        <f t="shared" si="5"/>
        <v>-39967</v>
      </c>
    </row>
    <row r="32" spans="2:11">
      <c r="B32" s="275"/>
      <c r="C32" s="276"/>
      <c r="D32" s="277"/>
      <c r="E32" s="125">
        <f t="shared" si="2"/>
        <v>0</v>
      </c>
      <c r="F32" s="270">
        <f t="shared" si="3"/>
        <v>0</v>
      </c>
      <c r="G32" s="271">
        <v>0</v>
      </c>
      <c r="H32" s="125">
        <f t="shared" si="4"/>
        <v>0</v>
      </c>
      <c r="I32" s="177">
        <f t="shared" si="5"/>
        <v>-39967</v>
      </c>
    </row>
    <row r="33" spans="2:11">
      <c r="B33" s="269">
        <v>45321</v>
      </c>
      <c r="C33" s="278" t="s">
        <v>889</v>
      </c>
      <c r="D33" s="279">
        <v>7000</v>
      </c>
      <c r="E33" s="125">
        <f t="shared" si="2"/>
        <v>0</v>
      </c>
      <c r="F33" s="270">
        <f t="shared" si="3"/>
        <v>-1645.7</v>
      </c>
      <c r="G33" s="271">
        <v>0</v>
      </c>
      <c r="H33" s="125">
        <f t="shared" si="4"/>
        <v>0</v>
      </c>
      <c r="I33" s="177">
        <f t="shared" si="5"/>
        <v>-39967</v>
      </c>
    </row>
    <row r="34" spans="2:11">
      <c r="B34" s="275"/>
      <c r="C34" s="276" t="s">
        <v>890</v>
      </c>
      <c r="D34" s="277">
        <v>24000</v>
      </c>
      <c r="E34" s="125">
        <f t="shared" si="2"/>
        <v>24000</v>
      </c>
      <c r="F34" s="270">
        <f t="shared" si="3"/>
        <v>0</v>
      </c>
      <c r="G34" s="271">
        <v>1</v>
      </c>
      <c r="H34" s="125">
        <f t="shared" si="4"/>
        <v>-5642.4</v>
      </c>
      <c r="I34" s="177">
        <f t="shared" si="5"/>
        <v>-39967</v>
      </c>
    </row>
    <row r="35" spans="2:11">
      <c r="B35" s="275">
        <v>45296</v>
      </c>
      <c r="C35" s="276" t="s">
        <v>891</v>
      </c>
      <c r="D35" s="277">
        <v>26000</v>
      </c>
      <c r="E35" s="125">
        <f t="shared" si="2"/>
        <v>26000</v>
      </c>
      <c r="F35" s="270">
        <f t="shared" si="3"/>
        <v>0</v>
      </c>
      <c r="G35" s="271">
        <v>1</v>
      </c>
      <c r="H35" s="125">
        <f t="shared" si="4"/>
        <v>-6112.6</v>
      </c>
      <c r="I35" s="177">
        <f t="shared" si="5"/>
        <v>-34324.6</v>
      </c>
    </row>
    <row r="36" spans="2:11">
      <c r="B36" s="272">
        <v>45295</v>
      </c>
      <c r="C36" s="276" t="s">
        <v>891</v>
      </c>
      <c r="D36" s="274">
        <v>120000</v>
      </c>
      <c r="E36" s="125">
        <f t="shared" si="2"/>
        <v>120000</v>
      </c>
      <c r="F36" s="270">
        <f t="shared" si="3"/>
        <v>0</v>
      </c>
      <c r="G36" s="271">
        <v>1</v>
      </c>
      <c r="H36" s="125">
        <f t="shared" si="4"/>
        <v>-28212</v>
      </c>
      <c r="I36" s="177">
        <f t="shared" si="5"/>
        <v>-28212</v>
      </c>
    </row>
    <row r="37" spans="2:11">
      <c r="B37" s="275">
        <v>45292</v>
      </c>
      <c r="C37" s="276" t="s">
        <v>771</v>
      </c>
      <c r="D37" s="280">
        <v>154000</v>
      </c>
      <c r="E37" s="125">
        <f t="shared" si="2"/>
        <v>0</v>
      </c>
      <c r="F37" s="270">
        <f t="shared" si="3"/>
        <v>-36205.4</v>
      </c>
      <c r="G37" s="281">
        <v>0</v>
      </c>
      <c r="H37" s="125">
        <f t="shared" si="4"/>
        <v>0</v>
      </c>
      <c r="I37" s="177">
        <f>H37</f>
        <v>0</v>
      </c>
    </row>
    <row r="40" spans="2:11">
      <c r="D40" s="125" t="s">
        <v>892</v>
      </c>
      <c r="E40" s="177" t="s">
        <v>893</v>
      </c>
      <c r="F40" s="177" t="s">
        <v>894</v>
      </c>
      <c r="H40" s="282"/>
      <c r="I40" s="282"/>
      <c r="J40" s="283"/>
    </row>
    <row r="41" spans="2:11" ht="15.75">
      <c r="C41" t="s">
        <v>895</v>
      </c>
      <c r="D41" s="284">
        <v>1</v>
      </c>
      <c r="E41" s="285">
        <f>1-F41</f>
        <v>0.76490000000000002</v>
      </c>
      <c r="F41" s="285">
        <f>E21</f>
        <v>0.2351</v>
      </c>
    </row>
    <row r="42" spans="2:11">
      <c r="C42" t="s">
        <v>896</v>
      </c>
      <c r="D42" s="286">
        <f>$D$23*D41</f>
        <v>331000</v>
      </c>
      <c r="E42" s="287">
        <f>$D$23*E41</f>
        <v>253181.9</v>
      </c>
      <c r="F42" s="287">
        <f>$D$23*F41</f>
        <v>77818.100000000006</v>
      </c>
    </row>
    <row r="43" spans="2:11">
      <c r="C43" t="s">
        <v>897</v>
      </c>
      <c r="D43" s="125">
        <f>E43+F43</f>
        <v>170000</v>
      </c>
      <c r="E43" s="177">
        <f>F43/F41*E41</f>
        <v>130033</v>
      </c>
      <c r="F43" s="177">
        <f>$I$23*-1</f>
        <v>39967</v>
      </c>
      <c r="K43" s="63"/>
    </row>
    <row r="44" spans="2:11">
      <c r="C44" t="s">
        <v>898</v>
      </c>
      <c r="D44" s="125">
        <f>D42-D43</f>
        <v>161000</v>
      </c>
      <c r="E44" s="177">
        <f>E42-E43</f>
        <v>123148.9</v>
      </c>
      <c r="F44" s="177">
        <f>F42-F43</f>
        <v>37851.100000000006</v>
      </c>
      <c r="K44" s="63"/>
    </row>
    <row r="45" spans="2:11">
      <c r="D45" s="288"/>
      <c r="E45" s="288"/>
      <c r="F45" s="288"/>
      <c r="K45" s="63"/>
    </row>
    <row r="46" spans="2:11">
      <c r="K46" s="63"/>
    </row>
    <row r="47" spans="2:11">
      <c r="D47" s="247" t="s">
        <v>899</v>
      </c>
      <c r="E47" s="247" t="s">
        <v>900</v>
      </c>
      <c r="F47" s="247" t="s">
        <v>901</v>
      </c>
      <c r="K47" s="63"/>
    </row>
    <row r="48" spans="2:11">
      <c r="E48" s="253"/>
      <c r="K48" s="63"/>
    </row>
    <row r="49" spans="3:6">
      <c r="C49" s="63" t="s">
        <v>805</v>
      </c>
      <c r="D49" s="177">
        <f>E43</f>
        <v>130033</v>
      </c>
      <c r="E49" s="177">
        <v>2.5000000000000001E-2</v>
      </c>
      <c r="F49" s="177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6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8" t="s">
        <v>877</v>
      </c>
      <c r="E5" s="289">
        <v>0.2351</v>
      </c>
      <c r="F5" s="289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6" t="s">
        <v>881</v>
      </c>
      <c r="F6" s="35" t="s">
        <v>882</v>
      </c>
      <c r="G6" s="290" t="s">
        <v>883</v>
      </c>
      <c r="H6" s="35" t="s">
        <v>884</v>
      </c>
      <c r="I6" s="291" t="s">
        <v>885</v>
      </c>
    </row>
    <row r="7" spans="2:11">
      <c r="K7" s="268"/>
    </row>
    <row r="8" spans="2:11" ht="15.75">
      <c r="B8" s="269">
        <v>45290</v>
      </c>
      <c r="C8" s="8" t="s">
        <v>887</v>
      </c>
      <c r="D8">
        <v>-5843.55</v>
      </c>
      <c r="E8" s="164">
        <f t="shared" ref="E8:E25" si="0">IF(G8=1,$D8,0)</f>
        <v>-5843.55</v>
      </c>
      <c r="F8" s="292">
        <f t="shared" ref="F8:F25" si="1">IF(G8=0,D8*$E$5*-1,0)</f>
        <v>0</v>
      </c>
      <c r="G8" s="293">
        <v>1</v>
      </c>
      <c r="H8" s="164">
        <f t="shared" ref="H8:H25" si="2">IF(G8=1,D8*$E$5*-1,0)</f>
        <v>1373.8186050000002</v>
      </c>
      <c r="I8" s="294">
        <f t="shared" ref="I8:I25" si="3">I9+H8</f>
        <v>-119305.95484700002</v>
      </c>
      <c r="K8" s="268"/>
    </row>
    <row r="9" spans="2:11">
      <c r="B9" s="295">
        <v>45290</v>
      </c>
      <c r="C9" s="85" t="s">
        <v>902</v>
      </c>
      <c r="D9" s="296">
        <v>135000</v>
      </c>
      <c r="E9" s="164">
        <f t="shared" si="0"/>
        <v>135000</v>
      </c>
      <c r="F9" s="292">
        <f t="shared" si="1"/>
        <v>0</v>
      </c>
      <c r="G9" s="293">
        <v>1</v>
      </c>
      <c r="H9" s="164">
        <f t="shared" si="2"/>
        <v>-31738.5</v>
      </c>
      <c r="I9" s="63">
        <f t="shared" si="3"/>
        <v>-120679.77345200001</v>
      </c>
    </row>
    <row r="10" spans="2:11">
      <c r="B10" s="297">
        <v>45260</v>
      </c>
      <c r="C10" s="298" t="s">
        <v>903</v>
      </c>
      <c r="D10" s="299"/>
      <c r="E10" s="300">
        <f t="shared" si="0"/>
        <v>0</v>
      </c>
      <c r="F10" s="301">
        <f t="shared" si="1"/>
        <v>0</v>
      </c>
      <c r="G10" s="302">
        <v>0</v>
      </c>
      <c r="H10" s="300">
        <f t="shared" si="2"/>
        <v>0</v>
      </c>
      <c r="I10" s="299">
        <f t="shared" si="3"/>
        <v>-88941.273452000009</v>
      </c>
    </row>
    <row r="11" spans="2:11">
      <c r="B11" s="295">
        <v>45236</v>
      </c>
      <c r="C11" s="85" t="s">
        <v>904</v>
      </c>
      <c r="D11" s="296">
        <v>15887.06</v>
      </c>
      <c r="E11" s="164">
        <f t="shared" si="0"/>
        <v>15887.06</v>
      </c>
      <c r="F11" s="292">
        <f t="shared" si="1"/>
        <v>0</v>
      </c>
      <c r="G11" s="293">
        <v>1</v>
      </c>
      <c r="H11" s="164">
        <f t="shared" si="2"/>
        <v>-3735.047806</v>
      </c>
      <c r="I11" s="63">
        <f t="shared" si="3"/>
        <v>-88941.273452000009</v>
      </c>
    </row>
    <row r="12" spans="2:11">
      <c r="B12" s="295">
        <v>45195</v>
      </c>
      <c r="C12" s="85" t="s">
        <v>905</v>
      </c>
      <c r="D12" s="296">
        <v>84000</v>
      </c>
      <c r="E12" s="164">
        <f t="shared" si="0"/>
        <v>84000</v>
      </c>
      <c r="F12" s="292">
        <f t="shared" si="1"/>
        <v>0</v>
      </c>
      <c r="G12" s="293">
        <v>1</v>
      </c>
      <c r="H12" s="164">
        <f t="shared" si="2"/>
        <v>-19748.400000000001</v>
      </c>
      <c r="I12" s="63">
        <f t="shared" si="3"/>
        <v>-85206.225646000006</v>
      </c>
    </row>
    <row r="13" spans="2:11">
      <c r="B13" s="295">
        <v>45229</v>
      </c>
      <c r="C13" s="85" t="s">
        <v>906</v>
      </c>
      <c r="D13" s="296">
        <v>10000</v>
      </c>
      <c r="E13" s="164">
        <f t="shared" si="0"/>
        <v>10000</v>
      </c>
      <c r="F13" s="292">
        <f t="shared" si="1"/>
        <v>0</v>
      </c>
      <c r="G13" s="293">
        <v>1</v>
      </c>
      <c r="H13" s="164">
        <f t="shared" si="2"/>
        <v>-2351</v>
      </c>
      <c r="I13" s="63">
        <f t="shared" si="3"/>
        <v>-65457.825645999998</v>
      </c>
    </row>
    <row r="14" spans="2:11">
      <c r="B14" s="295">
        <v>45194</v>
      </c>
      <c r="C14" s="85" t="s">
        <v>906</v>
      </c>
      <c r="D14" s="296">
        <v>3000</v>
      </c>
      <c r="E14" s="164">
        <f t="shared" si="0"/>
        <v>3000</v>
      </c>
      <c r="F14" s="292">
        <f t="shared" si="1"/>
        <v>0</v>
      </c>
      <c r="G14" s="293">
        <v>1</v>
      </c>
      <c r="H14" s="164">
        <f t="shared" si="2"/>
        <v>-705.3</v>
      </c>
      <c r="I14" s="63">
        <f t="shared" si="3"/>
        <v>-63106.825645999998</v>
      </c>
    </row>
    <row r="15" spans="2:11">
      <c r="B15" s="295">
        <v>45192</v>
      </c>
      <c r="C15" s="85" t="s">
        <v>906</v>
      </c>
      <c r="D15" s="296">
        <v>83000</v>
      </c>
      <c r="E15" s="164">
        <f t="shared" si="0"/>
        <v>83000</v>
      </c>
      <c r="F15" s="292">
        <f t="shared" si="1"/>
        <v>0</v>
      </c>
      <c r="G15" s="293">
        <v>1</v>
      </c>
      <c r="H15" s="164">
        <f t="shared" si="2"/>
        <v>-19513.3</v>
      </c>
      <c r="I15" s="63">
        <f t="shared" si="3"/>
        <v>-62401.525645999995</v>
      </c>
    </row>
    <row r="16" spans="2:11">
      <c r="B16" s="269">
        <v>45321</v>
      </c>
      <c r="C16" s="278" t="s">
        <v>889</v>
      </c>
      <c r="D16" s="221">
        <v>7000</v>
      </c>
      <c r="E16" s="164">
        <f t="shared" si="0"/>
        <v>0</v>
      </c>
      <c r="F16" s="292">
        <f t="shared" si="1"/>
        <v>-1645.7</v>
      </c>
      <c r="G16" s="293">
        <v>0</v>
      </c>
      <c r="H16" s="164">
        <f t="shared" si="2"/>
        <v>0</v>
      </c>
      <c r="I16" s="63">
        <f t="shared" si="3"/>
        <v>-42888.225645999992</v>
      </c>
    </row>
    <row r="17" spans="2:10">
      <c r="B17" s="295">
        <v>45290</v>
      </c>
      <c r="C17" s="85" t="s">
        <v>907</v>
      </c>
      <c r="D17" s="296">
        <v>6000</v>
      </c>
      <c r="E17" s="164">
        <f t="shared" si="0"/>
        <v>6000</v>
      </c>
      <c r="F17" s="292">
        <f t="shared" si="1"/>
        <v>0</v>
      </c>
      <c r="G17" s="293">
        <v>1</v>
      </c>
      <c r="H17" s="164">
        <f t="shared" si="2"/>
        <v>-1410.6</v>
      </c>
      <c r="I17" s="63">
        <f t="shared" si="3"/>
        <v>-42888.225645999992</v>
      </c>
    </row>
    <row r="18" spans="2:10">
      <c r="B18" s="295">
        <v>45260</v>
      </c>
      <c r="C18" s="85" t="s">
        <v>908</v>
      </c>
      <c r="D18" s="296">
        <v>6000</v>
      </c>
      <c r="E18" s="164">
        <f t="shared" si="0"/>
        <v>6000</v>
      </c>
      <c r="F18" s="292">
        <f t="shared" si="1"/>
        <v>0</v>
      </c>
      <c r="G18" s="293">
        <v>1</v>
      </c>
      <c r="H18" s="164">
        <f t="shared" si="2"/>
        <v>-1410.6</v>
      </c>
      <c r="I18" s="63">
        <f t="shared" si="3"/>
        <v>-41477.625645999993</v>
      </c>
    </row>
    <row r="19" spans="2:10">
      <c r="B19" s="295">
        <v>45229</v>
      </c>
      <c r="C19" s="85" t="s">
        <v>909</v>
      </c>
      <c r="D19" s="296">
        <v>6000</v>
      </c>
      <c r="E19" s="164">
        <f t="shared" si="0"/>
        <v>6000</v>
      </c>
      <c r="F19" s="292">
        <f t="shared" si="1"/>
        <v>0</v>
      </c>
      <c r="G19" s="293">
        <v>1</v>
      </c>
      <c r="H19" s="164">
        <f t="shared" si="2"/>
        <v>-1410.6</v>
      </c>
      <c r="I19" s="63">
        <f t="shared" si="3"/>
        <v>-40067.025645999995</v>
      </c>
    </row>
    <row r="20" spans="2:10">
      <c r="B20" s="295">
        <v>45199</v>
      </c>
      <c r="C20" s="85" t="s">
        <v>889</v>
      </c>
      <c r="D20" s="296">
        <v>6000</v>
      </c>
      <c r="E20" s="164">
        <f t="shared" si="0"/>
        <v>6000</v>
      </c>
      <c r="F20" s="292">
        <f t="shared" si="1"/>
        <v>0</v>
      </c>
      <c r="G20" s="293">
        <v>1</v>
      </c>
      <c r="H20" s="164">
        <f t="shared" si="2"/>
        <v>-1410.6</v>
      </c>
      <c r="I20" s="63">
        <f t="shared" si="3"/>
        <v>-38656.425645999996</v>
      </c>
    </row>
    <row r="21" spans="2:10">
      <c r="B21" s="295">
        <v>45171</v>
      </c>
      <c r="C21" s="85" t="s">
        <v>889</v>
      </c>
      <c r="D21" s="296">
        <v>65000</v>
      </c>
      <c r="E21" s="164">
        <f t="shared" si="0"/>
        <v>65000</v>
      </c>
      <c r="F21" s="292">
        <f t="shared" si="1"/>
        <v>0</v>
      </c>
      <c r="G21" s="293">
        <v>1</v>
      </c>
      <c r="H21" s="164">
        <f t="shared" si="2"/>
        <v>-15281.5</v>
      </c>
      <c r="I21" s="63">
        <f t="shared" si="3"/>
        <v>-37245.825645999998</v>
      </c>
    </row>
    <row r="22" spans="2:10">
      <c r="B22" s="295">
        <v>45122</v>
      </c>
      <c r="C22" s="85" t="s">
        <v>910</v>
      </c>
      <c r="D22" s="296">
        <v>50000</v>
      </c>
      <c r="E22" s="164">
        <f t="shared" si="0"/>
        <v>50000</v>
      </c>
      <c r="F22" s="292">
        <f t="shared" si="1"/>
        <v>0</v>
      </c>
      <c r="G22" s="293">
        <v>1</v>
      </c>
      <c r="H22" s="164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6">
        <v>28080</v>
      </c>
      <c r="E23" s="164">
        <f t="shared" si="0"/>
        <v>28080</v>
      </c>
      <c r="F23" s="292">
        <f t="shared" si="1"/>
        <v>0</v>
      </c>
      <c r="G23" s="293">
        <v>1</v>
      </c>
      <c r="H23" s="164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6">
        <v>8425.4599999999991</v>
      </c>
      <c r="E24" s="164">
        <f t="shared" si="0"/>
        <v>8425.4599999999991</v>
      </c>
      <c r="F24" s="292">
        <f t="shared" si="1"/>
        <v>0</v>
      </c>
      <c r="G24" s="293">
        <v>1</v>
      </c>
      <c r="H24" s="164">
        <f t="shared" si="2"/>
        <v>-1980.8256459999998</v>
      </c>
      <c r="I24" s="63">
        <f t="shared" si="3"/>
        <v>-3607.7176460000001</v>
      </c>
    </row>
    <row r="25" spans="2:10">
      <c r="B25" s="295">
        <v>44963</v>
      </c>
      <c r="C25" s="85" t="s">
        <v>913</v>
      </c>
      <c r="D25" s="296">
        <v>6920</v>
      </c>
      <c r="E25" s="164">
        <f t="shared" si="0"/>
        <v>6920</v>
      </c>
      <c r="F25" s="292">
        <f t="shared" si="1"/>
        <v>0</v>
      </c>
      <c r="G25" s="303">
        <v>1</v>
      </c>
      <c r="H25" s="164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4" t="s">
        <v>892</v>
      </c>
      <c r="E31" s="63" t="s">
        <v>893</v>
      </c>
      <c r="F31" s="63" t="s">
        <v>894</v>
      </c>
      <c r="H31" s="304"/>
      <c r="I31" s="304"/>
      <c r="J31" s="283"/>
    </row>
    <row r="32" spans="2:10" ht="15.75">
      <c r="C32" t="s">
        <v>895</v>
      </c>
      <c r="D32" s="305">
        <v>1</v>
      </c>
      <c r="E32" s="306">
        <f>1-F32</f>
        <v>0.76490000000000002</v>
      </c>
      <c r="F32" s="306">
        <v>0.2351</v>
      </c>
      <c r="I32" s="63"/>
    </row>
    <row r="33" spans="3:11">
      <c r="C33" t="s">
        <v>896</v>
      </c>
      <c r="D33" s="307">
        <f>$D$27*D32</f>
        <v>514468.97000000003</v>
      </c>
      <c r="E33" s="308">
        <f>$D$27*E32</f>
        <v>393517.31515300006</v>
      </c>
      <c r="F33" s="308">
        <f>$D$27*F32</f>
        <v>120951.65484700001</v>
      </c>
      <c r="I33" s="63"/>
    </row>
    <row r="34" spans="3:11">
      <c r="C34" t="s">
        <v>897</v>
      </c>
      <c r="D34" s="164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9"/>
      <c r="I34" s="63"/>
      <c r="K34" s="63"/>
    </row>
    <row r="35" spans="3:11">
      <c r="C35" t="s">
        <v>898</v>
      </c>
      <c r="D35" s="164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10"/>
      <c r="E36" s="310"/>
      <c r="F36" s="310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1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2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917</v>
      </c>
      <c r="C2" s="79" t="s">
        <v>67</v>
      </c>
      <c r="D2" s="307">
        <f>SUM(D5:D35)</f>
        <v>22800</v>
      </c>
      <c r="E2" s="307">
        <f>SUM(E5:E35)</f>
        <v>-38101.83</v>
      </c>
      <c r="F2" s="307">
        <f>SUM(F5:F35)</f>
        <v>16232.529999999999</v>
      </c>
      <c r="G2" s="307">
        <f>SUM(G5:G35)</f>
        <v>-41854.230000000003</v>
      </c>
      <c r="H2" s="307">
        <f>F2+G2</f>
        <v>-25621.700000000004</v>
      </c>
    </row>
    <row r="3" spans="1:8">
      <c r="B3" s="18"/>
      <c r="H3" s="63"/>
    </row>
    <row r="4" spans="1:8">
      <c r="A4" s="166">
        <v>45259</v>
      </c>
      <c r="B4" s="312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6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6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6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4"/>
      <c r="H8" s="63">
        <f t="shared" si="0"/>
        <v>-1097</v>
      </c>
    </row>
    <row r="9" spans="1:8">
      <c r="B9" s="101" t="s">
        <v>920</v>
      </c>
      <c r="C9" s="101"/>
      <c r="D9" s="101"/>
      <c r="E9" s="164"/>
      <c r="H9" s="63">
        <f t="shared" si="0"/>
        <v>-1097</v>
      </c>
    </row>
    <row r="10" spans="1:8">
      <c r="B10" s="101" t="s">
        <v>119</v>
      </c>
      <c r="C10" s="101"/>
      <c r="D10" s="101"/>
      <c r="E10" s="164"/>
      <c r="H10" s="63">
        <f t="shared" si="0"/>
        <v>-1097</v>
      </c>
    </row>
    <row r="11" spans="1:8">
      <c r="B11" s="179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9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6">
        <v>45264</v>
      </c>
      <c r="B13" s="179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1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1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4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4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4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-27053.230000000003</v>
      </c>
    </row>
    <row r="20" spans="1:8">
      <c r="A20" s="166">
        <v>45272</v>
      </c>
      <c r="B20" s="106" t="s">
        <v>77</v>
      </c>
      <c r="C20" s="106"/>
      <c r="D20" s="106"/>
      <c r="E20" s="164"/>
      <c r="F20" s="164"/>
      <c r="G20" s="63">
        <v>-3512</v>
      </c>
      <c r="H20" s="63">
        <f t="shared" si="0"/>
        <v>-30565.230000000003</v>
      </c>
    </row>
    <row r="21" spans="1:8">
      <c r="A21" s="166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6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4"/>
      <c r="F24" s="63"/>
      <c r="G24" s="63">
        <v>-155</v>
      </c>
      <c r="H24" s="63">
        <f t="shared" si="0"/>
        <v>-41256.230000000003</v>
      </c>
    </row>
    <row r="25" spans="1:8">
      <c r="A25" s="166">
        <v>45655</v>
      </c>
      <c r="B25" s="101" t="s">
        <v>80</v>
      </c>
      <c r="C25" s="101"/>
      <c r="D25" s="101"/>
      <c r="E25" s="164"/>
      <c r="F25" s="63"/>
      <c r="G25" s="63">
        <v>-250</v>
      </c>
      <c r="H25" s="63">
        <f t="shared" si="0"/>
        <v>-41506.230000000003</v>
      </c>
    </row>
    <row r="26" spans="1:8">
      <c r="A26" s="166">
        <v>45655</v>
      </c>
      <c r="B26" s="101" t="s">
        <v>81</v>
      </c>
      <c r="C26" s="101"/>
      <c r="D26" s="101"/>
      <c r="E26" s="164"/>
      <c r="F26" s="63"/>
      <c r="G26" s="63">
        <v>-500</v>
      </c>
      <c r="H26" s="63">
        <f t="shared" si="0"/>
        <v>-42006.23</v>
      </c>
    </row>
    <row r="27" spans="1:8">
      <c r="E27" s="164"/>
      <c r="F27" s="63"/>
      <c r="G27" s="63"/>
      <c r="H27" s="63">
        <f t="shared" si="0"/>
        <v>-42006.23</v>
      </c>
    </row>
    <row r="28" spans="1:8">
      <c r="B28" t="s">
        <v>76</v>
      </c>
      <c r="D28" s="187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6">
        <v>45275</v>
      </c>
      <c r="B29" s="8" t="s">
        <v>924</v>
      </c>
      <c r="D29" s="187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1">
        <v>45293</v>
      </c>
      <c r="B30" s="8" t="s">
        <v>762</v>
      </c>
      <c r="D30" s="187">
        <v>6500</v>
      </c>
      <c r="F30" s="63"/>
      <c r="G30" s="63"/>
      <c r="H30" s="63">
        <f t="shared" si="0"/>
        <v>-31773.700000000004</v>
      </c>
    </row>
    <row r="31" spans="1:8">
      <c r="A31" s="161"/>
      <c r="D31" s="102"/>
      <c r="H31" s="63">
        <f t="shared" si="0"/>
        <v>-31773.700000000004</v>
      </c>
    </row>
    <row r="32" spans="1:8">
      <c r="A32" s="161">
        <v>45294</v>
      </c>
      <c r="B32" s="8" t="s">
        <v>764</v>
      </c>
      <c r="D32" s="187">
        <v>6000</v>
      </c>
      <c r="F32" s="63"/>
      <c r="G32" s="63"/>
      <c r="H32" s="63">
        <f t="shared" si="0"/>
        <v>-31773.700000000004</v>
      </c>
    </row>
    <row r="33" spans="1:8">
      <c r="A33" s="161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313"/>
      <c r="B42" s="313"/>
      <c r="C42" s="313"/>
      <c r="D42" s="313"/>
      <c r="E42" s="314"/>
      <c r="H42" s="63"/>
    </row>
    <row r="43" spans="1:8">
      <c r="A43" s="313"/>
      <c r="B43" s="313"/>
      <c r="C43" s="315"/>
      <c r="D43" s="313"/>
      <c r="E43" s="313"/>
      <c r="H43" s="63"/>
    </row>
    <row r="44" spans="1:8">
      <c r="A44" s="313"/>
      <c r="B44" s="313"/>
      <c r="C44" s="315"/>
      <c r="D44" s="313"/>
      <c r="E44" s="313"/>
      <c r="H44" s="63"/>
    </row>
    <row r="45" spans="1:8">
      <c r="C45" s="172"/>
      <c r="H45" s="63"/>
    </row>
    <row r="46" spans="1:8">
      <c r="A46" s="316">
        <v>44929</v>
      </c>
      <c r="B46" s="174" t="s">
        <v>332</v>
      </c>
      <c r="C46" s="103"/>
      <c r="D46" s="202">
        <f>SUM(D47:D54)</f>
        <v>5357.51</v>
      </c>
      <c r="E46" s="202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9"/>
      <c r="E58" s="317">
        <f>SUM(E59:E78)</f>
        <v>-4628.58</v>
      </c>
      <c r="F58" s="160">
        <f>SUM(F59:F78)</f>
        <v>0</v>
      </c>
    </row>
    <row r="59" spans="1:8">
      <c r="C59" s="106"/>
      <c r="D59" s="106"/>
      <c r="E59" s="164"/>
      <c r="G59" s="63"/>
      <c r="H59" s="63"/>
    </row>
    <row r="60" spans="1:8">
      <c r="A60" s="161">
        <v>44995</v>
      </c>
      <c r="B60" s="8" t="s">
        <v>777</v>
      </c>
      <c r="C60">
        <v>613.91</v>
      </c>
      <c r="D60" s="35" t="s">
        <v>929</v>
      </c>
      <c r="E60" s="164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1">
        <v>45043</v>
      </c>
      <c r="B62" s="106" t="s">
        <v>729</v>
      </c>
      <c r="C62" s="106">
        <v>10764.57</v>
      </c>
      <c r="D62" s="35" t="s">
        <v>400</v>
      </c>
      <c r="E62" s="164">
        <v>-1196.06</v>
      </c>
      <c r="F62" s="63"/>
      <c r="G62" s="63"/>
      <c r="H62" s="63"/>
    </row>
    <row r="63" spans="1:8">
      <c r="A63" s="161">
        <v>45078</v>
      </c>
      <c r="B63" s="106" t="s">
        <v>930</v>
      </c>
      <c r="D63" s="205" t="s">
        <v>445</v>
      </c>
      <c r="E63" s="164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5" t="s">
        <v>931</v>
      </c>
      <c r="E64" s="164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5" t="s">
        <v>932</v>
      </c>
      <c r="E65" s="164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4"/>
      <c r="F66" s="63"/>
      <c r="G66" s="63"/>
      <c r="H66" s="63"/>
    </row>
    <row r="67" spans="1:8">
      <c r="A67" s="100"/>
      <c r="B67" s="106"/>
      <c r="C67" s="106"/>
      <c r="D67" s="205"/>
      <c r="E67" s="164"/>
      <c r="F67" s="63"/>
      <c r="G67" s="63"/>
      <c r="H67" s="63"/>
    </row>
    <row r="68" spans="1:8">
      <c r="A68" s="100"/>
      <c r="B68" s="106"/>
      <c r="C68" s="106"/>
      <c r="D68" s="205"/>
      <c r="E68" s="164"/>
      <c r="F68" s="63"/>
      <c r="G68" s="63"/>
      <c r="H68" s="63"/>
    </row>
    <row r="69" spans="1:8">
      <c r="A69" s="100"/>
      <c r="B69" s="106"/>
      <c r="C69" s="106"/>
      <c r="D69" s="205"/>
      <c r="E69" s="164"/>
      <c r="F69" s="63"/>
      <c r="G69" s="63"/>
      <c r="H69" s="63"/>
    </row>
    <row r="70" spans="1:8">
      <c r="A70" s="100"/>
      <c r="B70" s="106"/>
      <c r="C70" s="106"/>
      <c r="D70" s="205"/>
      <c r="E70" s="164"/>
      <c r="F70" s="63"/>
      <c r="G70" s="63"/>
      <c r="H70" s="63"/>
    </row>
    <row r="71" spans="1:8">
      <c r="A71" s="100"/>
      <c r="B71" s="106"/>
      <c r="C71" s="106"/>
      <c r="D71" s="205"/>
      <c r="E71" s="164"/>
      <c r="F71" s="63"/>
      <c r="G71" s="63"/>
      <c r="H71" s="63"/>
    </row>
    <row r="72" spans="1:8">
      <c r="A72" s="100"/>
      <c r="B72" s="106"/>
      <c r="C72" s="106"/>
      <c r="D72" s="205"/>
      <c r="E72" s="164"/>
      <c r="F72" s="63"/>
      <c r="G72" s="63"/>
      <c r="H72" s="63"/>
    </row>
    <row r="73" spans="1:8">
      <c r="A73" s="100"/>
      <c r="B73" s="106"/>
      <c r="C73" s="106"/>
      <c r="D73" s="205"/>
      <c r="E73" s="164"/>
      <c r="F73" s="63"/>
      <c r="G73" s="63"/>
      <c r="H73" s="63"/>
    </row>
    <row r="74" spans="1:8">
      <c r="B74" s="106"/>
      <c r="C74" s="106"/>
      <c r="D74" s="106"/>
      <c r="E74" s="164"/>
      <c r="F74" s="63"/>
      <c r="G74" s="63"/>
      <c r="H74" s="63"/>
    </row>
    <row r="75" spans="1:8">
      <c r="C75" s="106"/>
      <c r="D75" s="106"/>
      <c r="E75" s="164"/>
      <c r="F75" s="63"/>
      <c r="G75" s="63"/>
      <c r="H75" s="63"/>
    </row>
    <row r="76" spans="1:8">
      <c r="E76" s="164"/>
    </row>
    <row r="77" spans="1:8">
      <c r="E77" s="164"/>
    </row>
    <row r="78" spans="1:8">
      <c r="E78" s="164"/>
    </row>
    <row r="79" spans="1:8">
      <c r="D79" s="35"/>
    </row>
    <row r="81" spans="1:8">
      <c r="A81" s="103"/>
      <c r="B81" s="104" t="s">
        <v>85</v>
      </c>
      <c r="C81" s="103"/>
      <c r="D81" s="103"/>
      <c r="E81" s="202">
        <f>SUM(E82:E107)</f>
        <v>-11990.160000000002</v>
      </c>
      <c r="F81" s="160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4">
        <v>-3974.44</v>
      </c>
      <c r="F82" s="63"/>
      <c r="G82" s="63"/>
      <c r="H82" s="63"/>
    </row>
    <row r="83" spans="1:8">
      <c r="A83" s="166">
        <v>45214</v>
      </c>
      <c r="B83" s="8" t="s">
        <v>661</v>
      </c>
      <c r="D83" s="8" t="s">
        <v>934</v>
      </c>
      <c r="E83" s="164">
        <v>-600</v>
      </c>
      <c r="F83" s="63"/>
      <c r="G83" s="63"/>
      <c r="H83" s="63"/>
    </row>
    <row r="84" spans="1:8">
      <c r="B84" s="107"/>
      <c r="E84" s="164"/>
    </row>
    <row r="85" spans="1:8">
      <c r="A85" s="166">
        <v>45226</v>
      </c>
      <c r="B85" s="8" t="s">
        <v>935</v>
      </c>
      <c r="E85" s="164">
        <v>-1046.0999999999999</v>
      </c>
    </row>
    <row r="86" spans="1:8">
      <c r="A86" s="166">
        <v>45226</v>
      </c>
      <c r="B86" s="8" t="s">
        <v>935</v>
      </c>
      <c r="E86" s="164">
        <v>-1046.0999999999999</v>
      </c>
    </row>
    <row r="87" spans="1:8">
      <c r="A87" s="166">
        <v>45224</v>
      </c>
      <c r="B87" s="8" t="s">
        <v>657</v>
      </c>
      <c r="D87">
        <v>160</v>
      </c>
      <c r="E87" s="164">
        <v>-160</v>
      </c>
    </row>
    <row r="88" spans="1:8">
      <c r="A88" s="166">
        <v>45225</v>
      </c>
      <c r="B88" s="8" t="s">
        <v>657</v>
      </c>
      <c r="D88">
        <v>200</v>
      </c>
      <c r="E88" s="164">
        <v>-200</v>
      </c>
    </row>
    <row r="89" spans="1:8">
      <c r="A89" s="166">
        <v>45225</v>
      </c>
      <c r="B89" s="8" t="s">
        <v>347</v>
      </c>
      <c r="E89" s="164">
        <v>-200</v>
      </c>
    </row>
    <row r="90" spans="1:8">
      <c r="A90" s="166">
        <v>45226</v>
      </c>
      <c r="B90" s="8" t="s">
        <v>657</v>
      </c>
      <c r="D90" s="35">
        <v>150</v>
      </c>
      <c r="E90" s="164">
        <v>-150</v>
      </c>
    </row>
    <row r="91" spans="1:8">
      <c r="A91" s="166">
        <v>45227</v>
      </c>
      <c r="B91" s="8" t="s">
        <v>657</v>
      </c>
      <c r="D91" s="35">
        <v>100</v>
      </c>
      <c r="E91" s="164">
        <v>-100</v>
      </c>
    </row>
    <row r="92" spans="1:8">
      <c r="A92" s="166">
        <v>45227</v>
      </c>
      <c r="B92" s="8" t="s">
        <v>135</v>
      </c>
      <c r="D92">
        <v>70</v>
      </c>
      <c r="E92" s="164">
        <v>-70</v>
      </c>
    </row>
    <row r="93" spans="1:8">
      <c r="A93" s="166">
        <v>45229</v>
      </c>
      <c r="B93" s="8" t="s">
        <v>657</v>
      </c>
      <c r="D93">
        <v>200</v>
      </c>
      <c r="E93" s="164">
        <v>-200</v>
      </c>
    </row>
    <row r="94" spans="1:8">
      <c r="A94" s="166">
        <v>45229</v>
      </c>
      <c r="B94" s="8" t="s">
        <v>936</v>
      </c>
      <c r="D94">
        <v>95.49</v>
      </c>
      <c r="E94" s="164">
        <v>-95.49</v>
      </c>
    </row>
    <row r="95" spans="1:8">
      <c r="A95" s="166">
        <v>45232</v>
      </c>
      <c r="B95" s="8" t="s">
        <v>657</v>
      </c>
      <c r="D95">
        <v>250</v>
      </c>
      <c r="E95" s="164">
        <v>-250</v>
      </c>
    </row>
    <row r="96" spans="1:8">
      <c r="A96" s="166">
        <v>45233</v>
      </c>
      <c r="B96" s="8" t="s">
        <v>657</v>
      </c>
      <c r="D96">
        <v>180</v>
      </c>
      <c r="E96" s="164">
        <v>-160</v>
      </c>
    </row>
    <row r="97" spans="1:5">
      <c r="A97" s="166">
        <v>45234</v>
      </c>
      <c r="B97" s="8" t="s">
        <v>657</v>
      </c>
      <c r="D97">
        <v>320</v>
      </c>
      <c r="E97" s="164">
        <v>-320</v>
      </c>
    </row>
    <row r="98" spans="1:5">
      <c r="A98" s="166">
        <v>45237</v>
      </c>
      <c r="B98" s="8" t="s">
        <v>657</v>
      </c>
      <c r="D98">
        <v>200</v>
      </c>
      <c r="E98" s="164">
        <v>-200</v>
      </c>
    </row>
    <row r="99" spans="1:5">
      <c r="A99" s="166">
        <v>45237</v>
      </c>
      <c r="B99" s="8" t="s">
        <v>180</v>
      </c>
      <c r="E99" s="164">
        <v>-500</v>
      </c>
    </row>
    <row r="100" spans="1:5">
      <c r="A100" s="166">
        <v>45237</v>
      </c>
      <c r="B100" s="8" t="s">
        <v>937</v>
      </c>
      <c r="E100" s="164">
        <v>-180</v>
      </c>
    </row>
    <row r="101" spans="1:5">
      <c r="A101" s="166">
        <v>45238</v>
      </c>
      <c r="B101" s="8" t="s">
        <v>657</v>
      </c>
      <c r="D101">
        <v>160</v>
      </c>
      <c r="E101" s="164">
        <v>-160</v>
      </c>
    </row>
    <row r="102" spans="1:5">
      <c r="A102" s="166">
        <v>45239</v>
      </c>
      <c r="B102" s="8" t="s">
        <v>657</v>
      </c>
      <c r="D102">
        <v>250</v>
      </c>
      <c r="E102" s="164">
        <v>-250</v>
      </c>
    </row>
    <row r="103" spans="1:5">
      <c r="A103" s="166">
        <v>45240</v>
      </c>
      <c r="B103" s="8" t="s">
        <v>657</v>
      </c>
      <c r="D103">
        <v>160</v>
      </c>
      <c r="E103" s="164">
        <v>-160</v>
      </c>
    </row>
    <row r="104" spans="1:5">
      <c r="A104" s="166">
        <v>45241</v>
      </c>
      <c r="B104" s="8" t="s">
        <v>657</v>
      </c>
      <c r="D104">
        <v>250</v>
      </c>
      <c r="E104" s="164">
        <v>-250</v>
      </c>
    </row>
    <row r="105" spans="1:5">
      <c r="A105" s="166">
        <v>45244</v>
      </c>
      <c r="B105" s="8" t="s">
        <v>129</v>
      </c>
      <c r="E105" s="164">
        <v>-1144.1099999999999</v>
      </c>
    </row>
    <row r="106" spans="1:5">
      <c r="A106" s="166">
        <v>45245</v>
      </c>
      <c r="B106" s="8" t="s">
        <v>938</v>
      </c>
      <c r="E106" s="164">
        <v>-373.92</v>
      </c>
    </row>
    <row r="107" spans="1:5">
      <c r="A107" s="166">
        <v>45253</v>
      </c>
      <c r="B107" s="8" t="s">
        <v>657</v>
      </c>
      <c r="D107">
        <v>200</v>
      </c>
      <c r="E107" s="164">
        <v>-200</v>
      </c>
    </row>
    <row r="108" spans="1:5">
      <c r="E108" s="164"/>
    </row>
    <row r="109" spans="1:5">
      <c r="B109" t="s">
        <v>939</v>
      </c>
      <c r="D109">
        <f>SUM(D87:D108)</f>
        <v>2945.49</v>
      </c>
      <c r="E109" s="164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9"/>
      <c r="E111" s="160">
        <f>SUM(E112:E128)</f>
        <v>698220.30499999993</v>
      </c>
    </row>
    <row r="112" spans="1:5">
      <c r="A112" s="161">
        <v>45290</v>
      </c>
      <c r="B112" s="8" t="s">
        <v>77</v>
      </c>
      <c r="C112" s="2"/>
      <c r="D112" s="2"/>
      <c r="E112" s="17">
        <v>64000</v>
      </c>
    </row>
    <row r="113" spans="1:5">
      <c r="A113" s="161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1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1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1">
        <f t="shared" si="2"/>
        <v>45290</v>
      </c>
      <c r="B116" s="8" t="s">
        <v>307</v>
      </c>
      <c r="D116" s="2"/>
      <c r="E116" s="17">
        <v>6267.13</v>
      </c>
    </row>
    <row r="117" spans="1:5">
      <c r="A117" s="161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1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1">
        <f t="shared" si="2"/>
        <v>45290</v>
      </c>
      <c r="B119" s="8" t="s">
        <v>311</v>
      </c>
      <c r="C119" s="161">
        <v>45295</v>
      </c>
      <c r="D119" s="162">
        <v>-629.36</v>
      </c>
      <c r="E119" s="17">
        <v>4752.22</v>
      </c>
    </row>
    <row r="120" spans="1:5">
      <c r="A120" s="161">
        <f t="shared" si="2"/>
        <v>45290</v>
      </c>
      <c r="B120" s="8" t="s">
        <v>312</v>
      </c>
      <c r="C120" s="161">
        <v>45295</v>
      </c>
      <c r="D120" s="162">
        <v>-52.52</v>
      </c>
      <c r="E120" s="17">
        <v>315.38</v>
      </c>
    </row>
    <row r="121" spans="1:5">
      <c r="A121" s="161">
        <f t="shared" si="2"/>
        <v>45290</v>
      </c>
      <c r="B121" s="8" t="s">
        <v>313</v>
      </c>
      <c r="C121" s="161">
        <v>45295</v>
      </c>
      <c r="D121" s="162">
        <v>-196</v>
      </c>
      <c r="E121" s="17">
        <v>295.8</v>
      </c>
    </row>
    <row r="122" spans="1:5">
      <c r="A122" s="161">
        <f t="shared" si="2"/>
        <v>45290</v>
      </c>
      <c r="B122" s="8" t="s">
        <v>314</v>
      </c>
      <c r="C122" s="161">
        <v>45295</v>
      </c>
      <c r="D122" s="162">
        <v>-669.7</v>
      </c>
      <c r="E122" s="17">
        <v>4239.3</v>
      </c>
    </row>
    <row r="123" spans="1:5">
      <c r="A123" s="161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1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1">
        <f>A124</f>
        <v>45290</v>
      </c>
      <c r="B125" s="8" t="s">
        <v>316</v>
      </c>
      <c r="C125" s="163">
        <v>29.2927</v>
      </c>
      <c r="D125" s="2">
        <v>850</v>
      </c>
      <c r="E125" s="17">
        <f>D125*C125</f>
        <v>24898.794999999998</v>
      </c>
    </row>
    <row r="126" spans="1:5">
      <c r="A126" s="161">
        <f>A125</f>
        <v>45290</v>
      </c>
      <c r="B126" s="8" t="s">
        <v>317</v>
      </c>
      <c r="C126" s="163">
        <v>32.028700000000001</v>
      </c>
      <c r="D126" s="2">
        <v>100</v>
      </c>
      <c r="E126" s="17">
        <f>D126*C126</f>
        <v>3202.87</v>
      </c>
    </row>
    <row r="127" spans="1:5">
      <c r="A127" s="161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1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4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940</v>
      </c>
      <c r="C2" s="79" t="s">
        <v>67</v>
      </c>
      <c r="D2" s="307">
        <f>SUM(D5:D36)</f>
        <v>262800</v>
      </c>
      <c r="E2" s="307">
        <f>SUM(E4:E27)</f>
        <v>-98843.11</v>
      </c>
      <c r="F2" s="307">
        <f>SUM(F5:F37)</f>
        <v>177687.06</v>
      </c>
      <c r="G2" s="307">
        <f>SUM(G4:G37)</f>
        <v>-242504.11</v>
      </c>
      <c r="H2" s="307">
        <f>F2+G2</f>
        <v>-64817.049999999988</v>
      </c>
    </row>
    <row r="3" spans="1:8">
      <c r="B3" s="18"/>
      <c r="H3" s="63"/>
    </row>
    <row r="4" spans="1:8">
      <c r="A4" s="166">
        <v>45231</v>
      </c>
      <c r="B4" s="312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6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6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6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9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9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6">
        <v>45232</v>
      </c>
      <c r="B10" s="179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6">
        <v>45231</v>
      </c>
      <c r="B13" s="101" t="s">
        <v>943</v>
      </c>
      <c r="C13" s="101"/>
      <c r="D13" s="101"/>
      <c r="E13" s="63">
        <v>-945.08</v>
      </c>
      <c r="F13" s="164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4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4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6">
        <v>45236</v>
      </c>
      <c r="B20" s="8" t="s">
        <v>944</v>
      </c>
      <c r="E20" s="164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-74117.05</v>
      </c>
    </row>
    <row r="22" spans="1:8">
      <c r="A22" s="166">
        <v>45232</v>
      </c>
      <c r="B22" s="8" t="s">
        <v>945</v>
      </c>
      <c r="C22" s="8" t="s">
        <v>946</v>
      </c>
      <c r="D22" s="187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7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7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7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7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7">
        <v>6000</v>
      </c>
      <c r="G27" s="63"/>
      <c r="H27" s="63">
        <f t="shared" si="0"/>
        <v>-64817.05</v>
      </c>
    </row>
    <row r="28" spans="1:8">
      <c r="A28" s="161">
        <v>45258</v>
      </c>
      <c r="B28" s="8" t="s">
        <v>951</v>
      </c>
      <c r="D28" s="187"/>
      <c r="F28" s="63">
        <v>10000</v>
      </c>
      <c r="H28" s="63">
        <f t="shared" si="0"/>
        <v>-54817.05</v>
      </c>
    </row>
    <row r="29" spans="1:8">
      <c r="A29" s="161">
        <v>45258</v>
      </c>
      <c r="B29" s="8" t="s">
        <v>952</v>
      </c>
      <c r="D29" s="187"/>
      <c r="F29" s="63"/>
      <c r="G29" s="63">
        <v>-10000</v>
      </c>
      <c r="H29" s="63">
        <f t="shared" si="0"/>
        <v>-64817.05</v>
      </c>
    </row>
    <row r="30" spans="1:8">
      <c r="A30" s="166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6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6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6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9"/>
      <c r="G38" s="63"/>
      <c r="H38" s="63"/>
    </row>
    <row r="39" spans="1:8">
      <c r="A39" s="318"/>
      <c r="B39" s="313"/>
      <c r="C39" s="313"/>
      <c r="D39" s="313"/>
      <c r="E39" s="314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318"/>
      <c r="B41" s="313"/>
      <c r="C41" s="315"/>
      <c r="D41" s="313"/>
      <c r="E41" s="313"/>
      <c r="H41" s="63"/>
    </row>
    <row r="42" spans="1:8">
      <c r="A42" s="100"/>
      <c r="C42" s="172"/>
      <c r="H42" s="63"/>
    </row>
    <row r="43" spans="1:8">
      <c r="A43" s="173">
        <v>44929</v>
      </c>
      <c r="B43" s="174" t="s">
        <v>332</v>
      </c>
      <c r="C43" s="103"/>
      <c r="D43" s="202">
        <f>SUM(D44:D51)</f>
        <v>3906.8500000000004</v>
      </c>
      <c r="E43" s="202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4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9"/>
      <c r="E55" s="160">
        <f>SUM(E56:E68)</f>
        <v>-5698.99</v>
      </c>
    </row>
    <row r="56" spans="1:8">
      <c r="A56" s="100"/>
      <c r="C56" s="106"/>
      <c r="D56" s="106"/>
      <c r="E56" s="164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4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4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4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956</v>
      </c>
      <c r="E60" s="164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5" t="s">
        <v>476</v>
      </c>
      <c r="E61" s="164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5" t="s">
        <v>613</v>
      </c>
      <c r="E62" s="164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5" t="s">
        <v>611</v>
      </c>
      <c r="E63" s="164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4"/>
      <c r="F64" s="63"/>
      <c r="G64" s="63"/>
      <c r="H64" s="63"/>
    </row>
    <row r="65" spans="1:8">
      <c r="A65" s="100"/>
      <c r="C65" s="106"/>
      <c r="D65" s="106"/>
      <c r="E65" s="164"/>
      <c r="F65" s="63"/>
      <c r="G65" s="63"/>
      <c r="H65" s="63"/>
    </row>
    <row r="66" spans="1:8" ht="15">
      <c r="A66" s="100"/>
      <c r="D66" s="105" t="s">
        <v>84</v>
      </c>
      <c r="E66" s="164"/>
    </row>
    <row r="67" spans="1:8">
      <c r="A67" s="100"/>
      <c r="E67" s="164"/>
    </row>
    <row r="69" spans="1:8">
      <c r="D69" s="35"/>
    </row>
    <row r="71" spans="1:8">
      <c r="A71" s="103"/>
      <c r="B71" s="104" t="s">
        <v>85</v>
      </c>
      <c r="C71" s="103"/>
      <c r="D71" s="103"/>
      <c r="E71" s="160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4">
        <v>-190.14</v>
      </c>
      <c r="F72" s="63"/>
      <c r="G72" s="63"/>
      <c r="H72" s="63"/>
    </row>
    <row r="73" spans="1:8">
      <c r="A73" s="166">
        <v>45141</v>
      </c>
      <c r="B73" s="8" t="s">
        <v>959</v>
      </c>
      <c r="D73" s="35" t="s">
        <v>960</v>
      </c>
      <c r="E73" s="164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4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4">
        <v>-59483.25</v>
      </c>
    </row>
    <row r="76" spans="1:8">
      <c r="A76" s="166">
        <v>45214</v>
      </c>
      <c r="B76" s="8" t="s">
        <v>661</v>
      </c>
      <c r="D76" s="8" t="s">
        <v>961</v>
      </c>
      <c r="E76" s="164">
        <v>-600</v>
      </c>
      <c r="F76" s="63"/>
    </row>
    <row r="77" spans="1:8">
      <c r="A77" s="166">
        <v>45198</v>
      </c>
      <c r="B77" s="8" t="s">
        <v>657</v>
      </c>
      <c r="E77" s="164">
        <v>-160</v>
      </c>
    </row>
    <row r="78" spans="1:8">
      <c r="A78" s="166">
        <v>45201</v>
      </c>
      <c r="B78" s="8" t="s">
        <v>962</v>
      </c>
      <c r="E78" s="164">
        <v>-1180</v>
      </c>
    </row>
    <row r="79" spans="1:8">
      <c r="A79" s="166">
        <v>45204</v>
      </c>
      <c r="B79" s="8" t="s">
        <v>963</v>
      </c>
      <c r="E79" s="164">
        <v>-713.25</v>
      </c>
    </row>
    <row r="80" spans="1:8">
      <c r="A80" s="166">
        <v>45204</v>
      </c>
      <c r="B80" s="8" t="s">
        <v>963</v>
      </c>
      <c r="E80" s="164">
        <v>-713.25</v>
      </c>
    </row>
    <row r="81" spans="1:5">
      <c r="A81" s="166">
        <v>45194</v>
      </c>
      <c r="B81" s="8" t="s">
        <v>657</v>
      </c>
      <c r="D81" s="35"/>
      <c r="E81" s="164">
        <v>-200</v>
      </c>
    </row>
    <row r="82" spans="1:5">
      <c r="A82" s="166">
        <v>45225</v>
      </c>
      <c r="B82" s="8" t="s">
        <v>657</v>
      </c>
      <c r="D82" s="35"/>
      <c r="E82" s="164">
        <v>-160</v>
      </c>
    </row>
    <row r="83" spans="1:5">
      <c r="A83" s="166">
        <v>45226</v>
      </c>
      <c r="B83" s="8" t="s">
        <v>657</v>
      </c>
      <c r="E83" s="164">
        <v>-200</v>
      </c>
    </row>
    <row r="84" spans="1:5">
      <c r="A84" s="166">
        <v>45227</v>
      </c>
      <c r="B84" s="8" t="s">
        <v>657</v>
      </c>
      <c r="E84" s="164">
        <v>-200</v>
      </c>
    </row>
    <row r="85" spans="1:5">
      <c r="A85" s="166">
        <v>45227</v>
      </c>
      <c r="B85" s="8" t="s">
        <v>546</v>
      </c>
      <c r="E85" s="164">
        <v>-245</v>
      </c>
    </row>
    <row r="86" spans="1:5">
      <c r="A86" s="166">
        <v>45228</v>
      </c>
      <c r="B86" s="8" t="s">
        <v>657</v>
      </c>
      <c r="E86" s="164">
        <v>-160</v>
      </c>
    </row>
    <row r="87" spans="1:5">
      <c r="A87" s="166">
        <v>45228</v>
      </c>
      <c r="B87" s="8" t="s">
        <v>964</v>
      </c>
      <c r="E87" s="164">
        <v>-33.65</v>
      </c>
    </row>
    <row r="88" spans="1:5">
      <c r="A88" s="166">
        <v>45201</v>
      </c>
      <c r="B88" s="8" t="s">
        <v>657</v>
      </c>
      <c r="E88" s="164">
        <v>-160</v>
      </c>
    </row>
    <row r="89" spans="1:5">
      <c r="A89" s="166">
        <v>45201</v>
      </c>
      <c r="B89" s="8" t="s">
        <v>130</v>
      </c>
      <c r="C89">
        <v>-16000.55</v>
      </c>
      <c r="E89" s="164"/>
    </row>
    <row r="90" spans="1:5">
      <c r="A90" s="166">
        <v>45202</v>
      </c>
      <c r="B90" s="8" t="s">
        <v>657</v>
      </c>
      <c r="E90" s="164">
        <v>-250</v>
      </c>
    </row>
    <row r="91" spans="1:5">
      <c r="A91" s="166">
        <v>45204</v>
      </c>
      <c r="B91" s="8" t="s">
        <v>657</v>
      </c>
      <c r="E91" s="164">
        <v>-300</v>
      </c>
    </row>
    <row r="92" spans="1:5">
      <c r="A92" s="166">
        <v>45205</v>
      </c>
      <c r="B92" s="8" t="s">
        <v>657</v>
      </c>
      <c r="E92" s="164">
        <v>-250</v>
      </c>
    </row>
    <row r="93" spans="1:5">
      <c r="A93" s="166">
        <v>45206</v>
      </c>
      <c r="B93" s="8" t="s">
        <v>657</v>
      </c>
      <c r="E93" s="164">
        <v>-250</v>
      </c>
    </row>
    <row r="94" spans="1:5">
      <c r="A94" s="166">
        <v>45206</v>
      </c>
      <c r="B94" s="8" t="s">
        <v>965</v>
      </c>
      <c r="E94" s="164">
        <v>-107.32</v>
      </c>
    </row>
    <row r="95" spans="1:5">
      <c r="A95" s="166">
        <v>45210</v>
      </c>
      <c r="B95" s="8" t="s">
        <v>657</v>
      </c>
      <c r="E95" s="164">
        <v>-200</v>
      </c>
    </row>
    <row r="96" spans="1:5">
      <c r="A96" s="166">
        <v>45215</v>
      </c>
      <c r="B96" s="8" t="s">
        <v>657</v>
      </c>
      <c r="E96" s="164">
        <v>-160</v>
      </c>
    </row>
    <row r="97" spans="1:5">
      <c r="A97" s="166">
        <v>45216</v>
      </c>
      <c r="B97" s="8" t="s">
        <v>657</v>
      </c>
      <c r="E97" s="164">
        <v>-160</v>
      </c>
    </row>
    <row r="98" spans="1:5">
      <c r="A98" s="166">
        <v>45217</v>
      </c>
      <c r="B98" s="8" t="s">
        <v>657</v>
      </c>
      <c r="E98" s="164">
        <v>-160</v>
      </c>
    </row>
    <row r="99" spans="1:5">
      <c r="A99" s="166">
        <v>45218</v>
      </c>
      <c r="B99" s="8" t="s">
        <v>657</v>
      </c>
      <c r="E99" s="164">
        <v>-200</v>
      </c>
    </row>
    <row r="100" spans="1:5">
      <c r="A100" s="166">
        <v>45219</v>
      </c>
      <c r="B100" s="8" t="s">
        <v>657</v>
      </c>
      <c r="E100" s="164">
        <v>-165</v>
      </c>
    </row>
    <row r="101" spans="1:5">
      <c r="A101" s="166">
        <v>45219</v>
      </c>
      <c r="B101" s="8" t="s">
        <v>964</v>
      </c>
      <c r="E101" s="164">
        <v>-93.36</v>
      </c>
    </row>
    <row r="102" spans="1:5">
      <c r="A102" s="166">
        <v>45220</v>
      </c>
      <c r="B102" s="8" t="s">
        <v>657</v>
      </c>
      <c r="E102" s="164">
        <v>-165</v>
      </c>
    </row>
    <row r="103" spans="1:5">
      <c r="A103" s="166">
        <v>45220</v>
      </c>
      <c r="B103" s="8" t="s">
        <v>966</v>
      </c>
      <c r="E103" s="164">
        <v>-80</v>
      </c>
    </row>
    <row r="104" spans="1:5">
      <c r="A104" s="166">
        <v>45221</v>
      </c>
      <c r="B104" s="8" t="s">
        <v>967</v>
      </c>
      <c r="E104" s="164">
        <v>-500</v>
      </c>
    </row>
    <row r="105" spans="1:5" ht="15">
      <c r="D105" s="105" t="s">
        <v>84</v>
      </c>
    </row>
    <row r="107" spans="1:5">
      <c r="B107" t="s">
        <v>968</v>
      </c>
      <c r="E107" s="164">
        <v>3707.01</v>
      </c>
    </row>
    <row r="108" spans="1:5">
      <c r="B108" t="s">
        <v>969</v>
      </c>
      <c r="E108" s="164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9"/>
      <c r="E111" s="160">
        <f>SUM(E112:E122)</f>
        <v>709393.08499999996</v>
      </c>
    </row>
    <row r="112" spans="1:5">
      <c r="A112" s="161">
        <v>45260</v>
      </c>
      <c r="B112" s="8" t="s">
        <v>77</v>
      </c>
      <c r="C112" s="2"/>
      <c r="D112" s="2"/>
      <c r="E112" s="17">
        <v>64000</v>
      </c>
    </row>
    <row r="113" spans="1:5">
      <c r="A113" s="161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1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1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1">
        <v>45260</v>
      </c>
      <c r="B116" s="8" t="s">
        <v>307</v>
      </c>
      <c r="C116" s="2"/>
      <c r="D116" s="2"/>
      <c r="E116" s="17">
        <v>3242.78</v>
      </c>
    </row>
    <row r="117" spans="1:5">
      <c r="A117" s="161">
        <v>45260</v>
      </c>
      <c r="B117" s="8" t="s">
        <v>141</v>
      </c>
      <c r="C117" s="2"/>
      <c r="D117" s="2"/>
      <c r="E117" s="17">
        <v>1000</v>
      </c>
    </row>
    <row r="118" spans="1:5">
      <c r="A118" s="161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1">
        <f>A118</f>
        <v>45260</v>
      </c>
      <c r="B119" s="8" t="s">
        <v>972</v>
      </c>
      <c r="C119" s="163">
        <v>28.198699999999999</v>
      </c>
      <c r="D119" s="2">
        <v>850</v>
      </c>
      <c r="E119" s="17">
        <f>D119*C119</f>
        <v>23968.895</v>
      </c>
    </row>
    <row r="120" spans="1:5">
      <c r="A120" s="161">
        <f>A119</f>
        <v>45260</v>
      </c>
      <c r="B120" s="8" t="s">
        <v>973</v>
      </c>
      <c r="C120" s="163">
        <v>31.027000000000001</v>
      </c>
      <c r="D120" s="2">
        <v>100</v>
      </c>
      <c r="E120" s="17">
        <f>D120*C120</f>
        <v>3102.7000000000003</v>
      </c>
    </row>
    <row r="121" spans="1:5">
      <c r="A121" s="161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1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4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974</v>
      </c>
      <c r="C2" s="79" t="s">
        <v>67</v>
      </c>
      <c r="D2" s="307">
        <f>SUM(D4:D32)</f>
        <v>32800</v>
      </c>
      <c r="E2" s="307">
        <f>SUM(E4:E32)</f>
        <v>-44478.170000000006</v>
      </c>
      <c r="F2" s="307">
        <f>SUM(F4:F32)</f>
        <v>23200</v>
      </c>
      <c r="G2" s="307">
        <f>SUM(G4:G32)</f>
        <v>-43968.17</v>
      </c>
      <c r="H2" s="307">
        <f>F2+G2</f>
        <v>-20768.169999999998</v>
      </c>
    </row>
    <row r="3" spans="1:8">
      <c r="B3" s="18"/>
      <c r="H3" s="63"/>
    </row>
    <row r="4" spans="1:8">
      <c r="A4" s="161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1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1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1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1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9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9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9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1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4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4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4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4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4"/>
      <c r="F22" s="63"/>
      <c r="G22" s="63"/>
      <c r="H22" s="63">
        <f t="shared" si="0"/>
        <v>-43968.17</v>
      </c>
    </row>
    <row r="23" spans="1:8">
      <c r="B23" t="s">
        <v>76</v>
      </c>
      <c r="D23" s="187">
        <v>7500</v>
      </c>
      <c r="F23" s="63">
        <v>7500</v>
      </c>
      <c r="G23" s="63"/>
      <c r="H23" s="63">
        <f t="shared" si="0"/>
        <v>-36468.17</v>
      </c>
    </row>
    <row r="24" spans="1:8">
      <c r="A24" s="161">
        <v>45232</v>
      </c>
      <c r="B24" s="8" t="s">
        <v>982</v>
      </c>
      <c r="C24" s="8" t="s">
        <v>946</v>
      </c>
      <c r="D24" s="187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7">
        <v>6500</v>
      </c>
      <c r="F25" s="63">
        <v>6500</v>
      </c>
      <c r="G25" s="63"/>
      <c r="H25" s="63">
        <f t="shared" si="0"/>
        <v>-27168.17</v>
      </c>
    </row>
    <row r="26" spans="1:8">
      <c r="A26" s="161">
        <v>45236</v>
      </c>
      <c r="B26" s="8" t="s">
        <v>984</v>
      </c>
      <c r="D26" s="187">
        <v>6000</v>
      </c>
      <c r="F26" s="63">
        <v>6000</v>
      </c>
      <c r="H26" s="63">
        <f t="shared" si="0"/>
        <v>-21168.17</v>
      </c>
    </row>
    <row r="27" spans="1:8">
      <c r="A27" s="161">
        <v>45229</v>
      </c>
      <c r="B27" s="8" t="s">
        <v>951</v>
      </c>
      <c r="D27" s="187">
        <v>10000</v>
      </c>
      <c r="F27" s="63"/>
      <c r="G27" s="63"/>
      <c r="H27" s="63">
        <f t="shared" si="0"/>
        <v>-21168.17</v>
      </c>
    </row>
    <row r="28" spans="1:8">
      <c r="A28" s="161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1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80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9"/>
      <c r="G34" s="63"/>
      <c r="H34" s="63"/>
    </row>
    <row r="35" spans="1:8">
      <c r="A35" s="313"/>
      <c r="B35" s="313"/>
      <c r="C35" s="313"/>
      <c r="D35" s="313"/>
      <c r="E35" s="314"/>
      <c r="H35" s="63"/>
    </row>
    <row r="36" spans="1:8">
      <c r="A36" s="313"/>
      <c r="B36" s="313"/>
      <c r="C36" s="315"/>
      <c r="D36" s="313"/>
      <c r="E36" s="313"/>
      <c r="H36" s="63"/>
    </row>
    <row r="37" spans="1:8">
      <c r="A37" s="313"/>
      <c r="B37" s="313"/>
      <c r="C37" s="315"/>
      <c r="D37" s="313"/>
      <c r="E37" s="313"/>
      <c r="H37" s="63"/>
    </row>
    <row r="38" spans="1:8">
      <c r="C38" s="172"/>
      <c r="H38" s="63"/>
    </row>
    <row r="39" spans="1:8">
      <c r="A39" s="316">
        <v>44929</v>
      </c>
      <c r="B39" s="174" t="s">
        <v>332</v>
      </c>
      <c r="C39" s="103"/>
      <c r="D39" s="202">
        <f>SUM(D40:D47)</f>
        <v>3425.3799999999997</v>
      </c>
      <c r="E39" s="202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4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9"/>
      <c r="E51" s="160">
        <f>SUM(E52:E65)</f>
        <v>-6481.6100000000006</v>
      </c>
    </row>
    <row r="52" spans="1:8">
      <c r="A52" s="161">
        <v>44995</v>
      </c>
      <c r="B52" s="8" t="s">
        <v>777</v>
      </c>
      <c r="C52">
        <v>613.91</v>
      </c>
      <c r="D52" s="35" t="s">
        <v>987</v>
      </c>
      <c r="E52" s="164">
        <v>-61.39</v>
      </c>
      <c r="G52" s="63"/>
      <c r="H52" s="63"/>
    </row>
    <row r="53" spans="1:8">
      <c r="A53" s="161">
        <v>45043</v>
      </c>
      <c r="B53" s="106" t="s">
        <v>955</v>
      </c>
      <c r="C53" s="106">
        <v>3299</v>
      </c>
      <c r="D53" s="35" t="s">
        <v>476</v>
      </c>
      <c r="E53" s="164">
        <v>-549.83000000000004</v>
      </c>
      <c r="F53" s="63"/>
      <c r="G53" s="63"/>
      <c r="H53" s="63"/>
    </row>
    <row r="54" spans="1:8">
      <c r="A54" s="161">
        <v>45043</v>
      </c>
      <c r="B54" s="106" t="s">
        <v>729</v>
      </c>
      <c r="C54" s="106">
        <v>10764.57</v>
      </c>
      <c r="D54" s="35" t="s">
        <v>731</v>
      </c>
      <c r="E54" s="164">
        <v>-1196.06</v>
      </c>
      <c r="F54" s="63"/>
      <c r="G54" s="63"/>
      <c r="H54" s="63"/>
    </row>
    <row r="55" spans="1:8">
      <c r="A55" s="161">
        <v>45044</v>
      </c>
      <c r="B55" s="8" t="s">
        <v>957</v>
      </c>
      <c r="C55" s="106">
        <v>3123.29</v>
      </c>
      <c r="D55" s="205" t="s">
        <v>476</v>
      </c>
      <c r="E55" s="164">
        <v>-520.54999999999995</v>
      </c>
      <c r="F55" s="63"/>
      <c r="G55" s="63"/>
      <c r="H55" s="63"/>
    </row>
    <row r="56" spans="1:8">
      <c r="A56" s="161">
        <v>45078</v>
      </c>
      <c r="B56" s="106" t="s">
        <v>930</v>
      </c>
      <c r="D56" s="205" t="s">
        <v>519</v>
      </c>
      <c r="E56" s="164">
        <v>-666.67</v>
      </c>
      <c r="F56" s="63"/>
      <c r="G56" s="63"/>
      <c r="H56" s="63"/>
    </row>
    <row r="57" spans="1:8">
      <c r="A57" s="161">
        <v>45168</v>
      </c>
      <c r="B57" s="106" t="s">
        <v>489</v>
      </c>
      <c r="D57" s="205"/>
      <c r="E57" s="164">
        <v>-250</v>
      </c>
      <c r="F57" s="63"/>
      <c r="G57" s="63"/>
      <c r="H57" s="63"/>
    </row>
    <row r="58" spans="1:8">
      <c r="A58" s="161">
        <v>45077</v>
      </c>
      <c r="B58" s="106" t="s">
        <v>988</v>
      </c>
      <c r="C58" s="106">
        <v>148.6</v>
      </c>
      <c r="D58" s="205" t="s">
        <v>989</v>
      </c>
      <c r="E58" s="164">
        <v>-37.15</v>
      </c>
      <c r="F58" s="63"/>
      <c r="G58" s="63"/>
      <c r="H58" s="63"/>
    </row>
    <row r="59" spans="1:8">
      <c r="A59" s="161">
        <v>45077</v>
      </c>
      <c r="B59" s="106" t="s">
        <v>990</v>
      </c>
      <c r="C59" s="106">
        <v>244.8</v>
      </c>
      <c r="D59" s="205" t="s">
        <v>989</v>
      </c>
      <c r="E59" s="164">
        <v>-61.2</v>
      </c>
      <c r="F59" s="63"/>
      <c r="G59" s="63"/>
      <c r="H59" s="63"/>
    </row>
    <row r="60" spans="1:8">
      <c r="A60" s="161">
        <v>45077</v>
      </c>
      <c r="B60" s="106" t="s">
        <v>991</v>
      </c>
      <c r="C60" s="106">
        <v>1204.5</v>
      </c>
      <c r="D60" s="205" t="s">
        <v>989</v>
      </c>
      <c r="E60" s="164">
        <v>-301.13</v>
      </c>
      <c r="F60" s="63"/>
      <c r="G60" s="63"/>
      <c r="H60" s="63"/>
    </row>
    <row r="61" spans="1:8">
      <c r="A61" s="161">
        <v>45077</v>
      </c>
      <c r="B61" s="8" t="s">
        <v>992</v>
      </c>
      <c r="C61" s="106">
        <v>532.6</v>
      </c>
      <c r="D61" s="205" t="s">
        <v>989</v>
      </c>
      <c r="E61" s="164">
        <v>-133.15</v>
      </c>
      <c r="F61" s="63"/>
      <c r="G61" s="63"/>
      <c r="H61" s="63"/>
    </row>
    <row r="62" spans="1:8">
      <c r="A62" s="161">
        <v>45173</v>
      </c>
      <c r="B62" s="106" t="s">
        <v>993</v>
      </c>
      <c r="C62" s="106">
        <v>7338.29</v>
      </c>
      <c r="D62" s="106"/>
      <c r="E62" s="164"/>
      <c r="F62" s="63"/>
      <c r="G62" s="63"/>
      <c r="H62" s="63"/>
    </row>
    <row r="63" spans="1:8">
      <c r="A63" s="161">
        <v>45187</v>
      </c>
      <c r="B63" s="106" t="s">
        <v>566</v>
      </c>
      <c r="C63" s="106">
        <v>7648.33</v>
      </c>
      <c r="D63" s="205" t="s">
        <v>994</v>
      </c>
      <c r="E63" s="164">
        <v>-849.81</v>
      </c>
      <c r="F63" s="63"/>
    </row>
    <row r="64" spans="1:8">
      <c r="A64" s="161">
        <v>45187</v>
      </c>
      <c r="B64" s="106" t="s">
        <v>995</v>
      </c>
      <c r="C64" s="106">
        <v>11128</v>
      </c>
      <c r="D64" s="205" t="s">
        <v>650</v>
      </c>
      <c r="E64" s="164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60">
        <f>SUM(E69:E104)</f>
        <v>-16000.550000000001</v>
      </c>
    </row>
    <row r="69" spans="1:9">
      <c r="A69" s="161">
        <v>45026</v>
      </c>
      <c r="B69" s="8" t="s">
        <v>958</v>
      </c>
      <c r="C69">
        <v>1140.99</v>
      </c>
      <c r="D69" s="8" t="s">
        <v>690</v>
      </c>
      <c r="E69" s="164">
        <v>-190.17</v>
      </c>
      <c r="F69" s="63"/>
      <c r="G69" s="63"/>
      <c r="H69" s="63"/>
    </row>
    <row r="70" spans="1:9">
      <c r="A70" s="161">
        <v>45141</v>
      </c>
      <c r="B70" s="8" t="s">
        <v>959</v>
      </c>
      <c r="D70" s="35" t="s">
        <v>996</v>
      </c>
      <c r="E70" s="164">
        <v>-181.83</v>
      </c>
      <c r="F70" s="63"/>
      <c r="G70" s="63"/>
      <c r="H70" s="63"/>
    </row>
    <row r="71" spans="1:9">
      <c r="A71" s="161">
        <v>45187</v>
      </c>
      <c r="B71" s="106" t="s">
        <v>997</v>
      </c>
      <c r="C71" s="106"/>
      <c r="D71" s="8" t="s">
        <v>961</v>
      </c>
      <c r="E71" s="164">
        <v>-3974.44</v>
      </c>
      <c r="G71" s="63"/>
      <c r="H71" s="63"/>
      <c r="I71" s="63"/>
    </row>
    <row r="72" spans="1:9">
      <c r="A72" s="161">
        <v>45187</v>
      </c>
      <c r="B72" s="106" t="s">
        <v>998</v>
      </c>
      <c r="C72" s="106"/>
      <c r="D72" s="106"/>
      <c r="E72" s="164">
        <v>-573.17999999999995</v>
      </c>
      <c r="F72" s="63"/>
      <c r="G72" s="63"/>
      <c r="H72" s="63"/>
    </row>
    <row r="73" spans="1:9">
      <c r="A73" s="161">
        <v>45163</v>
      </c>
      <c r="B73" s="106"/>
      <c r="C73" s="106"/>
      <c r="D73" s="106"/>
      <c r="E73" s="164">
        <v>-525</v>
      </c>
      <c r="F73" s="63"/>
      <c r="G73" s="63"/>
    </row>
    <row r="74" spans="1:9">
      <c r="A74" s="161">
        <v>45163</v>
      </c>
      <c r="B74" s="106"/>
      <c r="C74" s="106"/>
      <c r="D74" s="106"/>
      <c r="E74" s="164">
        <v>-200</v>
      </c>
      <c r="F74" s="63"/>
    </row>
    <row r="75" spans="1:9">
      <c r="A75" s="161">
        <v>45164</v>
      </c>
      <c r="B75" s="106"/>
      <c r="C75" s="106"/>
      <c r="D75" s="106"/>
      <c r="E75" s="164">
        <v>-200</v>
      </c>
      <c r="F75" s="63"/>
    </row>
    <row r="76" spans="1:9">
      <c r="A76" s="161">
        <v>45165</v>
      </c>
      <c r="B76" s="106" t="s">
        <v>999</v>
      </c>
      <c r="C76" s="106"/>
      <c r="D76" s="106"/>
      <c r="E76" s="164">
        <v>-200</v>
      </c>
      <c r="F76" s="63"/>
    </row>
    <row r="77" spans="1:9">
      <c r="A77" s="161">
        <v>45165</v>
      </c>
      <c r="B77" s="106" t="s">
        <v>1000</v>
      </c>
      <c r="C77" s="106"/>
      <c r="D77" s="106"/>
      <c r="E77" s="164">
        <v>-300</v>
      </c>
      <c r="F77" s="63"/>
    </row>
    <row r="78" spans="1:9">
      <c r="A78" s="161">
        <v>45167</v>
      </c>
      <c r="B78" s="106" t="s">
        <v>1001</v>
      </c>
      <c r="C78" s="106"/>
      <c r="D78" s="106"/>
      <c r="E78" s="164">
        <v>-70</v>
      </c>
      <c r="F78" s="63"/>
      <c r="G78" s="63"/>
      <c r="H78" s="63"/>
    </row>
    <row r="79" spans="1:9">
      <c r="A79" s="161">
        <v>45169</v>
      </c>
      <c r="B79" s="106" t="s">
        <v>1002</v>
      </c>
      <c r="C79" s="106"/>
      <c r="D79" s="106"/>
      <c r="E79" s="164">
        <v>-300</v>
      </c>
      <c r="F79" s="63"/>
      <c r="G79" s="63"/>
      <c r="H79" s="63"/>
    </row>
    <row r="80" spans="1:9">
      <c r="A80" s="161">
        <v>45169</v>
      </c>
      <c r="B80" s="106"/>
      <c r="C80" s="106"/>
      <c r="D80" s="106"/>
      <c r="E80" s="164">
        <v>-200</v>
      </c>
      <c r="F80" s="63"/>
      <c r="G80" s="63"/>
      <c r="H80" s="63"/>
    </row>
    <row r="81" spans="1:8">
      <c r="A81" s="161">
        <v>45170</v>
      </c>
      <c r="B81" s="106" t="s">
        <v>130</v>
      </c>
      <c r="C81" s="106">
        <v>-3842.65</v>
      </c>
      <c r="D81" s="106"/>
      <c r="E81" s="164"/>
      <c r="F81" s="63"/>
      <c r="G81" s="63"/>
      <c r="H81" s="63"/>
    </row>
    <row r="82" spans="1:8">
      <c r="A82" s="161">
        <v>45170</v>
      </c>
      <c r="B82" s="106"/>
      <c r="C82" s="106"/>
      <c r="D82" s="106"/>
      <c r="E82" s="164">
        <v>-200</v>
      </c>
      <c r="F82" s="63"/>
      <c r="G82" s="63"/>
      <c r="H82" s="63"/>
    </row>
    <row r="83" spans="1:8">
      <c r="A83" s="161">
        <v>45171</v>
      </c>
      <c r="B83" s="106"/>
      <c r="C83" s="106"/>
      <c r="D83" s="106"/>
      <c r="E83" s="164">
        <v>-180</v>
      </c>
      <c r="F83" s="63"/>
      <c r="G83" s="63"/>
      <c r="H83" s="63"/>
    </row>
    <row r="84" spans="1:8">
      <c r="A84" s="161">
        <v>45172</v>
      </c>
      <c r="B84" s="106" t="s">
        <v>414</v>
      </c>
      <c r="C84" s="106"/>
      <c r="D84" s="106"/>
      <c r="E84" s="164">
        <v>-339.4</v>
      </c>
      <c r="F84" s="63"/>
      <c r="G84" s="63"/>
      <c r="H84" s="63"/>
    </row>
    <row r="85" spans="1:8">
      <c r="A85" s="161">
        <v>45174</v>
      </c>
      <c r="B85" s="106"/>
      <c r="C85" s="106"/>
      <c r="D85" s="106"/>
      <c r="E85" s="164">
        <v>-250</v>
      </c>
      <c r="F85" s="63"/>
      <c r="G85" s="63"/>
      <c r="H85" s="63"/>
    </row>
    <row r="86" spans="1:8">
      <c r="A86" s="161">
        <v>45175</v>
      </c>
      <c r="B86" s="107"/>
      <c r="E86" s="164">
        <v>-200</v>
      </c>
    </row>
    <row r="87" spans="1:8">
      <c r="A87" s="161">
        <v>45177</v>
      </c>
      <c r="E87" s="164">
        <v>-200</v>
      </c>
    </row>
    <row r="88" spans="1:8">
      <c r="A88" s="161">
        <v>45179</v>
      </c>
      <c r="B88" s="8" t="s">
        <v>410</v>
      </c>
      <c r="E88" s="164">
        <v>-529.98</v>
      </c>
    </row>
    <row r="89" spans="1:8">
      <c r="A89" s="161">
        <v>45179</v>
      </c>
      <c r="B89" s="8" t="s">
        <v>410</v>
      </c>
      <c r="E89" s="164">
        <v>-2351.9499999999998</v>
      </c>
    </row>
    <row r="90" spans="1:8">
      <c r="A90" s="161">
        <v>45180</v>
      </c>
      <c r="B90" s="8" t="s">
        <v>1003</v>
      </c>
      <c r="E90" s="164">
        <v>-200</v>
      </c>
    </row>
    <row r="91" spans="1:8">
      <c r="A91" s="161">
        <v>45181</v>
      </c>
      <c r="E91" s="164">
        <v>-165</v>
      </c>
    </row>
    <row r="92" spans="1:8">
      <c r="A92" s="161">
        <v>45182</v>
      </c>
      <c r="B92" s="8" t="s">
        <v>1003</v>
      </c>
      <c r="D92" s="35"/>
      <c r="E92" s="164">
        <v>-200</v>
      </c>
    </row>
    <row r="93" spans="1:8">
      <c r="A93" s="161">
        <v>45183</v>
      </c>
      <c r="D93" s="35"/>
      <c r="E93" s="164">
        <v>-200</v>
      </c>
    </row>
    <row r="94" spans="1:8">
      <c r="A94" s="161">
        <v>45184</v>
      </c>
      <c r="B94" s="8" t="s">
        <v>1004</v>
      </c>
      <c r="E94" s="164">
        <v>-578</v>
      </c>
    </row>
    <row r="95" spans="1:8">
      <c r="A95" s="161">
        <v>45184</v>
      </c>
      <c r="B95" s="8" t="s">
        <v>1005</v>
      </c>
      <c r="E95" s="164">
        <v>-1000</v>
      </c>
    </row>
    <row r="96" spans="1:8">
      <c r="A96" s="161">
        <v>45184</v>
      </c>
      <c r="E96" s="164">
        <v>-250</v>
      </c>
    </row>
    <row r="97" spans="1:5">
      <c r="A97" s="161">
        <v>45185</v>
      </c>
      <c r="E97" s="164">
        <v>-200</v>
      </c>
    </row>
    <row r="98" spans="1:5">
      <c r="A98" s="161">
        <v>45187</v>
      </c>
      <c r="E98" s="164">
        <v>-160</v>
      </c>
    </row>
    <row r="99" spans="1:5">
      <c r="A99" s="161">
        <v>45188</v>
      </c>
      <c r="E99" s="164">
        <v>-250</v>
      </c>
    </row>
    <row r="100" spans="1:5">
      <c r="A100" s="161">
        <v>45189</v>
      </c>
      <c r="E100" s="164">
        <v>-160</v>
      </c>
    </row>
    <row r="101" spans="1:5">
      <c r="A101" s="161">
        <v>45191</v>
      </c>
      <c r="B101" s="8" t="s">
        <v>1006</v>
      </c>
      <c r="E101" s="164">
        <v>-230</v>
      </c>
    </row>
    <row r="102" spans="1:5">
      <c r="A102" s="161">
        <v>45191</v>
      </c>
      <c r="B102" s="8" t="s">
        <v>1007</v>
      </c>
      <c r="E102" s="164">
        <v>-382</v>
      </c>
    </row>
    <row r="103" spans="1:5">
      <c r="A103" s="161">
        <v>45191</v>
      </c>
      <c r="B103" s="8" t="s">
        <v>1008</v>
      </c>
      <c r="E103" s="164">
        <v>-699.6</v>
      </c>
    </row>
    <row r="104" spans="1:5">
      <c r="A104" s="161">
        <v>45192</v>
      </c>
      <c r="B104" s="8" t="s">
        <v>135</v>
      </c>
      <c r="E104" s="164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9"/>
      <c r="E111" s="160">
        <f>SUM(E112:E121)</f>
        <v>610649.73</v>
      </c>
    </row>
    <row r="112" spans="1:5">
      <c r="A112" s="161">
        <v>45230</v>
      </c>
      <c r="B112" s="8" t="s">
        <v>77</v>
      </c>
      <c r="C112" s="2"/>
      <c r="D112" s="2"/>
      <c r="E112" s="17">
        <v>64000</v>
      </c>
    </row>
    <row r="113" spans="1:5">
      <c r="A113" s="161">
        <v>45230</v>
      </c>
      <c r="B113" s="8" t="s">
        <v>1010</v>
      </c>
      <c r="C113" s="2"/>
      <c r="D113" s="2"/>
      <c r="E113" s="17">
        <v>73088</v>
      </c>
    </row>
    <row r="114" spans="1:5">
      <c r="A114" s="161">
        <v>45230</v>
      </c>
      <c r="B114" s="8" t="s">
        <v>305</v>
      </c>
      <c r="C114" s="2"/>
      <c r="D114" s="2"/>
      <c r="E114" s="17">
        <v>20950.34</v>
      </c>
    </row>
    <row r="115" spans="1:5">
      <c r="A115" s="161">
        <v>45230</v>
      </c>
      <c r="B115" s="8" t="s">
        <v>306</v>
      </c>
      <c r="C115" s="2"/>
      <c r="D115" s="2"/>
      <c r="E115" s="17">
        <v>73011.39</v>
      </c>
    </row>
    <row r="116" spans="1:5">
      <c r="A116" s="161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1">
        <v>45230</v>
      </c>
      <c r="B118" s="8" t="s">
        <v>1013</v>
      </c>
      <c r="C118" s="163">
        <v>28</v>
      </c>
      <c r="D118" s="2">
        <v>850</v>
      </c>
      <c r="E118" s="17">
        <f>D118*C118</f>
        <v>23800</v>
      </c>
    </row>
    <row r="119" spans="1:5">
      <c r="A119" s="161">
        <v>45230</v>
      </c>
      <c r="B119" s="8" t="s">
        <v>1014</v>
      </c>
      <c r="C119" s="163">
        <v>30</v>
      </c>
      <c r="D119" s="2">
        <v>100</v>
      </c>
      <c r="E119" s="17">
        <f>D119*C119</f>
        <v>3000</v>
      </c>
    </row>
    <row r="120" spans="1:5">
      <c r="A120" s="161">
        <v>45230</v>
      </c>
      <c r="B120" s="8" t="s">
        <v>153</v>
      </c>
      <c r="C120" s="2"/>
      <c r="D120" s="2"/>
      <c r="E120" s="17">
        <v>60000</v>
      </c>
    </row>
    <row r="121" spans="1:5">
      <c r="A121" s="161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4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1015</v>
      </c>
      <c r="C2" s="79" t="s">
        <v>67</v>
      </c>
      <c r="D2" s="307">
        <f>SUM(D4:D38)</f>
        <v>133300</v>
      </c>
      <c r="E2" s="307">
        <f>SUM(E4:E37)</f>
        <v>-31871.02</v>
      </c>
      <c r="F2" s="307">
        <f>SUM(F4:F44)</f>
        <v>257800</v>
      </c>
      <c r="G2" s="307">
        <f>SUM(G4:G44)</f>
        <v>-34914.910000000003</v>
      </c>
      <c r="H2" s="307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9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9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6">
        <v>45173</v>
      </c>
      <c r="B9" s="179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4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4"/>
      <c r="F20" s="63"/>
      <c r="G20" s="63"/>
      <c r="H20" s="63">
        <f t="shared" si="0"/>
        <v>-34824.01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7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7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7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7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7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6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7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6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4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9"/>
      <c r="G45" s="63"/>
      <c r="H45" s="63"/>
    </row>
    <row r="46" spans="1:8">
      <c r="A46" s="318"/>
      <c r="B46" s="313"/>
      <c r="C46" s="313"/>
      <c r="D46" s="313"/>
      <c r="E46" s="314"/>
      <c r="H46" s="63"/>
    </row>
    <row r="47" spans="1:8">
      <c r="A47" s="318"/>
      <c r="B47" s="313"/>
      <c r="C47" s="315"/>
      <c r="D47" s="313"/>
      <c r="E47" s="313"/>
      <c r="H47" s="63"/>
    </row>
    <row r="48" spans="1:8">
      <c r="A48" s="318"/>
      <c r="B48" s="313"/>
      <c r="C48" s="315"/>
      <c r="D48" s="313"/>
      <c r="E48" s="313"/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3502.0099999999998</v>
      </c>
      <c r="E50" s="202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4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202">
        <f>SUM(E63:E84)</f>
        <v>-7338.2899999999991</v>
      </c>
    </row>
    <row r="63" spans="1:8">
      <c r="A63" s="100"/>
      <c r="C63" s="106"/>
      <c r="D63" s="106"/>
      <c r="E63" s="164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4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4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4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4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5" t="s">
        <v>519</v>
      </c>
      <c r="E68" s="164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5" t="s">
        <v>932</v>
      </c>
      <c r="E69" s="164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5" t="s">
        <v>1035</v>
      </c>
      <c r="E70" s="164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5" t="s">
        <v>1035</v>
      </c>
      <c r="E71" s="164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5" t="s">
        <v>1035</v>
      </c>
      <c r="E72" s="164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5" t="s">
        <v>1035</v>
      </c>
      <c r="E73" s="164">
        <v>-133.15</v>
      </c>
      <c r="F73" s="63"/>
    </row>
    <row r="74" spans="1:8">
      <c r="A74" s="100">
        <v>45139</v>
      </c>
      <c r="B74" s="106" t="s">
        <v>1036</v>
      </c>
      <c r="E74" s="164">
        <v>-260.02</v>
      </c>
    </row>
    <row r="75" spans="1:8">
      <c r="A75" s="166">
        <v>45139</v>
      </c>
      <c r="B75" s="106" t="s">
        <v>451</v>
      </c>
      <c r="E75" s="164">
        <v>-116.6</v>
      </c>
    </row>
    <row r="76" spans="1:8">
      <c r="A76" s="166">
        <v>45139</v>
      </c>
      <c r="B76" s="106" t="s">
        <v>451</v>
      </c>
      <c r="E76" s="164">
        <v>-23.75</v>
      </c>
    </row>
    <row r="77" spans="1:8">
      <c r="A77" s="166">
        <v>45140</v>
      </c>
      <c r="B77" s="106" t="s">
        <v>1037</v>
      </c>
      <c r="E77" s="164">
        <v>-600</v>
      </c>
    </row>
    <row r="78" spans="1:8">
      <c r="A78" s="166">
        <v>45147</v>
      </c>
      <c r="B78" s="106">
        <v>2240</v>
      </c>
      <c r="E78" s="164">
        <v>-165.4</v>
      </c>
    </row>
    <row r="79" spans="1:8">
      <c r="A79" s="166">
        <v>45148</v>
      </c>
      <c r="B79" s="106" t="s">
        <v>1038</v>
      </c>
      <c r="E79" s="164">
        <v>-71</v>
      </c>
    </row>
    <row r="80" spans="1:8">
      <c r="A80" s="166">
        <v>45153</v>
      </c>
      <c r="B80" s="106" t="s">
        <v>1039</v>
      </c>
      <c r="E80" s="164">
        <v>-1806</v>
      </c>
    </row>
    <row r="81" spans="1:8">
      <c r="A81" s="166">
        <v>45158</v>
      </c>
      <c r="B81" s="106" t="s">
        <v>1040</v>
      </c>
      <c r="E81" s="164">
        <v>-160.9</v>
      </c>
    </row>
    <row r="82" spans="1:8">
      <c r="A82" s="166">
        <v>45160</v>
      </c>
      <c r="B82" s="106" t="s">
        <v>1041</v>
      </c>
      <c r="D82" s="35"/>
      <c r="E82" s="164">
        <v>-231</v>
      </c>
    </row>
    <row r="83" spans="1:8" ht="15">
      <c r="A83" s="166"/>
      <c r="B83" s="106"/>
      <c r="D83" s="105" t="s">
        <v>84</v>
      </c>
      <c r="E83" s="164"/>
    </row>
    <row r="84" spans="1:8">
      <c r="A84" s="166"/>
      <c r="B84" s="106"/>
      <c r="D84" s="35"/>
      <c r="E84" s="164"/>
    </row>
    <row r="85" spans="1:8">
      <c r="A85" s="166"/>
      <c r="B85" s="106"/>
      <c r="D85" s="35"/>
      <c r="E85" s="164"/>
    </row>
    <row r="87" spans="1:8">
      <c r="A87" s="103"/>
      <c r="B87" s="104" t="s">
        <v>85</v>
      </c>
      <c r="C87" s="103"/>
      <c r="D87" s="103"/>
      <c r="E87" s="160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4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4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4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4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4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6">
        <v>45141</v>
      </c>
      <c r="B99" s="8" t="s">
        <v>959</v>
      </c>
      <c r="D99" s="35" t="s">
        <v>1048</v>
      </c>
      <c r="E99">
        <v>-181.83</v>
      </c>
    </row>
    <row r="100" spans="1:6">
      <c r="A100" s="166">
        <v>45141</v>
      </c>
      <c r="B100" s="8" t="s">
        <v>135</v>
      </c>
      <c r="D100" s="35"/>
      <c r="E100">
        <v>-150</v>
      </c>
    </row>
    <row r="101" spans="1:6">
      <c r="A101" s="166">
        <v>45143</v>
      </c>
      <c r="B101" s="8" t="s">
        <v>135</v>
      </c>
      <c r="E101">
        <v>-150</v>
      </c>
    </row>
    <row r="102" spans="1:6">
      <c r="A102" s="166">
        <v>45143</v>
      </c>
      <c r="B102" s="8" t="s">
        <v>128</v>
      </c>
      <c r="E102">
        <v>-337.19</v>
      </c>
    </row>
    <row r="103" spans="1:6">
      <c r="A103" s="166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9"/>
      <c r="E111" s="160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3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3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4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1051</v>
      </c>
      <c r="C2" s="79" t="s">
        <v>67</v>
      </c>
      <c r="D2" s="307">
        <f>SUM(D4:D30)</f>
        <v>87911</v>
      </c>
      <c r="E2" s="307">
        <f>SUM(E4:E29)</f>
        <v>-32079.01</v>
      </c>
      <c r="F2" s="307">
        <f>SUM(F4:F31)</f>
        <v>16800</v>
      </c>
      <c r="G2" s="307">
        <f>SUM(G4:G31)</f>
        <v>-37135.350000000006</v>
      </c>
      <c r="H2" s="307">
        <f>F2+G2</f>
        <v>-20335.350000000006</v>
      </c>
    </row>
    <row r="3" spans="1:8">
      <c r="B3" s="18"/>
      <c r="H3" s="63"/>
    </row>
    <row r="4" spans="1:8">
      <c r="A4" s="166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6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9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9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9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4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>
        <v>0</v>
      </c>
      <c r="H15" s="63">
        <f t="shared" si="0"/>
        <v>-21230.350000000002</v>
      </c>
    </row>
    <row r="16" spans="1:8">
      <c r="A16" s="166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4"/>
      <c r="F21" s="63"/>
      <c r="G21" s="63"/>
      <c r="H21" s="63">
        <f t="shared" si="0"/>
        <v>-31885.350000000002</v>
      </c>
    </row>
    <row r="22" spans="1:8">
      <c r="B22" t="s">
        <v>76</v>
      </c>
      <c r="D22" s="187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7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7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7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80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0</v>
      </c>
      <c r="E37" s="202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160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4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4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4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4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4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5" t="s">
        <v>932</v>
      </c>
      <c r="E55" s="164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5" t="s">
        <v>611</v>
      </c>
      <c r="E56" s="164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5" t="s">
        <v>1062</v>
      </c>
      <c r="E57" s="164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5" t="s">
        <v>1062</v>
      </c>
      <c r="E58" s="164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5" t="s">
        <v>1062</v>
      </c>
      <c r="E59" s="164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5" t="s">
        <v>1062</v>
      </c>
      <c r="E60" s="164">
        <v>-133.15</v>
      </c>
      <c r="F60" s="63"/>
      <c r="G60" s="63"/>
      <c r="H60" s="63"/>
    </row>
    <row r="61" spans="1:8">
      <c r="A61" s="100"/>
      <c r="C61" s="106"/>
      <c r="D61" s="106"/>
      <c r="E61" s="164"/>
      <c r="F61" s="63"/>
      <c r="G61" s="63"/>
      <c r="H61" s="63"/>
    </row>
    <row r="62" spans="1:8">
      <c r="A62" s="100">
        <v>45112</v>
      </c>
      <c r="B62" s="8" t="s">
        <v>1063</v>
      </c>
      <c r="E62" s="164">
        <v>-132.9</v>
      </c>
    </row>
    <row r="63" spans="1:8">
      <c r="A63" s="100"/>
      <c r="D63" s="3" t="s">
        <v>84</v>
      </c>
      <c r="E63" s="164"/>
    </row>
    <row r="65" spans="1:8">
      <c r="D65" s="35"/>
    </row>
    <row r="67" spans="1:8">
      <c r="A67" s="103"/>
      <c r="B67" s="104" t="s">
        <v>85</v>
      </c>
      <c r="C67" s="103"/>
      <c r="D67" s="103"/>
      <c r="E67" s="160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9" t="s">
        <v>1065</v>
      </c>
      <c r="C69" s="106"/>
      <c r="D69" s="106"/>
      <c r="E69" s="164">
        <v>-27.99</v>
      </c>
      <c r="F69" s="63"/>
      <c r="G69" s="63"/>
      <c r="H69" s="63"/>
    </row>
    <row r="70" spans="1:8">
      <c r="A70" s="100">
        <v>45107</v>
      </c>
      <c r="B70" s="319" t="s">
        <v>1066</v>
      </c>
      <c r="C70" s="106"/>
      <c r="D70" s="106"/>
      <c r="E70" s="164">
        <v>-900</v>
      </c>
      <c r="F70" s="63"/>
      <c r="G70" s="63"/>
      <c r="H70" s="63"/>
    </row>
    <row r="71" spans="1:8">
      <c r="A71" s="100">
        <v>45108</v>
      </c>
      <c r="B71" s="319" t="s">
        <v>1067</v>
      </c>
      <c r="C71" s="106"/>
      <c r="D71" s="106"/>
      <c r="E71" s="164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4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4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9"/>
      <c r="E111" s="160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3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3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1077</v>
      </c>
      <c r="C2" s="79" t="s">
        <v>67</v>
      </c>
      <c r="D2" s="307">
        <f>SUM(D4:D34)</f>
        <v>67911</v>
      </c>
      <c r="E2" s="307">
        <f>SUM(E4:E33)</f>
        <v>-35277.64</v>
      </c>
      <c r="F2" s="307">
        <f>SUM(F4:F35)</f>
        <v>70250</v>
      </c>
      <c r="G2" s="307">
        <f>SUM(G4:G35)</f>
        <v>-42110.31</v>
      </c>
      <c r="H2" s="307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6">
        <v>45112</v>
      </c>
      <c r="B7" s="101" t="s">
        <v>1079</v>
      </c>
      <c r="C7" s="101"/>
      <c r="D7" s="101"/>
      <c r="E7" s="164"/>
      <c r="G7" s="63">
        <v>-3500</v>
      </c>
      <c r="H7" s="63">
        <f t="shared" si="0"/>
        <v>-4352</v>
      </c>
    </row>
    <row r="8" spans="1:9">
      <c r="A8" s="166">
        <v>45112</v>
      </c>
      <c r="B8" s="101" t="s">
        <v>1080</v>
      </c>
      <c r="C8" s="101"/>
      <c r="D8" s="101"/>
      <c r="E8" s="164"/>
      <c r="G8" s="63">
        <v>-3500</v>
      </c>
      <c r="H8" s="63">
        <f t="shared" si="0"/>
        <v>-7852</v>
      </c>
    </row>
    <row r="9" spans="1:9">
      <c r="B9" s="179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6">
        <v>45112</v>
      </c>
      <c r="B10" s="179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6">
        <v>45111</v>
      </c>
      <c r="B11" s="179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6">
        <v>45111</v>
      </c>
      <c r="B12" s="179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6">
        <v>45113</v>
      </c>
      <c r="B13" s="320" t="s">
        <v>1082</v>
      </c>
      <c r="E13" s="63"/>
      <c r="G13" s="63">
        <v>-5595.88</v>
      </c>
      <c r="H13" s="63">
        <f t="shared" si="0"/>
        <v>-23354.9</v>
      </c>
      <c r="I13" s="283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6">
        <v>45112</v>
      </c>
      <c r="B16" s="101" t="s">
        <v>1084</v>
      </c>
      <c r="C16" s="101"/>
      <c r="D16" s="101"/>
      <c r="E16" s="63">
        <v>-674.74</v>
      </c>
      <c r="F16" s="164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4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4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4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4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4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7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7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7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80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9"/>
      <c r="G36" s="63"/>
      <c r="H36" s="63"/>
    </row>
    <row r="37" spans="1:8">
      <c r="A37" s="318"/>
      <c r="B37" s="313"/>
      <c r="C37" s="313"/>
      <c r="D37" s="313"/>
      <c r="E37" s="314"/>
      <c r="H37" s="63"/>
    </row>
    <row r="38" spans="1:8">
      <c r="A38" s="318"/>
      <c r="B38" s="313"/>
      <c r="C38" s="315"/>
      <c r="D38" s="313"/>
      <c r="E38" s="313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100"/>
      <c r="C40" s="172"/>
      <c r="H40" s="63"/>
    </row>
    <row r="41" spans="1:8">
      <c r="A41" s="173">
        <v>44929</v>
      </c>
      <c r="B41" s="174" t="s">
        <v>332</v>
      </c>
      <c r="C41" s="103"/>
      <c r="D41" s="202">
        <f>SUM(D42:D49)</f>
        <v>3120.43</v>
      </c>
      <c r="E41" s="202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4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9"/>
      <c r="E53" s="160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4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4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4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4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4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5" t="s">
        <v>611</v>
      </c>
      <c r="E59" s="164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5" t="s">
        <v>1090</v>
      </c>
      <c r="E60" s="164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5" t="s">
        <v>1090</v>
      </c>
      <c r="E61" s="164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5" t="s">
        <v>1090</v>
      </c>
      <c r="E62" s="164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5" t="s">
        <v>1090</v>
      </c>
      <c r="E63" s="164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5" t="s">
        <v>650</v>
      </c>
      <c r="E64" s="164">
        <v>-666.67</v>
      </c>
      <c r="F64" s="63"/>
    </row>
    <row r="65" spans="1:8">
      <c r="A65" s="100">
        <v>45091</v>
      </c>
      <c r="B65" s="106" t="s">
        <v>1091</v>
      </c>
      <c r="E65" s="164">
        <v>-1129</v>
      </c>
      <c r="F65" s="63"/>
    </row>
    <row r="66" spans="1:8">
      <c r="A66" s="100"/>
      <c r="B66" s="106"/>
      <c r="D66" s="3" t="s">
        <v>84</v>
      </c>
      <c r="E66" s="164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60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4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4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4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4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4">
        <v>-225</v>
      </c>
    </row>
    <row r="76" spans="1:8">
      <c r="B76" s="106" t="s">
        <v>274</v>
      </c>
      <c r="C76">
        <v>-1207</v>
      </c>
    </row>
    <row r="77" spans="1:8">
      <c r="A77" s="166">
        <v>45080</v>
      </c>
      <c r="B77" s="106" t="s">
        <v>1094</v>
      </c>
      <c r="E77" s="164">
        <v>-180</v>
      </c>
    </row>
    <row r="78" spans="1:8">
      <c r="A78" s="166">
        <v>45080</v>
      </c>
      <c r="B78" s="106" t="s">
        <v>1095</v>
      </c>
      <c r="E78" s="164">
        <v>-850</v>
      </c>
    </row>
    <row r="79" spans="1:8">
      <c r="A79" s="166">
        <v>45082</v>
      </c>
      <c r="B79" s="106" t="s">
        <v>1096</v>
      </c>
      <c r="E79" s="164">
        <v>-112.11</v>
      </c>
    </row>
    <row r="80" spans="1:8">
      <c r="A80" s="166">
        <v>45082</v>
      </c>
      <c r="B80" s="106" t="s">
        <v>1094</v>
      </c>
      <c r="E80" s="164">
        <v>-150</v>
      </c>
    </row>
    <row r="81" spans="1:5">
      <c r="A81" s="166">
        <v>45084</v>
      </c>
      <c r="B81" s="106" t="s">
        <v>1094</v>
      </c>
      <c r="D81" s="35"/>
      <c r="E81" s="164">
        <v>-250</v>
      </c>
    </row>
    <row r="82" spans="1:5">
      <c r="A82" s="166">
        <v>45085</v>
      </c>
      <c r="B82" s="106" t="s">
        <v>1094</v>
      </c>
      <c r="D82" s="35"/>
      <c r="E82" s="164">
        <v>-250</v>
      </c>
    </row>
    <row r="83" spans="1:5">
      <c r="A83" s="166">
        <v>45086</v>
      </c>
      <c r="B83" s="8" t="s">
        <v>1097</v>
      </c>
      <c r="E83" s="164">
        <v>-1420</v>
      </c>
    </row>
    <row r="84" spans="1:5">
      <c r="A84" s="166">
        <v>45087</v>
      </c>
      <c r="B84" s="8" t="s">
        <v>1098</v>
      </c>
      <c r="E84" s="164">
        <v>-242.56</v>
      </c>
    </row>
    <row r="85" spans="1:5">
      <c r="A85" s="166">
        <v>45089</v>
      </c>
      <c r="B85" s="8" t="s">
        <v>1099</v>
      </c>
      <c r="E85" s="164">
        <v>-167.19</v>
      </c>
    </row>
    <row r="86" spans="1:5">
      <c r="A86" s="166">
        <v>45091</v>
      </c>
      <c r="B86" s="8" t="s">
        <v>1094</v>
      </c>
      <c r="E86" s="164">
        <v>-200</v>
      </c>
    </row>
    <row r="87" spans="1:5">
      <c r="A87" s="166">
        <v>45091</v>
      </c>
      <c r="B87" s="8" t="s">
        <v>1096</v>
      </c>
      <c r="E87" s="164">
        <v>-61.41</v>
      </c>
    </row>
    <row r="88" spans="1:5">
      <c r="A88" s="166">
        <v>45092</v>
      </c>
      <c r="B88" s="8" t="s">
        <v>1094</v>
      </c>
      <c r="E88" s="164">
        <v>-200</v>
      </c>
    </row>
    <row r="89" spans="1:5">
      <c r="A89" s="100">
        <v>45095</v>
      </c>
      <c r="B89" s="8" t="s">
        <v>1100</v>
      </c>
      <c r="E89" s="164">
        <v>-257</v>
      </c>
    </row>
    <row r="90" spans="1:5">
      <c r="A90" s="100">
        <v>45096</v>
      </c>
      <c r="B90" s="8" t="s">
        <v>657</v>
      </c>
      <c r="E90" s="164">
        <v>-250</v>
      </c>
    </row>
    <row r="91" spans="1:5">
      <c r="A91" s="100">
        <v>45097</v>
      </c>
      <c r="B91" s="8" t="s">
        <v>1101</v>
      </c>
      <c r="E91" s="164">
        <v>-110</v>
      </c>
    </row>
    <row r="92" spans="1:5">
      <c r="A92" s="100">
        <v>45098</v>
      </c>
      <c r="B92" s="8" t="s">
        <v>1102</v>
      </c>
      <c r="E92" s="164">
        <v>-405</v>
      </c>
    </row>
    <row r="93" spans="1:5">
      <c r="A93" s="100">
        <v>45099</v>
      </c>
      <c r="B93" s="8" t="s">
        <v>1103</v>
      </c>
      <c r="E93" s="164">
        <v>-820</v>
      </c>
    </row>
    <row r="94" spans="1:5">
      <c r="A94" s="100">
        <v>45099</v>
      </c>
      <c r="B94" s="8" t="s">
        <v>1104</v>
      </c>
      <c r="E94" s="164">
        <v>-599</v>
      </c>
    </row>
    <row r="95" spans="1:5">
      <c r="A95" s="100">
        <v>45099</v>
      </c>
      <c r="B95" s="8" t="s">
        <v>1105</v>
      </c>
      <c r="E95" s="164">
        <v>-8</v>
      </c>
    </row>
    <row r="96" spans="1:5">
      <c r="A96" s="100">
        <v>45099</v>
      </c>
      <c r="B96" s="8" t="s">
        <v>1105</v>
      </c>
      <c r="E96" s="164">
        <v>-1197.3800000000001</v>
      </c>
    </row>
    <row r="97" spans="1:5">
      <c r="A97" s="100">
        <v>45100</v>
      </c>
      <c r="B97" s="8" t="s">
        <v>1106</v>
      </c>
      <c r="E97" s="164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9"/>
      <c r="E111" s="160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1110</v>
      </c>
      <c r="C2" s="79" t="s">
        <v>67</v>
      </c>
      <c r="D2" s="307">
        <f>SUM(D4:D30)</f>
        <v>28744</v>
      </c>
      <c r="E2" s="307">
        <f>SUM(E4:E29)</f>
        <v>-26572.629999999997</v>
      </c>
      <c r="F2" s="307">
        <f>SUM(F4:F31)</f>
        <v>33133</v>
      </c>
      <c r="G2" s="307">
        <f>SUM(G4:G31)</f>
        <v>-28830.22</v>
      </c>
      <c r="H2" s="307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6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9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6">
        <v>45082</v>
      </c>
      <c r="B8" s="179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6">
        <v>45082</v>
      </c>
      <c r="B9" s="179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4"/>
      <c r="G12" s="63">
        <v>-16.059999999999999</v>
      </c>
      <c r="H12" s="63">
        <f t="shared" si="0"/>
        <v>-14578.949999999999</v>
      </c>
    </row>
    <row r="13" spans="1:8">
      <c r="A13" s="166">
        <v>45078</v>
      </c>
      <c r="B13" s="101" t="s">
        <v>559</v>
      </c>
      <c r="C13" s="101"/>
      <c r="D13" s="101"/>
      <c r="E13" s="63">
        <v>-674.74</v>
      </c>
      <c r="F13" s="164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4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4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4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4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4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4"/>
      <c r="F20" s="63"/>
      <c r="G20" s="63"/>
      <c r="H20" s="63">
        <f t="shared" si="0"/>
        <v>-25230.22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6">
        <v>45119</v>
      </c>
      <c r="B23" s="8" t="s">
        <v>677</v>
      </c>
      <c r="D23" s="187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7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7">
        <v>10833</v>
      </c>
      <c r="F25">
        <v>10833</v>
      </c>
      <c r="H25" s="63">
        <f t="shared" si="0"/>
        <v>4402.7799999999988</v>
      </c>
    </row>
    <row r="26" spans="1:8">
      <c r="A26" s="166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6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6">
        <v>45092</v>
      </c>
      <c r="B29" s="321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3377.9</v>
      </c>
      <c r="E37" s="202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202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4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4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4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2" t="s">
        <v>1124</v>
      </c>
      <c r="E53" s="164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4">
        <v>-376.49</v>
      </c>
      <c r="F54" s="63">
        <v>3</v>
      </c>
      <c r="G54" s="63"/>
      <c r="H54" s="63"/>
    </row>
    <row r="55" spans="1:8">
      <c r="A55" s="100"/>
      <c r="D55" s="35"/>
      <c r="E55" s="164"/>
      <c r="F55" s="63"/>
      <c r="G55" s="63"/>
      <c r="H55" s="63"/>
    </row>
    <row r="56" spans="1:8">
      <c r="A56" s="100"/>
      <c r="D56" s="35"/>
      <c r="E56" s="164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4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4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650</v>
      </c>
      <c r="E60" s="164">
        <v>-520.54999999999995</v>
      </c>
      <c r="F60" s="63">
        <v>3</v>
      </c>
      <c r="G60" s="63"/>
      <c r="H60" s="63"/>
    </row>
    <row r="61" spans="1:8">
      <c r="A61" s="100"/>
      <c r="C61" s="106"/>
      <c r="D61" s="205"/>
      <c r="E61" s="164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5"/>
      <c r="E62" s="164"/>
      <c r="F62" s="63"/>
      <c r="G62" s="63"/>
      <c r="H62" s="63"/>
    </row>
    <row r="63" spans="1:8">
      <c r="A63" s="100">
        <v>45043</v>
      </c>
      <c r="B63" s="8" t="s">
        <v>1127</v>
      </c>
      <c r="E63" s="164">
        <v>-496</v>
      </c>
    </row>
    <row r="64" spans="1:8">
      <c r="A64" s="100">
        <v>45043</v>
      </c>
      <c r="B64" s="106" t="s">
        <v>1128</v>
      </c>
      <c r="C64" s="106"/>
      <c r="D64" s="106"/>
      <c r="E64" s="164">
        <v>-120</v>
      </c>
    </row>
    <row r="65" spans="1:6">
      <c r="A65" s="100">
        <v>45044</v>
      </c>
      <c r="B65" s="8" t="s">
        <v>1129</v>
      </c>
      <c r="E65" s="164">
        <v>-321</v>
      </c>
      <c r="F65" s="63"/>
    </row>
    <row r="66" spans="1:6">
      <c r="A66" s="100">
        <v>45044</v>
      </c>
      <c r="B66" s="8" t="s">
        <v>1130</v>
      </c>
      <c r="E66" s="164">
        <v>110.52</v>
      </c>
      <c r="F66" s="63"/>
    </row>
    <row r="67" spans="1:6">
      <c r="A67" s="100"/>
      <c r="E67" s="164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1">
        <v>45107</v>
      </c>
      <c r="E68" s="164"/>
    </row>
    <row r="69" spans="1:6">
      <c r="A69" s="100">
        <v>45062</v>
      </c>
      <c r="B69" s="8" t="s">
        <v>1131</v>
      </c>
      <c r="C69">
        <v>225</v>
      </c>
      <c r="E69" s="164"/>
    </row>
    <row r="70" spans="1:6">
      <c r="A70" s="100">
        <v>45062</v>
      </c>
      <c r="B70" s="8" t="s">
        <v>1131</v>
      </c>
      <c r="C70">
        <v>500</v>
      </c>
      <c r="E70" s="164"/>
    </row>
    <row r="71" spans="1:6">
      <c r="A71" s="100">
        <v>45066</v>
      </c>
      <c r="B71" s="8" t="s">
        <v>1132</v>
      </c>
      <c r="C71">
        <v>-187.19</v>
      </c>
      <c r="E71" s="164"/>
    </row>
    <row r="72" spans="1:6">
      <c r="A72" s="100"/>
      <c r="E72" s="164"/>
    </row>
    <row r="73" spans="1:6">
      <c r="A73" s="100"/>
      <c r="E73" s="164"/>
    </row>
    <row r="74" spans="1:6">
      <c r="A74" s="100"/>
      <c r="E74" s="164"/>
    </row>
    <row r="75" spans="1:6">
      <c r="A75" s="100"/>
      <c r="E75" s="164" t="s">
        <v>84</v>
      </c>
    </row>
    <row r="76" spans="1:6">
      <c r="A76" s="100"/>
      <c r="E76" s="164"/>
    </row>
    <row r="77" spans="1:6">
      <c r="A77" s="100"/>
      <c r="E77" s="164"/>
    </row>
    <row r="78" spans="1:6">
      <c r="A78" s="100"/>
      <c r="E78" s="164"/>
    </row>
    <row r="79" spans="1:6">
      <c r="A79" s="100"/>
      <c r="E79" s="164"/>
    </row>
    <row r="80" spans="1:6">
      <c r="A80" s="100"/>
      <c r="E80" s="164"/>
    </row>
    <row r="81" spans="1:8">
      <c r="A81" s="100"/>
      <c r="E81" s="164"/>
    </row>
    <row r="82" spans="1:8">
      <c r="D82" s="35"/>
    </row>
    <row r="84" spans="1:8">
      <c r="A84" s="103"/>
      <c r="B84" s="104" t="s">
        <v>85</v>
      </c>
      <c r="C84" s="103"/>
      <c r="D84" s="103"/>
      <c r="E84" s="160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4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4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4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4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4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4">
        <v>-260</v>
      </c>
      <c r="F90" s="63" t="s">
        <v>1134</v>
      </c>
    </row>
    <row r="91" spans="1:8">
      <c r="A91" s="100">
        <v>45026</v>
      </c>
      <c r="B91" s="8" t="s">
        <v>1136</v>
      </c>
      <c r="E91" s="164">
        <v>-140</v>
      </c>
      <c r="F91" s="63" t="s">
        <v>1134</v>
      </c>
    </row>
    <row r="92" spans="1:8">
      <c r="A92" s="100">
        <v>45026</v>
      </c>
      <c r="B92" s="8" t="s">
        <v>1135</v>
      </c>
      <c r="E92" s="164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4">
        <v>-190.17</v>
      </c>
      <c r="F93" s="8" t="s">
        <v>1134</v>
      </c>
    </row>
    <row r="94" spans="1:8">
      <c r="A94" s="100">
        <v>45061</v>
      </c>
      <c r="B94" s="8" t="s">
        <v>1137</v>
      </c>
      <c r="E94" s="164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9"/>
      <c r="E111" s="160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1141</v>
      </c>
      <c r="C2" s="79" t="s">
        <v>67</v>
      </c>
      <c r="D2" s="307">
        <f>SUM(D4:D40)</f>
        <v>17911</v>
      </c>
      <c r="E2" s="307">
        <f>SUM(E4:E39)</f>
        <v>-20977.52</v>
      </c>
      <c r="F2" s="307">
        <f>SUM(F4:F41)</f>
        <v>19800</v>
      </c>
      <c r="G2" s="307">
        <f>SUM(G4:G41)</f>
        <v>-25248.52</v>
      </c>
      <c r="H2" s="307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9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9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9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4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4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4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4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6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6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4"/>
      <c r="H28" s="63"/>
    </row>
    <row r="29" spans="1:8">
      <c r="A29" s="100"/>
      <c r="B29" s="101" t="s">
        <v>1147</v>
      </c>
      <c r="C29" s="101"/>
      <c r="D29" s="101"/>
      <c r="E29" s="164"/>
      <c r="H29" s="63"/>
    </row>
    <row r="30" spans="1:8">
      <c r="A30" s="100"/>
      <c r="B30" s="101" t="s">
        <v>1148</v>
      </c>
      <c r="C30" s="101"/>
      <c r="D30" s="101"/>
      <c r="E30" s="164"/>
      <c r="H30" s="63"/>
    </row>
    <row r="31" spans="1:8">
      <c r="A31" s="100"/>
      <c r="B31" s="101" t="s">
        <v>119</v>
      </c>
      <c r="C31" s="101"/>
      <c r="D31" s="101"/>
      <c r="E31" s="164"/>
      <c r="H31" s="63"/>
    </row>
    <row r="32" spans="1:8">
      <c r="A32" s="100"/>
      <c r="B32" s="101" t="s">
        <v>1149</v>
      </c>
      <c r="C32" s="101" t="s">
        <v>1150</v>
      </c>
      <c r="D32" s="101"/>
      <c r="E32" s="164"/>
      <c r="H32" s="63"/>
    </row>
    <row r="33" spans="1:8">
      <c r="A33" s="100"/>
      <c r="B33" s="8" t="s">
        <v>1151</v>
      </c>
      <c r="C33" s="101"/>
      <c r="D33" s="101"/>
      <c r="E33" s="164"/>
      <c r="H33" s="63"/>
    </row>
    <row r="34" spans="1:8">
      <c r="A34" s="100"/>
      <c r="B34" s="8" t="s">
        <v>1152</v>
      </c>
      <c r="C34" s="101"/>
      <c r="D34" s="101"/>
      <c r="E34" s="164"/>
      <c r="H34" s="63"/>
    </row>
    <row r="35" spans="1:8">
      <c r="A35" s="100"/>
      <c r="B35" s="101" t="s">
        <v>1153</v>
      </c>
      <c r="C35" s="101"/>
      <c r="D35" s="101"/>
      <c r="E35" s="164"/>
      <c r="H35" s="63"/>
    </row>
    <row r="36" spans="1:8">
      <c r="A36" s="100"/>
      <c r="B36" s="101" t="s">
        <v>1154</v>
      </c>
      <c r="C36" s="101"/>
      <c r="D36" s="101"/>
      <c r="E36" s="164"/>
      <c r="H36" s="63"/>
    </row>
    <row r="37" spans="1:8">
      <c r="A37" s="100"/>
      <c r="B37" s="101"/>
      <c r="C37" s="101"/>
      <c r="D37" s="101"/>
      <c r="E37" s="164"/>
      <c r="H37" s="63"/>
    </row>
    <row r="38" spans="1:8">
      <c r="D38" s="63"/>
      <c r="F38" s="63"/>
      <c r="G38" s="63"/>
      <c r="H38" s="63"/>
    </row>
    <row r="39" spans="1:8" ht="15.75">
      <c r="B39" s="180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9"/>
      <c r="G42" s="63"/>
      <c r="H42" s="63"/>
    </row>
    <row r="43" spans="1:8">
      <c r="A43" s="318"/>
      <c r="B43" s="313"/>
      <c r="C43" s="313"/>
      <c r="D43" s="313"/>
      <c r="E43" s="314"/>
      <c r="H43" s="63"/>
    </row>
    <row r="44" spans="1:8">
      <c r="A44" s="318"/>
      <c r="B44" s="313"/>
      <c r="C44" s="315"/>
      <c r="D44" s="313"/>
      <c r="E44" s="313"/>
      <c r="H44" s="63"/>
    </row>
    <row r="45" spans="1:8">
      <c r="A45" s="318"/>
      <c r="B45" s="313"/>
      <c r="C45" s="315"/>
      <c r="D45" s="313"/>
      <c r="E45" s="313"/>
      <c r="H45" s="63"/>
    </row>
    <row r="46" spans="1:8">
      <c r="A46" s="100"/>
      <c r="C46" s="172"/>
      <c r="H46" s="63"/>
    </row>
    <row r="47" spans="1:8">
      <c r="A47" s="173">
        <v>44929</v>
      </c>
      <c r="B47" s="174" t="s">
        <v>332</v>
      </c>
      <c r="C47" s="103"/>
      <c r="D47" s="202">
        <f>SUM(D48:D55)</f>
        <v>2838.0099999999998</v>
      </c>
      <c r="E47" s="202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4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9"/>
      <c r="E59" s="160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4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4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4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4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4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2" t="s">
        <v>1155</v>
      </c>
      <c r="E65" s="164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4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4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4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4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4">
        <v>-291.8</v>
      </c>
    </row>
    <row r="71" spans="1:8">
      <c r="A71" s="100">
        <v>45025</v>
      </c>
      <c r="E71" s="164">
        <v>-77.52</v>
      </c>
    </row>
    <row r="72" spans="1:8">
      <c r="A72" s="100">
        <v>45025</v>
      </c>
      <c r="B72" s="8" t="s">
        <v>419</v>
      </c>
      <c r="E72" s="164">
        <v>-158.63999999999999</v>
      </c>
    </row>
    <row r="73" spans="1:8">
      <c r="A73" s="100">
        <v>45037</v>
      </c>
      <c r="B73" s="8" t="s">
        <v>1063</v>
      </c>
      <c r="D73" s="35"/>
      <c r="E73" s="164">
        <v>-100</v>
      </c>
    </row>
    <row r="74" spans="1:8">
      <c r="A74" s="100">
        <v>45037</v>
      </c>
      <c r="B74" s="8" t="s">
        <v>1063</v>
      </c>
      <c r="E74" s="164">
        <v>-15</v>
      </c>
    </row>
    <row r="75" spans="1:8">
      <c r="A75" s="100">
        <v>45039</v>
      </c>
      <c r="B75" s="8" t="s">
        <v>1160</v>
      </c>
      <c r="E75" s="164">
        <v>-430</v>
      </c>
    </row>
    <row r="76" spans="1:8">
      <c r="A76" s="100">
        <v>45040</v>
      </c>
      <c r="B76" s="8" t="s">
        <v>1161</v>
      </c>
      <c r="E76" s="164">
        <v>-69.739999999999995</v>
      </c>
    </row>
    <row r="77" spans="1:8">
      <c r="A77" s="100">
        <v>45040</v>
      </c>
      <c r="B77" s="8" t="s">
        <v>1162</v>
      </c>
      <c r="E77" s="164">
        <v>-125</v>
      </c>
    </row>
    <row r="78" spans="1:8">
      <c r="A78" s="100"/>
      <c r="E78" s="164" t="s">
        <v>1163</v>
      </c>
    </row>
    <row r="80" spans="1:8">
      <c r="A80" s="103"/>
      <c r="B80" s="104" t="s">
        <v>85</v>
      </c>
      <c r="C80" s="103"/>
      <c r="D80" s="103"/>
      <c r="E80" s="202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4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4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4"/>
      <c r="F83" s="63"/>
      <c r="G83" s="63"/>
      <c r="H83" s="63"/>
    </row>
    <row r="84" spans="1:8">
      <c r="A84" s="100"/>
      <c r="B84" s="106"/>
      <c r="C84" s="106"/>
      <c r="D84" s="106"/>
      <c r="E84" s="164"/>
      <c r="F84" s="63"/>
      <c r="G84" s="63"/>
      <c r="H84" s="63"/>
    </row>
    <row r="85" spans="1:8">
      <c r="A85" s="100"/>
      <c r="B85" s="106"/>
      <c r="C85" s="106"/>
      <c r="D85" s="106"/>
      <c r="E85" s="164"/>
      <c r="F85" s="63"/>
      <c r="G85" s="63"/>
      <c r="H85" s="63"/>
    </row>
    <row r="86" spans="1:8">
      <c r="A86" s="100"/>
      <c r="B86" s="106"/>
      <c r="C86" s="106"/>
      <c r="D86" s="106"/>
      <c r="E86" s="164"/>
      <c r="F86" s="63"/>
      <c r="G86" s="63"/>
      <c r="H86" s="63"/>
    </row>
    <row r="87" spans="1:8">
      <c r="A87" s="100"/>
      <c r="B87" s="106"/>
      <c r="C87" s="106"/>
      <c r="D87" s="106"/>
      <c r="E87" s="164"/>
      <c r="F87" s="63"/>
      <c r="G87" s="63"/>
      <c r="H87" s="63"/>
    </row>
    <row r="88" spans="1:8">
      <c r="A88" s="100"/>
      <c r="B88" s="106"/>
      <c r="C88" s="106"/>
      <c r="D88" s="106"/>
      <c r="E88" s="164"/>
      <c r="F88" s="63"/>
      <c r="G88" s="63"/>
      <c r="H88" s="63"/>
    </row>
    <row r="89" spans="1:8">
      <c r="A89" s="100"/>
      <c r="B89" s="106"/>
      <c r="C89" s="106"/>
      <c r="D89" s="106"/>
      <c r="E89" s="164"/>
      <c r="F89" s="63"/>
      <c r="G89" s="63"/>
      <c r="H89" s="63"/>
    </row>
    <row r="90" spans="1:8">
      <c r="A90" s="100"/>
      <c r="B90" s="106"/>
      <c r="C90" s="106"/>
      <c r="D90" s="106"/>
      <c r="E90" s="164"/>
      <c r="F90" s="63"/>
      <c r="G90" s="63"/>
      <c r="H90" s="63"/>
    </row>
    <row r="91" spans="1:8">
      <c r="A91" s="100"/>
      <c r="B91" s="106"/>
      <c r="C91" s="106"/>
      <c r="D91" s="106"/>
      <c r="E91" s="164"/>
      <c r="F91" s="63"/>
      <c r="G91" s="63"/>
      <c r="H91" s="63"/>
    </row>
    <row r="92" spans="1:8">
      <c r="A92" s="100"/>
      <c r="B92" s="106"/>
      <c r="C92" s="106"/>
      <c r="D92" s="106"/>
      <c r="E92" s="164"/>
      <c r="F92" s="63"/>
      <c r="G92" s="63"/>
      <c r="H92" s="63"/>
    </row>
    <row r="93" spans="1:8">
      <c r="A93" s="100"/>
      <c r="B93" s="106"/>
      <c r="C93" s="106"/>
      <c r="D93" s="106"/>
      <c r="E93" s="164"/>
      <c r="F93" s="63"/>
      <c r="G93" s="63"/>
      <c r="H93" s="63"/>
    </row>
    <row r="94" spans="1:8">
      <c r="A94" s="100"/>
      <c r="B94" s="106"/>
      <c r="C94" s="106"/>
      <c r="D94" s="106"/>
      <c r="E94" s="164"/>
      <c r="F94" s="63"/>
      <c r="G94" s="63"/>
      <c r="H94" s="63"/>
    </row>
    <row r="95" spans="1:8">
      <c r="A95" s="100"/>
      <c r="B95" s="106"/>
      <c r="C95" s="106"/>
      <c r="D95" s="106"/>
      <c r="E95" s="164"/>
      <c r="F95" s="63"/>
      <c r="G95" s="63"/>
      <c r="H95" s="63"/>
    </row>
    <row r="96" spans="1:8">
      <c r="A96" s="100"/>
      <c r="B96" s="106"/>
      <c r="C96" s="106"/>
      <c r="D96" s="106"/>
      <c r="E96" s="164"/>
      <c r="F96" s="63"/>
      <c r="G96" s="63"/>
      <c r="H96" s="63"/>
    </row>
    <row r="97" spans="1:8">
      <c r="A97" s="100"/>
      <c r="B97" s="106"/>
      <c r="C97" s="106"/>
      <c r="D97" s="106"/>
      <c r="E97" s="164"/>
      <c r="F97" s="63"/>
      <c r="G97" s="63"/>
      <c r="H97" s="63"/>
    </row>
    <row r="98" spans="1:8">
      <c r="A98" s="100"/>
      <c r="B98" s="106"/>
      <c r="C98" s="106"/>
      <c r="D98" s="106"/>
      <c r="E98" s="164"/>
      <c r="F98" s="63"/>
      <c r="G98" s="63"/>
      <c r="H98" s="63"/>
    </row>
    <row r="99" spans="1:8">
      <c r="A99" s="100"/>
      <c r="B99" s="106"/>
      <c r="C99" s="106"/>
      <c r="D99" s="106"/>
      <c r="E99" s="164"/>
      <c r="F99" s="63"/>
      <c r="G99" s="63"/>
      <c r="H99" s="63"/>
    </row>
    <row r="100" spans="1:8">
      <c r="A100" s="100"/>
      <c r="B100" s="106"/>
      <c r="C100" s="106"/>
      <c r="D100" s="106"/>
      <c r="E100" s="164"/>
      <c r="F100" s="63"/>
      <c r="G100" s="63"/>
      <c r="H100" s="63"/>
    </row>
    <row r="101" spans="1:8">
      <c r="A101" s="100"/>
      <c r="B101" s="106"/>
      <c r="C101" s="106"/>
      <c r="D101" s="106"/>
      <c r="E101" s="164"/>
      <c r="F101" s="63"/>
      <c r="G101" s="63"/>
      <c r="H101" s="63"/>
    </row>
    <row r="102" spans="1:8">
      <c r="A102" s="100"/>
      <c r="B102" s="106"/>
      <c r="C102" s="106"/>
      <c r="D102" s="106"/>
      <c r="E102" s="164"/>
      <c r="F102" s="63"/>
      <c r="G102" s="63"/>
      <c r="H102" s="63"/>
    </row>
    <row r="103" spans="1:8">
      <c r="A103" s="100"/>
      <c r="B103" s="106"/>
      <c r="C103" s="106"/>
      <c r="D103" s="106"/>
      <c r="E103" s="164"/>
      <c r="F103" s="63"/>
      <c r="G103" s="63"/>
      <c r="H103" s="63"/>
    </row>
    <row r="104" spans="1:8">
      <c r="A104" s="100"/>
      <c r="B104" s="106"/>
      <c r="C104" s="106"/>
      <c r="D104" s="106"/>
      <c r="E104" s="164"/>
      <c r="F104" s="63"/>
      <c r="G104" s="63"/>
      <c r="H104" s="63"/>
    </row>
    <row r="105" spans="1:8">
      <c r="A105" s="100"/>
      <c r="B105" s="106"/>
      <c r="C105" s="106"/>
      <c r="D105" s="106"/>
      <c r="E105" s="164"/>
      <c r="F105" s="63"/>
      <c r="G105" s="63"/>
      <c r="H105" s="63"/>
    </row>
    <row r="106" spans="1:8">
      <c r="A106" s="100"/>
      <c r="B106" s="106"/>
      <c r="C106" s="106"/>
      <c r="D106" s="106"/>
      <c r="E106" s="164"/>
      <c r="F106" s="63"/>
      <c r="G106" s="63"/>
      <c r="H106" s="63"/>
    </row>
    <row r="107" spans="1:8">
      <c r="A107" s="100"/>
      <c r="B107" s="106"/>
      <c r="C107" s="106"/>
      <c r="D107" s="106"/>
      <c r="E107" s="164"/>
      <c r="F107" s="63"/>
      <c r="G107" s="63"/>
      <c r="H107" s="63"/>
    </row>
    <row r="108" spans="1:8">
      <c r="A108" s="100"/>
      <c r="B108" s="107"/>
      <c r="E108" s="164"/>
    </row>
    <row r="111" spans="1:8">
      <c r="A111" s="113" t="s">
        <v>1165</v>
      </c>
      <c r="B111" s="104" t="s">
        <v>1139</v>
      </c>
      <c r="C111" s="103"/>
      <c r="D111" s="159"/>
      <c r="E111" s="160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9"/>
      <c r="E133" s="160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1166</v>
      </c>
      <c r="C2" s="79" t="s">
        <v>67</v>
      </c>
      <c r="D2" s="307">
        <f>SUM(D4:D35)</f>
        <v>20911</v>
      </c>
      <c r="E2" s="307">
        <f>SUM(E4:E26)</f>
        <v>-54277.093000000001</v>
      </c>
      <c r="F2" s="307">
        <f>SUM(F4:F36)</f>
        <v>72630</v>
      </c>
      <c r="G2" s="307">
        <f>SUM(G4:G36)</f>
        <v>-58332.79</v>
      </c>
      <c r="H2" s="307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4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4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9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9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9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7">
        <v>7500</v>
      </c>
      <c r="F20" s="164">
        <v>7500</v>
      </c>
      <c r="G20" s="63"/>
      <c r="H20" s="63">
        <f t="shared" si="0"/>
        <v>-42617.020000000004</v>
      </c>
    </row>
    <row r="21" spans="1:8">
      <c r="B21" t="s">
        <v>1168</v>
      </c>
      <c r="D21" s="187">
        <v>2000</v>
      </c>
      <c r="F21" s="164">
        <v>2000</v>
      </c>
      <c r="G21" s="63"/>
      <c r="H21" s="63">
        <f t="shared" si="0"/>
        <v>-40617.020000000004</v>
      </c>
    </row>
    <row r="22" spans="1:8">
      <c r="B22" t="s">
        <v>677</v>
      </c>
      <c r="D22" s="187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7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3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4">
        <v>6750</v>
      </c>
      <c r="G30" s="63"/>
      <c r="H30" s="164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9"/>
      <c r="G37" s="63"/>
      <c r="H37" s="63"/>
    </row>
    <row r="38" spans="1:8">
      <c r="A38" s="318"/>
      <c r="B38" s="313"/>
      <c r="C38" s="313"/>
      <c r="D38" s="313"/>
      <c r="E38" s="314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100"/>
      <c r="C41" s="172"/>
      <c r="H41" s="63"/>
    </row>
    <row r="42" spans="1:8">
      <c r="A42" s="173">
        <v>44929</v>
      </c>
      <c r="B42" s="174" t="s">
        <v>332</v>
      </c>
      <c r="C42" s="103"/>
      <c r="D42" s="202">
        <f>SUM(D43:D50)</f>
        <v>4161.9400000000005</v>
      </c>
      <c r="E42" s="202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4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9"/>
      <c r="E54" s="160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4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4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4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4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4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4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4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4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4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2" t="s">
        <v>1183</v>
      </c>
      <c r="E64" s="164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4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4">
        <v>-376.49</v>
      </c>
      <c r="F66" s="63"/>
    </row>
    <row r="67" spans="1:8">
      <c r="A67" s="100">
        <v>44985</v>
      </c>
      <c r="B67" s="8" t="s">
        <v>1185</v>
      </c>
      <c r="D67" s="35"/>
      <c r="E67" s="164">
        <v>-161.31</v>
      </c>
      <c r="F67" s="63"/>
    </row>
    <row r="68" spans="1:8">
      <c r="A68" s="100">
        <v>44986</v>
      </c>
      <c r="B68" s="8" t="s">
        <v>1185</v>
      </c>
      <c r="D68" s="35"/>
      <c r="E68" s="164">
        <v>-137.93</v>
      </c>
      <c r="F68" s="63"/>
    </row>
    <row r="69" spans="1:8">
      <c r="A69" s="100">
        <v>44987</v>
      </c>
      <c r="B69" s="8" t="s">
        <v>1185</v>
      </c>
      <c r="D69" s="35"/>
      <c r="E69" s="164">
        <v>-121.99</v>
      </c>
      <c r="F69" s="63"/>
    </row>
    <row r="70" spans="1:8">
      <c r="A70" s="100">
        <v>45004</v>
      </c>
      <c r="B70" s="8" t="s">
        <v>1186</v>
      </c>
      <c r="D70" s="35"/>
      <c r="E70" s="164">
        <v>-94.85</v>
      </c>
      <c r="F70" s="63"/>
    </row>
    <row r="71" spans="1:8">
      <c r="A71" s="100">
        <v>45005</v>
      </c>
      <c r="B71" s="8" t="s">
        <v>1187</v>
      </c>
      <c r="D71" s="35"/>
      <c r="E71" s="164">
        <v>-456.1</v>
      </c>
      <c r="F71" s="63"/>
    </row>
    <row r="72" spans="1:8">
      <c r="A72" s="100">
        <v>45005</v>
      </c>
      <c r="B72" s="8" t="s">
        <v>1188</v>
      </c>
      <c r="E72" s="164">
        <v>-110</v>
      </c>
    </row>
    <row r="73" spans="1:8">
      <c r="A73" s="100">
        <v>45007</v>
      </c>
      <c r="B73" s="8" t="s">
        <v>1189</v>
      </c>
      <c r="D73" s="35"/>
      <c r="E73" s="164">
        <v>-554.11</v>
      </c>
    </row>
    <row r="74" spans="1:8">
      <c r="A74" s="100">
        <v>45010</v>
      </c>
      <c r="B74" s="8" t="s">
        <v>1190</v>
      </c>
      <c r="D74" s="35"/>
      <c r="E74" s="164">
        <v>-530.54999999999995</v>
      </c>
    </row>
    <row r="75" spans="1:8">
      <c r="A75" s="100">
        <v>45010</v>
      </c>
      <c r="B75" s="8" t="s">
        <v>1191</v>
      </c>
      <c r="D75" s="35"/>
      <c r="E75" s="164">
        <v>-26.53</v>
      </c>
    </row>
    <row r="76" spans="1:8">
      <c r="A76" s="100"/>
      <c r="D76" s="35"/>
      <c r="E76" s="164" t="s">
        <v>1163</v>
      </c>
    </row>
    <row r="78" spans="1:8">
      <c r="A78" s="103"/>
      <c r="B78" s="104" t="s">
        <v>85</v>
      </c>
      <c r="C78" s="103"/>
      <c r="D78" s="103"/>
      <c r="E78" s="160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4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4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4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4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4">
        <v>-229.95</v>
      </c>
      <c r="F83" s="63"/>
      <c r="G83" s="63"/>
      <c r="H83" s="63"/>
    </row>
    <row r="84" spans="1:8">
      <c r="A84" s="100"/>
      <c r="B84" s="107"/>
      <c r="E84" s="164" t="s">
        <v>1163</v>
      </c>
    </row>
    <row r="85" spans="1:8">
      <c r="A85" s="100"/>
      <c r="B85" s="107"/>
      <c r="E85" s="164"/>
    </row>
    <row r="86" spans="1:8">
      <c r="A86" s="100"/>
      <c r="B86" s="107"/>
      <c r="E86" s="164"/>
    </row>
    <row r="87" spans="1:8">
      <c r="A87" s="100"/>
      <c r="B87" s="107"/>
      <c r="E87" s="164"/>
    </row>
    <row r="88" spans="1:8">
      <c r="A88" s="100"/>
      <c r="B88" s="107"/>
      <c r="E88" s="164"/>
    </row>
    <row r="89" spans="1:8">
      <c r="A89" s="100"/>
      <c r="B89" s="107"/>
      <c r="E89" s="164"/>
    </row>
    <row r="90" spans="1:8">
      <c r="A90" s="100"/>
      <c r="B90" s="107"/>
      <c r="E90" s="164"/>
    </row>
    <row r="91" spans="1:8">
      <c r="A91" s="100"/>
      <c r="B91" s="107"/>
      <c r="E91" s="164"/>
    </row>
    <row r="92" spans="1:8">
      <c r="A92" s="100"/>
      <c r="B92" s="107"/>
      <c r="E92" s="164"/>
    </row>
    <row r="93" spans="1:8">
      <c r="A93" s="100"/>
      <c r="B93" s="107"/>
      <c r="E93" s="164"/>
    </row>
    <row r="94" spans="1:8">
      <c r="A94" s="100"/>
      <c r="B94" s="107"/>
      <c r="E94" s="164"/>
    </row>
    <row r="95" spans="1:8">
      <c r="A95" s="100"/>
      <c r="B95" s="107"/>
      <c r="E95" s="164"/>
    </row>
    <row r="96" spans="1:8">
      <c r="A96" s="100"/>
      <c r="B96" s="107"/>
      <c r="E96" s="164"/>
    </row>
    <row r="97" spans="1:5">
      <c r="A97" s="100"/>
      <c r="B97" s="107"/>
      <c r="E97" s="164"/>
    </row>
    <row r="98" spans="1:5">
      <c r="A98" s="100"/>
      <c r="B98" s="107"/>
      <c r="E98" s="164"/>
    </row>
    <row r="99" spans="1:5">
      <c r="A99" s="100"/>
      <c r="B99" s="107"/>
      <c r="E99" s="164"/>
    </row>
    <row r="100" spans="1:5">
      <c r="A100" s="100"/>
      <c r="B100" s="107"/>
      <c r="E100" s="164"/>
    </row>
    <row r="101" spans="1:5">
      <c r="A101" s="100"/>
      <c r="B101" s="107"/>
      <c r="E101" s="164"/>
    </row>
    <row r="102" spans="1:5">
      <c r="A102" s="100"/>
      <c r="B102" s="107"/>
      <c r="E102" s="164"/>
    </row>
    <row r="103" spans="1:5">
      <c r="A103" s="100"/>
      <c r="B103" s="107"/>
      <c r="E103" s="164"/>
    </row>
    <row r="104" spans="1:5">
      <c r="A104" s="100"/>
      <c r="B104" s="107"/>
      <c r="E104" s="164"/>
    </row>
    <row r="105" spans="1:5">
      <c r="A105" s="100"/>
      <c r="B105" s="107"/>
      <c r="E105" s="164"/>
    </row>
    <row r="106" spans="1:5">
      <c r="A106" s="100"/>
      <c r="B106" s="107"/>
      <c r="E106" s="164"/>
    </row>
    <row r="107" spans="1:5">
      <c r="A107" s="100"/>
      <c r="B107" s="107"/>
      <c r="E107" s="164"/>
    </row>
    <row r="111" spans="1:5">
      <c r="A111" s="103"/>
      <c r="B111" s="104" t="s">
        <v>1193</v>
      </c>
      <c r="C111" s="103"/>
      <c r="D111" s="159"/>
      <c r="E111" s="160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1195</v>
      </c>
      <c r="C2" s="79" t="s">
        <v>67</v>
      </c>
      <c r="D2" s="307">
        <f>SUM(D5:D36)</f>
        <v>88189</v>
      </c>
      <c r="E2" s="307">
        <f>SUM(E5:E35)</f>
        <v>-24634.690000000002</v>
      </c>
      <c r="F2" s="307">
        <f>SUM(F4:F36)</f>
        <v>23139.34</v>
      </c>
      <c r="G2" s="307">
        <f>SUM(G5:G40)</f>
        <v>-33283.54</v>
      </c>
      <c r="H2" s="307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4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4"/>
      <c r="G11" s="63">
        <v>-64.5</v>
      </c>
      <c r="H11" s="63">
        <f t="shared" si="0"/>
        <v>-2373.61</v>
      </c>
    </row>
    <row r="12" spans="1:8">
      <c r="B12" s="179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9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9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4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4"/>
      <c r="F19" s="63"/>
      <c r="G19" s="63"/>
      <c r="H19" s="63">
        <f t="shared" si="0"/>
        <v>-18409.64</v>
      </c>
    </row>
    <row r="20" spans="1:8">
      <c r="B20" t="s">
        <v>76</v>
      </c>
      <c r="D20" s="187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7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7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3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7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7"/>
      <c r="G29" s="63">
        <v>-3450</v>
      </c>
      <c r="H29" s="63">
        <f t="shared" si="0"/>
        <v>-3920.2999999999993</v>
      </c>
    </row>
    <row r="30" spans="1:8">
      <c r="A30" s="100"/>
      <c r="D30" s="102"/>
      <c r="E30" s="164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4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4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4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4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4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2"/>
      <c r="G43" s="63"/>
      <c r="H43" s="63"/>
    </row>
    <row r="44" spans="1:8">
      <c r="A44" s="100"/>
      <c r="C44" s="172"/>
      <c r="G44" s="63"/>
      <c r="H44" s="63"/>
    </row>
    <row r="45" spans="1:8">
      <c r="A45" s="100"/>
      <c r="C45" s="172"/>
      <c r="G45" s="63"/>
      <c r="H45" s="63"/>
    </row>
    <row r="46" spans="1:8">
      <c r="A46" s="173">
        <v>44929</v>
      </c>
      <c r="B46" s="174" t="s">
        <v>332</v>
      </c>
      <c r="C46" s="103"/>
      <c r="D46" s="202">
        <f>SUM(D47:D54)</f>
        <v>3899.0699999999997</v>
      </c>
      <c r="E46" s="202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4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9"/>
      <c r="E58" s="317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4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4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4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4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4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4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4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4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4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4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4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4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4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4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4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4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4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4">
        <v>-880.22</v>
      </c>
      <c r="G77" s="63"/>
    </row>
    <row r="78" spans="1:8">
      <c r="A78" s="100">
        <v>44958</v>
      </c>
      <c r="B78" s="8" t="s">
        <v>1225</v>
      </c>
      <c r="E78" s="164">
        <v>-218.24</v>
      </c>
      <c r="G78" s="63"/>
    </row>
    <row r="79" spans="1:8">
      <c r="A79" s="100">
        <v>44960</v>
      </c>
      <c r="B79" s="8" t="s">
        <v>1226</v>
      </c>
      <c r="E79" s="164">
        <v>-120.45</v>
      </c>
      <c r="G79" s="63"/>
    </row>
    <row r="80" spans="1:8">
      <c r="A80" s="100">
        <v>44963</v>
      </c>
      <c r="B80" s="8" t="s">
        <v>1227</v>
      </c>
      <c r="D80" s="35"/>
      <c r="E80" s="164">
        <v>-130.56</v>
      </c>
      <c r="G80" s="63"/>
    </row>
    <row r="81" spans="1:8">
      <c r="A81" s="100">
        <v>44969</v>
      </c>
      <c r="B81" s="8" t="s">
        <v>1228</v>
      </c>
      <c r="D81" s="35"/>
      <c r="E81" s="164">
        <v>-51.99</v>
      </c>
      <c r="G81" s="63"/>
    </row>
    <row r="82" spans="1:8">
      <c r="A82" s="100">
        <v>44970</v>
      </c>
      <c r="B82" s="8" t="s">
        <v>530</v>
      </c>
      <c r="D82" s="35"/>
      <c r="E82" s="164">
        <v>-379</v>
      </c>
      <c r="G82" s="63"/>
    </row>
    <row r="83" spans="1:8">
      <c r="A83" s="100">
        <v>44970</v>
      </c>
      <c r="B83" s="8" t="s">
        <v>530</v>
      </c>
      <c r="D83" s="35"/>
      <c r="E83" s="164">
        <v>-510</v>
      </c>
      <c r="G83" s="63"/>
    </row>
    <row r="84" spans="1:8">
      <c r="A84" s="100">
        <v>44971</v>
      </c>
      <c r="B84" s="8" t="s">
        <v>1228</v>
      </c>
      <c r="D84" s="35"/>
      <c r="E84" s="164">
        <v>-51.99</v>
      </c>
      <c r="G84" s="63"/>
    </row>
    <row r="85" spans="1:8">
      <c r="A85" s="100">
        <v>44972</v>
      </c>
      <c r="B85" s="8" t="s">
        <v>1229</v>
      </c>
      <c r="D85" s="35"/>
      <c r="E85" s="164">
        <v>-54.77</v>
      </c>
      <c r="G85" s="63"/>
    </row>
    <row r="86" spans="1:8">
      <c r="A86" s="100">
        <v>44972</v>
      </c>
      <c r="B86" s="8" t="s">
        <v>1230</v>
      </c>
      <c r="D86" s="35"/>
      <c r="E86" s="164">
        <v>-459</v>
      </c>
      <c r="G86" s="63"/>
    </row>
    <row r="87" spans="1:8">
      <c r="A87" s="100">
        <v>44972</v>
      </c>
      <c r="B87" s="8" t="s">
        <v>1231</v>
      </c>
      <c r="D87" s="35"/>
      <c r="E87" s="164">
        <v>-211</v>
      </c>
      <c r="G87" s="63"/>
    </row>
    <row r="88" spans="1:8">
      <c r="A88" s="100">
        <v>44977</v>
      </c>
      <c r="B88" s="8" t="s">
        <v>1232</v>
      </c>
      <c r="D88" s="35"/>
      <c r="E88" s="164">
        <v>-100</v>
      </c>
      <c r="G88" s="63"/>
    </row>
    <row r="89" spans="1:8">
      <c r="A89" s="100">
        <v>44977</v>
      </c>
      <c r="B89" s="8" t="s">
        <v>1232</v>
      </c>
      <c r="D89" s="35"/>
      <c r="E89" s="164">
        <v>-10</v>
      </c>
      <c r="G89" s="63"/>
    </row>
    <row r="90" spans="1:8">
      <c r="A90" s="100">
        <v>44981</v>
      </c>
      <c r="B90" s="8" t="s">
        <v>135</v>
      </c>
      <c r="D90" s="35"/>
      <c r="E90" s="164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4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4">
        <v>-164.98</v>
      </c>
      <c r="G92" s="63"/>
    </row>
    <row r="93" spans="1:8">
      <c r="A93" s="324">
        <v>44982</v>
      </c>
      <c r="D93" s="35"/>
      <c r="E93" s="325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60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4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4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4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4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4">
        <v>-166.23</v>
      </c>
      <c r="F100" s="63"/>
      <c r="G100" s="63"/>
      <c r="H100" s="63"/>
    </row>
    <row r="101" spans="1:8">
      <c r="A101" s="324">
        <v>44981</v>
      </c>
      <c r="C101" s="106"/>
      <c r="D101" s="106"/>
      <c r="E101" s="325" t="s">
        <v>1163</v>
      </c>
      <c r="F101" s="63"/>
      <c r="G101" s="63"/>
      <c r="H101" s="63"/>
    </row>
    <row r="102" spans="1:8">
      <c r="A102" s="100"/>
      <c r="B102" s="107"/>
      <c r="E102" s="164"/>
    </row>
    <row r="103" spans="1:8">
      <c r="A103" s="100"/>
      <c r="B103" s="107"/>
      <c r="E103" s="164"/>
    </row>
    <row r="104" spans="1:8">
      <c r="A104" s="100"/>
      <c r="B104" s="107"/>
      <c r="E104" s="164"/>
    </row>
    <row r="105" spans="1:8">
      <c r="A105" s="100"/>
      <c r="B105" s="107"/>
      <c r="E105" s="164"/>
    </row>
    <row r="106" spans="1:8">
      <c r="A106" s="100"/>
      <c r="B106" s="107"/>
      <c r="E106" s="164"/>
    </row>
    <row r="107" spans="1:8">
      <c r="A107" s="100"/>
      <c r="B107" s="107"/>
      <c r="E107" s="164"/>
    </row>
    <row r="111" spans="1:8">
      <c r="A111" s="103"/>
      <c r="B111" s="104" t="s">
        <v>1235</v>
      </c>
      <c r="C111" s="103"/>
      <c r="D111" s="159"/>
      <c r="E111" s="160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4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A2" s="3" t="s">
        <v>1077</v>
      </c>
      <c r="C2" s="79" t="s">
        <v>67</v>
      </c>
      <c r="D2" s="307">
        <f>SUM(D4:D43)</f>
        <v>15761</v>
      </c>
      <c r="E2" s="164">
        <f>SUM(E4:E38)</f>
        <v>-56286.92</v>
      </c>
      <c r="F2" s="307">
        <f>SUM(F4:F43)</f>
        <v>26990.010000000002</v>
      </c>
      <c r="G2" s="307">
        <f>SUM(G4:G43)</f>
        <v>-77441.489999999991</v>
      </c>
      <c r="H2" s="307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9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6" t="s">
        <v>1238</v>
      </c>
      <c r="C7" s="326"/>
      <c r="D7" s="327"/>
      <c r="E7" s="328"/>
      <c r="F7" s="329">
        <v>6920</v>
      </c>
      <c r="G7" s="63"/>
      <c r="H7" s="63">
        <f t="shared" si="0"/>
        <v>3048.71</v>
      </c>
    </row>
    <row r="8" spans="1:8">
      <c r="A8" s="100">
        <v>44963</v>
      </c>
      <c r="B8" s="326" t="s">
        <v>1239</v>
      </c>
      <c r="C8" s="326" t="s">
        <v>391</v>
      </c>
      <c r="D8" s="327"/>
      <c r="E8" s="328"/>
      <c r="F8" s="329">
        <v>6000</v>
      </c>
      <c r="G8" s="63"/>
      <c r="H8" s="63">
        <f t="shared" si="0"/>
        <v>9048.7099999999991</v>
      </c>
    </row>
    <row r="9" spans="1:8">
      <c r="A9" s="100">
        <v>44963</v>
      </c>
      <c r="B9" s="179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9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9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4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4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4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7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4"/>
      <c r="G22" s="164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7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7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30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3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8">
        <v>44650</v>
      </c>
      <c r="B46" s="313" t="s">
        <v>1256</v>
      </c>
      <c r="C46" s="313"/>
      <c r="D46" s="313" t="s">
        <v>1257</v>
      </c>
      <c r="H46" s="63"/>
    </row>
    <row r="47" spans="1:8">
      <c r="A47" s="318">
        <v>44844</v>
      </c>
      <c r="B47" s="313" t="s">
        <v>1258</v>
      </c>
      <c r="C47" s="315"/>
      <c r="D47" s="313" t="s">
        <v>1259</v>
      </c>
      <c r="H47" s="63"/>
    </row>
    <row r="48" spans="1:8">
      <c r="A48" s="318"/>
      <c r="B48" s="313" t="s">
        <v>1260</v>
      </c>
      <c r="C48" s="315"/>
      <c r="D48" s="313"/>
      <c r="E48" s="164">
        <v>300</v>
      </c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4615.6899999999996</v>
      </c>
      <c r="E50" s="164">
        <f>SUM(E51:E58)</f>
        <v>4215.6899999999996</v>
      </c>
      <c r="H50" s="63"/>
    </row>
    <row r="51" spans="1:8">
      <c r="B51" t="s">
        <v>1213</v>
      </c>
      <c r="D51">
        <v>1245.19</v>
      </c>
      <c r="E51" s="164">
        <v>1245</v>
      </c>
      <c r="F51" s="63"/>
      <c r="G51" s="63"/>
    </row>
    <row r="52" spans="1:8">
      <c r="B52" t="s">
        <v>334</v>
      </c>
      <c r="D52">
        <v>914.78</v>
      </c>
      <c r="E52" s="164">
        <v>915</v>
      </c>
      <c r="F52" s="63"/>
      <c r="G52" s="63"/>
    </row>
    <row r="53" spans="1:8">
      <c r="B53" t="s">
        <v>335</v>
      </c>
      <c r="D53">
        <v>295.54000000000002</v>
      </c>
      <c r="E53" s="164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4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4">
        <v>305</v>
      </c>
      <c r="F56" s="63"/>
      <c r="G56" s="63"/>
    </row>
    <row r="57" spans="1:8">
      <c r="B57" t="s">
        <v>1263</v>
      </c>
      <c r="C57" s="106"/>
      <c r="D57" s="331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4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332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4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4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4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4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4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4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4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4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4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4">
        <v>-47.8</v>
      </c>
    </row>
    <row r="75" spans="1:8">
      <c r="A75" s="100">
        <v>44934</v>
      </c>
      <c r="B75" s="8" t="s">
        <v>1269</v>
      </c>
      <c r="E75" s="164">
        <v>-556.07000000000005</v>
      </c>
    </row>
    <row r="76" spans="1:8">
      <c r="A76" s="100">
        <v>44936</v>
      </c>
      <c r="B76" s="8" t="s">
        <v>1270</v>
      </c>
      <c r="E76" s="164">
        <v>-79.34</v>
      </c>
    </row>
    <row r="77" spans="1:8">
      <c r="A77" s="100">
        <v>44937</v>
      </c>
      <c r="B77" s="8" t="s">
        <v>1220</v>
      </c>
      <c r="E77" s="164">
        <v>-123.45</v>
      </c>
    </row>
    <row r="78" spans="1:8">
      <c r="A78" s="100">
        <v>44938</v>
      </c>
      <c r="B78" s="8" t="s">
        <v>1221</v>
      </c>
      <c r="E78" s="164">
        <v>-113.57</v>
      </c>
    </row>
    <row r="79" spans="1:8">
      <c r="A79" s="100">
        <v>44939</v>
      </c>
      <c r="B79" s="8" t="s">
        <v>1222</v>
      </c>
      <c r="E79" s="164">
        <v>-118.62</v>
      </c>
    </row>
    <row r="80" spans="1:8">
      <c r="A80" s="100">
        <v>44940</v>
      </c>
      <c r="B80" s="8" t="s">
        <v>1223</v>
      </c>
      <c r="E80" s="164">
        <v>-123.85</v>
      </c>
    </row>
    <row r="81" spans="1:8">
      <c r="A81" s="100">
        <v>44942</v>
      </c>
      <c r="B81" s="8" t="s">
        <v>1226</v>
      </c>
      <c r="E81" s="164">
        <v>-177.33</v>
      </c>
    </row>
    <row r="82" spans="1:8">
      <c r="A82" s="100">
        <v>44947</v>
      </c>
      <c r="B82" s="8" t="s">
        <v>1063</v>
      </c>
      <c r="E82" s="164">
        <v>-100</v>
      </c>
    </row>
    <row r="83" spans="1:8">
      <c r="A83" s="100">
        <v>44949</v>
      </c>
      <c r="B83" s="8" t="s">
        <v>1227</v>
      </c>
      <c r="E83" s="164">
        <v>-111.1</v>
      </c>
    </row>
    <row r="84" spans="1:8">
      <c r="A84" s="100">
        <v>44950</v>
      </c>
      <c r="B84" s="8" t="s">
        <v>1271</v>
      </c>
      <c r="E84" s="164">
        <v>-99.87</v>
      </c>
    </row>
    <row r="85" spans="1:8">
      <c r="A85" s="100">
        <v>44951</v>
      </c>
      <c r="B85" s="8" t="s">
        <v>1272</v>
      </c>
      <c r="E85" s="164">
        <v>-125.66</v>
      </c>
    </row>
    <row r="87" spans="1:8">
      <c r="A87" s="103"/>
      <c r="B87" s="104" t="s">
        <v>85</v>
      </c>
      <c r="C87" s="103"/>
      <c r="D87" s="103"/>
      <c r="E87" s="332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4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4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4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4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4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4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4">
        <v>-164.8</v>
      </c>
    </row>
    <row r="95" spans="1:8">
      <c r="A95" s="100">
        <v>44930</v>
      </c>
      <c r="B95" s="107" t="s">
        <v>1279</v>
      </c>
      <c r="E95" s="164">
        <v>-139.33000000000001</v>
      </c>
    </row>
    <row r="96" spans="1:8">
      <c r="A96" s="100">
        <v>44931</v>
      </c>
      <c r="B96" s="107" t="s">
        <v>1280</v>
      </c>
      <c r="E96" s="164">
        <v>-143.19999999999999</v>
      </c>
    </row>
    <row r="97" spans="1:7">
      <c r="A97" s="100">
        <v>44934</v>
      </c>
      <c r="B97" s="8" t="s">
        <v>1281</v>
      </c>
      <c r="E97" s="164">
        <v>-297.38</v>
      </c>
    </row>
    <row r="98" spans="1:7">
      <c r="A98" s="100">
        <v>44944</v>
      </c>
      <c r="B98" s="8" t="s">
        <v>1282</v>
      </c>
      <c r="E98" s="164">
        <v>-286.02999999999997</v>
      </c>
    </row>
    <row r="99" spans="1:7">
      <c r="A99" s="100">
        <v>44944</v>
      </c>
      <c r="B99" s="8" t="s">
        <v>1282</v>
      </c>
      <c r="E99" s="164">
        <v>-423.18</v>
      </c>
    </row>
    <row r="100" spans="1:7">
      <c r="A100" s="100">
        <v>44950</v>
      </c>
      <c r="B100" s="8" t="s">
        <v>1283</v>
      </c>
      <c r="D100" s="35"/>
      <c r="E100" s="164">
        <v>-31.35</v>
      </c>
    </row>
    <row r="101" spans="1:7">
      <c r="B101" t="s">
        <v>1284</v>
      </c>
      <c r="D101" s="35"/>
      <c r="E101" s="164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9"/>
      <c r="E111" s="160">
        <f>SUM(E112:E119)</f>
        <v>335748</v>
      </c>
    </row>
    <row r="112" spans="1:7">
      <c r="A112" s="100">
        <v>45291</v>
      </c>
      <c r="B112" s="8" t="s">
        <v>77</v>
      </c>
      <c r="E112" s="164">
        <v>64000</v>
      </c>
    </row>
    <row r="113" spans="1:5">
      <c r="A113" s="100">
        <v>45291</v>
      </c>
      <c r="B113" s="8" t="s">
        <v>78</v>
      </c>
      <c r="E113" s="164">
        <v>48288</v>
      </c>
    </row>
    <row r="114" spans="1:5">
      <c r="A114" s="100">
        <v>45291</v>
      </c>
      <c r="B114" s="8" t="s">
        <v>305</v>
      </c>
      <c r="E114" s="164">
        <v>44567</v>
      </c>
    </row>
    <row r="115" spans="1:5">
      <c r="A115" s="100">
        <v>45291</v>
      </c>
      <c r="B115" s="8" t="s">
        <v>306</v>
      </c>
      <c r="E115" s="164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4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4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4">
        <f>D118*C118</f>
        <v>2000</v>
      </c>
    </row>
    <row r="119" spans="1:5">
      <c r="A119" s="100">
        <v>45291</v>
      </c>
      <c r="B119" s="8" t="s">
        <v>814</v>
      </c>
      <c r="E119" s="164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1287</v>
      </c>
      <c r="C2" s="79" t="s">
        <v>67</v>
      </c>
      <c r="D2" s="307">
        <f>SUM(D4:D27)</f>
        <v>13261</v>
      </c>
      <c r="E2" s="307">
        <f>SUM(E5:E27)</f>
        <v>-22808.309999999998</v>
      </c>
      <c r="F2" s="307">
        <f>SUM(F4:F28)</f>
        <v>8049.2</v>
      </c>
      <c r="G2" s="307">
        <f>SUM(G4:G28)</f>
        <v>-23047.62</v>
      </c>
      <c r="H2" s="307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4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4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4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4"/>
      <c r="G11" s="63">
        <v>-1560</v>
      </c>
      <c r="H11" s="63">
        <f t="shared" si="0"/>
        <v>-7527.79</v>
      </c>
    </row>
    <row r="12" spans="1:8">
      <c r="B12" s="179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9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9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4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4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7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7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7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30">
        <v>1000</v>
      </c>
      <c r="H23" s="63">
        <f t="shared" si="0"/>
        <v>-15998.419999999998</v>
      </c>
    </row>
    <row r="24" spans="1:8">
      <c r="A24" s="100">
        <v>44928</v>
      </c>
      <c r="B24" s="313" t="s">
        <v>1291</v>
      </c>
      <c r="C24" s="313"/>
      <c r="D24" s="333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80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9"/>
      <c r="G30" s="63"/>
      <c r="H30" s="63"/>
    </row>
    <row r="31" spans="1:8">
      <c r="A31" s="318">
        <v>44650</v>
      </c>
      <c r="B31" s="313" t="s">
        <v>1256</v>
      </c>
      <c r="C31" s="313"/>
      <c r="D31" s="313" t="s">
        <v>1292</v>
      </c>
      <c r="E31" s="314"/>
      <c r="H31" s="63"/>
    </row>
    <row r="32" spans="1:8">
      <c r="A32" s="318">
        <v>44844</v>
      </c>
      <c r="B32" s="313" t="s">
        <v>1258</v>
      </c>
      <c r="C32" s="315"/>
      <c r="D32" s="313" t="s">
        <v>1259</v>
      </c>
      <c r="E32" s="313"/>
      <c r="H32" s="63"/>
    </row>
    <row r="33" spans="1:8">
      <c r="A33" s="318"/>
      <c r="B33" s="313" t="s">
        <v>1293</v>
      </c>
      <c r="C33" s="315"/>
      <c r="D33" s="313"/>
      <c r="E33" s="313">
        <v>100</v>
      </c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202">
        <f>SUM(D36:D43)</f>
        <v>6130.21</v>
      </c>
      <c r="E35" s="202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4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4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9"/>
      <c r="E48" s="160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4"/>
      <c r="F82" s="63"/>
      <c r="G82" s="63"/>
      <c r="H82" s="63"/>
    </row>
    <row r="83" spans="1:8">
      <c r="A83" s="100"/>
      <c r="B83" s="3"/>
      <c r="C83" s="106"/>
      <c r="D83" s="106"/>
      <c r="E83" s="164"/>
      <c r="F83" s="63"/>
      <c r="G83" s="63"/>
      <c r="H83" s="63"/>
    </row>
    <row r="84" spans="1:8">
      <c r="A84" s="100"/>
      <c r="B84" s="3"/>
      <c r="C84" s="106"/>
      <c r="D84" s="106"/>
      <c r="E84" s="164"/>
      <c r="F84" s="63"/>
      <c r="G84" s="63"/>
      <c r="H84" s="63"/>
    </row>
    <row r="85" spans="1:8">
      <c r="A85" s="100"/>
      <c r="B85" s="3"/>
      <c r="C85" s="106"/>
      <c r="D85" s="106"/>
      <c r="E85" s="164"/>
      <c r="F85" s="63"/>
      <c r="G85" s="63"/>
      <c r="H85" s="63"/>
    </row>
    <row r="86" spans="1:8">
      <c r="A86" s="100"/>
      <c r="B86" s="3"/>
      <c r="C86" s="106"/>
      <c r="D86" s="106"/>
      <c r="E86" s="164"/>
      <c r="F86" s="63"/>
      <c r="G86" s="63"/>
      <c r="H86" s="63"/>
    </row>
    <row r="87" spans="1:8">
      <c r="A87" s="100"/>
      <c r="B87" s="3"/>
      <c r="C87" s="106"/>
      <c r="D87" s="106"/>
      <c r="E87" s="164"/>
      <c r="F87" s="63"/>
      <c r="G87" s="63"/>
      <c r="H87" s="63"/>
    </row>
    <row r="88" spans="1:8">
      <c r="A88" s="100"/>
      <c r="B88" s="3"/>
      <c r="C88" s="106"/>
      <c r="D88" s="106"/>
      <c r="E88" s="164"/>
      <c r="F88" s="63"/>
      <c r="G88" s="63"/>
      <c r="H88" s="63"/>
    </row>
    <row r="89" spans="1:8">
      <c r="A89" s="100"/>
      <c r="B89" s="3"/>
      <c r="C89" s="106"/>
      <c r="D89" s="106"/>
      <c r="E89" s="164"/>
      <c r="F89" s="63"/>
      <c r="G89" s="63"/>
      <c r="H89" s="63"/>
    </row>
    <row r="90" spans="1:8">
      <c r="A90" s="100"/>
      <c r="B90" s="3"/>
      <c r="C90" s="106"/>
      <c r="D90" s="106"/>
      <c r="E90" s="164"/>
      <c r="F90" s="63"/>
      <c r="G90" s="63"/>
      <c r="H90" s="63"/>
    </row>
    <row r="91" spans="1:8">
      <c r="A91" s="100"/>
      <c r="B91" s="3"/>
      <c r="C91" s="106"/>
      <c r="D91" s="106"/>
      <c r="E91" s="164"/>
      <c r="F91" s="63"/>
      <c r="G91" s="63"/>
      <c r="H91" s="63"/>
    </row>
    <row r="92" spans="1:8">
      <c r="A92" s="100"/>
      <c r="B92" s="3"/>
      <c r="C92" s="106"/>
      <c r="D92" s="106"/>
      <c r="E92" s="164"/>
      <c r="F92" s="63"/>
      <c r="G92" s="63"/>
      <c r="H92" s="63"/>
    </row>
    <row r="93" spans="1:8">
      <c r="A93" s="100"/>
      <c r="B93" s="3"/>
      <c r="C93" s="106"/>
      <c r="D93" s="106"/>
      <c r="E93" s="164"/>
      <c r="F93" s="63"/>
      <c r="G93" s="63"/>
      <c r="H93" s="63"/>
    </row>
    <row r="94" spans="1:8">
      <c r="A94" s="100"/>
      <c r="B94" s="3"/>
      <c r="C94" s="106"/>
      <c r="D94" s="106"/>
      <c r="E94" s="164"/>
      <c r="F94" s="63"/>
      <c r="G94" s="63"/>
      <c r="H94" s="63"/>
    </row>
    <row r="95" spans="1:8">
      <c r="A95" s="100"/>
      <c r="B95" s="3"/>
      <c r="C95" s="106"/>
      <c r="D95" s="106"/>
      <c r="E95" s="164"/>
      <c r="F95" s="63"/>
      <c r="G95" s="63"/>
      <c r="H95" s="63"/>
    </row>
    <row r="96" spans="1:8">
      <c r="A96" s="100"/>
      <c r="B96" s="3"/>
      <c r="C96" s="106"/>
      <c r="D96" s="106"/>
      <c r="E96" s="164"/>
      <c r="F96" s="63"/>
      <c r="G96" s="63"/>
      <c r="H96" s="63"/>
    </row>
    <row r="97" spans="1:8">
      <c r="A97" s="100"/>
      <c r="B97" s="3"/>
      <c r="C97" s="106"/>
      <c r="D97" s="106"/>
      <c r="E97" s="164"/>
      <c r="F97" s="63"/>
      <c r="G97" s="63"/>
      <c r="H97" s="63"/>
    </row>
    <row r="98" spans="1:8">
      <c r="A98" s="100"/>
      <c r="B98" s="3"/>
      <c r="C98" s="106"/>
      <c r="D98" s="106"/>
      <c r="E98" s="164"/>
      <c r="F98" s="63"/>
      <c r="G98" s="63"/>
      <c r="H98" s="63"/>
    </row>
    <row r="99" spans="1:8">
      <c r="A99" s="100"/>
      <c r="B99" s="3"/>
      <c r="C99" s="106"/>
      <c r="D99" s="106"/>
      <c r="E99" s="164"/>
      <c r="F99" s="63"/>
      <c r="G99" s="63"/>
      <c r="H99" s="63"/>
    </row>
    <row r="100" spans="1:8">
      <c r="A100" s="100"/>
      <c r="B100" s="3"/>
      <c r="C100" s="106"/>
      <c r="D100" s="106"/>
      <c r="E100" s="164"/>
      <c r="F100" s="63"/>
      <c r="G100" s="63"/>
      <c r="H100" s="63"/>
    </row>
    <row r="101" spans="1:8">
      <c r="A101" s="100"/>
      <c r="B101" s="3"/>
      <c r="C101" s="106"/>
      <c r="D101" s="106"/>
      <c r="E101" s="164"/>
      <c r="F101" s="63"/>
      <c r="G101" s="63"/>
      <c r="H101" s="63"/>
    </row>
    <row r="102" spans="1:8">
      <c r="A102" s="100"/>
      <c r="B102" s="3"/>
      <c r="C102" s="106"/>
      <c r="D102" s="106"/>
      <c r="E102" s="164"/>
      <c r="F102" s="63"/>
      <c r="G102" s="63"/>
      <c r="H102" s="63"/>
    </row>
    <row r="103" spans="1:8">
      <c r="A103" s="100"/>
      <c r="B103" s="3"/>
      <c r="C103" s="106"/>
      <c r="D103" s="106"/>
      <c r="E103" s="164"/>
      <c r="F103" s="63"/>
      <c r="G103" s="63"/>
      <c r="H103" s="63"/>
    </row>
    <row r="104" spans="1:8">
      <c r="A104" s="100"/>
      <c r="B104" s="3"/>
      <c r="C104" s="106"/>
      <c r="D104" s="106"/>
      <c r="E104" s="164"/>
      <c r="F104" s="63"/>
      <c r="G104" s="63"/>
      <c r="H104" s="63"/>
    </row>
    <row r="105" spans="1:8">
      <c r="A105" s="100"/>
      <c r="B105" s="3"/>
      <c r="C105" s="106"/>
      <c r="D105" s="106"/>
      <c r="E105" s="164"/>
      <c r="F105" s="63"/>
      <c r="G105" s="63"/>
      <c r="H105" s="63"/>
    </row>
    <row r="106" spans="1:8">
      <c r="A106" s="100"/>
      <c r="B106" s="3"/>
      <c r="C106" s="106"/>
      <c r="D106" s="106"/>
      <c r="E106" s="164"/>
      <c r="F106" s="63"/>
      <c r="G106" s="63"/>
      <c r="H106" s="63"/>
    </row>
    <row r="107" spans="1:8">
      <c r="A107" s="100"/>
      <c r="B107" s="3"/>
      <c r="C107" s="106"/>
      <c r="D107" s="106"/>
      <c r="E107" s="164"/>
      <c r="F107" s="63"/>
      <c r="G107" s="63"/>
      <c r="H107" s="63"/>
    </row>
    <row r="108" spans="1:8">
      <c r="A108" s="100"/>
      <c r="B108" s="3"/>
      <c r="C108" s="106"/>
      <c r="D108" s="106"/>
      <c r="E108" s="164"/>
      <c r="F108" s="63"/>
      <c r="G108" s="63"/>
      <c r="H108" s="63"/>
    </row>
    <row r="109" spans="1:8">
      <c r="A109" s="100"/>
      <c r="B109" s="3"/>
      <c r="C109" s="106"/>
      <c r="D109" s="106"/>
      <c r="E109" s="164"/>
      <c r="F109" s="63"/>
      <c r="G109" s="63"/>
      <c r="H109" s="63"/>
    </row>
    <row r="111" spans="1:8">
      <c r="A111" s="103"/>
      <c r="B111" s="104" t="s">
        <v>1323</v>
      </c>
      <c r="C111" s="103"/>
      <c r="D111" s="159"/>
      <c r="E111" s="160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5">
        <v>0.23471</v>
      </c>
      <c r="L1" s="335">
        <f>1-K1</f>
        <v>0.76529000000000003</v>
      </c>
      <c r="M1" s="336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6" t="s">
        <v>803</v>
      </c>
      <c r="L2" s="336" t="s">
        <v>804</v>
      </c>
      <c r="M2" s="336" t="s">
        <v>32</v>
      </c>
      <c r="N2" s="26" t="s">
        <v>1325</v>
      </c>
    </row>
    <row r="3" spans="1:14">
      <c r="A3" t="s">
        <v>33</v>
      </c>
      <c r="B3" s="214">
        <f>'22_1'!D2</f>
        <v>7333.3</v>
      </c>
      <c r="C3" s="215">
        <f>'22_1'!E2</f>
        <v>-6834.05</v>
      </c>
      <c r="D3" s="216">
        <f>B3+C3</f>
        <v>499.25</v>
      </c>
      <c r="E3" s="214">
        <f>'22_1'!F2</f>
        <v>46462.64</v>
      </c>
      <c r="F3" s="215">
        <f>'22_1'!G2</f>
        <v>-6834.05</v>
      </c>
      <c r="G3" s="217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4">
        <f>'22_2'!D2</f>
        <v>10567.09</v>
      </c>
      <c r="C4" s="215">
        <f>'22_2'!E2</f>
        <v>-21938.15</v>
      </c>
      <c r="D4" s="216">
        <f t="shared" ref="D4:D14" si="0">B4+C4+D3</f>
        <v>-10871.810000000001</v>
      </c>
      <c r="E4" s="214">
        <f>'22_2'!F2</f>
        <v>11567.09</v>
      </c>
      <c r="F4" s="215">
        <f>'22_2'!G2</f>
        <v>-21938.15</v>
      </c>
      <c r="G4" s="217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4">
        <f>'03'!D2</f>
        <v>36859.61</v>
      </c>
      <c r="C5" s="215">
        <f>'03'!E2</f>
        <v>-30109.3</v>
      </c>
      <c r="D5" s="216">
        <f t="shared" si="0"/>
        <v>-4121.5</v>
      </c>
      <c r="E5" s="214">
        <f>'03'!F2</f>
        <v>35859.61</v>
      </c>
      <c r="F5" s="215">
        <f>'03'!G2</f>
        <v>-30109.3</v>
      </c>
      <c r="G5" s="217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4">
        <f>'04'!D2</f>
        <v>15937.59</v>
      </c>
      <c r="C6" s="215">
        <f>'04'!E2</f>
        <v>-11790.68</v>
      </c>
      <c r="D6" s="216">
        <f t="shared" si="0"/>
        <v>25.409999999999854</v>
      </c>
      <c r="E6" s="214">
        <f>'04'!F2</f>
        <v>17940.28</v>
      </c>
      <c r="F6" s="215">
        <f>'04'!G2</f>
        <v>-11140.68</v>
      </c>
      <c r="G6" s="217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4">
        <f>'05'!D2</f>
        <v>11328.34</v>
      </c>
      <c r="C7" s="215">
        <f>'05'!E2</f>
        <v>-7712.66</v>
      </c>
      <c r="D7" s="216">
        <f t="shared" si="0"/>
        <v>3641.09</v>
      </c>
      <c r="E7" s="214">
        <f>'05'!F2</f>
        <v>9522.369999999999</v>
      </c>
      <c r="F7" s="215">
        <f>'05'!G2</f>
        <v>-7722.66</v>
      </c>
      <c r="G7" s="217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4">
        <f>'06'!D2</f>
        <v>17837.05</v>
      </c>
      <c r="C8" s="215">
        <f>'06'!E2</f>
        <v>-28058.100000000002</v>
      </c>
      <c r="D8" s="216">
        <f t="shared" si="0"/>
        <v>-6579.9600000000028</v>
      </c>
      <c r="E8" s="214">
        <f>'06'!F2</f>
        <v>16654.189999999999</v>
      </c>
      <c r="F8" s="215">
        <f>'06'!G2</f>
        <v>-28058.1</v>
      </c>
      <c r="G8" s="217">
        <f t="shared" si="1"/>
        <v>32203.239999999994</v>
      </c>
      <c r="H8" s="34"/>
    </row>
    <row r="9" spans="1:14">
      <c r="A9" t="s">
        <v>1328</v>
      </c>
      <c r="B9" s="214">
        <f>'07'!D2</f>
        <v>27131.070000000003</v>
      </c>
      <c r="C9" s="215">
        <f>'07'!E2</f>
        <v>-17400.82</v>
      </c>
      <c r="D9" s="216">
        <f t="shared" si="0"/>
        <v>3150.2900000000009</v>
      </c>
      <c r="E9" s="214">
        <f>'07'!F2</f>
        <v>16133.3</v>
      </c>
      <c r="F9" s="215">
        <f>'07'!G2</f>
        <v>-20600.82</v>
      </c>
      <c r="G9" s="217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4">
        <f>'08'!D2</f>
        <v>34617.910000000003</v>
      </c>
      <c r="C10" s="215">
        <f>'08'!E2</f>
        <v>-11695.349999999999</v>
      </c>
      <c r="D10" s="216">
        <f t="shared" si="0"/>
        <v>26072.850000000006</v>
      </c>
      <c r="E10" s="214">
        <f>'08'!F2</f>
        <v>102061.66</v>
      </c>
      <c r="F10" s="215">
        <f>'08'!G2</f>
        <v>-33894.33</v>
      </c>
      <c r="G10" s="217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4">
        <f>'09'!D2</f>
        <v>66162.31</v>
      </c>
      <c r="C11" s="215">
        <f>'09'!E2</f>
        <v>-61978.720000000001</v>
      </c>
      <c r="D11" s="216">
        <f t="shared" si="0"/>
        <v>30256.440000000002</v>
      </c>
      <c r="E11" s="214">
        <f>'09'!F2</f>
        <v>9260.5</v>
      </c>
      <c r="F11" s="215">
        <f>'09'!G2</f>
        <v>-25729.239999999998</v>
      </c>
      <c r="G11" s="217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4">
        <f>'10'!D2</f>
        <v>23872.199999999997</v>
      </c>
      <c r="C12" s="215">
        <f>'10'!E2</f>
        <v>-33587.82</v>
      </c>
      <c r="D12" s="216">
        <f t="shared" si="0"/>
        <v>20540.82</v>
      </c>
      <c r="E12" s="214">
        <f>'10'!F2</f>
        <v>79418.41</v>
      </c>
      <c r="F12" s="215">
        <f>'10'!G2</f>
        <v>-90424.320000000007</v>
      </c>
      <c r="G12" s="217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7">
        <f>L15+M15+N15</f>
        <v>400.76679000000001</v>
      </c>
    </row>
    <row r="13" spans="1:14">
      <c r="A13" t="s">
        <v>53</v>
      </c>
      <c r="B13" s="214">
        <f>'11'!D2</f>
        <v>179191.62</v>
      </c>
      <c r="C13" s="215">
        <f>'11'!E2</f>
        <v>-14175.82</v>
      </c>
      <c r="D13" s="216">
        <f t="shared" si="0"/>
        <v>185556.62</v>
      </c>
      <c r="E13" s="214">
        <f>'11'!F2</f>
        <v>178439.6</v>
      </c>
      <c r="F13" s="215">
        <f>'11'!G2</f>
        <v>-18452.8</v>
      </c>
      <c r="G13" s="217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8">
        <f>N12/12</f>
        <v>33.397232500000001</v>
      </c>
    </row>
    <row r="14" spans="1:14">
      <c r="A14" t="s">
        <v>55</v>
      </c>
      <c r="B14" s="214">
        <f>'22_12'!D2</f>
        <v>15475.960000000001</v>
      </c>
      <c r="C14" s="215">
        <f>'22_12'!E2</f>
        <v>-16961.339999999997</v>
      </c>
      <c r="D14" s="216">
        <f t="shared" si="0"/>
        <v>184071.24</v>
      </c>
      <c r="E14" s="214">
        <f>'22_12'!F2</f>
        <v>22052.39</v>
      </c>
      <c r="F14" s="215">
        <f>'22_12'!G2</f>
        <v>-21692.25</v>
      </c>
      <c r="G14" s="217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20">
        <f>SUM(B3:B14)</f>
        <v>446314.05000000005</v>
      </c>
      <c r="C15" s="221">
        <f>SUM(C3:C14)</f>
        <v>-262242.81000000006</v>
      </c>
      <c r="D15" s="339">
        <f>B15+C15</f>
        <v>184071.24</v>
      </c>
      <c r="E15" s="220">
        <f>SUM(E3:E14)</f>
        <v>545372.04</v>
      </c>
      <c r="F15" s="221">
        <f>SUM(F3:F14)</f>
        <v>-316596.7</v>
      </c>
      <c r="G15" s="339">
        <f>E15+F15</f>
        <v>228775.34000000003</v>
      </c>
      <c r="H15" s="34"/>
      <c r="I15" s="223"/>
      <c r="J15" s="223">
        <f>SUM(J9:J14)</f>
        <v>351</v>
      </c>
      <c r="K15" s="340">
        <f>SUM(K9:K14)</f>
        <v>82.383210000000005</v>
      </c>
      <c r="L15" s="340">
        <f>SUM(L9:L14)</f>
        <v>268.61678999999998</v>
      </c>
      <c r="M15" s="340">
        <f>SUM(M3:M14)</f>
        <v>86.05</v>
      </c>
      <c r="N15" s="340">
        <f>SUM(N3:N7)</f>
        <v>46.1</v>
      </c>
    </row>
    <row r="16" spans="1:14">
      <c r="A16" s="341">
        <v>12</v>
      </c>
      <c r="B16" s="342">
        <f>B15/A16</f>
        <v>37192.837500000001</v>
      </c>
      <c r="C16" s="343">
        <f>C15/A16</f>
        <v>-21853.567500000005</v>
      </c>
      <c r="D16" s="343"/>
      <c r="E16" s="343">
        <f>E15/A16</f>
        <v>45447.670000000006</v>
      </c>
      <c r="F16" s="343">
        <f>F15/A16</f>
        <v>-26383.058333333334</v>
      </c>
      <c r="G16" s="343">
        <f>G15/A16</f>
        <v>19064.611666666668</v>
      </c>
      <c r="H16" s="56"/>
      <c r="I16" s="225"/>
      <c r="J16" s="343">
        <f>J15/12</f>
        <v>29.25</v>
      </c>
      <c r="K16" s="343">
        <f>K15/12</f>
        <v>6.8652675000000007</v>
      </c>
      <c r="L16" s="343">
        <f>L15/12</f>
        <v>22.384732499999998</v>
      </c>
      <c r="M16" s="343">
        <f>M15/12</f>
        <v>7.1708333333333334</v>
      </c>
      <c r="N16" s="343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90"/>
      <c r="F1" s="190" t="s">
        <v>28</v>
      </c>
      <c r="G1" s="344" t="s">
        <v>29</v>
      </c>
      <c r="H1" s="190" t="s">
        <v>3</v>
      </c>
    </row>
    <row r="2" spans="1:8">
      <c r="A2" s="3" t="s">
        <v>1330</v>
      </c>
      <c r="C2" s="79" t="s">
        <v>67</v>
      </c>
      <c r="D2" s="307">
        <f>SUM(D11:D62)</f>
        <v>15475.960000000001</v>
      </c>
      <c r="E2" s="307">
        <f>SUM(E11:E94)</f>
        <v>-16961.339999999997</v>
      </c>
      <c r="F2" s="307">
        <f>SUM(F11:F92)</f>
        <v>22052.39</v>
      </c>
      <c r="G2" s="345">
        <f>SUM(G11:G92)</f>
        <v>-21692.25</v>
      </c>
      <c r="H2" s="307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8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4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9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4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4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4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4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4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4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4"/>
      <c r="F44" s="329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4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4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4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4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4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4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4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4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4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7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7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7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4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8"/>
      <c r="B68" s="278"/>
      <c r="C68" s="278"/>
      <c r="D68" s="278"/>
      <c r="E68" s="63"/>
      <c r="H68" s="63"/>
    </row>
    <row r="69" spans="1:8">
      <c r="A69" s="346">
        <v>44871</v>
      </c>
      <c r="B69" s="278" t="s">
        <v>1373</v>
      </c>
      <c r="C69" s="278"/>
      <c r="D69" s="327">
        <v>200</v>
      </c>
      <c r="E69" s="63" t="s">
        <v>1374</v>
      </c>
      <c r="H69" s="63"/>
    </row>
    <row r="70" spans="1:8">
      <c r="A70" s="346">
        <v>44839</v>
      </c>
      <c r="B70" s="278" t="s">
        <v>1375</v>
      </c>
      <c r="C70" s="278"/>
      <c r="D70" s="327">
        <v>200</v>
      </c>
      <c r="E70" s="63" t="s">
        <v>1374</v>
      </c>
      <c r="H70" s="63"/>
    </row>
    <row r="71" spans="1:8">
      <c r="A71" s="346"/>
      <c r="B71" s="278"/>
      <c r="C71" s="278"/>
      <c r="D71" s="347"/>
      <c r="E71" s="63"/>
      <c r="H71" s="63"/>
    </row>
    <row r="72" spans="1:8">
      <c r="A72" s="346">
        <v>44650</v>
      </c>
      <c r="B72" s="278" t="s">
        <v>1256</v>
      </c>
      <c r="C72" s="278">
        <v>3</v>
      </c>
      <c r="D72" s="8" t="s">
        <v>1376</v>
      </c>
      <c r="E72" s="63"/>
    </row>
    <row r="73" spans="1:8">
      <c r="A73" s="346">
        <v>44844</v>
      </c>
      <c r="B73" s="278" t="s">
        <v>1258</v>
      </c>
      <c r="C73" s="172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1377</v>
      </c>
      <c r="C2" s="79" t="s">
        <v>67</v>
      </c>
      <c r="D2" s="307">
        <f>SUM(D4:D52)</f>
        <v>179191.62</v>
      </c>
      <c r="E2" s="307">
        <f>SUM(E4:E73)</f>
        <v>-14175.82</v>
      </c>
      <c r="F2" s="307">
        <f>SUM(F4:F71)</f>
        <v>178439.6</v>
      </c>
      <c r="G2" s="307">
        <f>SUM(G4:G71)</f>
        <v>-18452.8</v>
      </c>
      <c r="H2" s="307">
        <f>F2+G2</f>
        <v>159986.80000000002</v>
      </c>
    </row>
    <row r="3" spans="1:8">
      <c r="B3" s="18"/>
      <c r="D3" s="187"/>
      <c r="E3" s="187"/>
      <c r="F3" s="187"/>
      <c r="G3" s="187"/>
      <c r="H3" s="63"/>
    </row>
    <row r="4" spans="1:8">
      <c r="D4" s="187"/>
      <c r="E4" s="187"/>
      <c r="F4" s="102"/>
      <c r="G4" s="187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7">
        <v>1221.4100000000001</v>
      </c>
      <c r="E5" s="187"/>
      <c r="F5" s="187">
        <v>1220</v>
      </c>
      <c r="G5" s="187"/>
      <c r="H5" s="63">
        <f t="shared" si="0"/>
        <v>1220</v>
      </c>
    </row>
    <row r="6" spans="1:8">
      <c r="A6" s="100">
        <v>44874</v>
      </c>
      <c r="B6" s="8" t="s">
        <v>335</v>
      </c>
      <c r="D6" s="187">
        <v>98.9</v>
      </c>
      <c r="E6" s="187"/>
      <c r="F6" s="187">
        <v>98</v>
      </c>
      <c r="G6" s="187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7"/>
      <c r="F7" s="187"/>
      <c r="G7" s="187"/>
      <c r="H7" s="63">
        <f t="shared" si="0"/>
        <v>1318</v>
      </c>
    </row>
    <row r="8" spans="1:8">
      <c r="A8" s="100">
        <v>44874</v>
      </c>
      <c r="B8" s="8" t="s">
        <v>336</v>
      </c>
      <c r="D8" s="187">
        <v>1182.1600000000001</v>
      </c>
      <c r="E8" s="187"/>
      <c r="F8" s="187">
        <v>1182.1500000000001</v>
      </c>
      <c r="G8" s="187"/>
      <c r="H8" s="63">
        <f t="shared" si="0"/>
        <v>2500.15</v>
      </c>
    </row>
    <row r="9" spans="1:8">
      <c r="A9" s="100">
        <v>44874</v>
      </c>
      <c r="B9" s="8" t="s">
        <v>337</v>
      </c>
      <c r="D9" s="187">
        <v>289.7</v>
      </c>
      <c r="E9" s="187"/>
      <c r="F9" s="187">
        <v>290</v>
      </c>
      <c r="G9" s="187"/>
      <c r="H9" s="63">
        <f t="shared" si="0"/>
        <v>2790.15</v>
      </c>
    </row>
    <row r="10" spans="1:8">
      <c r="A10" s="100">
        <v>44874</v>
      </c>
      <c r="B10" s="8" t="s">
        <v>1378</v>
      </c>
      <c r="D10" s="187">
        <v>200</v>
      </c>
      <c r="E10" s="187"/>
      <c r="F10" s="187">
        <v>200</v>
      </c>
      <c r="G10" s="187"/>
      <c r="H10" s="63">
        <f t="shared" si="0"/>
        <v>2990.15</v>
      </c>
    </row>
    <row r="11" spans="1:8">
      <c r="A11" s="100">
        <v>44874</v>
      </c>
      <c r="B11" s="8" t="s">
        <v>338</v>
      </c>
      <c r="D11" s="187">
        <v>49.95</v>
      </c>
      <c r="E11" s="187"/>
      <c r="F11" s="187">
        <v>49.95</v>
      </c>
      <c r="G11" s="187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8"/>
      <c r="E12" s="187">
        <v>-1500</v>
      </c>
      <c r="F12" s="187"/>
      <c r="G12" s="187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7"/>
      <c r="E13" s="187"/>
      <c r="F13" s="187">
        <v>200</v>
      </c>
      <c r="G13" s="187"/>
      <c r="H13" s="63">
        <f t="shared" si="0"/>
        <v>906.09999999999991</v>
      </c>
    </row>
    <row r="14" spans="1:8">
      <c r="D14" s="187"/>
      <c r="E14" s="187"/>
      <c r="F14" s="187"/>
      <c r="G14" s="187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8"/>
      <c r="E15" s="187">
        <v>-200</v>
      </c>
      <c r="F15" s="187"/>
      <c r="G15" s="187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8"/>
      <c r="E16" s="187">
        <v>-400</v>
      </c>
      <c r="F16" s="187"/>
      <c r="G16" s="187">
        <v>-536</v>
      </c>
      <c r="H16" s="63">
        <f t="shared" si="0"/>
        <v>115.09999999999991</v>
      </c>
    </row>
    <row r="17" spans="1:8">
      <c r="B17" s="101"/>
      <c r="C17" s="101"/>
      <c r="D17" s="348"/>
      <c r="E17" s="102"/>
      <c r="F17" s="187"/>
      <c r="G17" s="187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8"/>
      <c r="E18" s="102"/>
      <c r="F18" s="187"/>
      <c r="G18" s="187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8"/>
      <c r="E19" s="102"/>
      <c r="F19" s="349">
        <v>1250</v>
      </c>
      <c r="G19" s="187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8"/>
      <c r="E20" s="187">
        <v>-4300</v>
      </c>
      <c r="F20" s="102"/>
      <c r="G20" s="187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8"/>
      <c r="E21" s="187">
        <v>-496.5</v>
      </c>
      <c r="F21" s="102"/>
      <c r="G21" s="187">
        <v>-496.5</v>
      </c>
      <c r="H21" s="63">
        <f t="shared" si="0"/>
        <v>-4531.3999999999996</v>
      </c>
    </row>
    <row r="22" spans="1:8">
      <c r="B22" s="106"/>
      <c r="C22" s="106"/>
      <c r="D22" s="348"/>
      <c r="E22" s="102"/>
      <c r="F22" s="187"/>
      <c r="G22" s="187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8"/>
      <c r="E23" s="187">
        <v>-112.67</v>
      </c>
      <c r="F23" s="187"/>
      <c r="G23" s="187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8"/>
      <c r="E24" s="187">
        <v>-754.45</v>
      </c>
      <c r="F24" s="187"/>
      <c r="G24" s="187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8"/>
      <c r="E25" s="187">
        <v>-208.17</v>
      </c>
      <c r="F25" s="187"/>
      <c r="G25" s="187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8"/>
      <c r="E26" s="187">
        <v>-151.65</v>
      </c>
      <c r="F26" s="187"/>
      <c r="G26" s="187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7"/>
      <c r="E27" s="187">
        <v>-721.38</v>
      </c>
      <c r="F27" s="187"/>
      <c r="G27" s="187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8"/>
      <c r="E28" s="187">
        <v>-500</v>
      </c>
      <c r="F28" s="187"/>
      <c r="G28" s="187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8"/>
      <c r="E29" s="187">
        <v>-80</v>
      </c>
      <c r="F29" s="187"/>
      <c r="G29" s="187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8"/>
      <c r="E30" s="102"/>
      <c r="F30" s="187"/>
      <c r="G30" s="187">
        <v>-2528.3000000000002</v>
      </c>
      <c r="H30" s="63">
        <f t="shared" si="0"/>
        <v>-7059.7</v>
      </c>
    </row>
    <row r="31" spans="1:8">
      <c r="B31" s="106"/>
      <c r="C31" s="106"/>
      <c r="D31" s="348"/>
      <c r="E31" s="102"/>
      <c r="F31" s="187"/>
      <c r="G31" s="187"/>
      <c r="H31" s="63">
        <f t="shared" si="0"/>
        <v>-7059.7</v>
      </c>
    </row>
    <row r="32" spans="1:8">
      <c r="B32" s="106" t="s">
        <v>1391</v>
      </c>
      <c r="C32" s="106"/>
      <c r="D32" s="348"/>
      <c r="E32" s="187">
        <v>-200</v>
      </c>
      <c r="F32" s="187"/>
      <c r="G32" s="187">
        <v>-569</v>
      </c>
      <c r="H32" s="63">
        <f t="shared" si="0"/>
        <v>-7628.7</v>
      </c>
    </row>
    <row r="33" spans="1:8">
      <c r="B33" s="106" t="s">
        <v>1392</v>
      </c>
      <c r="C33" s="106"/>
      <c r="D33" s="348"/>
      <c r="E33" s="187">
        <v>-51</v>
      </c>
      <c r="F33" s="187"/>
      <c r="G33" s="187">
        <v>-51</v>
      </c>
      <c r="H33" s="63">
        <f t="shared" si="0"/>
        <v>-7679.7</v>
      </c>
    </row>
    <row r="34" spans="1:8">
      <c r="B34" s="106"/>
      <c r="C34" s="106"/>
      <c r="D34" s="348"/>
      <c r="E34" s="187"/>
      <c r="F34" s="187"/>
      <c r="G34" s="187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8"/>
      <c r="E35" s="187"/>
      <c r="F35" s="187"/>
      <c r="G35" s="187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8"/>
      <c r="E36" s="187"/>
      <c r="F36" s="187"/>
      <c r="G36" s="187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8"/>
      <c r="E37" s="187"/>
      <c r="F37" s="187"/>
      <c r="G37" s="187">
        <v>-182</v>
      </c>
      <c r="H37" s="63">
        <f t="shared" si="1"/>
        <v>-8240.7000000000007</v>
      </c>
    </row>
    <row r="38" spans="1:8">
      <c r="B38" s="106"/>
      <c r="C38" s="106"/>
      <c r="D38" s="348"/>
      <c r="E38" s="102"/>
      <c r="F38" s="187"/>
      <c r="G38" s="187"/>
      <c r="H38" s="63">
        <f t="shared" si="1"/>
        <v>-8240.7000000000007</v>
      </c>
    </row>
    <row r="39" spans="1:8">
      <c r="B39" t="s">
        <v>77</v>
      </c>
      <c r="D39" s="187"/>
      <c r="E39" s="102">
        <v>-1500</v>
      </c>
      <c r="F39" s="187"/>
      <c r="G39" s="187">
        <v>-2111</v>
      </c>
      <c r="H39" s="63">
        <f t="shared" si="1"/>
        <v>-10351.700000000001</v>
      </c>
    </row>
    <row r="40" spans="1:8">
      <c r="B40" t="s">
        <v>78</v>
      </c>
      <c r="D40" s="187"/>
      <c r="E40" s="102">
        <v>-1500</v>
      </c>
      <c r="F40" s="187"/>
      <c r="G40" s="187">
        <v>-2111</v>
      </c>
      <c r="H40" s="63">
        <f t="shared" si="1"/>
        <v>-12462.7</v>
      </c>
    </row>
    <row r="41" spans="1:8">
      <c r="B41" t="s">
        <v>79</v>
      </c>
      <c r="D41" s="187"/>
      <c r="E41" s="102">
        <v>-1500</v>
      </c>
      <c r="F41" s="187"/>
      <c r="G41" s="187">
        <v>-1500</v>
      </c>
      <c r="H41" s="63">
        <f t="shared" si="1"/>
        <v>-13962.7</v>
      </c>
    </row>
    <row r="42" spans="1:8">
      <c r="D42" s="187"/>
      <c r="E42" s="187"/>
      <c r="F42" s="187"/>
      <c r="G42" s="187"/>
      <c r="H42" s="63">
        <f t="shared" si="1"/>
        <v>-13962.7</v>
      </c>
    </row>
    <row r="43" spans="1:8">
      <c r="B43" t="s">
        <v>76</v>
      </c>
      <c r="D43" s="187">
        <v>4299.5</v>
      </c>
      <c r="E43" s="187"/>
      <c r="F43" s="187">
        <v>4299.5</v>
      </c>
      <c r="G43" s="187"/>
      <c r="H43" s="63">
        <f t="shared" si="1"/>
        <v>-9663.2000000000007</v>
      </c>
    </row>
    <row r="44" spans="1:8">
      <c r="B44" t="s">
        <v>677</v>
      </c>
      <c r="D44" s="187">
        <v>1650</v>
      </c>
      <c r="E44" s="187"/>
      <c r="F44" s="187">
        <v>1650</v>
      </c>
      <c r="G44" s="187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7">
        <v>3000</v>
      </c>
      <c r="E45" s="187"/>
      <c r="F45" s="187">
        <v>3000</v>
      </c>
      <c r="G45" s="187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7">
        <v>1000</v>
      </c>
      <c r="E46" s="187"/>
      <c r="F46" s="187">
        <v>1000</v>
      </c>
      <c r="G46" s="187"/>
      <c r="H46" s="63">
        <f t="shared" si="1"/>
        <v>-4013.2000000000007</v>
      </c>
    </row>
    <row r="47" spans="1:8">
      <c r="A47" s="100"/>
      <c r="D47" s="102"/>
      <c r="E47" s="187"/>
      <c r="F47" s="187"/>
      <c r="G47" s="187"/>
      <c r="H47" s="63">
        <f t="shared" si="1"/>
        <v>-4013.2000000000007</v>
      </c>
    </row>
    <row r="48" spans="1:8">
      <c r="B48" t="s">
        <v>1398</v>
      </c>
      <c r="D48" s="187">
        <v>82000</v>
      </c>
      <c r="E48" s="187"/>
      <c r="F48" s="187">
        <v>80000</v>
      </c>
      <c r="G48" s="187"/>
      <c r="H48" s="63">
        <f t="shared" si="1"/>
        <v>75986.8</v>
      </c>
    </row>
    <row r="49" spans="1:8">
      <c r="B49" t="s">
        <v>1399</v>
      </c>
      <c r="D49" s="187"/>
      <c r="E49" s="187"/>
      <c r="F49" s="187"/>
      <c r="G49" s="187"/>
      <c r="H49" s="63">
        <f t="shared" si="1"/>
        <v>75986.8</v>
      </c>
    </row>
    <row r="50" spans="1:8">
      <c r="A50" s="100">
        <v>44893</v>
      </c>
      <c r="B50" s="8" t="s">
        <v>1400</v>
      </c>
      <c r="D50" s="187">
        <v>84000</v>
      </c>
      <c r="E50" s="187"/>
      <c r="F50" s="187">
        <v>84000</v>
      </c>
      <c r="G50" s="187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50" t="s">
        <v>1258</v>
      </c>
      <c r="C56" s="350"/>
      <c r="D56" s="351">
        <v>2000</v>
      </c>
    </row>
    <row r="57" spans="1:8">
      <c r="A57" s="100">
        <v>44839</v>
      </c>
      <c r="B57" s="350" t="s">
        <v>1375</v>
      </c>
      <c r="C57" s="350"/>
      <c r="D57" s="351">
        <v>200</v>
      </c>
    </row>
    <row r="59" spans="1:8">
      <c r="A59" s="346">
        <v>44803</v>
      </c>
      <c r="B59" s="278" t="s">
        <v>1256</v>
      </c>
      <c r="C59" s="278"/>
      <c r="D59" s="347"/>
    </row>
    <row r="60" spans="1:8">
      <c r="A60" s="346">
        <v>44772</v>
      </c>
      <c r="B60" s="278" t="s">
        <v>1402</v>
      </c>
      <c r="C60" s="278"/>
      <c r="D60" s="347"/>
    </row>
    <row r="61" spans="1:8">
      <c r="A61" s="346">
        <v>44742</v>
      </c>
      <c r="B61" s="278" t="s">
        <v>1403</v>
      </c>
      <c r="C61" s="278"/>
      <c r="D61" s="34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1404</v>
      </c>
      <c r="C2" s="79" t="s">
        <v>67</v>
      </c>
      <c r="D2" s="307">
        <f>SUM(D4:D78)</f>
        <v>23872.199999999997</v>
      </c>
      <c r="E2" s="307">
        <f>SUM(E4:E107)</f>
        <v>-33587.82</v>
      </c>
      <c r="F2" s="307">
        <f>SUM(F4:F104)</f>
        <v>79418.41</v>
      </c>
      <c r="G2" s="307">
        <f>SUM(G4:G104)</f>
        <v>-90424.320000000007</v>
      </c>
      <c r="H2" s="307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9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4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4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4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4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4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4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4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4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4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4"/>
      <c r="F70" s="63"/>
      <c r="G70" s="63"/>
      <c r="H70" s="63">
        <f t="shared" si="1"/>
        <v>-11149.410000000003</v>
      </c>
    </row>
    <row r="71" spans="1:8">
      <c r="B71" t="s">
        <v>76</v>
      </c>
      <c r="D71" s="187">
        <v>4293.6499999999996</v>
      </c>
      <c r="E71" s="3"/>
      <c r="F71" s="187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7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7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7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4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2" t="s">
        <v>1444</v>
      </c>
      <c r="C83" s="352"/>
      <c r="D83" s="353">
        <v>20000</v>
      </c>
      <c r="F83">
        <v>23750</v>
      </c>
      <c r="H83" s="63">
        <f t="shared" si="2"/>
        <v>12544.089999999997</v>
      </c>
    </row>
    <row r="84" spans="1:8">
      <c r="B84" s="352" t="s">
        <v>1445</v>
      </c>
      <c r="C84" s="352"/>
      <c r="D84" s="353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6"/>
      <c r="B86" s="278"/>
      <c r="C86" s="278"/>
      <c r="D86" s="354"/>
      <c r="G86" s="63"/>
      <c r="H86" s="63"/>
    </row>
    <row r="87" spans="1:8">
      <c r="A87" s="346">
        <v>44803</v>
      </c>
      <c r="B87" s="278" t="s">
        <v>1256</v>
      </c>
      <c r="C87" s="278"/>
      <c r="D87" s="354">
        <v>4000</v>
      </c>
      <c r="H87" s="63"/>
    </row>
    <row r="88" spans="1:8">
      <c r="A88" s="346">
        <v>44772</v>
      </c>
      <c r="B88" s="278" t="s">
        <v>1402</v>
      </c>
      <c r="C88" s="278"/>
      <c r="D88" s="354">
        <v>4000</v>
      </c>
      <c r="H88" s="63"/>
    </row>
    <row r="89" spans="1:8">
      <c r="A89" s="346">
        <v>44742</v>
      </c>
      <c r="B89" s="278" t="s">
        <v>1403</v>
      </c>
      <c r="C89" s="278"/>
      <c r="D89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1446</v>
      </c>
      <c r="C2" s="79" t="s">
        <v>67</v>
      </c>
      <c r="D2" s="307">
        <f>SUM(D5:D42)</f>
        <v>66162.31</v>
      </c>
      <c r="E2" s="307">
        <f>SUM(E5:E69)</f>
        <v>-61978.720000000001</v>
      </c>
      <c r="F2" s="307">
        <f>SUM(F5:F66)</f>
        <v>9260.5</v>
      </c>
      <c r="G2" s="307">
        <f>SUM(G5:G66)</f>
        <v>-25729.239999999998</v>
      </c>
      <c r="H2" s="307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4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4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4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4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4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4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4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4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4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4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4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5" t="s">
        <v>1444</v>
      </c>
      <c r="C45" s="355"/>
      <c r="D45" s="356">
        <v>20000</v>
      </c>
      <c r="H45" s="63">
        <f t="shared" si="0"/>
        <v>-16468.739999999998</v>
      </c>
    </row>
    <row r="46" spans="1:8">
      <c r="A46" s="346">
        <v>44803</v>
      </c>
      <c r="B46" s="278" t="s">
        <v>1256</v>
      </c>
      <c r="C46" s="278"/>
      <c r="D46" s="354">
        <v>4000</v>
      </c>
      <c r="H46" s="63">
        <f t="shared" si="0"/>
        <v>-16468.739999999998</v>
      </c>
    </row>
    <row r="47" spans="1:8">
      <c r="A47" s="346">
        <v>44772</v>
      </c>
      <c r="B47" s="278" t="s">
        <v>1402</v>
      </c>
      <c r="C47" s="278"/>
      <c r="D47" s="354">
        <v>4000</v>
      </c>
      <c r="H47" s="63" t="e">
        <f>#REF!+F47+G47</f>
        <v>#REF!</v>
      </c>
    </row>
    <row r="48" spans="1:8">
      <c r="A48" s="346">
        <v>44742</v>
      </c>
      <c r="B48" s="278" t="s">
        <v>1403</v>
      </c>
      <c r="C48" s="278"/>
      <c r="D48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1466</v>
      </c>
      <c r="C2" s="79" t="s">
        <v>67</v>
      </c>
      <c r="D2" s="307">
        <f>SUM(D4:D52)</f>
        <v>34617.910000000003</v>
      </c>
      <c r="E2" s="307">
        <f>SUM(E4:E84)</f>
        <v>-11695.349999999999</v>
      </c>
      <c r="F2" s="307">
        <f>SUM(F4:F81)</f>
        <v>102061.66</v>
      </c>
      <c r="G2" s="307">
        <f>SUM(G4:G81)</f>
        <v>-33894.33</v>
      </c>
      <c r="H2" s="307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4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4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4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4"/>
      <c r="F13" s="164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4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4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4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4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4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4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4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7"/>
      <c r="E41" s="164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4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4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4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4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4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9" t="s">
        <v>1490</v>
      </c>
      <c r="H54" s="63">
        <f t="shared" si="1"/>
        <v>61721.7</v>
      </c>
    </row>
    <row r="55" spans="1:8">
      <c r="B55" s="326" t="s">
        <v>1491</v>
      </c>
      <c r="C55" s="326"/>
      <c r="D55" s="329">
        <v>1000</v>
      </c>
      <c r="E55" s="326"/>
      <c r="F55" s="358">
        <v>1000</v>
      </c>
      <c r="H55" s="63">
        <f t="shared" si="1"/>
        <v>62721.7</v>
      </c>
    </row>
    <row r="56" spans="1:8">
      <c r="A56" s="100">
        <v>44802</v>
      </c>
      <c r="B56" s="359" t="s">
        <v>1492</v>
      </c>
      <c r="C56" s="359" t="s">
        <v>1493</v>
      </c>
      <c r="D56" s="360">
        <v>5000</v>
      </c>
      <c r="E56" s="359"/>
      <c r="F56" s="361">
        <v>5000</v>
      </c>
      <c r="H56" s="63">
        <f t="shared" si="1"/>
        <v>67721.7</v>
      </c>
    </row>
    <row r="57" spans="1:8">
      <c r="B57" s="326" t="s">
        <v>1494</v>
      </c>
      <c r="C57" s="326"/>
      <c r="D57" s="362"/>
      <c r="E57" s="326"/>
      <c r="F57" s="326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8" t="s">
        <v>1403</v>
      </c>
      <c r="C59" s="278"/>
      <c r="D59" s="354">
        <f>'07'!D55</f>
        <v>4000</v>
      </c>
      <c r="H59" s="63">
        <f t="shared" si="1"/>
        <v>68167.33</v>
      </c>
    </row>
    <row r="60" spans="1:8">
      <c r="B60" s="278" t="s">
        <v>1402</v>
      </c>
      <c r="C60" s="278"/>
      <c r="D60" s="354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1495</v>
      </c>
      <c r="C2" s="79" t="s">
        <v>67</v>
      </c>
      <c r="D2" s="307">
        <f>SUM(D4:D90)</f>
        <v>27131.070000000003</v>
      </c>
      <c r="E2" s="307">
        <f>SUM(E4:E90)</f>
        <v>-17400.82</v>
      </c>
      <c r="F2" s="307">
        <f>SUM(F4:F87)</f>
        <v>16133.3</v>
      </c>
      <c r="G2" s="307">
        <f>SUM(G4:G87)</f>
        <v>-20600.82</v>
      </c>
      <c r="H2" s="307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4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4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4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4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4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4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4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4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4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7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7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4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4"/>
      <c r="F46" s="63"/>
      <c r="G46" s="63"/>
      <c r="H46" s="63">
        <f t="shared" si="1"/>
        <v>-8467.52</v>
      </c>
    </row>
    <row r="47" spans="1:8">
      <c r="A47" s="363">
        <v>44747</v>
      </c>
      <c r="B47" s="359" t="s">
        <v>1513</v>
      </c>
      <c r="C47" s="359"/>
      <c r="D47" s="360">
        <v>4000</v>
      </c>
      <c r="E47" s="359"/>
      <c r="F47" s="361">
        <v>4000</v>
      </c>
      <c r="G47" s="63"/>
      <c r="H47" s="63">
        <f t="shared" si="1"/>
        <v>-4467.5200000000004</v>
      </c>
    </row>
    <row r="48" spans="1:8">
      <c r="A48" s="100"/>
      <c r="B48" s="355" t="s">
        <v>1491</v>
      </c>
      <c r="C48" s="355"/>
      <c r="D48" s="364">
        <v>1000</v>
      </c>
      <c r="E48" s="355"/>
      <c r="F48" s="365"/>
      <c r="G48" s="366"/>
      <c r="H48" s="63">
        <f t="shared" si="1"/>
        <v>-4467.5200000000004</v>
      </c>
    </row>
    <row r="49" spans="1:8">
      <c r="B49" t="s">
        <v>1514</v>
      </c>
      <c r="D49" s="164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4"/>
      <c r="E51" s="63"/>
      <c r="F51" s="63"/>
      <c r="G51" s="63"/>
      <c r="H51" s="63">
        <f t="shared" si="1"/>
        <v>-4467.5200000000004</v>
      </c>
    </row>
    <row r="52" spans="1:8">
      <c r="D52" s="164"/>
      <c r="E52" s="63"/>
      <c r="F52" s="63"/>
      <c r="G52" s="63"/>
      <c r="H52" s="63">
        <f t="shared" si="1"/>
        <v>-4467.5200000000004</v>
      </c>
    </row>
    <row r="53" spans="1:8">
      <c r="D53" s="164"/>
      <c r="E53" s="63"/>
      <c r="F53" s="63"/>
      <c r="G53" s="63"/>
      <c r="H53" s="63">
        <f t="shared" si="1"/>
        <v>-4467.5200000000004</v>
      </c>
    </row>
    <row r="54" spans="1:8">
      <c r="A54" s="367"/>
      <c r="B54" s="367" t="s">
        <v>1515</v>
      </c>
      <c r="C54" s="367"/>
      <c r="D54" s="368">
        <v>445.63</v>
      </c>
      <c r="E54" s="369"/>
      <c r="F54" s="367"/>
      <c r="G54" s="369"/>
      <c r="H54" s="63">
        <f t="shared" si="1"/>
        <v>-4467.5200000000004</v>
      </c>
    </row>
    <row r="55" spans="1:8">
      <c r="B55" s="367" t="s">
        <v>1403</v>
      </c>
      <c r="C55" s="367"/>
      <c r="D55" s="356">
        <v>4000</v>
      </c>
      <c r="E55" s="355"/>
      <c r="F55" s="355"/>
      <c r="G55" s="355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1516</v>
      </c>
      <c r="C2" s="79" t="s">
        <v>67</v>
      </c>
      <c r="D2" s="307">
        <f>SUM(D4:D44)</f>
        <v>17837.05</v>
      </c>
      <c r="E2" s="307">
        <f>SUM(E4:E80)</f>
        <v>-28058.100000000002</v>
      </c>
      <c r="F2" s="307">
        <f>SUM(F4:F77)</f>
        <v>16654.189999999999</v>
      </c>
      <c r="G2" s="307">
        <f>SUM(G4:G77)</f>
        <v>-28058.1</v>
      </c>
      <c r="H2" s="307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7"/>
      <c r="B5" s="370" t="s">
        <v>1517</v>
      </c>
      <c r="C5" s="370"/>
      <c r="D5" s="370">
        <v>182.86</v>
      </c>
      <c r="E5" s="371"/>
      <c r="F5" s="371"/>
      <c r="G5" s="371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2" t="s">
        <v>1338</v>
      </c>
      <c r="C9" s="372"/>
      <c r="D9" s="372"/>
      <c r="E9" s="373">
        <v>-1317.2</v>
      </c>
      <c r="F9" s="373"/>
      <c r="G9" s="373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4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4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4"/>
      <c r="F13" s="164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4"/>
      <c r="F14" s="164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4"/>
      <c r="F23" s="164"/>
      <c r="G23" s="63"/>
      <c r="H23" s="63">
        <f t="shared" si="0"/>
        <v>-18818.010000000002</v>
      </c>
    </row>
    <row r="24" spans="1:8">
      <c r="B24" s="374" t="s">
        <v>1527</v>
      </c>
      <c r="C24" s="374"/>
      <c r="D24" s="374"/>
      <c r="E24" s="375">
        <v>-177.65</v>
      </c>
      <c r="F24" s="375"/>
      <c r="G24" s="375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2" t="s">
        <v>1458</v>
      </c>
      <c r="C31" s="372"/>
      <c r="D31" s="372"/>
      <c r="E31" s="376"/>
      <c r="F31" s="373"/>
      <c r="G31" s="373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4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7"/>
      <c r="B43" s="367" t="s">
        <v>1535</v>
      </c>
      <c r="C43" s="367"/>
      <c r="D43" s="369">
        <v>5000</v>
      </c>
      <c r="E43" s="369"/>
      <c r="F43" s="369"/>
      <c r="G43" s="369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3">
        <v>44732</v>
      </c>
      <c r="B46" s="359" t="s">
        <v>1537</v>
      </c>
      <c r="C46" s="359"/>
      <c r="D46" s="359"/>
      <c r="E46" s="359"/>
      <c r="F46" s="361">
        <v>4000</v>
      </c>
      <c r="G46" s="359"/>
      <c r="H46" s="63">
        <f t="shared" si="0"/>
        <v>-11403.91</v>
      </c>
    </row>
    <row r="47" spans="1:8">
      <c r="A47" s="367"/>
      <c r="B47" s="367" t="s">
        <v>1403</v>
      </c>
      <c r="C47" s="367"/>
      <c r="D47" s="377">
        <v>4000</v>
      </c>
      <c r="E47" s="367"/>
      <c r="F47" s="367"/>
      <c r="G47" s="367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90" t="s">
        <v>28</v>
      </c>
      <c r="G1" s="190" t="s">
        <v>29</v>
      </c>
      <c r="H1" s="190" t="s">
        <v>3</v>
      </c>
    </row>
    <row r="2" spans="1:8">
      <c r="A2" s="3" t="s">
        <v>1539</v>
      </c>
      <c r="C2" s="79" t="s">
        <v>67</v>
      </c>
      <c r="D2" s="307">
        <f>SUM(D4:D32)</f>
        <v>11328.34</v>
      </c>
      <c r="E2" s="307">
        <f>SUM(E4:E68)</f>
        <v>-7712.66</v>
      </c>
      <c r="F2" s="307">
        <f>SUM(F4:F65)</f>
        <v>9522.369999999999</v>
      </c>
      <c r="G2" s="307">
        <f>SUM(G4:G65)</f>
        <v>-7722.66</v>
      </c>
      <c r="H2" s="307">
        <f>F2+G2</f>
        <v>1799.7099999999991</v>
      </c>
    </row>
    <row r="3" spans="1:8">
      <c r="B3" s="18"/>
      <c r="E3" s="190"/>
      <c r="F3" s="190"/>
      <c r="G3" s="190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4" t="s">
        <v>133</v>
      </c>
      <c r="C17" s="374"/>
      <c r="D17" s="374"/>
      <c r="E17" s="375">
        <v>-100</v>
      </c>
      <c r="F17" s="375"/>
      <c r="G17" s="375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2" t="s">
        <v>1458</v>
      </c>
      <c r="C24" s="372"/>
      <c r="D24" s="372"/>
      <c r="E24" s="376"/>
      <c r="F24" s="373"/>
      <c r="G24" s="373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8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9"/>
      <c r="B34" s="367" t="s">
        <v>1537</v>
      </c>
      <c r="C34" s="367"/>
      <c r="D34" s="380">
        <v>4000</v>
      </c>
      <c r="E34" s="367"/>
      <c r="F34" s="369"/>
      <c r="G34" s="369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1545</v>
      </c>
      <c r="C2" s="79" t="s">
        <v>67</v>
      </c>
      <c r="D2" s="307">
        <f>SUM(D5:D66)</f>
        <v>15937.59</v>
      </c>
      <c r="E2" s="307">
        <f>SUM(E5:E66)</f>
        <v>-11790.68</v>
      </c>
      <c r="F2" s="307">
        <f>SUM(F5:F66)</f>
        <v>17940.28</v>
      </c>
      <c r="G2" s="307">
        <f>SUM(G5:G66)</f>
        <v>-11140.68</v>
      </c>
      <c r="H2" s="307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4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4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4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4"/>
      <c r="G15" s="63"/>
      <c r="H15" s="63">
        <f t="shared" si="0"/>
        <v>-313.91999999999973</v>
      </c>
    </row>
    <row r="16" spans="1:8">
      <c r="A16" s="100"/>
      <c r="B16" s="374" t="s">
        <v>1546</v>
      </c>
      <c r="C16" s="374"/>
      <c r="D16" s="374"/>
      <c r="E16" s="375">
        <v>-169</v>
      </c>
      <c r="F16" s="381"/>
      <c r="G16" s="375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4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4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4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4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4"/>
      <c r="G21" s="63"/>
      <c r="H21" s="63">
        <f t="shared" si="0"/>
        <v>-313.91999999999973</v>
      </c>
    </row>
    <row r="22" spans="1:8">
      <c r="A22" s="100">
        <v>44655</v>
      </c>
      <c r="B22" s="372" t="s">
        <v>1458</v>
      </c>
      <c r="C22" s="372"/>
      <c r="D22" s="372"/>
      <c r="E22" s="376"/>
      <c r="F22" s="376"/>
      <c r="G22" s="373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4"/>
      <c r="F23" s="164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9" t="s">
        <v>1555</v>
      </c>
      <c r="C32" s="378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1558</v>
      </c>
      <c r="C2" s="79" t="s">
        <v>67</v>
      </c>
      <c r="D2" s="307">
        <f>SUM(D5:D61)</f>
        <v>36859.61</v>
      </c>
      <c r="E2" s="307">
        <f>SUM(E5:E61)</f>
        <v>-30109.3</v>
      </c>
      <c r="F2" s="307">
        <f>SUM(F5:F61)</f>
        <v>35859.61</v>
      </c>
      <c r="G2" s="307">
        <f>SUM(G5:G61)</f>
        <v>-30109.3</v>
      </c>
      <c r="H2" s="307">
        <f>F2+G2</f>
        <v>5750.3100000000013</v>
      </c>
    </row>
    <row r="3" spans="1:9">
      <c r="A3" s="100"/>
      <c r="B3" s="18"/>
      <c r="C3" s="3"/>
      <c r="D3" s="3"/>
      <c r="E3" s="164"/>
      <c r="F3" s="164"/>
      <c r="G3" s="164"/>
      <c r="H3" s="63"/>
      <c r="I3" s="3"/>
    </row>
    <row r="4" spans="1:9">
      <c r="A4" s="100"/>
      <c r="B4" s="3"/>
      <c r="C4" s="3"/>
      <c r="D4" s="3"/>
      <c r="E4" s="164"/>
      <c r="F4" s="164"/>
      <c r="G4" s="164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4"/>
      <c r="G10" s="164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4"/>
      <c r="G11" s="164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4"/>
      <c r="G15" s="164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4"/>
      <c r="G16" s="164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4"/>
      <c r="G17" s="164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4"/>
      <c r="G18" s="164"/>
      <c r="H18" s="63">
        <f t="shared" si="0"/>
        <v>-1034.31</v>
      </c>
      <c r="I18" s="3"/>
    </row>
    <row r="19" spans="1:9">
      <c r="A19" s="100">
        <v>44627</v>
      </c>
      <c r="B19" s="382" t="s">
        <v>1458</v>
      </c>
      <c r="C19" s="382" t="s">
        <v>1560</v>
      </c>
      <c r="D19" s="382"/>
      <c r="E19" s="63"/>
      <c r="F19" s="164"/>
      <c r="G19" s="164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4"/>
      <c r="F20" s="164"/>
      <c r="G20" s="164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1569</v>
      </c>
      <c r="C2" s="79" t="s">
        <v>67</v>
      </c>
      <c r="D2" s="307">
        <f>SUM(D5:D63)</f>
        <v>10567.09</v>
      </c>
      <c r="E2" s="307">
        <f>SUM(E5:E63)</f>
        <v>-21938.15</v>
      </c>
      <c r="F2" s="307">
        <f>SUM(F5:F63)</f>
        <v>11567.09</v>
      </c>
      <c r="G2" s="307">
        <f>SUM(G5:G63)</f>
        <v>-21938.15</v>
      </c>
      <c r="H2" s="307">
        <f>F2+G2</f>
        <v>-10371.060000000001</v>
      </c>
    </row>
    <row r="3" spans="1:8">
      <c r="A3" s="100"/>
      <c r="B3" s="18"/>
      <c r="E3" s="63"/>
      <c r="F3" s="164"/>
      <c r="G3" s="164"/>
      <c r="H3" s="190"/>
    </row>
    <row r="4" spans="1:8">
      <c r="A4" s="100"/>
      <c r="B4" s="18"/>
      <c r="E4" s="63"/>
      <c r="F4" s="164"/>
      <c r="G4" s="164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2" t="s">
        <v>1458</v>
      </c>
      <c r="C16" s="382" t="s">
        <v>1560</v>
      </c>
      <c r="D16" s="382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4"/>
      <c r="G38" s="164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90"/>
      <c r="F1" s="190" t="s">
        <v>28</v>
      </c>
      <c r="G1" s="190" t="s">
        <v>29</v>
      </c>
      <c r="H1" s="190" t="s">
        <v>3</v>
      </c>
    </row>
    <row r="2" spans="1:8">
      <c r="A2" s="246" t="s">
        <v>1577</v>
      </c>
      <c r="C2" s="79" t="s">
        <v>67</v>
      </c>
      <c r="D2" s="307">
        <f>SUM(D3:D57)</f>
        <v>7333.3</v>
      </c>
      <c r="E2" s="307">
        <f>SUM(E3:E57)</f>
        <v>-6834.05</v>
      </c>
      <c r="F2" s="307">
        <f>SUM(F3:F57)</f>
        <v>46462.64</v>
      </c>
      <c r="G2" s="307">
        <f>SUM(G3:G57)</f>
        <v>-6834.05</v>
      </c>
      <c r="H2" s="307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90">
        <v>-130.30000000000001</v>
      </c>
      <c r="F10" s="190"/>
      <c r="G10" s="190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90">
        <v>-255.4</v>
      </c>
      <c r="F11" s="190"/>
      <c r="G11" s="190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90">
        <v>-50</v>
      </c>
      <c r="F16" s="190"/>
      <c r="G16" s="190"/>
      <c r="H16" s="63">
        <f t="shared" si="0"/>
        <v>39160.219999999987</v>
      </c>
    </row>
    <row r="17" spans="1:8">
      <c r="A17" s="100">
        <v>44565</v>
      </c>
      <c r="B17" s="382" t="s">
        <v>1458</v>
      </c>
      <c r="C17" s="382" t="s">
        <v>1560</v>
      </c>
      <c r="D17" s="382"/>
      <c r="E17" s="190"/>
      <c r="F17" s="190"/>
      <c r="G17" s="190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90"/>
      <c r="F18" s="190"/>
      <c r="G18" s="190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90"/>
      <c r="F22" s="190"/>
      <c r="G22" s="190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90"/>
      <c r="F32" s="190"/>
      <c r="G32" s="190"/>
      <c r="H32" s="190"/>
    </row>
    <row r="54" spans="1:9">
      <c r="I54" s="3"/>
    </row>
    <row r="55" spans="1:9">
      <c r="A55" s="100"/>
      <c r="E55" s="164"/>
      <c r="F55" s="164"/>
      <c r="G55" s="164"/>
      <c r="I55" s="3"/>
    </row>
    <row r="75" spans="1:7">
      <c r="A75" s="100"/>
    </row>
    <row r="76" spans="1:7">
      <c r="A76" s="100"/>
    </row>
    <row r="77" spans="1:7">
      <c r="A77" s="100"/>
      <c r="E77" s="164"/>
      <c r="F77" s="164"/>
      <c r="G77" s="164"/>
    </row>
    <row r="78" spans="1:7">
      <c r="A78" s="100"/>
    </row>
    <row r="100" spans="1:7">
      <c r="A100" s="100"/>
      <c r="E100" s="164"/>
      <c r="F100" s="164"/>
      <c r="G100" s="164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4"/>
      <c r="F102" s="164"/>
    </row>
    <row r="103" spans="1:7">
      <c r="A103" s="100"/>
      <c r="B103" s="101"/>
      <c r="C103" s="101"/>
      <c r="D103" s="101"/>
      <c r="E103" s="164"/>
      <c r="F103" s="164"/>
    </row>
    <row r="104" spans="1:7">
      <c r="A104" s="100"/>
      <c r="B104" s="106"/>
      <c r="C104" s="106"/>
      <c r="D104" s="106"/>
      <c r="E104" s="164"/>
      <c r="F104" s="164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4"/>
      <c r="F122" s="164"/>
      <c r="G122" s="164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4"/>
      <c r="F145" s="164"/>
      <c r="G145" s="164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4"/>
      <c r="F148" s="164"/>
    </row>
    <row r="149" spans="1:7">
      <c r="A149" s="100"/>
      <c r="B149" s="101"/>
      <c r="C149" s="101"/>
      <c r="D149" s="101"/>
      <c r="E149" s="164"/>
      <c r="F149" s="164"/>
    </row>
    <row r="150" spans="1:7">
      <c r="A150" s="100"/>
      <c r="B150" s="106"/>
      <c r="C150" s="106"/>
      <c r="D150" s="106"/>
      <c r="E150" s="164"/>
      <c r="F150" s="164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4"/>
      <c r="F168" s="164"/>
      <c r="G168" s="164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4"/>
      <c r="F171" s="164"/>
    </row>
    <row r="172" spans="1:7">
      <c r="A172" s="100"/>
      <c r="B172" s="101"/>
      <c r="C172" s="101"/>
      <c r="D172" s="101"/>
      <c r="E172" s="164"/>
      <c r="F172" s="164"/>
    </row>
    <row r="173" spans="1:7">
      <c r="A173" s="100"/>
      <c r="B173" s="106"/>
      <c r="C173" s="106"/>
      <c r="D173" s="106"/>
      <c r="E173" s="164"/>
      <c r="F173" s="164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4"/>
      <c r="F191" s="164"/>
      <c r="G191" s="164"/>
    </row>
    <row r="192" spans="1:7">
      <c r="B192" s="3"/>
      <c r="C192" s="3"/>
      <c r="D192" s="3"/>
    </row>
    <row r="193" spans="1:6">
      <c r="B193" s="3"/>
      <c r="C193" s="3"/>
      <c r="D193" s="3"/>
      <c r="E193" s="164"/>
    </row>
    <row r="194" spans="1:6">
      <c r="A194" s="100"/>
      <c r="B194" s="101"/>
      <c r="C194" s="101"/>
      <c r="D194" s="101"/>
      <c r="E194" s="164"/>
      <c r="F194" s="164"/>
    </row>
    <row r="195" spans="1:6">
      <c r="A195" s="100"/>
      <c r="B195" s="101"/>
      <c r="C195" s="101"/>
      <c r="D195" s="101"/>
      <c r="E195" s="164"/>
      <c r="F195" s="164"/>
    </row>
    <row r="196" spans="1:6">
      <c r="A196" s="100"/>
      <c r="B196" s="106"/>
      <c r="C196" s="106"/>
      <c r="D196" s="106"/>
      <c r="E196" s="164"/>
      <c r="F196" s="164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4"/>
      <c r="F214" s="164"/>
      <c r="G214" s="164"/>
    </row>
    <row r="215" spans="1:7">
      <c r="B215" s="3"/>
      <c r="C215" s="3"/>
      <c r="D215" s="3"/>
      <c r="E215" s="164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4"/>
      <c r="F217" s="164"/>
    </row>
    <row r="218" spans="1:7">
      <c r="A218" s="100"/>
      <c r="B218" s="101"/>
      <c r="C218" s="101"/>
      <c r="D218" s="101"/>
      <c r="E218" s="164"/>
      <c r="F218" s="164"/>
    </row>
    <row r="219" spans="1:7">
      <c r="A219" s="100"/>
      <c r="B219" s="106"/>
      <c r="C219" s="106"/>
      <c r="D219" s="106"/>
      <c r="E219" s="164"/>
      <c r="F219" s="164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4"/>
      <c r="F237" s="164"/>
      <c r="G237" s="16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4"/>
      <c r="F240" s="164"/>
    </row>
    <row r="241" spans="1:6">
      <c r="A241" s="100"/>
      <c r="B241" s="101"/>
      <c r="C241" s="101"/>
      <c r="D241" s="101"/>
      <c r="E241" s="164"/>
      <c r="F241" s="164"/>
    </row>
    <row r="242" spans="1:6">
      <c r="A242" s="100"/>
      <c r="B242" s="106"/>
      <c r="C242" s="106"/>
      <c r="D242" s="106"/>
      <c r="E242" s="164"/>
      <c r="F242" s="164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4"/>
      <c r="F260" s="164"/>
      <c r="G260" s="16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4"/>
      <c r="F263" s="164"/>
    </row>
    <row r="264" spans="1:7">
      <c r="A264" s="100"/>
      <c r="B264" s="101"/>
      <c r="C264" s="101"/>
      <c r="D264" s="101"/>
      <c r="E264" s="164"/>
      <c r="F264" s="164"/>
    </row>
    <row r="265" spans="1:7">
      <c r="A265" s="100"/>
      <c r="B265" s="106"/>
      <c r="C265" s="106"/>
      <c r="D265" s="106"/>
      <c r="E265" s="164"/>
      <c r="F265" s="164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4"/>
      <c r="F283" s="164"/>
      <c r="G283" s="16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5">
        <v>0.23471</v>
      </c>
      <c r="L10" s="335">
        <v>0.76529000000000003</v>
      </c>
      <c r="M10" s="336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6" t="s">
        <v>803</v>
      </c>
      <c r="L11" s="336" t="s">
        <v>804</v>
      </c>
      <c r="M11" s="336" t="s">
        <v>32</v>
      </c>
      <c r="N11" s="26" t="s">
        <v>1325</v>
      </c>
    </row>
    <row r="12" spans="1:14">
      <c r="A12" t="s">
        <v>33</v>
      </c>
      <c r="B12" s="214">
        <v>7333.3</v>
      </c>
      <c r="C12" s="215">
        <v>-6834.05</v>
      </c>
      <c r="D12" s="216">
        <v>499.25</v>
      </c>
      <c r="E12" s="214">
        <v>46462.64</v>
      </c>
      <c r="F12" s="215">
        <v>-6834.05</v>
      </c>
      <c r="G12" s="217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4">
        <v>10567.09</v>
      </c>
      <c r="C13" s="215">
        <v>-21938.15</v>
      </c>
      <c r="D13" s="216">
        <v>-10871.81</v>
      </c>
      <c r="E13" s="214">
        <v>11567.09</v>
      </c>
      <c r="F13" s="215">
        <v>-21938.15</v>
      </c>
      <c r="G13" s="217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4">
        <v>36859.61</v>
      </c>
      <c r="C14" s="215">
        <v>-30109.3</v>
      </c>
      <c r="D14" s="216">
        <v>-4121.5</v>
      </c>
      <c r="E14" s="214">
        <v>35859.61</v>
      </c>
      <c r="F14" s="215">
        <v>-30109.3</v>
      </c>
      <c r="G14" s="217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4">
        <v>15937.59</v>
      </c>
      <c r="C15" s="215">
        <v>-11790.68</v>
      </c>
      <c r="D15" s="216">
        <v>25.4100000000035</v>
      </c>
      <c r="E15" s="214">
        <v>17940.28</v>
      </c>
      <c r="F15" s="215">
        <v>-11140.68</v>
      </c>
      <c r="G15" s="217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4">
        <v>11328.34</v>
      </c>
      <c r="C16" s="215">
        <v>-7712.66</v>
      </c>
      <c r="D16" s="216">
        <v>3641.09</v>
      </c>
      <c r="E16" s="214">
        <v>9522.3700000000008</v>
      </c>
      <c r="F16" s="215">
        <v>-7722.66</v>
      </c>
      <c r="G16" s="217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4">
        <v>17837.05</v>
      </c>
      <c r="C17" s="215">
        <v>-28058.1</v>
      </c>
      <c r="D17" s="216">
        <v>-6579.96</v>
      </c>
      <c r="E17" s="214">
        <v>16654.189999999999</v>
      </c>
      <c r="F17" s="215">
        <v>-28058.1</v>
      </c>
      <c r="G17" s="217">
        <v>32203.24</v>
      </c>
      <c r="H17" s="34"/>
    </row>
    <row r="18" spans="1:14">
      <c r="A18" t="s">
        <v>1328</v>
      </c>
      <c r="B18" s="214">
        <v>27131.07</v>
      </c>
      <c r="C18" s="215">
        <v>-17400.82</v>
      </c>
      <c r="D18" s="216">
        <v>3150.29</v>
      </c>
      <c r="E18" s="214">
        <v>16133.3</v>
      </c>
      <c r="F18" s="215">
        <v>-20600.82</v>
      </c>
      <c r="G18" s="217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4">
        <v>34617.910000000003</v>
      </c>
      <c r="C19" s="215">
        <v>-11695.35</v>
      </c>
      <c r="D19" s="216">
        <v>26072.85</v>
      </c>
      <c r="E19" s="214">
        <v>102061.66</v>
      </c>
      <c r="F19" s="215">
        <v>-33894.33</v>
      </c>
      <c r="G19" s="217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4">
        <v>66162.31</v>
      </c>
      <c r="C20" s="215">
        <v>-61978.720000000001</v>
      </c>
      <c r="D20" s="216">
        <v>30256.44</v>
      </c>
      <c r="E20" s="214">
        <v>9260.5</v>
      </c>
      <c r="F20" s="215">
        <v>-25729.24</v>
      </c>
      <c r="G20" s="217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4">
        <v>23872.2</v>
      </c>
      <c r="C21" s="215">
        <v>-34541.120000000003</v>
      </c>
      <c r="D21" s="216">
        <v>19587.52</v>
      </c>
      <c r="E21" s="214">
        <v>79418.41</v>
      </c>
      <c r="F21" s="215">
        <v>-90424.320000000007</v>
      </c>
      <c r="G21" s="217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7">
        <v>400.76679000000001</v>
      </c>
    </row>
    <row r="22" spans="1:14">
      <c r="A22" t="s">
        <v>53</v>
      </c>
      <c r="B22" s="214">
        <v>179191.62</v>
      </c>
      <c r="C22" s="215">
        <v>-14175.82</v>
      </c>
      <c r="D22" s="216">
        <v>184603.32</v>
      </c>
      <c r="E22" s="214">
        <v>178439.6</v>
      </c>
      <c r="F22" s="215">
        <v>-18452.8</v>
      </c>
      <c r="G22" s="217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8">
        <v>33.397232500000001</v>
      </c>
    </row>
    <row r="23" spans="1:14">
      <c r="A23" t="s">
        <v>55</v>
      </c>
      <c r="B23" s="214">
        <v>15475.96</v>
      </c>
      <c r="C23" s="215">
        <v>-16961.34</v>
      </c>
      <c r="D23" s="216">
        <v>183117.94</v>
      </c>
      <c r="E23" s="214">
        <v>22052.39</v>
      </c>
      <c r="F23" s="215">
        <v>-21692.25</v>
      </c>
      <c r="G23" s="217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20">
        <v>446314.05</v>
      </c>
      <c r="C24" s="221">
        <v>-263196.11</v>
      </c>
      <c r="D24" s="339">
        <v>183117.94</v>
      </c>
      <c r="E24" s="220">
        <v>545372.04</v>
      </c>
      <c r="F24" s="221">
        <v>-316596.7</v>
      </c>
      <c r="G24" s="339">
        <v>228775.34</v>
      </c>
      <c r="H24" s="34"/>
      <c r="I24" s="223"/>
      <c r="J24" s="223">
        <v>351</v>
      </c>
      <c r="K24" s="340">
        <v>82.383210000000005</v>
      </c>
      <c r="L24" s="340">
        <v>268.61678999999998</v>
      </c>
      <c r="M24" s="340">
        <v>86.05</v>
      </c>
      <c r="N24" s="340">
        <v>46.1</v>
      </c>
    </row>
    <row r="25" spans="1:14">
      <c r="A25" s="341">
        <v>12</v>
      </c>
      <c r="B25" s="342">
        <v>37192.837500000001</v>
      </c>
      <c r="C25" s="343">
        <v>-21933.009166666699</v>
      </c>
      <c r="D25" s="343"/>
      <c r="E25" s="343">
        <v>45447.67</v>
      </c>
      <c r="F25" s="343">
        <v>-26383.058333333302</v>
      </c>
      <c r="G25" s="343">
        <v>19064.6116666667</v>
      </c>
      <c r="H25" s="56"/>
      <c r="I25" s="225"/>
      <c r="J25" s="343">
        <v>29.25</v>
      </c>
      <c r="K25" s="343">
        <v>6.8652674999999999</v>
      </c>
      <c r="L25" s="343">
        <v>22.384732499999998</v>
      </c>
      <c r="M25" s="343">
        <v>7.1708333333333298</v>
      </c>
      <c r="N25" s="343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2025-02-04T09:59:32Z</dcterms:modified>
  <dc:language>tr-TR</dc:language>
</cp:coreProperties>
</file>