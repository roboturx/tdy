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DCD82767-7643-4858-8A59-832A72589A2F}" xr6:coauthVersionLast="47" xr6:coauthVersionMax="47" xr10:uidLastSave="{00000000-0000-0000-0000-000000000000}"/>
  <bookViews>
    <workbookView xWindow="-120" yWindow="-120" windowWidth="29040" windowHeight="15720" tabRatio="839" activeTab="11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3" i="12" l="1"/>
  <c r="H14" i="12"/>
  <c r="H15" i="12"/>
  <c r="H16" i="12"/>
  <c r="H17" i="12"/>
  <c r="H18" i="12"/>
  <c r="H19" i="12"/>
  <c r="H20" i="12"/>
  <c r="H21" i="12"/>
  <c r="H22" i="12"/>
  <c r="H23" i="12"/>
  <c r="G123" i="12"/>
  <c r="E123" i="12"/>
  <c r="L152" i="12"/>
  <c r="C143" i="14"/>
  <c r="E145" i="14"/>
  <c r="E147" i="14"/>
  <c r="G147" i="14"/>
  <c r="I147" i="14"/>
  <c r="I148" i="14"/>
  <c r="G162" i="12"/>
  <c r="E162" i="12"/>
  <c r="I162" i="12" s="1"/>
  <c r="G161" i="12"/>
  <c r="E161" i="12"/>
  <c r="G159" i="12"/>
  <c r="E159" i="12"/>
  <c r="I159" i="12" s="1"/>
  <c r="G158" i="12"/>
  <c r="E158" i="12"/>
  <c r="G156" i="12"/>
  <c r="E156" i="12"/>
  <c r="I156" i="12" s="1"/>
  <c r="F155" i="12"/>
  <c r="G155" i="12" s="1"/>
  <c r="E155" i="12"/>
  <c r="C147" i="12"/>
  <c r="E138" i="12"/>
  <c r="F137" i="12"/>
  <c r="F138" i="12" s="1"/>
  <c r="G138" i="12" s="1"/>
  <c r="E137" i="12"/>
  <c r="G136" i="12"/>
  <c r="E136" i="12"/>
  <c r="G133" i="12"/>
  <c r="E133" i="12"/>
  <c r="G132" i="12"/>
  <c r="E132" i="12"/>
  <c r="G131" i="12"/>
  <c r="E131" i="12"/>
  <c r="E130" i="12"/>
  <c r="G129" i="12"/>
  <c r="E129" i="12"/>
  <c r="F126" i="12"/>
  <c r="G126" i="12" s="1"/>
  <c r="E126" i="12"/>
  <c r="G125" i="12"/>
  <c r="E125" i="12"/>
  <c r="G152" i="12"/>
  <c r="E152" i="12"/>
  <c r="F122" i="12"/>
  <c r="G122" i="12" s="1"/>
  <c r="E122" i="12"/>
  <c r="G121" i="12"/>
  <c r="E121" i="12"/>
  <c r="E61" i="12"/>
  <c r="F11" i="1"/>
  <c r="F12" i="1" s="1"/>
  <c r="F13" i="1" s="1"/>
  <c r="F14" i="1" s="1"/>
  <c r="F122" i="13"/>
  <c r="F129" i="13"/>
  <c r="F130" i="13" s="1"/>
  <c r="E37" i="12"/>
  <c r="G161" i="13"/>
  <c r="E161" i="13"/>
  <c r="G121" i="13"/>
  <c r="E121" i="13"/>
  <c r="H37" i="13"/>
  <c r="H38" i="13" s="1"/>
  <c r="I123" i="12" l="1"/>
  <c r="I133" i="12"/>
  <c r="E139" i="12"/>
  <c r="F130" i="12"/>
  <c r="G130" i="12" s="1"/>
  <c r="I138" i="12"/>
  <c r="I126" i="12"/>
  <c r="I131" i="12"/>
  <c r="I132" i="12"/>
  <c r="E127" i="12"/>
  <c r="I152" i="12"/>
  <c r="I125" i="12"/>
  <c r="I121" i="12"/>
  <c r="I129" i="12"/>
  <c r="E134" i="12"/>
  <c r="I155" i="12"/>
  <c r="I158" i="12"/>
  <c r="I161" i="12"/>
  <c r="H127" i="12"/>
  <c r="H126" i="12"/>
  <c r="I122" i="12"/>
  <c r="I127" i="12" s="1"/>
  <c r="I130" i="12"/>
  <c r="H134" i="12"/>
  <c r="H133" i="12"/>
  <c r="I136" i="12"/>
  <c r="G137" i="12"/>
  <c r="I137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I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9" i="14"/>
  <c r="E160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50" i="11"/>
  <c r="E35" i="11"/>
  <c r="E7" i="11" s="1"/>
  <c r="G7" i="11" s="1"/>
  <c r="E8" i="11"/>
  <c r="H5" i="11"/>
  <c r="H6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8" i="9" s="1"/>
  <c r="G8" i="9" s="1"/>
  <c r="E35" i="9"/>
  <c r="G7" i="9"/>
  <c r="E7" i="9"/>
  <c r="H5" i="9"/>
  <c r="H6" i="9" s="1"/>
  <c r="H7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E6" i="2"/>
  <c r="N5" i="2"/>
  <c r="M5" i="2"/>
  <c r="L4" i="2"/>
  <c r="K4" i="2"/>
  <c r="M3" i="2"/>
  <c r="N2" i="2"/>
  <c r="L2" i="2"/>
  <c r="F39" i="1"/>
  <c r="F40" i="1" s="1"/>
  <c r="F41" i="1" s="1"/>
  <c r="F42" i="1" s="1"/>
  <c r="F43" i="1" s="1"/>
  <c r="F7" i="1"/>
  <c r="F8" i="1" s="1"/>
  <c r="F9" i="1" s="1"/>
  <c r="F10" i="1" s="1"/>
  <c r="F15" i="1" s="1"/>
  <c r="F16" i="1" s="1"/>
  <c r="F17" i="1" s="1"/>
  <c r="H9" i="12" l="1"/>
  <c r="H10" i="12" s="1"/>
  <c r="H11" i="12" s="1"/>
  <c r="H12" i="12" s="1"/>
  <c r="I167" i="12"/>
  <c r="J153" i="12"/>
  <c r="J152" i="12"/>
  <c r="M152" i="12" s="1"/>
  <c r="H138" i="12"/>
  <c r="G111" i="12"/>
  <c r="G146" i="12"/>
  <c r="H139" i="12"/>
  <c r="H144" i="12" s="1"/>
  <c r="E2" i="11"/>
  <c r="C6" i="2" s="1"/>
  <c r="H7" i="11"/>
  <c r="I158" i="13"/>
  <c r="D76" i="14"/>
  <c r="I155" i="13"/>
  <c r="H24" i="12"/>
  <c r="H25" i="12" s="1"/>
  <c r="H26" i="12" s="1"/>
  <c r="H27" i="12" s="1"/>
  <c r="H28" i="12" s="1"/>
  <c r="H29" i="12" s="1"/>
  <c r="H30" i="12" s="1"/>
  <c r="H31" i="12" s="1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G2" i="12"/>
  <c r="F5" i="2" s="1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8" i="11"/>
  <c r="G2" i="11" s="1"/>
  <c r="F6" i="2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4" i="1"/>
  <c r="H2" i="9"/>
  <c r="D45" i="1"/>
  <c r="F45" i="1" s="1"/>
  <c r="F4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18" i="14" l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8" i="1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I119" i="14" l="1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<sst xmlns="http://schemas.openxmlformats.org/spreadsheetml/2006/main" count="4567" uniqueCount="1691">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</sst>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</numFmts>
  <fonts count="4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</fonts>
  <fills count="5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62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189" fontId="3" fillId="45" borderId="0" xfId="0" applyNumberFormat="1" applyFont="1" applyFill="1"/>
    <xf numFmtId="172" fontId="0" fillId="45" borderId="0" xfId="0" applyNumberForma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38"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2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zoomScale="175" zoomScaleNormal="175" workbookViewId="0">
      <selection activeCell="H9" sqref="H9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21">
        <v>45667</v>
      </c>
      <c r="B7" s="422" t="s">
        <v>5</v>
      </c>
      <c r="C7" s="393"/>
      <c r="D7" s="423">
        <v>20000</v>
      </c>
      <c r="E7" s="423"/>
      <c r="F7" s="2">
        <f t="shared" ref="F7:F17" si="0">F6+D7-E7</f>
        <v>277330</v>
      </c>
    </row>
    <row r="8" spans="1:6" s="11" customFormat="1">
      <c r="A8" s="421">
        <v>45672</v>
      </c>
      <c r="B8" s="422" t="s">
        <v>1590</v>
      </c>
      <c r="C8" s="393"/>
      <c r="D8" s="423"/>
      <c r="E8" s="423">
        <v>25000</v>
      </c>
      <c r="F8" s="12">
        <f t="shared" si="0"/>
        <v>252330</v>
      </c>
    </row>
    <row r="9" spans="1:6">
      <c r="A9" s="421">
        <v>45672</v>
      </c>
      <c r="B9" s="393" t="s">
        <v>1591</v>
      </c>
      <c r="C9" s="393"/>
      <c r="D9" s="423"/>
      <c r="E9" s="423">
        <v>31000</v>
      </c>
      <c r="F9" s="12">
        <f t="shared" si="0"/>
        <v>221330</v>
      </c>
    </row>
    <row r="10" spans="1:6">
      <c r="A10" s="1">
        <v>45703</v>
      </c>
      <c r="B10" s="8" t="s">
        <v>1592</v>
      </c>
      <c r="C10" s="8"/>
      <c r="D10" s="12"/>
      <c r="F10" s="12">
        <f t="shared" si="0"/>
        <v>221330</v>
      </c>
    </row>
    <row r="11" spans="1:6" s="11" customFormat="1">
      <c r="A11" s="421">
        <v>45709</v>
      </c>
      <c r="B11" s="393" t="s">
        <v>205</v>
      </c>
      <c r="C11" s="393"/>
      <c r="D11" s="423"/>
      <c r="E11" s="423">
        <v>26000</v>
      </c>
      <c r="F11" s="12">
        <f t="shared" si="0"/>
        <v>195330</v>
      </c>
    </row>
    <row r="12" spans="1:6">
      <c r="A12" s="1">
        <v>45731</v>
      </c>
      <c r="B12" s="8" t="s">
        <v>1593</v>
      </c>
      <c r="C12" s="8"/>
      <c r="D12" s="12"/>
      <c r="F12" s="12">
        <f t="shared" si="0"/>
        <v>195330</v>
      </c>
    </row>
    <row r="13" spans="1:6">
      <c r="A13" s="1">
        <v>45762</v>
      </c>
      <c r="B13" s="8" t="s">
        <v>1594</v>
      </c>
      <c r="C13" s="8"/>
      <c r="D13" s="12"/>
      <c r="F13" s="12">
        <f t="shared" si="0"/>
        <v>195330</v>
      </c>
    </row>
    <row r="14" spans="1:6">
      <c r="A14" s="1">
        <v>45792</v>
      </c>
      <c r="B14" s="8" t="s">
        <v>1595</v>
      </c>
      <c r="C14" s="8"/>
      <c r="D14" s="12"/>
      <c r="F14" s="12">
        <f t="shared" si="0"/>
        <v>195330</v>
      </c>
    </row>
    <row r="15" spans="1:6">
      <c r="A15" s="1">
        <v>45823</v>
      </c>
      <c r="B15" s="8" t="s">
        <v>1596</v>
      </c>
      <c r="C15" s="8"/>
      <c r="D15" s="12"/>
      <c r="F15" s="12">
        <f t="shared" si="0"/>
        <v>195330</v>
      </c>
    </row>
    <row r="16" spans="1:6" ht="13.5" thickBot="1">
      <c r="A16" s="1">
        <v>45853</v>
      </c>
      <c r="B16" s="8" t="s">
        <v>1597</v>
      </c>
      <c r="C16" s="8"/>
      <c r="D16" s="12"/>
      <c r="F16" s="12">
        <f t="shared" si="0"/>
        <v>195330</v>
      </c>
    </row>
    <row r="17" spans="5:6">
      <c r="E17" s="13"/>
      <c r="F17" s="389">
        <f t="shared" si="0"/>
        <v>195330</v>
      </c>
    </row>
    <row r="18" spans="5:6" ht="13.5" thickBot="1">
      <c r="E18" s="15"/>
      <c r="F18" s="16" t="s">
        <v>14</v>
      </c>
    </row>
    <row r="37" spans="2:6">
      <c r="B37" s="8" t="s">
        <v>15</v>
      </c>
    </row>
    <row r="39" spans="2:6">
      <c r="F39" s="2">
        <f t="shared" ref="F39:F44" si="1">F38+D39-E39</f>
        <v>0</v>
      </c>
    </row>
    <row r="40" spans="2:6">
      <c r="B40" s="8" t="s">
        <v>16</v>
      </c>
      <c r="D40" s="2">
        <v>50000</v>
      </c>
      <c r="F40" s="2">
        <f t="shared" si="1"/>
        <v>50000</v>
      </c>
    </row>
    <row r="41" spans="2:6">
      <c r="B41" s="8" t="s">
        <v>17</v>
      </c>
      <c r="D41" s="2">
        <v>140000</v>
      </c>
      <c r="F41" s="2">
        <f t="shared" si="1"/>
        <v>190000</v>
      </c>
    </row>
    <row r="42" spans="2:6">
      <c r="B42" s="8" t="s">
        <v>18</v>
      </c>
      <c r="D42" s="2">
        <v>195000</v>
      </c>
      <c r="F42" s="2">
        <f t="shared" si="1"/>
        <v>385000</v>
      </c>
    </row>
    <row r="43" spans="2:6">
      <c r="B43" s="8" t="s">
        <v>19</v>
      </c>
      <c r="E43" s="2">
        <v>310000</v>
      </c>
      <c r="F43" s="2">
        <f t="shared" si="1"/>
        <v>75000</v>
      </c>
    </row>
    <row r="44" spans="2:6">
      <c r="B44" s="3" t="s">
        <v>20</v>
      </c>
      <c r="C44" s="3"/>
      <c r="D44" s="17"/>
      <c r="E44" s="17"/>
      <c r="F44" s="17">
        <f t="shared" si="1"/>
        <v>75000</v>
      </c>
    </row>
    <row r="45" spans="2:6">
      <c r="B45" s="3" t="s">
        <v>21</v>
      </c>
      <c r="C45" s="3"/>
      <c r="D45" s="17" t="e">
        <f>#REF!-F43</f>
        <v>#REF!</v>
      </c>
      <c r="F45" s="2" t="e">
        <f>F43+D45-E45</f>
        <v>#REF!</v>
      </c>
    </row>
    <row r="46" spans="2:6">
      <c r="E46" s="18" t="s">
        <v>22</v>
      </c>
      <c r="F46" s="17" t="e">
        <f>F45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P3" sqref="P3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56" t="s">
        <v>26</v>
      </c>
      <c r="M1" s="456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0</v>
      </c>
      <c r="F5" s="32">
        <f>'03_25'!G2</f>
        <v>-36002.019999999997</v>
      </c>
      <c r="G5" s="33">
        <f t="shared" si="1"/>
        <v>158460.15000000002</v>
      </c>
      <c r="H5" s="34"/>
      <c r="I5" s="35" t="s">
        <v>38</v>
      </c>
      <c r="K5" s="39"/>
      <c r="L5" s="37"/>
      <c r="M5" s="38">
        <f>J5</f>
        <v>0</v>
      </c>
      <c r="N5" s="8">
        <f>'03_25'!E141/1000</f>
        <v>0</v>
      </c>
    </row>
    <row r="6" spans="1:14">
      <c r="A6" t="s">
        <v>39</v>
      </c>
      <c r="B6" s="32">
        <f>'04_25'!D2</f>
        <v>15000</v>
      </c>
      <c r="C6" s="32">
        <f>'04_25'!E2</f>
        <v>-167276.39000000001</v>
      </c>
      <c r="D6" s="33">
        <f t="shared" si="0"/>
        <v>110455.95999999996</v>
      </c>
      <c r="E6" s="32">
        <f>'04_25'!F2</f>
        <v>0</v>
      </c>
      <c r="F6" s="32">
        <f>'04_25'!G2</f>
        <v>-120979.33</v>
      </c>
      <c r="G6" s="33">
        <f t="shared" si="1"/>
        <v>37480.820000000022</v>
      </c>
      <c r="H6" s="34"/>
      <c r="I6" s="41" t="s">
        <v>40</v>
      </c>
      <c r="K6" s="39"/>
      <c r="L6" s="37"/>
      <c r="M6" s="42">
        <f>E18/1000</f>
        <v>15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-45906.84</v>
      </c>
      <c r="D7" s="33">
        <f t="shared" si="0"/>
        <v>79549.119999999966</v>
      </c>
      <c r="E7" s="32">
        <f>'05_25'!F2</f>
        <v>0</v>
      </c>
      <c r="F7" s="32">
        <f>'05_25'!G2</f>
        <v>-989.78</v>
      </c>
      <c r="G7" s="33">
        <f t="shared" si="1"/>
        <v>36491.040000000023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-53406.84</v>
      </c>
      <c r="D8" s="33">
        <f t="shared" si="0"/>
        <v>41142.27999999997</v>
      </c>
      <c r="E8" s="32">
        <f>'06_25'!F2</f>
        <v>0</v>
      </c>
      <c r="F8" s="32">
        <f>'06_25'!G2</f>
        <v>-989.78</v>
      </c>
      <c r="G8" s="33">
        <f t="shared" si="1"/>
        <v>35501.260000000024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-53406.84</v>
      </c>
      <c r="D9" s="33">
        <f t="shared" si="0"/>
        <v>2735.4399999999732</v>
      </c>
      <c r="E9" s="32">
        <f>'07_25'!F2</f>
        <v>0</v>
      </c>
      <c r="F9" s="32">
        <f>'07_25'!G2</f>
        <v>-989.78</v>
      </c>
      <c r="G9" s="33">
        <f t="shared" si="1"/>
        <v>34511.480000000025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-53406.84</v>
      </c>
      <c r="D10" s="33">
        <f t="shared" si="0"/>
        <v>-35671.400000000023</v>
      </c>
      <c r="E10" s="32">
        <f>'08_25'!F2</f>
        <v>0</v>
      </c>
      <c r="F10" s="32">
        <f>'08_25'!G2</f>
        <v>-989.78</v>
      </c>
      <c r="G10" s="33">
        <f t="shared" si="1"/>
        <v>33521.700000000026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-73088.460000000021</v>
      </c>
      <c r="E11" s="32">
        <f>'09_25'!F2</f>
        <v>0</v>
      </c>
      <c r="F11" s="32">
        <f>'09_25'!G2</f>
        <v>0</v>
      </c>
      <c r="G11" s="33">
        <f t="shared" si="1"/>
        <v>33521.700000000026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-110505.52000000002</v>
      </c>
      <c r="E12" s="32">
        <f>'10_25'!F2</f>
        <v>0</v>
      </c>
      <c r="F12" s="32">
        <f>'10_25'!G2</f>
        <v>0</v>
      </c>
      <c r="G12" s="33">
        <f t="shared" si="1"/>
        <v>33521.700000000026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-147922.58000000002</v>
      </c>
      <c r="E13" s="32">
        <f>'11_25'!F2</f>
        <v>0</v>
      </c>
      <c r="F13" s="32">
        <f>'11_25'!G2</f>
        <v>0</v>
      </c>
      <c r="G13" s="33">
        <f t="shared" si="1"/>
        <v>33521.700000000026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-185339.64</v>
      </c>
      <c r="E14" s="32">
        <f>'12_25'!F2</f>
        <v>0</v>
      </c>
      <c r="F14" s="32">
        <f>'12_25'!G2</f>
        <v>0</v>
      </c>
      <c r="G14" s="33">
        <f t="shared" si="1"/>
        <v>33521.700000000026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-794003.64000000013</v>
      </c>
      <c r="D15" s="33">
        <f>B15+C15</f>
        <v>-185339.64000000013</v>
      </c>
      <c r="E15" s="33">
        <f>SUM(E3:E14)</f>
        <v>350109.76</v>
      </c>
      <c r="F15" s="33">
        <f>SUM(F3:F14)</f>
        <v>-316588.06000000011</v>
      </c>
      <c r="G15" s="33">
        <f>E15+F15</f>
        <v>33521.699999999895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-66166.970000000016</v>
      </c>
      <c r="D16" s="55"/>
      <c r="E16" s="55">
        <f>E15/A16</f>
        <v>29175.813333333335</v>
      </c>
      <c r="F16" s="55">
        <f>F15/A16</f>
        <v>-26382.338333333344</v>
      </c>
      <c r="G16" s="55">
        <f>G15/A16</f>
        <v>2793.4749999999913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57">
        <f>L15+M15</f>
        <v>976.10596800000008</v>
      </c>
      <c r="M17" s="457"/>
    </row>
    <row r="18" spans="2:13">
      <c r="D18" s="64" t="s">
        <v>58</v>
      </c>
      <c r="E18" s="2">
        <f>'01_25'!F32+'02_25'!F14+'02_25'!F26+'03_25'!F19+'04_25'!F41+'05_25'!F22+'06_25'!F19+'06_25'!F31+'04_25'!F15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-53406.84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459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483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515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92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529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1604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94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1645</v>
      </c>
      <c r="C52" s="90">
        <v>5938.68</v>
      </c>
      <c r="D52" s="90" t="s">
        <v>573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45" zoomScale="145" zoomScaleNormal="145" workbookViewId="0">
      <selection activeCell="D56" sqref="D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-45906.84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96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-989.78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88">
        <v>45715</v>
      </c>
      <c r="B55" s="90" t="s">
        <v>1645</v>
      </c>
      <c r="C55" s="90">
        <v>5938.68</v>
      </c>
      <c r="D55" s="90" t="s">
        <v>621</v>
      </c>
      <c r="E55" s="90">
        <v>-989.78</v>
      </c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23" zoomScale="145" zoomScaleNormal="145" workbookViewId="0">
      <selection activeCell="F34" sqref="F3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-167276.39000000001</v>
      </c>
      <c r="F2" s="77">
        <f>SUM(F4:F32)</f>
        <v>0</v>
      </c>
      <c r="G2" s="77">
        <f>SUM(G4:G32)</f>
        <v>-120979.33</v>
      </c>
      <c r="H2" s="77">
        <f>F2+G2</f>
        <v>-120979.33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-119989.55</v>
      </c>
      <c r="F7" s="87"/>
      <c r="G7" s="87">
        <f>E7</f>
        <v>-119989.55</v>
      </c>
      <c r="H7" s="77">
        <f t="shared" si="0"/>
        <v>-119989.55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-120979.33</v>
      </c>
    </row>
    <row r="9" spans="1:10">
      <c r="G9" s="87"/>
      <c r="H9" s="77">
        <f t="shared" si="0"/>
        <v>-120979.33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-120979.33</v>
      </c>
    </row>
    <row r="11" spans="1:10">
      <c r="B11" s="89" t="s">
        <v>1602</v>
      </c>
      <c r="C11" s="89"/>
      <c r="D11" s="90"/>
      <c r="E11" s="90">
        <v>-17500</v>
      </c>
      <c r="H11" s="77">
        <f t="shared" si="0"/>
        <v>-120979.33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-120979.33</v>
      </c>
    </row>
    <row r="13" spans="1:10">
      <c r="A13" s="88"/>
      <c r="B13" s="92"/>
      <c r="C13" s="92"/>
      <c r="D13" s="90"/>
      <c r="E13" s="90"/>
      <c r="H13" s="77">
        <f t="shared" si="0"/>
        <v>-120979.33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-120979.33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-120979.33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-120979.33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-120979.33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-120979.33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-120979.33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-120979.33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-120979.33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-120979.33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-120979.33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-120979.33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-120979.33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-120979.33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-120979.33</v>
      </c>
    </row>
    <row r="28" spans="1:13" s="78" customFormat="1">
      <c r="D28" s="77"/>
      <c r="E28" s="77"/>
      <c r="F28" s="77"/>
      <c r="G28" s="77"/>
      <c r="H28" s="77">
        <f t="shared" si="0"/>
        <v>-120979.33</v>
      </c>
    </row>
    <row r="29" spans="1:13">
      <c r="A29" s="100"/>
      <c r="B29" s="101" t="s">
        <v>100</v>
      </c>
      <c r="C29" s="101"/>
      <c r="H29" s="77">
        <f t="shared" si="0"/>
        <v>-120979.33</v>
      </c>
      <c r="I29" s="78"/>
      <c r="J29" s="78"/>
    </row>
    <row r="30" spans="1:13">
      <c r="A30" s="100"/>
      <c r="H30" s="77">
        <f t="shared" si="0"/>
        <v>-120979.33</v>
      </c>
    </row>
    <row r="31" spans="1:13">
      <c r="H31" s="77">
        <f t="shared" si="0"/>
        <v>-120979.33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-119989.55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B38" s="77" t="s">
        <v>1680</v>
      </c>
      <c r="E38" s="77">
        <v>-1023.05</v>
      </c>
      <c r="K38" s="78"/>
      <c r="L38" s="78"/>
      <c r="M38" s="78"/>
      <c r="N38" s="78"/>
    </row>
    <row r="39" spans="1:14" s="77" customFormat="1">
      <c r="A39" s="88"/>
      <c r="B39" s="90" t="s">
        <v>1680</v>
      </c>
      <c r="E39" s="77">
        <v>-118966.5</v>
      </c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88">
        <v>45715</v>
      </c>
      <c r="B53" s="90" t="s">
        <v>1645</v>
      </c>
      <c r="C53" s="90">
        <v>5938.68</v>
      </c>
      <c r="D53" s="90" t="s">
        <v>665</v>
      </c>
      <c r="E53" s="90">
        <v>-989.78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168"/>
  <sheetViews>
    <sheetView tabSelected="1" topLeftCell="A3" zoomScale="160" zoomScaleNormal="160" workbookViewId="0">
      <selection activeCell="E2" sqref="E2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3" t="s">
        <v>101</v>
      </c>
      <c r="C2" s="79" t="s">
        <v>67</v>
      </c>
      <c r="D2" s="77">
        <f>SUM(D4:D33)</f>
        <v>30000</v>
      </c>
      <c r="E2" s="77">
        <f>SUM(E4:E33)</f>
        <v>-79968.850000000006</v>
      </c>
      <c r="F2" s="77">
        <f>SUM(F4:F33)</f>
        <v>0</v>
      </c>
      <c r="G2" s="77">
        <f>SUM(G4:G33)</f>
        <v>-36002.019999999997</v>
      </c>
      <c r="H2" s="77">
        <f>F2+G2</f>
        <v>-36002.019999999997</v>
      </c>
    </row>
    <row r="3" spans="1:14">
      <c r="B3" s="18"/>
    </row>
    <row r="4" spans="1:14">
      <c r="B4" s="41"/>
      <c r="H4" s="77">
        <f t="shared" ref="H4:H31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8">
        <v>45718</v>
      </c>
      <c r="B6" s="458" t="s">
        <v>1683</v>
      </c>
      <c r="C6" s="393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8"/>
      <c r="B7" s="394" t="s">
        <v>72</v>
      </c>
      <c r="C7" s="393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8">
        <v>45721</v>
      </c>
      <c r="B8" s="392" t="s">
        <v>70</v>
      </c>
      <c r="C8" s="392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8">
        <v>45722</v>
      </c>
      <c r="B9" s="394" t="s">
        <v>69</v>
      </c>
      <c r="C9" s="393"/>
      <c r="D9" s="387"/>
      <c r="E9" s="387">
        <f>E61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8">
        <v>45723</v>
      </c>
      <c r="B10" s="394" t="s">
        <v>68</v>
      </c>
      <c r="C10" s="393"/>
      <c r="D10" s="387"/>
      <c r="E10" s="387">
        <f>E37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9">
        <v>45723</v>
      </c>
      <c r="B11" s="460" t="s">
        <v>107</v>
      </c>
      <c r="C11" s="460"/>
      <c r="D11" s="461">
        <v>15000</v>
      </c>
      <c r="E11" s="87"/>
      <c r="F11" s="87"/>
      <c r="G11" s="87"/>
      <c r="H11" s="87">
        <f t="shared" si="0"/>
        <v>-36002.019999999997</v>
      </c>
    </row>
    <row r="12" spans="1:14">
      <c r="A12" s="428">
        <v>45723</v>
      </c>
      <c r="B12" s="392" t="s">
        <v>1601</v>
      </c>
      <c r="C12" s="392"/>
      <c r="D12" s="387"/>
      <c r="E12" s="387">
        <v>-17500</v>
      </c>
      <c r="F12" s="87"/>
      <c r="G12" s="87"/>
      <c r="H12" s="87">
        <f t="shared" si="0"/>
        <v>-36002.019999999997</v>
      </c>
    </row>
    <row r="13" spans="1:14">
      <c r="H13" s="87">
        <f t="shared" si="0"/>
        <v>-36002.019999999997</v>
      </c>
    </row>
    <row r="14" spans="1:14" s="78" customFormat="1">
      <c r="A14" s="98"/>
      <c r="B14" s="3"/>
      <c r="C14" s="3"/>
      <c r="D14" s="77"/>
      <c r="E14" s="77"/>
      <c r="F14" s="77"/>
      <c r="G14" s="77"/>
      <c r="H14" s="87">
        <f t="shared" si="0"/>
        <v>-36002.019999999997</v>
      </c>
      <c r="I14"/>
      <c r="J14"/>
    </row>
    <row r="15" spans="1:14" s="78" customFormat="1">
      <c r="A15" s="98"/>
      <c r="B15" s="93" t="s">
        <v>73</v>
      </c>
      <c r="C15" s="93"/>
      <c r="D15" s="90"/>
      <c r="E15" s="90">
        <v>-1000</v>
      </c>
      <c r="F15" s="77"/>
      <c r="G15" s="77"/>
      <c r="H15" s="87">
        <f t="shared" si="0"/>
        <v>-36002.019999999997</v>
      </c>
    </row>
    <row r="16" spans="1:14" s="78" customFormat="1">
      <c r="A16" s="98"/>
      <c r="B16" s="93" t="s">
        <v>74</v>
      </c>
      <c r="C16" s="93"/>
      <c r="D16" s="90"/>
      <c r="E16" s="90">
        <v>-200</v>
      </c>
      <c r="F16" s="77"/>
      <c r="G16" s="77"/>
      <c r="H16" s="87">
        <f t="shared" si="0"/>
        <v>-36002.019999999997</v>
      </c>
    </row>
    <row r="17" spans="1:13" s="78" customFormat="1">
      <c r="A17" s="98"/>
      <c r="B17" s="89" t="s">
        <v>75</v>
      </c>
      <c r="C17" s="89"/>
      <c r="D17" s="90"/>
      <c r="E17" s="90">
        <v>-200</v>
      </c>
      <c r="F17" s="77"/>
      <c r="G17" s="77"/>
      <c r="H17" s="87">
        <f t="shared" si="0"/>
        <v>-36002.019999999997</v>
      </c>
    </row>
    <row r="18" spans="1:13" s="78" customFormat="1">
      <c r="A18" s="98"/>
      <c r="B18" s="92" t="s">
        <v>76</v>
      </c>
      <c r="C18" s="92"/>
      <c r="D18" s="90">
        <v>15000</v>
      </c>
      <c r="E18" s="90"/>
      <c r="F18" s="77"/>
      <c r="G18" s="77"/>
      <c r="H18" s="87">
        <f t="shared" si="0"/>
        <v>-36002.019999999997</v>
      </c>
      <c r="J18" s="94"/>
      <c r="K18" s="94"/>
      <c r="L18" s="95"/>
      <c r="M18" s="96"/>
    </row>
    <row r="19" spans="1:13" s="78" customFormat="1">
      <c r="A19" s="98"/>
      <c r="B19" s="92" t="s">
        <v>77</v>
      </c>
      <c r="C19" s="92"/>
      <c r="D19" s="90"/>
      <c r="E19" s="90">
        <v>-7500</v>
      </c>
      <c r="F19" s="77"/>
      <c r="G19" s="77"/>
      <c r="H19" s="87">
        <f t="shared" si="0"/>
        <v>-36002.019999999997</v>
      </c>
      <c r="J19" s="94"/>
      <c r="K19" s="94"/>
      <c r="L19" s="95"/>
      <c r="M19" s="96"/>
    </row>
    <row r="20" spans="1:13" s="78" customFormat="1">
      <c r="A20" s="98"/>
      <c r="B20" s="92" t="s">
        <v>78</v>
      </c>
      <c r="C20" s="92"/>
      <c r="D20" s="90"/>
      <c r="E20" s="90">
        <v>-7500</v>
      </c>
      <c r="F20" s="77"/>
      <c r="G20" s="77"/>
      <c r="H20" s="87">
        <f t="shared" si="0"/>
        <v>-36002.019999999997</v>
      </c>
      <c r="J20" s="94"/>
      <c r="K20" s="94"/>
      <c r="L20" s="95"/>
      <c r="M20" s="96"/>
    </row>
    <row r="21" spans="1:13" s="78" customFormat="1">
      <c r="A21" s="98"/>
      <c r="B21" s="92" t="s">
        <v>79</v>
      </c>
      <c r="C21" s="92"/>
      <c r="D21" s="90"/>
      <c r="E21" s="90">
        <v>-7500</v>
      </c>
      <c r="F21" s="77"/>
      <c r="G21" s="77"/>
      <c r="H21" s="87">
        <f t="shared" si="0"/>
        <v>-36002.019999999997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-36002.019999999997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-36002.019999999997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1605</v>
      </c>
      <c r="D24" s="77"/>
      <c r="E24" s="77">
        <v>-1380</v>
      </c>
      <c r="F24" s="77"/>
      <c r="G24" s="77"/>
      <c r="H24" s="77">
        <f t="shared" si="0"/>
        <v>-36002.019999999997</v>
      </c>
      <c r="J24" s="94"/>
      <c r="K24" s="94"/>
      <c r="L24" s="95"/>
      <c r="M24" s="96"/>
    </row>
    <row r="25" spans="1:13" s="78" customFormat="1">
      <c r="A25" s="98"/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-36002.019999999997</v>
      </c>
      <c r="J25" s="94"/>
      <c r="K25" s="94"/>
      <c r="L25" s="95"/>
      <c r="M25" s="96"/>
    </row>
    <row r="26" spans="1:13" s="78" customFormat="1">
      <c r="A26" s="98"/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-36002.019999999997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-36002.019999999997</v>
      </c>
    </row>
    <row r="28" spans="1:13" s="78" customFormat="1">
      <c r="A28" s="98"/>
      <c r="D28" s="77"/>
      <c r="E28" s="77"/>
      <c r="F28" s="77"/>
      <c r="G28" s="77"/>
      <c r="H28" s="77">
        <f t="shared" si="0"/>
        <v>-36002.019999999997</v>
      </c>
    </row>
    <row r="29" spans="1:13">
      <c r="B29" s="101" t="s">
        <v>103</v>
      </c>
      <c r="C29" s="101"/>
      <c r="H29" s="77">
        <f t="shared" si="0"/>
        <v>-36002.019999999997</v>
      </c>
      <c r="I29" s="78"/>
      <c r="J29" s="78"/>
    </row>
    <row r="30" spans="1:13">
      <c r="H30" s="77">
        <f t="shared" si="0"/>
        <v>-36002.019999999997</v>
      </c>
    </row>
    <row r="31" spans="1:13">
      <c r="H31" s="77">
        <f t="shared" si="0"/>
        <v>-36002.019999999997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9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A36" s="433"/>
      <c r="B36" s="102"/>
      <c r="K36" s="78"/>
      <c r="L36" s="78"/>
      <c r="M36" s="78"/>
      <c r="N36" s="78"/>
    </row>
    <row r="37" spans="1:14">
      <c r="A37" s="434"/>
      <c r="B37" s="104" t="s">
        <v>83</v>
      </c>
      <c r="C37" s="103"/>
      <c r="E37" s="77">
        <f>SUM(E38:E55)</f>
        <v>-19043.61</v>
      </c>
      <c r="I37" s="77"/>
      <c r="J37" s="77"/>
    </row>
    <row r="38" spans="1:14" s="77" customFormat="1">
      <c r="A38" s="98"/>
      <c r="B38"/>
      <c r="C38"/>
      <c r="I38"/>
      <c r="J38"/>
      <c r="K38" s="78"/>
      <c r="L38" s="78"/>
      <c r="M38" s="78"/>
      <c r="N38" s="78"/>
    </row>
    <row r="39" spans="1:14" s="77" customFormat="1">
      <c r="A39" s="98">
        <v>45715</v>
      </c>
      <c r="B39" s="90" t="s">
        <v>1645</v>
      </c>
      <c r="C39" s="90">
        <v>5938.7</v>
      </c>
      <c r="D39" s="90" t="s">
        <v>700</v>
      </c>
      <c r="E39" s="90">
        <v>-989.78</v>
      </c>
      <c r="F39" s="77">
        <v>0</v>
      </c>
      <c r="K39" s="78"/>
      <c r="L39" s="78"/>
      <c r="M39" s="78"/>
      <c r="N39" s="78"/>
    </row>
    <row r="40" spans="1:14" s="77" customFormat="1">
      <c r="A40" s="98">
        <v>45715</v>
      </c>
      <c r="B40" s="77" t="s">
        <v>1639</v>
      </c>
      <c r="E40" s="77">
        <v>-2820</v>
      </c>
      <c r="F40" s="77">
        <v>0</v>
      </c>
      <c r="K40" s="78"/>
      <c r="L40" s="78"/>
      <c r="M40" s="78"/>
      <c r="N40" s="78"/>
    </row>
    <row r="41" spans="1:14" s="77" customFormat="1">
      <c r="A41" s="98">
        <v>45715</v>
      </c>
      <c r="B41" s="77" t="s">
        <v>1641</v>
      </c>
      <c r="E41" s="77">
        <v>-3196.34</v>
      </c>
      <c r="F41" s="77">
        <v>0</v>
      </c>
      <c r="K41" s="78"/>
      <c r="L41" s="78"/>
      <c r="M41" s="78"/>
      <c r="N41" s="78"/>
    </row>
    <row r="42" spans="1:14">
      <c r="A42" s="98">
        <v>45715</v>
      </c>
      <c r="B42" s="90" t="s">
        <v>1640</v>
      </c>
      <c r="C42" s="77"/>
      <c r="E42" s="77">
        <v>-467.95</v>
      </c>
      <c r="F42" s="77">
        <v>0</v>
      </c>
      <c r="I42" s="77"/>
      <c r="J42" s="77"/>
    </row>
    <row r="43" spans="1:14" s="77" customFormat="1">
      <c r="A43" s="98">
        <v>45715</v>
      </c>
      <c r="B43" s="90" t="s">
        <v>1643</v>
      </c>
      <c r="C43"/>
      <c r="I43"/>
      <c r="J43"/>
      <c r="K43" s="78"/>
      <c r="L43" s="78"/>
      <c r="M43" s="78"/>
      <c r="N43" s="78"/>
    </row>
    <row r="44" spans="1:14" s="77" customFormat="1">
      <c r="A44" s="98"/>
      <c r="B44" s="106"/>
      <c r="C44" s="106"/>
      <c r="K44" s="78"/>
      <c r="L44" s="78"/>
      <c r="M44" s="78"/>
      <c r="N44" s="78"/>
    </row>
    <row r="45" spans="1:14" s="77" customFormat="1">
      <c r="A45" s="98">
        <v>45691</v>
      </c>
      <c r="B45" s="106" t="s">
        <v>1658</v>
      </c>
      <c r="C45" s="106"/>
      <c r="E45" s="77">
        <v>-1580</v>
      </c>
      <c r="F45" s="77">
        <v>0</v>
      </c>
      <c r="K45" s="78"/>
      <c r="L45" s="78"/>
      <c r="M45" s="78"/>
      <c r="N45" s="78"/>
    </row>
    <row r="46" spans="1:14" s="77" customFormat="1">
      <c r="A46" s="98">
        <v>45691</v>
      </c>
      <c r="B46" s="107" t="s">
        <v>1657</v>
      </c>
      <c r="C46" s="106"/>
      <c r="E46" s="77">
        <v>-1338</v>
      </c>
      <c r="F46" s="77">
        <v>0</v>
      </c>
      <c r="K46" s="78"/>
      <c r="L46" s="78"/>
      <c r="M46" s="78"/>
      <c r="N46" s="78"/>
    </row>
    <row r="47" spans="1:14" s="77" customFormat="1">
      <c r="A47" s="98">
        <v>45691</v>
      </c>
      <c r="B47" s="107" t="s">
        <v>1659</v>
      </c>
      <c r="C47" s="106"/>
      <c r="E47" s="77">
        <v>-1200</v>
      </c>
      <c r="F47" s="77">
        <v>0</v>
      </c>
      <c r="K47" s="78"/>
      <c r="L47" s="78"/>
      <c r="M47" s="78"/>
      <c r="N47" s="78"/>
    </row>
    <row r="48" spans="1:14" s="77" customFormat="1">
      <c r="A48" s="98">
        <v>45691</v>
      </c>
      <c r="B48" s="107" t="s">
        <v>1665</v>
      </c>
      <c r="E48" s="77">
        <v>-1300.54</v>
      </c>
      <c r="F48" s="77">
        <v>0</v>
      </c>
      <c r="K48" s="78"/>
      <c r="L48" s="78"/>
      <c r="M48" s="78"/>
      <c r="N48" s="78"/>
    </row>
    <row r="49" spans="1:14" s="77" customFormat="1">
      <c r="A49" s="98">
        <v>45689</v>
      </c>
      <c r="B49" s="107" t="s">
        <v>1660</v>
      </c>
      <c r="C49" s="106"/>
      <c r="E49" s="77">
        <v>-3720</v>
      </c>
      <c r="F49" s="77">
        <v>0</v>
      </c>
      <c r="K49" s="78"/>
      <c r="L49" s="78"/>
      <c r="M49" s="78"/>
      <c r="N49" s="78"/>
    </row>
    <row r="50" spans="1:14" s="77" customFormat="1">
      <c r="A50" s="98">
        <v>45699</v>
      </c>
      <c r="B50" s="3" t="s">
        <v>1673</v>
      </c>
      <c r="E50" s="77">
        <v>-2235</v>
      </c>
      <c r="F50" s="77">
        <v>0</v>
      </c>
      <c r="K50" s="78"/>
      <c r="L50" s="78"/>
      <c r="M50" s="78"/>
      <c r="N50" s="78"/>
    </row>
    <row r="51" spans="1:14" s="90" customFormat="1">
      <c r="A51" s="98">
        <v>45703</v>
      </c>
      <c r="B51" s="92" t="s">
        <v>1675</v>
      </c>
      <c r="E51" s="90">
        <v>-196</v>
      </c>
      <c r="F51" s="90">
        <v>0</v>
      </c>
      <c r="K51" s="78"/>
      <c r="L51" s="78"/>
      <c r="M51" s="78"/>
      <c r="N51" s="78"/>
    </row>
    <row r="52" spans="1:14" s="90" customFormat="1" ht="15">
      <c r="A52" s="98"/>
      <c r="B52" s="92"/>
      <c r="E52" s="105" t="s">
        <v>84</v>
      </c>
      <c r="K52" s="78"/>
      <c r="L52" s="78"/>
      <c r="M52" s="78"/>
      <c r="N52" s="78"/>
    </row>
    <row r="53" spans="1:14" s="90" customFormat="1">
      <c r="A53" s="98"/>
      <c r="B53" s="92"/>
      <c r="K53" s="78"/>
      <c r="L53" s="78"/>
      <c r="M53" s="78"/>
      <c r="N53" s="78"/>
    </row>
    <row r="54" spans="1:14" s="90" customFormat="1">
      <c r="A54" s="98"/>
      <c r="B54" s="92"/>
      <c r="K54" s="78"/>
      <c r="L54" s="78"/>
      <c r="M54" s="78"/>
      <c r="N54" s="78"/>
    </row>
    <row r="55" spans="1:14" s="90" customFormat="1">
      <c r="A55" s="98"/>
      <c r="B55" s="92"/>
      <c r="K55" s="78"/>
      <c r="L55" s="78"/>
      <c r="M55" s="78"/>
      <c r="N55" s="78"/>
    </row>
    <row r="56" spans="1:14" s="90" customFormat="1">
      <c r="A56" s="98"/>
      <c r="B56" s="92"/>
      <c r="K56" s="78"/>
      <c r="L56" s="78"/>
      <c r="M56" s="78"/>
      <c r="N56" s="78"/>
    </row>
    <row r="57" spans="1:14" s="90" customFormat="1">
      <c r="A57" s="98"/>
      <c r="B57" s="92"/>
      <c r="K57" s="78"/>
      <c r="L57" s="78"/>
      <c r="M57" s="78"/>
      <c r="N57" s="78"/>
    </row>
    <row r="58" spans="1:14" s="90" customFormat="1">
      <c r="A58" s="98"/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77" customFormat="1">
      <c r="A60" s="98"/>
      <c r="B60" s="106"/>
      <c r="C60" s="106"/>
      <c r="K60" s="78"/>
      <c r="L60" s="78"/>
      <c r="M60" s="78"/>
      <c r="N60" s="78"/>
    </row>
    <row r="61" spans="1:14" s="77" customFormat="1">
      <c r="A61" s="434"/>
      <c r="B61" s="104" t="s">
        <v>85</v>
      </c>
      <c r="C61" s="103"/>
      <c r="E61" s="77">
        <f>SUM(E62:E95)</f>
        <v>-14628.179999999997</v>
      </c>
      <c r="K61" s="78"/>
      <c r="L61" s="78"/>
      <c r="M61" s="78"/>
      <c r="N61" s="78"/>
    </row>
    <row r="62" spans="1:14" s="77" customFormat="1">
      <c r="A62" s="98"/>
      <c r="B62" s="106"/>
      <c r="C62" s="106"/>
      <c r="K62" s="78"/>
      <c r="L62" s="78"/>
      <c r="M62" s="78"/>
      <c r="N62" s="78"/>
    </row>
    <row r="63" spans="1:14" s="77" customFormat="1">
      <c r="A63" s="433"/>
      <c r="F63" s="90"/>
      <c r="K63" s="78"/>
      <c r="L63" s="78"/>
      <c r="M63" s="78"/>
      <c r="N63" s="78"/>
    </row>
    <row r="64" spans="1:14" s="90" customFormat="1">
      <c r="A64" s="433">
        <v>45692</v>
      </c>
      <c r="B64" s="90" t="s">
        <v>1670</v>
      </c>
      <c r="D64" s="90" t="s">
        <v>1048</v>
      </c>
      <c r="E64" s="90">
        <v>-600.13</v>
      </c>
      <c r="K64" s="78"/>
      <c r="L64" s="78"/>
      <c r="M64" s="78"/>
      <c r="N64" s="78"/>
    </row>
    <row r="65" spans="1:14" s="90" customFormat="1">
      <c r="A65" s="433">
        <v>45692</v>
      </c>
      <c r="B65" s="90" t="s">
        <v>1670</v>
      </c>
      <c r="D65" s="90" t="s">
        <v>1048</v>
      </c>
      <c r="E65" s="90">
        <v>-2500.3000000000002</v>
      </c>
      <c r="K65" s="78"/>
      <c r="L65" s="78"/>
      <c r="M65" s="78"/>
      <c r="N65" s="78"/>
    </row>
    <row r="66" spans="1:14" s="90" customFormat="1">
      <c r="A66" s="433"/>
      <c r="K66" s="78"/>
      <c r="L66" s="78"/>
      <c r="M66" s="78"/>
      <c r="N66" s="78"/>
    </row>
    <row r="67" spans="1:14" s="90" customFormat="1">
      <c r="A67" s="433"/>
      <c r="K67" s="78"/>
      <c r="L67" s="78"/>
      <c r="M67" s="78"/>
      <c r="N67" s="78"/>
    </row>
    <row r="68" spans="1:14" s="90" customFormat="1">
      <c r="A68" s="433"/>
      <c r="K68" s="78"/>
      <c r="L68" s="78"/>
      <c r="M68" s="78"/>
      <c r="N68" s="78"/>
    </row>
    <row r="69" spans="1:14" s="90" customFormat="1">
      <c r="A69" s="98">
        <v>45681</v>
      </c>
      <c r="B69" s="92" t="s">
        <v>1631</v>
      </c>
      <c r="C69" s="106"/>
      <c r="E69" s="90">
        <v>-1798</v>
      </c>
      <c r="F69" s="77"/>
      <c r="K69" s="78"/>
      <c r="L69" s="78"/>
      <c r="M69" s="78"/>
      <c r="N69" s="78"/>
    </row>
    <row r="70" spans="1:14" s="90" customFormat="1">
      <c r="A70" s="98"/>
      <c r="B70" s="92" t="s">
        <v>539</v>
      </c>
      <c r="C70" s="106"/>
      <c r="E70" s="90">
        <v>1.8</v>
      </c>
      <c r="K70" s="78"/>
      <c r="L70" s="78"/>
      <c r="M70" s="78"/>
      <c r="N70" s="78"/>
    </row>
    <row r="71" spans="1:14" s="90" customFormat="1">
      <c r="A71" s="98">
        <v>45681</v>
      </c>
      <c r="B71" s="92" t="s">
        <v>1632</v>
      </c>
      <c r="C71" s="106"/>
      <c r="E71" s="90">
        <v>-700</v>
      </c>
      <c r="K71" s="78"/>
      <c r="L71" s="78"/>
      <c r="M71" s="78"/>
      <c r="N71" s="78"/>
    </row>
    <row r="72" spans="1:14" s="90" customFormat="1">
      <c r="A72" s="98">
        <v>45681</v>
      </c>
      <c r="B72" s="92" t="s">
        <v>1630</v>
      </c>
      <c r="C72" s="106"/>
      <c r="E72" s="90">
        <v>-120</v>
      </c>
      <c r="K72" s="78"/>
      <c r="L72" s="78"/>
      <c r="M72" s="78"/>
      <c r="N72" s="78"/>
    </row>
    <row r="73" spans="1:14" s="90" customFormat="1">
      <c r="A73" s="98">
        <v>45682</v>
      </c>
      <c r="B73" s="92" t="s">
        <v>1620</v>
      </c>
      <c r="C73" s="106"/>
      <c r="E73" s="90">
        <v>-70</v>
      </c>
      <c r="K73" s="78"/>
      <c r="L73" s="78"/>
      <c r="M73" s="78"/>
      <c r="N73" s="78"/>
    </row>
    <row r="74" spans="1:14" s="90" customFormat="1">
      <c r="A74" s="98">
        <v>45682</v>
      </c>
      <c r="B74" s="92" t="s">
        <v>1633</v>
      </c>
      <c r="C74" s="106"/>
      <c r="E74" s="90">
        <v>-699.99</v>
      </c>
      <c r="K74" s="78"/>
      <c r="L74" s="78"/>
      <c r="M74" s="78"/>
      <c r="N74" s="78"/>
    </row>
    <row r="75" spans="1:14" s="90" customFormat="1">
      <c r="A75" s="98">
        <v>45684</v>
      </c>
      <c r="B75" s="92" t="s">
        <v>1620</v>
      </c>
      <c r="C75" s="106"/>
      <c r="E75" s="90">
        <v>-70</v>
      </c>
      <c r="K75" s="78"/>
      <c r="L75" s="78"/>
      <c r="M75" s="78"/>
      <c r="N75" s="78"/>
    </row>
    <row r="76" spans="1:14" s="90" customFormat="1">
      <c r="A76" s="98">
        <v>45686</v>
      </c>
      <c r="B76" s="90" t="s">
        <v>1668</v>
      </c>
      <c r="E76" s="90">
        <v>-3600</v>
      </c>
      <c r="K76" s="78"/>
      <c r="L76" s="78"/>
      <c r="M76" s="78"/>
      <c r="N76" s="78"/>
    </row>
    <row r="77" spans="1:14" s="90" customFormat="1">
      <c r="A77" s="98">
        <v>45691</v>
      </c>
      <c r="B77" s="3" t="s">
        <v>130</v>
      </c>
      <c r="C77" s="106">
        <v>18950.04</v>
      </c>
      <c r="K77" s="78"/>
      <c r="L77" s="78"/>
      <c r="M77" s="78"/>
      <c r="N77" s="78"/>
    </row>
    <row r="78" spans="1:14" s="90" customFormat="1">
      <c r="A78" s="98">
        <v>45691</v>
      </c>
      <c r="B78" s="92" t="s">
        <v>130</v>
      </c>
      <c r="C78" s="106">
        <v>10153.299999999999</v>
      </c>
      <c r="K78" s="78"/>
      <c r="L78" s="78"/>
      <c r="M78" s="78"/>
      <c r="N78" s="78"/>
    </row>
    <row r="79" spans="1:14" s="90" customFormat="1">
      <c r="A79" s="433">
        <v>45694</v>
      </c>
      <c r="B79" s="90" t="s">
        <v>1620</v>
      </c>
      <c r="E79" s="90">
        <v>-70</v>
      </c>
      <c r="K79" s="78"/>
      <c r="L79" s="78"/>
      <c r="M79" s="78"/>
      <c r="N79" s="78"/>
    </row>
    <row r="80" spans="1:14" s="90" customFormat="1">
      <c r="A80" s="433">
        <v>45695</v>
      </c>
      <c r="B80" s="90" t="s">
        <v>1669</v>
      </c>
      <c r="E80" s="90">
        <v>-200</v>
      </c>
      <c r="K80" s="78"/>
      <c r="L80" s="78"/>
      <c r="M80" s="78"/>
      <c r="N80" s="78"/>
    </row>
    <row r="81" spans="1:14" s="77" customFormat="1">
      <c r="A81" s="433">
        <v>45696</v>
      </c>
      <c r="B81" s="77" t="s">
        <v>1671</v>
      </c>
      <c r="E81" s="77">
        <v>-550</v>
      </c>
      <c r="K81" s="78"/>
      <c r="L81" s="78"/>
      <c r="M81" s="78"/>
      <c r="N81" s="78"/>
    </row>
    <row r="82" spans="1:14" s="77" customFormat="1">
      <c r="A82" s="433">
        <v>45697</v>
      </c>
      <c r="B82" s="77" t="s">
        <v>1672</v>
      </c>
      <c r="E82" s="77">
        <v>-329.97</v>
      </c>
      <c r="K82" s="78"/>
      <c r="L82" s="78"/>
      <c r="M82" s="78"/>
      <c r="N82" s="78"/>
    </row>
    <row r="83" spans="1:14" s="77" customFormat="1">
      <c r="A83" s="433">
        <v>45699</v>
      </c>
      <c r="B83" s="77" t="s">
        <v>1676</v>
      </c>
      <c r="E83" s="77">
        <v>-200</v>
      </c>
      <c r="K83" s="78"/>
      <c r="L83" s="78"/>
      <c r="M83" s="78"/>
      <c r="N83" s="78"/>
    </row>
    <row r="84" spans="1:14" s="77" customFormat="1">
      <c r="A84" s="433">
        <v>45700</v>
      </c>
      <c r="B84" s="77" t="s">
        <v>1620</v>
      </c>
      <c r="E84" s="77">
        <v>-70</v>
      </c>
      <c r="K84" s="78"/>
      <c r="L84" s="78"/>
      <c r="M84" s="78"/>
      <c r="N84" s="78"/>
    </row>
    <row r="85" spans="1:14" s="77" customFormat="1">
      <c r="A85" s="433">
        <v>45701</v>
      </c>
      <c r="B85" s="77" t="s">
        <v>1621</v>
      </c>
      <c r="E85" s="77">
        <v>-230</v>
      </c>
      <c r="K85" s="78"/>
      <c r="L85" s="78"/>
      <c r="M85" s="78"/>
      <c r="N85" s="78"/>
    </row>
    <row r="86" spans="1:14" s="77" customFormat="1">
      <c r="A86" s="433">
        <v>45702</v>
      </c>
      <c r="B86" s="77" t="s">
        <v>489</v>
      </c>
      <c r="E86" s="77">
        <v>-250</v>
      </c>
      <c r="K86" s="78"/>
      <c r="L86" s="78"/>
      <c r="M86" s="78"/>
      <c r="N86" s="78"/>
    </row>
    <row r="87" spans="1:14" s="77" customFormat="1">
      <c r="A87" s="433">
        <v>45703</v>
      </c>
      <c r="B87" s="77" t="s">
        <v>1677</v>
      </c>
      <c r="E87" s="77">
        <v>-210</v>
      </c>
      <c r="K87" s="78"/>
      <c r="L87" s="78"/>
      <c r="M87" s="78"/>
      <c r="N87" s="78"/>
    </row>
    <row r="88" spans="1:14" s="77" customFormat="1">
      <c r="A88" s="98">
        <v>45704</v>
      </c>
      <c r="B88" s="3" t="s">
        <v>128</v>
      </c>
      <c r="C88" s="106"/>
      <c r="E88" s="77">
        <v>-467.38</v>
      </c>
      <c r="K88" s="78"/>
      <c r="L88" s="78"/>
      <c r="M88" s="78"/>
      <c r="N88" s="78"/>
    </row>
    <row r="89" spans="1:14" s="90" customFormat="1">
      <c r="A89" s="98">
        <v>45705</v>
      </c>
      <c r="B89" s="92" t="s">
        <v>1678</v>
      </c>
      <c r="C89" s="106"/>
      <c r="E89" s="90">
        <v>-350</v>
      </c>
      <c r="K89" s="78"/>
      <c r="L89" s="78"/>
      <c r="M89" s="78"/>
      <c r="N89" s="78"/>
    </row>
    <row r="90" spans="1:14" s="90" customFormat="1">
      <c r="A90" s="98">
        <v>45704</v>
      </c>
      <c r="B90" s="92"/>
      <c r="C90" s="106"/>
      <c r="E90" s="90">
        <v>-33</v>
      </c>
      <c r="K90" s="78"/>
      <c r="L90" s="78"/>
      <c r="M90" s="78"/>
      <c r="N90" s="78"/>
    </row>
    <row r="91" spans="1:14" s="90" customFormat="1">
      <c r="A91" s="98">
        <v>45705</v>
      </c>
      <c r="B91" s="92" t="s">
        <v>415</v>
      </c>
      <c r="C91" s="106"/>
      <c r="E91" s="90">
        <v>-380</v>
      </c>
      <c r="K91" s="78"/>
      <c r="L91" s="78"/>
      <c r="M91" s="78"/>
      <c r="N91" s="78"/>
    </row>
    <row r="92" spans="1:14" s="90" customFormat="1">
      <c r="A92" s="98">
        <v>45706</v>
      </c>
      <c r="B92" s="92" t="s">
        <v>1620</v>
      </c>
      <c r="C92" s="106"/>
      <c r="E92" s="90">
        <v>-400</v>
      </c>
      <c r="K92" s="78"/>
      <c r="L92" s="78"/>
      <c r="M92" s="78"/>
      <c r="N92" s="78"/>
    </row>
    <row r="93" spans="1:14" s="90" customFormat="1">
      <c r="A93" s="98">
        <v>45706</v>
      </c>
      <c r="B93" s="92" t="s">
        <v>128</v>
      </c>
      <c r="C93" s="106"/>
      <c r="E93" s="90">
        <v>-215.21</v>
      </c>
      <c r="K93" s="78"/>
      <c r="L93" s="78"/>
      <c r="M93" s="78"/>
      <c r="N93" s="78"/>
    </row>
    <row r="94" spans="1:14" s="77" customFormat="1">
      <c r="A94" s="98">
        <v>45709</v>
      </c>
      <c r="B94" s="3" t="s">
        <v>1679</v>
      </c>
      <c r="C94" s="106"/>
      <c r="E94" s="77">
        <v>-120</v>
      </c>
      <c r="K94" s="78"/>
      <c r="L94" s="78"/>
      <c r="M94" s="78"/>
      <c r="N94" s="78"/>
    </row>
    <row r="95" spans="1:14" s="77" customFormat="1">
      <c r="A95" s="98">
        <v>45710</v>
      </c>
      <c r="B95" s="3" t="s">
        <v>128</v>
      </c>
      <c r="C95" s="106"/>
      <c r="E95" s="77">
        <v>-396</v>
      </c>
      <c r="K95" s="78"/>
      <c r="L95" s="78"/>
      <c r="M95" s="78"/>
      <c r="N95" s="78"/>
    </row>
    <row r="96" spans="1:14" s="77" customFormat="1" ht="15">
      <c r="A96" s="98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98"/>
      <c r="B97" s="3"/>
      <c r="C97" s="106"/>
      <c r="K97" s="78"/>
      <c r="L97" s="78"/>
      <c r="M97" s="78"/>
      <c r="N97" s="78"/>
    </row>
    <row r="98" spans="1:14" s="77" customFormat="1">
      <c r="A98" s="98"/>
      <c r="C98" s="106"/>
      <c r="K98" s="78"/>
      <c r="L98" s="78"/>
      <c r="M98" s="78"/>
      <c r="N98" s="78"/>
    </row>
    <row r="99" spans="1:14" s="77" customFormat="1">
      <c r="A99" s="98"/>
      <c r="B99" s="3"/>
      <c r="C99" s="106"/>
      <c r="K99" s="78"/>
      <c r="L99" s="78"/>
      <c r="M99" s="78"/>
      <c r="N99" s="78"/>
    </row>
    <row r="100" spans="1:14" s="77" customFormat="1">
      <c r="A100" s="98"/>
      <c r="B100" s="3"/>
      <c r="C100" s="106"/>
      <c r="K100" s="78"/>
      <c r="L100" s="78"/>
      <c r="M100" s="78"/>
      <c r="N100" s="78"/>
    </row>
    <row r="101" spans="1:14" s="77" customFormat="1">
      <c r="A101" s="98"/>
      <c r="B101" s="3"/>
      <c r="C101" s="106"/>
      <c r="K101" s="78"/>
      <c r="L101" s="78"/>
      <c r="M101" s="78"/>
      <c r="N101" s="78"/>
    </row>
    <row r="102" spans="1:14">
      <c r="B102" s="3"/>
      <c r="C102" s="106"/>
      <c r="I102" s="77"/>
      <c r="J102" s="77"/>
    </row>
    <row r="111" spans="1:14">
      <c r="A111" s="113" t="s">
        <v>1682</v>
      </c>
      <c r="B111" s="104" t="s">
        <v>137</v>
      </c>
      <c r="C111" s="103">
        <v>2025</v>
      </c>
      <c r="D111" s="90"/>
      <c r="E111" s="90"/>
      <c r="F111" s="90"/>
      <c r="G111" s="90">
        <f>SUM(G115:G143)</f>
        <v>1097621.0538949999</v>
      </c>
      <c r="H111" s="90"/>
      <c r="I111" s="90"/>
    </row>
    <row r="112" spans="1:14">
      <c r="A112" s="113"/>
      <c r="B112" s="104"/>
      <c r="C112" s="103"/>
      <c r="D112" s="90"/>
      <c r="E112" s="90"/>
      <c r="F112" s="90"/>
      <c r="G112" s="90"/>
      <c r="H112" s="90"/>
      <c r="I112" s="90"/>
    </row>
    <row r="113" spans="1:14">
      <c r="A113" s="113"/>
      <c r="B113" s="104"/>
      <c r="C113" s="103"/>
      <c r="D113" s="90"/>
      <c r="E113" s="90" t="s">
        <v>138</v>
      </c>
      <c r="F113" s="90"/>
      <c r="G113" s="90"/>
      <c r="H113" s="90"/>
      <c r="I113" s="90"/>
    </row>
    <row r="114" spans="1:14">
      <c r="A114" s="100"/>
      <c r="B114" s="90" t="s">
        <v>77</v>
      </c>
      <c r="C114" s="90"/>
      <c r="D114" s="90"/>
      <c r="E114" s="90"/>
      <c r="F114" s="90"/>
      <c r="G114" s="90">
        <v>0</v>
      </c>
      <c r="H114" s="90"/>
      <c r="I114" s="90"/>
    </row>
    <row r="115" spans="1:14">
      <c r="A115" s="100"/>
      <c r="B115" s="90" t="s">
        <v>78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>
        <v>45721</v>
      </c>
      <c r="B116" s="90" t="s">
        <v>139</v>
      </c>
      <c r="C116" s="90"/>
      <c r="D116" s="90"/>
      <c r="E116" s="90"/>
      <c r="F116" s="90"/>
      <c r="G116" s="90">
        <v>195330</v>
      </c>
      <c r="H116" s="90"/>
      <c r="I116" s="90"/>
    </row>
    <row r="117" spans="1:14">
      <c r="A117" s="100">
        <v>45721</v>
      </c>
      <c r="B117" s="90" t="s">
        <v>140</v>
      </c>
      <c r="C117" s="12"/>
      <c r="D117" s="12"/>
      <c r="E117" s="90"/>
      <c r="F117" s="90"/>
      <c r="G117" s="17">
        <v>18000</v>
      </c>
      <c r="H117" s="90"/>
      <c r="I117" s="90"/>
    </row>
    <row r="118" spans="1:14" s="11" customFormat="1">
      <c r="A118" s="100">
        <v>45721</v>
      </c>
      <c r="B118" s="90"/>
      <c r="C118" s="12"/>
      <c r="D118" s="12"/>
      <c r="E118" s="90"/>
      <c r="F118" s="90" t="s">
        <v>1689</v>
      </c>
      <c r="G118" s="17">
        <v>38850</v>
      </c>
      <c r="H118" s="90"/>
      <c r="I118" s="90"/>
      <c r="K118" s="78"/>
      <c r="L118" s="78"/>
      <c r="M118" s="78"/>
      <c r="N118" s="78"/>
    </row>
    <row r="119" spans="1:14">
      <c r="A119" s="100">
        <v>45721</v>
      </c>
      <c r="B119" s="90" t="s">
        <v>141</v>
      </c>
      <c r="C119" s="12"/>
      <c r="D119" s="12"/>
      <c r="E119" s="90"/>
      <c r="F119" s="90"/>
      <c r="G119" s="17">
        <v>15000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:E126" si="1">D121*C121</f>
        <v>43613.183249999995</v>
      </c>
      <c r="F121" s="405">
        <v>929.84559100000001</v>
      </c>
      <c r="G121" s="17">
        <f t="shared" ref="G121:G126" si="2">F121*C121</f>
        <v>46492.279549999999</v>
      </c>
      <c r="H121" s="90"/>
      <c r="I121" s="90">
        <f t="shared" ref="I121:I126" si="3">G121-E121</f>
        <v>2879.0963000000047</v>
      </c>
      <c r="M121" s="447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si="1"/>
        <v>48270.975115000001</v>
      </c>
      <c r="F122" s="405">
        <f>F121</f>
        <v>929.84559100000001</v>
      </c>
      <c r="G122" s="17">
        <f t="shared" si="2"/>
        <v>51141.507505000001</v>
      </c>
      <c r="H122" s="90"/>
      <c r="I122" s="90">
        <f t="shared" si="3"/>
        <v>2870.5323900000003</v>
      </c>
    </row>
    <row r="123" spans="1:14">
      <c r="A123" s="448">
        <v>45680</v>
      </c>
      <c r="B123" s="449" t="s">
        <v>1610</v>
      </c>
      <c r="C123" s="450"/>
      <c r="D123" s="451">
        <v>305</v>
      </c>
      <c r="E123" s="452">
        <f>D123*C123</f>
        <v>0</v>
      </c>
      <c r="F123" s="418">
        <v>323.75</v>
      </c>
      <c r="G123" s="453">
        <f>F123*C123</f>
        <v>0</v>
      </c>
      <c r="H123" s="418"/>
      <c r="I123" s="418">
        <f>G123-E123</f>
        <v>0</v>
      </c>
      <c r="J123" s="446"/>
      <c r="K123" s="100"/>
      <c r="M123" s="446"/>
    </row>
    <row r="124" spans="1:14" s="11" customFormat="1">
      <c r="A124" s="448">
        <v>45721</v>
      </c>
      <c r="B124" s="449" t="s">
        <v>1610</v>
      </c>
      <c r="C124" s="450"/>
      <c r="D124" s="451"/>
      <c r="E124" s="452"/>
      <c r="F124" s="418"/>
      <c r="G124" s="453"/>
      <c r="H124" s="418"/>
      <c r="I124" s="418">
        <v>-81.59</v>
      </c>
      <c r="J124" s="78"/>
      <c r="K124" s="446"/>
      <c r="L124" s="78"/>
      <c r="M124" s="446"/>
      <c r="N124" s="78"/>
    </row>
    <row r="125" spans="1:14">
      <c r="A125" s="100">
        <v>45620</v>
      </c>
      <c r="B125" s="82" t="s">
        <v>1612</v>
      </c>
      <c r="C125" s="114">
        <v>4000</v>
      </c>
      <c r="D125" s="114">
        <v>32.549999999999997</v>
      </c>
      <c r="E125" s="116">
        <f t="shared" si="1"/>
        <v>130199.99999999999</v>
      </c>
      <c r="F125" s="90">
        <v>36.369999999999997</v>
      </c>
      <c r="G125" s="17">
        <f t="shared" si="2"/>
        <v>145480</v>
      </c>
      <c r="H125" s="90"/>
      <c r="I125" s="90">
        <f t="shared" si="3"/>
        <v>15280.000000000015</v>
      </c>
    </row>
    <row r="126" spans="1:14" ht="13.5" thickBot="1">
      <c r="A126" s="100">
        <v>45659</v>
      </c>
      <c r="B126" s="82" t="s">
        <v>1611</v>
      </c>
      <c r="C126" s="114">
        <v>4000</v>
      </c>
      <c r="D126" s="115">
        <v>30.86</v>
      </c>
      <c r="E126" s="116">
        <f t="shared" si="1"/>
        <v>123440</v>
      </c>
      <c r="F126" s="90">
        <f>F125</f>
        <v>36.369999999999997</v>
      </c>
      <c r="G126" s="17">
        <f t="shared" si="2"/>
        <v>145480</v>
      </c>
      <c r="H126" s="420">
        <f>SUM(G121:G126)</f>
        <v>388593.78705499996</v>
      </c>
      <c r="I126" s="90">
        <f t="shared" si="3"/>
        <v>22040</v>
      </c>
    </row>
    <row r="127" spans="1:14" ht="13.5" thickBot="1">
      <c r="A127" s="100"/>
      <c r="B127" s="90"/>
      <c r="C127" s="12"/>
      <c r="D127" s="12"/>
      <c r="E127" s="90">
        <f>SUM(E121:E126)</f>
        <v>345524.15836499998</v>
      </c>
      <c r="F127" s="90"/>
      <c r="G127" s="17"/>
      <c r="H127" s="117">
        <f>(SUM(G121:G126))-(SUM(E121:E126))</f>
        <v>43069.628689999983</v>
      </c>
      <c r="I127" s="117">
        <f>SUM(I121:I126)</f>
        <v>42988.038690000016</v>
      </c>
    </row>
    <row r="128" spans="1:14">
      <c r="A128" s="100"/>
      <c r="B128" s="90"/>
      <c r="C128" s="12"/>
      <c r="D128" s="12"/>
      <c r="E128" s="90"/>
      <c r="F128" s="90"/>
      <c r="G128" s="90"/>
      <c r="H128" s="90"/>
      <c r="I128" s="90"/>
    </row>
    <row r="129" spans="1:9">
      <c r="A129" s="100">
        <v>45345</v>
      </c>
      <c r="B129" s="82" t="s">
        <v>144</v>
      </c>
      <c r="C129" s="118">
        <v>125000</v>
      </c>
      <c r="D129" s="83">
        <v>1.0399430000000001</v>
      </c>
      <c r="E129" s="116">
        <f>D129*C129</f>
        <v>129992.87500000001</v>
      </c>
      <c r="F129" s="119">
        <v>0.76836099999999996</v>
      </c>
      <c r="G129" s="17">
        <f>F129*C129</f>
        <v>96045.125</v>
      </c>
      <c r="H129" s="90"/>
      <c r="I129" s="90">
        <f t="shared" ref="I129:I133" si="4">G129-E129</f>
        <v>-33947.750000000015</v>
      </c>
    </row>
    <row r="130" spans="1:9">
      <c r="A130" s="100">
        <v>45667</v>
      </c>
      <c r="B130" s="82" t="s">
        <v>1614</v>
      </c>
      <c r="C130" s="118">
        <v>240</v>
      </c>
      <c r="D130" s="83">
        <v>872.26366499999995</v>
      </c>
      <c r="E130" s="116">
        <f>D130*C130</f>
        <v>209343.27959999998</v>
      </c>
      <c r="F130" s="404">
        <f>F122</f>
        <v>929.84559100000001</v>
      </c>
      <c r="G130" s="17">
        <f>F130*C130</f>
        <v>223162.94184000001</v>
      </c>
      <c r="H130" s="90"/>
      <c r="I130" s="90">
        <f t="shared" si="4"/>
        <v>13819.662240000034</v>
      </c>
    </row>
    <row r="131" spans="1:9">
      <c r="A131" s="100">
        <v>45400</v>
      </c>
      <c r="B131" s="82" t="s">
        <v>145</v>
      </c>
      <c r="C131" s="114">
        <v>10</v>
      </c>
      <c r="D131" s="83">
        <v>135</v>
      </c>
      <c r="E131" s="116">
        <f>D131*C131</f>
        <v>1350</v>
      </c>
      <c r="F131" s="90">
        <v>112.6</v>
      </c>
      <c r="G131" s="17">
        <f>F131*C131</f>
        <v>1126</v>
      </c>
      <c r="H131" s="90"/>
      <c r="I131" s="90">
        <f t="shared" si="4"/>
        <v>-224</v>
      </c>
    </row>
    <row r="132" spans="1:9">
      <c r="A132" s="100">
        <v>45418</v>
      </c>
      <c r="B132" s="82" t="s">
        <v>146</v>
      </c>
      <c r="C132" s="114">
        <v>38</v>
      </c>
      <c r="D132" s="83">
        <v>30.5</v>
      </c>
      <c r="E132" s="116">
        <f>D132*C132</f>
        <v>1159</v>
      </c>
      <c r="F132" s="90">
        <v>16.899999999999999</v>
      </c>
      <c r="G132" s="17">
        <f>F132*C132</f>
        <v>642.19999999999993</v>
      </c>
      <c r="H132" s="90"/>
      <c r="I132" s="90">
        <f t="shared" si="4"/>
        <v>-516.80000000000007</v>
      </c>
    </row>
    <row r="133" spans="1:9" ht="13.5" thickBot="1">
      <c r="A133" s="100">
        <v>45418</v>
      </c>
      <c r="B133" s="82" t="s">
        <v>147</v>
      </c>
      <c r="C133" s="114">
        <v>26</v>
      </c>
      <c r="D133" s="83">
        <v>37.115000000000002</v>
      </c>
      <c r="E133" s="116">
        <f>D133*C133</f>
        <v>964.99</v>
      </c>
      <c r="F133" s="90">
        <v>23.5</v>
      </c>
      <c r="G133" s="17">
        <f>F133*C133</f>
        <v>611</v>
      </c>
      <c r="H133" s="420">
        <f>SUM(G129:G133)</f>
        <v>321587.26684</v>
      </c>
      <c r="I133" s="90">
        <f t="shared" si="4"/>
        <v>-353.99</v>
      </c>
    </row>
    <row r="134" spans="1:9" ht="13.5" thickBot="1">
      <c r="A134" s="100"/>
      <c r="B134" s="90"/>
      <c r="C134" s="12"/>
      <c r="D134" s="12"/>
      <c r="E134" s="90">
        <f>SUM(E129:E133)</f>
        <v>342810.1446</v>
      </c>
      <c r="F134" s="90"/>
      <c r="G134" s="90"/>
      <c r="H134" s="117">
        <f>(SUM(G129:G133))-(SUM(E129:E133))</f>
        <v>-21222.877760000003</v>
      </c>
      <c r="I134" s="90"/>
    </row>
    <row r="135" spans="1:9">
      <c r="A135" s="100"/>
      <c r="B135" s="90"/>
      <c r="C135" s="90"/>
      <c r="D135" s="90"/>
      <c r="E135" s="17"/>
      <c r="F135" s="90"/>
      <c r="G135" s="90"/>
      <c r="H135" s="90"/>
      <c r="I135" s="90"/>
    </row>
    <row r="136" spans="1:9">
      <c r="A136" s="100">
        <v>45509</v>
      </c>
      <c r="B136" s="82" t="s">
        <v>148</v>
      </c>
      <c r="C136" s="114">
        <v>1</v>
      </c>
      <c r="D136" s="83">
        <v>2500</v>
      </c>
      <c r="E136" s="116">
        <f>D136*C136</f>
        <v>2500</v>
      </c>
      <c r="F136" s="90">
        <v>3350</v>
      </c>
      <c r="G136" s="17">
        <f>C136*F136</f>
        <v>3350</v>
      </c>
      <c r="H136" s="90"/>
      <c r="I136" s="90">
        <f t="shared" ref="I136:I138" si="5">G136-E136</f>
        <v>850</v>
      </c>
    </row>
    <row r="137" spans="1:9">
      <c r="A137" s="100">
        <v>45509</v>
      </c>
      <c r="B137" s="82" t="s">
        <v>149</v>
      </c>
      <c r="C137" s="114">
        <v>16</v>
      </c>
      <c r="D137" s="83">
        <v>4100</v>
      </c>
      <c r="E137" s="116">
        <f>D137*C137</f>
        <v>65600</v>
      </c>
      <c r="F137" s="90">
        <f>F136*1.73</f>
        <v>5795.5</v>
      </c>
      <c r="G137" s="17">
        <f>C137*F137</f>
        <v>92728</v>
      </c>
      <c r="H137" s="90"/>
      <c r="I137" s="90">
        <f t="shared" si="5"/>
        <v>27128</v>
      </c>
    </row>
    <row r="138" spans="1:9" ht="13.5" thickBot="1">
      <c r="A138" s="100">
        <v>45509</v>
      </c>
      <c r="B138" s="82" t="s">
        <v>150</v>
      </c>
      <c r="C138" s="114">
        <v>1</v>
      </c>
      <c r="D138" s="83">
        <v>16200</v>
      </c>
      <c r="E138" s="116">
        <f>D138*C138</f>
        <v>16200</v>
      </c>
      <c r="F138" s="90">
        <f>F137*4</f>
        <v>23182</v>
      </c>
      <c r="G138" s="17">
        <f>C138*F138</f>
        <v>23182</v>
      </c>
      <c r="H138" s="420">
        <f>SUM(G136:G138)</f>
        <v>119260</v>
      </c>
      <c r="I138" s="90">
        <f t="shared" si="5"/>
        <v>6982</v>
      </c>
    </row>
    <row r="139" spans="1:9" ht="13.5" thickBot="1">
      <c r="A139" s="100"/>
      <c r="B139" s="90"/>
      <c r="C139" s="12"/>
      <c r="D139" s="12"/>
      <c r="E139" s="90">
        <f>SUM(E136:E138)</f>
        <v>84300</v>
      </c>
      <c r="F139" s="90"/>
      <c r="G139" s="90"/>
      <c r="H139" s="117">
        <f>(SUM(G136:G138))-(SUM(E136:E138))</f>
        <v>34960</v>
      </c>
      <c r="I139" s="90"/>
    </row>
    <row r="140" spans="1:9">
      <c r="A140" s="100"/>
      <c r="B140" s="90" t="s">
        <v>151</v>
      </c>
      <c r="C140" s="120">
        <v>33.250599999999999</v>
      </c>
      <c r="D140" s="12"/>
      <c r="E140" s="90"/>
      <c r="F140" s="90"/>
      <c r="G140" s="17"/>
      <c r="H140" s="90"/>
      <c r="I140" s="90"/>
    </row>
    <row r="141" spans="1:9">
      <c r="A141" s="100"/>
      <c r="B141" s="90" t="s">
        <v>152</v>
      </c>
      <c r="C141" s="120">
        <v>36.854999999999997</v>
      </c>
      <c r="D141" s="12"/>
      <c r="E141" s="90"/>
      <c r="F141" s="90"/>
      <c r="G141" s="17"/>
      <c r="H141" s="90"/>
      <c r="I141" s="90"/>
    </row>
    <row r="142" spans="1:9">
      <c r="A142" s="100"/>
      <c r="B142" s="90" t="s">
        <v>153</v>
      </c>
      <c r="C142" s="12"/>
      <c r="D142" s="12"/>
      <c r="E142" s="90"/>
      <c r="F142" s="90"/>
      <c r="G142" s="17">
        <v>0</v>
      </c>
      <c r="H142" s="90"/>
      <c r="I142" s="90"/>
    </row>
    <row r="143" spans="1:9" ht="13.5" thickBot="1">
      <c r="A143" s="100"/>
      <c r="B143" s="90" t="s">
        <v>154</v>
      </c>
      <c r="C143" s="12"/>
      <c r="D143" s="12"/>
      <c r="E143" s="90"/>
      <c r="F143" s="90"/>
      <c r="G143" s="17">
        <v>1000</v>
      </c>
      <c r="H143" s="90"/>
      <c r="I143" s="90"/>
    </row>
    <row r="144" spans="1:9" ht="13.5" thickBot="1">
      <c r="A144" s="100"/>
      <c r="B144" s="90"/>
      <c r="C144" s="90"/>
      <c r="D144" s="90"/>
      <c r="E144" s="121"/>
      <c r="F144" s="122"/>
      <c r="G144" s="123" t="s">
        <v>155</v>
      </c>
      <c r="H144" s="432">
        <f>H139+H134+H127</f>
        <v>56806.75092999998</v>
      </c>
      <c r="I144" s="90"/>
    </row>
    <row r="145" spans="1:13">
      <c r="A145" s="100"/>
      <c r="B145" s="90"/>
      <c r="C145" s="124"/>
      <c r="D145" s="92"/>
      <c r="E145" s="90"/>
      <c r="F145" s="90"/>
      <c r="G145" s="124"/>
      <c r="H145" s="90"/>
      <c r="I145" s="90"/>
    </row>
    <row r="146" spans="1:13">
      <c r="A146" s="100"/>
      <c r="B146" s="90"/>
      <c r="C146" s="124"/>
      <c r="D146" s="18" t="s">
        <v>156</v>
      </c>
      <c r="E146" s="90"/>
      <c r="F146" s="90"/>
      <c r="G146" s="9">
        <f>SUM(G115:G143)</f>
        <v>1097621.0538949999</v>
      </c>
      <c r="H146" s="90"/>
      <c r="I146" s="90"/>
    </row>
    <row r="147" spans="1:13">
      <c r="A147" s="100"/>
      <c r="B147" s="90"/>
      <c r="C147" s="126" t="str">
        <f>A111</f>
        <v>NİSAN 2025 e</v>
      </c>
      <c r="D147" s="126" t="s">
        <v>157</v>
      </c>
      <c r="E147" s="90"/>
      <c r="F147" s="90"/>
      <c r="G147" s="127"/>
      <c r="H147" s="90"/>
      <c r="I147" s="90"/>
    </row>
    <row r="148" spans="1:13">
      <c r="A148" s="100"/>
      <c r="B148" s="90"/>
      <c r="C148" s="125"/>
      <c r="D148" s="126"/>
      <c r="E148" s="90"/>
      <c r="F148" s="90"/>
      <c r="G148" s="127"/>
      <c r="H148" s="90"/>
      <c r="I148" s="90"/>
    </row>
    <row r="149" spans="1:13">
      <c r="A149" s="100"/>
      <c r="B149" s="90"/>
      <c r="C149" s="125"/>
      <c r="D149" s="126"/>
      <c r="E149" s="90"/>
      <c r="F149" s="90"/>
      <c r="G149" s="127"/>
      <c r="H149" s="90"/>
      <c r="I149" s="90"/>
    </row>
    <row r="150" spans="1:13">
      <c r="A150" s="100"/>
      <c r="B150" s="90"/>
      <c r="C150" s="125"/>
      <c r="D150" s="126"/>
      <c r="E150" s="90"/>
      <c r="F150" s="90"/>
      <c r="G150" s="127"/>
      <c r="H150" s="90"/>
      <c r="I150" s="90"/>
    </row>
    <row r="151" spans="1:13">
      <c r="A151" s="90"/>
      <c r="B151" s="90"/>
      <c r="C151" s="90"/>
      <c r="D151" s="90"/>
      <c r="E151" s="90"/>
      <c r="F151" s="90"/>
      <c r="G151" s="90"/>
      <c r="H151" s="90"/>
      <c r="I151" s="90" t="s">
        <v>1684</v>
      </c>
      <c r="J151" t="s">
        <v>1684</v>
      </c>
      <c r="K151" s="78" t="s">
        <v>1685</v>
      </c>
      <c r="L151" s="78" t="s">
        <v>1686</v>
      </c>
      <c r="M151" s="78" t="s">
        <v>1687</v>
      </c>
    </row>
    <row r="152" spans="1:13">
      <c r="A152" s="100">
        <v>45680</v>
      </c>
      <c r="B152" s="82" t="s">
        <v>1690</v>
      </c>
      <c r="C152" s="114">
        <v>120</v>
      </c>
      <c r="D152" s="115">
        <v>305</v>
      </c>
      <c r="E152" s="116">
        <f>D152*C152</f>
        <v>36600</v>
      </c>
      <c r="F152" s="90">
        <v>323.75</v>
      </c>
      <c r="G152" s="17">
        <f>F152*C152</f>
        <v>38850</v>
      </c>
      <c r="H152" s="90"/>
      <c r="I152" s="90">
        <f>G152-E152</f>
        <v>2250</v>
      </c>
      <c r="J152" s="446">
        <f>(I152-I153)/E152</f>
        <v>6.3704644808743174E-2</v>
      </c>
      <c r="K152" s="100">
        <v>45721</v>
      </c>
      <c r="L152" s="78">
        <f>K152-A152</f>
        <v>41</v>
      </c>
      <c r="M152" s="446">
        <f>J152/L152*30</f>
        <v>4.6613154738104762E-2</v>
      </c>
    </row>
    <row r="153" spans="1:13">
      <c r="A153" s="100">
        <v>45721</v>
      </c>
      <c r="B153" s="82" t="s">
        <v>1610</v>
      </c>
      <c r="C153" s="114"/>
      <c r="D153" s="115"/>
      <c r="E153" s="116"/>
      <c r="F153" s="90"/>
      <c r="G153" s="17"/>
      <c r="H153" s="90"/>
      <c r="I153" s="90">
        <v>-81.59</v>
      </c>
      <c r="J153" s="78">
        <f>I152-I153</f>
        <v>2331.59</v>
      </c>
      <c r="K153" s="446" t="s">
        <v>1688</v>
      </c>
      <c r="M153" s="446"/>
    </row>
    <row r="154" spans="1:13">
      <c r="A154" s="448">
        <v>45680</v>
      </c>
      <c r="B154" s="449" t="s">
        <v>1613</v>
      </c>
      <c r="C154" s="450"/>
      <c r="D154" s="451"/>
      <c r="E154" s="452">
        <v>299.37</v>
      </c>
      <c r="F154" s="418"/>
      <c r="G154" s="453"/>
      <c r="H154" s="418"/>
      <c r="I154" s="418"/>
    </row>
    <row r="155" spans="1:13">
      <c r="A155" s="448">
        <v>45691</v>
      </c>
      <c r="B155" s="449" t="s">
        <v>1653</v>
      </c>
      <c r="C155" s="450"/>
      <c r="D155" s="451">
        <v>872.26366499999995</v>
      </c>
      <c r="E155" s="452">
        <f>D155*C155</f>
        <v>0</v>
      </c>
      <c r="F155" s="454">
        <f>F161</f>
        <v>907.06739800000003</v>
      </c>
      <c r="G155" s="453">
        <f>F155*C155</f>
        <v>0</v>
      </c>
      <c r="H155" s="418"/>
      <c r="I155" s="418">
        <f>G155-E155</f>
        <v>0</v>
      </c>
    </row>
    <row r="156" spans="1:13">
      <c r="A156" s="448">
        <v>45680</v>
      </c>
      <c r="B156" s="449" t="s">
        <v>142</v>
      </c>
      <c r="C156" s="450"/>
      <c r="D156" s="451">
        <v>872.26366499999995</v>
      </c>
      <c r="E156" s="452">
        <f>D156*C156</f>
        <v>0</v>
      </c>
      <c r="F156" s="418">
        <v>899.26057400000002</v>
      </c>
      <c r="G156" s="453">
        <f>F156*C156</f>
        <v>0</v>
      </c>
      <c r="H156" s="418"/>
      <c r="I156" s="418">
        <f>E156-G156</f>
        <v>0</v>
      </c>
    </row>
    <row r="157" spans="1:13">
      <c r="A157" s="448">
        <v>45680</v>
      </c>
      <c r="B157" s="449" t="s">
        <v>1613</v>
      </c>
      <c r="C157" s="450"/>
      <c r="D157" s="451"/>
      <c r="E157" s="452"/>
      <c r="F157" s="418"/>
      <c r="G157" s="453"/>
      <c r="H157" s="418"/>
      <c r="I157" s="418"/>
    </row>
    <row r="158" spans="1:13">
      <c r="A158" s="448">
        <v>45692</v>
      </c>
      <c r="B158" s="449" t="s">
        <v>1653</v>
      </c>
      <c r="C158" s="450"/>
      <c r="D158" s="451">
        <v>872.26366499999995</v>
      </c>
      <c r="E158" s="452">
        <f>D158*C158</f>
        <v>0</v>
      </c>
      <c r="F158" s="454">
        <v>900.29758900000002</v>
      </c>
      <c r="G158" s="453">
        <f>F158*C158</f>
        <v>0</v>
      </c>
      <c r="H158" s="418"/>
      <c r="I158" s="418">
        <f>G158-E158</f>
        <v>0</v>
      </c>
    </row>
    <row r="159" spans="1:13">
      <c r="A159" s="448">
        <v>45692</v>
      </c>
      <c r="B159" s="449"/>
      <c r="C159" s="450"/>
      <c r="D159" s="451">
        <v>872.26366499999995</v>
      </c>
      <c r="E159" s="452">
        <f t="shared" ref="E159" si="6">D159*C159</f>
        <v>0</v>
      </c>
      <c r="F159" s="454">
        <v>900.29758900000002</v>
      </c>
      <c r="G159" s="453">
        <f t="shared" ref="G159" si="7">F159*C159</f>
        <v>0</v>
      </c>
      <c r="H159" s="418"/>
      <c r="I159" s="418">
        <f>E159-G159</f>
        <v>0</v>
      </c>
    </row>
    <row r="160" spans="1:13">
      <c r="A160" s="448">
        <v>45680</v>
      </c>
      <c r="B160" s="449" t="s">
        <v>1613</v>
      </c>
      <c r="C160" s="450"/>
      <c r="D160" s="451"/>
      <c r="E160" s="452"/>
      <c r="F160" s="418"/>
      <c r="G160" s="453"/>
      <c r="H160" s="418"/>
      <c r="I160" s="418"/>
    </row>
    <row r="161" spans="1:9">
      <c r="A161" s="448">
        <v>45699</v>
      </c>
      <c r="B161" s="449" t="s">
        <v>1667</v>
      </c>
      <c r="C161" s="450"/>
      <c r="D161" s="451">
        <v>872.26366499999995</v>
      </c>
      <c r="E161" s="452">
        <f>D161*C161</f>
        <v>0</v>
      </c>
      <c r="F161" s="454">
        <v>907.06739800000003</v>
      </c>
      <c r="G161" s="453">
        <f>F161*C161</f>
        <v>0</v>
      </c>
      <c r="H161" s="418"/>
      <c r="I161" s="418">
        <f>G161-E161</f>
        <v>0</v>
      </c>
    </row>
    <row r="162" spans="1:9">
      <c r="A162" s="448">
        <v>45692</v>
      </c>
      <c r="B162" s="449"/>
      <c r="C162" s="450"/>
      <c r="D162" s="451">
        <v>872.26366499999995</v>
      </c>
      <c r="E162" s="452">
        <f t="shared" ref="E162" si="8">D162*C162</f>
        <v>0</v>
      </c>
      <c r="F162" s="454">
        <v>907.06739800000003</v>
      </c>
      <c r="G162" s="453">
        <f t="shared" ref="G162" si="9">F162*C162</f>
        <v>0</v>
      </c>
      <c r="H162" s="418"/>
      <c r="I162" s="418">
        <f>E162-G162</f>
        <v>0</v>
      </c>
    </row>
    <row r="163" spans="1:9">
      <c r="A163" s="448">
        <v>45699</v>
      </c>
      <c r="B163" s="449" t="s">
        <v>1613</v>
      </c>
      <c r="C163" s="450"/>
      <c r="D163" s="451"/>
      <c r="E163" s="452"/>
      <c r="F163" s="418"/>
      <c r="G163" s="453"/>
      <c r="H163" s="418"/>
      <c r="I163" s="418"/>
    </row>
    <row r="164" spans="1:9">
      <c r="A164" s="448"/>
      <c r="B164" s="449"/>
      <c r="C164" s="450"/>
      <c r="D164" s="451"/>
      <c r="E164" s="452"/>
      <c r="F164" s="418"/>
      <c r="G164" s="453"/>
      <c r="H164" s="418"/>
      <c r="I164" s="418"/>
    </row>
    <row r="165" spans="1:9">
      <c r="A165" s="448"/>
      <c r="B165" s="449"/>
      <c r="C165" s="450"/>
      <c r="D165" s="451"/>
      <c r="E165" s="452"/>
      <c r="F165" s="418"/>
      <c r="G165" s="453"/>
      <c r="H165" s="418"/>
      <c r="I165" s="418"/>
    </row>
    <row r="166" spans="1:9">
      <c r="A166" s="431"/>
      <c r="B166" s="431"/>
      <c r="C166" s="431"/>
      <c r="D166" s="418"/>
      <c r="E166" s="418"/>
      <c r="F166" s="418"/>
      <c r="G166" s="418"/>
      <c r="H166" s="418"/>
      <c r="I166" s="431"/>
    </row>
    <row r="167" spans="1:9">
      <c r="A167" s="431"/>
      <c r="B167" s="431"/>
      <c r="C167" s="431"/>
      <c r="D167" s="418"/>
      <c r="E167" s="418"/>
      <c r="F167" s="418"/>
      <c r="G167" s="418"/>
      <c r="H167" s="418"/>
      <c r="I167" s="455">
        <f>SUM(I152:I166)</f>
        <v>2168.41</v>
      </c>
    </row>
    <row r="168" spans="1:9">
      <c r="A168" s="11"/>
      <c r="B168" s="11"/>
      <c r="C168" s="11"/>
      <c r="D168" s="90"/>
      <c r="E168" s="90"/>
      <c r="F168" s="90"/>
      <c r="G168" s="90"/>
      <c r="H168" s="90"/>
      <c r="I168" s="11"/>
    </row>
  </sheetData>
  <conditionalFormatting sqref="F136:F138 F160 F157 F154">
    <cfRule type="cellIs" dxfId="37" priority="11" operator="lessThan">
      <formula>D136</formula>
    </cfRule>
  </conditionalFormatting>
  <conditionalFormatting sqref="F131:F133">
    <cfRule type="cellIs" dxfId="36" priority="12" operator="lessThan">
      <formula>D131</formula>
    </cfRule>
  </conditionalFormatting>
  <conditionalFormatting sqref="F126">
    <cfRule type="cellIs" dxfId="35" priority="13" operator="lessThan">
      <formula>D126</formula>
    </cfRule>
  </conditionalFormatting>
  <conditionalFormatting sqref="F125">
    <cfRule type="cellIs" dxfId="34" priority="14" operator="lessThan">
      <formula>D125</formula>
    </cfRule>
  </conditionalFormatting>
  <conditionalFormatting sqref="F161 F122">
    <cfRule type="cellIs" dxfId="33" priority="15" operator="lessThan">
      <formula>D122</formula>
    </cfRule>
  </conditionalFormatting>
  <conditionalFormatting sqref="F152:F153">
    <cfRule type="cellIs" dxfId="32" priority="10" operator="lessThan">
      <formula>D152</formula>
    </cfRule>
  </conditionalFormatting>
  <conditionalFormatting sqref="F164:F165">
    <cfRule type="cellIs" dxfId="31" priority="9" operator="lessThan">
      <formula>D164</formula>
    </cfRule>
  </conditionalFormatting>
  <conditionalFormatting sqref="F155">
    <cfRule type="cellIs" dxfId="30" priority="8" operator="lessThan">
      <formula>D155</formula>
    </cfRule>
  </conditionalFormatting>
  <conditionalFormatting sqref="F156">
    <cfRule type="cellIs" dxfId="29" priority="7" operator="lessThan">
      <formula>D156</formula>
    </cfRule>
  </conditionalFormatting>
  <conditionalFormatting sqref="F158">
    <cfRule type="cellIs" dxfId="28" priority="6" operator="lessThan">
      <formula>D158</formula>
    </cfRule>
  </conditionalFormatting>
  <conditionalFormatting sqref="F159">
    <cfRule type="cellIs" dxfId="27" priority="5" operator="lessThan">
      <formula>D159</formula>
    </cfRule>
  </conditionalFormatting>
  <conditionalFormatting sqref="F121">
    <cfRule type="cellIs" dxfId="26" priority="4" operator="lessThan">
      <formula>D121</formula>
    </cfRule>
  </conditionalFormatting>
  <conditionalFormatting sqref="F163">
    <cfRule type="cellIs" dxfId="25" priority="3" operator="lessThan">
      <formula>D163</formula>
    </cfRule>
  </conditionalFormatting>
  <conditionalFormatting sqref="F162">
    <cfRule type="cellIs" dxfId="24" priority="2" operator="lessThan">
      <formula>D162</formula>
    </cfRule>
  </conditionalFormatting>
  <conditionalFormatting sqref="F123:F124">
    <cfRule type="cellIs" dxfId="23" priority="1" operator="lessThan">
      <formula>D123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3" zoomScale="145" zoomScaleNormal="145" workbookViewId="0">
      <selection activeCell="B28" sqref="B28:D2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5">
        <v>45873</v>
      </c>
      <c r="B9" s="431" t="s">
        <v>1656</v>
      </c>
      <c r="C9" s="422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1">
        <v>45692</v>
      </c>
      <c r="B10" s="392" t="s">
        <v>70</v>
      </c>
      <c r="C10" s="392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1">
        <v>45699</v>
      </c>
      <c r="B11" s="392" t="s">
        <v>1600</v>
      </c>
      <c r="C11" s="392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1">
        <v>45699</v>
      </c>
      <c r="B12" s="392" t="s">
        <v>75</v>
      </c>
      <c r="C12" s="392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2"/>
      <c r="B13" s="435" t="s">
        <v>72</v>
      </c>
      <c r="C13" s="416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1">
        <v>45705</v>
      </c>
      <c r="B14" s="438" t="s">
        <v>114</v>
      </c>
      <c r="C14" s="438"/>
      <c r="D14" s="439">
        <v>15000</v>
      </c>
      <c r="E14" s="439"/>
      <c r="F14" s="439">
        <v>15000</v>
      </c>
      <c r="G14" s="87"/>
      <c r="H14" s="87">
        <f t="shared" si="0"/>
        <v>-52111.33</v>
      </c>
      <c r="I14"/>
      <c r="J14"/>
    </row>
    <row r="15" spans="1:14" s="78" customFormat="1">
      <c r="A15" s="391">
        <v>45705</v>
      </c>
      <c r="B15" s="411" t="s">
        <v>73</v>
      </c>
      <c r="C15" s="411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1">
        <v>45705</v>
      </c>
      <c r="B16" s="411" t="s">
        <v>74</v>
      </c>
      <c r="C16" s="411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1">
        <v>45709</v>
      </c>
      <c r="B17" s="436" t="s">
        <v>1674</v>
      </c>
      <c r="C17" s="436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2"/>
      <c r="B19" s="416" t="s">
        <v>76</v>
      </c>
      <c r="C19" s="416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5"/>
      <c r="B20" s="416" t="s">
        <v>77</v>
      </c>
      <c r="C20" s="416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5"/>
      <c r="B21" s="416" t="s">
        <v>78</v>
      </c>
      <c r="C21" s="416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5"/>
      <c r="B22" s="416" t="s">
        <v>79</v>
      </c>
      <c r="C22" s="416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5"/>
      <c r="B23" s="416"/>
      <c r="C23" s="416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3"/>
      <c r="B24" s="416"/>
      <c r="C24" s="416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4">
        <v>45716</v>
      </c>
      <c r="B25" s="416" t="s">
        <v>98</v>
      </c>
      <c r="C25" s="416" t="s">
        <v>1681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4">
        <v>45716</v>
      </c>
      <c r="B26" s="437" t="s">
        <v>80</v>
      </c>
      <c r="C26" s="437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4">
        <v>45716</v>
      </c>
      <c r="B27" s="437" t="s">
        <v>81</v>
      </c>
      <c r="C27" s="437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7" t="s">
        <v>107</v>
      </c>
      <c r="C28" s="417"/>
      <c r="D28" s="418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1662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1663</v>
      </c>
      <c r="H36" s="427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1664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1636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1635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1634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1616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1615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1618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1617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1619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128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1637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128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1620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130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1621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1620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1622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1623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1624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1625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1626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1627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1623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1629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1628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1615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1620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415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135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1621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128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1630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1651</v>
      </c>
      <c r="B112" s="104" t="s">
        <v>137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138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140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141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142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5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142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5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1610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1612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1611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20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148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149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150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20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144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145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146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147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20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151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152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153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154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155</v>
      </c>
      <c r="H143" s="444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156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157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41"/>
      <c r="D147" s="442"/>
      <c r="E147" s="406"/>
      <c r="F147" s="406"/>
      <c r="G147" s="410"/>
      <c r="H147" s="406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1614</v>
      </c>
      <c r="C148" s="118">
        <v>240</v>
      </c>
      <c r="D148" s="83">
        <v>872.26366499999995</v>
      </c>
      <c r="E148" s="116">
        <f>D148*C148</f>
        <v>209343.27959999998</v>
      </c>
      <c r="F148" s="404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/>
      <c r="C149" s="441"/>
      <c r="D149" s="442"/>
      <c r="E149" s="406"/>
      <c r="F149" s="406"/>
      <c r="G149" s="410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1652</v>
      </c>
      <c r="C151" s="114"/>
      <c r="D151" s="115">
        <v>752.55561799999998</v>
      </c>
      <c r="E151" s="116">
        <f>D151*C151</f>
        <v>0</v>
      </c>
      <c r="F151" s="404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7">
        <v>45680</v>
      </c>
      <c r="B152" s="398" t="s">
        <v>1655</v>
      </c>
      <c r="C152" s="399">
        <v>-25</v>
      </c>
      <c r="D152" s="400">
        <v>752.55561799999998</v>
      </c>
      <c r="E152" s="401">
        <f>D152*C152</f>
        <v>-18813.890449999999</v>
      </c>
      <c r="F152" s="402">
        <v>899.26057400000002</v>
      </c>
      <c r="G152" s="403">
        <f>F152*C152</f>
        <v>-22481.514350000001</v>
      </c>
      <c r="H152" s="402"/>
      <c r="I152" s="402">
        <f>E152-G152</f>
        <v>3667.6239000000023</v>
      </c>
    </row>
    <row r="153" spans="1:14">
      <c r="A153" s="397">
        <v>45680</v>
      </c>
      <c r="B153" s="398" t="s">
        <v>1613</v>
      </c>
      <c r="C153" s="399"/>
      <c r="D153" s="400"/>
      <c r="E153" s="401">
        <v>299.37</v>
      </c>
      <c r="F153" s="402"/>
      <c r="G153" s="403"/>
      <c r="H153" s="402"/>
      <c r="I153" s="402">
        <f>G153-E153</f>
        <v>-299.37</v>
      </c>
    </row>
    <row r="154" spans="1:14" s="11" customFormat="1">
      <c r="A154" s="100">
        <v>45691</v>
      </c>
      <c r="B154" s="82" t="s">
        <v>1653</v>
      </c>
      <c r="C154" s="114"/>
      <c r="D154" s="115">
        <v>872.26366499999995</v>
      </c>
      <c r="E154" s="116">
        <f>D154*C154</f>
        <v>0</v>
      </c>
      <c r="F154" s="405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7">
        <v>45680</v>
      </c>
      <c r="B155" s="398" t="s">
        <v>142</v>
      </c>
      <c r="C155" s="399">
        <v>-9</v>
      </c>
      <c r="D155" s="115">
        <v>872.26366499999995</v>
      </c>
      <c r="E155" s="401">
        <f>D155*C155</f>
        <v>-7850.372985</v>
      </c>
      <c r="F155" s="402">
        <v>899.26057400000002</v>
      </c>
      <c r="G155" s="403">
        <f>F155*C155</f>
        <v>-8093.3451660000001</v>
      </c>
      <c r="H155" s="402"/>
      <c r="I155" s="402">
        <f>E155-G155</f>
        <v>242.97218100000009</v>
      </c>
    </row>
    <row r="156" spans="1:14">
      <c r="A156" s="397">
        <v>45680</v>
      </c>
      <c r="B156" s="398" t="s">
        <v>1613</v>
      </c>
      <c r="C156" s="399"/>
      <c r="D156" s="400"/>
      <c r="E156" s="401"/>
      <c r="F156" s="402"/>
      <c r="G156" s="403"/>
      <c r="H156" s="402"/>
      <c r="I156" s="402"/>
    </row>
    <row r="157" spans="1:14" s="11" customFormat="1">
      <c r="A157" s="100">
        <v>45692</v>
      </c>
      <c r="B157" s="82" t="s">
        <v>1653</v>
      </c>
      <c r="C157" s="114"/>
      <c r="D157" s="115">
        <v>872.26366499999995</v>
      </c>
      <c r="E157" s="116">
        <f>D157*C157</f>
        <v>0</v>
      </c>
      <c r="F157" s="405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7">
        <v>45692</v>
      </c>
      <c r="B158" s="398" t="s">
        <v>1654</v>
      </c>
      <c r="C158" s="399">
        <v>-25</v>
      </c>
      <c r="D158" s="400">
        <v>872.26366499999995</v>
      </c>
      <c r="E158" s="401">
        <f t="shared" ref="E158" si="9">D158*C158</f>
        <v>-21806.591624999997</v>
      </c>
      <c r="F158" s="424">
        <v>900.29758900000002</v>
      </c>
      <c r="G158" s="403">
        <f t="shared" ref="G158" si="10">F158*C158</f>
        <v>-22507.439725</v>
      </c>
      <c r="H158" s="402"/>
      <c r="I158" s="402">
        <f>E158-G158</f>
        <v>700.84810000000289</v>
      </c>
      <c r="K158" s="78"/>
      <c r="L158" s="78"/>
      <c r="M158" s="78"/>
      <c r="N158" s="78"/>
    </row>
    <row r="159" spans="1:14" s="11" customFormat="1">
      <c r="A159" s="397">
        <v>45680</v>
      </c>
      <c r="B159" s="398" t="s">
        <v>1613</v>
      </c>
      <c r="C159" s="399"/>
      <c r="D159" s="400"/>
      <c r="E159" s="401"/>
      <c r="F159" s="402"/>
      <c r="G159" s="403"/>
      <c r="H159" s="402"/>
      <c r="I159" s="402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1667</v>
      </c>
      <c r="C160" s="114"/>
      <c r="D160" s="115">
        <v>872.26366499999995</v>
      </c>
      <c r="E160" s="116">
        <f>D160*C160</f>
        <v>0</v>
      </c>
      <c r="F160" s="405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7">
        <v>45692</v>
      </c>
      <c r="B161" s="398" t="s">
        <v>1666</v>
      </c>
      <c r="C161" s="399">
        <v>-21</v>
      </c>
      <c r="D161" s="400">
        <v>872.26366499999995</v>
      </c>
      <c r="E161" s="401">
        <f t="shared" ref="E161" si="11">D161*C161</f>
        <v>-18317.536964999999</v>
      </c>
      <c r="F161" s="424">
        <v>907.06739800000003</v>
      </c>
      <c r="G161" s="403">
        <f t="shared" ref="G161" si="12">F161*C161</f>
        <v>-19048.415358000002</v>
      </c>
      <c r="H161" s="402"/>
      <c r="I161" s="402">
        <f>E161-G161</f>
        <v>730.87839300000269</v>
      </c>
      <c r="K161" s="78"/>
      <c r="L161" s="78"/>
      <c r="M161" s="78"/>
      <c r="N161" s="78"/>
    </row>
    <row r="162" spans="1:14" s="11" customFormat="1">
      <c r="A162" s="397">
        <v>45699</v>
      </c>
      <c r="B162" s="398" t="s">
        <v>1613</v>
      </c>
      <c r="C162" s="399"/>
      <c r="D162" s="400"/>
      <c r="E162" s="401"/>
      <c r="F162" s="402"/>
      <c r="G162" s="403"/>
      <c r="H162" s="402"/>
      <c r="I162" s="402">
        <v>-73.09</v>
      </c>
      <c r="K162" s="78"/>
      <c r="L162" s="78"/>
      <c r="M162" s="78"/>
      <c r="N162" s="78"/>
    </row>
    <row r="163" spans="1:14" s="11" customFormat="1">
      <c r="A163" s="397"/>
      <c r="B163" s="398"/>
      <c r="C163" s="399"/>
      <c r="D163" s="400"/>
      <c r="E163" s="401"/>
      <c r="F163" s="402"/>
      <c r="G163" s="403"/>
      <c r="H163" s="402"/>
      <c r="I163" s="402"/>
      <c r="K163" s="78"/>
      <c r="L163" s="78"/>
      <c r="M163" s="78"/>
      <c r="N163" s="78"/>
    </row>
    <row r="164" spans="1:14" s="11" customFormat="1">
      <c r="A164" s="397"/>
      <c r="B164" s="398"/>
      <c r="C164" s="399"/>
      <c r="D164" s="400"/>
      <c r="E164" s="401"/>
      <c r="F164" s="402"/>
      <c r="G164" s="403"/>
      <c r="H164" s="402"/>
      <c r="I164" s="402"/>
      <c r="K164" s="78"/>
      <c r="L164" s="78"/>
      <c r="M164" s="78"/>
      <c r="N164" s="78"/>
    </row>
    <row r="166" spans="1:14">
      <c r="I166" s="78">
        <f>SUM(I152:I165)</f>
        <v>4899.7725740000078</v>
      </c>
    </row>
    <row r="173" spans="1:14">
      <c r="F173" s="405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8"/>
  <sheetViews>
    <sheetView topLeftCell="A67" zoomScale="160" zoomScaleNormal="160" workbookViewId="0">
      <selection activeCell="H140" sqref="H14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1"/>
      <c r="B12" s="392" t="s">
        <v>70</v>
      </c>
      <c r="C12" s="392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3"/>
      <c r="B13" s="392" t="s">
        <v>1599</v>
      </c>
      <c r="C13" s="392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3"/>
      <c r="B14" s="394" t="s">
        <v>72</v>
      </c>
      <c r="C14" s="393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1">
        <v>45671</v>
      </c>
      <c r="B15" s="385" t="s">
        <v>1589</v>
      </c>
      <c r="C15" s="395"/>
      <c r="D15" s="396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1">
        <v>45677</v>
      </c>
      <c r="B17" s="411" t="s">
        <v>73</v>
      </c>
      <c r="C17" s="411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1">
        <v>45677</v>
      </c>
      <c r="B18" s="411" t="s">
        <v>74</v>
      </c>
      <c r="C18" s="411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1">
        <v>45677</v>
      </c>
      <c r="B19" s="392" t="s">
        <v>75</v>
      </c>
      <c r="C19" s="392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2">
        <v>45684</v>
      </c>
      <c r="B21" s="393" t="s">
        <v>1609</v>
      </c>
      <c r="C21" s="393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2">
        <v>45684</v>
      </c>
      <c r="B22" s="393" t="s">
        <v>77</v>
      </c>
      <c r="C22" s="393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2">
        <v>45684</v>
      </c>
      <c r="B23" s="393" t="s">
        <v>78</v>
      </c>
      <c r="C23" s="393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2">
        <v>45684</v>
      </c>
      <c r="B24" s="393" t="s">
        <v>79</v>
      </c>
      <c r="C24" s="393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2">
        <v>45684</v>
      </c>
      <c r="B25" s="393" t="s">
        <v>1638</v>
      </c>
      <c r="C25" s="393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3">
        <v>45655</v>
      </c>
      <c r="B26" s="393" t="s">
        <v>98</v>
      </c>
      <c r="C26" s="393" t="s">
        <v>1606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4">
        <v>45686</v>
      </c>
      <c r="B27" s="393" t="s">
        <v>98</v>
      </c>
      <c r="C27" s="393" t="s">
        <v>1607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2">
        <v>45684</v>
      </c>
      <c r="B28" s="393" t="s">
        <v>1642</v>
      </c>
      <c r="C28" s="393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3" t="s">
        <v>1608</v>
      </c>
      <c r="C29" s="416" t="s">
        <v>631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8">
        <v>45688</v>
      </c>
      <c r="B31" s="392" t="s">
        <v>80</v>
      </c>
      <c r="C31" s="392"/>
      <c r="D31" s="387"/>
      <c r="E31" s="387">
        <v>-600</v>
      </c>
      <c r="F31" s="426"/>
      <c r="G31" s="426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8">
        <v>45688</v>
      </c>
      <c r="B32" s="392" t="s">
        <v>81</v>
      </c>
      <c r="C32" s="392"/>
      <c r="D32" s="387"/>
      <c r="E32" s="387">
        <v>-800</v>
      </c>
      <c r="F32" s="426"/>
      <c r="G32" s="426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8">
        <v>45688</v>
      </c>
      <c r="B33" s="387" t="s">
        <v>1644</v>
      </c>
      <c r="C33" s="387"/>
      <c r="D33" s="387"/>
      <c r="E33" s="387"/>
      <c r="F33" s="426"/>
      <c r="G33" s="426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7" t="s">
        <v>114</v>
      </c>
      <c r="C34" s="417"/>
      <c r="D34" s="418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5"/>
      <c r="B35" s="393" t="s">
        <v>76</v>
      </c>
      <c r="C35" s="393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7"/>
      <c r="B36" s="429" t="s">
        <v>1661</v>
      </c>
      <c r="C36" s="430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1149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1151</v>
      </c>
      <c r="C62" s="388">
        <v>3085.73</v>
      </c>
      <c r="D62" s="388" t="s">
        <v>812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1152</v>
      </c>
      <c r="C63" s="388">
        <v>49.12</v>
      </c>
      <c r="D63" s="388" t="s">
        <v>238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1153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1154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1650</v>
      </c>
      <c r="C70" s="77">
        <v>5938.68</v>
      </c>
      <c r="D70" s="77" t="s">
        <v>1646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1648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1647</v>
      </c>
      <c r="K75" s="78"/>
      <c r="L75" s="78"/>
      <c r="M75" s="78"/>
      <c r="N75" s="78"/>
    </row>
    <row r="76" spans="1:14" s="77" customFormat="1">
      <c r="A76" s="100"/>
      <c r="B76" s="77" t="s">
        <v>1649</v>
      </c>
      <c r="D76" s="419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4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5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5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1610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1612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1611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0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148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149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150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20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3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144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145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146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147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20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155</v>
      </c>
      <c r="H140" s="445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156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157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1614</v>
      </c>
      <c r="C145" s="118">
        <v>240</v>
      </c>
      <c r="D145" s="83">
        <v>872.26366499999995</v>
      </c>
      <c r="E145" s="116">
        <f>D145*C145</f>
        <v>209343.27959999998</v>
      </c>
      <c r="F145" s="404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408"/>
      <c r="C146" s="409"/>
      <c r="D146" s="406"/>
      <c r="E146" s="410"/>
      <c r="F146" s="440"/>
      <c r="G146" s="17"/>
      <c r="K146" s="78"/>
      <c r="L146" s="78"/>
      <c r="M146" s="78"/>
      <c r="N146" s="78"/>
    </row>
    <row r="147" spans="1:14" s="90" customFormat="1">
      <c r="A147" s="397">
        <v>45680</v>
      </c>
      <c r="B147" s="398" t="s">
        <v>142</v>
      </c>
      <c r="C147" s="399">
        <v>-15</v>
      </c>
      <c r="D147" s="400">
        <v>752.55561799999998</v>
      </c>
      <c r="E147" s="401">
        <f>D147*C147</f>
        <v>-11288.334269999999</v>
      </c>
      <c r="F147" s="402">
        <v>886.51320299999998</v>
      </c>
      <c r="G147" s="403">
        <f>F147*C147</f>
        <v>-13297.698044999999</v>
      </c>
      <c r="H147" s="402"/>
      <c r="I147" s="402">
        <f>E147-G147</f>
        <v>2009.3637749999998</v>
      </c>
      <c r="K147" s="78"/>
      <c r="L147" s="78"/>
      <c r="M147" s="78"/>
      <c r="N147" s="78"/>
    </row>
    <row r="148" spans="1:14" s="90" customFormat="1">
      <c r="A148" s="397">
        <v>45680</v>
      </c>
      <c r="B148" s="398" t="s">
        <v>1613</v>
      </c>
      <c r="C148" s="399"/>
      <c r="D148" s="400"/>
      <c r="E148" s="401">
        <v>150.77000000000001</v>
      </c>
      <c r="F148" s="402"/>
      <c r="G148" s="403"/>
      <c r="H148" s="402"/>
      <c r="I148" s="402">
        <f>G148-E148</f>
        <v>-150.77000000000001</v>
      </c>
      <c r="K148" s="78"/>
      <c r="L148" s="78"/>
      <c r="M148" s="78"/>
      <c r="N148" s="78"/>
    </row>
    <row r="149" spans="1:14" s="90" customFormat="1">
      <c r="K149" s="78"/>
      <c r="L149" s="78"/>
      <c r="M149" s="78"/>
      <c r="N149" s="78"/>
    </row>
    <row r="150" spans="1:14" s="90" customFormat="1">
      <c r="K150" s="78"/>
      <c r="L150" s="78"/>
      <c r="M150" s="78"/>
      <c r="N150" s="78"/>
    </row>
    <row r="151" spans="1:14" s="90" customFormat="1">
      <c r="K151" s="78"/>
      <c r="L151" s="78"/>
      <c r="M151" s="78"/>
      <c r="N151" s="78"/>
    </row>
    <row r="152" spans="1:14" s="90" customFormat="1">
      <c r="A152" s="406"/>
      <c r="B152" s="406"/>
      <c r="C152" s="406"/>
      <c r="D152" s="406"/>
      <c r="E152" s="406"/>
      <c r="F152" s="406"/>
      <c r="G152" s="406"/>
      <c r="K152" s="78"/>
      <c r="L152" s="78"/>
      <c r="M152" s="78"/>
      <c r="N152" s="78"/>
    </row>
    <row r="153" spans="1:14" s="90" customFormat="1">
      <c r="A153" s="406"/>
      <c r="B153" s="406"/>
      <c r="C153" s="406"/>
      <c r="D153" s="406"/>
      <c r="E153" s="406"/>
      <c r="F153" s="406"/>
      <c r="G153" s="406"/>
      <c r="K153" s="78"/>
      <c r="L153" s="78"/>
      <c r="M153" s="78"/>
      <c r="N153" s="78"/>
    </row>
    <row r="154" spans="1:14" s="77" customFormat="1">
      <c r="A154" s="406"/>
      <c r="B154" s="406"/>
      <c r="C154" s="406"/>
      <c r="D154" s="406"/>
      <c r="E154" s="406"/>
      <c r="F154" s="406"/>
      <c r="G154" s="406"/>
      <c r="K154" s="78"/>
      <c r="L154" s="78"/>
      <c r="M154" s="78"/>
      <c r="N154" s="78"/>
    </row>
    <row r="155" spans="1:14" s="77" customFormat="1">
      <c r="A155" s="406"/>
      <c r="B155" s="406"/>
      <c r="C155" s="406"/>
      <c r="D155" s="406"/>
      <c r="E155" s="406"/>
      <c r="F155" s="406"/>
      <c r="G155" s="406"/>
      <c r="K155" s="78"/>
      <c r="L155" s="78"/>
      <c r="M155" s="78"/>
      <c r="N155" s="78"/>
    </row>
    <row r="156" spans="1:14" s="77" customFormat="1">
      <c r="A156" s="407"/>
      <c r="B156" s="408"/>
      <c r="C156" s="409"/>
      <c r="D156" s="406"/>
      <c r="E156" s="410"/>
      <c r="F156" s="406"/>
      <c r="G156" s="410"/>
      <c r="K156" s="78"/>
      <c r="L156" s="78"/>
      <c r="M156" s="78"/>
      <c r="N156" s="78"/>
    </row>
    <row r="157" spans="1:14" s="77" customFormat="1">
      <c r="A157" s="100"/>
      <c r="K157" s="78"/>
      <c r="L157" s="78"/>
      <c r="M157" s="78"/>
      <c r="N157" s="78"/>
    </row>
    <row r="158" spans="1:14">
      <c r="B158" t="s">
        <v>158</v>
      </c>
      <c r="E158" s="77">
        <v>13006</v>
      </c>
    </row>
    <row r="159" spans="1:14">
      <c r="B159" t="s">
        <v>159</v>
      </c>
      <c r="D159" s="76">
        <v>0.1575</v>
      </c>
      <c r="E159" s="77">
        <f>E158*D159</f>
        <v>2048.4450000000002</v>
      </c>
    </row>
    <row r="160" spans="1:14">
      <c r="B160" t="s">
        <v>160</v>
      </c>
      <c r="E160" s="77">
        <f>SUM(E158:E159)</f>
        <v>15054.445</v>
      </c>
    </row>
    <row r="163" spans="1:12">
      <c r="A163" s="11"/>
      <c r="B163" s="98"/>
      <c r="C163" s="11"/>
      <c r="D163" s="11"/>
      <c r="E163" s="11"/>
      <c r="F163" s="11"/>
      <c r="G163" s="11"/>
      <c r="H163" s="11"/>
      <c r="K163" s="11"/>
      <c r="L163" s="11"/>
    </row>
    <row r="164" spans="1:12">
      <c r="A164" s="11"/>
      <c r="B164" s="98"/>
      <c r="C164" s="11"/>
      <c r="D164" s="11"/>
      <c r="E164" s="11"/>
      <c r="F164" s="11"/>
      <c r="G164" s="11"/>
      <c r="H164" s="11"/>
      <c r="I164" s="11"/>
      <c r="J164" s="11"/>
      <c r="K164" s="11"/>
      <c r="L164" s="11"/>
    </row>
    <row r="165" spans="1:12" ht="15">
      <c r="A165" s="98"/>
      <c r="B165" s="11"/>
      <c r="D165" s="382"/>
      <c r="E165" s="11"/>
      <c r="F165" s="11"/>
      <c r="G165" s="11"/>
      <c r="H165" s="11"/>
      <c r="I165" s="11"/>
      <c r="J165" s="383"/>
    </row>
    <row r="166" spans="1:12" ht="15">
      <c r="A166" s="98"/>
      <c r="B166" s="11"/>
      <c r="D166" s="382"/>
      <c r="E166" s="11"/>
      <c r="F166" s="11"/>
      <c r="G166" s="11"/>
      <c r="H166" s="11"/>
      <c r="I166" s="11"/>
      <c r="J166" s="383"/>
    </row>
    <row r="167" spans="1:12" ht="15">
      <c r="A167" s="98"/>
      <c r="B167" s="11"/>
      <c r="C167" s="11"/>
      <c r="D167" s="382"/>
      <c r="E167" s="11"/>
      <c r="F167" s="11"/>
      <c r="G167" s="11"/>
      <c r="H167" s="11"/>
      <c r="I167" s="11"/>
      <c r="J167" s="11"/>
    </row>
    <row r="168" spans="1:12">
      <c r="A168" s="98"/>
      <c r="B168" s="11"/>
      <c r="C168" s="11"/>
      <c r="D168" s="11"/>
      <c r="E168" s="11"/>
      <c r="F168" s="11"/>
      <c r="G168" s="11"/>
      <c r="H168" s="11"/>
      <c r="I168" s="11"/>
      <c r="J168" s="11"/>
    </row>
    <row r="169" spans="1:12" ht="15">
      <c r="A169" s="98"/>
      <c r="B169" s="11"/>
      <c r="C169" s="11"/>
      <c r="D169" s="382"/>
      <c r="E169" s="11"/>
      <c r="F169" s="11"/>
      <c r="G169" s="11"/>
      <c r="H169" s="11"/>
      <c r="I169" s="11"/>
      <c r="J169" s="11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C171" s="77"/>
      <c r="H171"/>
      <c r="J171" s="78"/>
    </row>
    <row r="172" spans="1:12">
      <c r="C172" s="11"/>
      <c r="H172"/>
      <c r="J172" s="78"/>
    </row>
    <row r="173" spans="1:12">
      <c r="C173" s="11"/>
      <c r="H173"/>
      <c r="J173" s="78"/>
    </row>
    <row r="174" spans="1:12">
      <c r="C174" s="11"/>
      <c r="H174"/>
      <c r="J174" s="78"/>
    </row>
    <row r="175" spans="1:12">
      <c r="C175" s="77"/>
      <c r="H175"/>
      <c r="J175" s="78"/>
    </row>
    <row r="176" spans="1:12">
      <c r="C176" s="77"/>
      <c r="H176"/>
      <c r="J176" s="78"/>
    </row>
    <row r="177" spans="3:10">
      <c r="C177" s="77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5:I166">
    <cfRule type="expression" dxfId="2" priority="4">
      <formula>H165&gt;0</formula>
    </cfRule>
  </conditionalFormatting>
  <conditionalFormatting sqref="F120">
    <cfRule type="cellIs" dxfId="1" priority="2" operator="lessThan">
      <formula>D120</formula>
    </cfRule>
  </conditionalFormatting>
  <conditionalFormatting sqref="F147:F148">
    <cfRule type="cellIs" dxfId="0" priority="1" operator="lessThan">
      <formula>D147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8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188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189</v>
      </c>
      <c r="D36" s="2">
        <v>11631</v>
      </c>
      <c r="E36" s="69"/>
      <c r="F36" s="135">
        <f t="shared" ref="F36:F73" si="1">F35+D36-E36</f>
        <v>1478131</v>
      </c>
    </row>
    <row r="37" spans="1:6">
      <c r="B37" s="134" t="s">
        <v>190</v>
      </c>
      <c r="D37" s="2">
        <v>15500</v>
      </c>
      <c r="E37" s="69"/>
      <c r="F37" s="135">
        <f t="shared" si="1"/>
        <v>1493631</v>
      </c>
    </row>
    <row r="38" spans="1:6">
      <c r="B38" s="136" t="s">
        <v>191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192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2" t="s">
        <v>202</v>
      </c>
      <c r="C50" s="142"/>
      <c r="D50" s="143"/>
      <c r="E50" s="143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B56" s="8" t="s">
        <v>206</v>
      </c>
      <c r="E56" s="2">
        <v>1100</v>
      </c>
      <c r="F56" s="2">
        <f t="shared" si="1"/>
        <v>407100</v>
      </c>
    </row>
    <row r="57" spans="1:6">
      <c r="A57" s="144">
        <v>45536</v>
      </c>
      <c r="B57" s="145" t="s">
        <v>207</v>
      </c>
      <c r="C57" s="145" t="s">
        <v>121</v>
      </c>
      <c r="D57" s="146"/>
      <c r="E57" s="146">
        <v>5600</v>
      </c>
      <c r="F57" s="146">
        <f t="shared" si="1"/>
        <v>401500</v>
      </c>
    </row>
    <row r="58" spans="1:6">
      <c r="A58" s="144">
        <v>45550</v>
      </c>
      <c r="B58" s="145" t="s">
        <v>208</v>
      </c>
      <c r="C58" s="145" t="s">
        <v>121</v>
      </c>
      <c r="D58" s="146"/>
      <c r="E58" s="146">
        <v>30000</v>
      </c>
      <c r="F58" s="146">
        <f t="shared" si="1"/>
        <v>371500</v>
      </c>
    </row>
    <row r="59" spans="1:6">
      <c r="A59" s="144">
        <v>45565</v>
      </c>
      <c r="B59" s="67" t="s">
        <v>209</v>
      </c>
      <c r="C59" s="67" t="s">
        <v>210</v>
      </c>
      <c r="D59" s="69"/>
      <c r="E59" s="69">
        <v>6000</v>
      </c>
      <c r="F59" s="69">
        <f t="shared" si="1"/>
        <v>365500</v>
      </c>
    </row>
    <row r="60" spans="1:6">
      <c r="A60" s="144">
        <v>45580</v>
      </c>
      <c r="B60" s="145" t="s">
        <v>211</v>
      </c>
      <c r="C60" s="145" t="s">
        <v>121</v>
      </c>
      <c r="D60" s="146"/>
      <c r="E60" s="146">
        <v>30000</v>
      </c>
      <c r="F60" s="146">
        <f t="shared" si="1"/>
        <v>335500</v>
      </c>
    </row>
    <row r="61" spans="1:6">
      <c r="A61" s="144">
        <v>45595</v>
      </c>
      <c r="B61" s="67" t="s">
        <v>212</v>
      </c>
      <c r="C61" s="67" t="s">
        <v>210</v>
      </c>
      <c r="D61" s="69"/>
      <c r="E61" s="69">
        <v>6000</v>
      </c>
      <c r="F61" s="69">
        <f t="shared" si="1"/>
        <v>329500</v>
      </c>
    </row>
    <row r="62" spans="1:6">
      <c r="A62" s="147">
        <v>45611</v>
      </c>
      <c r="B62" s="8" t="s">
        <v>213</v>
      </c>
      <c r="C62" s="67" t="s">
        <v>214</v>
      </c>
      <c r="E62" s="2">
        <v>35800</v>
      </c>
      <c r="F62" s="2">
        <f t="shared" si="1"/>
        <v>293700</v>
      </c>
    </row>
    <row r="63" spans="1:6">
      <c r="A63" s="147"/>
      <c r="B63" s="8" t="s">
        <v>215</v>
      </c>
      <c r="C63" s="67"/>
      <c r="D63" s="2">
        <v>630</v>
      </c>
      <c r="F63" s="2">
        <f t="shared" si="1"/>
        <v>294330</v>
      </c>
    </row>
    <row r="64" spans="1:6" s="11" customFormat="1">
      <c r="A64" s="147"/>
      <c r="B64" s="8" t="s">
        <v>1598</v>
      </c>
      <c r="C64" s="67"/>
      <c r="D64" s="12">
        <v>1000</v>
      </c>
      <c r="E64" s="12"/>
      <c r="F64" s="12">
        <f t="shared" si="1"/>
        <v>295330</v>
      </c>
    </row>
    <row r="65" spans="1:6">
      <c r="A65" s="147">
        <v>45641</v>
      </c>
      <c r="B65" s="82" t="s">
        <v>216</v>
      </c>
      <c r="C65" s="82" t="s">
        <v>217</v>
      </c>
      <c r="D65" s="114"/>
      <c r="E65" s="114">
        <v>38000</v>
      </c>
      <c r="F65" s="390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8" t="s">
        <v>221</v>
      </c>
      <c r="C87" s="148" t="s">
        <v>222</v>
      </c>
      <c r="D87" s="149"/>
      <c r="E87" s="150" t="s">
        <v>223</v>
      </c>
      <c r="F87" s="150" t="s">
        <v>224</v>
      </c>
    </row>
    <row r="88" spans="2:6">
      <c r="F88" s="128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1"/>
      <c r="D96" s="152" t="s">
        <v>230</v>
      </c>
      <c r="E96" s="141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1"/>
      <c r="D104" s="152" t="s">
        <v>237</v>
      </c>
      <c r="E104" s="141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3" t="s">
        <v>242</v>
      </c>
      <c r="E7" s="153" t="s">
        <v>243</v>
      </c>
      <c r="F7" s="153" t="s">
        <v>244</v>
      </c>
      <c r="G7" s="153"/>
      <c r="H7" s="153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5">
        <v>68000</v>
      </c>
      <c r="G34" s="155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5">
        <v>155000</v>
      </c>
      <c r="H45" s="2">
        <f t="shared" si="1"/>
        <v>177058</v>
      </c>
    </row>
    <row r="46" spans="1:10">
      <c r="C46" t="s">
        <v>278</v>
      </c>
      <c r="F46" s="155"/>
      <c r="G46" s="156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5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5">
        <v>12290</v>
      </c>
      <c r="G50" s="2"/>
      <c r="H50" s="17">
        <f t="shared" si="1"/>
        <v>140070</v>
      </c>
      <c r="I50" s="157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272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7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7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5">
        <v>127500</v>
      </c>
      <c r="H69" s="17">
        <f t="shared" ref="H69:H82" si="3">H68+F69-G69</f>
        <v>127500</v>
      </c>
    </row>
    <row r="70" spans="2:9">
      <c r="C70" t="s">
        <v>277</v>
      </c>
      <c r="F70" s="155"/>
      <c r="H70" s="17">
        <f t="shared" si="3"/>
        <v>127500</v>
      </c>
    </row>
    <row r="71" spans="2:9">
      <c r="C71" t="s">
        <v>278</v>
      </c>
      <c r="F71" s="155"/>
      <c r="G71" s="156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5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272</v>
      </c>
    </row>
    <row r="77" spans="2:9">
      <c r="C77" t="s">
        <v>288</v>
      </c>
      <c r="F77" s="155">
        <v>12290</v>
      </c>
      <c r="G77" s="2"/>
      <c r="H77" s="17">
        <f t="shared" si="3"/>
        <v>1164307.8659999999</v>
      </c>
      <c r="I77" s="157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7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7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56" t="s">
        <v>26</v>
      </c>
      <c r="M1" s="456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57">
        <f>L15+M15</f>
        <v>1080.7929879999999</v>
      </c>
      <c r="M17" s="457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307</v>
      </c>
      <c r="E120" s="2"/>
      <c r="F120" s="17">
        <v>6267.13</v>
      </c>
    </row>
    <row r="121" spans="2:7">
      <c r="B121" s="160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0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0">
        <f t="shared" si="2"/>
        <v>45290</v>
      </c>
      <c r="C123" s="8" t="s">
        <v>311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312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313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314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316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317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3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322</v>
      </c>
      <c r="C13" s="82"/>
      <c r="D13" s="83" t="s">
        <v>320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323</v>
      </c>
      <c r="C14" s="82"/>
      <c r="D14" s="83" t="s">
        <v>320</v>
      </c>
      <c r="E14" s="167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113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E128" s="77">
        <v>293700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156</v>
      </c>
      <c r="E151" s="9">
        <f>SUM(E126:E148)</f>
        <v>674753.38</v>
      </c>
    </row>
    <row r="152" spans="1:5">
      <c r="A152" s="100"/>
      <c r="C152" s="125" t="str">
        <f>A125</f>
        <v>ARALIKa</v>
      </c>
      <c r="D152" s="126" t="s">
        <v>157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2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139</v>
      </c>
      <c r="G170" s="77">
        <v>293700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156</v>
      </c>
      <c r="G195" s="9">
        <f>SUM(G169:G192)</f>
        <v>851853.7</v>
      </c>
    </row>
    <row r="196" spans="1:7">
      <c r="A196" s="100"/>
      <c r="C196" s="125" t="str">
        <f>A165</f>
        <v>OCAK 2025 e</v>
      </c>
      <c r="D196" s="126" t="s">
        <v>157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362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322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323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384</v>
      </c>
      <c r="C114" s="2"/>
      <c r="D114" s="2"/>
      <c r="E114" s="2">
        <v>329500</v>
      </c>
    </row>
    <row r="115" spans="1:5">
      <c r="A115" s="160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142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144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157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359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1">
        <v>0.234011</v>
      </c>
      <c r="H33" s="77">
        <f t="shared" si="0"/>
        <v>-59035.210000000014</v>
      </c>
    </row>
    <row r="34" spans="1:8">
      <c r="B34" s="170" t="s">
        <v>399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0"/>
      <c r="B114" s="8" t="s">
        <v>425</v>
      </c>
      <c r="C114" s="2"/>
      <c r="D114" s="2"/>
      <c r="E114" s="2">
        <v>365500</v>
      </c>
    </row>
    <row r="115" spans="1:5">
      <c r="A115" s="160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142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144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426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427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428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156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157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429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430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431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432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433</v>
      </c>
      <c r="C11" s="8" t="s">
        <v>434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435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436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437</v>
      </c>
      <c r="D22" s="78" t="s">
        <v>438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439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440</v>
      </c>
      <c r="G24" s="78">
        <v>-197.4</v>
      </c>
      <c r="H24" s="77">
        <f t="shared" si="0"/>
        <v>28142.839999999997</v>
      </c>
    </row>
    <row r="25" spans="1:8">
      <c r="B25" s="170" t="s">
        <v>441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390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399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442</v>
      </c>
      <c r="G29" s="78">
        <v>-10000</v>
      </c>
      <c r="H29" s="77">
        <f t="shared" si="0"/>
        <v>18142.839999999997</v>
      </c>
    </row>
    <row r="30" spans="1:8">
      <c r="B30" t="s">
        <v>443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444</v>
      </c>
      <c r="C48">
        <v>1406</v>
      </c>
      <c r="D48" s="77" t="s">
        <v>445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446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446</v>
      </c>
      <c r="E50" s="77">
        <v>-666.56</v>
      </c>
    </row>
    <row r="51" spans="1:5">
      <c r="A51" s="88">
        <v>45358</v>
      </c>
      <c r="B51" s="8" t="s">
        <v>447</v>
      </c>
      <c r="C51">
        <v>2273</v>
      </c>
      <c r="D51" s="77" t="s">
        <v>445</v>
      </c>
      <c r="E51" s="77">
        <v>-378.87</v>
      </c>
    </row>
    <row r="52" spans="1:5">
      <c r="A52" s="88">
        <v>45371</v>
      </c>
      <c r="B52" s="8" t="s">
        <v>448</v>
      </c>
      <c r="D52" s="77" t="s">
        <v>445</v>
      </c>
      <c r="E52" s="77">
        <v>101.79</v>
      </c>
    </row>
    <row r="53" spans="1:5">
      <c r="A53" s="100">
        <v>45456</v>
      </c>
      <c r="B53" s="107" t="s">
        <v>449</v>
      </c>
      <c r="C53" s="106"/>
      <c r="D53" s="77" t="s">
        <v>450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451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452</v>
      </c>
      <c r="B101" s="104" t="s">
        <v>137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0"/>
      <c r="B104" s="8" t="s">
        <v>453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142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144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156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157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454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430</v>
      </c>
      <c r="C4" s="8" t="s">
        <v>455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456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457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458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460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461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462</v>
      </c>
      <c r="C28" s="171"/>
      <c r="D28" s="77" t="s">
        <v>463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464</v>
      </c>
      <c r="C29" s="171"/>
      <c r="D29" s="77" t="s">
        <v>463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465</v>
      </c>
      <c r="C30" s="171"/>
      <c r="D30" s="77" t="s">
        <v>463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466</v>
      </c>
      <c r="C31" s="171"/>
      <c r="D31" s="77" t="s">
        <v>463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467</v>
      </c>
      <c r="C32" s="171"/>
      <c r="D32" s="77" t="s">
        <v>463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468</v>
      </c>
      <c r="C33" s="171"/>
      <c r="D33" s="77" t="s">
        <v>463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469</v>
      </c>
      <c r="C35" s="77" t="s">
        <v>463</v>
      </c>
      <c r="D35" s="78" t="s">
        <v>470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471</v>
      </c>
      <c r="C36" s="77" t="s">
        <v>463</v>
      </c>
      <c r="D36" s="78" t="s">
        <v>470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472</v>
      </c>
      <c r="C37" s="77" t="s">
        <v>463</v>
      </c>
      <c r="D37" s="78" t="s">
        <v>470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473</v>
      </c>
      <c r="C38" s="77" t="s">
        <v>463</v>
      </c>
      <c r="D38" s="78" t="s">
        <v>470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474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433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441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399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475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444</v>
      </c>
      <c r="C65">
        <v>1406</v>
      </c>
      <c r="D65" s="77" t="s">
        <v>476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477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477</v>
      </c>
      <c r="E67" s="77">
        <v>-666.56</v>
      </c>
      <c r="F67" s="77">
        <v>0</v>
      </c>
    </row>
    <row r="68" spans="1:6">
      <c r="A68" s="88">
        <v>45358</v>
      </c>
      <c r="B68" s="8" t="s">
        <v>447</v>
      </c>
      <c r="C68">
        <v>2273</v>
      </c>
      <c r="D68" s="77" t="s">
        <v>476</v>
      </c>
      <c r="E68" s="77">
        <v>-378.87</v>
      </c>
      <c r="F68" s="77">
        <v>0</v>
      </c>
    </row>
    <row r="69" spans="1:6">
      <c r="A69" s="88">
        <v>45371</v>
      </c>
      <c r="B69" s="8" t="s">
        <v>448</v>
      </c>
      <c r="D69" s="77" t="s">
        <v>476</v>
      </c>
      <c r="E69" s="77">
        <v>101.77</v>
      </c>
      <c r="F69" s="77">
        <v>0</v>
      </c>
    </row>
    <row r="70" spans="1:6">
      <c r="A70" s="100">
        <v>45442</v>
      </c>
      <c r="B70" s="181" t="s">
        <v>478</v>
      </c>
      <c r="C70" s="106"/>
      <c r="D70" s="77" t="s">
        <v>479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449</v>
      </c>
      <c r="C71" s="106"/>
      <c r="D71" s="77" t="s">
        <v>480</v>
      </c>
      <c r="E71" s="77">
        <v>-3923.33</v>
      </c>
      <c r="F71" s="77">
        <v>0</v>
      </c>
    </row>
    <row r="72" spans="1:6">
      <c r="A72" s="100">
        <v>45470</v>
      </c>
      <c r="B72" s="107" t="s">
        <v>481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482</v>
      </c>
      <c r="C80" s="106"/>
      <c r="D80" s="77" t="s">
        <v>483</v>
      </c>
      <c r="E80" s="77">
        <v>-649.79999999999995</v>
      </c>
    </row>
    <row r="81" spans="1:5">
      <c r="A81" s="100"/>
      <c r="B81" s="3" t="s">
        <v>484</v>
      </c>
      <c r="C81" s="106">
        <v>50</v>
      </c>
      <c r="D81" s="77" t="s">
        <v>483</v>
      </c>
    </row>
    <row r="82" spans="1:5">
      <c r="A82" s="100"/>
      <c r="B82" s="3"/>
      <c r="C82" s="106"/>
    </row>
    <row r="83" spans="1:5">
      <c r="A83" s="100">
        <v>45456</v>
      </c>
      <c r="B83" s="8" t="s">
        <v>485</v>
      </c>
      <c r="C83" s="106"/>
      <c r="D83" s="77" t="s">
        <v>479</v>
      </c>
      <c r="E83" s="77">
        <v>-5875</v>
      </c>
    </row>
    <row r="84" spans="1:5">
      <c r="A84" s="100">
        <v>45456</v>
      </c>
      <c r="B84" s="8" t="s">
        <v>486</v>
      </c>
      <c r="C84" s="106"/>
      <c r="D84" s="77" t="s">
        <v>479</v>
      </c>
      <c r="E84" s="77">
        <v>-4300</v>
      </c>
    </row>
    <row r="85" spans="1:5">
      <c r="A85" s="100">
        <v>45475</v>
      </c>
      <c r="B85" s="3" t="s">
        <v>487</v>
      </c>
      <c r="C85" s="106"/>
      <c r="E85" s="77">
        <v>-1129.5</v>
      </c>
    </row>
    <row r="86" spans="1:5">
      <c r="A86" s="100">
        <v>45478</v>
      </c>
      <c r="B86" s="3" t="s">
        <v>488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489</v>
      </c>
      <c r="C88" s="106">
        <v>120</v>
      </c>
      <c r="E88" s="77">
        <v>-120</v>
      </c>
    </row>
    <row r="89" spans="1:5">
      <c r="A89" s="100">
        <v>45467</v>
      </c>
      <c r="B89" s="3" t="s">
        <v>490</v>
      </c>
      <c r="C89" s="106"/>
      <c r="E89" s="77">
        <v>-70</v>
      </c>
    </row>
    <row r="90" spans="1:5">
      <c r="A90" s="100">
        <v>45467</v>
      </c>
      <c r="B90" s="3" t="s">
        <v>491</v>
      </c>
      <c r="C90" s="106"/>
      <c r="E90" s="77">
        <v>-1400</v>
      </c>
    </row>
    <row r="91" spans="1:5">
      <c r="A91" s="100">
        <v>45468</v>
      </c>
      <c r="B91" s="3" t="s">
        <v>489</v>
      </c>
      <c r="C91" s="106">
        <v>150</v>
      </c>
      <c r="E91" s="77">
        <v>-150</v>
      </c>
    </row>
    <row r="92" spans="1:5">
      <c r="A92" s="100">
        <v>45468</v>
      </c>
      <c r="B92" s="3" t="s">
        <v>492</v>
      </c>
      <c r="C92" s="106"/>
      <c r="E92" s="77">
        <v>-230</v>
      </c>
    </row>
    <row r="93" spans="1:5">
      <c r="A93" s="100">
        <v>45469</v>
      </c>
      <c r="B93" s="3" t="s">
        <v>489</v>
      </c>
      <c r="C93" s="106">
        <v>250</v>
      </c>
      <c r="E93" s="77">
        <v>-250</v>
      </c>
    </row>
    <row r="94" spans="1:5">
      <c r="A94" s="100">
        <v>45470</v>
      </c>
      <c r="B94" s="3" t="s">
        <v>493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494</v>
      </c>
      <c r="C96" s="106"/>
      <c r="E96" s="77">
        <v>-169.5</v>
      </c>
    </row>
    <row r="97" spans="1:5">
      <c r="A97" s="100">
        <v>45471</v>
      </c>
      <c r="B97" s="3" t="s">
        <v>495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490</v>
      </c>
      <c r="C99" s="106"/>
      <c r="E99" s="77">
        <v>-70</v>
      </c>
    </row>
    <row r="100" spans="1:5">
      <c r="A100" s="100">
        <v>45475</v>
      </c>
      <c r="B100" s="3" t="s">
        <v>489</v>
      </c>
      <c r="C100" s="106">
        <v>440</v>
      </c>
      <c r="E100" s="77">
        <v>-440</v>
      </c>
    </row>
    <row r="101" spans="1:5">
      <c r="A101" s="100">
        <v>45475</v>
      </c>
      <c r="B101" s="3" t="s">
        <v>496</v>
      </c>
      <c r="E101" s="77">
        <v>-1673</v>
      </c>
    </row>
    <row r="102" spans="1:5">
      <c r="A102" s="100">
        <v>45475</v>
      </c>
      <c r="B102" s="3" t="s">
        <v>493</v>
      </c>
      <c r="C102" s="106"/>
      <c r="E102" s="77">
        <v>-150</v>
      </c>
    </row>
    <row r="103" spans="1:5">
      <c r="A103" s="100">
        <v>45476</v>
      </c>
      <c r="B103" s="3" t="s">
        <v>490</v>
      </c>
      <c r="C103" s="106"/>
      <c r="E103" s="77">
        <v>-140</v>
      </c>
    </row>
    <row r="104" spans="1:5">
      <c r="A104" s="100">
        <v>45477</v>
      </c>
      <c r="B104" s="3" t="s">
        <v>497</v>
      </c>
      <c r="C104" s="106">
        <v>10597.81</v>
      </c>
    </row>
    <row r="105" spans="1:5">
      <c r="A105" s="100">
        <v>45478</v>
      </c>
      <c r="B105" s="3" t="s">
        <v>498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499</v>
      </c>
      <c r="C107" s="106"/>
      <c r="E107" s="77">
        <v>-325</v>
      </c>
    </row>
    <row r="108" spans="1:5">
      <c r="A108" s="100">
        <v>45479</v>
      </c>
      <c r="B108" s="3" t="s">
        <v>500</v>
      </c>
      <c r="C108" s="106"/>
      <c r="E108" s="77">
        <v>-629</v>
      </c>
    </row>
    <row r="109" spans="1:5">
      <c r="A109" s="100"/>
      <c r="B109" s="3" t="s">
        <v>501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502</v>
      </c>
      <c r="B125" s="104" t="s">
        <v>137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503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307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241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504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505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506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507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508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509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510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511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156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157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512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430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513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514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515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441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458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516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517</v>
      </c>
    </row>
    <row r="49" spans="1:5">
      <c r="B49" t="s">
        <v>337</v>
      </c>
      <c r="D49" s="77" t="s">
        <v>518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444</v>
      </c>
      <c r="C57">
        <v>1406</v>
      </c>
      <c r="D57" s="77" t="s">
        <v>519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520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520</v>
      </c>
      <c r="E59" s="77">
        <v>-666.56</v>
      </c>
    </row>
    <row r="60" spans="1:5">
      <c r="A60" s="88">
        <v>45358</v>
      </c>
      <c r="B60" s="8" t="s">
        <v>447</v>
      </c>
      <c r="C60">
        <v>2273</v>
      </c>
      <c r="D60" s="77" t="s">
        <v>519</v>
      </c>
      <c r="E60" s="77">
        <v>-378.87</v>
      </c>
    </row>
    <row r="61" spans="1:5">
      <c r="A61" s="88">
        <v>45371</v>
      </c>
      <c r="B61" s="8" t="s">
        <v>448</v>
      </c>
      <c r="D61" s="77" t="s">
        <v>521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478</v>
      </c>
      <c r="C63" s="106"/>
      <c r="D63" s="77" t="s">
        <v>522</v>
      </c>
      <c r="E63" s="77">
        <v>-1054.1400000000001</v>
      </c>
    </row>
    <row r="64" spans="1:5">
      <c r="A64" s="100">
        <v>45456</v>
      </c>
      <c r="B64" s="107" t="s">
        <v>449</v>
      </c>
      <c r="C64" s="106"/>
      <c r="D64" s="77" t="s">
        <v>523</v>
      </c>
      <c r="E64" s="77">
        <v>-3923.33</v>
      </c>
    </row>
    <row r="65" spans="1:5">
      <c r="A65" s="100">
        <v>45442</v>
      </c>
      <c r="B65" s="106" t="s">
        <v>524</v>
      </c>
      <c r="C65" s="106"/>
      <c r="E65" s="77">
        <v>-278.97000000000003</v>
      </c>
    </row>
    <row r="67" spans="1:5">
      <c r="A67" s="100">
        <v>45444</v>
      </c>
      <c r="B67" s="107" t="s">
        <v>525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526</v>
      </c>
      <c r="C74" s="106"/>
      <c r="D74" s="77" t="s">
        <v>527</v>
      </c>
      <c r="E74" s="77">
        <v>-3551.68</v>
      </c>
    </row>
    <row r="75" spans="1:5">
      <c r="A75" s="100"/>
      <c r="B75" s="3" t="s">
        <v>482</v>
      </c>
      <c r="C75" s="106"/>
      <c r="D75" s="77" t="s">
        <v>528</v>
      </c>
      <c r="E75" s="77">
        <v>-649.78</v>
      </c>
    </row>
    <row r="76" spans="1:5">
      <c r="A76" s="100"/>
      <c r="B76" s="3" t="s">
        <v>484</v>
      </c>
      <c r="C76" s="106"/>
      <c r="D76" s="77" t="s">
        <v>529</v>
      </c>
    </row>
    <row r="77" spans="1:5">
      <c r="A77" s="100"/>
      <c r="B77" s="3"/>
      <c r="C77" s="106"/>
    </row>
    <row r="78" spans="1:5">
      <c r="A78" s="100">
        <v>45456</v>
      </c>
      <c r="B78" s="8" t="s">
        <v>485</v>
      </c>
      <c r="C78" s="106"/>
      <c r="D78" s="77" t="s">
        <v>522</v>
      </c>
      <c r="E78" s="77">
        <v>-5875</v>
      </c>
    </row>
    <row r="79" spans="1:5">
      <c r="A79" s="100">
        <v>45456</v>
      </c>
      <c r="B79" s="8" t="s">
        <v>486</v>
      </c>
      <c r="C79" s="106"/>
      <c r="D79" s="77" t="s">
        <v>522</v>
      </c>
      <c r="E79" s="77">
        <v>-4300</v>
      </c>
    </row>
    <row r="80" spans="1:5">
      <c r="A80" s="100">
        <v>45465</v>
      </c>
      <c r="B80" s="3" t="s">
        <v>524</v>
      </c>
      <c r="C80" s="106"/>
      <c r="E80" s="77">
        <v>-483.01</v>
      </c>
    </row>
    <row r="81" spans="1:5">
      <c r="A81" s="100">
        <v>45436</v>
      </c>
      <c r="B81" s="3" t="s">
        <v>530</v>
      </c>
      <c r="C81" s="106"/>
      <c r="E81" s="77">
        <v>-80</v>
      </c>
    </row>
    <row r="82" spans="1:5">
      <c r="A82" s="100">
        <v>45436</v>
      </c>
      <c r="B82" s="3" t="s">
        <v>531</v>
      </c>
      <c r="C82" s="106"/>
      <c r="E82" s="77">
        <v>-1000</v>
      </c>
    </row>
    <row r="83" spans="1:5">
      <c r="A83" s="100">
        <v>45437</v>
      </c>
      <c r="B83" s="3" t="s">
        <v>532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533</v>
      </c>
      <c r="C85" s="106"/>
      <c r="E85" s="77">
        <v>-130</v>
      </c>
    </row>
    <row r="86" spans="1:5">
      <c r="A86" s="100">
        <v>45469</v>
      </c>
      <c r="B86" s="3" t="s">
        <v>534</v>
      </c>
      <c r="C86" s="106"/>
      <c r="E86" s="77">
        <v>-246.8</v>
      </c>
    </row>
    <row r="87" spans="1:5">
      <c r="A87" s="100">
        <v>45439</v>
      </c>
      <c r="B87" s="3" t="s">
        <v>532</v>
      </c>
      <c r="C87" s="106"/>
      <c r="E87" s="77">
        <v>-70</v>
      </c>
    </row>
    <row r="88" spans="1:5">
      <c r="A88" s="100">
        <v>45440</v>
      </c>
      <c r="B88" s="3" t="s">
        <v>489</v>
      </c>
      <c r="C88" s="106">
        <v>300</v>
      </c>
      <c r="E88" s="77">
        <v>-300</v>
      </c>
    </row>
    <row r="89" spans="1:5">
      <c r="A89" s="100">
        <v>45440</v>
      </c>
      <c r="B89" s="3" t="s">
        <v>535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489</v>
      </c>
      <c r="C91" s="106">
        <v>400</v>
      </c>
      <c r="E91" s="77">
        <v>-400</v>
      </c>
    </row>
    <row r="92" spans="1:5">
      <c r="A92" s="100">
        <v>45442</v>
      </c>
      <c r="B92" s="3" t="s">
        <v>489</v>
      </c>
      <c r="C92" s="106">
        <v>200</v>
      </c>
      <c r="E92" s="77">
        <v>-200</v>
      </c>
    </row>
    <row r="93" spans="1:5">
      <c r="A93" s="100">
        <v>45442</v>
      </c>
      <c r="B93" s="3" t="s">
        <v>536</v>
      </c>
      <c r="C93" s="106"/>
      <c r="E93" s="77">
        <v>-80</v>
      </c>
    </row>
    <row r="94" spans="1:5">
      <c r="A94" s="100">
        <v>45444</v>
      </c>
      <c r="B94" s="3" t="s">
        <v>537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489</v>
      </c>
      <c r="C96" s="106">
        <v>350</v>
      </c>
      <c r="E96" s="77">
        <v>-350</v>
      </c>
    </row>
    <row r="97" spans="1:5">
      <c r="A97" s="100">
        <v>45444</v>
      </c>
      <c r="B97" s="3" t="s">
        <v>538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532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489</v>
      </c>
      <c r="C101" s="106">
        <v>240</v>
      </c>
      <c r="E101" s="77">
        <v>-240</v>
      </c>
    </row>
    <row r="102" spans="1:5">
      <c r="A102" s="100">
        <v>45447</v>
      </c>
      <c r="B102" s="3" t="s">
        <v>532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489</v>
      </c>
      <c r="C104">
        <v>280</v>
      </c>
      <c r="E104" s="77">
        <v>-280</v>
      </c>
    </row>
    <row r="105" spans="1:5">
      <c r="A105" s="88">
        <v>45448</v>
      </c>
      <c r="B105" s="3" t="s">
        <v>539</v>
      </c>
    </row>
    <row r="106" spans="1:5">
      <c r="A106" s="88">
        <v>45449</v>
      </c>
      <c r="B106" s="3" t="s">
        <v>489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489</v>
      </c>
      <c r="C108">
        <v>300</v>
      </c>
      <c r="E108" s="77">
        <v>-300</v>
      </c>
    </row>
    <row r="109" spans="1:5">
      <c r="A109" s="88">
        <v>45450</v>
      </c>
      <c r="B109" s="3" t="s">
        <v>537</v>
      </c>
      <c r="E109" s="77">
        <v>-80</v>
      </c>
    </row>
    <row r="110" spans="1:5">
      <c r="A110" s="88">
        <v>45451</v>
      </c>
      <c r="B110" s="3" t="s">
        <v>489</v>
      </c>
      <c r="C110">
        <v>250</v>
      </c>
      <c r="E110" s="77">
        <v>-250</v>
      </c>
    </row>
    <row r="111" spans="1:5">
      <c r="A111" s="88">
        <v>45451</v>
      </c>
      <c r="B111" s="3" t="s">
        <v>532</v>
      </c>
      <c r="E111" s="77">
        <v>-145</v>
      </c>
    </row>
    <row r="112" spans="1:5">
      <c r="A112" s="88">
        <v>45454</v>
      </c>
      <c r="B112" s="3" t="s">
        <v>489</v>
      </c>
      <c r="C112">
        <v>400</v>
      </c>
      <c r="E112" s="77">
        <v>-400</v>
      </c>
    </row>
    <row r="113" spans="1:5">
      <c r="A113" s="88">
        <v>45455</v>
      </c>
      <c r="B113" s="3" t="s">
        <v>540</v>
      </c>
      <c r="E113" s="77">
        <v>-300</v>
      </c>
    </row>
    <row r="114" spans="1:5">
      <c r="A114" s="88">
        <v>45456</v>
      </c>
      <c r="B114" s="3" t="s">
        <v>489</v>
      </c>
      <c r="C114">
        <v>300</v>
      </c>
      <c r="E114" s="77">
        <v>-300</v>
      </c>
    </row>
    <row r="115" spans="1:5">
      <c r="A115" s="88">
        <v>45456</v>
      </c>
      <c r="B115" s="3" t="s">
        <v>532</v>
      </c>
      <c r="E115" s="77">
        <v>-70</v>
      </c>
    </row>
    <row r="116" spans="1:5">
      <c r="A116" s="88">
        <v>45459</v>
      </c>
      <c r="B116" s="3" t="s">
        <v>537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537</v>
      </c>
      <c r="E119" s="77">
        <v>-80</v>
      </c>
    </row>
    <row r="120" spans="1:5">
      <c r="A120" s="88">
        <v>45464</v>
      </c>
      <c r="B120" s="3" t="s">
        <v>541</v>
      </c>
      <c r="E120" s="77">
        <v>-105</v>
      </c>
    </row>
    <row r="121" spans="1:5">
      <c r="A121" s="88">
        <v>45464</v>
      </c>
      <c r="B121" s="3" t="s">
        <v>542</v>
      </c>
      <c r="E121" s="77">
        <v>-800</v>
      </c>
    </row>
    <row r="122" spans="1:5">
      <c r="A122" s="88">
        <v>45464</v>
      </c>
      <c r="B122" s="3" t="s">
        <v>543</v>
      </c>
      <c r="E122" s="77">
        <v>-277.5</v>
      </c>
    </row>
    <row r="123" spans="1:5">
      <c r="A123" s="88">
        <v>45465</v>
      </c>
      <c r="B123" s="3" t="s">
        <v>544</v>
      </c>
      <c r="E123" s="77">
        <v>-200</v>
      </c>
    </row>
    <row r="124" spans="1:5">
      <c r="A124" s="88">
        <v>45466</v>
      </c>
      <c r="B124" s="3" t="s">
        <v>545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546</v>
      </c>
      <c r="E126" s="77">
        <v>-650</v>
      </c>
    </row>
    <row r="127" spans="1:5">
      <c r="A127" s="88">
        <v>45466</v>
      </c>
      <c r="B127" s="3" t="s">
        <v>547</v>
      </c>
      <c r="E127" s="77">
        <v>-134.33000000000001</v>
      </c>
    </row>
    <row r="128" spans="1:5">
      <c r="A128" s="88">
        <v>45467</v>
      </c>
      <c r="B128" s="3" t="s">
        <v>548</v>
      </c>
      <c r="E128" s="77">
        <v>-28.05</v>
      </c>
    </row>
    <row r="129" spans="1:5">
      <c r="A129" s="88">
        <v>45467</v>
      </c>
      <c r="B129" s="3" t="s">
        <v>549</v>
      </c>
      <c r="E129" s="77">
        <v>-28.05</v>
      </c>
    </row>
    <row r="130" spans="1:5">
      <c r="A130" s="88">
        <v>45467</v>
      </c>
      <c r="B130" s="3" t="s">
        <v>550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551</v>
      </c>
    </row>
    <row r="133" spans="1:5">
      <c r="A133" s="113" t="s">
        <v>552</v>
      </c>
      <c r="B133" s="104" t="s">
        <v>137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503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307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241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504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505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506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507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508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509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510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511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156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157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553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430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554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555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556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557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558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559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560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561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562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563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514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441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564</v>
      </c>
      <c r="C44" t="s">
        <v>565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566</v>
      </c>
      <c r="C53" s="106">
        <v>7648.33</v>
      </c>
      <c r="D53" s="77" t="s">
        <v>567</v>
      </c>
      <c r="E53" s="77">
        <v>-849.85</v>
      </c>
      <c r="F53" s="77">
        <v>0</v>
      </c>
    </row>
    <row r="54" spans="1:6">
      <c r="A54" s="88">
        <v>45348</v>
      </c>
      <c r="B54" s="8" t="s">
        <v>444</v>
      </c>
      <c r="C54">
        <v>1406</v>
      </c>
      <c r="D54" s="77" t="s">
        <v>568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569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569</v>
      </c>
      <c r="E56" s="77">
        <v>-666.56</v>
      </c>
      <c r="F56" s="77">
        <v>0</v>
      </c>
    </row>
    <row r="57" spans="1:6">
      <c r="A57" s="88">
        <v>45358</v>
      </c>
      <c r="B57" s="8" t="s">
        <v>447</v>
      </c>
      <c r="C57">
        <v>2273</v>
      </c>
      <c r="D57" s="77" t="s">
        <v>568</v>
      </c>
      <c r="E57" s="77">
        <v>-378.87</v>
      </c>
      <c r="F57" s="77">
        <v>0</v>
      </c>
    </row>
    <row r="58" spans="1:6">
      <c r="A58" s="88">
        <v>45371</v>
      </c>
      <c r="B58" s="8" t="s">
        <v>448</v>
      </c>
      <c r="D58" s="77" t="s">
        <v>568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570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571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526</v>
      </c>
      <c r="C67" s="106"/>
      <c r="D67" s="77" t="s">
        <v>572</v>
      </c>
      <c r="E67" s="77">
        <v>-3551.66</v>
      </c>
    </row>
    <row r="68" spans="1:6">
      <c r="A68" s="100"/>
      <c r="B68" s="3" t="s">
        <v>482</v>
      </c>
      <c r="C68" s="106"/>
      <c r="D68" s="77" t="s">
        <v>573</v>
      </c>
      <c r="E68" s="77">
        <v>-649.78</v>
      </c>
    </row>
    <row r="69" spans="1:6">
      <c r="A69" s="100"/>
      <c r="B69" s="3" t="s">
        <v>484</v>
      </c>
      <c r="C69" s="106">
        <v>49.98</v>
      </c>
      <c r="D69" s="77" t="s">
        <v>573</v>
      </c>
    </row>
    <row r="70" spans="1:6">
      <c r="A70" s="100"/>
      <c r="B70" s="3"/>
      <c r="C70" s="106"/>
    </row>
    <row r="71" spans="1:6">
      <c r="A71" s="100">
        <v>45408</v>
      </c>
      <c r="B71" s="3" t="s">
        <v>574</v>
      </c>
      <c r="C71" s="106"/>
      <c r="E71" s="77">
        <v>-1407.23</v>
      </c>
    </row>
    <row r="72" spans="1:6">
      <c r="A72" s="100">
        <v>45420</v>
      </c>
      <c r="B72" s="3" t="s">
        <v>539</v>
      </c>
      <c r="C72" s="106">
        <v>300</v>
      </c>
    </row>
    <row r="73" spans="1:6">
      <c r="A73" s="100">
        <v>45426</v>
      </c>
      <c r="B73" s="3" t="s">
        <v>575</v>
      </c>
      <c r="C73" s="106"/>
      <c r="E73" s="77">
        <v>-1469</v>
      </c>
    </row>
    <row r="74" spans="1:6">
      <c r="A74" s="100">
        <v>45426</v>
      </c>
      <c r="B74" s="3" t="s">
        <v>576</v>
      </c>
      <c r="C74" s="106"/>
      <c r="E74" s="77">
        <v>-1453</v>
      </c>
    </row>
    <row r="75" spans="1:6">
      <c r="A75" s="100">
        <v>45427</v>
      </c>
      <c r="B75" s="3" t="s">
        <v>577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578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579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580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581</v>
      </c>
      <c r="C80" s="106" t="s">
        <v>582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583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584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585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586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586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530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587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581</v>
      </c>
      <c r="C91" s="106" t="s">
        <v>582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581</v>
      </c>
      <c r="C92" s="106" t="s">
        <v>582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588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589</v>
      </c>
      <c r="C94" s="106">
        <v>95.08</v>
      </c>
      <c r="F94" s="77">
        <v>0</v>
      </c>
    </row>
    <row r="95" spans="1:6">
      <c r="A95" s="88">
        <v>45427</v>
      </c>
      <c r="B95" s="3" t="s">
        <v>590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591</v>
      </c>
      <c r="C96">
        <v>1.26</v>
      </c>
      <c r="F96" s="77">
        <v>0</v>
      </c>
    </row>
    <row r="97" spans="1:6">
      <c r="A97" s="88">
        <v>45427</v>
      </c>
      <c r="B97" s="3" t="s">
        <v>592</v>
      </c>
      <c r="E97" s="77">
        <v>-16</v>
      </c>
      <c r="F97" s="77">
        <v>0</v>
      </c>
    </row>
    <row r="98" spans="1:6">
      <c r="A98" s="88">
        <v>45427</v>
      </c>
      <c r="B98" s="3" t="s">
        <v>593</v>
      </c>
      <c r="E98" s="77">
        <v>-375</v>
      </c>
      <c r="F98" s="77">
        <v>0</v>
      </c>
    </row>
    <row r="99" spans="1:6">
      <c r="A99" s="88">
        <v>45427</v>
      </c>
      <c r="B99" s="3" t="s">
        <v>592</v>
      </c>
      <c r="E99" s="77">
        <v>-11.5</v>
      </c>
      <c r="F99" s="77">
        <v>0</v>
      </c>
    </row>
    <row r="100" spans="1:6">
      <c r="A100" s="88">
        <v>45428</v>
      </c>
      <c r="B100" s="3" t="s">
        <v>594</v>
      </c>
      <c r="E100" s="77">
        <v>-500</v>
      </c>
      <c r="F100" s="77">
        <v>0</v>
      </c>
    </row>
    <row r="101" spans="1:6">
      <c r="A101" s="88">
        <v>45428</v>
      </c>
      <c r="B101" s="3" t="s">
        <v>595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595</v>
      </c>
      <c r="E102" s="77">
        <v>-169.99</v>
      </c>
      <c r="F102" s="77">
        <v>0</v>
      </c>
    </row>
    <row r="103" spans="1:6">
      <c r="A103" s="88">
        <v>45430</v>
      </c>
      <c r="B103" s="3" t="s">
        <v>596</v>
      </c>
      <c r="E103" s="77">
        <v>-330</v>
      </c>
      <c r="F103" s="77">
        <v>0</v>
      </c>
    </row>
    <row r="104" spans="1:6">
      <c r="A104" s="88">
        <v>45430</v>
      </c>
      <c r="B104" s="3" t="s">
        <v>595</v>
      </c>
      <c r="E104" s="77">
        <v>-139.9</v>
      </c>
      <c r="F104" s="77">
        <v>0</v>
      </c>
    </row>
    <row r="105" spans="1:6">
      <c r="A105" s="88">
        <v>45430</v>
      </c>
      <c r="B105" s="3" t="s">
        <v>594</v>
      </c>
      <c r="E105" s="77">
        <v>-500</v>
      </c>
      <c r="F105" s="77">
        <v>0</v>
      </c>
    </row>
    <row r="106" spans="1:6">
      <c r="A106" s="88">
        <v>45431</v>
      </c>
      <c r="B106" s="3" t="s">
        <v>597</v>
      </c>
      <c r="E106" s="77">
        <v>-266</v>
      </c>
      <c r="F106" s="77">
        <v>0</v>
      </c>
    </row>
    <row r="107" spans="1:6">
      <c r="A107" s="88">
        <v>45432</v>
      </c>
      <c r="B107" s="3" t="s">
        <v>597</v>
      </c>
      <c r="E107" s="77">
        <v>-22.1</v>
      </c>
      <c r="F107" s="77">
        <v>0</v>
      </c>
    </row>
    <row r="108" spans="1:6">
      <c r="A108" s="88">
        <v>45432</v>
      </c>
      <c r="B108" s="3" t="s">
        <v>592</v>
      </c>
      <c r="E108" s="77">
        <v>-11.5</v>
      </c>
      <c r="F108" s="77">
        <v>0</v>
      </c>
    </row>
    <row r="109" spans="1:6">
      <c r="A109" s="88">
        <v>45432</v>
      </c>
      <c r="B109" s="3" t="s">
        <v>593</v>
      </c>
      <c r="E109" s="77">
        <v>-335</v>
      </c>
      <c r="F109" s="77">
        <v>0</v>
      </c>
    </row>
    <row r="110" spans="1:6">
      <c r="A110" s="88">
        <v>45432</v>
      </c>
      <c r="B110" s="3" t="s">
        <v>592</v>
      </c>
      <c r="E110" s="77">
        <v>-11.5</v>
      </c>
      <c r="F110" s="77">
        <v>0</v>
      </c>
    </row>
    <row r="111" spans="1:6">
      <c r="A111" s="88">
        <v>45432</v>
      </c>
      <c r="B111" s="3" t="s">
        <v>598</v>
      </c>
      <c r="E111" s="77">
        <v>-650</v>
      </c>
      <c r="F111" s="77">
        <v>0</v>
      </c>
    </row>
    <row r="112" spans="1:6">
      <c r="A112" s="88">
        <v>45435</v>
      </c>
      <c r="B112" s="3" t="s">
        <v>581</v>
      </c>
      <c r="C112" s="8" t="s">
        <v>582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599</v>
      </c>
      <c r="E113" s="77">
        <v>-550</v>
      </c>
      <c r="F113" s="77">
        <v>0</v>
      </c>
    </row>
    <row r="114" spans="1:6" ht="15">
      <c r="A114" s="88"/>
      <c r="B114" s="3"/>
      <c r="C114" s="184" t="s">
        <v>423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600</v>
      </c>
      <c r="B118" s="104" t="s">
        <v>137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503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307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504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505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508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601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510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602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156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157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603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604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430</v>
      </c>
      <c r="C5" s="8" t="s">
        <v>605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606</v>
      </c>
      <c r="D8" s="78" t="s">
        <v>607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608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609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609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610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1"/>
    </row>
    <row r="30" spans="1:8">
      <c r="A30" s="172">
        <v>44929</v>
      </c>
      <c r="B30" s="173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566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444</v>
      </c>
      <c r="C44">
        <v>1406</v>
      </c>
      <c r="D44" s="77" t="s">
        <v>611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612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613</v>
      </c>
      <c r="E46" s="77">
        <v>-666.56</v>
      </c>
    </row>
    <row r="47" spans="1:5">
      <c r="A47" s="88">
        <v>45358</v>
      </c>
      <c r="B47" s="8" t="s">
        <v>447</v>
      </c>
      <c r="C47">
        <v>2273</v>
      </c>
      <c r="D47" s="77" t="s">
        <v>611</v>
      </c>
      <c r="E47" s="77">
        <v>-378.87</v>
      </c>
    </row>
    <row r="48" spans="1:5">
      <c r="A48" s="88">
        <v>45371</v>
      </c>
      <c r="B48" s="8" t="s">
        <v>448</v>
      </c>
      <c r="D48" s="77" t="s">
        <v>614</v>
      </c>
      <c r="E48" s="77">
        <v>101.77</v>
      </c>
    </row>
    <row r="49" spans="1:5">
      <c r="A49" s="88">
        <v>45377</v>
      </c>
      <c r="B49" s="8" t="s">
        <v>615</v>
      </c>
      <c r="D49" s="77" t="s">
        <v>616</v>
      </c>
    </row>
    <row r="50" spans="1:5">
      <c r="A50" s="100"/>
      <c r="B50" s="107" t="s">
        <v>617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618</v>
      </c>
      <c r="E52" s="77">
        <v>-790</v>
      </c>
    </row>
    <row r="53" spans="1:5">
      <c r="A53" s="100"/>
      <c r="B53" s="107" t="s">
        <v>619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526</v>
      </c>
      <c r="C59" s="106"/>
      <c r="D59" s="77" t="s">
        <v>620</v>
      </c>
      <c r="E59" s="77">
        <v>-3551.66</v>
      </c>
    </row>
    <row r="60" spans="1:5">
      <c r="A60" s="100"/>
      <c r="B60" s="3" t="s">
        <v>482</v>
      </c>
      <c r="C60" s="106"/>
      <c r="D60" s="77" t="s">
        <v>621</v>
      </c>
      <c r="E60" s="77">
        <v>-649.78</v>
      </c>
    </row>
    <row r="61" spans="1:5">
      <c r="A61" s="100"/>
      <c r="B61" s="3" t="s">
        <v>484</v>
      </c>
      <c r="C61" s="106">
        <v>49.98</v>
      </c>
      <c r="D61" s="77" t="s">
        <v>621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622</v>
      </c>
      <c r="C64" s="106"/>
      <c r="E64" s="77">
        <v>-500</v>
      </c>
    </row>
    <row r="65" spans="1:5">
      <c r="A65" s="100">
        <v>45398</v>
      </c>
      <c r="B65" s="3" t="s">
        <v>623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623</v>
      </c>
      <c r="C67" s="106"/>
      <c r="E67" s="77">
        <v>-871.29</v>
      </c>
    </row>
    <row r="68" spans="1:5">
      <c r="A68" s="100">
        <v>45398</v>
      </c>
      <c r="B68" s="3" t="s">
        <v>623</v>
      </c>
      <c r="C68" s="106"/>
      <c r="E68" s="77">
        <v>-810.42</v>
      </c>
    </row>
    <row r="69" spans="1:5">
      <c r="A69" s="100">
        <v>45397</v>
      </c>
      <c r="B69" s="3" t="s">
        <v>581</v>
      </c>
      <c r="C69" s="106">
        <v>240</v>
      </c>
      <c r="E69" s="77">
        <v>-240</v>
      </c>
    </row>
    <row r="70" spans="1:5">
      <c r="A70" s="100">
        <v>45388</v>
      </c>
      <c r="B70" s="3" t="s">
        <v>624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581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625</v>
      </c>
      <c r="C78" s="106"/>
      <c r="E78" s="77">
        <v>-1306.8800000000001</v>
      </c>
    </row>
    <row r="79" spans="1:5">
      <c r="A79" s="100">
        <v>45387</v>
      </c>
      <c r="B79" s="3" t="s">
        <v>626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627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628</v>
      </c>
      <c r="B101" s="104" t="s">
        <v>137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503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307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504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505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508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601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510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602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156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157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629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630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430</v>
      </c>
      <c r="C6" s="8" t="s">
        <v>631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632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633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634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606</v>
      </c>
      <c r="D10" s="77" t="s">
        <v>635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636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637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638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638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461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639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640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641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642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642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642</v>
      </c>
      <c r="C27" s="8" t="s">
        <v>643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642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644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645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646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647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648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649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566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444</v>
      </c>
      <c r="C68">
        <v>1406</v>
      </c>
      <c r="D68" s="77" t="s">
        <v>650</v>
      </c>
      <c r="E68" s="77">
        <v>-234.33</v>
      </c>
    </row>
    <row r="69" spans="1:5">
      <c r="A69" s="88">
        <v>45358</v>
      </c>
      <c r="B69" s="8" t="s">
        <v>447</v>
      </c>
      <c r="C69">
        <v>2273</v>
      </c>
      <c r="D69" s="77" t="s">
        <v>650</v>
      </c>
      <c r="E69" s="77">
        <v>-378.87</v>
      </c>
    </row>
    <row r="70" spans="1:5">
      <c r="A70" s="88">
        <v>45371</v>
      </c>
      <c r="B70" s="8" t="s">
        <v>448</v>
      </c>
      <c r="D70" s="77" t="s">
        <v>651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652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652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653</v>
      </c>
      <c r="E74" s="77">
        <v>-343</v>
      </c>
    </row>
    <row r="75" spans="1:5">
      <c r="A75" s="100">
        <v>45348</v>
      </c>
      <c r="B75" s="106" t="s">
        <v>654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655</v>
      </c>
      <c r="C78" s="106"/>
      <c r="E78" s="77">
        <v>-600</v>
      </c>
    </row>
    <row r="79" spans="1:5">
      <c r="A79" s="100">
        <v>45354</v>
      </c>
      <c r="B79" s="107" t="s">
        <v>656</v>
      </c>
      <c r="C79" s="106"/>
      <c r="E79" s="77">
        <v>-330</v>
      </c>
    </row>
    <row r="80" spans="1:5">
      <c r="A80" s="100">
        <v>45355</v>
      </c>
      <c r="B80" s="107" t="s">
        <v>657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530</v>
      </c>
      <c r="C81" s="106"/>
      <c r="E81" s="77">
        <v>-50</v>
      </c>
    </row>
    <row r="82" spans="1:5">
      <c r="A82" s="100">
        <v>45356</v>
      </c>
      <c r="B82" s="107" t="s">
        <v>657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658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657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659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660</v>
      </c>
      <c r="C90" s="106"/>
      <c r="E90" s="77">
        <v>500</v>
      </c>
    </row>
    <row r="91" spans="1:5" ht="15">
      <c r="A91" s="100">
        <v>45374</v>
      </c>
      <c r="B91" s="107" t="s">
        <v>660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661</v>
      </c>
      <c r="D99" s="77" t="s">
        <v>662</v>
      </c>
      <c r="E99" s="77">
        <v>-600</v>
      </c>
    </row>
    <row r="100" spans="1:6">
      <c r="A100" s="165">
        <v>45285</v>
      </c>
      <c r="B100" s="106" t="s">
        <v>526</v>
      </c>
      <c r="C100" s="106"/>
      <c r="D100" s="77" t="s">
        <v>663</v>
      </c>
      <c r="E100" s="77">
        <v>-3551.66</v>
      </c>
      <c r="F100" s="77">
        <v>0</v>
      </c>
    </row>
    <row r="101" spans="1:6">
      <c r="A101" s="100"/>
      <c r="B101" s="3" t="s">
        <v>664</v>
      </c>
      <c r="C101" s="106"/>
      <c r="D101" s="77" t="s">
        <v>665</v>
      </c>
      <c r="E101" s="77">
        <v>-649.78</v>
      </c>
      <c r="F101" s="77">
        <v>0</v>
      </c>
    </row>
    <row r="102" spans="1:6">
      <c r="A102" s="100"/>
      <c r="B102" s="3" t="s">
        <v>484</v>
      </c>
      <c r="C102" s="106">
        <v>49.98</v>
      </c>
      <c r="D102" s="77" t="s">
        <v>665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666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667</v>
      </c>
      <c r="B111" s="104" t="s">
        <v>137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503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307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504</v>
      </c>
      <c r="C119" s="2" t="s">
        <v>668</v>
      </c>
      <c r="D119" s="2"/>
      <c r="E119" s="17">
        <v>110122</v>
      </c>
    </row>
    <row r="120" spans="1:5">
      <c r="A120" s="160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508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601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510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602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156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157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669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670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671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430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672</v>
      </c>
      <c r="C10" s="8" t="s">
        <v>673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672</v>
      </c>
      <c r="C11" s="8" t="s">
        <v>673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674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674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675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676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677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678</v>
      </c>
      <c r="C37" t="s">
        <v>434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679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566</v>
      </c>
      <c r="C47" s="106">
        <v>7648.33</v>
      </c>
      <c r="D47" s="102" t="s">
        <v>680</v>
      </c>
      <c r="E47" s="77">
        <v>-849.81</v>
      </c>
      <c r="G47" s="63"/>
      <c r="H47" s="63"/>
    </row>
    <row r="48" spans="1:8">
      <c r="A48" s="100">
        <v>45187</v>
      </c>
      <c r="B48" s="106" t="s">
        <v>681</v>
      </c>
      <c r="C48" s="106">
        <v>11128</v>
      </c>
      <c r="D48" s="102" t="s">
        <v>445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682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683</v>
      </c>
      <c r="E52" s="77">
        <v>-900</v>
      </c>
      <c r="G52" s="63"/>
      <c r="H52" s="63"/>
    </row>
    <row r="53" spans="1:8">
      <c r="A53" s="88">
        <v>45330</v>
      </c>
      <c r="B53" s="8" t="s">
        <v>684</v>
      </c>
      <c r="E53" s="77">
        <v>-116.38</v>
      </c>
      <c r="G53" s="63"/>
      <c r="H53" s="63"/>
    </row>
    <row r="54" spans="1:8">
      <c r="A54" s="100">
        <v>45331</v>
      </c>
      <c r="B54" s="106" t="s">
        <v>657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685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657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686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687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657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657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688</v>
      </c>
      <c r="C67" s="106"/>
      <c r="D67" s="102" t="s">
        <v>689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661</v>
      </c>
      <c r="D68" s="102" t="s">
        <v>690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526</v>
      </c>
      <c r="C69" s="106"/>
      <c r="D69" s="102" t="s">
        <v>691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692</v>
      </c>
      <c r="C70" s="176">
        <v>-1204.5</v>
      </c>
      <c r="D70" s="102" t="s">
        <v>693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694</v>
      </c>
      <c r="C71" s="176">
        <v>-148.6</v>
      </c>
      <c r="D71" s="102" t="s">
        <v>693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695</v>
      </c>
      <c r="C72" s="176">
        <v>-244.8</v>
      </c>
      <c r="D72" s="102" t="s">
        <v>693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696</v>
      </c>
      <c r="C73" s="176">
        <v>-532.6</v>
      </c>
      <c r="D73" s="102" t="s">
        <v>693</v>
      </c>
      <c r="E73" s="77">
        <v>-177.54</v>
      </c>
      <c r="F73" s="63"/>
      <c r="G73" s="63"/>
      <c r="H73" s="63"/>
    </row>
    <row r="74" spans="1:8">
      <c r="A74" s="165"/>
      <c r="B74" s="106" t="s">
        <v>162</v>
      </c>
      <c r="C74" s="106">
        <v>899</v>
      </c>
      <c r="D74" s="195" t="s">
        <v>697</v>
      </c>
      <c r="E74" s="77">
        <v>-449.5</v>
      </c>
      <c r="F74" s="63"/>
      <c r="G74" s="63"/>
      <c r="H74" s="63"/>
    </row>
    <row r="75" spans="1:8">
      <c r="A75" s="165"/>
      <c r="B75" s="106" t="s">
        <v>698</v>
      </c>
      <c r="C75" s="106"/>
      <c r="D75" s="195" t="s">
        <v>697</v>
      </c>
      <c r="E75" s="77">
        <v>-299.64</v>
      </c>
      <c r="F75" s="63"/>
      <c r="G75" s="63"/>
      <c r="H75" s="63"/>
    </row>
    <row r="76" spans="1:8">
      <c r="A76" s="165"/>
      <c r="B76" s="106" t="s">
        <v>699</v>
      </c>
      <c r="C76" s="106"/>
      <c r="D76" s="195" t="s">
        <v>697</v>
      </c>
      <c r="E76" s="77">
        <v>-546.82000000000005</v>
      </c>
      <c r="F76" s="63"/>
      <c r="G76" s="63"/>
      <c r="H76" s="63"/>
    </row>
    <row r="77" spans="1:8">
      <c r="A77" s="100"/>
      <c r="B77" s="3" t="s">
        <v>482</v>
      </c>
      <c r="C77" s="106"/>
      <c r="D77" s="195" t="s">
        <v>700</v>
      </c>
      <c r="E77" s="77">
        <v>-649.78</v>
      </c>
      <c r="F77" s="63"/>
      <c r="G77" s="63"/>
      <c r="H77" s="63"/>
    </row>
    <row r="78" spans="1:8">
      <c r="A78" s="100"/>
      <c r="B78" s="3" t="s">
        <v>484</v>
      </c>
      <c r="C78" s="106">
        <v>49.98</v>
      </c>
      <c r="D78" s="195" t="s">
        <v>700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701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702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703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704</v>
      </c>
      <c r="B108" s="104" t="s">
        <v>137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705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503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307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504</v>
      </c>
      <c r="C116" s="2" t="s">
        <v>706</v>
      </c>
      <c r="D116" s="2"/>
      <c r="E116" s="17">
        <v>129254.5</v>
      </c>
    </row>
    <row r="117" spans="1:5">
      <c r="A117" s="160">
        <f t="shared" si="1"/>
        <v>45352</v>
      </c>
      <c r="B117" s="8" t="s">
        <v>707</v>
      </c>
      <c r="C117" s="2" t="s">
        <v>708</v>
      </c>
      <c r="D117" s="2"/>
      <c r="E117" s="17">
        <v>256.56</v>
      </c>
    </row>
    <row r="118" spans="1:5">
      <c r="A118" s="160">
        <f t="shared" si="1"/>
        <v>45352</v>
      </c>
      <c r="B118" s="8" t="s">
        <v>709</v>
      </c>
      <c r="C118" s="160" t="s">
        <v>710</v>
      </c>
      <c r="D118" s="161"/>
      <c r="E118" s="17">
        <v>0</v>
      </c>
    </row>
    <row r="119" spans="1:5">
      <c r="A119" s="160">
        <f t="shared" si="1"/>
        <v>45352</v>
      </c>
      <c r="B119" s="8" t="s">
        <v>711</v>
      </c>
      <c r="C119" s="160" t="s">
        <v>712</v>
      </c>
      <c r="D119" s="161"/>
      <c r="E119" s="17">
        <v>588.6</v>
      </c>
    </row>
    <row r="120" spans="1:5">
      <c r="A120" s="160">
        <f t="shared" si="1"/>
        <v>45352</v>
      </c>
      <c r="B120" s="8" t="s">
        <v>713</v>
      </c>
      <c r="C120" s="160"/>
      <c r="D120" s="161"/>
      <c r="E120" s="17"/>
    </row>
    <row r="121" spans="1:5">
      <c r="A121" s="160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714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715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510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716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156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157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717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430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399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718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719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720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721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721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722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723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724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725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726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677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675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727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330</v>
      </c>
      <c r="G33" s="63"/>
      <c r="H33" s="124"/>
    </row>
    <row r="34" spans="1:8">
      <c r="A34" s="103" t="s">
        <v>331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332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6">
        <v>999.4</v>
      </c>
      <c r="H37" s="63"/>
    </row>
    <row r="38" spans="1:8">
      <c r="B38" t="s">
        <v>334</v>
      </c>
      <c r="D38" s="2">
        <v>876.64</v>
      </c>
      <c r="E38" s="176">
        <v>875</v>
      </c>
      <c r="F38" s="63"/>
      <c r="G38" s="63"/>
    </row>
    <row r="39" spans="1:8">
      <c r="B39" t="s">
        <v>335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728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337</v>
      </c>
      <c r="D41" s="2">
        <v>483.72</v>
      </c>
      <c r="E41" s="176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729</v>
      </c>
      <c r="C50" s="106">
        <v>10764.57</v>
      </c>
      <c r="D50" s="35" t="s">
        <v>730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566</v>
      </c>
      <c r="C51" s="106">
        <v>7648.33</v>
      </c>
      <c r="D51" s="204" t="s">
        <v>731</v>
      </c>
      <c r="E51" s="124">
        <v>-849.81</v>
      </c>
      <c r="G51" s="63"/>
      <c r="H51" s="63"/>
    </row>
    <row r="52" spans="1:8">
      <c r="A52" s="100">
        <v>45187</v>
      </c>
      <c r="B52" s="106" t="s">
        <v>681</v>
      </c>
      <c r="C52" s="106">
        <v>11128</v>
      </c>
      <c r="D52" s="204" t="s">
        <v>476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688</v>
      </c>
      <c r="C66" s="106"/>
      <c r="D66" s="8" t="s">
        <v>732</v>
      </c>
      <c r="E66" s="124">
        <v>-3974.44</v>
      </c>
      <c r="G66" s="63"/>
      <c r="H66" s="63"/>
    </row>
    <row r="67" spans="1:8">
      <c r="A67" s="165">
        <v>45214</v>
      </c>
      <c r="B67" s="8" t="s">
        <v>661</v>
      </c>
      <c r="D67" s="8" t="s">
        <v>733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526</v>
      </c>
      <c r="C68" s="106"/>
      <c r="D68" s="8" t="s">
        <v>734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692</v>
      </c>
      <c r="C69" s="176">
        <v>-1204.5</v>
      </c>
      <c r="D69" s="8" t="s">
        <v>735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694</v>
      </c>
      <c r="C70" s="176">
        <v>-148.6</v>
      </c>
      <c r="D70" s="8" t="s">
        <v>735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695</v>
      </c>
      <c r="C71" s="176">
        <v>-244.8</v>
      </c>
      <c r="D71" s="8" t="s">
        <v>735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696</v>
      </c>
      <c r="C72" s="176">
        <v>-532.6</v>
      </c>
      <c r="D72" s="8" t="s">
        <v>735</v>
      </c>
      <c r="E72" s="124">
        <v>-177.53</v>
      </c>
      <c r="F72" s="63"/>
      <c r="G72" s="63"/>
      <c r="H72" s="63"/>
    </row>
    <row r="73" spans="1:8">
      <c r="A73" s="165"/>
      <c r="B73" s="106" t="s">
        <v>162</v>
      </c>
      <c r="C73" s="106">
        <v>899</v>
      </c>
      <c r="D73" s="8" t="s">
        <v>736</v>
      </c>
      <c r="E73" s="124">
        <v>-449.5</v>
      </c>
      <c r="F73" s="63"/>
      <c r="G73" s="63"/>
      <c r="H73" s="63"/>
    </row>
    <row r="74" spans="1:8">
      <c r="A74" s="165"/>
      <c r="B74" s="106" t="s">
        <v>698</v>
      </c>
      <c r="C74" s="106"/>
      <c r="D74" s="8" t="s">
        <v>736</v>
      </c>
      <c r="E74" s="124">
        <v>-299.64</v>
      </c>
      <c r="F74" s="63"/>
      <c r="G74" s="63"/>
      <c r="H74" s="63"/>
    </row>
    <row r="75" spans="1:8">
      <c r="A75" s="165"/>
      <c r="B75" s="106" t="s">
        <v>699</v>
      </c>
      <c r="C75" s="106"/>
      <c r="D75" s="8" t="s">
        <v>736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546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534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546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737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738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738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739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740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741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741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737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742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743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744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489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745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746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747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748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749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750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751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751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752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753</v>
      </c>
      <c r="B111" s="104" t="s">
        <v>137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754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503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307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241</v>
      </c>
      <c r="C118" s="2" t="s">
        <v>755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504</v>
      </c>
      <c r="C119" s="2" t="s">
        <v>706</v>
      </c>
      <c r="D119" s="2"/>
      <c r="E119" s="17">
        <v>129254.5</v>
      </c>
    </row>
    <row r="120" spans="1:6">
      <c r="A120" s="160">
        <f t="shared" si="1"/>
        <v>45352</v>
      </c>
      <c r="B120" s="8" t="s">
        <v>707</v>
      </c>
      <c r="C120" s="2" t="s">
        <v>708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709</v>
      </c>
      <c r="C121" s="160" t="s">
        <v>756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711</v>
      </c>
      <c r="C122" s="160" t="s">
        <v>712</v>
      </c>
      <c r="D122" s="161"/>
      <c r="E122" s="17">
        <v>588.6</v>
      </c>
    </row>
    <row r="123" spans="1:6">
      <c r="A123" s="160">
        <f t="shared" si="1"/>
        <v>45352</v>
      </c>
      <c r="B123" s="8" t="s">
        <v>713</v>
      </c>
      <c r="C123" s="160"/>
      <c r="D123" s="161"/>
      <c r="E123" s="17"/>
    </row>
    <row r="124" spans="1:6">
      <c r="A124" s="160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714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715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510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716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156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157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757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430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399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758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328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328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328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759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759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760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761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677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762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763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764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727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765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766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766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767</v>
      </c>
      <c r="F36" s="176">
        <v>24000</v>
      </c>
      <c r="H36" s="124">
        <f t="shared" si="0"/>
        <v>137234.37</v>
      </c>
    </row>
    <row r="37" spans="1:8">
      <c r="A37" s="165"/>
      <c r="B37" s="8" t="s">
        <v>768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768</v>
      </c>
      <c r="G38" s="124">
        <v>-1000</v>
      </c>
      <c r="H38" s="124">
        <f t="shared" si="0"/>
        <v>132234.37</v>
      </c>
    </row>
    <row r="39" spans="1:8">
      <c r="A39" s="165"/>
      <c r="B39" s="8" t="s">
        <v>769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770</v>
      </c>
      <c r="H41" s="124">
        <f t="shared" si="0"/>
        <v>128534.37</v>
      </c>
    </row>
    <row r="42" spans="1:8">
      <c r="B42" t="s">
        <v>771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2">
        <v>44929</v>
      </c>
      <c r="B49" s="173" t="s">
        <v>332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333</v>
      </c>
      <c r="C50" s="124" t="s">
        <v>772</v>
      </c>
      <c r="D50" s="124">
        <v>1329.72</v>
      </c>
      <c r="E50" s="124">
        <v>1330</v>
      </c>
    </row>
    <row r="51" spans="1:5">
      <c r="B51" t="s">
        <v>773</v>
      </c>
      <c r="D51" s="124">
        <v>1282.42</v>
      </c>
      <c r="E51" s="124">
        <v>1250</v>
      </c>
    </row>
    <row r="52" spans="1:5">
      <c r="B52" t="s">
        <v>335</v>
      </c>
      <c r="D52" s="124">
        <v>298.67</v>
      </c>
      <c r="E52" s="124">
        <v>298.5</v>
      </c>
    </row>
    <row r="53" spans="1:5">
      <c r="B53" t="s">
        <v>774</v>
      </c>
      <c r="D53" s="124">
        <v>1204.3800000000001</v>
      </c>
      <c r="E53" s="124">
        <v>1205</v>
      </c>
    </row>
    <row r="54" spans="1:5">
      <c r="B54" t="s">
        <v>337</v>
      </c>
      <c r="D54" s="124">
        <v>487.82</v>
      </c>
      <c r="E54" s="124">
        <v>490</v>
      </c>
    </row>
    <row r="55" spans="1:5">
      <c r="B55" t="s">
        <v>338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729</v>
      </c>
      <c r="C63" s="124">
        <v>10764.57</v>
      </c>
      <c r="D63" s="124" t="s">
        <v>775</v>
      </c>
      <c r="E63" s="124">
        <v>-1196.06</v>
      </c>
    </row>
    <row r="64" spans="1:5">
      <c r="A64" s="100">
        <v>45187</v>
      </c>
      <c r="B64" s="106" t="s">
        <v>566</v>
      </c>
      <c r="C64" s="124">
        <v>7648.33</v>
      </c>
      <c r="D64" s="124" t="s">
        <v>776</v>
      </c>
      <c r="E64" s="124">
        <v>-849.81</v>
      </c>
    </row>
    <row r="65" spans="1:5">
      <c r="A65" s="100">
        <v>45187</v>
      </c>
      <c r="B65" s="106" t="s">
        <v>681</v>
      </c>
      <c r="C65" s="124">
        <v>11128</v>
      </c>
      <c r="D65" s="124" t="s">
        <v>519</v>
      </c>
      <c r="E65" s="124">
        <v>-1854.67</v>
      </c>
    </row>
    <row r="66" spans="1:5">
      <c r="A66" s="160">
        <v>44995</v>
      </c>
      <c r="B66" s="8" t="s">
        <v>777</v>
      </c>
      <c r="C66" s="124">
        <v>613.91</v>
      </c>
      <c r="D66" s="124" t="s">
        <v>778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688</v>
      </c>
      <c r="D79" s="124" t="s">
        <v>779</v>
      </c>
      <c r="E79" s="124">
        <v>-3974.44</v>
      </c>
    </row>
    <row r="80" spans="1:5">
      <c r="A80" s="165">
        <v>45214</v>
      </c>
      <c r="B80" s="8" t="s">
        <v>661</v>
      </c>
      <c r="D80" s="124" t="s">
        <v>663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692</v>
      </c>
      <c r="C82" s="124">
        <v>-1204.5</v>
      </c>
      <c r="D82" s="124" t="s">
        <v>780</v>
      </c>
      <c r="E82" s="124">
        <v>-401.5</v>
      </c>
    </row>
    <row r="83" spans="1:5">
      <c r="A83" s="165">
        <v>45259</v>
      </c>
      <c r="B83" s="8" t="s">
        <v>694</v>
      </c>
      <c r="C83" s="124">
        <v>-148.6</v>
      </c>
      <c r="D83" s="124" t="s">
        <v>780</v>
      </c>
      <c r="E83" s="124">
        <v>-49.53</v>
      </c>
    </row>
    <row r="84" spans="1:5">
      <c r="A84" s="165">
        <v>45259</v>
      </c>
      <c r="B84" s="8" t="s">
        <v>695</v>
      </c>
      <c r="C84" s="124">
        <v>-244.8</v>
      </c>
      <c r="D84" s="124" t="s">
        <v>780</v>
      </c>
      <c r="E84" s="124">
        <v>-81.599999999999994</v>
      </c>
    </row>
    <row r="85" spans="1:5">
      <c r="A85" s="165">
        <v>45259</v>
      </c>
      <c r="B85" s="8" t="s">
        <v>696</v>
      </c>
      <c r="C85" s="124">
        <v>-532.6</v>
      </c>
      <c r="D85" s="124" t="s">
        <v>780</v>
      </c>
      <c r="E85" s="124">
        <v>-177.53</v>
      </c>
    </row>
    <row r="86" spans="1:5">
      <c r="A86" s="165">
        <v>45285</v>
      </c>
      <c r="B86" s="106" t="s">
        <v>526</v>
      </c>
    </row>
    <row r="87" spans="1:5">
      <c r="A87" s="100"/>
      <c r="B87" s="3" t="s">
        <v>539</v>
      </c>
      <c r="C87" s="124">
        <v>109.92</v>
      </c>
    </row>
    <row r="88" spans="1:5">
      <c r="A88" s="100">
        <v>45283</v>
      </c>
      <c r="B88" s="3" t="s">
        <v>546</v>
      </c>
      <c r="E88" s="124">
        <v>-90</v>
      </c>
    </row>
    <row r="89" spans="1:5">
      <c r="A89" s="100">
        <v>45283</v>
      </c>
      <c r="B89" s="3" t="s">
        <v>135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135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546</v>
      </c>
      <c r="E91" s="124">
        <v>-110</v>
      </c>
    </row>
    <row r="92" spans="1:5">
      <c r="A92" s="100">
        <v>45281</v>
      </c>
      <c r="B92" s="3" t="s">
        <v>135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135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781</v>
      </c>
      <c r="E94" s="124">
        <v>-260</v>
      </c>
    </row>
    <row r="95" spans="1:5">
      <c r="A95" s="100">
        <v>45278</v>
      </c>
      <c r="B95" s="3" t="s">
        <v>135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782</v>
      </c>
      <c r="E96" s="124">
        <v>-300</v>
      </c>
    </row>
    <row r="97" spans="1:5">
      <c r="A97" s="100">
        <v>45276</v>
      </c>
      <c r="B97" s="3" t="s">
        <v>135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783</v>
      </c>
      <c r="E98" s="124">
        <v>-470</v>
      </c>
    </row>
    <row r="99" spans="1:5">
      <c r="A99" s="100">
        <v>45275</v>
      </c>
      <c r="B99" s="3" t="s">
        <v>784</v>
      </c>
      <c r="E99" s="124">
        <v>-285</v>
      </c>
    </row>
    <row r="100" spans="1:5">
      <c r="A100" s="100">
        <v>45274</v>
      </c>
      <c r="B100" s="3" t="s">
        <v>135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785</v>
      </c>
      <c r="E101" s="124">
        <v>-1108.1500000000001</v>
      </c>
    </row>
    <row r="102" spans="1:5">
      <c r="A102" s="100">
        <v>45271</v>
      </c>
      <c r="B102" s="3" t="s">
        <v>135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133</v>
      </c>
      <c r="E103" s="124">
        <v>-1551.29</v>
      </c>
    </row>
    <row r="104" spans="1:5">
      <c r="A104" s="100">
        <v>45270</v>
      </c>
      <c r="B104" s="3" t="s">
        <v>786</v>
      </c>
      <c r="E104" s="124">
        <v>-315.10000000000002</v>
      </c>
    </row>
    <row r="105" spans="1:5">
      <c r="A105" s="100">
        <v>45267</v>
      </c>
      <c r="B105" s="3" t="s">
        <v>546</v>
      </c>
      <c r="E105" s="124">
        <v>-300</v>
      </c>
    </row>
    <row r="106" spans="1:5">
      <c r="A106" s="100">
        <v>45266</v>
      </c>
      <c r="B106" s="3" t="s">
        <v>135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135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130</v>
      </c>
      <c r="D108" s="124">
        <v>11990.16</v>
      </c>
    </row>
    <row r="109" spans="1:5">
      <c r="A109" s="100">
        <v>45260</v>
      </c>
      <c r="B109" s="3" t="s">
        <v>135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135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135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135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423</v>
      </c>
      <c r="C114" s="124">
        <f>SUM(C89:C113)</f>
        <v>-2400.41</v>
      </c>
    </row>
    <row r="118" spans="1:5">
      <c r="A118" s="113" t="s">
        <v>787</v>
      </c>
      <c r="B118" s="104" t="s">
        <v>137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788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503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307</v>
      </c>
      <c r="D124" s="2"/>
      <c r="E124" s="17">
        <v>0</v>
      </c>
    </row>
    <row r="125" spans="1:5">
      <c r="A125" s="160">
        <v>45327</v>
      </c>
      <c r="B125" s="8" t="s">
        <v>241</v>
      </c>
      <c r="C125" s="2" t="s">
        <v>789</v>
      </c>
      <c r="D125" s="2"/>
      <c r="E125" s="17">
        <v>132120.79</v>
      </c>
    </row>
    <row r="126" spans="1:5">
      <c r="A126" s="160">
        <f>A125</f>
        <v>45327</v>
      </c>
      <c r="B126" s="8" t="s">
        <v>790</v>
      </c>
      <c r="C126" s="2"/>
      <c r="D126" s="2"/>
      <c r="E126" s="17">
        <v>0</v>
      </c>
    </row>
    <row r="127" spans="1:5">
      <c r="A127" s="160">
        <v>45327</v>
      </c>
      <c r="B127" s="8" t="s">
        <v>791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792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141</v>
      </c>
      <c r="C129" s="2"/>
      <c r="D129" s="2"/>
      <c r="E129" s="17">
        <v>500</v>
      </c>
    </row>
    <row r="130" spans="1:5">
      <c r="A130" s="160">
        <v>45327</v>
      </c>
      <c r="B130" s="8" t="s">
        <v>793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794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510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795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157</v>
      </c>
      <c r="E136" s="127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796</v>
      </c>
    </row>
    <row r="141" spans="1:5">
      <c r="A141" s="88">
        <v>45317</v>
      </c>
      <c r="B141" s="8" t="s">
        <v>797</v>
      </c>
      <c r="C141" s="124">
        <v>12500</v>
      </c>
      <c r="D141" s="124" t="s">
        <v>798</v>
      </c>
      <c r="E141" s="124">
        <v>10000</v>
      </c>
    </row>
    <row r="142" spans="1:5">
      <c r="B142" t="s">
        <v>797</v>
      </c>
      <c r="C142" s="124">
        <v>13400</v>
      </c>
      <c r="D142" s="124" t="s">
        <v>141</v>
      </c>
      <c r="E142" s="124">
        <v>25000</v>
      </c>
    </row>
    <row r="143" spans="1:5">
      <c r="B143" t="s">
        <v>797</v>
      </c>
      <c r="C143" s="124">
        <v>13700</v>
      </c>
      <c r="D143" s="124" t="s">
        <v>799</v>
      </c>
      <c r="E143" s="124">
        <v>10400</v>
      </c>
    </row>
    <row r="144" spans="1:5">
      <c r="B144" t="s">
        <v>797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800</v>
      </c>
      <c r="C146" s="124">
        <v>14400</v>
      </c>
    </row>
    <row r="147" spans="2:4">
      <c r="B147" t="s">
        <v>801</v>
      </c>
      <c r="C147" s="124">
        <v>2800</v>
      </c>
      <c r="D147" s="124">
        <f>SUM(C146:C147)</f>
        <v>17200</v>
      </c>
    </row>
    <row r="148" spans="2:4">
      <c r="B148" t="s">
        <v>802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803</v>
      </c>
      <c r="L2" s="212" t="s">
        <v>804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805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806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807</v>
      </c>
    </row>
    <row r="20" spans="2:13" ht="15">
      <c r="C20" s="67"/>
      <c r="D20" s="68" t="s">
        <v>808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809</v>
      </c>
    </row>
    <row r="26" spans="2:13">
      <c r="B26" s="103"/>
      <c r="C26" s="104" t="s">
        <v>810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811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812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813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814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815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817</v>
      </c>
      <c r="F5" s="17"/>
      <c r="G5" s="2">
        <f t="shared" si="0"/>
        <v>-1000</v>
      </c>
    </row>
    <row r="6" spans="2:7">
      <c r="B6" s="1">
        <v>44873</v>
      </c>
      <c r="C6" s="8" t="s">
        <v>818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819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820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821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822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822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823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824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825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826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673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827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828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673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829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830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831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832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833</v>
      </c>
      <c r="E26" s="2">
        <v>613</v>
      </c>
      <c r="F26" s="4"/>
      <c r="G26" s="2">
        <f t="shared" si="0"/>
        <v>2148.9999999999991</v>
      </c>
    </row>
    <row r="27" spans="2:7">
      <c r="C27" s="8" t="s">
        <v>834</v>
      </c>
      <c r="E27" s="2">
        <v>720</v>
      </c>
      <c r="F27" s="4"/>
      <c r="G27" s="2">
        <f t="shared" si="0"/>
        <v>2868.9999999999991</v>
      </c>
    </row>
    <row r="28" spans="2:7">
      <c r="C28" s="8" t="s">
        <v>835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836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837</v>
      </c>
      <c r="E30" s="2">
        <v>2650</v>
      </c>
      <c r="F30" s="4"/>
      <c r="G30" s="2">
        <f t="shared" si="0"/>
        <v>3982.9999999999991</v>
      </c>
    </row>
    <row r="31" spans="2:7">
      <c r="C31" s="8" t="s">
        <v>838</v>
      </c>
      <c r="E31" s="2">
        <v>1356</v>
      </c>
      <c r="F31" s="4"/>
      <c r="G31" s="2">
        <f t="shared" si="0"/>
        <v>5338.9999999999991</v>
      </c>
    </row>
    <row r="32" spans="2:7">
      <c r="C32" s="8" t="s">
        <v>838</v>
      </c>
      <c r="E32" s="2">
        <v>869</v>
      </c>
      <c r="F32" s="4"/>
      <c r="G32" s="2">
        <f t="shared" si="0"/>
        <v>6207.9999999999991</v>
      </c>
    </row>
    <row r="33" spans="2:7">
      <c r="C33" s="8" t="s">
        <v>839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840</v>
      </c>
      <c r="F34" s="4">
        <v>3450</v>
      </c>
      <c r="G34" s="2">
        <f t="shared" si="0"/>
        <v>2757.9999999999991</v>
      </c>
    </row>
    <row r="35" spans="2:7">
      <c r="C35" s="8" t="s">
        <v>841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842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843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844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845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846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847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848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849</v>
      </c>
      <c r="E46" s="2">
        <v>573</v>
      </c>
      <c r="G46" s="2">
        <f t="shared" si="1"/>
        <v>4931</v>
      </c>
    </row>
    <row r="47" spans="2:7">
      <c r="C47" s="8" t="s">
        <v>850</v>
      </c>
      <c r="D47">
        <v>1500</v>
      </c>
      <c r="G47" s="2">
        <f t="shared" si="1"/>
        <v>4931</v>
      </c>
    </row>
    <row r="48" spans="2:7">
      <c r="C48" s="8" t="s">
        <v>851</v>
      </c>
      <c r="E48" s="2">
        <v>1207</v>
      </c>
      <c r="G48" s="2">
        <f t="shared" si="1"/>
        <v>6138</v>
      </c>
    </row>
    <row r="49" spans="2:7">
      <c r="C49" s="8" t="s">
        <v>852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853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854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855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856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857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858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859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860</v>
      </c>
      <c r="E61" s="241" t="s">
        <v>861</v>
      </c>
      <c r="F61" s="241" t="s">
        <v>862</v>
      </c>
      <c r="G61" s="242" t="s">
        <v>862</v>
      </c>
    </row>
    <row r="62" spans="2:7">
      <c r="D62" s="240" t="s">
        <v>863</v>
      </c>
      <c r="E62" s="241" t="s">
        <v>864</v>
      </c>
      <c r="F62" s="241" t="s">
        <v>274</v>
      </c>
      <c r="G62" s="243" t="s">
        <v>865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866</v>
      </c>
    </row>
    <row r="3" spans="2:9">
      <c r="D3" s="246" t="s">
        <v>867</v>
      </c>
      <c r="E3" s="124" t="s">
        <v>868</v>
      </c>
      <c r="F3" s="246" t="s">
        <v>869</v>
      </c>
      <c r="G3" s="247"/>
      <c r="I3" s="246" t="s">
        <v>870</v>
      </c>
    </row>
    <row r="4" spans="2:9">
      <c r="D4" s="246" t="s">
        <v>871</v>
      </c>
      <c r="E4" s="124" t="s">
        <v>224</v>
      </c>
      <c r="F4" s="246" t="s">
        <v>871</v>
      </c>
      <c r="G4" s="247"/>
      <c r="I4" s="246" t="s">
        <v>224</v>
      </c>
    </row>
    <row r="5" spans="2:9" ht="14.25">
      <c r="E5" s="248">
        <v>119305.95</v>
      </c>
      <c r="F5" s="248"/>
      <c r="G5" s="249"/>
      <c r="H5" s="250" t="s">
        <v>872</v>
      </c>
      <c r="I5" s="251">
        <f>NZN_23!I8*-1</f>
        <v>119305.95484700002</v>
      </c>
    </row>
    <row r="6" spans="2:9" ht="14.25">
      <c r="H6" s="252" t="s">
        <v>873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874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875</v>
      </c>
      <c r="I8" s="256">
        <f t="shared" ref="I8:I19" si="0">I7-F8</f>
        <v>149272.95484700002</v>
      </c>
    </row>
    <row r="9" spans="2:9">
      <c r="B9" s="160">
        <v>45324</v>
      </c>
      <c r="C9" s="8" t="s">
        <v>874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875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875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875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875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875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875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876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876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876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876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877</v>
      </c>
      <c r="E21" s="258">
        <v>0.2351</v>
      </c>
      <c r="F21" s="258">
        <f>1-E21</f>
        <v>0.76490000000000002</v>
      </c>
    </row>
    <row r="22" spans="2:11">
      <c r="B22" s="259" t="s">
        <v>878</v>
      </c>
      <c r="C22" s="259" t="s">
        <v>879</v>
      </c>
      <c r="D22" s="260" t="s">
        <v>880</v>
      </c>
      <c r="E22" s="261" t="s">
        <v>881</v>
      </c>
      <c r="F22" s="260" t="s">
        <v>882</v>
      </c>
      <c r="G22" s="262" t="s">
        <v>883</v>
      </c>
      <c r="H22" s="260" t="s">
        <v>884</v>
      </c>
      <c r="I22" s="260" t="s">
        <v>885</v>
      </c>
    </row>
    <row r="23" spans="2:11">
      <c r="B23" s="263"/>
      <c r="C23" s="264" t="s">
        <v>886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887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888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889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890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891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891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771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892</v>
      </c>
      <c r="E40" s="176" t="s">
        <v>893</v>
      </c>
      <c r="F40" s="176" t="s">
        <v>894</v>
      </c>
      <c r="H40" s="281"/>
      <c r="I40" s="281"/>
      <c r="J40" s="282"/>
    </row>
    <row r="41" spans="2:11" ht="15.75">
      <c r="C41" t="s">
        <v>895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896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897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898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899</v>
      </c>
      <c r="E47" s="246" t="s">
        <v>900</v>
      </c>
      <c r="F47" s="246" t="s">
        <v>901</v>
      </c>
      <c r="K47" s="63"/>
    </row>
    <row r="48" spans="2:11">
      <c r="E48" s="252"/>
      <c r="K48" s="63"/>
    </row>
    <row r="49" spans="3:6">
      <c r="C49" s="63" t="s">
        <v>805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866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877</v>
      </c>
      <c r="E5" s="288">
        <v>0.2351</v>
      </c>
      <c r="F5" s="288">
        <f>1-E5</f>
        <v>0.76490000000000002</v>
      </c>
      <c r="I5" s="63"/>
    </row>
    <row r="6" spans="2:11">
      <c r="B6" s="8" t="s">
        <v>878</v>
      </c>
      <c r="C6" s="8" t="s">
        <v>879</v>
      </c>
      <c r="D6" s="35" t="s">
        <v>880</v>
      </c>
      <c r="E6" s="195" t="s">
        <v>881</v>
      </c>
      <c r="F6" s="35" t="s">
        <v>882</v>
      </c>
      <c r="G6" s="289" t="s">
        <v>883</v>
      </c>
      <c r="H6" s="35" t="s">
        <v>884</v>
      </c>
      <c r="I6" s="290" t="s">
        <v>885</v>
      </c>
    </row>
    <row r="7" spans="2:11">
      <c r="K7" s="267"/>
    </row>
    <row r="8" spans="2:11" ht="15.75">
      <c r="B8" s="268">
        <v>45290</v>
      </c>
      <c r="C8" s="8" t="s">
        <v>887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902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903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904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905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906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906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906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889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907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908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909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889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889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910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911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912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913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886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914</v>
      </c>
      <c r="D28" s="63"/>
      <c r="E28" s="63">
        <f>E8</f>
        <v>-5843.55</v>
      </c>
      <c r="F28" s="63"/>
      <c r="H28" s="63"/>
      <c r="I28" s="63"/>
    </row>
    <row r="29" spans="2:10">
      <c r="C29" t="s">
        <v>915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892</v>
      </c>
      <c r="E31" s="63" t="s">
        <v>893</v>
      </c>
      <c r="F31" s="63" t="s">
        <v>894</v>
      </c>
      <c r="H31" s="303"/>
      <c r="I31" s="303"/>
      <c r="J31" s="282"/>
    </row>
    <row r="32" spans="2:10" ht="15.75">
      <c r="C32" t="s">
        <v>895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896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897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898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899</v>
      </c>
      <c r="E38" s="18" t="s">
        <v>900</v>
      </c>
      <c r="F38" s="18" t="s">
        <v>901</v>
      </c>
      <c r="H38" s="63"/>
      <c r="I38" s="63"/>
      <c r="K38" s="63"/>
    </row>
    <row r="39" spans="3:11">
      <c r="C39" t="s">
        <v>916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805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917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430</v>
      </c>
      <c r="C4" s="8" t="s">
        <v>438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918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919</v>
      </c>
      <c r="C8" s="101"/>
      <c r="D8" s="101"/>
      <c r="E8" s="163"/>
      <c r="H8" s="63">
        <f t="shared" si="0"/>
        <v>-1097</v>
      </c>
    </row>
    <row r="9" spans="1:8">
      <c r="B9" s="101" t="s">
        <v>920</v>
      </c>
      <c r="C9" s="101"/>
      <c r="D9" s="101"/>
      <c r="E9" s="163"/>
      <c r="H9" s="63">
        <f t="shared" si="0"/>
        <v>-1097</v>
      </c>
    </row>
    <row r="10" spans="1:8">
      <c r="B10" s="101" t="s">
        <v>119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921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921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922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923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924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762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764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925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332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926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927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927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928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927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777</v>
      </c>
      <c r="C60">
        <v>613.91</v>
      </c>
      <c r="D60" s="35" t="s">
        <v>929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729</v>
      </c>
      <c r="C62" s="106">
        <v>10764.57</v>
      </c>
      <c r="D62" s="35" t="s">
        <v>400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930</v>
      </c>
      <c r="D63" s="204" t="s">
        <v>445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566</v>
      </c>
      <c r="C64" s="106">
        <v>7648.33</v>
      </c>
      <c r="D64" s="204" t="s">
        <v>931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681</v>
      </c>
      <c r="C65" s="106">
        <v>11128</v>
      </c>
      <c r="D65" s="204" t="s">
        <v>932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688</v>
      </c>
      <c r="C82" s="106"/>
      <c r="D82" s="8" t="s">
        <v>933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661</v>
      </c>
      <c r="D83" s="8" t="s">
        <v>934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935</v>
      </c>
      <c r="E85" s="163">
        <v>-1046.0999999999999</v>
      </c>
    </row>
    <row r="86" spans="1:8">
      <c r="A86" s="165">
        <v>45226</v>
      </c>
      <c r="B86" s="8" t="s">
        <v>935</v>
      </c>
      <c r="E86" s="163">
        <v>-1046.0999999999999</v>
      </c>
    </row>
    <row r="87" spans="1:8">
      <c r="A87" s="165">
        <v>45224</v>
      </c>
      <c r="B87" s="8" t="s">
        <v>657</v>
      </c>
      <c r="D87">
        <v>160</v>
      </c>
      <c r="E87" s="163">
        <v>-160</v>
      </c>
    </row>
    <row r="88" spans="1:8">
      <c r="A88" s="165">
        <v>45225</v>
      </c>
      <c r="B88" s="8" t="s">
        <v>657</v>
      </c>
      <c r="D88">
        <v>200</v>
      </c>
      <c r="E88" s="163">
        <v>-200</v>
      </c>
    </row>
    <row r="89" spans="1:8">
      <c r="A89" s="165">
        <v>45225</v>
      </c>
      <c r="B89" s="8" t="s">
        <v>347</v>
      </c>
      <c r="E89" s="163">
        <v>-200</v>
      </c>
    </row>
    <row r="90" spans="1:8">
      <c r="A90" s="165">
        <v>45226</v>
      </c>
      <c r="B90" s="8" t="s">
        <v>657</v>
      </c>
      <c r="D90" s="35">
        <v>150</v>
      </c>
      <c r="E90" s="163">
        <v>-150</v>
      </c>
    </row>
    <row r="91" spans="1:8">
      <c r="A91" s="165">
        <v>45227</v>
      </c>
      <c r="B91" s="8" t="s">
        <v>657</v>
      </c>
      <c r="D91" s="35">
        <v>100</v>
      </c>
      <c r="E91" s="163">
        <v>-100</v>
      </c>
    </row>
    <row r="92" spans="1:8">
      <c r="A92" s="165">
        <v>45227</v>
      </c>
      <c r="B92" s="8" t="s">
        <v>135</v>
      </c>
      <c r="D92">
        <v>70</v>
      </c>
      <c r="E92" s="163">
        <v>-70</v>
      </c>
    </row>
    <row r="93" spans="1:8">
      <c r="A93" s="165">
        <v>45229</v>
      </c>
      <c r="B93" s="8" t="s">
        <v>657</v>
      </c>
      <c r="D93">
        <v>200</v>
      </c>
      <c r="E93" s="163">
        <v>-200</v>
      </c>
    </row>
    <row r="94" spans="1:8">
      <c r="A94" s="165">
        <v>45229</v>
      </c>
      <c r="B94" s="8" t="s">
        <v>936</v>
      </c>
      <c r="D94">
        <v>95.49</v>
      </c>
      <c r="E94" s="163">
        <v>-95.49</v>
      </c>
    </row>
    <row r="95" spans="1:8">
      <c r="A95" s="165">
        <v>45232</v>
      </c>
      <c r="B95" s="8" t="s">
        <v>657</v>
      </c>
      <c r="D95">
        <v>250</v>
      </c>
      <c r="E95" s="163">
        <v>-250</v>
      </c>
    </row>
    <row r="96" spans="1:8">
      <c r="A96" s="165">
        <v>45233</v>
      </c>
      <c r="B96" s="8" t="s">
        <v>657</v>
      </c>
      <c r="D96">
        <v>180</v>
      </c>
      <c r="E96" s="163">
        <v>-160</v>
      </c>
    </row>
    <row r="97" spans="1:5">
      <c r="A97" s="165">
        <v>45234</v>
      </c>
      <c r="B97" s="8" t="s">
        <v>657</v>
      </c>
      <c r="D97">
        <v>320</v>
      </c>
      <c r="E97" s="163">
        <v>-320</v>
      </c>
    </row>
    <row r="98" spans="1:5">
      <c r="A98" s="165">
        <v>45237</v>
      </c>
      <c r="B98" s="8" t="s">
        <v>657</v>
      </c>
      <c r="D98">
        <v>200</v>
      </c>
      <c r="E98" s="163">
        <v>-200</v>
      </c>
    </row>
    <row r="99" spans="1:5">
      <c r="A99" s="165">
        <v>45237</v>
      </c>
      <c r="B99" s="8" t="s">
        <v>180</v>
      </c>
      <c r="E99" s="163">
        <v>-500</v>
      </c>
    </row>
    <row r="100" spans="1:5">
      <c r="A100" s="165">
        <v>45237</v>
      </c>
      <c r="B100" s="8" t="s">
        <v>937</v>
      </c>
      <c r="E100" s="163">
        <v>-180</v>
      </c>
    </row>
    <row r="101" spans="1:5">
      <c r="A101" s="165">
        <v>45238</v>
      </c>
      <c r="B101" s="8" t="s">
        <v>657</v>
      </c>
      <c r="D101">
        <v>160</v>
      </c>
      <c r="E101" s="163">
        <v>-160</v>
      </c>
    </row>
    <row r="102" spans="1:5">
      <c r="A102" s="165">
        <v>45239</v>
      </c>
      <c r="B102" s="8" t="s">
        <v>657</v>
      </c>
      <c r="D102">
        <v>250</v>
      </c>
      <c r="E102" s="163">
        <v>-250</v>
      </c>
    </row>
    <row r="103" spans="1:5">
      <c r="A103" s="165">
        <v>45240</v>
      </c>
      <c r="B103" s="8" t="s">
        <v>657</v>
      </c>
      <c r="D103">
        <v>160</v>
      </c>
      <c r="E103" s="163">
        <v>-160</v>
      </c>
    </row>
    <row r="104" spans="1:5">
      <c r="A104" s="165">
        <v>45241</v>
      </c>
      <c r="B104" s="8" t="s">
        <v>657</v>
      </c>
      <c r="D104">
        <v>250</v>
      </c>
      <c r="E104" s="163">
        <v>-250</v>
      </c>
    </row>
    <row r="105" spans="1:5">
      <c r="A105" s="165">
        <v>45244</v>
      </c>
      <c r="B105" s="8" t="s">
        <v>129</v>
      </c>
      <c r="E105" s="163">
        <v>-1144.1099999999999</v>
      </c>
    </row>
    <row r="106" spans="1:5">
      <c r="A106" s="165">
        <v>45245</v>
      </c>
      <c r="B106" s="8" t="s">
        <v>938</v>
      </c>
      <c r="E106" s="163">
        <v>-373.92</v>
      </c>
    </row>
    <row r="107" spans="1:5">
      <c r="A107" s="165">
        <v>45253</v>
      </c>
      <c r="B107" s="8" t="s">
        <v>657</v>
      </c>
      <c r="D107">
        <v>200</v>
      </c>
      <c r="E107" s="163">
        <v>-200</v>
      </c>
    </row>
    <row r="108" spans="1:5">
      <c r="E108" s="163"/>
    </row>
    <row r="109" spans="1:5">
      <c r="B109" t="s">
        <v>939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307</v>
      </c>
      <c r="D116" s="2"/>
      <c r="E116" s="17">
        <v>6267.13</v>
      </c>
    </row>
    <row r="117" spans="1:5">
      <c r="A117" s="160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0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0">
        <f t="shared" si="2"/>
        <v>45290</v>
      </c>
      <c r="B119" s="8" t="s">
        <v>311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312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313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314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316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317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3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940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430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941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942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942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943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944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945</v>
      </c>
      <c r="C22" s="8" t="s">
        <v>946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947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948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949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950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951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952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692</v>
      </c>
      <c r="C30" s="8" t="s">
        <v>438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694</v>
      </c>
      <c r="C31" s="8" t="s">
        <v>438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695</v>
      </c>
      <c r="C32" s="8" t="s">
        <v>438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953</v>
      </c>
      <c r="C33" s="8" t="s">
        <v>438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332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926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777</v>
      </c>
      <c r="C57">
        <v>613.91</v>
      </c>
      <c r="D57" s="35" t="s">
        <v>954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956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729</v>
      </c>
      <c r="C59" s="106">
        <v>10764.57</v>
      </c>
      <c r="D59" s="35" t="s">
        <v>680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956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930</v>
      </c>
      <c r="D61" s="204" t="s">
        <v>476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566</v>
      </c>
      <c r="C62" s="106">
        <v>7648.33</v>
      </c>
      <c r="D62" s="204" t="s">
        <v>613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681</v>
      </c>
      <c r="C63" s="106">
        <v>11128</v>
      </c>
      <c r="D63" s="204" t="s">
        <v>611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958</v>
      </c>
      <c r="C72">
        <v>1140.99</v>
      </c>
      <c r="D72" s="8" t="s">
        <v>662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959</v>
      </c>
      <c r="D73" s="35" t="s">
        <v>960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688</v>
      </c>
      <c r="C74" s="106"/>
      <c r="D74" s="8" t="s">
        <v>934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3">
        <v>-59483.25</v>
      </c>
    </row>
    <row r="76" spans="1:8">
      <c r="A76" s="165">
        <v>45214</v>
      </c>
      <c r="B76" s="8" t="s">
        <v>661</v>
      </c>
      <c r="D76" s="8" t="s">
        <v>961</v>
      </c>
      <c r="E76" s="163">
        <v>-600</v>
      </c>
      <c r="F76" s="63"/>
    </row>
    <row r="77" spans="1:8">
      <c r="A77" s="165">
        <v>45198</v>
      </c>
      <c r="B77" s="8" t="s">
        <v>657</v>
      </c>
      <c r="E77" s="163">
        <v>-160</v>
      </c>
    </row>
    <row r="78" spans="1:8">
      <c r="A78" s="165">
        <v>45201</v>
      </c>
      <c r="B78" s="8" t="s">
        <v>962</v>
      </c>
      <c r="E78" s="163">
        <v>-1180</v>
      </c>
    </row>
    <row r="79" spans="1:8">
      <c r="A79" s="165">
        <v>45204</v>
      </c>
      <c r="B79" s="8" t="s">
        <v>963</v>
      </c>
      <c r="E79" s="163">
        <v>-713.25</v>
      </c>
    </row>
    <row r="80" spans="1:8">
      <c r="A80" s="165">
        <v>45204</v>
      </c>
      <c r="B80" s="8" t="s">
        <v>963</v>
      </c>
      <c r="E80" s="163">
        <v>-713.25</v>
      </c>
    </row>
    <row r="81" spans="1:5">
      <c r="A81" s="165">
        <v>45194</v>
      </c>
      <c r="B81" s="8" t="s">
        <v>657</v>
      </c>
      <c r="D81" s="35"/>
      <c r="E81" s="163">
        <v>-200</v>
      </c>
    </row>
    <row r="82" spans="1:5">
      <c r="A82" s="165">
        <v>45225</v>
      </c>
      <c r="B82" s="8" t="s">
        <v>657</v>
      </c>
      <c r="D82" s="35"/>
      <c r="E82" s="163">
        <v>-160</v>
      </c>
    </row>
    <row r="83" spans="1:5">
      <c r="A83" s="165">
        <v>45226</v>
      </c>
      <c r="B83" s="8" t="s">
        <v>657</v>
      </c>
      <c r="E83" s="163">
        <v>-200</v>
      </c>
    </row>
    <row r="84" spans="1:5">
      <c r="A84" s="165">
        <v>45227</v>
      </c>
      <c r="B84" s="8" t="s">
        <v>657</v>
      </c>
      <c r="E84" s="163">
        <v>-200</v>
      </c>
    </row>
    <row r="85" spans="1:5">
      <c r="A85" s="165">
        <v>45227</v>
      </c>
      <c r="B85" s="8" t="s">
        <v>546</v>
      </c>
      <c r="E85" s="163">
        <v>-245</v>
      </c>
    </row>
    <row r="86" spans="1:5">
      <c r="A86" s="165">
        <v>45228</v>
      </c>
      <c r="B86" s="8" t="s">
        <v>657</v>
      </c>
      <c r="E86" s="163">
        <v>-160</v>
      </c>
    </row>
    <row r="87" spans="1:5">
      <c r="A87" s="165">
        <v>45228</v>
      </c>
      <c r="B87" s="8" t="s">
        <v>964</v>
      </c>
      <c r="E87" s="163">
        <v>-33.65</v>
      </c>
    </row>
    <row r="88" spans="1:5">
      <c r="A88" s="165">
        <v>45201</v>
      </c>
      <c r="B88" s="8" t="s">
        <v>657</v>
      </c>
      <c r="E88" s="163">
        <v>-160</v>
      </c>
    </row>
    <row r="89" spans="1:5">
      <c r="A89" s="165">
        <v>45201</v>
      </c>
      <c r="B89" s="8" t="s">
        <v>130</v>
      </c>
      <c r="C89">
        <v>-16000.55</v>
      </c>
      <c r="E89" s="163"/>
    </row>
    <row r="90" spans="1:5">
      <c r="A90" s="165">
        <v>45202</v>
      </c>
      <c r="B90" s="8" t="s">
        <v>657</v>
      </c>
      <c r="E90" s="163">
        <v>-250</v>
      </c>
    </row>
    <row r="91" spans="1:5">
      <c r="A91" s="165">
        <v>45204</v>
      </c>
      <c r="B91" s="8" t="s">
        <v>657</v>
      </c>
      <c r="E91" s="163">
        <v>-300</v>
      </c>
    </row>
    <row r="92" spans="1:5">
      <c r="A92" s="165">
        <v>45205</v>
      </c>
      <c r="B92" s="8" t="s">
        <v>657</v>
      </c>
      <c r="E92" s="163">
        <v>-250</v>
      </c>
    </row>
    <row r="93" spans="1:5">
      <c r="A93" s="165">
        <v>45206</v>
      </c>
      <c r="B93" s="8" t="s">
        <v>657</v>
      </c>
      <c r="E93" s="163">
        <v>-250</v>
      </c>
    </row>
    <row r="94" spans="1:5">
      <c r="A94" s="165">
        <v>45206</v>
      </c>
      <c r="B94" s="8" t="s">
        <v>965</v>
      </c>
      <c r="E94" s="163">
        <v>-107.32</v>
      </c>
    </row>
    <row r="95" spans="1:5">
      <c r="A95" s="165">
        <v>45210</v>
      </c>
      <c r="B95" s="8" t="s">
        <v>657</v>
      </c>
      <c r="E95" s="163">
        <v>-200</v>
      </c>
    </row>
    <row r="96" spans="1:5">
      <c r="A96" s="165">
        <v>45215</v>
      </c>
      <c r="B96" s="8" t="s">
        <v>657</v>
      </c>
      <c r="E96" s="163">
        <v>-160</v>
      </c>
    </row>
    <row r="97" spans="1:5">
      <c r="A97" s="165">
        <v>45216</v>
      </c>
      <c r="B97" s="8" t="s">
        <v>657</v>
      </c>
      <c r="E97" s="163">
        <v>-160</v>
      </c>
    </row>
    <row r="98" spans="1:5">
      <c r="A98" s="165">
        <v>45217</v>
      </c>
      <c r="B98" s="8" t="s">
        <v>657</v>
      </c>
      <c r="E98" s="163">
        <v>-160</v>
      </c>
    </row>
    <row r="99" spans="1:5">
      <c r="A99" s="165">
        <v>45218</v>
      </c>
      <c r="B99" s="8" t="s">
        <v>657</v>
      </c>
      <c r="E99" s="163">
        <v>-200</v>
      </c>
    </row>
    <row r="100" spans="1:5">
      <c r="A100" s="165">
        <v>45219</v>
      </c>
      <c r="B100" s="8" t="s">
        <v>657</v>
      </c>
      <c r="E100" s="163">
        <v>-165</v>
      </c>
    </row>
    <row r="101" spans="1:5">
      <c r="A101" s="165">
        <v>45219</v>
      </c>
      <c r="B101" s="8" t="s">
        <v>964</v>
      </c>
      <c r="E101" s="163">
        <v>-93.36</v>
      </c>
    </row>
    <row r="102" spans="1:5">
      <c r="A102" s="165">
        <v>45220</v>
      </c>
      <c r="B102" s="8" t="s">
        <v>657</v>
      </c>
      <c r="E102" s="163">
        <v>-165</v>
      </c>
    </row>
    <row r="103" spans="1:5">
      <c r="A103" s="165">
        <v>45220</v>
      </c>
      <c r="B103" s="8" t="s">
        <v>966</v>
      </c>
      <c r="E103" s="163">
        <v>-80</v>
      </c>
    </row>
    <row r="104" spans="1:5">
      <c r="A104" s="165">
        <v>45221</v>
      </c>
      <c r="B104" s="8" t="s">
        <v>967</v>
      </c>
      <c r="E104" s="163">
        <v>-500</v>
      </c>
    </row>
    <row r="105" spans="1:5" ht="15">
      <c r="D105" s="105" t="s">
        <v>84</v>
      </c>
    </row>
    <row r="107" spans="1:5">
      <c r="B107" t="s">
        <v>968</v>
      </c>
      <c r="E107" s="163">
        <v>3707.01</v>
      </c>
    </row>
    <row r="108" spans="1:5">
      <c r="B108" t="s">
        <v>969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970</v>
      </c>
      <c r="B111" s="104" t="s">
        <v>137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971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0">
        <v>45260</v>
      </c>
      <c r="B116" s="8" t="s">
        <v>307</v>
      </c>
      <c r="C116" s="2"/>
      <c r="D116" s="2"/>
      <c r="E116" s="17">
        <v>3242.78</v>
      </c>
    </row>
    <row r="117" spans="1:5">
      <c r="A117" s="160">
        <v>45260</v>
      </c>
      <c r="B117" s="8" t="s">
        <v>141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972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973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3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974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975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976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977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978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979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980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981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982</v>
      </c>
      <c r="C24" s="8" t="s">
        <v>946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983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984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951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985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986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332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926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777</v>
      </c>
      <c r="C52">
        <v>613.91</v>
      </c>
      <c r="D52" s="35" t="s">
        <v>987</v>
      </c>
      <c r="E52" s="163">
        <v>-61.39</v>
      </c>
      <c r="G52" s="63"/>
      <c r="H52" s="63"/>
    </row>
    <row r="53" spans="1:8">
      <c r="A53" s="160">
        <v>45043</v>
      </c>
      <c r="B53" s="106" t="s">
        <v>955</v>
      </c>
      <c r="C53" s="106">
        <v>3299</v>
      </c>
      <c r="D53" s="35" t="s">
        <v>476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729</v>
      </c>
      <c r="C54" s="106">
        <v>10764.57</v>
      </c>
      <c r="D54" s="35" t="s">
        <v>731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957</v>
      </c>
      <c r="C55" s="106">
        <v>3123.29</v>
      </c>
      <c r="D55" s="204" t="s">
        <v>476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930</v>
      </c>
      <c r="D56" s="204" t="s">
        <v>519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489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988</v>
      </c>
      <c r="C58" s="106">
        <v>148.6</v>
      </c>
      <c r="D58" s="204" t="s">
        <v>989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990</v>
      </c>
      <c r="C59" s="106">
        <v>244.8</v>
      </c>
      <c r="D59" s="204" t="s">
        <v>989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991</v>
      </c>
      <c r="C60" s="106">
        <v>1204.5</v>
      </c>
      <c r="D60" s="204" t="s">
        <v>989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992</v>
      </c>
      <c r="C61" s="106">
        <v>532.6</v>
      </c>
      <c r="D61" s="204" t="s">
        <v>989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993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566</v>
      </c>
      <c r="C63" s="106">
        <v>7648.33</v>
      </c>
      <c r="D63" s="204" t="s">
        <v>994</v>
      </c>
      <c r="E63" s="163">
        <v>-849.81</v>
      </c>
      <c r="F63" s="63"/>
    </row>
    <row r="64" spans="1:8">
      <c r="A64" s="160">
        <v>45187</v>
      </c>
      <c r="B64" s="106" t="s">
        <v>995</v>
      </c>
      <c r="C64" s="106">
        <v>11128</v>
      </c>
      <c r="D64" s="204" t="s">
        <v>650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958</v>
      </c>
      <c r="C69">
        <v>1140.99</v>
      </c>
      <c r="D69" s="8" t="s">
        <v>690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959</v>
      </c>
      <c r="D70" s="35" t="s">
        <v>996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997</v>
      </c>
      <c r="C71" s="106"/>
      <c r="D71" s="8" t="s">
        <v>961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998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999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1000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1001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1002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130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414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410</v>
      </c>
      <c r="E88" s="163">
        <v>-529.98</v>
      </c>
    </row>
    <row r="89" spans="1:8">
      <c r="A89" s="160">
        <v>45179</v>
      </c>
      <c r="B89" s="8" t="s">
        <v>410</v>
      </c>
      <c r="E89" s="163">
        <v>-2351.9499999999998</v>
      </c>
    </row>
    <row r="90" spans="1:8">
      <c r="A90" s="160">
        <v>45180</v>
      </c>
      <c r="B90" s="8" t="s">
        <v>1003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1003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1004</v>
      </c>
      <c r="E94" s="163">
        <v>-578</v>
      </c>
    </row>
    <row r="95" spans="1:8">
      <c r="A95" s="160">
        <v>45184</v>
      </c>
      <c r="B95" s="8" t="s">
        <v>1005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1006</v>
      </c>
      <c r="E101" s="163">
        <v>-230</v>
      </c>
    </row>
    <row r="102" spans="1:5">
      <c r="A102" s="160">
        <v>45191</v>
      </c>
      <c r="B102" s="8" t="s">
        <v>1007</v>
      </c>
      <c r="E102" s="163">
        <v>-382</v>
      </c>
    </row>
    <row r="103" spans="1:5">
      <c r="A103" s="160">
        <v>45191</v>
      </c>
      <c r="B103" s="8" t="s">
        <v>1008</v>
      </c>
      <c r="E103" s="163">
        <v>-699.6</v>
      </c>
    </row>
    <row r="104" spans="1:5">
      <c r="A104" s="160">
        <v>45192</v>
      </c>
      <c r="B104" s="8" t="s">
        <v>135</v>
      </c>
      <c r="E104" s="163">
        <v>-160</v>
      </c>
    </row>
    <row r="106" spans="1:5" ht="15">
      <c r="D106" s="105" t="s">
        <v>84</v>
      </c>
    </row>
    <row r="111" spans="1:5">
      <c r="A111" s="113" t="s">
        <v>1009</v>
      </c>
      <c r="B111" s="104" t="s">
        <v>137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1010</v>
      </c>
      <c r="C113" s="2"/>
      <c r="D113" s="2"/>
      <c r="E113" s="17">
        <v>73088</v>
      </c>
    </row>
    <row r="114" spans="1:5">
      <c r="A114" s="160">
        <v>45230</v>
      </c>
      <c r="B114" s="8" t="s">
        <v>305</v>
      </c>
      <c r="C114" s="2"/>
      <c r="D114" s="2"/>
      <c r="E114" s="17">
        <v>20950.34</v>
      </c>
    </row>
    <row r="115" spans="1:5">
      <c r="A115" s="160">
        <v>45230</v>
      </c>
      <c r="B115" s="8" t="s">
        <v>306</v>
      </c>
      <c r="C115" s="2"/>
      <c r="D115" s="2"/>
      <c r="E115" s="17">
        <v>73011.39</v>
      </c>
    </row>
    <row r="116" spans="1:5">
      <c r="A116" s="160">
        <v>45230</v>
      </c>
      <c r="B116" s="8" t="s">
        <v>1011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1012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1013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1014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153</v>
      </c>
      <c r="C120" s="2"/>
      <c r="D120" s="2"/>
      <c r="E120" s="17">
        <v>60000</v>
      </c>
    </row>
    <row r="121" spans="1:5">
      <c r="A121" s="160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1009</v>
      </c>
      <c r="D122" s="18" t="s">
        <v>157</v>
      </c>
      <c r="E122" s="163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1015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1016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1017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1017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1018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677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1019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1020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443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1021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1022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1023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1024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1025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1026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1027</v>
      </c>
      <c r="D32" s="102"/>
      <c r="G32" s="63"/>
      <c r="H32" s="63">
        <f t="shared" si="0"/>
        <v>138975.99</v>
      </c>
    </row>
    <row r="33" spans="1:8">
      <c r="A33" s="100"/>
      <c r="B33" s="8" t="s">
        <v>1028</v>
      </c>
      <c r="D33" s="102"/>
      <c r="G33" s="63"/>
      <c r="H33" s="63">
        <f t="shared" si="0"/>
        <v>138975.99</v>
      </c>
    </row>
    <row r="34" spans="1:8">
      <c r="A34" s="100"/>
      <c r="B34" s="8" t="s">
        <v>1029</v>
      </c>
      <c r="D34" s="102"/>
      <c r="G34" s="63"/>
      <c r="H34" s="63">
        <f t="shared" si="0"/>
        <v>138975.99</v>
      </c>
    </row>
    <row r="35" spans="1:8">
      <c r="A35" s="100"/>
      <c r="B35" s="8" t="s">
        <v>727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1030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1031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1032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926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777</v>
      </c>
      <c r="C64">
        <v>613.91</v>
      </c>
      <c r="D64" s="35" t="s">
        <v>1033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1034</v>
      </c>
      <c r="C65">
        <v>2258.94</v>
      </c>
      <c r="D65" s="35" t="s">
        <v>445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955</v>
      </c>
      <c r="C66" s="106">
        <v>3299</v>
      </c>
      <c r="D66" s="35" t="s">
        <v>519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729</v>
      </c>
      <c r="C67" s="106">
        <v>10764.57</v>
      </c>
      <c r="D67" s="35" t="s">
        <v>776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957</v>
      </c>
      <c r="C68" s="106">
        <v>3123.29</v>
      </c>
      <c r="D68" s="204" t="s">
        <v>519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930</v>
      </c>
      <c r="D69" s="204" t="s">
        <v>932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988</v>
      </c>
      <c r="C70" s="106">
        <v>148.6</v>
      </c>
      <c r="D70" s="204" t="s">
        <v>1035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990</v>
      </c>
      <c r="C71" s="106">
        <v>244.8</v>
      </c>
      <c r="D71" s="204" t="s">
        <v>1035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991</v>
      </c>
      <c r="C72" s="106">
        <v>1204.5</v>
      </c>
      <c r="D72" s="204" t="s">
        <v>1035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992</v>
      </c>
      <c r="C73" s="106">
        <v>532.6</v>
      </c>
      <c r="D73" s="204" t="s">
        <v>1035</v>
      </c>
      <c r="E73" s="163">
        <v>-133.15</v>
      </c>
      <c r="F73" s="63"/>
    </row>
    <row r="74" spans="1:8">
      <c r="A74" s="100">
        <v>45139</v>
      </c>
      <c r="B74" s="106" t="s">
        <v>1036</v>
      </c>
      <c r="E74" s="163">
        <v>-260.02</v>
      </c>
    </row>
    <row r="75" spans="1:8">
      <c r="A75" s="165">
        <v>45139</v>
      </c>
      <c r="B75" s="106" t="s">
        <v>451</v>
      </c>
      <c r="E75" s="163">
        <v>-116.6</v>
      </c>
    </row>
    <row r="76" spans="1:8">
      <c r="A76" s="165">
        <v>45139</v>
      </c>
      <c r="B76" s="106" t="s">
        <v>451</v>
      </c>
      <c r="E76" s="163">
        <v>-23.75</v>
      </c>
    </row>
    <row r="77" spans="1:8">
      <c r="A77" s="165">
        <v>45140</v>
      </c>
      <c r="B77" s="106" t="s">
        <v>1037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1038</v>
      </c>
      <c r="E79" s="163">
        <v>-71</v>
      </c>
    </row>
    <row r="80" spans="1:8">
      <c r="A80" s="165">
        <v>45153</v>
      </c>
      <c r="B80" s="106" t="s">
        <v>1039</v>
      </c>
      <c r="E80" s="163">
        <v>-1806</v>
      </c>
    </row>
    <row r="81" spans="1:8">
      <c r="A81" s="165">
        <v>45158</v>
      </c>
      <c r="B81" s="106" t="s">
        <v>1040</v>
      </c>
      <c r="E81" s="163">
        <v>-160.9</v>
      </c>
    </row>
    <row r="82" spans="1:8">
      <c r="A82" s="165">
        <v>45160</v>
      </c>
      <c r="B82" s="106" t="s">
        <v>1041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958</v>
      </c>
      <c r="C88">
        <v>1140.99</v>
      </c>
      <c r="D88" s="8" t="s">
        <v>733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1042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657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1043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1044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3">
        <v>-42.15</v>
      </c>
      <c r="F93" s="63"/>
    </row>
    <row r="94" spans="1:8">
      <c r="A94" s="100">
        <v>45136</v>
      </c>
      <c r="B94" s="8" t="s">
        <v>1045</v>
      </c>
      <c r="E94">
        <v>-400</v>
      </c>
      <c r="F94" s="63"/>
    </row>
    <row r="95" spans="1:8">
      <c r="A95" s="100">
        <v>45136</v>
      </c>
      <c r="B95" s="8" t="s">
        <v>1046</v>
      </c>
      <c r="E95">
        <v>-266</v>
      </c>
      <c r="F95" s="63"/>
    </row>
    <row r="96" spans="1:8">
      <c r="A96" s="100">
        <v>45199</v>
      </c>
      <c r="B96" s="8" t="s">
        <v>1047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959</v>
      </c>
      <c r="D99" s="35" t="s">
        <v>1048</v>
      </c>
      <c r="E99">
        <v>-181.83</v>
      </c>
    </row>
    <row r="100" spans="1:6">
      <c r="A100" s="165">
        <v>45141</v>
      </c>
      <c r="B100" s="8" t="s">
        <v>135</v>
      </c>
      <c r="D100" s="35"/>
      <c r="E100">
        <v>-150</v>
      </c>
    </row>
    <row r="101" spans="1:6">
      <c r="A101" s="165">
        <v>45143</v>
      </c>
      <c r="B101" s="8" t="s">
        <v>135</v>
      </c>
      <c r="E101">
        <v>-150</v>
      </c>
    </row>
    <row r="102" spans="1:6">
      <c r="A102" s="165">
        <v>45143</v>
      </c>
      <c r="B102" s="8" t="s">
        <v>128</v>
      </c>
      <c r="E102">
        <v>-337.19</v>
      </c>
    </row>
    <row r="103" spans="1:6">
      <c r="A103" s="165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1049</v>
      </c>
      <c r="B111" s="104" t="s">
        <v>137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1050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1011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1013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1014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3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1051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1052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1053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1053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1054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461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677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1055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1056</v>
      </c>
      <c r="D25" s="102"/>
      <c r="F25" s="63"/>
      <c r="G25" s="63"/>
      <c r="H25" s="63">
        <f t="shared" si="0"/>
        <v>-15085.350000000002</v>
      </c>
    </row>
    <row r="26" spans="1:8">
      <c r="B26" t="s">
        <v>1057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1058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1059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926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1060</v>
      </c>
      <c r="C50" s="106"/>
      <c r="D50" s="106" t="s">
        <v>730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777</v>
      </c>
      <c r="C51">
        <v>613.91</v>
      </c>
      <c r="D51" s="35" t="s">
        <v>1061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1034</v>
      </c>
      <c r="C52">
        <v>2258.94</v>
      </c>
      <c r="D52" s="35" t="s">
        <v>476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955</v>
      </c>
      <c r="C53" s="106">
        <v>3299</v>
      </c>
      <c r="D53" s="35" t="s">
        <v>932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729</v>
      </c>
      <c r="C54" s="106">
        <v>10764.57</v>
      </c>
      <c r="D54" s="35" t="s">
        <v>931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957</v>
      </c>
      <c r="C55" s="106">
        <v>3123.29</v>
      </c>
      <c r="D55" s="204" t="s">
        <v>932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930</v>
      </c>
      <c r="D56" s="204" t="s">
        <v>611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988</v>
      </c>
      <c r="C57" s="106">
        <v>148.6</v>
      </c>
      <c r="D57" s="204" t="s">
        <v>1062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990</v>
      </c>
      <c r="C58" s="106">
        <v>244.8</v>
      </c>
      <c r="D58" s="204" t="s">
        <v>1062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991</v>
      </c>
      <c r="C59" s="106">
        <v>1204.5</v>
      </c>
      <c r="D59" s="204" t="s">
        <v>1062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992</v>
      </c>
      <c r="C60" s="106">
        <v>532.6</v>
      </c>
      <c r="D60" s="204" t="s">
        <v>1062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1063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958</v>
      </c>
      <c r="C68">
        <v>1140.99</v>
      </c>
      <c r="D68" s="8" t="s">
        <v>1064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1065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1066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1067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1068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1069</v>
      </c>
    </row>
    <row r="78" spans="1:8">
      <c r="A78" s="100">
        <v>45116</v>
      </c>
      <c r="B78" s="8" t="s">
        <v>1070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657</v>
      </c>
      <c r="E81">
        <v>-150</v>
      </c>
    </row>
    <row r="82" spans="1:5">
      <c r="A82" s="100">
        <v>45120</v>
      </c>
      <c r="B82" s="8" t="s">
        <v>657</v>
      </c>
      <c r="E82">
        <v>-150</v>
      </c>
    </row>
    <row r="83" spans="1:5">
      <c r="A83" s="100">
        <v>45121</v>
      </c>
      <c r="B83" s="8" t="s">
        <v>657</v>
      </c>
      <c r="E83">
        <v>-150</v>
      </c>
    </row>
    <row r="84" spans="1:5">
      <c r="A84" s="100">
        <v>45124</v>
      </c>
      <c r="B84" s="8" t="s">
        <v>657</v>
      </c>
      <c r="E84">
        <v>-150</v>
      </c>
    </row>
    <row r="85" spans="1:5">
      <c r="A85" s="100">
        <v>45125</v>
      </c>
      <c r="B85" s="8" t="s">
        <v>657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1071</v>
      </c>
      <c r="E87">
        <v>-275.54000000000002</v>
      </c>
    </row>
    <row r="88" spans="1:5">
      <c r="A88" s="100">
        <v>45130</v>
      </c>
      <c r="B88" s="8" t="s">
        <v>965</v>
      </c>
      <c r="E88">
        <v>-212.45</v>
      </c>
    </row>
    <row r="89" spans="1:5">
      <c r="A89" s="100">
        <v>45131</v>
      </c>
      <c r="B89" s="8" t="s">
        <v>548</v>
      </c>
      <c r="E89">
        <v>-4.57</v>
      </c>
    </row>
    <row r="90" spans="1:5">
      <c r="A90" s="100">
        <v>45131</v>
      </c>
      <c r="B90" s="8" t="s">
        <v>1072</v>
      </c>
      <c r="E90">
        <v>-4.57</v>
      </c>
    </row>
    <row r="91" spans="1:5">
      <c r="A91" s="100">
        <v>45131</v>
      </c>
      <c r="B91" s="8" t="s">
        <v>550</v>
      </c>
      <c r="E91">
        <v>-30.44</v>
      </c>
    </row>
    <row r="92" spans="1:5">
      <c r="D92" s="3" t="s">
        <v>84</v>
      </c>
    </row>
    <row r="111" spans="1:5">
      <c r="A111" s="113" t="s">
        <v>1073</v>
      </c>
      <c r="B111" s="104" t="s">
        <v>137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1074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1011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1075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1076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1077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1078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1079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1080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1081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1082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1083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1083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1084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1085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1086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1087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1088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332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926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1060</v>
      </c>
      <c r="C54" s="106"/>
      <c r="D54" s="106" t="s">
        <v>368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777</v>
      </c>
      <c r="C55">
        <v>613.91</v>
      </c>
      <c r="D55" s="35" t="s">
        <v>1089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1034</v>
      </c>
      <c r="C56">
        <v>2258.94</v>
      </c>
      <c r="D56" s="35" t="s">
        <v>519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955</v>
      </c>
      <c r="C57" s="106">
        <v>3299</v>
      </c>
      <c r="D57" s="35" t="s">
        <v>611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729</v>
      </c>
      <c r="C58" s="106">
        <v>10764.57</v>
      </c>
      <c r="D58" s="35" t="s">
        <v>613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957</v>
      </c>
      <c r="C59" s="106">
        <v>3123.29</v>
      </c>
      <c r="D59" s="204" t="s">
        <v>611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988</v>
      </c>
      <c r="C60" s="106">
        <v>148.6</v>
      </c>
      <c r="D60" s="204" t="s">
        <v>1090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990</v>
      </c>
      <c r="C61" s="106">
        <v>244.8</v>
      </c>
      <c r="D61" s="204" t="s">
        <v>1090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991</v>
      </c>
      <c r="C62" s="106">
        <v>1204.5</v>
      </c>
      <c r="D62" s="204" t="s">
        <v>1090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992</v>
      </c>
      <c r="C63" s="106">
        <v>532.6</v>
      </c>
      <c r="D63" s="204" t="s">
        <v>1090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930</v>
      </c>
      <c r="D64" s="204" t="s">
        <v>650</v>
      </c>
      <c r="E64" s="163">
        <v>-666.67</v>
      </c>
      <c r="F64" s="63"/>
    </row>
    <row r="65" spans="1:8">
      <c r="A65" s="100">
        <v>45091</v>
      </c>
      <c r="B65" s="106" t="s">
        <v>1091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958</v>
      </c>
      <c r="C70">
        <v>1140.99</v>
      </c>
      <c r="D70" s="8" t="s">
        <v>934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1092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1093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1094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1094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1094</v>
      </c>
      <c r="E75" s="163">
        <v>-225</v>
      </c>
    </row>
    <row r="76" spans="1:8">
      <c r="B76" s="106" t="s">
        <v>274</v>
      </c>
      <c r="C76">
        <v>-1207</v>
      </c>
    </row>
    <row r="77" spans="1:8">
      <c r="A77" s="165">
        <v>45080</v>
      </c>
      <c r="B77" s="106" t="s">
        <v>1094</v>
      </c>
      <c r="E77" s="163">
        <v>-180</v>
      </c>
    </row>
    <row r="78" spans="1:8">
      <c r="A78" s="165">
        <v>45080</v>
      </c>
      <c r="B78" s="106" t="s">
        <v>1095</v>
      </c>
      <c r="E78" s="163">
        <v>-850</v>
      </c>
    </row>
    <row r="79" spans="1:8">
      <c r="A79" s="165">
        <v>45082</v>
      </c>
      <c r="B79" s="106" t="s">
        <v>1096</v>
      </c>
      <c r="E79" s="163">
        <v>-112.11</v>
      </c>
    </row>
    <row r="80" spans="1:8">
      <c r="A80" s="165">
        <v>45082</v>
      </c>
      <c r="B80" s="106" t="s">
        <v>1094</v>
      </c>
      <c r="E80" s="163">
        <v>-150</v>
      </c>
    </row>
    <row r="81" spans="1:5">
      <c r="A81" s="165">
        <v>45084</v>
      </c>
      <c r="B81" s="106" t="s">
        <v>1094</v>
      </c>
      <c r="D81" s="35"/>
      <c r="E81" s="163">
        <v>-250</v>
      </c>
    </row>
    <row r="82" spans="1:5">
      <c r="A82" s="165">
        <v>45085</v>
      </c>
      <c r="B82" s="106" t="s">
        <v>1094</v>
      </c>
      <c r="D82" s="35"/>
      <c r="E82" s="163">
        <v>-250</v>
      </c>
    </row>
    <row r="83" spans="1:5">
      <c r="A83" s="165">
        <v>45086</v>
      </c>
      <c r="B83" s="8" t="s">
        <v>1097</v>
      </c>
      <c r="E83" s="163">
        <v>-1420</v>
      </c>
    </row>
    <row r="84" spans="1:5">
      <c r="A84" s="165">
        <v>45087</v>
      </c>
      <c r="B84" s="8" t="s">
        <v>1098</v>
      </c>
      <c r="E84" s="163">
        <v>-242.56</v>
      </c>
    </row>
    <row r="85" spans="1:5">
      <c r="A85" s="165">
        <v>45089</v>
      </c>
      <c r="B85" s="8" t="s">
        <v>1099</v>
      </c>
      <c r="E85" s="163">
        <v>-167.19</v>
      </c>
    </row>
    <row r="86" spans="1:5">
      <c r="A86" s="165">
        <v>45091</v>
      </c>
      <c r="B86" s="8" t="s">
        <v>1094</v>
      </c>
      <c r="E86" s="163">
        <v>-200</v>
      </c>
    </row>
    <row r="87" spans="1:5">
      <c r="A87" s="165">
        <v>45091</v>
      </c>
      <c r="B87" s="8" t="s">
        <v>1096</v>
      </c>
      <c r="E87" s="163">
        <v>-61.41</v>
      </c>
    </row>
    <row r="88" spans="1:5">
      <c r="A88" s="165">
        <v>45092</v>
      </c>
      <c r="B88" s="8" t="s">
        <v>1094</v>
      </c>
      <c r="E88" s="163">
        <v>-200</v>
      </c>
    </row>
    <row r="89" spans="1:5">
      <c r="A89" s="100">
        <v>45095</v>
      </c>
      <c r="B89" s="8" t="s">
        <v>1100</v>
      </c>
      <c r="E89" s="163">
        <v>-257</v>
      </c>
    </row>
    <row r="90" spans="1:5">
      <c r="A90" s="100">
        <v>45096</v>
      </c>
      <c r="B90" s="8" t="s">
        <v>657</v>
      </c>
      <c r="E90" s="163">
        <v>-250</v>
      </c>
    </row>
    <row r="91" spans="1:5">
      <c r="A91" s="100">
        <v>45097</v>
      </c>
      <c r="B91" s="8" t="s">
        <v>1101</v>
      </c>
      <c r="E91" s="163">
        <v>-110</v>
      </c>
    </row>
    <row r="92" spans="1:5">
      <c r="A92" s="100">
        <v>45098</v>
      </c>
      <c r="B92" s="8" t="s">
        <v>1102</v>
      </c>
      <c r="E92" s="163">
        <v>-405</v>
      </c>
    </row>
    <row r="93" spans="1:5">
      <c r="A93" s="100">
        <v>45099</v>
      </c>
      <c r="B93" s="8" t="s">
        <v>1103</v>
      </c>
      <c r="E93" s="163">
        <v>-820</v>
      </c>
    </row>
    <row r="94" spans="1:5">
      <c r="A94" s="100">
        <v>45099</v>
      </c>
      <c r="B94" s="8" t="s">
        <v>1104</v>
      </c>
      <c r="E94" s="163">
        <v>-599</v>
      </c>
    </row>
    <row r="95" spans="1:5">
      <c r="A95" s="100">
        <v>45099</v>
      </c>
      <c r="B95" s="8" t="s">
        <v>1105</v>
      </c>
      <c r="E95" s="163">
        <v>-8</v>
      </c>
    </row>
    <row r="96" spans="1:5">
      <c r="A96" s="100">
        <v>45099</v>
      </c>
      <c r="B96" s="8" t="s">
        <v>1105</v>
      </c>
      <c r="E96" s="163">
        <v>-1197.3800000000001</v>
      </c>
    </row>
    <row r="97" spans="1:5">
      <c r="A97" s="100">
        <v>45100</v>
      </c>
      <c r="B97" s="8" t="s">
        <v>1106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1107</v>
      </c>
      <c r="B111" s="104" t="s">
        <v>137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1011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1108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1109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1110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1111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561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1112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1113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559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1114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677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1115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1116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1117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1118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1119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1120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332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926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1060</v>
      </c>
      <c r="C50" s="106"/>
      <c r="D50" s="106" t="s">
        <v>400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1121</v>
      </c>
      <c r="C51">
        <v>659.93</v>
      </c>
      <c r="D51" s="35" t="s">
        <v>989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777</v>
      </c>
      <c r="C52">
        <v>613.91</v>
      </c>
      <c r="D52" s="35" t="s">
        <v>1122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1123</v>
      </c>
      <c r="C53">
        <v>720.19</v>
      </c>
      <c r="D53" s="321" t="s">
        <v>1124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1034</v>
      </c>
      <c r="C54">
        <v>2258.94</v>
      </c>
      <c r="D54" s="35" t="s">
        <v>1125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729</v>
      </c>
      <c r="C57" s="106">
        <v>10764.57</v>
      </c>
      <c r="D57" s="35" t="s">
        <v>994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650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4" t="s">
        <v>650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1126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1127</v>
      </c>
      <c r="E63" s="163">
        <v>-496</v>
      </c>
    </row>
    <row r="64" spans="1:8">
      <c r="A64" s="100">
        <v>45043</v>
      </c>
      <c r="B64" s="106" t="s">
        <v>1128</v>
      </c>
      <c r="C64" s="106"/>
      <c r="D64" s="106"/>
      <c r="E64" s="163">
        <v>-120</v>
      </c>
    </row>
    <row r="65" spans="1:6">
      <c r="A65" s="100">
        <v>45044</v>
      </c>
      <c r="B65" s="8" t="s">
        <v>1129</v>
      </c>
      <c r="E65" s="163">
        <v>-321</v>
      </c>
      <c r="F65" s="63"/>
    </row>
    <row r="66" spans="1:6">
      <c r="A66" s="100">
        <v>45044</v>
      </c>
      <c r="B66" s="8" t="s">
        <v>1130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1131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1131</v>
      </c>
      <c r="C69">
        <v>225</v>
      </c>
      <c r="E69" s="163"/>
    </row>
    <row r="70" spans="1:6">
      <c r="A70" s="100">
        <v>45062</v>
      </c>
      <c r="B70" s="8" t="s">
        <v>1131</v>
      </c>
      <c r="C70">
        <v>500</v>
      </c>
      <c r="E70" s="163"/>
    </row>
    <row r="71" spans="1:6">
      <c r="A71" s="100">
        <v>45066</v>
      </c>
      <c r="B71" s="8" t="s">
        <v>1132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1133</v>
      </c>
      <c r="C85" s="106"/>
      <c r="D85" s="106"/>
      <c r="E85" s="163">
        <v>-140</v>
      </c>
      <c r="F85" s="63" t="s">
        <v>1134</v>
      </c>
      <c r="G85" s="63"/>
      <c r="H85" s="63"/>
    </row>
    <row r="86" spans="1:8">
      <c r="A86" s="100">
        <v>45044</v>
      </c>
      <c r="B86" s="106" t="s">
        <v>1135</v>
      </c>
      <c r="C86" s="106"/>
      <c r="D86" s="106"/>
      <c r="E86" s="163">
        <v>-35.78</v>
      </c>
      <c r="F86" s="63" t="s">
        <v>1134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3"/>
      <c r="F87" s="63" t="s">
        <v>1134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3">
        <v>-39.950000000000003</v>
      </c>
      <c r="F88" s="63" t="s">
        <v>1134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3">
        <v>-154.44999999999999</v>
      </c>
      <c r="F89" s="63" t="s">
        <v>1134</v>
      </c>
      <c r="G89" s="63"/>
      <c r="H89" s="63"/>
    </row>
    <row r="90" spans="1:8">
      <c r="A90" s="100">
        <v>45023</v>
      </c>
      <c r="B90" s="107" t="s">
        <v>128</v>
      </c>
      <c r="E90" s="163">
        <v>-260</v>
      </c>
      <c r="F90" s="63" t="s">
        <v>1134</v>
      </c>
    </row>
    <row r="91" spans="1:8">
      <c r="A91" s="100">
        <v>45026</v>
      </c>
      <c r="B91" s="8" t="s">
        <v>1136</v>
      </c>
      <c r="E91" s="163">
        <v>-140</v>
      </c>
      <c r="F91" s="63" t="s">
        <v>1134</v>
      </c>
    </row>
    <row r="92" spans="1:8">
      <c r="A92" s="100">
        <v>45026</v>
      </c>
      <c r="B92" s="8" t="s">
        <v>1135</v>
      </c>
      <c r="E92" s="163">
        <v>-57.07</v>
      </c>
      <c r="F92" s="63" t="s">
        <v>1134</v>
      </c>
    </row>
    <row r="93" spans="1:8">
      <c r="A93" s="100">
        <v>45026</v>
      </c>
      <c r="B93" s="8" t="s">
        <v>958</v>
      </c>
      <c r="C93">
        <v>1140.99</v>
      </c>
      <c r="D93" s="8" t="s">
        <v>961</v>
      </c>
      <c r="E93" s="163">
        <v>-190.17</v>
      </c>
      <c r="F93" s="8" t="s">
        <v>1134</v>
      </c>
    </row>
    <row r="94" spans="1:8">
      <c r="A94" s="100">
        <v>45061</v>
      </c>
      <c r="B94" s="8" t="s">
        <v>1137</v>
      </c>
      <c r="E94" s="163">
        <v>-190</v>
      </c>
      <c r="F94" s="63" t="s">
        <v>1134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1138</v>
      </c>
      <c r="B111" s="104" t="s">
        <v>1139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1108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1109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1141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1142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609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608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1143</v>
      </c>
      <c r="C12" s="101" t="s">
        <v>328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677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1144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1145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1120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1146</v>
      </c>
      <c r="C28" s="101"/>
      <c r="D28" s="101"/>
      <c r="E28" s="163"/>
      <c r="H28" s="63"/>
    </row>
    <row r="29" spans="1:8">
      <c r="A29" s="100"/>
      <c r="B29" s="101" t="s">
        <v>1147</v>
      </c>
      <c r="C29" s="101"/>
      <c r="D29" s="101"/>
      <c r="E29" s="163"/>
      <c r="H29" s="63"/>
    </row>
    <row r="30" spans="1:8">
      <c r="A30" s="100"/>
      <c r="B30" s="101" t="s">
        <v>1148</v>
      </c>
      <c r="C30" s="101"/>
      <c r="D30" s="101"/>
      <c r="E30" s="163"/>
      <c r="H30" s="63"/>
    </row>
    <row r="31" spans="1:8">
      <c r="A31" s="100"/>
      <c r="B31" s="101" t="s">
        <v>119</v>
      </c>
      <c r="C31" s="101"/>
      <c r="D31" s="101"/>
      <c r="E31" s="163"/>
      <c r="H31" s="63"/>
    </row>
    <row r="32" spans="1:8">
      <c r="A32" s="100"/>
      <c r="B32" s="101" t="s">
        <v>1149</v>
      </c>
      <c r="C32" s="101" t="s">
        <v>1150</v>
      </c>
      <c r="D32" s="101"/>
      <c r="E32" s="163"/>
      <c r="H32" s="63"/>
    </row>
    <row r="33" spans="1:8">
      <c r="A33" s="100"/>
      <c r="B33" s="8" t="s">
        <v>1151</v>
      </c>
      <c r="C33" s="101"/>
      <c r="D33" s="101"/>
      <c r="E33" s="163"/>
      <c r="H33" s="63"/>
    </row>
    <row r="34" spans="1:8">
      <c r="A34" s="100"/>
      <c r="B34" s="8" t="s">
        <v>1152</v>
      </c>
      <c r="C34" s="101"/>
      <c r="D34" s="101"/>
      <c r="E34" s="163"/>
      <c r="H34" s="63"/>
    </row>
    <row r="35" spans="1:8">
      <c r="A35" s="100"/>
      <c r="B35" s="101" t="s">
        <v>1153</v>
      </c>
      <c r="C35" s="101"/>
      <c r="D35" s="101"/>
      <c r="E35" s="163"/>
      <c r="H35" s="63"/>
    </row>
    <row r="36" spans="1:8">
      <c r="A36" s="100"/>
      <c r="B36" s="101" t="s">
        <v>1154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332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926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1060</v>
      </c>
      <c r="C60" s="106"/>
      <c r="D60" s="106" t="s">
        <v>680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823</v>
      </c>
      <c r="C61">
        <v>437.97</v>
      </c>
      <c r="D61" s="35" t="s">
        <v>1124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824</v>
      </c>
      <c r="C62">
        <v>404.23</v>
      </c>
      <c r="D62" s="35" t="s">
        <v>1124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825</v>
      </c>
      <c r="C63">
        <v>1135</v>
      </c>
      <c r="D63" s="35" t="s">
        <v>1124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1121</v>
      </c>
      <c r="C64">
        <v>659.93</v>
      </c>
      <c r="D64" s="35" t="s">
        <v>1035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1123</v>
      </c>
      <c r="C65">
        <v>720.19</v>
      </c>
      <c r="D65" s="321" t="s">
        <v>1155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777</v>
      </c>
      <c r="C66">
        <v>613.91</v>
      </c>
      <c r="D66" s="35" t="s">
        <v>1156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1034</v>
      </c>
      <c r="C67">
        <v>2258.94</v>
      </c>
      <c r="D67" s="35" t="s">
        <v>611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1157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1158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1159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419</v>
      </c>
      <c r="E72" s="163">
        <v>-158.63999999999999</v>
      </c>
    </row>
    <row r="73" spans="1:8">
      <c r="A73" s="100">
        <v>45037</v>
      </c>
      <c r="B73" s="8" t="s">
        <v>1063</v>
      </c>
      <c r="D73" s="35"/>
      <c r="E73" s="163">
        <v>-100</v>
      </c>
    </row>
    <row r="74" spans="1:8">
      <c r="A74" s="100">
        <v>45037</v>
      </c>
      <c r="B74" s="8" t="s">
        <v>1063</v>
      </c>
      <c r="E74" s="163">
        <v>-15</v>
      </c>
    </row>
    <row r="75" spans="1:8">
      <c r="A75" s="100">
        <v>45039</v>
      </c>
      <c r="B75" s="8" t="s">
        <v>1160</v>
      </c>
      <c r="E75" s="163">
        <v>-430</v>
      </c>
    </row>
    <row r="76" spans="1:8">
      <c r="A76" s="100">
        <v>45040</v>
      </c>
      <c r="B76" s="8" t="s">
        <v>1161</v>
      </c>
      <c r="E76" s="163">
        <v>-69.739999999999995</v>
      </c>
    </row>
    <row r="77" spans="1:8">
      <c r="A77" s="100">
        <v>45040</v>
      </c>
      <c r="B77" s="8" t="s">
        <v>1162</v>
      </c>
      <c r="E77" s="163">
        <v>-125</v>
      </c>
    </row>
    <row r="78" spans="1:8">
      <c r="A78" s="100"/>
      <c r="E78" s="163" t="s">
        <v>1163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1164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1163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1165</v>
      </c>
      <c r="B111" s="104" t="s">
        <v>1139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1108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1109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1166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638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632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1167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1080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1079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1168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677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1169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1170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1171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1172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1173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1174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1175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1176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332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926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1177</v>
      </c>
      <c r="C55" s="106"/>
      <c r="D55" s="106" t="s">
        <v>731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1178</v>
      </c>
      <c r="C56" s="106"/>
      <c r="D56" s="106" t="s">
        <v>989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1179</v>
      </c>
      <c r="C57" s="106"/>
      <c r="D57" s="106" t="s">
        <v>989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1180</v>
      </c>
      <c r="C58" s="106"/>
      <c r="D58" s="106" t="s">
        <v>989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1181</v>
      </c>
      <c r="C59" s="106"/>
      <c r="D59" s="106" t="s">
        <v>989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823</v>
      </c>
      <c r="C60">
        <v>437.97</v>
      </c>
      <c r="D60" s="35" t="s">
        <v>1155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824</v>
      </c>
      <c r="C61">
        <v>404.23</v>
      </c>
      <c r="D61" s="35" t="s">
        <v>1155</v>
      </c>
      <c r="E61" s="163">
        <v>-134.74</v>
      </c>
      <c r="F61" s="63"/>
    </row>
    <row r="62" spans="1:8">
      <c r="A62" s="100">
        <v>44985</v>
      </c>
      <c r="B62" s="8" t="s">
        <v>825</v>
      </c>
      <c r="C62">
        <v>1135</v>
      </c>
      <c r="D62" s="35" t="s">
        <v>1155</v>
      </c>
      <c r="E62" s="163">
        <v>-378.33</v>
      </c>
      <c r="F62" s="63"/>
    </row>
    <row r="63" spans="1:8">
      <c r="A63" s="100">
        <v>44982</v>
      </c>
      <c r="B63" s="8" t="s">
        <v>1182</v>
      </c>
      <c r="C63">
        <v>659.93</v>
      </c>
      <c r="D63" s="35" t="s">
        <v>1062</v>
      </c>
      <c r="E63" s="163">
        <v>-164.98</v>
      </c>
      <c r="F63" s="63"/>
    </row>
    <row r="64" spans="1:8">
      <c r="A64" s="100">
        <v>44995</v>
      </c>
      <c r="B64" s="8" t="s">
        <v>1123</v>
      </c>
      <c r="C64">
        <v>720.19</v>
      </c>
      <c r="D64" s="321" t="s">
        <v>1183</v>
      </c>
      <c r="E64" s="163">
        <v>-240.06</v>
      </c>
      <c r="F64" s="63"/>
    </row>
    <row r="65" spans="1:8">
      <c r="A65" s="100">
        <v>44995</v>
      </c>
      <c r="B65" s="8" t="s">
        <v>777</v>
      </c>
      <c r="C65">
        <v>613.91</v>
      </c>
      <c r="D65" s="35" t="s">
        <v>1184</v>
      </c>
      <c r="E65" s="163">
        <v>-61.39</v>
      </c>
      <c r="F65" s="63"/>
    </row>
    <row r="66" spans="1:8">
      <c r="A66" s="100">
        <v>44995</v>
      </c>
      <c r="B66" s="8" t="s">
        <v>1034</v>
      </c>
      <c r="C66">
        <v>2258.94</v>
      </c>
      <c r="D66" s="35" t="s">
        <v>650</v>
      </c>
      <c r="E66" s="163">
        <v>-376.49</v>
      </c>
      <c r="F66" s="63"/>
    </row>
    <row r="67" spans="1:8">
      <c r="A67" s="100">
        <v>44985</v>
      </c>
      <c r="B67" s="8" t="s">
        <v>1185</v>
      </c>
      <c r="D67" s="35"/>
      <c r="E67" s="163">
        <v>-161.31</v>
      </c>
      <c r="F67" s="63"/>
    </row>
    <row r="68" spans="1:8">
      <c r="A68" s="100">
        <v>44986</v>
      </c>
      <c r="B68" s="8" t="s">
        <v>1185</v>
      </c>
      <c r="D68" s="35"/>
      <c r="E68" s="163">
        <v>-137.93</v>
      </c>
      <c r="F68" s="63"/>
    </row>
    <row r="69" spans="1:8">
      <c r="A69" s="100">
        <v>44987</v>
      </c>
      <c r="B69" s="8" t="s">
        <v>1185</v>
      </c>
      <c r="D69" s="35"/>
      <c r="E69" s="163">
        <v>-121.99</v>
      </c>
      <c r="F69" s="63"/>
    </row>
    <row r="70" spans="1:8">
      <c r="A70" s="100">
        <v>45004</v>
      </c>
      <c r="B70" s="8" t="s">
        <v>1186</v>
      </c>
      <c r="D70" s="35"/>
      <c r="E70" s="163">
        <v>-94.85</v>
      </c>
      <c r="F70" s="63"/>
    </row>
    <row r="71" spans="1:8">
      <c r="A71" s="100">
        <v>45005</v>
      </c>
      <c r="B71" s="8" t="s">
        <v>1187</v>
      </c>
      <c r="D71" s="35"/>
      <c r="E71" s="163">
        <v>-456.1</v>
      </c>
      <c r="F71" s="63"/>
    </row>
    <row r="72" spans="1:8">
      <c r="A72" s="100">
        <v>45005</v>
      </c>
      <c r="B72" s="8" t="s">
        <v>1188</v>
      </c>
      <c r="E72" s="163">
        <v>-110</v>
      </c>
    </row>
    <row r="73" spans="1:8">
      <c r="A73" s="100">
        <v>45007</v>
      </c>
      <c r="B73" s="8" t="s">
        <v>1189</v>
      </c>
      <c r="D73" s="35"/>
      <c r="E73" s="163">
        <v>-554.11</v>
      </c>
    </row>
    <row r="74" spans="1:8">
      <c r="A74" s="100">
        <v>45010</v>
      </c>
      <c r="B74" s="8" t="s">
        <v>1190</v>
      </c>
      <c r="D74" s="35"/>
      <c r="E74" s="163">
        <v>-530.54999999999995</v>
      </c>
    </row>
    <row r="75" spans="1:8">
      <c r="A75" s="100">
        <v>45010</v>
      </c>
      <c r="B75" s="8" t="s">
        <v>1191</v>
      </c>
      <c r="D75" s="35"/>
      <c r="E75" s="163">
        <v>-26.53</v>
      </c>
    </row>
    <row r="76" spans="1:8">
      <c r="A76" s="100"/>
      <c r="D76" s="35"/>
      <c r="E76" s="163" t="s">
        <v>1163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657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656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657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1192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1163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1193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1074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1011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1108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1109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1194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1195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1196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674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671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1197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1198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1199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677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1200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1201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1202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1203</v>
      </c>
      <c r="D25" s="102"/>
      <c r="F25" s="63"/>
      <c r="G25" s="63"/>
      <c r="H25" s="63">
        <f t="shared" si="0"/>
        <v>-270.29999999999927</v>
      </c>
    </row>
    <row r="26" spans="1:8">
      <c r="B26" t="s">
        <v>1204</v>
      </c>
      <c r="D26" s="102"/>
      <c r="F26" s="63"/>
      <c r="G26" s="63"/>
      <c r="H26" s="63">
        <f t="shared" si="0"/>
        <v>-270.29999999999927</v>
      </c>
    </row>
    <row r="27" spans="1:8">
      <c r="B27" t="s">
        <v>1205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657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1206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1207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771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1208</v>
      </c>
      <c r="D35" s="8" t="s">
        <v>391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1209</v>
      </c>
      <c r="D36" s="8" t="s">
        <v>391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1210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1211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1212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332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1213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1214</v>
      </c>
      <c r="D50">
        <v>200</v>
      </c>
      <c r="F50" s="63"/>
      <c r="G50" s="63"/>
    </row>
    <row r="51" spans="1:8">
      <c r="B51" t="s">
        <v>1215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1216</v>
      </c>
      <c r="C60" s="106"/>
      <c r="D60" s="106" t="s">
        <v>445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1217</v>
      </c>
      <c r="C61" s="106"/>
      <c r="D61" s="106" t="s">
        <v>445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1218</v>
      </c>
      <c r="C62" s="106"/>
      <c r="D62" s="106" t="s">
        <v>776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1178</v>
      </c>
      <c r="C63" s="106"/>
      <c r="D63" s="106" t="s">
        <v>1035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1179</v>
      </c>
      <c r="C64" s="106"/>
      <c r="D64" s="106" t="s">
        <v>1035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1180</v>
      </c>
      <c r="C65" s="106"/>
      <c r="D65" s="106" t="s">
        <v>1035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1181</v>
      </c>
      <c r="C66" s="106"/>
      <c r="D66" s="106" t="s">
        <v>1035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1219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1220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1221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1222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1223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822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822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823</v>
      </c>
      <c r="C74">
        <v>437.97</v>
      </c>
      <c r="D74" s="35" t="s">
        <v>1183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824</v>
      </c>
      <c r="C75">
        <v>404.23</v>
      </c>
      <c r="D75" s="35" t="s">
        <v>1183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825</v>
      </c>
      <c r="C76">
        <v>1135</v>
      </c>
      <c r="D76" s="35" t="s">
        <v>1183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1224</v>
      </c>
      <c r="E77" s="163">
        <v>-880.22</v>
      </c>
      <c r="G77" s="63"/>
    </row>
    <row r="78" spans="1:8">
      <c r="A78" s="100">
        <v>44958</v>
      </c>
      <c r="B78" s="8" t="s">
        <v>1225</v>
      </c>
      <c r="E78" s="163">
        <v>-218.24</v>
      </c>
      <c r="G78" s="63"/>
    </row>
    <row r="79" spans="1:8">
      <c r="A79" s="100">
        <v>44960</v>
      </c>
      <c r="B79" s="8" t="s">
        <v>1226</v>
      </c>
      <c r="E79" s="163">
        <v>-120.45</v>
      </c>
      <c r="G79" s="63"/>
    </row>
    <row r="80" spans="1:8">
      <c r="A80" s="100">
        <v>44963</v>
      </c>
      <c r="B80" s="8" t="s">
        <v>1227</v>
      </c>
      <c r="D80" s="35"/>
      <c r="E80" s="163">
        <v>-130.56</v>
      </c>
      <c r="G80" s="63"/>
    </row>
    <row r="81" spans="1:8">
      <c r="A81" s="100">
        <v>44969</v>
      </c>
      <c r="B81" s="8" t="s">
        <v>1228</v>
      </c>
      <c r="D81" s="35"/>
      <c r="E81" s="163">
        <v>-51.99</v>
      </c>
      <c r="G81" s="63"/>
    </row>
    <row r="82" spans="1:8">
      <c r="A82" s="100">
        <v>44970</v>
      </c>
      <c r="B82" s="8" t="s">
        <v>530</v>
      </c>
      <c r="D82" s="35"/>
      <c r="E82" s="163">
        <v>-379</v>
      </c>
      <c r="G82" s="63"/>
    </row>
    <row r="83" spans="1:8">
      <c r="A83" s="100">
        <v>44970</v>
      </c>
      <c r="B83" s="8" t="s">
        <v>530</v>
      </c>
      <c r="D83" s="35"/>
      <c r="E83" s="163">
        <v>-510</v>
      </c>
      <c r="G83" s="63"/>
    </row>
    <row r="84" spans="1:8">
      <c r="A84" s="100">
        <v>44971</v>
      </c>
      <c r="B84" s="8" t="s">
        <v>1228</v>
      </c>
      <c r="D84" s="35"/>
      <c r="E84" s="163">
        <v>-51.99</v>
      </c>
      <c r="G84" s="63"/>
    </row>
    <row r="85" spans="1:8">
      <c r="A85" s="100">
        <v>44972</v>
      </c>
      <c r="B85" s="8" t="s">
        <v>1229</v>
      </c>
      <c r="D85" s="35"/>
      <c r="E85" s="163">
        <v>-54.77</v>
      </c>
      <c r="G85" s="63"/>
    </row>
    <row r="86" spans="1:8">
      <c r="A86" s="100">
        <v>44972</v>
      </c>
      <c r="B86" s="8" t="s">
        <v>1230</v>
      </c>
      <c r="D86" s="35"/>
      <c r="E86" s="163">
        <v>-459</v>
      </c>
      <c r="G86" s="63"/>
    </row>
    <row r="87" spans="1:8">
      <c r="A87" s="100">
        <v>44972</v>
      </c>
      <c r="B87" s="8" t="s">
        <v>1231</v>
      </c>
      <c r="D87" s="35"/>
      <c r="E87" s="163">
        <v>-211</v>
      </c>
      <c r="G87" s="63"/>
    </row>
    <row r="88" spans="1:8">
      <c r="A88" s="100">
        <v>44977</v>
      </c>
      <c r="B88" s="8" t="s">
        <v>1232</v>
      </c>
      <c r="D88" s="35"/>
      <c r="E88" s="163">
        <v>-100</v>
      </c>
      <c r="G88" s="63"/>
    </row>
    <row r="89" spans="1:8">
      <c r="A89" s="100">
        <v>44977</v>
      </c>
      <c r="B89" s="8" t="s">
        <v>1232</v>
      </c>
      <c r="D89" s="35"/>
      <c r="E89" s="163">
        <v>-10</v>
      </c>
      <c r="G89" s="63"/>
    </row>
    <row r="90" spans="1:8">
      <c r="A90" s="100">
        <v>44981</v>
      </c>
      <c r="B90" s="8" t="s">
        <v>135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3">
        <v>-186.34</v>
      </c>
      <c r="G91" s="63"/>
    </row>
    <row r="92" spans="1:8">
      <c r="A92" s="100">
        <v>44982</v>
      </c>
      <c r="B92" s="8" t="s">
        <v>1121</v>
      </c>
      <c r="C92">
        <v>659.93</v>
      </c>
      <c r="D92" s="35" t="s">
        <v>1090</v>
      </c>
      <c r="E92" s="163">
        <v>-164.98</v>
      </c>
      <c r="G92" s="63"/>
    </row>
    <row r="93" spans="1:8">
      <c r="A93" s="323">
        <v>44982</v>
      </c>
      <c r="D93" s="35"/>
      <c r="E93" s="324" t="s">
        <v>1163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1233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1234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1161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1161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1161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1163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1235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1236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1011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1108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1109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1237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1077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1238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1239</v>
      </c>
      <c r="C8" s="325" t="s">
        <v>391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1240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721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1241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1242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1243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1244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1245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1246</v>
      </c>
      <c r="F27" s="63"/>
      <c r="G27" s="63">
        <v>-5040</v>
      </c>
      <c r="H27" s="63">
        <f t="shared" si="0"/>
        <v>-18663.48</v>
      </c>
    </row>
    <row r="28" spans="1:8">
      <c r="B28" t="s">
        <v>1198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1247</v>
      </c>
      <c r="F29" s="63">
        <v>2000</v>
      </c>
      <c r="G29" s="63"/>
      <c r="H29" s="63">
        <f t="shared" si="0"/>
        <v>-16663.48</v>
      </c>
    </row>
    <row r="30" spans="1:8">
      <c r="B30" t="s">
        <v>1248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1249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1250</v>
      </c>
      <c r="D32" s="329">
        <v>1000</v>
      </c>
      <c r="H32" s="63">
        <f t="shared" si="0"/>
        <v>-10163.48</v>
      </c>
    </row>
    <row r="33" spans="1:8">
      <c r="B33" s="25" t="s">
        <v>1251</v>
      </c>
      <c r="D33" s="102"/>
      <c r="G33" s="63"/>
      <c r="H33" s="63">
        <f t="shared" si="0"/>
        <v>-10163.48</v>
      </c>
    </row>
    <row r="34" spans="1:8">
      <c r="A34" s="100"/>
      <c r="B34" s="312" t="s">
        <v>1252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1253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1254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1255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1256</v>
      </c>
      <c r="C46" s="312"/>
      <c r="D46" s="312" t="s">
        <v>1257</v>
      </c>
      <c r="H46" s="63"/>
    </row>
    <row r="47" spans="1:8">
      <c r="A47" s="317">
        <v>44844</v>
      </c>
      <c r="B47" s="312" t="s">
        <v>1258</v>
      </c>
      <c r="C47" s="314"/>
      <c r="D47" s="312" t="s">
        <v>1259</v>
      </c>
      <c r="H47" s="63"/>
    </row>
    <row r="48" spans="1:8">
      <c r="A48" s="317"/>
      <c r="B48" s="312" t="s">
        <v>1260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332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1213</v>
      </c>
      <c r="D51">
        <v>1245.19</v>
      </c>
      <c r="E51" s="163">
        <v>1245</v>
      </c>
      <c r="F51" s="63"/>
      <c r="G51" s="63"/>
    </row>
    <row r="52" spans="1:8">
      <c r="B52" t="s">
        <v>334</v>
      </c>
      <c r="D52">
        <v>914.78</v>
      </c>
      <c r="E52" s="163">
        <v>915</v>
      </c>
      <c r="F52" s="63"/>
      <c r="G52" s="63"/>
    </row>
    <row r="53" spans="1:8">
      <c r="B53" t="s">
        <v>335</v>
      </c>
      <c r="D53">
        <v>295.54000000000002</v>
      </c>
      <c r="E53" s="163">
        <v>295</v>
      </c>
      <c r="F53" s="63"/>
      <c r="G53" s="63"/>
    </row>
    <row r="54" spans="1:8">
      <c r="B54" t="s">
        <v>1261</v>
      </c>
      <c r="D54">
        <v>200</v>
      </c>
      <c r="F54" s="63"/>
      <c r="G54" s="63"/>
    </row>
    <row r="55" spans="1:8">
      <c r="B55" t="s">
        <v>1262</v>
      </c>
      <c r="D55">
        <v>1367.33</v>
      </c>
      <c r="E55" s="163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1263</v>
      </c>
      <c r="C57" s="106"/>
      <c r="D57" s="330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1216</v>
      </c>
      <c r="C64" s="106"/>
      <c r="D64" s="106" t="s">
        <v>476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1217</v>
      </c>
      <c r="C65" s="106"/>
      <c r="D65" s="106" t="s">
        <v>476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1264</v>
      </c>
      <c r="C66" s="106"/>
      <c r="D66" s="106" t="s">
        <v>931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1265</v>
      </c>
      <c r="C67" s="106"/>
      <c r="D67" s="101" t="s">
        <v>1124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1178</v>
      </c>
      <c r="C68" s="106"/>
      <c r="D68" s="106" t="s">
        <v>1062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1179</v>
      </c>
      <c r="C69" s="106"/>
      <c r="D69" s="106" t="s">
        <v>1062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1180</v>
      </c>
      <c r="C70" s="106"/>
      <c r="D70" s="106" t="s">
        <v>1062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1181</v>
      </c>
      <c r="C71" s="106"/>
      <c r="D71" s="106" t="s">
        <v>1062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749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1266</v>
      </c>
      <c r="D73" s="8" t="s">
        <v>1267</v>
      </c>
    </row>
    <row r="74" spans="1:8">
      <c r="A74" s="100">
        <v>44925</v>
      </c>
      <c r="B74" s="8" t="s">
        <v>1268</v>
      </c>
      <c r="E74" s="163">
        <v>-47.8</v>
      </c>
    </row>
    <row r="75" spans="1:8">
      <c r="A75" s="100">
        <v>44934</v>
      </c>
      <c r="B75" s="8" t="s">
        <v>1269</v>
      </c>
      <c r="E75" s="163">
        <v>-556.07000000000005</v>
      </c>
    </row>
    <row r="76" spans="1:8">
      <c r="A76" s="100">
        <v>44936</v>
      </c>
      <c r="B76" s="8" t="s">
        <v>1270</v>
      </c>
      <c r="E76" s="163">
        <v>-79.34</v>
      </c>
    </row>
    <row r="77" spans="1:8">
      <c r="A77" s="100">
        <v>44937</v>
      </c>
      <c r="B77" s="8" t="s">
        <v>1220</v>
      </c>
      <c r="E77" s="163">
        <v>-123.45</v>
      </c>
    </row>
    <row r="78" spans="1:8">
      <c r="A78" s="100">
        <v>44938</v>
      </c>
      <c r="B78" s="8" t="s">
        <v>1221</v>
      </c>
      <c r="E78" s="163">
        <v>-113.57</v>
      </c>
    </row>
    <row r="79" spans="1:8">
      <c r="A79" s="100">
        <v>44939</v>
      </c>
      <c r="B79" s="8" t="s">
        <v>1222</v>
      </c>
      <c r="E79" s="163">
        <v>-118.62</v>
      </c>
    </row>
    <row r="80" spans="1:8">
      <c r="A80" s="100">
        <v>44940</v>
      </c>
      <c r="B80" s="8" t="s">
        <v>1223</v>
      </c>
      <c r="E80" s="163">
        <v>-123.85</v>
      </c>
    </row>
    <row r="81" spans="1:8">
      <c r="A81" s="100">
        <v>44942</v>
      </c>
      <c r="B81" s="8" t="s">
        <v>1226</v>
      </c>
      <c r="E81" s="163">
        <v>-177.33</v>
      </c>
    </row>
    <row r="82" spans="1:8">
      <c r="A82" s="100">
        <v>44947</v>
      </c>
      <c r="B82" s="8" t="s">
        <v>1063</v>
      </c>
      <c r="E82" s="163">
        <v>-100</v>
      </c>
    </row>
    <row r="83" spans="1:8">
      <c r="A83" s="100">
        <v>44949</v>
      </c>
      <c r="B83" s="8" t="s">
        <v>1227</v>
      </c>
      <c r="E83" s="163">
        <v>-111.1</v>
      </c>
    </row>
    <row r="84" spans="1:8">
      <c r="A84" s="100">
        <v>44950</v>
      </c>
      <c r="B84" s="8" t="s">
        <v>1271</v>
      </c>
      <c r="E84" s="163">
        <v>-99.87</v>
      </c>
    </row>
    <row r="85" spans="1:8">
      <c r="A85" s="100">
        <v>44951</v>
      </c>
      <c r="B85" s="8" t="s">
        <v>1272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1273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1274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1275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1276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1277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546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1278</v>
      </c>
      <c r="E94" s="163">
        <v>-164.8</v>
      </c>
    </row>
    <row r="95" spans="1:8">
      <c r="A95" s="100">
        <v>44930</v>
      </c>
      <c r="B95" s="107" t="s">
        <v>1279</v>
      </c>
      <c r="E95" s="163">
        <v>-139.33000000000001</v>
      </c>
    </row>
    <row r="96" spans="1:8">
      <c r="A96" s="100">
        <v>44931</v>
      </c>
      <c r="B96" s="107" t="s">
        <v>1280</v>
      </c>
      <c r="E96" s="163">
        <v>-143.19999999999999</v>
      </c>
    </row>
    <row r="97" spans="1:7">
      <c r="A97" s="100">
        <v>44934</v>
      </c>
      <c r="B97" s="8" t="s">
        <v>1281</v>
      </c>
      <c r="E97" s="163">
        <v>-297.38</v>
      </c>
    </row>
    <row r="98" spans="1:7">
      <c r="A98" s="100">
        <v>44944</v>
      </c>
      <c r="B98" s="8" t="s">
        <v>1282</v>
      </c>
      <c r="E98" s="163">
        <v>-286.02999999999997</v>
      </c>
    </row>
    <row r="99" spans="1:7">
      <c r="A99" s="100">
        <v>44944</v>
      </c>
      <c r="B99" s="8" t="s">
        <v>1282</v>
      </c>
      <c r="E99" s="163">
        <v>-423.18</v>
      </c>
    </row>
    <row r="100" spans="1:7">
      <c r="A100" s="100">
        <v>44950</v>
      </c>
      <c r="B100" s="8" t="s">
        <v>1283</v>
      </c>
      <c r="D100" s="35"/>
      <c r="E100" s="163">
        <v>-31.35</v>
      </c>
    </row>
    <row r="101" spans="1:7">
      <c r="B101" t="s">
        <v>1284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1285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305</v>
      </c>
      <c r="E114" s="163">
        <v>44567</v>
      </c>
    </row>
    <row r="115" spans="1:5">
      <c r="A115" s="100">
        <v>45291</v>
      </c>
      <c r="B115" s="8" t="s">
        <v>306</v>
      </c>
      <c r="E115" s="163">
        <v>5590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812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813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814</v>
      </c>
      <c r="E119" s="163">
        <v>34000</v>
      </c>
    </row>
    <row r="120" spans="1:5">
      <c r="A120" s="100"/>
    </row>
    <row r="121" spans="1:5">
      <c r="D121" t="s">
        <v>1286</v>
      </c>
      <c r="E121" s="63">
        <f>H2</f>
        <v>-50451.479999999989</v>
      </c>
    </row>
    <row r="123" spans="1:5">
      <c r="D123" s="18" t="s">
        <v>156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1287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759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760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1288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1289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821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1248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876</v>
      </c>
      <c r="B22" t="s">
        <v>1239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876</v>
      </c>
      <c r="B23" t="s">
        <v>1290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1291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1256</v>
      </c>
      <c r="C31" s="312"/>
      <c r="D31" s="312" t="s">
        <v>1292</v>
      </c>
      <c r="E31" s="313"/>
      <c r="H31" s="63"/>
    </row>
    <row r="32" spans="1:8">
      <c r="A32" s="317">
        <v>44844</v>
      </c>
      <c r="B32" s="312" t="s">
        <v>1258</v>
      </c>
      <c r="C32" s="314"/>
      <c r="D32" s="312" t="s">
        <v>1259</v>
      </c>
      <c r="E32" s="312"/>
      <c r="H32" s="63"/>
    </row>
    <row r="33" spans="1:8">
      <c r="A33" s="317"/>
      <c r="B33" s="312" t="s">
        <v>1293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332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1294</v>
      </c>
      <c r="D39" s="17">
        <v>200</v>
      </c>
      <c r="F39" s="63"/>
      <c r="G39" s="63"/>
    </row>
    <row r="40" spans="1:8">
      <c r="B40" t="s">
        <v>1295</v>
      </c>
      <c r="D40" s="2">
        <v>1479.95</v>
      </c>
      <c r="E40">
        <v>1480</v>
      </c>
      <c r="F40" s="63"/>
      <c r="G40" s="63"/>
    </row>
    <row r="41" spans="1:8">
      <c r="B41" t="s">
        <v>1296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1297</v>
      </c>
      <c r="C42" s="106"/>
      <c r="D42" s="333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1298</v>
      </c>
      <c r="C50" s="106"/>
      <c r="D50" s="106" t="s">
        <v>519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1299</v>
      </c>
      <c r="C51" s="106"/>
      <c r="D51" s="106" t="s">
        <v>519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1300</v>
      </c>
      <c r="C52" s="106"/>
      <c r="D52" s="106" t="s">
        <v>613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1301</v>
      </c>
      <c r="C53" s="106"/>
      <c r="D53" s="101" t="s">
        <v>1155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1178</v>
      </c>
      <c r="C54" s="106"/>
      <c r="D54" s="106" t="s">
        <v>1090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1179</v>
      </c>
      <c r="C55" s="106"/>
      <c r="D55" s="106" t="s">
        <v>1090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1090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1090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1302</v>
      </c>
      <c r="E58" s="63">
        <v>-182.4</v>
      </c>
      <c r="F58" s="63"/>
      <c r="G58" s="63"/>
      <c r="H58" s="63"/>
    </row>
    <row r="59" spans="1:8">
      <c r="A59" s="100"/>
      <c r="B59" s="8" t="s">
        <v>1303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1304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1305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1306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1307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1308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1309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1310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1311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1312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1313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1314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1315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1316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1317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1318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1319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1320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1321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1322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1323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812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813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814</v>
      </c>
      <c r="E119">
        <v>60000</v>
      </c>
    </row>
    <row r="120" spans="1:5">
      <c r="B120" t="s">
        <v>1324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803</v>
      </c>
      <c r="L2" s="335" t="s">
        <v>804</v>
      </c>
      <c r="M2" s="335" t="s">
        <v>32</v>
      </c>
      <c r="N2" s="26" t="s">
        <v>1325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1326</v>
      </c>
      <c r="J7">
        <v>95</v>
      </c>
      <c r="M7" s="2">
        <v>23.75</v>
      </c>
    </row>
    <row r="8" spans="1:14">
      <c r="A8" t="s">
        <v>1327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1328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1329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1330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1331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1332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1333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1334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1335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1336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1337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1338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1339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1340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1341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1342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1343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1344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1345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1346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1347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1348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1349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1349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1350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1351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1352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1353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1354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1355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1356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1357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1358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1359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1360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1361</v>
      </c>
      <c r="C46" s="106" t="s">
        <v>1362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1363</v>
      </c>
      <c r="C47" s="106" t="s">
        <v>1362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1364</v>
      </c>
      <c r="C48" s="106" t="s">
        <v>1365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1366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677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1367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1368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1369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1370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1371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1372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1373</v>
      </c>
      <c r="C69" s="277"/>
      <c r="D69" s="326">
        <v>200</v>
      </c>
      <c r="E69" s="63" t="s">
        <v>1374</v>
      </c>
      <c r="H69" s="63"/>
    </row>
    <row r="70" spans="1:8">
      <c r="A70" s="345">
        <v>44839</v>
      </c>
      <c r="B70" s="277" t="s">
        <v>1375</v>
      </c>
      <c r="C70" s="277"/>
      <c r="D70" s="326">
        <v>200</v>
      </c>
      <c r="E70" s="63" t="s">
        <v>1374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1256</v>
      </c>
      <c r="C72" s="277">
        <v>3</v>
      </c>
      <c r="D72" s="8" t="s">
        <v>1376</v>
      </c>
      <c r="E72" s="63"/>
    </row>
    <row r="73" spans="1:8">
      <c r="A73" s="345">
        <v>44844</v>
      </c>
      <c r="B73" s="277" t="s">
        <v>1258</v>
      </c>
      <c r="C73" s="171"/>
      <c r="D73" s="8" t="s">
        <v>1259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1377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335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1373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336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337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1378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338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1338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1379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1331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1332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1380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1381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1382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1383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1384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1385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1386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1387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1388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1389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1232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1390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1391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1392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1393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1394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1395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677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1396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1397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1398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1399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1400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1401</v>
      </c>
      <c r="H54" s="63">
        <f t="shared" si="1"/>
        <v>159986.79999999999</v>
      </c>
    </row>
    <row r="56" spans="1:8">
      <c r="A56" s="100">
        <v>44844</v>
      </c>
      <c r="B56" s="349" t="s">
        <v>1258</v>
      </c>
      <c r="C56" s="349"/>
      <c r="D56" s="350">
        <v>2000</v>
      </c>
    </row>
    <row r="57" spans="1:8">
      <c r="A57" s="100">
        <v>44839</v>
      </c>
      <c r="B57" s="349" t="s">
        <v>1375</v>
      </c>
      <c r="C57" s="349"/>
      <c r="D57" s="350">
        <v>200</v>
      </c>
    </row>
    <row r="59" spans="1:8">
      <c r="A59" s="345">
        <v>44803</v>
      </c>
      <c r="B59" s="277" t="s">
        <v>1256</v>
      </c>
      <c r="C59" s="277"/>
      <c r="D59" s="346"/>
    </row>
    <row r="60" spans="1:8">
      <c r="A60" s="345">
        <v>44772</v>
      </c>
      <c r="B60" s="277" t="s">
        <v>1402</v>
      </c>
      <c r="C60" s="277"/>
      <c r="D60" s="346"/>
    </row>
    <row r="61" spans="1:8">
      <c r="A61" s="345">
        <v>44742</v>
      </c>
      <c r="B61" s="277" t="s">
        <v>1403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1404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1405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1375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1338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1331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1332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1406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1407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1408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1409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1410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1411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1412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1413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1414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617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617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1415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617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1416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530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1417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1418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617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617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1419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1420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1421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1422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1423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617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1415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1424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1425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1414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1426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1427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1428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1429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1430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1431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1432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1433</v>
      </c>
      <c r="G56" s="63"/>
      <c r="H56" s="63">
        <f t="shared" si="1"/>
        <v>-42104.91</v>
      </c>
    </row>
    <row r="57" spans="1:8">
      <c r="A57" s="100"/>
      <c r="B57" s="8" t="s">
        <v>1434</v>
      </c>
      <c r="G57" s="63"/>
      <c r="H57" s="63">
        <f t="shared" si="1"/>
        <v>-42104.91</v>
      </c>
    </row>
    <row r="58" spans="1:8">
      <c r="A58" s="100">
        <v>44844</v>
      </c>
      <c r="B58" s="8" t="s">
        <v>1435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1435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1436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1258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1437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1438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1439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677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1440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1441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1442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1401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1443</v>
      </c>
      <c r="H82" s="63">
        <f t="shared" si="2"/>
        <v>-11205.910000000003</v>
      </c>
    </row>
    <row r="83" spans="1:8">
      <c r="B83" s="351" t="s">
        <v>1444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1445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1256</v>
      </c>
      <c r="C87" s="277"/>
      <c r="D87" s="353">
        <v>4000</v>
      </c>
      <c r="H87" s="63"/>
    </row>
    <row r="88" spans="1:8">
      <c r="A88" s="345">
        <v>44772</v>
      </c>
      <c r="B88" s="277" t="s">
        <v>1402</v>
      </c>
      <c r="C88" s="277"/>
      <c r="D88" s="353">
        <v>4000</v>
      </c>
      <c r="H88" s="63"/>
    </row>
    <row r="89" spans="1:8">
      <c r="A89" s="345">
        <v>44742</v>
      </c>
      <c r="B89" s="277" t="s">
        <v>1403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1446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1447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1338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1331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1332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1448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1449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1450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1438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1451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1452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1453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1454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1455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1456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1457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1458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1459</v>
      </c>
      <c r="C27" s="106" t="s">
        <v>1460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1461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1462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677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1463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1464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1465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1444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1256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1402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1403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1466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1467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1447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1338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1331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1332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1468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1469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1470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1438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1451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1471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1472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1458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1473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1474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1475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1476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1477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1478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1479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1480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1481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1482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1483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1484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1485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1485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1486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1487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1488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677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1489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1444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1256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1490</v>
      </c>
      <c r="H54" s="63">
        <f t="shared" si="1"/>
        <v>61721.7</v>
      </c>
    </row>
    <row r="55" spans="1:8">
      <c r="B55" s="325" t="s">
        <v>1491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1492</v>
      </c>
      <c r="C56" s="358" t="s">
        <v>1493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1494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1403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1402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1495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1467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1338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1331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1332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1496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1497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1498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1499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1500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1438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1451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1501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1502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1228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1503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1504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1505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1506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1507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1508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1232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1458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1509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1080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1079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1510</v>
      </c>
      <c r="C41" s="8" t="s">
        <v>1493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1511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1512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1513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1491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1514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1402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1515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1403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1516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1517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1467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1338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1331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1332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1518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1519</v>
      </c>
      <c r="C15" t="s">
        <v>1493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1520</v>
      </c>
      <c r="C16" t="s">
        <v>1521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1522</v>
      </c>
      <c r="E18" s="63"/>
      <c r="F18" s="63"/>
      <c r="G18" s="63"/>
      <c r="H18" s="63">
        <f t="shared" si="0"/>
        <v>-5596.51</v>
      </c>
    </row>
    <row r="19" spans="1:8">
      <c r="B19" t="s">
        <v>1523</v>
      </c>
      <c r="E19" s="63"/>
      <c r="F19" s="63"/>
      <c r="G19" s="63"/>
      <c r="H19" s="63">
        <f t="shared" si="0"/>
        <v>-5596.51</v>
      </c>
    </row>
    <row r="20" spans="1:8">
      <c r="B20" t="s">
        <v>1524</v>
      </c>
      <c r="E20" s="63"/>
      <c r="F20" s="63"/>
      <c r="G20" s="63"/>
      <c r="H20" s="63">
        <f t="shared" si="0"/>
        <v>-5596.51</v>
      </c>
    </row>
    <row r="21" spans="1:8">
      <c r="B21" t="s">
        <v>1525</v>
      </c>
      <c r="C21" t="s">
        <v>1493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1526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1527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1506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1528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1529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1530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1531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1063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1458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1532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1438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1451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1533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1534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1535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1536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1537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1403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1538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1517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1540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1447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1338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1331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1332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1438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1451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133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1541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1541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1353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1542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1543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1458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677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1544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1537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1545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1517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1467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1338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1331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1332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1438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1451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1546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1547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1548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1549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1550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1551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1458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1552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1553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1554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1555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1556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1557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1558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1517</v>
      </c>
      <c r="C5" s="8" t="s">
        <v>1559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1559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1467</v>
      </c>
      <c r="C7" s="8" t="s">
        <v>1559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1559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1338</v>
      </c>
      <c r="C9" s="106" t="s">
        <v>1560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1331</v>
      </c>
      <c r="C10" s="101" t="s">
        <v>1560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1332</v>
      </c>
      <c r="C11" s="101" t="s">
        <v>1560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1438</v>
      </c>
      <c r="C13" s="106" t="s">
        <v>1560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1451</v>
      </c>
      <c r="C14" s="106" t="s">
        <v>1560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1561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1562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1563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1458</v>
      </c>
      <c r="C19" s="381" t="s">
        <v>1560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1560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1560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1564</v>
      </c>
      <c r="C23" s="8" t="s">
        <v>1560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1560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677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1565</v>
      </c>
      <c r="C28" s="63" t="s">
        <v>1559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1566</v>
      </c>
      <c r="C30" s="63" t="s">
        <v>1559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1567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1568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1569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1517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1467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1338</v>
      </c>
      <c r="C9" s="106" t="s">
        <v>1560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1331</v>
      </c>
      <c r="C10" s="101" t="s">
        <v>1560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1332</v>
      </c>
      <c r="C11" s="101" t="s">
        <v>1560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1438</v>
      </c>
      <c r="C13" s="106" t="s">
        <v>1560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1451</v>
      </c>
      <c r="C14" s="106" t="s">
        <v>1560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1458</v>
      </c>
      <c r="C16" s="381" t="s">
        <v>1560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1561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1570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1571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1493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1572</v>
      </c>
      <c r="C22" s="8" t="s">
        <v>1573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1493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1574</v>
      </c>
      <c r="C24" s="8" t="s">
        <v>1493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1575</v>
      </c>
      <c r="C28" s="8" t="s">
        <v>1560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1575</v>
      </c>
      <c r="C29" s="8" t="s">
        <v>1560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1576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1577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1578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1517</v>
      </c>
      <c r="C5" s="8" t="s">
        <v>1559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1559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1467</v>
      </c>
      <c r="C7" s="8" t="s">
        <v>1559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1559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1338</v>
      </c>
      <c r="C9" s="106" t="s">
        <v>1560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1331</v>
      </c>
      <c r="C10" s="101" t="s">
        <v>1560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1332</v>
      </c>
      <c r="C11" s="101" t="s">
        <v>1560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1438</v>
      </c>
      <c r="C13" s="106" t="s">
        <v>1560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1451</v>
      </c>
      <c r="C14" s="106" t="s">
        <v>1560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1561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1458</v>
      </c>
      <c r="C17" s="381" t="s">
        <v>1560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1493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1493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1560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677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1579</v>
      </c>
      <c r="C25" s="8" t="s">
        <v>1559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1580</v>
      </c>
    </row>
    <row r="3" spans="1:14">
      <c r="A3" t="s">
        <v>1581</v>
      </c>
      <c r="C3" t="s">
        <v>1582</v>
      </c>
      <c r="D3" t="s">
        <v>1583</v>
      </c>
    </row>
    <row r="4" spans="1:14">
      <c r="A4" t="s">
        <v>1584</v>
      </c>
      <c r="C4" t="s">
        <v>1585</v>
      </c>
      <c r="D4" t="s">
        <v>1586</v>
      </c>
    </row>
    <row r="5" spans="1:14">
      <c r="A5" t="s">
        <v>1587</v>
      </c>
      <c r="C5" t="s">
        <v>1585</v>
      </c>
      <c r="D5" t="s">
        <v>1588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803</v>
      </c>
      <c r="L11" s="335" t="s">
        <v>804</v>
      </c>
      <c r="M11" s="335" t="s">
        <v>32</v>
      </c>
      <c r="N11" s="26" t="s">
        <v>1325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1326</v>
      </c>
      <c r="J16">
        <v>95</v>
      </c>
      <c r="K16" s="2"/>
      <c r="M16" s="2">
        <v>23.75</v>
      </c>
    </row>
    <row r="17" spans="1:14">
      <c r="A17" t="s">
        <v>1327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1328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1329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2025-03-07T20:12:11Z</dcterms:modified>
  <dc:language>tr-TR</dc:language>
</cp:coreProperties>
</file>